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00000000-0000-0000-0000-000000000000}"/>
  <workbookPr codeName="ЭтаКнига" defaultThemeVersion="166925"/>
  <mc:AlternateContent xmlns:mc="http://schemas.openxmlformats.org/markup-compatibility/2006">
    <mc:Choice Requires="x15">
      <x15ac:absPath xmlns:x15ac="http://schemas.microsoft.com/office/spreadsheetml/2010/11/ac" url="C:\Users\Admin\tonk1x\TT data\Прайс-листы\"/>
    </mc:Choice>
  </mc:AlternateContent>
  <xr:revisionPtr revIDLastSave="0" documentId="13_ncr:1_{0AB985DD-6178-429F-B2E6-19044D196898}" xr6:coauthVersionLast="47" xr6:coauthVersionMax="47" xr10:uidLastSave="{00000000-0000-0000-0000-000000000000}"/>
  <bookViews>
    <workbookView xWindow="28680" yWindow="-120" windowWidth="29040" windowHeight="15990" activeTab="5" xr2:uid="{00000000-000D-0000-FFFF-FFFF00000000}"/>
  </bookViews>
  <sheets>
    <sheet name="Кат" sheetId="2" r:id="rId1"/>
    <sheet name="Торг" sheetId="11" r:id="rId2"/>
    <sheet name="Прайс Gamma" sheetId="9" r:id="rId3"/>
    <sheet name="Выгр Кат" sheetId="7" r:id="rId4"/>
    <sheet name="Выгр Торг" sheetId="10" r:id="rId5"/>
    <sheet name="Ссылки" sheetId="14" r:id="rId6"/>
    <sheet name="Из ГУГЛа" sheetId="17" r:id="rId7"/>
  </sheets>
  <definedNames>
    <definedName name="_xlnm._FilterDatabase" localSheetId="3" hidden="1">'Выгр Кат'!$A$1:$O$147</definedName>
    <definedName name="_xlnm._FilterDatabase" localSheetId="4" hidden="1">'Выгр Торг'!$A$1:$T$870</definedName>
    <definedName name="_xlnm._FilterDatabase" localSheetId="0" hidden="1">Кат!$A$2:$AJ$148</definedName>
    <definedName name="_xlnm._FilterDatabase" localSheetId="2" hidden="1">'Прайс Gamma'!$A$7:$WVK$102</definedName>
    <definedName name="_xlnm._FilterDatabase" localSheetId="1" hidden="1">Торг!$A$2:$AF$867</definedName>
    <definedName name="ExternalData_1" localSheetId="6" hidden="1">'Из ГУГЛа'!$A$1:$U$1004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93" i="2" l="1"/>
  <c r="M93" i="2" s="1"/>
  <c r="I93" i="2"/>
  <c r="I92" i="2"/>
  <c r="I91" i="2"/>
  <c r="L91" i="2" s="1"/>
  <c r="M91" i="2" s="1"/>
  <c r="N91" i="2" s="1"/>
  <c r="O91" i="2" s="1"/>
  <c r="A869" i="11"/>
  <c r="C869" i="11"/>
  <c r="E869" i="11"/>
  <c r="F869" i="11"/>
  <c r="G869" i="11"/>
  <c r="L869" i="11"/>
  <c r="M869" i="11"/>
  <c r="O869" i="11" s="1"/>
  <c r="P869" i="11" s="1"/>
  <c r="S869" i="11"/>
  <c r="T869" i="11"/>
  <c r="X869" i="11"/>
  <c r="AD869" i="11"/>
  <c r="A870" i="11"/>
  <c r="C870" i="11"/>
  <c r="E870" i="11"/>
  <c r="F870" i="11"/>
  <c r="G870" i="11"/>
  <c r="L870" i="11"/>
  <c r="M870" i="11"/>
  <c r="O870" i="11" s="1"/>
  <c r="P870" i="11" s="1"/>
  <c r="S870" i="11"/>
  <c r="U870" i="11" s="1"/>
  <c r="T870" i="11"/>
  <c r="X870" i="11"/>
  <c r="AD870" i="11"/>
  <c r="A871" i="11"/>
  <c r="C871" i="11"/>
  <c r="E871" i="11"/>
  <c r="F871" i="11"/>
  <c r="G871" i="11"/>
  <c r="L871" i="11"/>
  <c r="M871" i="11"/>
  <c r="S871" i="11"/>
  <c r="U871" i="11" s="1"/>
  <c r="T871" i="11"/>
  <c r="X871" i="11"/>
  <c r="AD871" i="11"/>
  <c r="A868" i="11"/>
  <c r="C868" i="11"/>
  <c r="E868" i="11"/>
  <c r="F868" i="11"/>
  <c r="G868" i="11"/>
  <c r="L868" i="11"/>
  <c r="AD868" i="11" s="1"/>
  <c r="M868" i="11"/>
  <c r="O868" i="11" s="1"/>
  <c r="P868" i="11" s="1"/>
  <c r="S868" i="11"/>
  <c r="T868" i="11"/>
  <c r="X868" i="11"/>
  <c r="P870" i="10"/>
  <c r="P869" i="10"/>
  <c r="P868" i="10"/>
  <c r="P867" i="10"/>
  <c r="M692" i="11"/>
  <c r="L692" i="11"/>
  <c r="M691" i="11"/>
  <c r="L691" i="11"/>
  <c r="M690" i="11"/>
  <c r="L690" i="11"/>
  <c r="M689" i="11"/>
  <c r="L689" i="11"/>
  <c r="L688" i="11"/>
  <c r="AD688" i="11" s="1"/>
  <c r="X696" i="11"/>
  <c r="T696" i="11"/>
  <c r="S696" i="11"/>
  <c r="M696" i="11"/>
  <c r="L696" i="11"/>
  <c r="AD696" i="11" s="1"/>
  <c r="F696" i="11"/>
  <c r="E696" i="11"/>
  <c r="C696" i="11"/>
  <c r="A696" i="11"/>
  <c r="X695" i="11"/>
  <c r="T695" i="11"/>
  <c r="S695" i="11"/>
  <c r="M695" i="11"/>
  <c r="L695" i="11"/>
  <c r="AD695" i="11" s="1"/>
  <c r="F695" i="11"/>
  <c r="E695" i="11"/>
  <c r="C695" i="11"/>
  <c r="A695" i="11"/>
  <c r="X694" i="11"/>
  <c r="T694" i="11"/>
  <c r="S694" i="11"/>
  <c r="M694" i="11"/>
  <c r="L694" i="11"/>
  <c r="AD694" i="11" s="1"/>
  <c r="F694" i="11"/>
  <c r="E694" i="11"/>
  <c r="C694" i="11"/>
  <c r="A694" i="11"/>
  <c r="X693" i="11"/>
  <c r="T693" i="11"/>
  <c r="S693" i="11"/>
  <c r="M693" i="11"/>
  <c r="L693" i="11"/>
  <c r="AD693" i="11" s="1"/>
  <c r="F693" i="11"/>
  <c r="E693" i="11"/>
  <c r="C693" i="11"/>
  <c r="A693" i="11"/>
  <c r="AD692" i="11"/>
  <c r="X692" i="11"/>
  <c r="T692" i="11"/>
  <c r="S692" i="11"/>
  <c r="F692" i="11"/>
  <c r="E692" i="11"/>
  <c r="C692" i="11"/>
  <c r="A692" i="11"/>
  <c r="AD691" i="11"/>
  <c r="X691" i="11"/>
  <c r="T691" i="11"/>
  <c r="S691" i="11"/>
  <c r="U691" i="11" s="1"/>
  <c r="F691" i="11"/>
  <c r="E691" i="11"/>
  <c r="C691" i="11"/>
  <c r="A691" i="11"/>
  <c r="AD690" i="11"/>
  <c r="X690" i="11"/>
  <c r="T690" i="11"/>
  <c r="S690" i="11"/>
  <c r="U690" i="11" s="1"/>
  <c r="F690" i="11"/>
  <c r="E690" i="11"/>
  <c r="C690" i="11"/>
  <c r="A690" i="11"/>
  <c r="X689" i="11"/>
  <c r="T689" i="11"/>
  <c r="S689" i="11"/>
  <c r="AD689" i="11"/>
  <c r="F689" i="11"/>
  <c r="E689" i="11"/>
  <c r="C689" i="11"/>
  <c r="A689" i="11"/>
  <c r="X688" i="11"/>
  <c r="T688" i="11"/>
  <c r="S688" i="11"/>
  <c r="Q688" i="11"/>
  <c r="R688" i="11" s="1"/>
  <c r="W688" i="11" s="1"/>
  <c r="AC688" i="11" s="1"/>
  <c r="M688" i="11"/>
  <c r="O688" i="11" s="1"/>
  <c r="P688" i="11" s="1"/>
  <c r="F688" i="11"/>
  <c r="E688" i="11"/>
  <c r="C688" i="11"/>
  <c r="A688" i="11"/>
  <c r="P866" i="10"/>
  <c r="P865" i="10"/>
  <c r="P864" i="10"/>
  <c r="P863" i="10"/>
  <c r="G864" i="11" s="1"/>
  <c r="P862" i="10"/>
  <c r="P861" i="10"/>
  <c r="P860" i="10"/>
  <c r="P859" i="10"/>
  <c r="P858" i="10"/>
  <c r="A865" i="11"/>
  <c r="C865" i="11"/>
  <c r="E865" i="11"/>
  <c r="F865" i="11"/>
  <c r="Q868" i="10" s="1"/>
  <c r="G865" i="11"/>
  <c r="L865" i="11"/>
  <c r="AD865" i="11" s="1"/>
  <c r="M865" i="11"/>
  <c r="S865" i="11"/>
  <c r="T865" i="11"/>
  <c r="X865" i="11"/>
  <c r="A866" i="11"/>
  <c r="C866" i="11"/>
  <c r="E866" i="11"/>
  <c r="F866" i="11"/>
  <c r="Q869" i="10" s="1"/>
  <c r="G866" i="11"/>
  <c r="L866" i="11"/>
  <c r="AD866" i="11" s="1"/>
  <c r="M866" i="11"/>
  <c r="S866" i="11"/>
  <c r="U866" i="11" s="1"/>
  <c r="T866" i="11"/>
  <c r="X866" i="11"/>
  <c r="A867" i="11"/>
  <c r="C867" i="11"/>
  <c r="E867" i="11"/>
  <c r="F867" i="11"/>
  <c r="Q870" i="10" s="1"/>
  <c r="G867" i="11"/>
  <c r="L867" i="11"/>
  <c r="AD867" i="11" s="1"/>
  <c r="M867" i="11"/>
  <c r="S867" i="11"/>
  <c r="T867" i="11"/>
  <c r="X867" i="11"/>
  <c r="A864" i="11"/>
  <c r="C864" i="11"/>
  <c r="E864" i="11"/>
  <c r="F864" i="11"/>
  <c r="Q867" i="10" s="1"/>
  <c r="L864" i="11"/>
  <c r="AD864" i="11" s="1"/>
  <c r="M864" i="11"/>
  <c r="S864" i="11"/>
  <c r="U864" i="11" s="1"/>
  <c r="T864" i="11"/>
  <c r="X864" i="11"/>
  <c r="P857" i="10"/>
  <c r="P856" i="10"/>
  <c r="P855" i="10"/>
  <c r="P854" i="10"/>
  <c r="Y824" i="11"/>
  <c r="Y798" i="11"/>
  <c r="Y772" i="11"/>
  <c r="Y746" i="11"/>
  <c r="A851" i="11"/>
  <c r="C851" i="11"/>
  <c r="E851" i="11"/>
  <c r="F851" i="11"/>
  <c r="L851" i="11"/>
  <c r="AD851" i="11" s="1"/>
  <c r="M851" i="11"/>
  <c r="S851" i="11"/>
  <c r="U851" i="11" s="1"/>
  <c r="T851" i="11"/>
  <c r="X851" i="11"/>
  <c r="A852" i="11"/>
  <c r="C852" i="11"/>
  <c r="E852" i="11"/>
  <c r="F852" i="11"/>
  <c r="L852" i="11"/>
  <c r="AD852" i="11" s="1"/>
  <c r="M852" i="11"/>
  <c r="S852" i="11"/>
  <c r="T852" i="11"/>
  <c r="X852" i="11"/>
  <c r="A853" i="11"/>
  <c r="C853" i="11"/>
  <c r="E853" i="11"/>
  <c r="F853" i="11"/>
  <c r="L853" i="11"/>
  <c r="AD853" i="11" s="1"/>
  <c r="M853" i="11"/>
  <c r="S853" i="11"/>
  <c r="T853" i="11"/>
  <c r="X853" i="11"/>
  <c r="A854" i="11"/>
  <c r="C854" i="11"/>
  <c r="E854" i="11"/>
  <c r="F854" i="11"/>
  <c r="L854" i="11"/>
  <c r="AD854" i="11" s="1"/>
  <c r="M854" i="11"/>
  <c r="S854" i="11"/>
  <c r="T854" i="11"/>
  <c r="X854" i="11"/>
  <c r="A855" i="11"/>
  <c r="C855" i="11"/>
  <c r="E855" i="11"/>
  <c r="F855" i="11"/>
  <c r="L855" i="11"/>
  <c r="AD855" i="11" s="1"/>
  <c r="M855" i="11"/>
  <c r="S855" i="11"/>
  <c r="U855" i="11" s="1"/>
  <c r="T855" i="11"/>
  <c r="X855" i="11"/>
  <c r="A856" i="11"/>
  <c r="C856" i="11"/>
  <c r="E856" i="11"/>
  <c r="F856" i="11"/>
  <c r="L856" i="11"/>
  <c r="AD856" i="11" s="1"/>
  <c r="M856" i="11"/>
  <c r="S856" i="11"/>
  <c r="T856" i="11"/>
  <c r="X856" i="11"/>
  <c r="A857" i="11"/>
  <c r="C857" i="11"/>
  <c r="E857" i="11"/>
  <c r="F857" i="11"/>
  <c r="L857" i="11"/>
  <c r="AD857" i="11" s="1"/>
  <c r="M857" i="11"/>
  <c r="S857" i="11"/>
  <c r="U857" i="11" s="1"/>
  <c r="T857" i="11"/>
  <c r="X857" i="11"/>
  <c r="A858" i="11"/>
  <c r="C858" i="11"/>
  <c r="E858" i="11"/>
  <c r="F858" i="11"/>
  <c r="L858" i="11"/>
  <c r="AD858" i="11" s="1"/>
  <c r="M858" i="11"/>
  <c r="S858" i="11"/>
  <c r="T858" i="11"/>
  <c r="X858" i="11"/>
  <c r="A859" i="11"/>
  <c r="C859" i="11"/>
  <c r="E859" i="11"/>
  <c r="F859" i="11"/>
  <c r="L859" i="11"/>
  <c r="AD859" i="11" s="1"/>
  <c r="M859" i="11"/>
  <c r="S859" i="11"/>
  <c r="U859" i="11" s="1"/>
  <c r="T859" i="11"/>
  <c r="X859" i="11"/>
  <c r="A860" i="11"/>
  <c r="C860" i="11"/>
  <c r="E860" i="11"/>
  <c r="F860" i="11"/>
  <c r="L860" i="11"/>
  <c r="AD860" i="11" s="1"/>
  <c r="M860" i="11"/>
  <c r="S860" i="11"/>
  <c r="T860" i="11"/>
  <c r="X860" i="11"/>
  <c r="A861" i="11"/>
  <c r="C861" i="11"/>
  <c r="E861" i="11"/>
  <c r="F861" i="11"/>
  <c r="L861" i="11"/>
  <c r="AD861" i="11" s="1"/>
  <c r="M861" i="11"/>
  <c r="S861" i="11"/>
  <c r="U861" i="11" s="1"/>
  <c r="T861" i="11"/>
  <c r="X861" i="11"/>
  <c r="A862" i="11"/>
  <c r="C862" i="11"/>
  <c r="E862" i="11"/>
  <c r="F862" i="11"/>
  <c r="L862" i="11"/>
  <c r="AD862" i="11" s="1"/>
  <c r="M862" i="11"/>
  <c r="S862" i="11"/>
  <c r="U862" i="11" s="1"/>
  <c r="T862" i="11"/>
  <c r="X862" i="11"/>
  <c r="A863" i="11"/>
  <c r="C863" i="11"/>
  <c r="E863" i="11"/>
  <c r="F863" i="11"/>
  <c r="L863" i="11"/>
  <c r="AD863" i="11" s="1"/>
  <c r="M863" i="11"/>
  <c r="S863" i="11"/>
  <c r="U863" i="11" s="1"/>
  <c r="T863" i="11"/>
  <c r="X863" i="11"/>
  <c r="X850" i="11"/>
  <c r="T850" i="11"/>
  <c r="S850" i="11"/>
  <c r="M850" i="11"/>
  <c r="L850" i="11"/>
  <c r="AD850" i="11" s="1"/>
  <c r="F850" i="11"/>
  <c r="E850" i="11"/>
  <c r="C850" i="11"/>
  <c r="A850" i="11"/>
  <c r="X714" i="11"/>
  <c r="T714" i="11"/>
  <c r="S714" i="11"/>
  <c r="M714" i="11"/>
  <c r="L714" i="11"/>
  <c r="AD714" i="11" s="1"/>
  <c r="F714" i="11"/>
  <c r="E714" i="11"/>
  <c r="C714" i="11"/>
  <c r="A714" i="11"/>
  <c r="X712" i="11"/>
  <c r="T712" i="11"/>
  <c r="S712" i="11"/>
  <c r="M712" i="11"/>
  <c r="L712" i="11"/>
  <c r="F712" i="11"/>
  <c r="E712" i="11"/>
  <c r="C712" i="11"/>
  <c r="A712" i="11"/>
  <c r="X711" i="11"/>
  <c r="T711" i="11"/>
  <c r="S711" i="11"/>
  <c r="U711" i="11" s="1"/>
  <c r="M711" i="11"/>
  <c r="L711" i="11"/>
  <c r="AD711" i="11" s="1"/>
  <c r="F711" i="11"/>
  <c r="E711" i="11"/>
  <c r="C711" i="11"/>
  <c r="A711" i="11"/>
  <c r="X713" i="11"/>
  <c r="T713" i="11"/>
  <c r="S713" i="11"/>
  <c r="M713" i="11"/>
  <c r="L713" i="11"/>
  <c r="AD713" i="11" s="1"/>
  <c r="F713" i="11"/>
  <c r="E713" i="11"/>
  <c r="C713" i="11"/>
  <c r="A713" i="11"/>
  <c r="Y147" i="2"/>
  <c r="U147" i="2"/>
  <c r="Q147" i="2"/>
  <c r="N147" i="2" s="1"/>
  <c r="P147" i="2"/>
  <c r="I147" i="2" s="1"/>
  <c r="L147" i="2" s="1"/>
  <c r="M147" i="2" s="1"/>
  <c r="E147" i="2"/>
  <c r="D147" i="2"/>
  <c r="B147" i="2"/>
  <c r="P853" i="10"/>
  <c r="P852" i="10"/>
  <c r="P851" i="10"/>
  <c r="P850" i="10"/>
  <c r="P849" i="10"/>
  <c r="P848" i="10"/>
  <c r="P847" i="10"/>
  <c r="P846" i="10"/>
  <c r="P845" i="10"/>
  <c r="P844" i="10"/>
  <c r="P843" i="10"/>
  <c r="P842" i="10"/>
  <c r="P841" i="10"/>
  <c r="P840" i="10"/>
  <c r="P839" i="10"/>
  <c r="P838" i="10"/>
  <c r="P837" i="10"/>
  <c r="P836" i="10"/>
  <c r="U90" i="2"/>
  <c r="Q90" i="2"/>
  <c r="P90" i="2"/>
  <c r="K90" i="2"/>
  <c r="J90" i="2" s="1"/>
  <c r="I90" i="2"/>
  <c r="Y90" i="2" s="1"/>
  <c r="E90" i="2"/>
  <c r="D90" i="2"/>
  <c r="B90" i="2"/>
  <c r="U89" i="2"/>
  <c r="Q89" i="2"/>
  <c r="P89" i="2"/>
  <c r="K89" i="2"/>
  <c r="J89" i="2" s="1"/>
  <c r="I89" i="2"/>
  <c r="E89" i="2"/>
  <c r="D89" i="2"/>
  <c r="B89" i="2"/>
  <c r="T561" i="11"/>
  <c r="S561" i="11"/>
  <c r="F561" i="11"/>
  <c r="E561" i="11"/>
  <c r="C561" i="11"/>
  <c r="A561" i="11"/>
  <c r="T560" i="11"/>
  <c r="S560" i="11"/>
  <c r="F560" i="11"/>
  <c r="E560" i="11"/>
  <c r="C560" i="11"/>
  <c r="A560" i="11"/>
  <c r="T559" i="11"/>
  <c r="S559" i="11"/>
  <c r="F559" i="11"/>
  <c r="E559" i="11"/>
  <c r="C559" i="11"/>
  <c r="A559" i="11"/>
  <c r="T558" i="11"/>
  <c r="S558" i="11"/>
  <c r="F558" i="11"/>
  <c r="E558" i="11"/>
  <c r="C558" i="11"/>
  <c r="A558" i="11"/>
  <c r="T557" i="11"/>
  <c r="S557" i="11"/>
  <c r="F557" i="11"/>
  <c r="E557" i="11"/>
  <c r="C557" i="11"/>
  <c r="A557" i="11"/>
  <c r="T556" i="11"/>
  <c r="S556" i="11"/>
  <c r="F556" i="11"/>
  <c r="E556" i="11"/>
  <c r="C556" i="11"/>
  <c r="A556" i="11"/>
  <c r="T555" i="11"/>
  <c r="S555" i="11"/>
  <c r="F555" i="11"/>
  <c r="E555" i="11"/>
  <c r="C555" i="11"/>
  <c r="A555" i="11"/>
  <c r="T554" i="11"/>
  <c r="S554" i="11"/>
  <c r="F554" i="11"/>
  <c r="E554" i="11"/>
  <c r="C554" i="11"/>
  <c r="A554" i="11"/>
  <c r="T553" i="11"/>
  <c r="S553" i="11"/>
  <c r="F553" i="11"/>
  <c r="Q775" i="10" s="1"/>
  <c r="E553" i="11"/>
  <c r="C553" i="11"/>
  <c r="A553" i="11"/>
  <c r="T552" i="11"/>
  <c r="S552" i="11"/>
  <c r="F552" i="11"/>
  <c r="E552" i="11"/>
  <c r="C552" i="11"/>
  <c r="A552" i="11"/>
  <c r="T551" i="11"/>
  <c r="S551" i="11"/>
  <c r="F551" i="11"/>
  <c r="Q773" i="10" s="1"/>
  <c r="E551" i="11"/>
  <c r="C551" i="11"/>
  <c r="A551" i="11"/>
  <c r="T550" i="11"/>
  <c r="S550" i="11"/>
  <c r="F550" i="11"/>
  <c r="E550" i="11"/>
  <c r="C550" i="11"/>
  <c r="A550" i="11"/>
  <c r="T549" i="11"/>
  <c r="S549" i="11"/>
  <c r="F549" i="11"/>
  <c r="E549" i="11"/>
  <c r="C549" i="11"/>
  <c r="A549" i="11"/>
  <c r="T535" i="11"/>
  <c r="S535" i="11"/>
  <c r="F535" i="11"/>
  <c r="E535" i="11"/>
  <c r="C535" i="11"/>
  <c r="A535" i="11"/>
  <c r="T534" i="11"/>
  <c r="S534" i="11"/>
  <c r="F534" i="11"/>
  <c r="E534" i="11"/>
  <c r="C534" i="11"/>
  <c r="A534" i="11"/>
  <c r="T533" i="11"/>
  <c r="S533" i="11"/>
  <c r="F533" i="11"/>
  <c r="E533" i="11"/>
  <c r="C533" i="11"/>
  <c r="A533" i="11"/>
  <c r="T532" i="11"/>
  <c r="S532" i="11"/>
  <c r="F532" i="11"/>
  <c r="E532" i="11"/>
  <c r="C532" i="11"/>
  <c r="A532" i="11"/>
  <c r="T531" i="11"/>
  <c r="S531" i="11"/>
  <c r="F531" i="11"/>
  <c r="E531" i="11"/>
  <c r="C531" i="11"/>
  <c r="A531" i="11"/>
  <c r="T530" i="11"/>
  <c r="S530" i="11"/>
  <c r="F530" i="11"/>
  <c r="E530" i="11"/>
  <c r="C530" i="11"/>
  <c r="A530" i="11"/>
  <c r="T529" i="11"/>
  <c r="S529" i="11"/>
  <c r="F529" i="11"/>
  <c r="E529" i="11"/>
  <c r="C529" i="11"/>
  <c r="A529" i="11"/>
  <c r="T528" i="11"/>
  <c r="S528" i="11"/>
  <c r="F528" i="11"/>
  <c r="E528" i="11"/>
  <c r="C528" i="11"/>
  <c r="A528" i="11"/>
  <c r="T527" i="11"/>
  <c r="S527" i="11"/>
  <c r="F527" i="11"/>
  <c r="E527" i="11"/>
  <c r="C527" i="11"/>
  <c r="A527" i="11"/>
  <c r="T526" i="11"/>
  <c r="S526" i="11"/>
  <c r="F526" i="11"/>
  <c r="E526" i="11"/>
  <c r="C526" i="11"/>
  <c r="A526" i="11"/>
  <c r="T525" i="11"/>
  <c r="S525" i="11"/>
  <c r="F525" i="11"/>
  <c r="E525" i="11"/>
  <c r="C525" i="11"/>
  <c r="A525" i="11"/>
  <c r="T524" i="11"/>
  <c r="S524" i="11"/>
  <c r="F524" i="11"/>
  <c r="E524" i="11"/>
  <c r="C524" i="11"/>
  <c r="A524" i="11"/>
  <c r="T523" i="11"/>
  <c r="S523" i="11"/>
  <c r="F523" i="11"/>
  <c r="E523" i="11"/>
  <c r="C523" i="11"/>
  <c r="A523" i="11"/>
  <c r="T672" i="11"/>
  <c r="S672" i="11"/>
  <c r="F672" i="11"/>
  <c r="E672" i="11"/>
  <c r="C672" i="11"/>
  <c r="A672" i="11"/>
  <c r="T659" i="11"/>
  <c r="S659" i="11"/>
  <c r="F659" i="11"/>
  <c r="E659" i="11"/>
  <c r="C659" i="11"/>
  <c r="A659" i="11"/>
  <c r="T671" i="11"/>
  <c r="S671" i="11"/>
  <c r="F671" i="11"/>
  <c r="E671" i="11"/>
  <c r="C671" i="11"/>
  <c r="A671" i="11"/>
  <c r="T670" i="11"/>
  <c r="S670" i="11"/>
  <c r="F670" i="11"/>
  <c r="E670" i="11"/>
  <c r="C670" i="11"/>
  <c r="A670" i="11"/>
  <c r="T669" i="11"/>
  <c r="S669" i="11"/>
  <c r="F669" i="11"/>
  <c r="E669" i="11"/>
  <c r="C669" i="11"/>
  <c r="A669" i="11"/>
  <c r="T668" i="11"/>
  <c r="S668" i="11"/>
  <c r="F668" i="11"/>
  <c r="E668" i="11"/>
  <c r="C668" i="11"/>
  <c r="A668" i="11"/>
  <c r="T667" i="11"/>
  <c r="S667" i="11"/>
  <c r="F667" i="11"/>
  <c r="E667" i="11"/>
  <c r="C667" i="11"/>
  <c r="A667" i="11"/>
  <c r="T666" i="11"/>
  <c r="S666" i="11"/>
  <c r="F666" i="11"/>
  <c r="E666" i="11"/>
  <c r="C666" i="11"/>
  <c r="A666" i="11"/>
  <c r="T665" i="11"/>
  <c r="S665" i="11"/>
  <c r="F665" i="11"/>
  <c r="E665" i="11"/>
  <c r="C665" i="11"/>
  <c r="A665" i="11"/>
  <c r="T664" i="11"/>
  <c r="S664" i="11"/>
  <c r="F664" i="11"/>
  <c r="E664" i="11"/>
  <c r="C664" i="11"/>
  <c r="A664" i="11"/>
  <c r="T663" i="11"/>
  <c r="S663" i="11"/>
  <c r="F663" i="11"/>
  <c r="E663" i="11"/>
  <c r="C663" i="11"/>
  <c r="A663" i="11"/>
  <c r="T662" i="11"/>
  <c r="S662" i="11"/>
  <c r="F662" i="11"/>
  <c r="E662" i="11"/>
  <c r="C662" i="11"/>
  <c r="A662" i="11"/>
  <c r="T661" i="11"/>
  <c r="S661" i="11"/>
  <c r="F661" i="11"/>
  <c r="E661" i="11"/>
  <c r="C661" i="11"/>
  <c r="A661" i="11"/>
  <c r="T509" i="11"/>
  <c r="S509" i="11"/>
  <c r="F509" i="11"/>
  <c r="E509" i="11"/>
  <c r="C509" i="11"/>
  <c r="A509" i="11"/>
  <c r="T496" i="11"/>
  <c r="S496" i="11"/>
  <c r="F496" i="11"/>
  <c r="E496" i="11"/>
  <c r="C496" i="11"/>
  <c r="A496" i="11"/>
  <c r="T508" i="11"/>
  <c r="S508" i="11"/>
  <c r="F508" i="11"/>
  <c r="E508" i="11"/>
  <c r="C508" i="11"/>
  <c r="A508" i="11"/>
  <c r="T507" i="11"/>
  <c r="S507" i="11"/>
  <c r="F507" i="11"/>
  <c r="E507" i="11"/>
  <c r="C507" i="11"/>
  <c r="A507" i="11"/>
  <c r="T506" i="11"/>
  <c r="S506" i="11"/>
  <c r="F506" i="11"/>
  <c r="E506" i="11"/>
  <c r="C506" i="11"/>
  <c r="A506" i="11"/>
  <c r="T505" i="11"/>
  <c r="S505" i="11"/>
  <c r="F505" i="11"/>
  <c r="E505" i="11"/>
  <c r="C505" i="11"/>
  <c r="A505" i="11"/>
  <c r="T504" i="11"/>
  <c r="S504" i="11"/>
  <c r="F504" i="11"/>
  <c r="E504" i="11"/>
  <c r="C504" i="11"/>
  <c r="A504" i="11"/>
  <c r="T503" i="11"/>
  <c r="S503" i="11"/>
  <c r="F503" i="11"/>
  <c r="E503" i="11"/>
  <c r="C503" i="11"/>
  <c r="A503" i="11"/>
  <c r="T502" i="11"/>
  <c r="S502" i="11"/>
  <c r="F502" i="11"/>
  <c r="E502" i="11"/>
  <c r="C502" i="11"/>
  <c r="A502" i="11"/>
  <c r="T501" i="11"/>
  <c r="S501" i="11"/>
  <c r="F501" i="11"/>
  <c r="E501" i="11"/>
  <c r="C501" i="11"/>
  <c r="A501" i="11"/>
  <c r="T500" i="11"/>
  <c r="S500" i="11"/>
  <c r="F500" i="11"/>
  <c r="E500" i="11"/>
  <c r="C500" i="11"/>
  <c r="A500" i="11"/>
  <c r="T499" i="11"/>
  <c r="S499" i="11"/>
  <c r="F499" i="11"/>
  <c r="E499" i="11"/>
  <c r="C499" i="11"/>
  <c r="A499" i="11"/>
  <c r="T498" i="11"/>
  <c r="S498" i="11"/>
  <c r="F498" i="11"/>
  <c r="E498" i="11"/>
  <c r="C498" i="11"/>
  <c r="A498" i="11"/>
  <c r="T421" i="11"/>
  <c r="S421" i="11"/>
  <c r="F421" i="11"/>
  <c r="E421" i="11"/>
  <c r="C421" i="11"/>
  <c r="A421" i="11"/>
  <c r="T408" i="11"/>
  <c r="S408" i="11"/>
  <c r="F408" i="11"/>
  <c r="E408" i="11"/>
  <c r="C408" i="11"/>
  <c r="A408" i="11"/>
  <c r="T420" i="11"/>
  <c r="S420" i="11"/>
  <c r="F420" i="11"/>
  <c r="E420" i="11"/>
  <c r="C420" i="11"/>
  <c r="A420" i="11"/>
  <c r="T419" i="11"/>
  <c r="S419" i="11"/>
  <c r="F419" i="11"/>
  <c r="E419" i="11"/>
  <c r="C419" i="11"/>
  <c r="A419" i="11"/>
  <c r="T418" i="11"/>
  <c r="S418" i="11"/>
  <c r="F418" i="11"/>
  <c r="E418" i="11"/>
  <c r="C418" i="11"/>
  <c r="A418" i="11"/>
  <c r="T417" i="11"/>
  <c r="S417" i="11"/>
  <c r="F417" i="11"/>
  <c r="E417" i="11"/>
  <c r="C417" i="11"/>
  <c r="A417" i="11"/>
  <c r="T416" i="11"/>
  <c r="S416" i="11"/>
  <c r="F416" i="11"/>
  <c r="E416" i="11"/>
  <c r="C416" i="11"/>
  <c r="A416" i="11"/>
  <c r="T415" i="11"/>
  <c r="S415" i="11"/>
  <c r="F415" i="11"/>
  <c r="E415" i="11"/>
  <c r="C415" i="11"/>
  <c r="A415" i="11"/>
  <c r="T414" i="11"/>
  <c r="S414" i="11"/>
  <c r="F414" i="11"/>
  <c r="E414" i="11"/>
  <c r="C414" i="11"/>
  <c r="A414" i="11"/>
  <c r="T413" i="11"/>
  <c r="S413" i="11"/>
  <c r="F413" i="11"/>
  <c r="E413" i="11"/>
  <c r="C413" i="11"/>
  <c r="A413" i="11"/>
  <c r="T412" i="11"/>
  <c r="S412" i="11"/>
  <c r="F412" i="11"/>
  <c r="Q577" i="10" s="1"/>
  <c r="E412" i="11"/>
  <c r="C412" i="11"/>
  <c r="A412" i="11"/>
  <c r="T411" i="11"/>
  <c r="S411" i="11"/>
  <c r="F411" i="11"/>
  <c r="E411" i="11"/>
  <c r="C411" i="11"/>
  <c r="A411" i="11"/>
  <c r="T410" i="11"/>
  <c r="S410" i="11"/>
  <c r="F410" i="11"/>
  <c r="E410" i="11"/>
  <c r="C410" i="11"/>
  <c r="A410" i="11"/>
  <c r="T395" i="11"/>
  <c r="S395" i="11"/>
  <c r="F395" i="11"/>
  <c r="E395" i="11"/>
  <c r="C395" i="11"/>
  <c r="A395" i="11"/>
  <c r="T382" i="11"/>
  <c r="S382" i="11"/>
  <c r="F382" i="11"/>
  <c r="E382" i="11"/>
  <c r="C382" i="11"/>
  <c r="A382" i="11"/>
  <c r="T394" i="11"/>
  <c r="S394" i="11"/>
  <c r="F394" i="11"/>
  <c r="E394" i="11"/>
  <c r="C394" i="11"/>
  <c r="A394" i="11"/>
  <c r="T393" i="11"/>
  <c r="S393" i="11"/>
  <c r="F393" i="11"/>
  <c r="E393" i="11"/>
  <c r="C393" i="11"/>
  <c r="A393" i="11"/>
  <c r="T392" i="11"/>
  <c r="S392" i="11"/>
  <c r="F392" i="11"/>
  <c r="E392" i="11"/>
  <c r="C392" i="11"/>
  <c r="A392" i="11"/>
  <c r="T391" i="11"/>
  <c r="S391" i="11"/>
  <c r="F391" i="11"/>
  <c r="E391" i="11"/>
  <c r="C391" i="11"/>
  <c r="A391" i="11"/>
  <c r="T390" i="11"/>
  <c r="S390" i="11"/>
  <c r="F390" i="11"/>
  <c r="E390" i="11"/>
  <c r="C390" i="11"/>
  <c r="A390" i="11"/>
  <c r="T389" i="11"/>
  <c r="S389" i="11"/>
  <c r="F389" i="11"/>
  <c r="E389" i="11"/>
  <c r="C389" i="11"/>
  <c r="A389" i="11"/>
  <c r="T388" i="11"/>
  <c r="S388" i="11"/>
  <c r="F388" i="11"/>
  <c r="E388" i="11"/>
  <c r="C388" i="11"/>
  <c r="A388" i="11"/>
  <c r="T387" i="11"/>
  <c r="S387" i="11"/>
  <c r="F387" i="11"/>
  <c r="E387" i="11"/>
  <c r="C387" i="11"/>
  <c r="A387" i="11"/>
  <c r="T386" i="11"/>
  <c r="S386" i="11"/>
  <c r="F386" i="11"/>
  <c r="E386" i="11"/>
  <c r="C386" i="11"/>
  <c r="A386" i="11"/>
  <c r="T385" i="11"/>
  <c r="S385" i="11"/>
  <c r="F385" i="11"/>
  <c r="E385" i="11"/>
  <c r="C385" i="11"/>
  <c r="A385" i="11"/>
  <c r="T384" i="11"/>
  <c r="S384" i="11"/>
  <c r="F384" i="11"/>
  <c r="E384" i="11"/>
  <c r="C384" i="11"/>
  <c r="A384" i="11"/>
  <c r="A358" i="11"/>
  <c r="C358" i="11"/>
  <c r="E358" i="11"/>
  <c r="F358" i="11"/>
  <c r="S358" i="11"/>
  <c r="T358" i="11"/>
  <c r="A359" i="11"/>
  <c r="C359" i="11"/>
  <c r="E359" i="11"/>
  <c r="F359" i="11"/>
  <c r="S359" i="11"/>
  <c r="T359" i="11"/>
  <c r="A360" i="11"/>
  <c r="C360" i="11"/>
  <c r="E360" i="11"/>
  <c r="F360" i="11"/>
  <c r="S360" i="11"/>
  <c r="T360" i="11"/>
  <c r="A361" i="11"/>
  <c r="C361" i="11"/>
  <c r="E361" i="11"/>
  <c r="F361" i="11"/>
  <c r="S361" i="11"/>
  <c r="T361" i="11"/>
  <c r="A362" i="11"/>
  <c r="C362" i="11"/>
  <c r="E362" i="11"/>
  <c r="F362" i="11"/>
  <c r="S362" i="11"/>
  <c r="T362" i="11"/>
  <c r="A363" i="11"/>
  <c r="C363" i="11"/>
  <c r="E363" i="11"/>
  <c r="F363" i="11"/>
  <c r="S363" i="11"/>
  <c r="T363" i="11"/>
  <c r="A364" i="11"/>
  <c r="C364" i="11"/>
  <c r="E364" i="11"/>
  <c r="F364" i="11"/>
  <c r="S364" i="11"/>
  <c r="T364" i="11"/>
  <c r="A365" i="11"/>
  <c r="C365" i="11"/>
  <c r="E365" i="11"/>
  <c r="F365" i="11"/>
  <c r="S365" i="11"/>
  <c r="T365" i="11"/>
  <c r="A366" i="11"/>
  <c r="C366" i="11"/>
  <c r="E366" i="11"/>
  <c r="F366" i="11"/>
  <c r="S366" i="11"/>
  <c r="T366" i="11"/>
  <c r="A367" i="11"/>
  <c r="C367" i="11"/>
  <c r="E367" i="11"/>
  <c r="F367" i="11"/>
  <c r="S367" i="11"/>
  <c r="T367" i="11"/>
  <c r="A368" i="11"/>
  <c r="C368" i="11"/>
  <c r="E368" i="11"/>
  <c r="F368" i="11"/>
  <c r="S368" i="11"/>
  <c r="T368" i="11"/>
  <c r="A356" i="11"/>
  <c r="C356" i="11"/>
  <c r="E356" i="11"/>
  <c r="F356" i="11"/>
  <c r="S356" i="11"/>
  <c r="T356" i="11"/>
  <c r="A369" i="11"/>
  <c r="C369" i="11"/>
  <c r="E369" i="11"/>
  <c r="F369" i="11"/>
  <c r="S369" i="11"/>
  <c r="T369" i="11"/>
  <c r="T343" i="11"/>
  <c r="S343" i="11"/>
  <c r="F343" i="11"/>
  <c r="E343" i="11"/>
  <c r="C343" i="11"/>
  <c r="A343" i="11"/>
  <c r="T330" i="11"/>
  <c r="S330" i="11"/>
  <c r="F330" i="11"/>
  <c r="E330" i="11"/>
  <c r="C330" i="11"/>
  <c r="A330" i="11"/>
  <c r="T342" i="11"/>
  <c r="S342" i="11"/>
  <c r="F342" i="11"/>
  <c r="E342" i="11"/>
  <c r="C342" i="11"/>
  <c r="A342" i="11"/>
  <c r="T341" i="11"/>
  <c r="S341" i="11"/>
  <c r="F341" i="11"/>
  <c r="E341" i="11"/>
  <c r="C341" i="11"/>
  <c r="A341" i="11"/>
  <c r="T340" i="11"/>
  <c r="S340" i="11"/>
  <c r="F340" i="11"/>
  <c r="E340" i="11"/>
  <c r="C340" i="11"/>
  <c r="A340" i="11"/>
  <c r="T339" i="11"/>
  <c r="S339" i="11"/>
  <c r="F339" i="11"/>
  <c r="E339" i="11"/>
  <c r="C339" i="11"/>
  <c r="A339" i="11"/>
  <c r="T338" i="11"/>
  <c r="S338" i="11"/>
  <c r="F338" i="11"/>
  <c r="E338" i="11"/>
  <c r="C338" i="11"/>
  <c r="A338" i="11"/>
  <c r="T337" i="11"/>
  <c r="S337" i="11"/>
  <c r="F337" i="11"/>
  <c r="E337" i="11"/>
  <c r="C337" i="11"/>
  <c r="A337" i="11"/>
  <c r="T336" i="11"/>
  <c r="S336" i="11"/>
  <c r="F336" i="11"/>
  <c r="E336" i="11"/>
  <c r="C336" i="11"/>
  <c r="A336" i="11"/>
  <c r="T335" i="11"/>
  <c r="S335" i="11"/>
  <c r="F335" i="11"/>
  <c r="E335" i="11"/>
  <c r="C335" i="11"/>
  <c r="A335" i="11"/>
  <c r="T334" i="11"/>
  <c r="S334" i="11"/>
  <c r="F334" i="11"/>
  <c r="E334" i="11"/>
  <c r="C334" i="11"/>
  <c r="A334" i="11"/>
  <c r="T333" i="11"/>
  <c r="S333" i="11"/>
  <c r="F333" i="11"/>
  <c r="E333" i="11"/>
  <c r="C333" i="11"/>
  <c r="A333" i="11"/>
  <c r="T332" i="11"/>
  <c r="S332" i="11"/>
  <c r="F332" i="11"/>
  <c r="E332" i="11"/>
  <c r="C332" i="11"/>
  <c r="A332" i="11"/>
  <c r="T317" i="11"/>
  <c r="S317" i="11"/>
  <c r="F317" i="11"/>
  <c r="E317" i="11"/>
  <c r="C317" i="11"/>
  <c r="A317" i="11"/>
  <c r="T304" i="11"/>
  <c r="S304" i="11"/>
  <c r="F304" i="11"/>
  <c r="E304" i="11"/>
  <c r="C304" i="11"/>
  <c r="A304" i="11"/>
  <c r="T316" i="11"/>
  <c r="S316" i="11"/>
  <c r="F316" i="11"/>
  <c r="E316" i="11"/>
  <c r="C316" i="11"/>
  <c r="A316" i="11"/>
  <c r="T315" i="11"/>
  <c r="S315" i="11"/>
  <c r="F315" i="11"/>
  <c r="E315" i="11"/>
  <c r="C315" i="11"/>
  <c r="A315" i="11"/>
  <c r="T314" i="11"/>
  <c r="S314" i="11"/>
  <c r="F314" i="11"/>
  <c r="E314" i="11"/>
  <c r="C314" i="11"/>
  <c r="A314" i="11"/>
  <c r="T313" i="11"/>
  <c r="S313" i="11"/>
  <c r="F313" i="11"/>
  <c r="E313" i="11"/>
  <c r="C313" i="11"/>
  <c r="A313" i="11"/>
  <c r="T312" i="11"/>
  <c r="S312" i="11"/>
  <c r="F312" i="11"/>
  <c r="E312" i="11"/>
  <c r="C312" i="11"/>
  <c r="A312" i="11"/>
  <c r="T311" i="11"/>
  <c r="S311" i="11"/>
  <c r="F311" i="11"/>
  <c r="E311" i="11"/>
  <c r="C311" i="11"/>
  <c r="A311" i="11"/>
  <c r="T310" i="11"/>
  <c r="S310" i="11"/>
  <c r="F310" i="11"/>
  <c r="E310" i="11"/>
  <c r="C310" i="11"/>
  <c r="A310" i="11"/>
  <c r="T309" i="11"/>
  <c r="S309" i="11"/>
  <c r="F309" i="11"/>
  <c r="E309" i="11"/>
  <c r="C309" i="11"/>
  <c r="A309" i="11"/>
  <c r="T308" i="11"/>
  <c r="S308" i="11"/>
  <c r="F308" i="11"/>
  <c r="E308" i="11"/>
  <c r="C308" i="11"/>
  <c r="A308" i="11"/>
  <c r="T307" i="11"/>
  <c r="S307" i="11"/>
  <c r="F307" i="11"/>
  <c r="E307" i="11"/>
  <c r="C307" i="11"/>
  <c r="A307" i="11"/>
  <c r="T306" i="11"/>
  <c r="S306" i="11"/>
  <c r="F306" i="11"/>
  <c r="E306" i="11"/>
  <c r="C306" i="11"/>
  <c r="A306" i="11"/>
  <c r="T83" i="11"/>
  <c r="S83" i="11"/>
  <c r="F83" i="11"/>
  <c r="E83" i="11"/>
  <c r="C83" i="11"/>
  <c r="A83" i="11"/>
  <c r="T70" i="11"/>
  <c r="S70" i="11"/>
  <c r="F70" i="11"/>
  <c r="E70" i="11"/>
  <c r="C70" i="11"/>
  <c r="A70" i="11"/>
  <c r="T82" i="11"/>
  <c r="S82" i="11"/>
  <c r="F82" i="11"/>
  <c r="E82" i="11"/>
  <c r="C82" i="11"/>
  <c r="A82" i="11"/>
  <c r="T81" i="11"/>
  <c r="S81" i="11"/>
  <c r="F81" i="11"/>
  <c r="E81" i="11"/>
  <c r="C81" i="11"/>
  <c r="A81" i="11"/>
  <c r="T80" i="11"/>
  <c r="S80" i="11"/>
  <c r="F80" i="11"/>
  <c r="E80" i="11"/>
  <c r="C80" i="11"/>
  <c r="A80" i="11"/>
  <c r="T79" i="11"/>
  <c r="S79" i="11"/>
  <c r="F79" i="11"/>
  <c r="E79" i="11"/>
  <c r="C79" i="11"/>
  <c r="A79" i="11"/>
  <c r="T78" i="11"/>
  <c r="S78" i="11"/>
  <c r="F78" i="11"/>
  <c r="E78" i="11"/>
  <c r="C78" i="11"/>
  <c r="A78" i="11"/>
  <c r="T77" i="11"/>
  <c r="S77" i="11"/>
  <c r="F77" i="11"/>
  <c r="E77" i="11"/>
  <c r="C77" i="11"/>
  <c r="A77" i="11"/>
  <c r="T76" i="11"/>
  <c r="S76" i="11"/>
  <c r="F76" i="11"/>
  <c r="E76" i="11"/>
  <c r="C76" i="11"/>
  <c r="A76" i="11"/>
  <c r="T75" i="11"/>
  <c r="S75" i="11"/>
  <c r="F75" i="11"/>
  <c r="E75" i="11"/>
  <c r="C75" i="11"/>
  <c r="A75" i="11"/>
  <c r="T74" i="11"/>
  <c r="S74" i="11"/>
  <c r="F74" i="11"/>
  <c r="E74" i="11"/>
  <c r="C74" i="11"/>
  <c r="A74" i="11"/>
  <c r="T73" i="11"/>
  <c r="S73" i="11"/>
  <c r="F73" i="11"/>
  <c r="E73" i="11"/>
  <c r="C73" i="11"/>
  <c r="A73" i="11"/>
  <c r="T72" i="11"/>
  <c r="S72" i="11"/>
  <c r="F72" i="11"/>
  <c r="E72" i="11"/>
  <c r="C72" i="11"/>
  <c r="A72" i="11"/>
  <c r="T291" i="11"/>
  <c r="S291" i="11"/>
  <c r="F291" i="11"/>
  <c r="E291" i="11"/>
  <c r="C291" i="11"/>
  <c r="A291" i="11"/>
  <c r="T278" i="11"/>
  <c r="S278" i="11"/>
  <c r="F278" i="11"/>
  <c r="E278" i="11"/>
  <c r="C278" i="11"/>
  <c r="A278" i="11"/>
  <c r="T290" i="11"/>
  <c r="S290" i="11"/>
  <c r="F290" i="11"/>
  <c r="E290" i="11"/>
  <c r="C290" i="11"/>
  <c r="A290" i="11"/>
  <c r="T289" i="11"/>
  <c r="S289" i="11"/>
  <c r="F289" i="11"/>
  <c r="E289" i="11"/>
  <c r="C289" i="11"/>
  <c r="A289" i="11"/>
  <c r="T288" i="11"/>
  <c r="S288" i="11"/>
  <c r="F288" i="11"/>
  <c r="E288" i="11"/>
  <c r="C288" i="11"/>
  <c r="A288" i="11"/>
  <c r="T287" i="11"/>
  <c r="S287" i="11"/>
  <c r="F287" i="11"/>
  <c r="E287" i="11"/>
  <c r="C287" i="11"/>
  <c r="A287" i="11"/>
  <c r="T286" i="11"/>
  <c r="S286" i="11"/>
  <c r="F286" i="11"/>
  <c r="E286" i="11"/>
  <c r="C286" i="11"/>
  <c r="A286" i="11"/>
  <c r="T285" i="11"/>
  <c r="S285" i="11"/>
  <c r="F285" i="11"/>
  <c r="E285" i="11"/>
  <c r="C285" i="11"/>
  <c r="A285" i="11"/>
  <c r="T284" i="11"/>
  <c r="S284" i="11"/>
  <c r="F284" i="11"/>
  <c r="E284" i="11"/>
  <c r="C284" i="11"/>
  <c r="A284" i="11"/>
  <c r="T283" i="11"/>
  <c r="S283" i="11"/>
  <c r="F283" i="11"/>
  <c r="E283" i="11"/>
  <c r="C283" i="11"/>
  <c r="A283" i="11"/>
  <c r="T282" i="11"/>
  <c r="S282" i="11"/>
  <c r="F282" i="11"/>
  <c r="E282" i="11"/>
  <c r="C282" i="11"/>
  <c r="A282" i="11"/>
  <c r="T281" i="11"/>
  <c r="S281" i="11"/>
  <c r="F281" i="11"/>
  <c r="E281" i="11"/>
  <c r="C281" i="11"/>
  <c r="A281" i="11"/>
  <c r="T280" i="11"/>
  <c r="S280" i="11"/>
  <c r="F280" i="11"/>
  <c r="E280" i="11"/>
  <c r="C280" i="11"/>
  <c r="A280" i="11"/>
  <c r="A292" i="11"/>
  <c r="C292" i="11"/>
  <c r="E292" i="11"/>
  <c r="F292" i="11"/>
  <c r="S292" i="11"/>
  <c r="T292" i="11"/>
  <c r="A293" i="11"/>
  <c r="C293" i="11"/>
  <c r="E293" i="11"/>
  <c r="F293" i="11"/>
  <c r="S293" i="11"/>
  <c r="T293" i="11"/>
  <c r="A294" i="11"/>
  <c r="C294" i="11"/>
  <c r="E294" i="11"/>
  <c r="F294" i="11"/>
  <c r="S294" i="11"/>
  <c r="T294" i="11"/>
  <c r="A295" i="11"/>
  <c r="C295" i="11"/>
  <c r="E295" i="11"/>
  <c r="F295" i="11"/>
  <c r="S295" i="11"/>
  <c r="T295" i="11"/>
  <c r="A296" i="11"/>
  <c r="C296" i="11"/>
  <c r="E296" i="11"/>
  <c r="F296" i="11"/>
  <c r="S296" i="11"/>
  <c r="T296" i="11"/>
  <c r="A297" i="11"/>
  <c r="C297" i="11"/>
  <c r="E297" i="11"/>
  <c r="F297" i="11"/>
  <c r="S297" i="11"/>
  <c r="T297" i="11"/>
  <c r="A298" i="11"/>
  <c r="C298" i="11"/>
  <c r="E298" i="11"/>
  <c r="F298" i="11"/>
  <c r="S298" i="11"/>
  <c r="T298" i="11"/>
  <c r="A299" i="11"/>
  <c r="C299" i="11"/>
  <c r="E299" i="11"/>
  <c r="F299" i="11"/>
  <c r="S299" i="11"/>
  <c r="T299" i="11"/>
  <c r="A300" i="11"/>
  <c r="C300" i="11"/>
  <c r="E300" i="11"/>
  <c r="F300" i="11"/>
  <c r="S300" i="11"/>
  <c r="T300" i="11"/>
  <c r="A301" i="11"/>
  <c r="C301" i="11"/>
  <c r="E301" i="11"/>
  <c r="F301" i="11"/>
  <c r="S301" i="11"/>
  <c r="T301" i="11"/>
  <c r="A302" i="11"/>
  <c r="C302" i="11"/>
  <c r="E302" i="11"/>
  <c r="F302" i="11"/>
  <c r="S302" i="11"/>
  <c r="T302" i="11"/>
  <c r="A303" i="11"/>
  <c r="C303" i="11"/>
  <c r="E303" i="11"/>
  <c r="F303" i="11"/>
  <c r="M303" i="11"/>
  <c r="L303" i="11" s="1"/>
  <c r="AD303" i="11" s="1"/>
  <c r="S303" i="11"/>
  <c r="U303" i="11" s="1"/>
  <c r="T303" i="11"/>
  <c r="Y303" i="11"/>
  <c r="X303" i="11" s="1"/>
  <c r="A305" i="11"/>
  <c r="C305" i="11"/>
  <c r="E305" i="11"/>
  <c r="F305" i="11"/>
  <c r="S305" i="11"/>
  <c r="T305" i="11"/>
  <c r="T265" i="11"/>
  <c r="S265" i="11"/>
  <c r="F265" i="11"/>
  <c r="E265" i="11"/>
  <c r="C265" i="11"/>
  <c r="A265" i="11"/>
  <c r="T252" i="11"/>
  <c r="S252" i="11"/>
  <c r="F252" i="11"/>
  <c r="E252" i="11"/>
  <c r="C252" i="11"/>
  <c r="A252" i="11"/>
  <c r="T264" i="11"/>
  <c r="S264" i="11"/>
  <c r="F264" i="11"/>
  <c r="E264" i="11"/>
  <c r="C264" i="11"/>
  <c r="A264" i="11"/>
  <c r="T263" i="11"/>
  <c r="S263" i="11"/>
  <c r="F263" i="11"/>
  <c r="E263" i="11"/>
  <c r="C263" i="11"/>
  <c r="A263" i="11"/>
  <c r="T262" i="11"/>
  <c r="S262" i="11"/>
  <c r="F262" i="11"/>
  <c r="E262" i="11"/>
  <c r="C262" i="11"/>
  <c r="A262" i="11"/>
  <c r="T261" i="11"/>
  <c r="S261" i="11"/>
  <c r="F261" i="11"/>
  <c r="E261" i="11"/>
  <c r="C261" i="11"/>
  <c r="A261" i="11"/>
  <c r="T260" i="11"/>
  <c r="S260" i="11"/>
  <c r="F260" i="11"/>
  <c r="E260" i="11"/>
  <c r="C260" i="11"/>
  <c r="A260" i="11"/>
  <c r="T259" i="11"/>
  <c r="S259" i="11"/>
  <c r="F259" i="11"/>
  <c r="E259" i="11"/>
  <c r="C259" i="11"/>
  <c r="A259" i="11"/>
  <c r="T258" i="11"/>
  <c r="S258" i="11"/>
  <c r="F258" i="11"/>
  <c r="E258" i="11"/>
  <c r="C258" i="11"/>
  <c r="A258" i="11"/>
  <c r="T257" i="11"/>
  <c r="S257" i="11"/>
  <c r="F257" i="11"/>
  <c r="E257" i="11"/>
  <c r="C257" i="11"/>
  <c r="A257" i="11"/>
  <c r="T256" i="11"/>
  <c r="S256" i="11"/>
  <c r="F256" i="11"/>
  <c r="E256" i="11"/>
  <c r="C256" i="11"/>
  <c r="A256" i="11"/>
  <c r="T255" i="11"/>
  <c r="S255" i="11"/>
  <c r="F255" i="11"/>
  <c r="E255" i="11"/>
  <c r="C255" i="11"/>
  <c r="A255" i="11"/>
  <c r="T254" i="11"/>
  <c r="S254" i="11"/>
  <c r="F254" i="11"/>
  <c r="E254" i="11"/>
  <c r="C254" i="11"/>
  <c r="A254" i="11"/>
  <c r="T239" i="11"/>
  <c r="S239" i="11"/>
  <c r="F239" i="11"/>
  <c r="E239" i="11"/>
  <c r="C239" i="11"/>
  <c r="A239" i="11"/>
  <c r="T238" i="11"/>
  <c r="S238" i="11"/>
  <c r="F238" i="11"/>
  <c r="E238" i="11"/>
  <c r="C238" i="11"/>
  <c r="A238" i="11"/>
  <c r="T237" i="11"/>
  <c r="S237" i="11"/>
  <c r="F237" i="11"/>
  <c r="E237" i="11"/>
  <c r="C237" i="11"/>
  <c r="A237" i="11"/>
  <c r="T236" i="11"/>
  <c r="S236" i="11"/>
  <c r="F236" i="11"/>
  <c r="E236" i="11"/>
  <c r="C236" i="11"/>
  <c r="A236" i="11"/>
  <c r="T235" i="11"/>
  <c r="S235" i="11"/>
  <c r="F235" i="11"/>
  <c r="E235" i="11"/>
  <c r="C235" i="11"/>
  <c r="A235" i="11"/>
  <c r="T234" i="11"/>
  <c r="S234" i="11"/>
  <c r="F234" i="11"/>
  <c r="E234" i="11"/>
  <c r="C234" i="11"/>
  <c r="A234" i="11"/>
  <c r="T233" i="11"/>
  <c r="S233" i="11"/>
  <c r="F233" i="11"/>
  <c r="E233" i="11"/>
  <c r="C233" i="11"/>
  <c r="A233" i="11"/>
  <c r="T232" i="11"/>
  <c r="S232" i="11"/>
  <c r="F232" i="11"/>
  <c r="E232" i="11"/>
  <c r="C232" i="11"/>
  <c r="A232" i="11"/>
  <c r="T231" i="11"/>
  <c r="S231" i="11"/>
  <c r="F231" i="11"/>
  <c r="E231" i="11"/>
  <c r="C231" i="11"/>
  <c r="A231" i="11"/>
  <c r="T230" i="11"/>
  <c r="S230" i="11"/>
  <c r="F230" i="11"/>
  <c r="E230" i="11"/>
  <c r="C230" i="11"/>
  <c r="A230" i="11"/>
  <c r="T229" i="11"/>
  <c r="S229" i="11"/>
  <c r="F229" i="11"/>
  <c r="E229" i="11"/>
  <c r="C229" i="11"/>
  <c r="A229" i="11"/>
  <c r="T228" i="11"/>
  <c r="S228" i="11"/>
  <c r="F228" i="11"/>
  <c r="E228" i="11"/>
  <c r="C228" i="11"/>
  <c r="A228" i="11"/>
  <c r="T227" i="11"/>
  <c r="S227" i="11"/>
  <c r="F227" i="11"/>
  <c r="E227" i="11"/>
  <c r="C227" i="11"/>
  <c r="A227" i="11"/>
  <c r="T213" i="11"/>
  <c r="S213" i="11"/>
  <c r="F213" i="11"/>
  <c r="E213" i="11"/>
  <c r="C213" i="11"/>
  <c r="A213" i="11"/>
  <c r="T200" i="11"/>
  <c r="S200" i="11"/>
  <c r="F200" i="11"/>
  <c r="E200" i="11"/>
  <c r="C200" i="11"/>
  <c r="A200" i="11"/>
  <c r="T212" i="11"/>
  <c r="S212" i="11"/>
  <c r="F212" i="11"/>
  <c r="E212" i="11"/>
  <c r="C212" i="11"/>
  <c r="A212" i="11"/>
  <c r="T211" i="11"/>
  <c r="S211" i="11"/>
  <c r="F211" i="11"/>
  <c r="E211" i="11"/>
  <c r="C211" i="11"/>
  <c r="A211" i="11"/>
  <c r="T210" i="11"/>
  <c r="S210" i="11"/>
  <c r="F210" i="11"/>
  <c r="E210" i="11"/>
  <c r="C210" i="11"/>
  <c r="A210" i="11"/>
  <c r="T209" i="11"/>
  <c r="S209" i="11"/>
  <c r="F209" i="11"/>
  <c r="E209" i="11"/>
  <c r="C209" i="11"/>
  <c r="A209" i="11"/>
  <c r="T208" i="11"/>
  <c r="S208" i="11"/>
  <c r="F208" i="11"/>
  <c r="E208" i="11"/>
  <c r="C208" i="11"/>
  <c r="A208" i="11"/>
  <c r="T207" i="11"/>
  <c r="S207" i="11"/>
  <c r="F207" i="11"/>
  <c r="E207" i="11"/>
  <c r="C207" i="11"/>
  <c r="A207" i="11"/>
  <c r="T206" i="11"/>
  <c r="S206" i="11"/>
  <c r="F206" i="11"/>
  <c r="E206" i="11"/>
  <c r="C206" i="11"/>
  <c r="A206" i="11"/>
  <c r="T205" i="11"/>
  <c r="S205" i="11"/>
  <c r="F205" i="11"/>
  <c r="E205" i="11"/>
  <c r="C205" i="11"/>
  <c r="A205" i="11"/>
  <c r="T204" i="11"/>
  <c r="S204" i="11"/>
  <c r="F204" i="11"/>
  <c r="E204" i="11"/>
  <c r="C204" i="11"/>
  <c r="A204" i="11"/>
  <c r="T203" i="11"/>
  <c r="S203" i="11"/>
  <c r="F203" i="11"/>
  <c r="E203" i="11"/>
  <c r="C203" i="11"/>
  <c r="A203" i="11"/>
  <c r="T202" i="11"/>
  <c r="S202" i="11"/>
  <c r="F202" i="11"/>
  <c r="E202" i="11"/>
  <c r="C202" i="11"/>
  <c r="A202" i="11"/>
  <c r="T174" i="11"/>
  <c r="S174" i="11"/>
  <c r="F174" i="11"/>
  <c r="E174" i="11"/>
  <c r="C174" i="11"/>
  <c r="A174" i="11"/>
  <c r="T186" i="11"/>
  <c r="S186" i="11"/>
  <c r="F186" i="11"/>
  <c r="E186" i="11"/>
  <c r="C186" i="11"/>
  <c r="A186" i="11"/>
  <c r="T185" i="11"/>
  <c r="S185" i="11"/>
  <c r="F185" i="11"/>
  <c r="E185" i="11"/>
  <c r="C185" i="11"/>
  <c r="A185" i="11"/>
  <c r="T184" i="11"/>
  <c r="S184" i="11"/>
  <c r="F184" i="11"/>
  <c r="E184" i="11"/>
  <c r="C184" i="11"/>
  <c r="A184" i="11"/>
  <c r="T183" i="11"/>
  <c r="S183" i="11"/>
  <c r="F183" i="11"/>
  <c r="E183" i="11"/>
  <c r="C183" i="11"/>
  <c r="A183" i="11"/>
  <c r="T182" i="11"/>
  <c r="S182" i="11"/>
  <c r="F182" i="11"/>
  <c r="E182" i="11"/>
  <c r="C182" i="11"/>
  <c r="A182" i="11"/>
  <c r="T181" i="11"/>
  <c r="S181" i="11"/>
  <c r="F181" i="11"/>
  <c r="E181" i="11"/>
  <c r="C181" i="11"/>
  <c r="A181" i="11"/>
  <c r="T180" i="11"/>
  <c r="S180" i="11"/>
  <c r="F180" i="11"/>
  <c r="E180" i="11"/>
  <c r="C180" i="11"/>
  <c r="A180" i="11"/>
  <c r="T179" i="11"/>
  <c r="S179" i="11"/>
  <c r="F179" i="11"/>
  <c r="E179" i="11"/>
  <c r="C179" i="11"/>
  <c r="A179" i="11"/>
  <c r="T178" i="11"/>
  <c r="S178" i="11"/>
  <c r="F178" i="11"/>
  <c r="E178" i="11"/>
  <c r="C178" i="11"/>
  <c r="A178" i="11"/>
  <c r="T177" i="11"/>
  <c r="S177" i="11"/>
  <c r="F177" i="11"/>
  <c r="E177" i="11"/>
  <c r="C177" i="11"/>
  <c r="A177" i="11"/>
  <c r="T176" i="11"/>
  <c r="S176" i="11"/>
  <c r="F176" i="11"/>
  <c r="E176" i="11"/>
  <c r="C176" i="11"/>
  <c r="A176" i="11"/>
  <c r="T187" i="11"/>
  <c r="S187" i="11"/>
  <c r="F187" i="11"/>
  <c r="E187" i="11"/>
  <c r="C187" i="11"/>
  <c r="A187" i="11"/>
  <c r="T148" i="11"/>
  <c r="S148" i="11"/>
  <c r="F148" i="11"/>
  <c r="E148" i="11"/>
  <c r="C148" i="11"/>
  <c r="A148" i="11"/>
  <c r="T160" i="11"/>
  <c r="S160" i="11"/>
  <c r="F160" i="11"/>
  <c r="E160" i="11"/>
  <c r="C160" i="11"/>
  <c r="A160" i="11"/>
  <c r="T159" i="11"/>
  <c r="S159" i="11"/>
  <c r="F159" i="11"/>
  <c r="E159" i="11"/>
  <c r="C159" i="11"/>
  <c r="A159" i="11"/>
  <c r="T158" i="11"/>
  <c r="S158" i="11"/>
  <c r="F158" i="11"/>
  <c r="E158" i="11"/>
  <c r="C158" i="11"/>
  <c r="A158" i="11"/>
  <c r="T157" i="11"/>
  <c r="S157" i="11"/>
  <c r="F157" i="11"/>
  <c r="E157" i="11"/>
  <c r="C157" i="11"/>
  <c r="A157" i="11"/>
  <c r="T156" i="11"/>
  <c r="S156" i="11"/>
  <c r="F156" i="11"/>
  <c r="E156" i="11"/>
  <c r="C156" i="11"/>
  <c r="A156" i="11"/>
  <c r="T155" i="11"/>
  <c r="S155" i="11"/>
  <c r="F155" i="11"/>
  <c r="E155" i="11"/>
  <c r="C155" i="11"/>
  <c r="A155" i="11"/>
  <c r="T154" i="11"/>
  <c r="S154" i="11"/>
  <c r="F154" i="11"/>
  <c r="E154" i="11"/>
  <c r="C154" i="11"/>
  <c r="A154" i="11"/>
  <c r="T153" i="11"/>
  <c r="S153" i="11"/>
  <c r="F153" i="11"/>
  <c r="E153" i="11"/>
  <c r="C153" i="11"/>
  <c r="A153" i="11"/>
  <c r="T152" i="11"/>
  <c r="S152" i="11"/>
  <c r="F152" i="11"/>
  <c r="E152" i="11"/>
  <c r="C152" i="11"/>
  <c r="A152" i="11"/>
  <c r="T151" i="11"/>
  <c r="S151" i="11"/>
  <c r="F151" i="11"/>
  <c r="E151" i="11"/>
  <c r="C151" i="11"/>
  <c r="A151" i="11"/>
  <c r="T150" i="11"/>
  <c r="S150" i="11"/>
  <c r="F150" i="11"/>
  <c r="E150" i="11"/>
  <c r="C150" i="11"/>
  <c r="A150" i="11"/>
  <c r="T161" i="11"/>
  <c r="S161" i="11"/>
  <c r="F161" i="11"/>
  <c r="E161" i="11"/>
  <c r="C161" i="11"/>
  <c r="A161" i="11"/>
  <c r="T122" i="11"/>
  <c r="S122" i="11"/>
  <c r="F122" i="11"/>
  <c r="E122" i="11"/>
  <c r="C122" i="11"/>
  <c r="A122" i="11"/>
  <c r="T134" i="11"/>
  <c r="S134" i="11"/>
  <c r="F134" i="11"/>
  <c r="E134" i="11"/>
  <c r="C134" i="11"/>
  <c r="A134" i="11"/>
  <c r="T133" i="11"/>
  <c r="S133" i="11"/>
  <c r="F133" i="11"/>
  <c r="E133" i="11"/>
  <c r="C133" i="11"/>
  <c r="A133" i="11"/>
  <c r="T132" i="11"/>
  <c r="S132" i="11"/>
  <c r="F132" i="11"/>
  <c r="E132" i="11"/>
  <c r="C132" i="11"/>
  <c r="A132" i="11"/>
  <c r="T131" i="11"/>
  <c r="S131" i="11"/>
  <c r="F131" i="11"/>
  <c r="E131" i="11"/>
  <c r="C131" i="11"/>
  <c r="A131" i="11"/>
  <c r="T130" i="11"/>
  <c r="S130" i="11"/>
  <c r="F130" i="11"/>
  <c r="E130" i="11"/>
  <c r="C130" i="11"/>
  <c r="A130" i="11"/>
  <c r="T129" i="11"/>
  <c r="S129" i="11"/>
  <c r="F129" i="11"/>
  <c r="E129" i="11"/>
  <c r="C129" i="11"/>
  <c r="A129" i="11"/>
  <c r="T128" i="11"/>
  <c r="S128" i="11"/>
  <c r="F128" i="11"/>
  <c r="E128" i="11"/>
  <c r="C128" i="11"/>
  <c r="A128" i="11"/>
  <c r="T127" i="11"/>
  <c r="S127" i="11"/>
  <c r="F127" i="11"/>
  <c r="E127" i="11"/>
  <c r="C127" i="11"/>
  <c r="A127" i="11"/>
  <c r="T126" i="11"/>
  <c r="S126" i="11"/>
  <c r="F126" i="11"/>
  <c r="E126" i="11"/>
  <c r="C126" i="11"/>
  <c r="A126" i="11"/>
  <c r="T125" i="11"/>
  <c r="S125" i="11"/>
  <c r="F125" i="11"/>
  <c r="E125" i="11"/>
  <c r="C125" i="11"/>
  <c r="A125" i="11"/>
  <c r="T124" i="11"/>
  <c r="S124" i="11"/>
  <c r="F124" i="11"/>
  <c r="E124" i="11"/>
  <c r="C124" i="11"/>
  <c r="A124" i="11"/>
  <c r="T135" i="11"/>
  <c r="S135" i="11"/>
  <c r="F135" i="11"/>
  <c r="E135" i="11"/>
  <c r="C135" i="11"/>
  <c r="A135" i="11"/>
  <c r="T108" i="11"/>
  <c r="S108" i="11"/>
  <c r="F108" i="11"/>
  <c r="E108" i="11"/>
  <c r="C108" i="11"/>
  <c r="A108" i="11"/>
  <c r="T107" i="11"/>
  <c r="S107" i="11"/>
  <c r="F107" i="11"/>
  <c r="E107" i="11"/>
  <c r="C107" i="11"/>
  <c r="A107" i="11"/>
  <c r="T106" i="11"/>
  <c r="S106" i="11"/>
  <c r="F106" i="11"/>
  <c r="E106" i="11"/>
  <c r="C106" i="11"/>
  <c r="A106" i="11"/>
  <c r="T105" i="11"/>
  <c r="S105" i="11"/>
  <c r="F105" i="11"/>
  <c r="E105" i="11"/>
  <c r="C105" i="11"/>
  <c r="A105" i="11"/>
  <c r="T104" i="11"/>
  <c r="S104" i="11"/>
  <c r="F104" i="11"/>
  <c r="E104" i="11"/>
  <c r="C104" i="11"/>
  <c r="A104" i="11"/>
  <c r="T103" i="11"/>
  <c r="S103" i="11"/>
  <c r="F103" i="11"/>
  <c r="E103" i="11"/>
  <c r="C103" i="11"/>
  <c r="A103" i="11"/>
  <c r="T102" i="11"/>
  <c r="S102" i="11"/>
  <c r="F102" i="11"/>
  <c r="E102" i="11"/>
  <c r="C102" i="11"/>
  <c r="A102" i="11"/>
  <c r="T101" i="11"/>
  <c r="S101" i="11"/>
  <c r="F101" i="11"/>
  <c r="E101" i="11"/>
  <c r="C101" i="11"/>
  <c r="A101" i="11"/>
  <c r="T100" i="11"/>
  <c r="S100" i="11"/>
  <c r="F100" i="11"/>
  <c r="E100" i="11"/>
  <c r="C100" i="11"/>
  <c r="A100" i="11"/>
  <c r="T99" i="11"/>
  <c r="S99" i="11"/>
  <c r="F99" i="11"/>
  <c r="E99" i="11"/>
  <c r="C99" i="11"/>
  <c r="A99" i="11"/>
  <c r="T98" i="11"/>
  <c r="S98" i="11"/>
  <c r="F98" i="11"/>
  <c r="E98" i="11"/>
  <c r="C98" i="11"/>
  <c r="A98" i="11"/>
  <c r="T109" i="11"/>
  <c r="S109" i="11"/>
  <c r="F109" i="11"/>
  <c r="E109" i="11"/>
  <c r="C109" i="11"/>
  <c r="A109" i="11"/>
  <c r="T96" i="11"/>
  <c r="S96" i="11"/>
  <c r="F96" i="11"/>
  <c r="E96" i="11"/>
  <c r="C96" i="11"/>
  <c r="A96" i="11"/>
  <c r="A97" i="11"/>
  <c r="C97" i="11"/>
  <c r="E97" i="11"/>
  <c r="F97" i="11"/>
  <c r="S97" i="11"/>
  <c r="T97" i="11"/>
  <c r="A110" i="11"/>
  <c r="C110" i="11"/>
  <c r="E110" i="11"/>
  <c r="F110" i="11"/>
  <c r="S110" i="11"/>
  <c r="T110" i="11"/>
  <c r="A111" i="11"/>
  <c r="C111" i="11"/>
  <c r="E111" i="11"/>
  <c r="F111" i="11"/>
  <c r="S111" i="11"/>
  <c r="T111" i="11"/>
  <c r="T457" i="11"/>
  <c r="S457" i="11"/>
  <c r="F457" i="11"/>
  <c r="E457" i="11"/>
  <c r="C457" i="11"/>
  <c r="A457" i="11"/>
  <c r="T469" i="11"/>
  <c r="S469" i="11"/>
  <c r="F469" i="11"/>
  <c r="E469" i="11"/>
  <c r="C469" i="11"/>
  <c r="A469" i="11"/>
  <c r="T468" i="11"/>
  <c r="S468" i="11"/>
  <c r="F468" i="11"/>
  <c r="E468" i="11"/>
  <c r="C468" i="11"/>
  <c r="A468" i="11"/>
  <c r="T467" i="11"/>
  <c r="S467" i="11"/>
  <c r="F467" i="11"/>
  <c r="E467" i="11"/>
  <c r="C467" i="11"/>
  <c r="A467" i="11"/>
  <c r="T466" i="11"/>
  <c r="S466" i="11"/>
  <c r="F466" i="11"/>
  <c r="E466" i="11"/>
  <c r="C466" i="11"/>
  <c r="A466" i="11"/>
  <c r="T465" i="11"/>
  <c r="S465" i="11"/>
  <c r="F465" i="11"/>
  <c r="E465" i="11"/>
  <c r="C465" i="11"/>
  <c r="A465" i="11"/>
  <c r="T464" i="11"/>
  <c r="S464" i="11"/>
  <c r="F464" i="11"/>
  <c r="E464" i="11"/>
  <c r="C464" i="11"/>
  <c r="A464" i="11"/>
  <c r="T463" i="11"/>
  <c r="S463" i="11"/>
  <c r="F463" i="11"/>
  <c r="E463" i="11"/>
  <c r="C463" i="11"/>
  <c r="A463" i="11"/>
  <c r="T462" i="11"/>
  <c r="S462" i="11"/>
  <c r="F462" i="11"/>
  <c r="E462" i="11"/>
  <c r="C462" i="11"/>
  <c r="A462" i="11"/>
  <c r="T461" i="11"/>
  <c r="S461" i="11"/>
  <c r="F461" i="11"/>
  <c r="E461" i="11"/>
  <c r="C461" i="11"/>
  <c r="A461" i="11"/>
  <c r="T460" i="11"/>
  <c r="S460" i="11"/>
  <c r="F460" i="11"/>
  <c r="E460" i="11"/>
  <c r="C460" i="11"/>
  <c r="A460" i="11"/>
  <c r="T459" i="11"/>
  <c r="S459" i="11"/>
  <c r="F459" i="11"/>
  <c r="E459" i="11"/>
  <c r="C459" i="11"/>
  <c r="A459" i="11"/>
  <c r="T470" i="11"/>
  <c r="S470" i="11"/>
  <c r="F470" i="11"/>
  <c r="E470" i="11"/>
  <c r="C470" i="11"/>
  <c r="A470" i="11"/>
  <c r="Q575" i="11"/>
  <c r="R575" i="11" s="1"/>
  <c r="W575" i="11" s="1"/>
  <c r="X575" i="11"/>
  <c r="T575" i="11"/>
  <c r="S575" i="11"/>
  <c r="M575" i="11"/>
  <c r="L575" i="11"/>
  <c r="AD575" i="11" s="1"/>
  <c r="F575" i="11"/>
  <c r="E575" i="11"/>
  <c r="C575" i="11"/>
  <c r="A575" i="11"/>
  <c r="M746" i="11"/>
  <c r="L746" i="11" s="1"/>
  <c r="M772" i="11"/>
  <c r="M798" i="11"/>
  <c r="L798" i="11" s="1"/>
  <c r="M824" i="11"/>
  <c r="L824" i="11" s="1"/>
  <c r="C750" i="11"/>
  <c r="E750" i="11"/>
  <c r="F750" i="11"/>
  <c r="S750" i="11"/>
  <c r="T750" i="11"/>
  <c r="C751" i="11"/>
  <c r="E751" i="11"/>
  <c r="F751" i="11"/>
  <c r="S751" i="11"/>
  <c r="T751" i="11"/>
  <c r="C752" i="11"/>
  <c r="E752" i="11"/>
  <c r="F752" i="11"/>
  <c r="S752" i="11"/>
  <c r="T752" i="11"/>
  <c r="C753" i="11"/>
  <c r="E753" i="11"/>
  <c r="F753" i="11"/>
  <c r="S753" i="11"/>
  <c r="T753" i="11"/>
  <c r="C754" i="11"/>
  <c r="E754" i="11"/>
  <c r="F754" i="11"/>
  <c r="S754" i="11"/>
  <c r="T754" i="11"/>
  <c r="C755" i="11"/>
  <c r="E755" i="11"/>
  <c r="F755" i="11"/>
  <c r="S755" i="11"/>
  <c r="T755" i="11"/>
  <c r="C756" i="11"/>
  <c r="E756" i="11"/>
  <c r="F756" i="11"/>
  <c r="S756" i="11"/>
  <c r="T756" i="11"/>
  <c r="C757" i="11"/>
  <c r="E757" i="11"/>
  <c r="F757" i="11"/>
  <c r="S757" i="11"/>
  <c r="T757" i="11"/>
  <c r="C758" i="11"/>
  <c r="E758" i="11"/>
  <c r="F758" i="11"/>
  <c r="S758" i="11"/>
  <c r="T758" i="11"/>
  <c r="C759" i="11"/>
  <c r="E759" i="11"/>
  <c r="F759" i="11"/>
  <c r="S759" i="11"/>
  <c r="T759" i="11"/>
  <c r="C760" i="11"/>
  <c r="E760" i="11"/>
  <c r="F760" i="11"/>
  <c r="S760" i="11"/>
  <c r="T760" i="11"/>
  <c r="C761" i="11"/>
  <c r="E761" i="11"/>
  <c r="F761" i="11"/>
  <c r="S761" i="11"/>
  <c r="T761" i="11"/>
  <c r="C762" i="11"/>
  <c r="E762" i="11"/>
  <c r="F762" i="11"/>
  <c r="S762" i="11"/>
  <c r="T762" i="11"/>
  <c r="C763" i="11"/>
  <c r="E763" i="11"/>
  <c r="F763" i="11"/>
  <c r="S763" i="11"/>
  <c r="T763" i="11"/>
  <c r="C764" i="11"/>
  <c r="E764" i="11"/>
  <c r="F764" i="11"/>
  <c r="S764" i="11"/>
  <c r="T764" i="11"/>
  <c r="C765" i="11"/>
  <c r="E765" i="11"/>
  <c r="F765" i="11"/>
  <c r="S765" i="11"/>
  <c r="T765" i="11"/>
  <c r="C766" i="11"/>
  <c r="E766" i="11"/>
  <c r="F766" i="11"/>
  <c r="S766" i="11"/>
  <c r="T766" i="11"/>
  <c r="C767" i="11"/>
  <c r="E767" i="11"/>
  <c r="F767" i="11"/>
  <c r="S767" i="11"/>
  <c r="T767" i="11"/>
  <c r="C768" i="11"/>
  <c r="E768" i="11"/>
  <c r="F768" i="11"/>
  <c r="S768" i="11"/>
  <c r="T768" i="11"/>
  <c r="C769" i="11"/>
  <c r="E769" i="11"/>
  <c r="F769" i="11"/>
  <c r="S769" i="11"/>
  <c r="T769" i="11"/>
  <c r="C770" i="11"/>
  <c r="E770" i="11"/>
  <c r="F770" i="11"/>
  <c r="S770" i="11"/>
  <c r="T770" i="11"/>
  <c r="C771" i="11"/>
  <c r="E771" i="11"/>
  <c r="F771" i="11"/>
  <c r="S771" i="11"/>
  <c r="T771" i="11"/>
  <c r="C746" i="11"/>
  <c r="E746" i="11"/>
  <c r="F746" i="11"/>
  <c r="S746" i="11"/>
  <c r="T746" i="11"/>
  <c r="C747" i="11"/>
  <c r="E747" i="11"/>
  <c r="F747" i="11"/>
  <c r="S747" i="11"/>
  <c r="T747" i="11"/>
  <c r="C774" i="11"/>
  <c r="E774" i="11"/>
  <c r="F774" i="11"/>
  <c r="S774" i="11"/>
  <c r="T774" i="11"/>
  <c r="C775" i="11"/>
  <c r="E775" i="11"/>
  <c r="F775" i="11"/>
  <c r="S775" i="11"/>
  <c r="T775" i="11"/>
  <c r="C776" i="11"/>
  <c r="E776" i="11"/>
  <c r="F776" i="11"/>
  <c r="S776" i="11"/>
  <c r="T776" i="11"/>
  <c r="C777" i="11"/>
  <c r="E777" i="11"/>
  <c r="F777" i="11"/>
  <c r="S777" i="11"/>
  <c r="T777" i="11"/>
  <c r="C778" i="11"/>
  <c r="E778" i="11"/>
  <c r="F778" i="11"/>
  <c r="Q652" i="10" s="1"/>
  <c r="S778" i="11"/>
  <c r="T778" i="11"/>
  <c r="C779" i="11"/>
  <c r="E779" i="11"/>
  <c r="F779" i="11"/>
  <c r="S779" i="11"/>
  <c r="T779" i="11"/>
  <c r="C780" i="11"/>
  <c r="E780" i="11"/>
  <c r="F780" i="11"/>
  <c r="S780" i="11"/>
  <c r="T780" i="11"/>
  <c r="C781" i="11"/>
  <c r="E781" i="11"/>
  <c r="F781" i="11"/>
  <c r="S781" i="11"/>
  <c r="T781" i="11"/>
  <c r="C782" i="11"/>
  <c r="E782" i="11"/>
  <c r="F782" i="11"/>
  <c r="S782" i="11"/>
  <c r="T782" i="11"/>
  <c r="C783" i="11"/>
  <c r="E783" i="11"/>
  <c r="F783" i="11"/>
  <c r="S783" i="11"/>
  <c r="T783" i="11"/>
  <c r="C784" i="11"/>
  <c r="E784" i="11"/>
  <c r="F784" i="11"/>
  <c r="S784" i="11"/>
  <c r="T784" i="11"/>
  <c r="C785" i="11"/>
  <c r="E785" i="11"/>
  <c r="F785" i="11"/>
  <c r="S785" i="11"/>
  <c r="T785" i="11"/>
  <c r="C786" i="11"/>
  <c r="E786" i="11"/>
  <c r="F786" i="11"/>
  <c r="S786" i="11"/>
  <c r="T786" i="11"/>
  <c r="C787" i="11"/>
  <c r="E787" i="11"/>
  <c r="F787" i="11"/>
  <c r="S787" i="11"/>
  <c r="T787" i="11"/>
  <c r="C788" i="11"/>
  <c r="E788" i="11"/>
  <c r="F788" i="11"/>
  <c r="S788" i="11"/>
  <c r="T788" i="11"/>
  <c r="C789" i="11"/>
  <c r="E789" i="11"/>
  <c r="F789" i="11"/>
  <c r="S789" i="11"/>
  <c r="T789" i="11"/>
  <c r="C790" i="11"/>
  <c r="E790" i="11"/>
  <c r="F790" i="11"/>
  <c r="S790" i="11"/>
  <c r="T790" i="11"/>
  <c r="C791" i="11"/>
  <c r="E791" i="11"/>
  <c r="F791" i="11"/>
  <c r="S791" i="11"/>
  <c r="T791" i="11"/>
  <c r="C792" i="11"/>
  <c r="E792" i="11"/>
  <c r="F792" i="11"/>
  <c r="S792" i="11"/>
  <c r="T792" i="11"/>
  <c r="C793" i="11"/>
  <c r="E793" i="11"/>
  <c r="F793" i="11"/>
  <c r="S793" i="11"/>
  <c r="T793" i="11"/>
  <c r="C794" i="11"/>
  <c r="E794" i="11"/>
  <c r="F794" i="11"/>
  <c r="S794" i="11"/>
  <c r="T794" i="11"/>
  <c r="C795" i="11"/>
  <c r="E795" i="11"/>
  <c r="F795" i="11"/>
  <c r="S795" i="11"/>
  <c r="T795" i="11"/>
  <c r="C796" i="11"/>
  <c r="E796" i="11"/>
  <c r="F796" i="11"/>
  <c r="S796" i="11"/>
  <c r="T796" i="11"/>
  <c r="C797" i="11"/>
  <c r="E797" i="11"/>
  <c r="F797" i="11"/>
  <c r="S797" i="11"/>
  <c r="T797" i="11"/>
  <c r="C772" i="11"/>
  <c r="E772" i="11"/>
  <c r="F772" i="11"/>
  <c r="S772" i="11"/>
  <c r="T772" i="11"/>
  <c r="C773" i="11"/>
  <c r="E773" i="11"/>
  <c r="F773" i="11"/>
  <c r="S773" i="11"/>
  <c r="T773" i="11"/>
  <c r="C800" i="11"/>
  <c r="E800" i="11"/>
  <c r="F800" i="11"/>
  <c r="S800" i="11"/>
  <c r="T800" i="11"/>
  <c r="C801" i="11"/>
  <c r="E801" i="11"/>
  <c r="F801" i="11"/>
  <c r="S801" i="11"/>
  <c r="T801" i="11"/>
  <c r="C802" i="11"/>
  <c r="E802" i="11"/>
  <c r="F802" i="11"/>
  <c r="S802" i="11"/>
  <c r="T802" i="11"/>
  <c r="C803" i="11"/>
  <c r="E803" i="11"/>
  <c r="F803" i="11"/>
  <c r="S803" i="11"/>
  <c r="T803" i="11"/>
  <c r="C804" i="11"/>
  <c r="E804" i="11"/>
  <c r="F804" i="11"/>
  <c r="S804" i="11"/>
  <c r="T804" i="11"/>
  <c r="C805" i="11"/>
  <c r="E805" i="11"/>
  <c r="F805" i="11"/>
  <c r="S805" i="11"/>
  <c r="T805" i="11"/>
  <c r="C806" i="11"/>
  <c r="E806" i="11"/>
  <c r="F806" i="11"/>
  <c r="S806" i="11"/>
  <c r="T806" i="11"/>
  <c r="C807" i="11"/>
  <c r="E807" i="11"/>
  <c r="F807" i="11"/>
  <c r="S807" i="11"/>
  <c r="T807" i="11"/>
  <c r="C808" i="11"/>
  <c r="E808" i="11"/>
  <c r="F808" i="11"/>
  <c r="S808" i="11"/>
  <c r="T808" i="11"/>
  <c r="C809" i="11"/>
  <c r="E809" i="11"/>
  <c r="F809" i="11"/>
  <c r="S809" i="11"/>
  <c r="T809" i="11"/>
  <c r="C810" i="11"/>
  <c r="E810" i="11"/>
  <c r="F810" i="11"/>
  <c r="S810" i="11"/>
  <c r="T810" i="11"/>
  <c r="C811" i="11"/>
  <c r="E811" i="11"/>
  <c r="F811" i="11"/>
  <c r="S811" i="11"/>
  <c r="T811" i="11"/>
  <c r="C812" i="11"/>
  <c r="E812" i="11"/>
  <c r="F812" i="11"/>
  <c r="S812" i="11"/>
  <c r="T812" i="11"/>
  <c r="C813" i="11"/>
  <c r="E813" i="11"/>
  <c r="F813" i="11"/>
  <c r="S813" i="11"/>
  <c r="T813" i="11"/>
  <c r="C814" i="11"/>
  <c r="E814" i="11"/>
  <c r="F814" i="11"/>
  <c r="S814" i="11"/>
  <c r="T814" i="11"/>
  <c r="C815" i="11"/>
  <c r="E815" i="11"/>
  <c r="F815" i="11"/>
  <c r="S815" i="11"/>
  <c r="T815" i="11"/>
  <c r="C816" i="11"/>
  <c r="E816" i="11"/>
  <c r="F816" i="11"/>
  <c r="S816" i="11"/>
  <c r="T816" i="11"/>
  <c r="C817" i="11"/>
  <c r="E817" i="11"/>
  <c r="F817" i="11"/>
  <c r="S817" i="11"/>
  <c r="T817" i="11"/>
  <c r="C818" i="11"/>
  <c r="E818" i="11"/>
  <c r="F818" i="11"/>
  <c r="S818" i="11"/>
  <c r="T818" i="11"/>
  <c r="C819" i="11"/>
  <c r="E819" i="11"/>
  <c r="F819" i="11"/>
  <c r="S819" i="11"/>
  <c r="T819" i="11"/>
  <c r="C820" i="11"/>
  <c r="E820" i="11"/>
  <c r="F820" i="11"/>
  <c r="S820" i="11"/>
  <c r="T820" i="11"/>
  <c r="C821" i="11"/>
  <c r="E821" i="11"/>
  <c r="F821" i="11"/>
  <c r="S821" i="11"/>
  <c r="T821" i="11"/>
  <c r="C822" i="11"/>
  <c r="E822" i="11"/>
  <c r="F822" i="11"/>
  <c r="S822" i="11"/>
  <c r="T822" i="11"/>
  <c r="C823" i="11"/>
  <c r="E823" i="11"/>
  <c r="F823" i="11"/>
  <c r="S823" i="11"/>
  <c r="T823" i="11"/>
  <c r="C798" i="11"/>
  <c r="E798" i="11"/>
  <c r="F798" i="11"/>
  <c r="S798" i="11"/>
  <c r="U798" i="11" s="1"/>
  <c r="T798" i="11"/>
  <c r="C799" i="11"/>
  <c r="E799" i="11"/>
  <c r="F799" i="11"/>
  <c r="S799" i="11"/>
  <c r="T799" i="11"/>
  <c r="C826" i="11"/>
  <c r="E826" i="11"/>
  <c r="F826" i="11"/>
  <c r="S826" i="11"/>
  <c r="T826" i="11"/>
  <c r="C827" i="11"/>
  <c r="E827" i="11"/>
  <c r="F827" i="11"/>
  <c r="S827" i="11"/>
  <c r="T827" i="11"/>
  <c r="C828" i="11"/>
  <c r="E828" i="11"/>
  <c r="F828" i="11"/>
  <c r="S828" i="11"/>
  <c r="T828" i="11"/>
  <c r="C829" i="11"/>
  <c r="E829" i="11"/>
  <c r="F829" i="11"/>
  <c r="S829" i="11"/>
  <c r="T829" i="11"/>
  <c r="C830" i="11"/>
  <c r="E830" i="11"/>
  <c r="F830" i="11"/>
  <c r="S830" i="11"/>
  <c r="T830" i="11"/>
  <c r="C831" i="11"/>
  <c r="E831" i="11"/>
  <c r="F831" i="11"/>
  <c r="S831" i="11"/>
  <c r="T831" i="11"/>
  <c r="C832" i="11"/>
  <c r="E832" i="11"/>
  <c r="F832" i="11"/>
  <c r="S832" i="11"/>
  <c r="T832" i="11"/>
  <c r="C833" i="11"/>
  <c r="E833" i="11"/>
  <c r="F833" i="11"/>
  <c r="S833" i="11"/>
  <c r="T833" i="11"/>
  <c r="C834" i="11"/>
  <c r="E834" i="11"/>
  <c r="F834" i="11"/>
  <c r="S834" i="11"/>
  <c r="T834" i="11"/>
  <c r="C835" i="11"/>
  <c r="E835" i="11"/>
  <c r="F835" i="11"/>
  <c r="S835" i="11"/>
  <c r="T835" i="11"/>
  <c r="C836" i="11"/>
  <c r="E836" i="11"/>
  <c r="F836" i="11"/>
  <c r="S836" i="11"/>
  <c r="T836" i="11"/>
  <c r="C837" i="11"/>
  <c r="E837" i="11"/>
  <c r="F837" i="11"/>
  <c r="S837" i="11"/>
  <c r="T837" i="11"/>
  <c r="C838" i="11"/>
  <c r="E838" i="11"/>
  <c r="F838" i="11"/>
  <c r="S838" i="11"/>
  <c r="T838" i="11"/>
  <c r="C839" i="11"/>
  <c r="E839" i="11"/>
  <c r="F839" i="11"/>
  <c r="S839" i="11"/>
  <c r="T839" i="11"/>
  <c r="C840" i="11"/>
  <c r="E840" i="11"/>
  <c r="F840" i="11"/>
  <c r="S840" i="11"/>
  <c r="T840" i="11"/>
  <c r="C841" i="11"/>
  <c r="E841" i="11"/>
  <c r="F841" i="11"/>
  <c r="S841" i="11"/>
  <c r="T841" i="11"/>
  <c r="C842" i="11"/>
  <c r="E842" i="11"/>
  <c r="F842" i="11"/>
  <c r="S842" i="11"/>
  <c r="T842" i="11"/>
  <c r="C843" i="11"/>
  <c r="E843" i="11"/>
  <c r="F843" i="11"/>
  <c r="S843" i="11"/>
  <c r="T843" i="11"/>
  <c r="C844" i="11"/>
  <c r="E844" i="11"/>
  <c r="F844" i="11"/>
  <c r="S844" i="11"/>
  <c r="T844" i="11"/>
  <c r="C845" i="11"/>
  <c r="E845" i="11"/>
  <c r="F845" i="11"/>
  <c r="S845" i="11"/>
  <c r="T845" i="11"/>
  <c r="C846" i="11"/>
  <c r="E846" i="11"/>
  <c r="F846" i="11"/>
  <c r="S846" i="11"/>
  <c r="T846" i="11"/>
  <c r="C847" i="11"/>
  <c r="E847" i="11"/>
  <c r="F847" i="11"/>
  <c r="S847" i="11"/>
  <c r="T847" i="11"/>
  <c r="C848" i="11"/>
  <c r="E848" i="11"/>
  <c r="F848" i="11"/>
  <c r="S848" i="11"/>
  <c r="T848" i="11"/>
  <c r="C849" i="11"/>
  <c r="E849" i="11"/>
  <c r="F849" i="11"/>
  <c r="S849" i="11"/>
  <c r="T849" i="11"/>
  <c r="C824" i="11"/>
  <c r="E824" i="11"/>
  <c r="F824" i="11"/>
  <c r="S824" i="11"/>
  <c r="U824" i="11" s="1"/>
  <c r="T824" i="11"/>
  <c r="C825" i="11"/>
  <c r="E825" i="11"/>
  <c r="F825" i="11"/>
  <c r="S825" i="11"/>
  <c r="T825" i="11"/>
  <c r="A750" i="11"/>
  <c r="A751" i="11"/>
  <c r="A752" i="11"/>
  <c r="A753" i="11"/>
  <c r="A754" i="11"/>
  <c r="A755" i="11"/>
  <c r="A756" i="11"/>
  <c r="A757" i="11"/>
  <c r="A758" i="11"/>
  <c r="A759" i="11"/>
  <c r="A760" i="11"/>
  <c r="A761" i="11"/>
  <c r="A762" i="11"/>
  <c r="A763" i="11"/>
  <c r="A764" i="11"/>
  <c r="A765" i="11"/>
  <c r="A766" i="11"/>
  <c r="A767" i="11"/>
  <c r="A768" i="11"/>
  <c r="A769" i="11"/>
  <c r="A770" i="11"/>
  <c r="A771" i="11"/>
  <c r="A746" i="11"/>
  <c r="A747" i="11"/>
  <c r="A774" i="11"/>
  <c r="A775" i="11"/>
  <c r="A776" i="11"/>
  <c r="A777" i="11"/>
  <c r="A778" i="11"/>
  <c r="A779" i="11"/>
  <c r="A780" i="11"/>
  <c r="A781" i="11"/>
  <c r="A782" i="11"/>
  <c r="A783" i="11"/>
  <c r="A784" i="11"/>
  <c r="A785" i="11"/>
  <c r="A786" i="11"/>
  <c r="A787" i="11"/>
  <c r="A788" i="11"/>
  <c r="A789" i="11"/>
  <c r="A790" i="11"/>
  <c r="A791" i="11"/>
  <c r="A792" i="11"/>
  <c r="A793" i="11"/>
  <c r="A794" i="11"/>
  <c r="A795" i="11"/>
  <c r="A796" i="11"/>
  <c r="A797" i="11"/>
  <c r="A772" i="11"/>
  <c r="A773" i="11"/>
  <c r="A800" i="11"/>
  <c r="A801" i="11"/>
  <c r="A802" i="11"/>
  <c r="A803" i="11"/>
  <c r="A804" i="11"/>
  <c r="A805" i="11"/>
  <c r="A806" i="11"/>
  <c r="A807" i="11"/>
  <c r="A808" i="11"/>
  <c r="A809" i="11"/>
  <c r="A810" i="11"/>
  <c r="A811" i="11"/>
  <c r="A812" i="11"/>
  <c r="A813" i="11"/>
  <c r="A814" i="11"/>
  <c r="A815" i="11"/>
  <c r="A816" i="11"/>
  <c r="A817" i="11"/>
  <c r="A818" i="11"/>
  <c r="A819" i="11"/>
  <c r="A820" i="11"/>
  <c r="A821" i="11"/>
  <c r="A822" i="11"/>
  <c r="A823" i="11"/>
  <c r="A798" i="11"/>
  <c r="A799" i="11"/>
  <c r="A826" i="11"/>
  <c r="A827" i="11"/>
  <c r="A828" i="11"/>
  <c r="A829" i="11"/>
  <c r="A830" i="11"/>
  <c r="A831" i="11"/>
  <c r="A832" i="11"/>
  <c r="A833" i="11"/>
  <c r="A834" i="11"/>
  <c r="A835" i="11"/>
  <c r="A836" i="11"/>
  <c r="A837" i="11"/>
  <c r="A838" i="11"/>
  <c r="A839" i="11"/>
  <c r="A840" i="11"/>
  <c r="A841" i="11"/>
  <c r="A842" i="11"/>
  <c r="A843" i="11"/>
  <c r="A844" i="11"/>
  <c r="A845" i="11"/>
  <c r="A846" i="11"/>
  <c r="A847" i="11"/>
  <c r="A848" i="11"/>
  <c r="A849" i="11"/>
  <c r="A824" i="11"/>
  <c r="A825" i="11"/>
  <c r="A749" i="11"/>
  <c r="C749" i="11"/>
  <c r="E749" i="11"/>
  <c r="F749" i="11"/>
  <c r="S749" i="11"/>
  <c r="T749" i="11"/>
  <c r="A748" i="11"/>
  <c r="C748" i="11"/>
  <c r="E748" i="11"/>
  <c r="F748" i="11"/>
  <c r="S748" i="11"/>
  <c r="T748" i="11"/>
  <c r="P835" i="10"/>
  <c r="P834" i="10"/>
  <c r="P833" i="10"/>
  <c r="P832" i="10"/>
  <c r="P831" i="10"/>
  <c r="P830" i="10"/>
  <c r="P829" i="10"/>
  <c r="P828" i="10"/>
  <c r="P827" i="10"/>
  <c r="P826" i="10"/>
  <c r="P825" i="10"/>
  <c r="P824" i="10"/>
  <c r="P823" i="10"/>
  <c r="P822" i="10"/>
  <c r="P821" i="10"/>
  <c r="P820" i="10"/>
  <c r="P819" i="10"/>
  <c r="P818" i="10"/>
  <c r="P817" i="10"/>
  <c r="P816" i="10"/>
  <c r="P815" i="10"/>
  <c r="P814" i="10"/>
  <c r="P813" i="10"/>
  <c r="P812" i="10"/>
  <c r="P811" i="10"/>
  <c r="P810" i="10"/>
  <c r="P809" i="10"/>
  <c r="P808" i="10"/>
  <c r="P807" i="10"/>
  <c r="P806" i="10"/>
  <c r="P805" i="10"/>
  <c r="P804" i="10"/>
  <c r="P803" i="10"/>
  <c r="P802" i="10"/>
  <c r="P801" i="10"/>
  <c r="P800" i="10"/>
  <c r="P799" i="10"/>
  <c r="P798" i="10"/>
  <c r="P797" i="10"/>
  <c r="P796" i="10"/>
  <c r="P795" i="10"/>
  <c r="P794" i="10"/>
  <c r="P793" i="10"/>
  <c r="G688" i="11" s="1"/>
  <c r="P792" i="10"/>
  <c r="P791" i="10"/>
  <c r="P790" i="10"/>
  <c r="P789" i="10"/>
  <c r="P788" i="10"/>
  <c r="P787" i="10"/>
  <c r="P786" i="10"/>
  <c r="P785" i="10"/>
  <c r="G696" i="11" s="1"/>
  <c r="P784" i="10"/>
  <c r="G695" i="11" s="1"/>
  <c r="P783" i="10"/>
  <c r="G694" i="11" s="1"/>
  <c r="P782" i="10"/>
  <c r="P781" i="10"/>
  <c r="P780" i="10"/>
  <c r="P779" i="10"/>
  <c r="P778" i="10"/>
  <c r="P777" i="10"/>
  <c r="P776" i="10"/>
  <c r="P775" i="10"/>
  <c r="P774" i="10"/>
  <c r="P773" i="10"/>
  <c r="P772" i="10"/>
  <c r="P771" i="10"/>
  <c r="P770" i="10"/>
  <c r="P769" i="10"/>
  <c r="P768" i="10"/>
  <c r="P767" i="10"/>
  <c r="P766" i="10"/>
  <c r="P765" i="10"/>
  <c r="P764" i="10"/>
  <c r="P763" i="10"/>
  <c r="P762" i="10"/>
  <c r="P761" i="10"/>
  <c r="P760" i="10"/>
  <c r="P759" i="10"/>
  <c r="P758" i="10"/>
  <c r="P757" i="10"/>
  <c r="P756" i="10"/>
  <c r="P755" i="10"/>
  <c r="P754" i="10"/>
  <c r="P753" i="10"/>
  <c r="P752" i="10"/>
  <c r="Q751" i="10"/>
  <c r="P751" i="10"/>
  <c r="P750" i="10"/>
  <c r="P749" i="10"/>
  <c r="P748" i="10"/>
  <c r="P747" i="10"/>
  <c r="P746" i="10"/>
  <c r="P745" i="10"/>
  <c r="P744" i="10"/>
  <c r="P743" i="10"/>
  <c r="P742" i="10"/>
  <c r="P741" i="10"/>
  <c r="P740" i="10"/>
  <c r="P739" i="10"/>
  <c r="P738" i="10"/>
  <c r="P737" i="10"/>
  <c r="P736" i="10"/>
  <c r="P735" i="10"/>
  <c r="P734" i="10"/>
  <c r="P733" i="10"/>
  <c r="P732" i="10"/>
  <c r="P731" i="10"/>
  <c r="P730" i="10"/>
  <c r="P729" i="10"/>
  <c r="P728" i="10"/>
  <c r="P727" i="10"/>
  <c r="P726" i="10"/>
  <c r="P725" i="10"/>
  <c r="P724" i="10"/>
  <c r="G824" i="11" s="1"/>
  <c r="P723" i="10"/>
  <c r="P722" i="10"/>
  <c r="P721" i="10"/>
  <c r="P720" i="10"/>
  <c r="P719" i="10"/>
  <c r="P718" i="10"/>
  <c r="P717" i="10"/>
  <c r="P716" i="10"/>
  <c r="P715" i="10"/>
  <c r="P714" i="10"/>
  <c r="P713" i="10"/>
  <c r="P712" i="10"/>
  <c r="G838" i="11" s="1"/>
  <c r="P711" i="10"/>
  <c r="P710" i="10"/>
  <c r="P709" i="10"/>
  <c r="P708" i="10"/>
  <c r="P707" i="10"/>
  <c r="P706" i="10"/>
  <c r="P705" i="10"/>
  <c r="P704" i="10"/>
  <c r="P703" i="10"/>
  <c r="P702" i="10"/>
  <c r="P701" i="10"/>
  <c r="P700" i="10"/>
  <c r="G826" i="11" s="1"/>
  <c r="P699" i="10"/>
  <c r="P698" i="10"/>
  <c r="P697" i="10"/>
  <c r="P696" i="10"/>
  <c r="P695" i="10"/>
  <c r="P694" i="10"/>
  <c r="P693" i="10"/>
  <c r="P692" i="10"/>
  <c r="P691" i="10"/>
  <c r="P690" i="10"/>
  <c r="P689" i="10"/>
  <c r="P688" i="10"/>
  <c r="G814" i="11" s="1"/>
  <c r="P687" i="10"/>
  <c r="P686" i="10"/>
  <c r="P685" i="10"/>
  <c r="P684" i="10"/>
  <c r="P683" i="10"/>
  <c r="P682" i="10"/>
  <c r="P681" i="10"/>
  <c r="P680" i="10"/>
  <c r="P679" i="10"/>
  <c r="P678" i="10"/>
  <c r="P677" i="10"/>
  <c r="P676" i="10"/>
  <c r="G802" i="11" s="1"/>
  <c r="P675" i="10"/>
  <c r="P674" i="10"/>
  <c r="P673" i="10"/>
  <c r="P672" i="10"/>
  <c r="P671" i="10"/>
  <c r="P670" i="10"/>
  <c r="P669" i="10"/>
  <c r="P668" i="10"/>
  <c r="P667" i="10"/>
  <c r="P666" i="10"/>
  <c r="P665" i="10"/>
  <c r="P664" i="10"/>
  <c r="G790" i="11" s="1"/>
  <c r="P663" i="10"/>
  <c r="P662" i="10"/>
  <c r="P661" i="10"/>
  <c r="P660" i="10"/>
  <c r="P659" i="10"/>
  <c r="P658" i="10"/>
  <c r="P657" i="10"/>
  <c r="P656" i="10"/>
  <c r="P655" i="10"/>
  <c r="P654" i="10"/>
  <c r="P653" i="10"/>
  <c r="P652" i="10"/>
  <c r="G778" i="11" s="1"/>
  <c r="P651" i="10"/>
  <c r="P650" i="10"/>
  <c r="P649" i="10"/>
  <c r="P648" i="10"/>
  <c r="P647" i="10"/>
  <c r="P646" i="10"/>
  <c r="P645" i="10"/>
  <c r="P644" i="10"/>
  <c r="P643" i="10"/>
  <c r="P642" i="10"/>
  <c r="P641" i="10"/>
  <c r="P640" i="10"/>
  <c r="P639" i="10"/>
  <c r="P638" i="10"/>
  <c r="P637" i="10"/>
  <c r="P636" i="10"/>
  <c r="P635" i="10"/>
  <c r="P634" i="10"/>
  <c r="P633" i="10"/>
  <c r="P632" i="10"/>
  <c r="P631" i="10"/>
  <c r="P630" i="10"/>
  <c r="P629" i="10"/>
  <c r="P628" i="10"/>
  <c r="P627" i="10"/>
  <c r="P626" i="10"/>
  <c r="P625" i="10"/>
  <c r="P624" i="10"/>
  <c r="P623" i="10"/>
  <c r="P622" i="10"/>
  <c r="P621" i="10"/>
  <c r="P620" i="10"/>
  <c r="P619" i="10"/>
  <c r="P618" i="10"/>
  <c r="P617" i="10"/>
  <c r="P616" i="10"/>
  <c r="P615" i="10"/>
  <c r="P614" i="10"/>
  <c r="P613" i="10"/>
  <c r="P612" i="10"/>
  <c r="P611" i="10"/>
  <c r="P610" i="10"/>
  <c r="P609" i="10"/>
  <c r="P608" i="10"/>
  <c r="P607" i="10"/>
  <c r="P606" i="10"/>
  <c r="P605" i="10"/>
  <c r="P604" i="10"/>
  <c r="P603" i="10"/>
  <c r="P602" i="10"/>
  <c r="P601" i="10"/>
  <c r="P600" i="10"/>
  <c r="P599" i="10"/>
  <c r="P598" i="10"/>
  <c r="P597" i="10"/>
  <c r="P596" i="10"/>
  <c r="P595" i="10"/>
  <c r="P594" i="10"/>
  <c r="P593" i="10"/>
  <c r="P592" i="10"/>
  <c r="P591" i="10"/>
  <c r="P590" i="10"/>
  <c r="P589" i="10"/>
  <c r="P588" i="10"/>
  <c r="P587" i="10"/>
  <c r="P586" i="10"/>
  <c r="P585" i="10"/>
  <c r="P584" i="10"/>
  <c r="P583" i="10"/>
  <c r="P582" i="10"/>
  <c r="P581" i="10"/>
  <c r="P580" i="10"/>
  <c r="P579" i="10"/>
  <c r="P578" i="10"/>
  <c r="P577" i="10"/>
  <c r="P576" i="10"/>
  <c r="P575" i="10"/>
  <c r="P574" i="10"/>
  <c r="P573" i="10"/>
  <c r="P572" i="10"/>
  <c r="P571" i="10"/>
  <c r="P570" i="10"/>
  <c r="P569" i="10"/>
  <c r="P568" i="10"/>
  <c r="P567" i="10"/>
  <c r="P566" i="10"/>
  <c r="P565" i="10"/>
  <c r="P564" i="10"/>
  <c r="P563" i="10"/>
  <c r="P562" i="10"/>
  <c r="P561" i="10"/>
  <c r="P560" i="10"/>
  <c r="P559" i="10"/>
  <c r="P558" i="10"/>
  <c r="P557" i="10"/>
  <c r="P556" i="10"/>
  <c r="P555" i="10"/>
  <c r="P554" i="10"/>
  <c r="P553" i="10"/>
  <c r="P552" i="10"/>
  <c r="P551" i="10"/>
  <c r="P550" i="10"/>
  <c r="P549" i="10"/>
  <c r="P548" i="10"/>
  <c r="P547" i="10"/>
  <c r="P546" i="10"/>
  <c r="P545" i="10"/>
  <c r="P544" i="10"/>
  <c r="P543" i="10"/>
  <c r="P542" i="10"/>
  <c r="P541" i="10"/>
  <c r="P540" i="10"/>
  <c r="P539" i="10"/>
  <c r="P538" i="10"/>
  <c r="P537" i="10"/>
  <c r="P536" i="10"/>
  <c r="P535" i="10"/>
  <c r="P534" i="10"/>
  <c r="P533" i="10"/>
  <c r="P532" i="10"/>
  <c r="P531" i="10"/>
  <c r="P530" i="10"/>
  <c r="P529" i="10"/>
  <c r="P528" i="10"/>
  <c r="P527" i="10"/>
  <c r="P526" i="10"/>
  <c r="P525" i="10"/>
  <c r="P524" i="10"/>
  <c r="P523" i="10"/>
  <c r="P522" i="10"/>
  <c r="P521" i="10"/>
  <c r="P520" i="10"/>
  <c r="G369" i="11" s="1"/>
  <c r="P519" i="10"/>
  <c r="P518" i="10"/>
  <c r="P517" i="10"/>
  <c r="P516" i="10"/>
  <c r="P515" i="10"/>
  <c r="P514" i="10"/>
  <c r="P513" i="10"/>
  <c r="P512" i="10"/>
  <c r="P511" i="10"/>
  <c r="P510" i="10"/>
  <c r="P509" i="10"/>
  <c r="P508" i="10"/>
  <c r="P507" i="10"/>
  <c r="P506" i="10"/>
  <c r="P505" i="10"/>
  <c r="P504" i="10"/>
  <c r="P503" i="10"/>
  <c r="P502" i="10"/>
  <c r="P501" i="10"/>
  <c r="P500" i="10"/>
  <c r="P499" i="10"/>
  <c r="P498" i="10"/>
  <c r="P497" i="10"/>
  <c r="P496" i="10"/>
  <c r="G335" i="11" s="1"/>
  <c r="P495" i="10"/>
  <c r="P494" i="10"/>
  <c r="P493" i="10"/>
  <c r="P492" i="10"/>
  <c r="P491" i="10"/>
  <c r="P490" i="10"/>
  <c r="P489" i="10"/>
  <c r="P488" i="10"/>
  <c r="P487" i="10"/>
  <c r="P486" i="10"/>
  <c r="K105" i="9"/>
  <c r="I105" i="9"/>
  <c r="K103" i="9"/>
  <c r="I103" i="9"/>
  <c r="D105" i="9"/>
  <c r="D104" i="9"/>
  <c r="D103" i="9"/>
  <c r="D102" i="9"/>
  <c r="D101" i="9"/>
  <c r="D100" i="9"/>
  <c r="D99" i="9"/>
  <c r="D98" i="9"/>
  <c r="D97" i="9"/>
  <c r="D96" i="9"/>
  <c r="D95" i="9"/>
  <c r="D94" i="9"/>
  <c r="D93" i="9"/>
  <c r="D92" i="9"/>
  <c r="D91" i="9"/>
  <c r="D90" i="9"/>
  <c r="D89" i="9"/>
  <c r="D88" i="9"/>
  <c r="D87" i="9"/>
  <c r="D86" i="9"/>
  <c r="D85" i="9"/>
  <c r="D84" i="9"/>
  <c r="D83" i="9"/>
  <c r="D82" i="9"/>
  <c r="D81" i="9"/>
  <c r="D80" i="9"/>
  <c r="D79" i="9"/>
  <c r="D78" i="9"/>
  <c r="D77" i="9"/>
  <c r="D76" i="9"/>
  <c r="D75" i="9"/>
  <c r="D74" i="9"/>
  <c r="D73" i="9"/>
  <c r="D72" i="9"/>
  <c r="D71" i="9"/>
  <c r="D70" i="9"/>
  <c r="D69" i="9"/>
  <c r="D68" i="9"/>
  <c r="D67" i="9"/>
  <c r="D66" i="9"/>
  <c r="F66" i="9" s="1"/>
  <c r="G66" i="9" s="1"/>
  <c r="D65" i="9"/>
  <c r="F65" i="9" s="1"/>
  <c r="G65" i="9" s="1"/>
  <c r="D64" i="9"/>
  <c r="F64" i="9" s="1"/>
  <c r="G64" i="9" s="1"/>
  <c r="D63" i="9"/>
  <c r="F63" i="9" s="1"/>
  <c r="G63" i="9" s="1"/>
  <c r="D62" i="9"/>
  <c r="F62" i="9" s="1"/>
  <c r="G62" i="9" s="1"/>
  <c r="D61" i="9"/>
  <c r="F61" i="9" s="1"/>
  <c r="G61" i="9" s="1"/>
  <c r="D60" i="9"/>
  <c r="F60" i="9" s="1"/>
  <c r="G60" i="9" s="1"/>
  <c r="F59" i="9"/>
  <c r="G59" i="9" s="1"/>
  <c r="D59" i="9"/>
  <c r="D58" i="9"/>
  <c r="F58" i="9" s="1"/>
  <c r="G58" i="9" s="1"/>
  <c r="D57" i="9"/>
  <c r="F57" i="9" s="1"/>
  <c r="G57" i="9" s="1"/>
  <c r="D56" i="9"/>
  <c r="F56" i="9" s="1"/>
  <c r="G56" i="9" s="1"/>
  <c r="F55" i="9"/>
  <c r="G55" i="9" s="1"/>
  <c r="D55" i="9"/>
  <c r="D54" i="9"/>
  <c r="F54" i="9" s="1"/>
  <c r="G54" i="9" s="1"/>
  <c r="D51" i="9"/>
  <c r="C51" i="9"/>
  <c r="D50" i="9"/>
  <c r="C50" i="9"/>
  <c r="D49" i="9"/>
  <c r="C49" i="9"/>
  <c r="D48" i="9"/>
  <c r="C48" i="9"/>
  <c r="D47" i="9"/>
  <c r="C47" i="9"/>
  <c r="D46" i="9"/>
  <c r="C46" i="9"/>
  <c r="D45" i="9"/>
  <c r="C45" i="9"/>
  <c r="D44" i="9"/>
  <c r="C44" i="9"/>
  <c r="D43" i="9"/>
  <c r="C43" i="9"/>
  <c r="D42" i="9"/>
  <c r="C42" i="9"/>
  <c r="D41" i="9"/>
  <c r="C41" i="9"/>
  <c r="D40" i="9"/>
  <c r="C40" i="9"/>
  <c r="D39" i="9"/>
  <c r="C39" i="9"/>
  <c r="D38" i="9"/>
  <c r="C38" i="9"/>
  <c r="D37" i="9"/>
  <c r="C37" i="9"/>
  <c r="D36" i="9"/>
  <c r="C36" i="9"/>
  <c r="D35" i="9"/>
  <c r="C35" i="9"/>
  <c r="D34" i="9"/>
  <c r="C34" i="9"/>
  <c r="D33" i="9"/>
  <c r="C33" i="9"/>
  <c r="D32" i="9"/>
  <c r="C32" i="9"/>
  <c r="D31" i="9"/>
  <c r="C31" i="9"/>
  <c r="D30" i="9"/>
  <c r="C30" i="9"/>
  <c r="D29" i="9"/>
  <c r="C29" i="9"/>
  <c r="D28" i="9"/>
  <c r="C28" i="9"/>
  <c r="D27" i="9"/>
  <c r="C27" i="9"/>
  <c r="D26" i="9"/>
  <c r="C26" i="9"/>
  <c r="D25" i="9"/>
  <c r="C25" i="9"/>
  <c r="D24" i="9"/>
  <c r="C24" i="9"/>
  <c r="D23" i="9"/>
  <c r="C23" i="9"/>
  <c r="D22" i="9"/>
  <c r="C22" i="9"/>
  <c r="D21" i="9"/>
  <c r="C21" i="9"/>
  <c r="D20" i="9"/>
  <c r="C20" i="9"/>
  <c r="D19" i="9"/>
  <c r="C19" i="9"/>
  <c r="D18" i="9"/>
  <c r="C18" i="9"/>
  <c r="D17" i="9"/>
  <c r="C17" i="9"/>
  <c r="D16" i="9"/>
  <c r="C16" i="9"/>
  <c r="D15" i="9"/>
  <c r="C15" i="9"/>
  <c r="D14" i="9"/>
  <c r="C14" i="9"/>
  <c r="D13" i="9"/>
  <c r="C13" i="9"/>
  <c r="D12" i="9"/>
  <c r="C12" i="9"/>
  <c r="D11" i="9"/>
  <c r="C11" i="9"/>
  <c r="D10" i="9"/>
  <c r="C10" i="9"/>
  <c r="D9" i="9"/>
  <c r="C9" i="9"/>
  <c r="D8" i="9"/>
  <c r="C8" i="9"/>
  <c r="K102" i="9"/>
  <c r="I102" i="9"/>
  <c r="K96" i="9"/>
  <c r="I96" i="9"/>
  <c r="K93" i="9"/>
  <c r="I93" i="9"/>
  <c r="K92" i="9"/>
  <c r="I92" i="9"/>
  <c r="K90" i="9"/>
  <c r="I90" i="9"/>
  <c r="K89" i="9"/>
  <c r="I89" i="9"/>
  <c r="K87" i="9"/>
  <c r="I87" i="9"/>
  <c r="K86" i="9"/>
  <c r="I86" i="9"/>
  <c r="K85" i="9"/>
  <c r="I85" i="9"/>
  <c r="K84" i="9"/>
  <c r="I84" i="9"/>
  <c r="K83" i="9"/>
  <c r="I83" i="9"/>
  <c r="K81" i="9"/>
  <c r="I81" i="9"/>
  <c r="K80" i="9"/>
  <c r="I80" i="9"/>
  <c r="K79" i="9"/>
  <c r="I79" i="9"/>
  <c r="K78" i="9"/>
  <c r="I78" i="9"/>
  <c r="K77" i="9"/>
  <c r="I77" i="9"/>
  <c r="K76" i="9"/>
  <c r="I76" i="9"/>
  <c r="K75" i="9"/>
  <c r="I75" i="9"/>
  <c r="K74" i="9"/>
  <c r="I74" i="9"/>
  <c r="K73" i="9"/>
  <c r="I73" i="9"/>
  <c r="K72" i="9"/>
  <c r="I72" i="9"/>
  <c r="K71" i="9"/>
  <c r="I71" i="9"/>
  <c r="K70" i="9"/>
  <c r="I70" i="9"/>
  <c r="K69" i="9"/>
  <c r="I69" i="9"/>
  <c r="K66" i="9"/>
  <c r="I66" i="9"/>
  <c r="K65" i="9"/>
  <c r="I65" i="9"/>
  <c r="K64" i="9"/>
  <c r="I64" i="9"/>
  <c r="K63" i="9"/>
  <c r="I63" i="9"/>
  <c r="K62" i="9"/>
  <c r="I62" i="9"/>
  <c r="K61" i="9"/>
  <c r="I61" i="9"/>
  <c r="K60" i="9"/>
  <c r="I60" i="9"/>
  <c r="K59" i="9"/>
  <c r="I59" i="9"/>
  <c r="K58" i="9"/>
  <c r="I58" i="9"/>
  <c r="K57" i="9"/>
  <c r="I57" i="9"/>
  <c r="K56" i="9"/>
  <c r="I56" i="9"/>
  <c r="K55" i="9"/>
  <c r="I55" i="9"/>
  <c r="K54" i="9"/>
  <c r="I54" i="9"/>
  <c r="I51" i="9"/>
  <c r="K51" i="9"/>
  <c r="K50" i="9"/>
  <c r="I50" i="9"/>
  <c r="K47" i="9"/>
  <c r="I47" i="9"/>
  <c r="K46" i="9"/>
  <c r="I46" i="9"/>
  <c r="K45" i="9"/>
  <c r="I45" i="9"/>
  <c r="K40" i="9"/>
  <c r="I40" i="9"/>
  <c r="K38" i="9"/>
  <c r="I38" i="9"/>
  <c r="K37" i="9"/>
  <c r="I37" i="9"/>
  <c r="K35" i="9"/>
  <c r="I35" i="9"/>
  <c r="K34" i="9"/>
  <c r="I34" i="9"/>
  <c r="K33" i="9"/>
  <c r="I33" i="9"/>
  <c r="K27" i="9"/>
  <c r="I27" i="9"/>
  <c r="K26" i="9"/>
  <c r="I26" i="9"/>
  <c r="K24" i="9"/>
  <c r="I24" i="9"/>
  <c r="K23" i="9"/>
  <c r="I23" i="9"/>
  <c r="K21" i="9"/>
  <c r="I21" i="9"/>
  <c r="K20" i="9"/>
  <c r="I20" i="9"/>
  <c r="K19" i="9"/>
  <c r="I19" i="9"/>
  <c r="K18" i="9"/>
  <c r="I18" i="9"/>
  <c r="K17" i="9"/>
  <c r="I17" i="9"/>
  <c r="K16" i="9"/>
  <c r="I16" i="9"/>
  <c r="K15" i="9"/>
  <c r="I15" i="9"/>
  <c r="K14" i="9"/>
  <c r="I14" i="9"/>
  <c r="K12" i="9"/>
  <c r="I12" i="9"/>
  <c r="K11" i="9"/>
  <c r="I11" i="9"/>
  <c r="K10" i="9"/>
  <c r="I10" i="9"/>
  <c r="K9" i="9"/>
  <c r="I9" i="9"/>
  <c r="I8" i="9"/>
  <c r="K8" i="9"/>
  <c r="Y456" i="11"/>
  <c r="Y719" i="11"/>
  <c r="Y718" i="11"/>
  <c r="Y717" i="11"/>
  <c r="Y716" i="11"/>
  <c r="Y725" i="11"/>
  <c r="Y724" i="11"/>
  <c r="Y723" i="11"/>
  <c r="Y722" i="11"/>
  <c r="Y728" i="11"/>
  <c r="Y729" i="11"/>
  <c r="Y730" i="11"/>
  <c r="Y731" i="11"/>
  <c r="Y734" i="11"/>
  <c r="Y735" i="11"/>
  <c r="Y737" i="11"/>
  <c r="Y738" i="11"/>
  <c r="Y740" i="11"/>
  <c r="Y741" i="11"/>
  <c r="Y743" i="11"/>
  <c r="Y744" i="11"/>
  <c r="Y658" i="11"/>
  <c r="Y633" i="11"/>
  <c r="Y632" i="11"/>
  <c r="Y607" i="11"/>
  <c r="Y606" i="11"/>
  <c r="Y580" i="11"/>
  <c r="Y581" i="11"/>
  <c r="Y547" i="11"/>
  <c r="Y521" i="11"/>
  <c r="Y495" i="11"/>
  <c r="Y482" i="11"/>
  <c r="Y3" i="11"/>
  <c r="Y15" i="11"/>
  <c r="Y27" i="11"/>
  <c r="Y39" i="11"/>
  <c r="Y52" i="11"/>
  <c r="Y69" i="11"/>
  <c r="Y95" i="11"/>
  <c r="Y121" i="11"/>
  <c r="Y147" i="11"/>
  <c r="Y173" i="11"/>
  <c r="Y199" i="11"/>
  <c r="Y225" i="11"/>
  <c r="Y251" i="11"/>
  <c r="Y277" i="11"/>
  <c r="Y329" i="11"/>
  <c r="Y355" i="11"/>
  <c r="Y381" i="11"/>
  <c r="Y407" i="11"/>
  <c r="M437" i="11"/>
  <c r="L437" i="11"/>
  <c r="M436" i="11"/>
  <c r="L436" i="11"/>
  <c r="M435" i="11"/>
  <c r="L435" i="11"/>
  <c r="B4" i="2"/>
  <c r="B5" i="2"/>
  <c r="B6" i="2"/>
  <c r="B7" i="2"/>
  <c r="B96" i="2"/>
  <c r="B97" i="2"/>
  <c r="B98"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104" i="2"/>
  <c r="B66" i="2"/>
  <c r="B67" i="2"/>
  <c r="B68" i="2"/>
  <c r="B69" i="2"/>
  <c r="B70" i="2"/>
  <c r="B71" i="2"/>
  <c r="B72" i="2"/>
  <c r="B73" i="2"/>
  <c r="B94" i="2"/>
  <c r="B100" i="2"/>
  <c r="B99" i="2"/>
  <c r="B74" i="2"/>
  <c r="B75" i="2"/>
  <c r="B91" i="2"/>
  <c r="B76" i="2"/>
  <c r="B92" i="2"/>
  <c r="B101" i="2"/>
  <c r="B77" i="2"/>
  <c r="B78" i="2"/>
  <c r="B93" i="2"/>
  <c r="B102" i="2"/>
  <c r="B79" i="2"/>
  <c r="B80" i="2"/>
  <c r="B103" i="2"/>
  <c r="B81" i="2"/>
  <c r="B82" i="2"/>
  <c r="B83" i="2"/>
  <c r="B84" i="2"/>
  <c r="B85" i="2"/>
  <c r="B86" i="2"/>
  <c r="B87" i="2"/>
  <c r="B95" i="2"/>
  <c r="B88"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8" i="2"/>
  <c r="B3" i="2"/>
  <c r="N93" i="2" l="1"/>
  <c r="O93" i="2" s="1"/>
  <c r="L92" i="2"/>
  <c r="M92" i="2" s="1"/>
  <c r="N92" i="2" s="1"/>
  <c r="O92" i="2" s="1"/>
  <c r="U869" i="11"/>
  <c r="O871" i="11"/>
  <c r="P871" i="11" s="1"/>
  <c r="Q871" i="11" s="1"/>
  <c r="R871" i="11" s="1"/>
  <c r="W871" i="11" s="1"/>
  <c r="AB871" i="11" s="1"/>
  <c r="Q869" i="11"/>
  <c r="R869" i="11" s="1"/>
  <c r="W869" i="11" s="1"/>
  <c r="AC871" i="11"/>
  <c r="Q870" i="11"/>
  <c r="R870" i="11" s="1"/>
  <c r="U868" i="11"/>
  <c r="Q868" i="11"/>
  <c r="R868" i="11" s="1"/>
  <c r="W868" i="11" s="1"/>
  <c r="Q498" i="10"/>
  <c r="Q500" i="10"/>
  <c r="Q502" i="10"/>
  <c r="Q504" i="10"/>
  <c r="Q601" i="10"/>
  <c r="Q648" i="10"/>
  <c r="G337" i="11"/>
  <c r="G780" i="11"/>
  <c r="G792" i="11"/>
  <c r="G804" i="11"/>
  <c r="G816" i="11"/>
  <c r="G828" i="11"/>
  <c r="G840" i="11"/>
  <c r="G535" i="11"/>
  <c r="G556" i="11"/>
  <c r="G330" i="11"/>
  <c r="G385" i="11"/>
  <c r="G774" i="11"/>
  <c r="G786" i="11"/>
  <c r="G772" i="11"/>
  <c r="G810" i="11"/>
  <c r="G822" i="11"/>
  <c r="G834" i="11"/>
  <c r="G846" i="11"/>
  <c r="G527" i="11"/>
  <c r="G550" i="11"/>
  <c r="G863" i="11"/>
  <c r="U575" i="11"/>
  <c r="V688" i="11"/>
  <c r="U712" i="11"/>
  <c r="U853" i="11"/>
  <c r="U692" i="11"/>
  <c r="O865" i="11"/>
  <c r="P865" i="11" s="1"/>
  <c r="U867" i="11"/>
  <c r="U746" i="11"/>
  <c r="U860" i="11"/>
  <c r="U856" i="11"/>
  <c r="U852" i="11"/>
  <c r="U693" i="11"/>
  <c r="U688" i="11"/>
  <c r="U713" i="11"/>
  <c r="U850" i="11"/>
  <c r="V575" i="11"/>
  <c r="U858" i="11"/>
  <c r="U854" i="11"/>
  <c r="U689" i="11"/>
  <c r="U696" i="11"/>
  <c r="U714" i="11"/>
  <c r="U865" i="11"/>
  <c r="L89" i="2"/>
  <c r="M89" i="2" s="1"/>
  <c r="N89" i="2" s="1"/>
  <c r="O89" i="2" s="1"/>
  <c r="T89" i="2" s="1"/>
  <c r="G858" i="11"/>
  <c r="G560" i="11"/>
  <c r="G850" i="11"/>
  <c r="G859" i="11"/>
  <c r="G552" i="11"/>
  <c r="G853" i="11"/>
  <c r="G712" i="11"/>
  <c r="G533" i="11"/>
  <c r="G334" i="11"/>
  <c r="G363" i="11"/>
  <c r="G356" i="11"/>
  <c r="G388" i="11"/>
  <c r="G394" i="11"/>
  <c r="G534" i="11"/>
  <c r="O696" i="11"/>
  <c r="O695" i="11"/>
  <c r="U695" i="11"/>
  <c r="U694" i="11"/>
  <c r="O693" i="11"/>
  <c r="O692" i="11"/>
  <c r="O689" i="11"/>
  <c r="Q717" i="10"/>
  <c r="Q705" i="10"/>
  <c r="Q693" i="10"/>
  <c r="Q681" i="10"/>
  <c r="Q669" i="10"/>
  <c r="Q657" i="10"/>
  <c r="O691" i="11"/>
  <c r="O690" i="11"/>
  <c r="O694" i="11"/>
  <c r="Q718" i="10"/>
  <c r="Q725" i="10"/>
  <c r="Q713" i="10"/>
  <c r="Q706" i="10"/>
  <c r="Q694" i="10"/>
  <c r="Q682" i="10"/>
  <c r="Q670" i="10"/>
  <c r="Q658" i="10"/>
  <c r="AB688" i="11"/>
  <c r="Q721" i="10"/>
  <c r="Q724" i="10"/>
  <c r="Q709" i="10"/>
  <c r="Q697" i="10"/>
  <c r="G854" i="11"/>
  <c r="G523" i="11"/>
  <c r="G340" i="11"/>
  <c r="G366" i="11"/>
  <c r="G410" i="11"/>
  <c r="G496" i="11"/>
  <c r="G671" i="11"/>
  <c r="G783" i="11"/>
  <c r="G807" i="11"/>
  <c r="G831" i="11"/>
  <c r="G558" i="11"/>
  <c r="G360" i="11"/>
  <c r="G391" i="11"/>
  <c r="G416" i="11"/>
  <c r="G503" i="11"/>
  <c r="G665" i="11"/>
  <c r="G795" i="11"/>
  <c r="G819" i="11"/>
  <c r="G843" i="11"/>
  <c r="G561" i="11"/>
  <c r="G341" i="11"/>
  <c r="G672" i="11"/>
  <c r="G784" i="11"/>
  <c r="G796" i="11"/>
  <c r="G808" i="11"/>
  <c r="G820" i="11"/>
  <c r="G832" i="11"/>
  <c r="G844" i="11"/>
  <c r="G525" i="11"/>
  <c r="G857" i="11"/>
  <c r="G713" i="11"/>
  <c r="Q650" i="10"/>
  <c r="G303" i="11"/>
  <c r="G361" i="11"/>
  <c r="G392" i="11"/>
  <c r="G498" i="11"/>
  <c r="G785" i="11"/>
  <c r="G833" i="11"/>
  <c r="G526" i="11"/>
  <c r="G367" i="11"/>
  <c r="G411" i="11"/>
  <c r="G504" i="11"/>
  <c r="G659" i="11"/>
  <c r="G809" i="11"/>
  <c r="G845" i="11"/>
  <c r="G559" i="11"/>
  <c r="G342" i="11"/>
  <c r="G384" i="11"/>
  <c r="G417" i="11"/>
  <c r="G666" i="11"/>
  <c r="G797" i="11"/>
  <c r="G821" i="11"/>
  <c r="G549" i="11"/>
  <c r="G332" i="11"/>
  <c r="G343" i="11"/>
  <c r="G362" i="11"/>
  <c r="G368" i="11"/>
  <c r="G386" i="11"/>
  <c r="G393" i="11"/>
  <c r="G412" i="11"/>
  <c r="G418" i="11"/>
  <c r="G499" i="11"/>
  <c r="G505" i="11"/>
  <c r="G661" i="11"/>
  <c r="G667" i="11"/>
  <c r="G775" i="11"/>
  <c r="G787" i="11"/>
  <c r="G773" i="11"/>
  <c r="G811" i="11"/>
  <c r="G823" i="11"/>
  <c r="G835" i="11"/>
  <c r="G847" i="11"/>
  <c r="Q659" i="10"/>
  <c r="Q685" i="10"/>
  <c r="Q673" i="10"/>
  <c r="Q661" i="10"/>
  <c r="G852" i="11"/>
  <c r="G711" i="11"/>
  <c r="Q496" i="10"/>
  <c r="Q557" i="10"/>
  <c r="Q774" i="10"/>
  <c r="Q776" i="10"/>
  <c r="Q701" i="10"/>
  <c r="Q689" i="10"/>
  <c r="Q677" i="10"/>
  <c r="Q665" i="10"/>
  <c r="Q653" i="10"/>
  <c r="Q715" i="10"/>
  <c r="Q703" i="10"/>
  <c r="Q691" i="10"/>
  <c r="Q679" i="10"/>
  <c r="Q667" i="10"/>
  <c r="Q655" i="10"/>
  <c r="Q712" i="10"/>
  <c r="Q700" i="10"/>
  <c r="Q688" i="10"/>
  <c r="Q676" i="10"/>
  <c r="Q664" i="10"/>
  <c r="Q627" i="10"/>
  <c r="Q746" i="10"/>
  <c r="Q748" i="10"/>
  <c r="Q750" i="10"/>
  <c r="Q771" i="10"/>
  <c r="Q777" i="10"/>
  <c r="Q501" i="10"/>
  <c r="G333" i="11"/>
  <c r="G387" i="11"/>
  <c r="G776" i="11"/>
  <c r="G788" i="11"/>
  <c r="G800" i="11"/>
  <c r="G812" i="11"/>
  <c r="G798" i="11"/>
  <c r="G836" i="11"/>
  <c r="G848" i="11"/>
  <c r="G528" i="11"/>
  <c r="G551" i="11"/>
  <c r="G851" i="11"/>
  <c r="G860" i="11"/>
  <c r="Q719" i="10"/>
  <c r="Q707" i="10"/>
  <c r="Q695" i="10"/>
  <c r="Q683" i="10"/>
  <c r="Q671" i="10"/>
  <c r="G413" i="11"/>
  <c r="G419" i="11"/>
  <c r="G500" i="11"/>
  <c r="G506" i="11"/>
  <c r="G662" i="11"/>
  <c r="G668" i="11"/>
  <c r="G777" i="11"/>
  <c r="G789" i="11"/>
  <c r="G801" i="11"/>
  <c r="G813" i="11"/>
  <c r="G799" i="11"/>
  <c r="G837" i="11"/>
  <c r="G849" i="11"/>
  <c r="G529" i="11"/>
  <c r="G861" i="11"/>
  <c r="Q714" i="10"/>
  <c r="Q702" i="10"/>
  <c r="Q690" i="10"/>
  <c r="Q678" i="10"/>
  <c r="Q666" i="10"/>
  <c r="Q654" i="10"/>
  <c r="Q499" i="10"/>
  <c r="G530" i="11"/>
  <c r="G553" i="11"/>
  <c r="G862" i="11"/>
  <c r="Q503" i="10"/>
  <c r="Q559" i="10"/>
  <c r="G336" i="11"/>
  <c r="G358" i="11"/>
  <c r="G364" i="11"/>
  <c r="G395" i="11"/>
  <c r="G389" i="11"/>
  <c r="G382" i="11"/>
  <c r="G414" i="11"/>
  <c r="G420" i="11"/>
  <c r="G501" i="11"/>
  <c r="G507" i="11"/>
  <c r="G663" i="11"/>
  <c r="G669" i="11"/>
  <c r="G779" i="11"/>
  <c r="G791" i="11"/>
  <c r="G803" i="11"/>
  <c r="G815" i="11"/>
  <c r="G827" i="11"/>
  <c r="G839" i="11"/>
  <c r="G825" i="11"/>
  <c r="G531" i="11"/>
  <c r="G554" i="11"/>
  <c r="Q716" i="10"/>
  <c r="Q704" i="10"/>
  <c r="Q692" i="10"/>
  <c r="Q680" i="10"/>
  <c r="Q668" i="10"/>
  <c r="Q656" i="10"/>
  <c r="G532" i="11"/>
  <c r="G555" i="11"/>
  <c r="Q723" i="10"/>
  <c r="Q711" i="10"/>
  <c r="Q699" i="10"/>
  <c r="Q687" i="10"/>
  <c r="Q675" i="10"/>
  <c r="Q663" i="10"/>
  <c r="Q525" i="10"/>
  <c r="G359" i="11"/>
  <c r="G670" i="11"/>
  <c r="Q745" i="10"/>
  <c r="Q747" i="10"/>
  <c r="Q749" i="10"/>
  <c r="Q772" i="10"/>
  <c r="G339" i="11"/>
  <c r="G421" i="11"/>
  <c r="G509" i="11"/>
  <c r="G782" i="11"/>
  <c r="G794" i="11"/>
  <c r="G806" i="11"/>
  <c r="G818" i="11"/>
  <c r="G830" i="11"/>
  <c r="G842" i="11"/>
  <c r="G524" i="11"/>
  <c r="G557" i="11"/>
  <c r="G855" i="11"/>
  <c r="G714" i="11"/>
  <c r="Q720" i="10"/>
  <c r="Q708" i="10"/>
  <c r="Q696" i="10"/>
  <c r="Q684" i="10"/>
  <c r="Q672" i="10"/>
  <c r="Q660" i="10"/>
  <c r="G338" i="11"/>
  <c r="G365" i="11"/>
  <c r="G390" i="11"/>
  <c r="G415" i="11"/>
  <c r="G408" i="11"/>
  <c r="G502" i="11"/>
  <c r="G508" i="11"/>
  <c r="G664" i="11"/>
  <c r="G781" i="11"/>
  <c r="G793" i="11"/>
  <c r="G805" i="11"/>
  <c r="G817" i="11"/>
  <c r="G829" i="11"/>
  <c r="G841" i="11"/>
  <c r="G856" i="11"/>
  <c r="Q722" i="10"/>
  <c r="Q710" i="10"/>
  <c r="Q698" i="10"/>
  <c r="Q686" i="10"/>
  <c r="Q674" i="10"/>
  <c r="Q662" i="10"/>
  <c r="J45" i="9"/>
  <c r="O864" i="11"/>
  <c r="P864" i="11" s="1"/>
  <c r="Q864" i="11" s="1"/>
  <c r="R864" i="11" s="1"/>
  <c r="V864" i="11" s="1"/>
  <c r="O867" i="11"/>
  <c r="Q865" i="11"/>
  <c r="R865" i="11" s="1"/>
  <c r="O866" i="11"/>
  <c r="O851" i="11"/>
  <c r="P851" i="11" s="1"/>
  <c r="O853" i="11"/>
  <c r="O713" i="11"/>
  <c r="P713" i="11" s="1"/>
  <c r="O857" i="11"/>
  <c r="P857" i="11" s="1"/>
  <c r="O852" i="11"/>
  <c r="P852" i="11" s="1"/>
  <c r="O858" i="11"/>
  <c r="P858" i="11" s="1"/>
  <c r="O859" i="11"/>
  <c r="P859" i="11" s="1"/>
  <c r="O860" i="11"/>
  <c r="P860" i="11" s="1"/>
  <c r="O863" i="11"/>
  <c r="P863" i="11" s="1"/>
  <c r="O714" i="11"/>
  <c r="P714" i="11" s="1"/>
  <c r="O861" i="11"/>
  <c r="P861" i="11" s="1"/>
  <c r="O856" i="11"/>
  <c r="P856" i="11" s="1"/>
  <c r="O854" i="11"/>
  <c r="P854" i="11" s="1"/>
  <c r="O862" i="11"/>
  <c r="P862" i="11" s="1"/>
  <c r="O855" i="11"/>
  <c r="P855" i="11" s="1"/>
  <c r="O850" i="11"/>
  <c r="P850" i="11" s="1"/>
  <c r="O711" i="11"/>
  <c r="P711" i="11" s="1"/>
  <c r="O712" i="11"/>
  <c r="P712" i="11" s="1"/>
  <c r="AD712" i="11"/>
  <c r="O147" i="2"/>
  <c r="T147" i="2" s="1"/>
  <c r="R147" i="2"/>
  <c r="R89" i="2"/>
  <c r="L90" i="2"/>
  <c r="M90" i="2" s="1"/>
  <c r="R90" i="2"/>
  <c r="Y89" i="2"/>
  <c r="O303" i="11"/>
  <c r="P303" i="11" s="1"/>
  <c r="O575" i="11"/>
  <c r="P575" i="11" s="1"/>
  <c r="AC575" i="11"/>
  <c r="AB575" i="11"/>
  <c r="O746" i="11"/>
  <c r="P746" i="11" s="1"/>
  <c r="L772" i="11"/>
  <c r="U772" i="11" s="1"/>
  <c r="O798" i="11"/>
  <c r="P798" i="11" s="1"/>
  <c r="O824" i="11"/>
  <c r="P824" i="11" s="1"/>
  <c r="O435" i="11"/>
  <c r="P435" i="11" s="1"/>
  <c r="O436" i="11"/>
  <c r="P436" i="11" s="1"/>
  <c r="O437" i="11"/>
  <c r="P437" i="11" s="1"/>
  <c r="M745" i="11"/>
  <c r="L745" i="11"/>
  <c r="AD745" i="11" s="1"/>
  <c r="M744" i="11"/>
  <c r="L744" i="11"/>
  <c r="M743" i="11"/>
  <c r="L743" i="11"/>
  <c r="M742" i="11"/>
  <c r="L742" i="11"/>
  <c r="AD742" i="11" s="1"/>
  <c r="M741" i="11"/>
  <c r="L741" i="11"/>
  <c r="M740" i="11"/>
  <c r="L740" i="11"/>
  <c r="M739" i="11"/>
  <c r="L739" i="11"/>
  <c r="AD739" i="11" s="1"/>
  <c r="M738" i="11"/>
  <c r="L738" i="11"/>
  <c r="AD738" i="11" s="1"/>
  <c r="M737" i="11"/>
  <c r="L737" i="11"/>
  <c r="M736" i="11"/>
  <c r="L736" i="11"/>
  <c r="AD736" i="11" s="1"/>
  <c r="M735" i="11"/>
  <c r="L735" i="11"/>
  <c r="M734" i="11"/>
  <c r="L734" i="11"/>
  <c r="M733" i="11"/>
  <c r="L733" i="11"/>
  <c r="M732" i="11"/>
  <c r="L732" i="11"/>
  <c r="AD732" i="11" s="1"/>
  <c r="M731" i="11"/>
  <c r="L731" i="11"/>
  <c r="M730" i="11"/>
  <c r="L730" i="11"/>
  <c r="M729" i="11"/>
  <c r="L729" i="11"/>
  <c r="M728" i="11"/>
  <c r="L728" i="11"/>
  <c r="M727" i="11"/>
  <c r="L727" i="11"/>
  <c r="AD727" i="11" s="1"/>
  <c r="M726" i="11"/>
  <c r="L726" i="11"/>
  <c r="M725" i="11"/>
  <c r="L725" i="11"/>
  <c r="M724" i="11"/>
  <c r="L724" i="11"/>
  <c r="M723" i="11"/>
  <c r="L723" i="11"/>
  <c r="M722" i="11"/>
  <c r="L722" i="11"/>
  <c r="M721" i="11"/>
  <c r="L721" i="11"/>
  <c r="AD721" i="11" s="1"/>
  <c r="M720" i="11"/>
  <c r="L720" i="11"/>
  <c r="AD720" i="11" s="1"/>
  <c r="M719" i="11"/>
  <c r="L719" i="11"/>
  <c r="M718" i="11"/>
  <c r="L718" i="11"/>
  <c r="M717" i="11"/>
  <c r="L717" i="11"/>
  <c r="M716" i="11"/>
  <c r="L716" i="11"/>
  <c r="M715" i="11"/>
  <c r="L715" i="11"/>
  <c r="AD715" i="11" s="1"/>
  <c r="M710" i="11"/>
  <c r="L710" i="11"/>
  <c r="AD710" i="11" s="1"/>
  <c r="M709" i="11"/>
  <c r="L709" i="11"/>
  <c r="AD709" i="11" s="1"/>
  <c r="M708" i="11"/>
  <c r="L708" i="11"/>
  <c r="AD708" i="11" s="1"/>
  <c r="M707" i="11"/>
  <c r="L707" i="11"/>
  <c r="AD707" i="11" s="1"/>
  <c r="M706" i="11"/>
  <c r="L706" i="11"/>
  <c r="AD706" i="11" s="1"/>
  <c r="M705" i="11"/>
  <c r="L705" i="11"/>
  <c r="AD705" i="11" s="1"/>
  <c r="M704" i="11"/>
  <c r="L704" i="11"/>
  <c r="AD704" i="11" s="1"/>
  <c r="M703" i="11"/>
  <c r="L703" i="11"/>
  <c r="AD703" i="11" s="1"/>
  <c r="M702" i="11"/>
  <c r="L702" i="11"/>
  <c r="AD702" i="11" s="1"/>
  <c r="M701" i="11"/>
  <c r="L701" i="11"/>
  <c r="AD701" i="11" s="1"/>
  <c r="M700" i="11"/>
  <c r="L700" i="11"/>
  <c r="AD700" i="11" s="1"/>
  <c r="M699" i="11"/>
  <c r="L699" i="11"/>
  <c r="AD699" i="11" s="1"/>
  <c r="M698" i="11"/>
  <c r="L698" i="11"/>
  <c r="AD698" i="11" s="1"/>
  <c r="M574" i="11"/>
  <c r="L574" i="11"/>
  <c r="M573" i="11"/>
  <c r="L573" i="11"/>
  <c r="AD573" i="11" s="1"/>
  <c r="M697" i="11"/>
  <c r="L697" i="11"/>
  <c r="M687" i="11"/>
  <c r="L687" i="11"/>
  <c r="AD687" i="11" s="1"/>
  <c r="M686" i="11"/>
  <c r="L686" i="11"/>
  <c r="AD686" i="11" s="1"/>
  <c r="M685" i="11"/>
  <c r="L685" i="11"/>
  <c r="AD685" i="11" s="1"/>
  <c r="M684" i="11"/>
  <c r="L684" i="11"/>
  <c r="AD684" i="11" s="1"/>
  <c r="M579" i="11"/>
  <c r="L579" i="11"/>
  <c r="AD579" i="11" s="1"/>
  <c r="M578" i="11"/>
  <c r="L578" i="11"/>
  <c r="AD578" i="11" s="1"/>
  <c r="M577" i="11"/>
  <c r="L577" i="11"/>
  <c r="AD577" i="11" s="1"/>
  <c r="M576" i="11"/>
  <c r="L576" i="11"/>
  <c r="AD576" i="11" s="1"/>
  <c r="M438" i="11"/>
  <c r="L438" i="11"/>
  <c r="M434" i="11"/>
  <c r="L434" i="11"/>
  <c r="M433" i="11"/>
  <c r="L433" i="11"/>
  <c r="M68" i="11"/>
  <c r="L68" i="11"/>
  <c r="M67" i="11"/>
  <c r="L67" i="11"/>
  <c r="M66" i="11"/>
  <c r="L66" i="11"/>
  <c r="M65" i="11"/>
  <c r="L65" i="11"/>
  <c r="M658" i="11"/>
  <c r="M632" i="11"/>
  <c r="L632" i="11" s="1"/>
  <c r="AD632" i="11" s="1"/>
  <c r="M606" i="11"/>
  <c r="M580" i="11"/>
  <c r="M547" i="11"/>
  <c r="L547" i="11" s="1"/>
  <c r="AD547" i="11" s="1"/>
  <c r="M521" i="11"/>
  <c r="M495" i="11"/>
  <c r="M482" i="11"/>
  <c r="Q684" i="11"/>
  <c r="R684" i="11" s="1"/>
  <c r="W684" i="11" s="1"/>
  <c r="AC684" i="11" s="1"/>
  <c r="Q685" i="11"/>
  <c r="R685" i="11" s="1"/>
  <c r="W685" i="11" s="1"/>
  <c r="Q687" i="11"/>
  <c r="R687" i="11" s="1"/>
  <c r="W687" i="11" s="1"/>
  <c r="Q686" i="11"/>
  <c r="R686" i="11" s="1"/>
  <c r="Q579" i="11"/>
  <c r="R579" i="11" s="1"/>
  <c r="W579" i="11" s="1"/>
  <c r="Q578" i="11"/>
  <c r="R578" i="11" s="1"/>
  <c r="Q577" i="11"/>
  <c r="R577" i="11" s="1"/>
  <c r="S577" i="11"/>
  <c r="U577" i="11" s="1"/>
  <c r="S578" i="11"/>
  <c r="S579" i="11"/>
  <c r="U579" i="11" s="1"/>
  <c r="Q576" i="11"/>
  <c r="R576" i="11" s="1"/>
  <c r="A484" i="11"/>
  <c r="C484" i="11"/>
  <c r="E484" i="11"/>
  <c r="F484" i="11"/>
  <c r="Q3" i="10" s="1"/>
  <c r="S484" i="11"/>
  <c r="T484" i="11"/>
  <c r="A485" i="11"/>
  <c r="C485" i="11"/>
  <c r="E485" i="11"/>
  <c r="F485" i="11"/>
  <c r="Q4" i="10" s="1"/>
  <c r="S485" i="11"/>
  <c r="T485" i="11"/>
  <c r="A486" i="11"/>
  <c r="C486" i="11"/>
  <c r="E486" i="11"/>
  <c r="F486" i="11"/>
  <c r="Q5" i="10" s="1"/>
  <c r="S486" i="11"/>
  <c r="T486" i="11"/>
  <c r="A487" i="11"/>
  <c r="C487" i="11"/>
  <c r="E487" i="11"/>
  <c r="F487" i="11"/>
  <c r="Q6" i="10" s="1"/>
  <c r="S487" i="11"/>
  <c r="T487" i="11"/>
  <c r="A488" i="11"/>
  <c r="C488" i="11"/>
  <c r="E488" i="11"/>
  <c r="F488" i="11"/>
  <c r="Q7" i="10" s="1"/>
  <c r="S488" i="11"/>
  <c r="T488" i="11"/>
  <c r="A489" i="11"/>
  <c r="C489" i="11"/>
  <c r="E489" i="11"/>
  <c r="F489" i="11"/>
  <c r="Q8" i="10" s="1"/>
  <c r="S489" i="11"/>
  <c r="T489" i="11"/>
  <c r="A490" i="11"/>
  <c r="C490" i="11"/>
  <c r="E490" i="11"/>
  <c r="F490" i="11"/>
  <c r="Q9" i="10" s="1"/>
  <c r="S490" i="11"/>
  <c r="T490" i="11"/>
  <c r="A491" i="11"/>
  <c r="C491" i="11"/>
  <c r="E491" i="11"/>
  <c r="F491" i="11"/>
  <c r="Q10" i="10" s="1"/>
  <c r="S491" i="11"/>
  <c r="T491" i="11"/>
  <c r="A492" i="11"/>
  <c r="C492" i="11"/>
  <c r="E492" i="11"/>
  <c r="F492" i="11"/>
  <c r="Q11" i="10" s="1"/>
  <c r="S492" i="11"/>
  <c r="T492" i="11"/>
  <c r="A493" i="11"/>
  <c r="C493" i="11"/>
  <c r="E493" i="11"/>
  <c r="F493" i="11"/>
  <c r="Q12" i="10" s="1"/>
  <c r="S493" i="11"/>
  <c r="T493" i="11"/>
  <c r="A494" i="11"/>
  <c r="C494" i="11"/>
  <c r="E494" i="11"/>
  <c r="F494" i="11"/>
  <c r="Q13" i="10" s="1"/>
  <c r="S494" i="11"/>
  <c r="T494" i="11"/>
  <c r="A482" i="11"/>
  <c r="C482" i="11"/>
  <c r="E482" i="11"/>
  <c r="F482" i="11"/>
  <c r="Q14" i="10" s="1"/>
  <c r="S482" i="11"/>
  <c r="T482" i="11"/>
  <c r="X482" i="11"/>
  <c r="A497" i="11"/>
  <c r="C497" i="11"/>
  <c r="E497" i="11"/>
  <c r="F497" i="11"/>
  <c r="S497" i="11"/>
  <c r="T497" i="11"/>
  <c r="A510" i="11"/>
  <c r="C510" i="11"/>
  <c r="E510" i="11"/>
  <c r="F510" i="11"/>
  <c r="Q598" i="10" s="1"/>
  <c r="S510" i="11"/>
  <c r="T510" i="11"/>
  <c r="A511" i="11"/>
  <c r="C511" i="11"/>
  <c r="E511" i="11"/>
  <c r="F511" i="11"/>
  <c r="Q600" i="10" s="1"/>
  <c r="S511" i="11"/>
  <c r="T511" i="11"/>
  <c r="A512" i="11"/>
  <c r="C512" i="11"/>
  <c r="E512" i="11"/>
  <c r="F512" i="11"/>
  <c r="Q607" i="10" s="1"/>
  <c r="S512" i="11"/>
  <c r="T512" i="11"/>
  <c r="A513" i="11"/>
  <c r="C513" i="11"/>
  <c r="E513" i="11"/>
  <c r="F513" i="11"/>
  <c r="Q604" i="10" s="1"/>
  <c r="S513" i="11"/>
  <c r="T513" i="11"/>
  <c r="A514" i="11"/>
  <c r="C514" i="11"/>
  <c r="E514" i="11"/>
  <c r="F514" i="11"/>
  <c r="Q606" i="10" s="1"/>
  <c r="S514" i="11"/>
  <c r="T514" i="11"/>
  <c r="A515" i="11"/>
  <c r="C515" i="11"/>
  <c r="E515" i="11"/>
  <c r="F515" i="11"/>
  <c r="Q608" i="10" s="1"/>
  <c r="S515" i="11"/>
  <c r="T515" i="11"/>
  <c r="A516" i="11"/>
  <c r="C516" i="11"/>
  <c r="E516" i="11"/>
  <c r="F516" i="11"/>
  <c r="Q610" i="10" s="1"/>
  <c r="S516" i="11"/>
  <c r="T516" i="11"/>
  <c r="A517" i="11"/>
  <c r="C517" i="11"/>
  <c r="E517" i="11"/>
  <c r="F517" i="11"/>
  <c r="Q612" i="10" s="1"/>
  <c r="S517" i="11"/>
  <c r="T517" i="11"/>
  <c r="A518" i="11"/>
  <c r="C518" i="11"/>
  <c r="E518" i="11"/>
  <c r="F518" i="11"/>
  <c r="Q614" i="10" s="1"/>
  <c r="S518" i="11"/>
  <c r="T518" i="11"/>
  <c r="A519" i="11"/>
  <c r="C519" i="11"/>
  <c r="E519" i="11"/>
  <c r="F519" i="11"/>
  <c r="Q616" i="10" s="1"/>
  <c r="S519" i="11"/>
  <c r="T519" i="11"/>
  <c r="A520" i="11"/>
  <c r="C520" i="11"/>
  <c r="E520" i="11"/>
  <c r="F520" i="11"/>
  <c r="Q618" i="10" s="1"/>
  <c r="S520" i="11"/>
  <c r="T520" i="11"/>
  <c r="A495" i="11"/>
  <c r="C495" i="11"/>
  <c r="E495" i="11"/>
  <c r="F495" i="11"/>
  <c r="Q620" i="10" s="1"/>
  <c r="S495" i="11"/>
  <c r="T495" i="11"/>
  <c r="X495" i="11"/>
  <c r="A522" i="11"/>
  <c r="C522" i="11"/>
  <c r="E522" i="11"/>
  <c r="F522" i="11"/>
  <c r="Q744" i="10" s="1"/>
  <c r="S522" i="11"/>
  <c r="T522" i="11"/>
  <c r="A536" i="11"/>
  <c r="C536" i="11"/>
  <c r="E536" i="11"/>
  <c r="F536" i="11"/>
  <c r="Q727" i="10" s="1"/>
  <c r="S536" i="11"/>
  <c r="T536" i="11"/>
  <c r="A537" i="11"/>
  <c r="C537" i="11"/>
  <c r="E537" i="11"/>
  <c r="F537" i="11"/>
  <c r="Q728" i="10" s="1"/>
  <c r="S537" i="11"/>
  <c r="T537" i="11"/>
  <c r="A538" i="11"/>
  <c r="C538" i="11"/>
  <c r="E538" i="11"/>
  <c r="F538" i="11"/>
  <c r="Q729" i="10" s="1"/>
  <c r="S538" i="11"/>
  <c r="T538" i="11"/>
  <c r="A539" i="11"/>
  <c r="C539" i="11"/>
  <c r="E539" i="11"/>
  <c r="F539" i="11"/>
  <c r="Q730" i="10" s="1"/>
  <c r="S539" i="11"/>
  <c r="T539" i="11"/>
  <c r="A540" i="11"/>
  <c r="C540" i="11"/>
  <c r="E540" i="11"/>
  <c r="F540" i="11"/>
  <c r="Q731" i="10" s="1"/>
  <c r="S540" i="11"/>
  <c r="T540" i="11"/>
  <c r="A541" i="11"/>
  <c r="C541" i="11"/>
  <c r="E541" i="11"/>
  <c r="F541" i="11"/>
  <c r="S541" i="11"/>
  <c r="T541" i="11"/>
  <c r="A542" i="11"/>
  <c r="C542" i="11"/>
  <c r="E542" i="11"/>
  <c r="F542" i="11"/>
  <c r="S542" i="11"/>
  <c r="T542" i="11"/>
  <c r="A543" i="11"/>
  <c r="C543" i="11"/>
  <c r="E543" i="11"/>
  <c r="F543" i="11"/>
  <c r="S543" i="11"/>
  <c r="T543" i="11"/>
  <c r="A544" i="11"/>
  <c r="C544" i="11"/>
  <c r="E544" i="11"/>
  <c r="F544" i="11"/>
  <c r="S544" i="11"/>
  <c r="T544" i="11"/>
  <c r="A545" i="11"/>
  <c r="C545" i="11"/>
  <c r="E545" i="11"/>
  <c r="F545" i="11"/>
  <c r="S545" i="11"/>
  <c r="T545" i="11"/>
  <c r="A546" i="11"/>
  <c r="C546" i="11"/>
  <c r="E546" i="11"/>
  <c r="F546" i="11"/>
  <c r="S546" i="11"/>
  <c r="T546" i="11"/>
  <c r="A521" i="11"/>
  <c r="C521" i="11"/>
  <c r="E521" i="11"/>
  <c r="F521" i="11"/>
  <c r="S521" i="11"/>
  <c r="T521" i="11"/>
  <c r="X521" i="11"/>
  <c r="A548" i="11"/>
  <c r="C548" i="11"/>
  <c r="E548" i="11"/>
  <c r="F548" i="11"/>
  <c r="Q770" i="10" s="1"/>
  <c r="S548" i="11"/>
  <c r="T548" i="11"/>
  <c r="A562" i="11"/>
  <c r="C562" i="11"/>
  <c r="E562" i="11"/>
  <c r="F562" i="11"/>
  <c r="Q753" i="10" s="1"/>
  <c r="S562" i="11"/>
  <c r="T562" i="11"/>
  <c r="A563" i="11"/>
  <c r="C563" i="11"/>
  <c r="E563" i="11"/>
  <c r="F563" i="11"/>
  <c r="Q754" i="10" s="1"/>
  <c r="S563" i="11"/>
  <c r="T563" i="11"/>
  <c r="A564" i="11"/>
  <c r="C564" i="11"/>
  <c r="E564" i="11"/>
  <c r="F564" i="11"/>
  <c r="Q755" i="10" s="1"/>
  <c r="S564" i="11"/>
  <c r="T564" i="11"/>
  <c r="A565" i="11"/>
  <c r="C565" i="11"/>
  <c r="E565" i="11"/>
  <c r="F565" i="11"/>
  <c r="Q756" i="10" s="1"/>
  <c r="S565" i="11"/>
  <c r="T565" i="11"/>
  <c r="A566" i="11"/>
  <c r="C566" i="11"/>
  <c r="E566" i="11"/>
  <c r="F566" i="11"/>
  <c r="Q757" i="10" s="1"/>
  <c r="S566" i="11"/>
  <c r="T566" i="11"/>
  <c r="A567" i="11"/>
  <c r="C567" i="11"/>
  <c r="E567" i="11"/>
  <c r="F567" i="11"/>
  <c r="S567" i="11"/>
  <c r="T567" i="11"/>
  <c r="A568" i="11"/>
  <c r="C568" i="11"/>
  <c r="E568" i="11"/>
  <c r="F568" i="11"/>
  <c r="S568" i="11"/>
  <c r="T568" i="11"/>
  <c r="A569" i="11"/>
  <c r="C569" i="11"/>
  <c r="E569" i="11"/>
  <c r="F569" i="11"/>
  <c r="S569" i="11"/>
  <c r="T569" i="11"/>
  <c r="A570" i="11"/>
  <c r="C570" i="11"/>
  <c r="E570" i="11"/>
  <c r="F570" i="11"/>
  <c r="S570" i="11"/>
  <c r="T570" i="11"/>
  <c r="A571" i="11"/>
  <c r="C571" i="11"/>
  <c r="E571" i="11"/>
  <c r="F571" i="11"/>
  <c r="S571" i="11"/>
  <c r="T571" i="11"/>
  <c r="A572" i="11"/>
  <c r="C572" i="11"/>
  <c r="E572" i="11"/>
  <c r="F572" i="11"/>
  <c r="Q768" i="10" s="1"/>
  <c r="S572" i="11"/>
  <c r="T572" i="11"/>
  <c r="A547" i="11"/>
  <c r="C547" i="11"/>
  <c r="E547" i="11"/>
  <c r="F547" i="11"/>
  <c r="S547" i="11"/>
  <c r="T547" i="11"/>
  <c r="X547" i="11"/>
  <c r="A573" i="11"/>
  <c r="C573" i="11"/>
  <c r="E573" i="11"/>
  <c r="F573" i="11"/>
  <c r="S573" i="11"/>
  <c r="U573" i="11" s="1"/>
  <c r="T573" i="11"/>
  <c r="X573" i="11"/>
  <c r="A574" i="11"/>
  <c r="C574" i="11"/>
  <c r="E574" i="11"/>
  <c r="F574" i="11"/>
  <c r="S574" i="11"/>
  <c r="U574" i="11" s="1"/>
  <c r="T574" i="11"/>
  <c r="X574" i="11"/>
  <c r="A576" i="11"/>
  <c r="C576" i="11"/>
  <c r="E576" i="11"/>
  <c r="F576" i="11"/>
  <c r="Q17" i="10" s="1"/>
  <c r="S576" i="11"/>
  <c r="U576" i="11" s="1"/>
  <c r="T576" i="11"/>
  <c r="V576" i="11" s="1"/>
  <c r="X576" i="11"/>
  <c r="A577" i="11"/>
  <c r="C577" i="11"/>
  <c r="E577" i="11"/>
  <c r="F577" i="11"/>
  <c r="T577" i="11"/>
  <c r="X577" i="11"/>
  <c r="A578" i="11"/>
  <c r="C578" i="11"/>
  <c r="E578" i="11"/>
  <c r="F578" i="11"/>
  <c r="T578" i="11"/>
  <c r="X578" i="11"/>
  <c r="A579" i="11"/>
  <c r="C579" i="11"/>
  <c r="E579" i="11"/>
  <c r="F579" i="11"/>
  <c r="T579" i="11"/>
  <c r="V579" i="11" s="1"/>
  <c r="X579" i="11"/>
  <c r="A582" i="11"/>
  <c r="C582" i="11"/>
  <c r="E582" i="11"/>
  <c r="F582" i="11"/>
  <c r="S582" i="11"/>
  <c r="T582" i="11"/>
  <c r="A583" i="11"/>
  <c r="C583" i="11"/>
  <c r="E583" i="11"/>
  <c r="F583" i="11"/>
  <c r="S583" i="11"/>
  <c r="T583" i="11"/>
  <c r="A584" i="11"/>
  <c r="C584" i="11"/>
  <c r="E584" i="11"/>
  <c r="F584" i="11"/>
  <c r="S584" i="11"/>
  <c r="T584" i="11"/>
  <c r="A585" i="11"/>
  <c r="C585" i="11"/>
  <c r="E585" i="11"/>
  <c r="F585" i="11"/>
  <c r="S585" i="11"/>
  <c r="T585" i="11"/>
  <c r="A586" i="11"/>
  <c r="C586" i="11"/>
  <c r="E586" i="11"/>
  <c r="F586" i="11"/>
  <c r="S586" i="11"/>
  <c r="T586" i="11"/>
  <c r="A587" i="11"/>
  <c r="C587" i="11"/>
  <c r="E587" i="11"/>
  <c r="F587" i="11"/>
  <c r="S587" i="11"/>
  <c r="T587" i="11"/>
  <c r="A588" i="11"/>
  <c r="C588" i="11"/>
  <c r="E588" i="11"/>
  <c r="F588" i="11"/>
  <c r="S588" i="11"/>
  <c r="T588" i="11"/>
  <c r="A589" i="11"/>
  <c r="C589" i="11"/>
  <c r="E589" i="11"/>
  <c r="F589" i="11"/>
  <c r="S589" i="11"/>
  <c r="T589" i="11"/>
  <c r="A590" i="11"/>
  <c r="C590" i="11"/>
  <c r="E590" i="11"/>
  <c r="F590" i="11"/>
  <c r="S590" i="11"/>
  <c r="T590" i="11"/>
  <c r="A591" i="11"/>
  <c r="C591" i="11"/>
  <c r="E591" i="11"/>
  <c r="F591" i="11"/>
  <c r="S591" i="11"/>
  <c r="T591" i="11"/>
  <c r="A592" i="11"/>
  <c r="C592" i="11"/>
  <c r="E592" i="11"/>
  <c r="F592" i="11"/>
  <c r="S592" i="11"/>
  <c r="T592" i="11"/>
  <c r="A593" i="11"/>
  <c r="C593" i="11"/>
  <c r="E593" i="11"/>
  <c r="F593" i="11"/>
  <c r="S593" i="11"/>
  <c r="T593" i="11"/>
  <c r="A594" i="11"/>
  <c r="C594" i="11"/>
  <c r="E594" i="11"/>
  <c r="F594" i="11"/>
  <c r="S594" i="11"/>
  <c r="T594" i="11"/>
  <c r="A595" i="11"/>
  <c r="C595" i="11"/>
  <c r="E595" i="11"/>
  <c r="F595" i="11"/>
  <c r="S595" i="11"/>
  <c r="T595" i="11"/>
  <c r="A596" i="11"/>
  <c r="C596" i="11"/>
  <c r="E596" i="11"/>
  <c r="F596" i="11"/>
  <c r="S596" i="11"/>
  <c r="T596" i="11"/>
  <c r="A597" i="11"/>
  <c r="C597" i="11"/>
  <c r="E597" i="11"/>
  <c r="F597" i="11"/>
  <c r="S597" i="11"/>
  <c r="T597" i="11"/>
  <c r="A598" i="11"/>
  <c r="C598" i="11"/>
  <c r="E598" i="11"/>
  <c r="F598" i="11"/>
  <c r="S598" i="11"/>
  <c r="T598" i="11"/>
  <c r="A599" i="11"/>
  <c r="C599" i="11"/>
  <c r="E599" i="11"/>
  <c r="F599" i="11"/>
  <c r="S599" i="11"/>
  <c r="T599" i="11"/>
  <c r="A600" i="11"/>
  <c r="C600" i="11"/>
  <c r="E600" i="11"/>
  <c r="F600" i="11"/>
  <c r="S600" i="11"/>
  <c r="T600" i="11"/>
  <c r="A601" i="11"/>
  <c r="C601" i="11"/>
  <c r="E601" i="11"/>
  <c r="F601" i="11"/>
  <c r="S601" i="11"/>
  <c r="T601" i="11"/>
  <c r="A602" i="11"/>
  <c r="C602" i="11"/>
  <c r="E602" i="11"/>
  <c r="F602" i="11"/>
  <c r="S602" i="11"/>
  <c r="T602" i="11"/>
  <c r="A603" i="11"/>
  <c r="C603" i="11"/>
  <c r="E603" i="11"/>
  <c r="F603" i="11"/>
  <c r="S603" i="11"/>
  <c r="T603" i="11"/>
  <c r="A604" i="11"/>
  <c r="C604" i="11"/>
  <c r="E604" i="11"/>
  <c r="F604" i="11"/>
  <c r="S604" i="11"/>
  <c r="T604" i="11"/>
  <c r="A605" i="11"/>
  <c r="C605" i="11"/>
  <c r="E605" i="11"/>
  <c r="F605" i="11"/>
  <c r="S605" i="11"/>
  <c r="T605" i="11"/>
  <c r="A580" i="11"/>
  <c r="C580" i="11"/>
  <c r="E580" i="11"/>
  <c r="F580" i="11"/>
  <c r="S580" i="11"/>
  <c r="T580" i="11"/>
  <c r="X580" i="11"/>
  <c r="A581" i="11"/>
  <c r="C581" i="11"/>
  <c r="E581" i="11"/>
  <c r="F581" i="11"/>
  <c r="S581" i="11"/>
  <c r="T581" i="11"/>
  <c r="X581" i="11"/>
  <c r="A608" i="11"/>
  <c r="C608" i="11"/>
  <c r="E608" i="11"/>
  <c r="F608" i="11"/>
  <c r="S608" i="11"/>
  <c r="T608" i="11"/>
  <c r="A609" i="11"/>
  <c r="C609" i="11"/>
  <c r="E609" i="11"/>
  <c r="F609" i="11"/>
  <c r="S609" i="11"/>
  <c r="T609" i="11"/>
  <c r="A610" i="11"/>
  <c r="C610" i="11"/>
  <c r="E610" i="11"/>
  <c r="F610" i="11"/>
  <c r="S610" i="11"/>
  <c r="T610" i="11"/>
  <c r="A611" i="11"/>
  <c r="C611" i="11"/>
  <c r="E611" i="11"/>
  <c r="F611" i="11"/>
  <c r="S611" i="11"/>
  <c r="T611" i="11"/>
  <c r="A612" i="11"/>
  <c r="C612" i="11"/>
  <c r="E612" i="11"/>
  <c r="F612" i="11"/>
  <c r="S612" i="11"/>
  <c r="T612" i="11"/>
  <c r="A613" i="11"/>
  <c r="C613" i="11"/>
  <c r="E613" i="11"/>
  <c r="F613" i="11"/>
  <c r="S613" i="11"/>
  <c r="T613" i="11"/>
  <c r="A614" i="11"/>
  <c r="C614" i="11"/>
  <c r="E614" i="11"/>
  <c r="F614" i="11"/>
  <c r="S614" i="11"/>
  <c r="T614" i="11"/>
  <c r="A615" i="11"/>
  <c r="C615" i="11"/>
  <c r="E615" i="11"/>
  <c r="F615" i="11"/>
  <c r="S615" i="11"/>
  <c r="T615" i="11"/>
  <c r="A616" i="11"/>
  <c r="C616" i="11"/>
  <c r="E616" i="11"/>
  <c r="F616" i="11"/>
  <c r="S616" i="11"/>
  <c r="T616" i="11"/>
  <c r="A617" i="11"/>
  <c r="C617" i="11"/>
  <c r="E617" i="11"/>
  <c r="F617" i="11"/>
  <c r="S617" i="11"/>
  <c r="T617" i="11"/>
  <c r="A618" i="11"/>
  <c r="C618" i="11"/>
  <c r="E618" i="11"/>
  <c r="F618" i="11"/>
  <c r="S618" i="11"/>
  <c r="T618" i="11"/>
  <c r="A619" i="11"/>
  <c r="C619" i="11"/>
  <c r="E619" i="11"/>
  <c r="F619" i="11"/>
  <c r="S619" i="11"/>
  <c r="T619" i="11"/>
  <c r="A620" i="11"/>
  <c r="C620" i="11"/>
  <c r="E620" i="11"/>
  <c r="F620" i="11"/>
  <c r="S620" i="11"/>
  <c r="T620" i="11"/>
  <c r="A621" i="11"/>
  <c r="C621" i="11"/>
  <c r="E621" i="11"/>
  <c r="F621" i="11"/>
  <c r="S621" i="11"/>
  <c r="T621" i="11"/>
  <c r="A622" i="11"/>
  <c r="C622" i="11"/>
  <c r="E622" i="11"/>
  <c r="F622" i="11"/>
  <c r="S622" i="11"/>
  <c r="T622" i="11"/>
  <c r="A623" i="11"/>
  <c r="C623" i="11"/>
  <c r="E623" i="11"/>
  <c r="F623" i="11"/>
  <c r="S623" i="11"/>
  <c r="T623" i="11"/>
  <c r="A624" i="11"/>
  <c r="C624" i="11"/>
  <c r="E624" i="11"/>
  <c r="F624" i="11"/>
  <c r="S624" i="11"/>
  <c r="T624" i="11"/>
  <c r="A625" i="11"/>
  <c r="C625" i="11"/>
  <c r="E625" i="11"/>
  <c r="F625" i="11"/>
  <c r="S625" i="11"/>
  <c r="T625" i="11"/>
  <c r="A626" i="11"/>
  <c r="C626" i="11"/>
  <c r="E626" i="11"/>
  <c r="F626" i="11"/>
  <c r="S626" i="11"/>
  <c r="T626" i="11"/>
  <c r="A627" i="11"/>
  <c r="C627" i="11"/>
  <c r="E627" i="11"/>
  <c r="F627" i="11"/>
  <c r="S627" i="11"/>
  <c r="T627" i="11"/>
  <c r="A628" i="11"/>
  <c r="C628" i="11"/>
  <c r="E628" i="11"/>
  <c r="F628" i="11"/>
  <c r="S628" i="11"/>
  <c r="T628" i="11"/>
  <c r="A629" i="11"/>
  <c r="C629" i="11"/>
  <c r="E629" i="11"/>
  <c r="F629" i="11"/>
  <c r="S629" i="11"/>
  <c r="T629" i="11"/>
  <c r="A630" i="11"/>
  <c r="C630" i="11"/>
  <c r="E630" i="11"/>
  <c r="F630" i="11"/>
  <c r="S630" i="11"/>
  <c r="T630" i="11"/>
  <c r="A631" i="11"/>
  <c r="C631" i="11"/>
  <c r="E631" i="11"/>
  <c r="F631" i="11"/>
  <c r="S631" i="11"/>
  <c r="T631" i="11"/>
  <c r="A606" i="11"/>
  <c r="C606" i="11"/>
  <c r="E606" i="11"/>
  <c r="F606" i="11"/>
  <c r="S606" i="11"/>
  <c r="T606" i="11"/>
  <c r="X606" i="11"/>
  <c r="A607" i="11"/>
  <c r="C607" i="11"/>
  <c r="E607" i="11"/>
  <c r="F607" i="11"/>
  <c r="S607" i="11"/>
  <c r="T607" i="11"/>
  <c r="X607" i="11"/>
  <c r="A634" i="11"/>
  <c r="C634" i="11"/>
  <c r="E634" i="11"/>
  <c r="F634" i="11"/>
  <c r="S634" i="11"/>
  <c r="T634" i="11"/>
  <c r="A635" i="11"/>
  <c r="C635" i="11"/>
  <c r="E635" i="11"/>
  <c r="F635" i="11"/>
  <c r="S635" i="11"/>
  <c r="T635" i="11"/>
  <c r="A636" i="11"/>
  <c r="C636" i="11"/>
  <c r="E636" i="11"/>
  <c r="F636" i="11"/>
  <c r="S636" i="11"/>
  <c r="T636" i="11"/>
  <c r="A637" i="11"/>
  <c r="C637" i="11"/>
  <c r="E637" i="11"/>
  <c r="F637" i="11"/>
  <c r="S637" i="11"/>
  <c r="T637" i="11"/>
  <c r="A638" i="11"/>
  <c r="C638" i="11"/>
  <c r="E638" i="11"/>
  <c r="F638" i="11"/>
  <c r="S638" i="11"/>
  <c r="T638" i="11"/>
  <c r="A639" i="11"/>
  <c r="C639" i="11"/>
  <c r="E639" i="11"/>
  <c r="F639" i="11"/>
  <c r="S639" i="11"/>
  <c r="T639" i="11"/>
  <c r="A640" i="11"/>
  <c r="C640" i="11"/>
  <c r="E640" i="11"/>
  <c r="F640" i="11"/>
  <c r="S640" i="11"/>
  <c r="T640" i="11"/>
  <c r="A641" i="11"/>
  <c r="C641" i="11"/>
  <c r="E641" i="11"/>
  <c r="F641" i="11"/>
  <c r="S641" i="11"/>
  <c r="T641" i="11"/>
  <c r="A642" i="11"/>
  <c r="C642" i="11"/>
  <c r="E642" i="11"/>
  <c r="F642" i="11"/>
  <c r="S642" i="11"/>
  <c r="T642" i="11"/>
  <c r="A643" i="11"/>
  <c r="C643" i="11"/>
  <c r="E643" i="11"/>
  <c r="F643" i="11"/>
  <c r="S643" i="11"/>
  <c r="T643" i="11"/>
  <c r="A644" i="11"/>
  <c r="C644" i="11"/>
  <c r="E644" i="11"/>
  <c r="F644" i="11"/>
  <c r="S644" i="11"/>
  <c r="T644" i="11"/>
  <c r="A645" i="11"/>
  <c r="C645" i="11"/>
  <c r="E645" i="11"/>
  <c r="F645" i="11"/>
  <c r="S645" i="11"/>
  <c r="T645" i="11"/>
  <c r="A646" i="11"/>
  <c r="C646" i="11"/>
  <c r="E646" i="11"/>
  <c r="F646" i="11"/>
  <c r="S646" i="11"/>
  <c r="T646" i="11"/>
  <c r="A647" i="11"/>
  <c r="C647" i="11"/>
  <c r="E647" i="11"/>
  <c r="F647" i="11"/>
  <c r="S647" i="11"/>
  <c r="T647" i="11"/>
  <c r="A648" i="11"/>
  <c r="C648" i="11"/>
  <c r="E648" i="11"/>
  <c r="F648" i="11"/>
  <c r="S648" i="11"/>
  <c r="T648" i="11"/>
  <c r="A649" i="11"/>
  <c r="C649" i="11"/>
  <c r="E649" i="11"/>
  <c r="F649" i="11"/>
  <c r="S649" i="11"/>
  <c r="T649" i="11"/>
  <c r="A650" i="11"/>
  <c r="C650" i="11"/>
  <c r="E650" i="11"/>
  <c r="F650" i="11"/>
  <c r="S650" i="11"/>
  <c r="T650" i="11"/>
  <c r="A651" i="11"/>
  <c r="C651" i="11"/>
  <c r="E651" i="11"/>
  <c r="F651" i="11"/>
  <c r="S651" i="11"/>
  <c r="T651" i="11"/>
  <c r="A652" i="11"/>
  <c r="C652" i="11"/>
  <c r="E652" i="11"/>
  <c r="F652" i="11"/>
  <c r="S652" i="11"/>
  <c r="T652" i="11"/>
  <c r="A653" i="11"/>
  <c r="C653" i="11"/>
  <c r="E653" i="11"/>
  <c r="F653" i="11"/>
  <c r="S653" i="11"/>
  <c r="T653" i="11"/>
  <c r="A654" i="11"/>
  <c r="C654" i="11"/>
  <c r="E654" i="11"/>
  <c r="F654" i="11"/>
  <c r="S654" i="11"/>
  <c r="T654" i="11"/>
  <c r="A655" i="11"/>
  <c r="C655" i="11"/>
  <c r="E655" i="11"/>
  <c r="F655" i="11"/>
  <c r="S655" i="11"/>
  <c r="T655" i="11"/>
  <c r="A656" i="11"/>
  <c r="C656" i="11"/>
  <c r="E656" i="11"/>
  <c r="F656" i="11"/>
  <c r="S656" i="11"/>
  <c r="T656" i="11"/>
  <c r="A657" i="11"/>
  <c r="C657" i="11"/>
  <c r="E657" i="11"/>
  <c r="F657" i="11"/>
  <c r="S657" i="11"/>
  <c r="T657" i="11"/>
  <c r="A632" i="11"/>
  <c r="C632" i="11"/>
  <c r="E632" i="11"/>
  <c r="F632" i="11"/>
  <c r="S632" i="11"/>
  <c r="U632" i="11" s="1"/>
  <c r="T632" i="11"/>
  <c r="X632" i="11"/>
  <c r="A633" i="11"/>
  <c r="C633" i="11"/>
  <c r="E633" i="11"/>
  <c r="F633" i="11"/>
  <c r="S633" i="11"/>
  <c r="T633" i="11"/>
  <c r="X633" i="11"/>
  <c r="A660" i="11"/>
  <c r="C660" i="11"/>
  <c r="E660" i="11"/>
  <c r="F660" i="11"/>
  <c r="Q623" i="10" s="1"/>
  <c r="S660" i="11"/>
  <c r="T660" i="11"/>
  <c r="A673" i="11"/>
  <c r="C673" i="11"/>
  <c r="E673" i="11"/>
  <c r="F673" i="11"/>
  <c r="Q624" i="10" s="1"/>
  <c r="S673" i="11"/>
  <c r="T673" i="11"/>
  <c r="A674" i="11"/>
  <c r="C674" i="11"/>
  <c r="E674" i="11"/>
  <c r="F674" i="11"/>
  <c r="Q631" i="10" s="1"/>
  <c r="S674" i="11"/>
  <c r="T674" i="11"/>
  <c r="A675" i="11"/>
  <c r="C675" i="11"/>
  <c r="E675" i="11"/>
  <c r="F675" i="11"/>
  <c r="S675" i="11"/>
  <c r="T675" i="11"/>
  <c r="A676" i="11"/>
  <c r="C676" i="11"/>
  <c r="E676" i="11"/>
  <c r="F676" i="11"/>
  <c r="Q635" i="10" s="1"/>
  <c r="S676" i="11"/>
  <c r="T676" i="11"/>
  <c r="A677" i="11"/>
  <c r="C677" i="11"/>
  <c r="E677" i="11"/>
  <c r="F677" i="11"/>
  <c r="Q632" i="10" s="1"/>
  <c r="S677" i="11"/>
  <c r="T677" i="11"/>
  <c r="A678" i="11"/>
  <c r="C678" i="11"/>
  <c r="E678" i="11"/>
  <c r="F678" i="11"/>
  <c r="Q639" i="10" s="1"/>
  <c r="S678" i="11"/>
  <c r="T678" i="11"/>
  <c r="A679" i="11"/>
  <c r="C679" i="11"/>
  <c r="E679" i="11"/>
  <c r="F679" i="11"/>
  <c r="Q636" i="10" s="1"/>
  <c r="S679" i="11"/>
  <c r="T679" i="11"/>
  <c r="A680" i="11"/>
  <c r="C680" i="11"/>
  <c r="E680" i="11"/>
  <c r="F680" i="11"/>
  <c r="Q643" i="10" s="1"/>
  <c r="S680" i="11"/>
  <c r="T680" i="11"/>
  <c r="A681" i="11"/>
  <c r="C681" i="11"/>
  <c r="E681" i="11"/>
  <c r="F681" i="11"/>
  <c r="Q640" i="10" s="1"/>
  <c r="S681" i="11"/>
  <c r="T681" i="11"/>
  <c r="A682" i="11"/>
  <c r="C682" i="11"/>
  <c r="E682" i="11"/>
  <c r="F682" i="11"/>
  <c r="Q647" i="10" s="1"/>
  <c r="S682" i="11"/>
  <c r="T682" i="11"/>
  <c r="A683" i="11"/>
  <c r="C683" i="11"/>
  <c r="E683" i="11"/>
  <c r="F683" i="11"/>
  <c r="Q644" i="10" s="1"/>
  <c r="S683" i="11"/>
  <c r="T683" i="11"/>
  <c r="A658" i="11"/>
  <c r="C658" i="11"/>
  <c r="E658" i="11"/>
  <c r="F658" i="11"/>
  <c r="Q651" i="10" s="1"/>
  <c r="S658" i="11"/>
  <c r="T658" i="11"/>
  <c r="X658" i="11"/>
  <c r="A684" i="11"/>
  <c r="C684" i="11"/>
  <c r="E684" i="11"/>
  <c r="F684" i="11"/>
  <c r="Q780" i="10" s="1"/>
  <c r="S684" i="11"/>
  <c r="U684" i="11" s="1"/>
  <c r="T684" i="11"/>
  <c r="V684" i="11" s="1"/>
  <c r="X684" i="11"/>
  <c r="A685" i="11"/>
  <c r="C685" i="11"/>
  <c r="E685" i="11"/>
  <c r="F685" i="11"/>
  <c r="S685" i="11"/>
  <c r="U685" i="11" s="1"/>
  <c r="T685" i="11"/>
  <c r="V685" i="11" s="1"/>
  <c r="X685" i="11"/>
  <c r="A686" i="11"/>
  <c r="C686" i="11"/>
  <c r="E686" i="11"/>
  <c r="F686" i="11"/>
  <c r="Q782" i="10" s="1"/>
  <c r="S686" i="11"/>
  <c r="U686" i="11" s="1"/>
  <c r="T686" i="11"/>
  <c r="V686" i="11" s="1"/>
  <c r="X686" i="11"/>
  <c r="A687" i="11"/>
  <c r="C687" i="11"/>
  <c r="E687" i="11"/>
  <c r="F687" i="11"/>
  <c r="S687" i="11"/>
  <c r="U687" i="11" s="1"/>
  <c r="T687" i="11"/>
  <c r="V687" i="11" s="1"/>
  <c r="X687" i="11"/>
  <c r="A697" i="11"/>
  <c r="C697" i="11"/>
  <c r="E697" i="11"/>
  <c r="F697" i="11"/>
  <c r="Q784" i="10" s="1"/>
  <c r="S697" i="11"/>
  <c r="T697" i="11"/>
  <c r="X697" i="11"/>
  <c r="Q437" i="10"/>
  <c r="A698" i="11"/>
  <c r="C698" i="11"/>
  <c r="E698" i="11"/>
  <c r="F698" i="11"/>
  <c r="S698" i="11"/>
  <c r="U698" i="11" s="1"/>
  <c r="T698" i="11"/>
  <c r="X698" i="11"/>
  <c r="A699" i="11"/>
  <c r="C699" i="11"/>
  <c r="E699" i="11"/>
  <c r="F699" i="11"/>
  <c r="S699" i="11"/>
  <c r="U699" i="11" s="1"/>
  <c r="T699" i="11"/>
  <c r="X699" i="11"/>
  <c r="A700" i="11"/>
  <c r="C700" i="11"/>
  <c r="E700" i="11"/>
  <c r="F700" i="11"/>
  <c r="S700" i="11"/>
  <c r="U700" i="11" s="1"/>
  <c r="T700" i="11"/>
  <c r="X700" i="11"/>
  <c r="A701" i="11"/>
  <c r="C701" i="11"/>
  <c r="E701" i="11"/>
  <c r="F701" i="11"/>
  <c r="S701" i="11"/>
  <c r="T701" i="11"/>
  <c r="X701" i="11"/>
  <c r="A702" i="11"/>
  <c r="C702" i="11"/>
  <c r="E702" i="11"/>
  <c r="F702" i="11"/>
  <c r="S702" i="11"/>
  <c r="U702" i="11" s="1"/>
  <c r="T702" i="11"/>
  <c r="X702" i="11"/>
  <c r="A703" i="11"/>
  <c r="C703" i="11"/>
  <c r="E703" i="11"/>
  <c r="F703" i="11"/>
  <c r="S703" i="11"/>
  <c r="T703" i="11"/>
  <c r="X703" i="11"/>
  <c r="A704" i="11"/>
  <c r="C704" i="11"/>
  <c r="E704" i="11"/>
  <c r="F704" i="11"/>
  <c r="Q798" i="10" s="1"/>
  <c r="S704" i="11"/>
  <c r="U704" i="11" s="1"/>
  <c r="T704" i="11"/>
  <c r="X704" i="11"/>
  <c r="A705" i="11"/>
  <c r="C705" i="11"/>
  <c r="E705" i="11"/>
  <c r="F705" i="11"/>
  <c r="S705" i="11"/>
  <c r="U705" i="11" s="1"/>
  <c r="T705" i="11"/>
  <c r="X705" i="11"/>
  <c r="A706" i="11"/>
  <c r="C706" i="11"/>
  <c r="E706" i="11"/>
  <c r="F706" i="11"/>
  <c r="S706" i="11"/>
  <c r="U706" i="11" s="1"/>
  <c r="T706" i="11"/>
  <c r="X706" i="11"/>
  <c r="A707" i="11"/>
  <c r="C707" i="11"/>
  <c r="E707" i="11"/>
  <c r="F707" i="11"/>
  <c r="S707" i="11"/>
  <c r="T707" i="11"/>
  <c r="X707" i="11"/>
  <c r="A708" i="11"/>
  <c r="C708" i="11"/>
  <c r="E708" i="11"/>
  <c r="F708" i="11"/>
  <c r="S708" i="11"/>
  <c r="U708" i="11" s="1"/>
  <c r="T708" i="11"/>
  <c r="X708" i="11"/>
  <c r="A709" i="11"/>
  <c r="C709" i="11"/>
  <c r="E709" i="11"/>
  <c r="F709" i="11"/>
  <c r="S709" i="11"/>
  <c r="T709" i="11"/>
  <c r="X709" i="11"/>
  <c r="A710" i="11"/>
  <c r="C710" i="11"/>
  <c r="E710" i="11"/>
  <c r="F710" i="11"/>
  <c r="Q804" i="10" s="1"/>
  <c r="S710" i="11"/>
  <c r="U710" i="11" s="1"/>
  <c r="T710" i="11"/>
  <c r="X710" i="11"/>
  <c r="A715" i="11"/>
  <c r="C715" i="11"/>
  <c r="E715" i="11"/>
  <c r="F715" i="11"/>
  <c r="S715" i="11"/>
  <c r="U715" i="11" s="1"/>
  <c r="T715" i="11"/>
  <c r="X715" i="11"/>
  <c r="A716" i="11"/>
  <c r="C716" i="11"/>
  <c r="E716" i="11"/>
  <c r="F716" i="11"/>
  <c r="S716" i="11"/>
  <c r="U716" i="11" s="1"/>
  <c r="T716" i="11"/>
  <c r="X716" i="11"/>
  <c r="A717" i="11"/>
  <c r="C717" i="11"/>
  <c r="E717" i="11"/>
  <c r="F717" i="11"/>
  <c r="S717" i="11"/>
  <c r="T717" i="11"/>
  <c r="X717" i="11"/>
  <c r="A718" i="11"/>
  <c r="C718" i="11"/>
  <c r="E718" i="11"/>
  <c r="F718" i="11"/>
  <c r="S718" i="11"/>
  <c r="U718" i="11" s="1"/>
  <c r="T718" i="11"/>
  <c r="X718" i="11"/>
  <c r="AD718" i="11" s="1"/>
  <c r="A719" i="11"/>
  <c r="C719" i="11"/>
  <c r="E719" i="11"/>
  <c r="F719" i="11"/>
  <c r="S719" i="11"/>
  <c r="T719" i="11"/>
  <c r="X719" i="11"/>
  <c r="A720" i="11"/>
  <c r="C720" i="11"/>
  <c r="E720" i="11"/>
  <c r="F720" i="11"/>
  <c r="S720" i="11"/>
  <c r="U720" i="11" s="1"/>
  <c r="T720" i="11"/>
  <c r="X720" i="11"/>
  <c r="A721" i="11"/>
  <c r="C721" i="11"/>
  <c r="E721" i="11"/>
  <c r="F721" i="11"/>
  <c r="S721" i="11"/>
  <c r="U721" i="11" s="1"/>
  <c r="T721" i="11"/>
  <c r="X721" i="11"/>
  <c r="A722" i="11"/>
  <c r="C722" i="11"/>
  <c r="E722" i="11"/>
  <c r="F722" i="11"/>
  <c r="S722" i="11"/>
  <c r="U722" i="11" s="1"/>
  <c r="T722" i="11"/>
  <c r="X722" i="11"/>
  <c r="A723" i="11"/>
  <c r="C723" i="11"/>
  <c r="E723" i="11"/>
  <c r="F723" i="11"/>
  <c r="S723" i="11"/>
  <c r="T723" i="11"/>
  <c r="X723" i="11"/>
  <c r="A724" i="11"/>
  <c r="C724" i="11"/>
  <c r="E724" i="11"/>
  <c r="F724" i="11"/>
  <c r="S724" i="11"/>
  <c r="U724" i="11" s="1"/>
  <c r="T724" i="11"/>
  <c r="X724" i="11"/>
  <c r="AD724" i="11" s="1"/>
  <c r="A725" i="11"/>
  <c r="C725" i="11"/>
  <c r="E725" i="11"/>
  <c r="F725" i="11"/>
  <c r="S725" i="11"/>
  <c r="T725" i="11"/>
  <c r="X725" i="11"/>
  <c r="A726" i="11"/>
  <c r="C726" i="11"/>
  <c r="E726" i="11"/>
  <c r="F726" i="11"/>
  <c r="S726" i="11"/>
  <c r="U726" i="11" s="1"/>
  <c r="T726" i="11"/>
  <c r="X726" i="11"/>
  <c r="AD726" i="11"/>
  <c r="A727" i="11"/>
  <c r="C727" i="11"/>
  <c r="E727" i="11"/>
  <c r="F727" i="11"/>
  <c r="S727" i="11"/>
  <c r="U727" i="11" s="1"/>
  <c r="T727" i="11"/>
  <c r="X727" i="11"/>
  <c r="A728" i="11"/>
  <c r="C728" i="11"/>
  <c r="E728" i="11"/>
  <c r="F728" i="11"/>
  <c r="S728" i="11"/>
  <c r="U728" i="11" s="1"/>
  <c r="T728" i="11"/>
  <c r="X728" i="11"/>
  <c r="A729" i="11"/>
  <c r="C729" i="11"/>
  <c r="E729" i="11"/>
  <c r="F729" i="11"/>
  <c r="S729" i="11"/>
  <c r="T729" i="11"/>
  <c r="X729" i="11"/>
  <c r="A730" i="11"/>
  <c r="C730" i="11"/>
  <c r="E730" i="11"/>
  <c r="F730" i="11"/>
  <c r="S730" i="11"/>
  <c r="U730" i="11" s="1"/>
  <c r="T730" i="11"/>
  <c r="X730" i="11"/>
  <c r="AD730" i="11"/>
  <c r="A731" i="11"/>
  <c r="C731" i="11"/>
  <c r="E731" i="11"/>
  <c r="F731" i="11"/>
  <c r="S731" i="11"/>
  <c r="T731" i="11"/>
  <c r="X731" i="11"/>
  <c r="A732" i="11"/>
  <c r="C732" i="11"/>
  <c r="E732" i="11"/>
  <c r="F732" i="11"/>
  <c r="S732" i="11"/>
  <c r="U732" i="11" s="1"/>
  <c r="T732" i="11"/>
  <c r="X732" i="11"/>
  <c r="A733" i="11"/>
  <c r="C733" i="11"/>
  <c r="E733" i="11"/>
  <c r="F733" i="11"/>
  <c r="S733" i="11"/>
  <c r="U733" i="11" s="1"/>
  <c r="T733" i="11"/>
  <c r="X733" i="11"/>
  <c r="AD733" i="11"/>
  <c r="A734" i="11"/>
  <c r="C734" i="11"/>
  <c r="E734" i="11"/>
  <c r="F734" i="11"/>
  <c r="S734" i="11"/>
  <c r="U734" i="11" s="1"/>
  <c r="T734" i="11"/>
  <c r="X734" i="11"/>
  <c r="AD734" i="11"/>
  <c r="A735" i="11"/>
  <c r="C735" i="11"/>
  <c r="E735" i="11"/>
  <c r="F735" i="11"/>
  <c r="S735" i="11"/>
  <c r="T735" i="11"/>
  <c r="X735" i="11"/>
  <c r="A736" i="11"/>
  <c r="C736" i="11"/>
  <c r="E736" i="11"/>
  <c r="F736" i="11"/>
  <c r="S736" i="11"/>
  <c r="U736" i="11" s="1"/>
  <c r="T736" i="11"/>
  <c r="X736" i="11"/>
  <c r="A737" i="11"/>
  <c r="C737" i="11"/>
  <c r="E737" i="11"/>
  <c r="F737" i="11"/>
  <c r="S737" i="11"/>
  <c r="T737" i="11"/>
  <c r="X737" i="11"/>
  <c r="A738" i="11"/>
  <c r="C738" i="11"/>
  <c r="E738" i="11"/>
  <c r="F738" i="11"/>
  <c r="S738" i="11"/>
  <c r="U738" i="11" s="1"/>
  <c r="T738" i="11"/>
  <c r="X738" i="11"/>
  <c r="A739" i="11"/>
  <c r="C739" i="11"/>
  <c r="E739" i="11"/>
  <c r="F739" i="11"/>
  <c r="S739" i="11"/>
  <c r="U739" i="11" s="1"/>
  <c r="T739" i="11"/>
  <c r="X739" i="11"/>
  <c r="A740" i="11"/>
  <c r="C740" i="11"/>
  <c r="E740" i="11"/>
  <c r="F740" i="11"/>
  <c r="S740" i="11"/>
  <c r="U740" i="11" s="1"/>
  <c r="T740" i="11"/>
  <c r="X740" i="11"/>
  <c r="A741" i="11"/>
  <c r="C741" i="11"/>
  <c r="E741" i="11"/>
  <c r="F741" i="11"/>
  <c r="S741" i="11"/>
  <c r="T741" i="11"/>
  <c r="X741" i="11"/>
  <c r="A742" i="11"/>
  <c r="C742" i="11"/>
  <c r="E742" i="11"/>
  <c r="F742" i="11"/>
  <c r="S742" i="11"/>
  <c r="U742" i="11" s="1"/>
  <c r="T742" i="11"/>
  <c r="X742" i="11"/>
  <c r="A743" i="11"/>
  <c r="C743" i="11"/>
  <c r="E743" i="11"/>
  <c r="F743" i="11"/>
  <c r="S743" i="11"/>
  <c r="U743" i="11" s="1"/>
  <c r="T743" i="11"/>
  <c r="X743" i="11"/>
  <c r="A744" i="11"/>
  <c r="C744" i="11"/>
  <c r="E744" i="11"/>
  <c r="F744" i="11"/>
  <c r="S744" i="11"/>
  <c r="U744" i="11" s="1"/>
  <c r="T744" i="11"/>
  <c r="X744" i="11"/>
  <c r="AD744" i="11" s="1"/>
  <c r="A745" i="11"/>
  <c r="C745" i="11"/>
  <c r="E745" i="11"/>
  <c r="F745" i="11"/>
  <c r="Q862" i="10" s="1"/>
  <c r="S745" i="11"/>
  <c r="U745" i="11" s="1"/>
  <c r="T745" i="11"/>
  <c r="X745" i="11"/>
  <c r="S483" i="11"/>
  <c r="T483" i="11"/>
  <c r="A483" i="11"/>
  <c r="C483" i="11"/>
  <c r="E483" i="11"/>
  <c r="F483" i="11"/>
  <c r="Q2" i="10" s="1"/>
  <c r="Q265" i="10"/>
  <c r="Q19" i="10"/>
  <c r="V871" i="11" l="1"/>
  <c r="V870" i="11"/>
  <c r="W870" i="11"/>
  <c r="AB869" i="11"/>
  <c r="AC869" i="11"/>
  <c r="V869" i="11"/>
  <c r="AB868" i="11"/>
  <c r="AC868" i="11"/>
  <c r="V868" i="11"/>
  <c r="Q861" i="10"/>
  <c r="Q856" i="10"/>
  <c r="Q858" i="10"/>
  <c r="Q857" i="10"/>
  <c r="Q859" i="10"/>
  <c r="Q860" i="10"/>
  <c r="Q865" i="10"/>
  <c r="Q864" i="10"/>
  <c r="Q863" i="10"/>
  <c r="Q866" i="10"/>
  <c r="V577" i="11"/>
  <c r="AD743" i="11"/>
  <c r="U725" i="11"/>
  <c r="U709" i="11"/>
  <c r="P866" i="11"/>
  <c r="Q866" i="11" s="1"/>
  <c r="R866" i="11" s="1"/>
  <c r="P690" i="11"/>
  <c r="Q690" i="11" s="1"/>
  <c r="R690" i="11" s="1"/>
  <c r="P696" i="11"/>
  <c r="Q696" i="11" s="1"/>
  <c r="R696" i="11" s="1"/>
  <c r="P867" i="11"/>
  <c r="Q867" i="11" s="1"/>
  <c r="R867" i="11" s="1"/>
  <c r="U578" i="11"/>
  <c r="U741" i="11"/>
  <c r="U731" i="11"/>
  <c r="U547" i="11"/>
  <c r="P691" i="11"/>
  <c r="Q691" i="11" s="1"/>
  <c r="R691" i="11" s="1"/>
  <c r="P695" i="11"/>
  <c r="Q695" i="11" s="1"/>
  <c r="R695" i="11" s="1"/>
  <c r="U719" i="11"/>
  <c r="U703" i="11"/>
  <c r="V578" i="11"/>
  <c r="U723" i="11"/>
  <c r="U707" i="11"/>
  <c r="U737" i="11"/>
  <c r="U701" i="11"/>
  <c r="P689" i="11"/>
  <c r="Q689" i="11" s="1"/>
  <c r="R689" i="11" s="1"/>
  <c r="U717" i="11"/>
  <c r="P692" i="11"/>
  <c r="Q692" i="11" s="1"/>
  <c r="R692" i="11" s="1"/>
  <c r="U729" i="11"/>
  <c r="U735" i="11"/>
  <c r="P853" i="11"/>
  <c r="Q853" i="11" s="1"/>
  <c r="R853" i="11" s="1"/>
  <c r="P693" i="11"/>
  <c r="Q693" i="11" s="1"/>
  <c r="R693" i="11" s="1"/>
  <c r="P694" i="11"/>
  <c r="Q694" i="11" s="1"/>
  <c r="R694" i="11" s="1"/>
  <c r="W865" i="11"/>
  <c r="V865" i="11"/>
  <c r="AD697" i="11"/>
  <c r="U697" i="11"/>
  <c r="Q20" i="10"/>
  <c r="Q737" i="10"/>
  <c r="Q735" i="10"/>
  <c r="Q733" i="10"/>
  <c r="Q845" i="10"/>
  <c r="Q628" i="10"/>
  <c r="Q843" i="10"/>
  <c r="Q732" i="10"/>
  <c r="AD719" i="11"/>
  <c r="Q837" i="10"/>
  <c r="Q764" i="10"/>
  <c r="Q762" i="10"/>
  <c r="Q760" i="10"/>
  <c r="Q758" i="10"/>
  <c r="Q761" i="10"/>
  <c r="Q759" i="10"/>
  <c r="Q763" i="10"/>
  <c r="Q842" i="10"/>
  <c r="Q738" i="10"/>
  <c r="Q734" i="10"/>
  <c r="Q840" i="10"/>
  <c r="Q619" i="10"/>
  <c r="Q767" i="10"/>
  <c r="Q838" i="10"/>
  <c r="Q766" i="10"/>
  <c r="Q603" i="10"/>
  <c r="Q629" i="10"/>
  <c r="Q851" i="10"/>
  <c r="Q846" i="10"/>
  <c r="Q855" i="10"/>
  <c r="Q625" i="10"/>
  <c r="Q841" i="10"/>
  <c r="Q836" i="10"/>
  <c r="Q736" i="10"/>
  <c r="Q741" i="10"/>
  <c r="Q854" i="10"/>
  <c r="Q617" i="10"/>
  <c r="Q602" i="10"/>
  <c r="Q613" i="10"/>
  <c r="Q649" i="10"/>
  <c r="Q609" i="10"/>
  <c r="Q743" i="10"/>
  <c r="Q742" i="10"/>
  <c r="Q844" i="10"/>
  <c r="Q839" i="10"/>
  <c r="Q621" i="10"/>
  <c r="Q645" i="10"/>
  <c r="Q740" i="10"/>
  <c r="Q852" i="10"/>
  <c r="Q641" i="10"/>
  <c r="Q637" i="10"/>
  <c r="Q611" i="10"/>
  <c r="Q633" i="10"/>
  <c r="Q615" i="10"/>
  <c r="Q605" i="10"/>
  <c r="Q769" i="10"/>
  <c r="N90" i="2"/>
  <c r="O90" i="2" s="1"/>
  <c r="W864" i="11"/>
  <c r="Q436" i="11"/>
  <c r="R436" i="11" s="1"/>
  <c r="Q854" i="11"/>
  <c r="R854" i="11" s="1"/>
  <c r="V854" i="11" s="1"/>
  <c r="Q857" i="11"/>
  <c r="R857" i="11" s="1"/>
  <c r="V857" i="11" s="1"/>
  <c r="Q435" i="11"/>
  <c r="R435" i="11" s="1"/>
  <c r="Q713" i="11"/>
  <c r="R713" i="11" s="1"/>
  <c r="V713" i="11" s="1"/>
  <c r="Q824" i="11"/>
  <c r="R824" i="11" s="1"/>
  <c r="V824" i="11" s="1"/>
  <c r="Q712" i="11"/>
  <c r="R712" i="11" s="1"/>
  <c r="V712" i="11" s="1"/>
  <c r="Q856" i="11"/>
  <c r="R856" i="11" s="1"/>
  <c r="V856" i="11" s="1"/>
  <c r="Q798" i="11"/>
  <c r="R798" i="11" s="1"/>
  <c r="V798" i="11" s="1"/>
  <c r="Q861" i="11"/>
  <c r="R861" i="11" s="1"/>
  <c r="V861" i="11" s="1"/>
  <c r="Q437" i="11"/>
  <c r="R437" i="11" s="1"/>
  <c r="Q711" i="11"/>
  <c r="R711" i="11" s="1"/>
  <c r="V711" i="11" s="1"/>
  <c r="Q714" i="11"/>
  <c r="R714" i="11" s="1"/>
  <c r="V714" i="11" s="1"/>
  <c r="Q851" i="11"/>
  <c r="R851" i="11" s="1"/>
  <c r="V851" i="11" s="1"/>
  <c r="Q746" i="11"/>
  <c r="R746" i="11" s="1"/>
  <c r="V746" i="11" s="1"/>
  <c r="Q850" i="11"/>
  <c r="R850" i="11" s="1"/>
  <c r="V850" i="11" s="1"/>
  <c r="Q863" i="11"/>
  <c r="R863" i="11" s="1"/>
  <c r="V863" i="11" s="1"/>
  <c r="Q855" i="11"/>
  <c r="R855" i="11" s="1"/>
  <c r="V855" i="11" s="1"/>
  <c r="Q860" i="11"/>
  <c r="R860" i="11" s="1"/>
  <c r="V860" i="11" s="1"/>
  <c r="Q862" i="11"/>
  <c r="R862" i="11" s="1"/>
  <c r="V862" i="11" s="1"/>
  <c r="Q859" i="11"/>
  <c r="R859" i="11" s="1"/>
  <c r="V859" i="11" s="1"/>
  <c r="Q303" i="11"/>
  <c r="R303" i="11" s="1"/>
  <c r="V303" i="11" s="1"/>
  <c r="Q858" i="11"/>
  <c r="R858" i="11" s="1"/>
  <c r="V858" i="11" s="1"/>
  <c r="Q852" i="11"/>
  <c r="R852" i="11" s="1"/>
  <c r="V852" i="11" s="1"/>
  <c r="AD725" i="11"/>
  <c r="AD731" i="11"/>
  <c r="AD737" i="11"/>
  <c r="AD716" i="11"/>
  <c r="AD722" i="11"/>
  <c r="AD728" i="11"/>
  <c r="AD740" i="11"/>
  <c r="AD717" i="11"/>
  <c r="AD723" i="11"/>
  <c r="AD729" i="11"/>
  <c r="AD735" i="11"/>
  <c r="AD741" i="11"/>
  <c r="S147" i="2"/>
  <c r="Q808" i="10"/>
  <c r="Q812" i="10"/>
  <c r="Q810" i="10"/>
  <c r="X147" i="2"/>
  <c r="W147" i="2"/>
  <c r="Q835" i="10"/>
  <c r="Q853" i="10"/>
  <c r="Q831" i="10"/>
  <c r="Q849" i="10"/>
  <c r="Q832" i="10"/>
  <c r="Q850" i="10"/>
  <c r="Q829" i="10"/>
  <c r="Q847" i="10"/>
  <c r="Q830" i="10"/>
  <c r="Q848" i="10"/>
  <c r="Q814" i="10"/>
  <c r="Q834" i="10"/>
  <c r="Q833" i="10"/>
  <c r="Q806" i="10"/>
  <c r="X89" i="2"/>
  <c r="W89" i="2"/>
  <c r="S89" i="2"/>
  <c r="Q752" i="10"/>
  <c r="Q765" i="10"/>
  <c r="Q726" i="10"/>
  <c r="Q739" i="10"/>
  <c r="Q596" i="10"/>
  <c r="O772" i="11"/>
  <c r="P772" i="11" s="1"/>
  <c r="Q319" i="10"/>
  <c r="Q316" i="10"/>
  <c r="Q217" i="10"/>
  <c r="Q215" i="10"/>
  <c r="Q212" i="10"/>
  <c r="Q206" i="10"/>
  <c r="Q425" i="10"/>
  <c r="Q646" i="10"/>
  <c r="Q475" i="10"/>
  <c r="Q825" i="10"/>
  <c r="Q807" i="10"/>
  <c r="Q473" i="10"/>
  <c r="Q823" i="10"/>
  <c r="Q817" i="10"/>
  <c r="Q447" i="10"/>
  <c r="Q429" i="10"/>
  <c r="Q781" i="10"/>
  <c r="Q477" i="10"/>
  <c r="Q827" i="10"/>
  <c r="Q419" i="10"/>
  <c r="Q634" i="10"/>
  <c r="Q472" i="10"/>
  <c r="Q822" i="10"/>
  <c r="Q819" i="10"/>
  <c r="Q466" i="10"/>
  <c r="Q816" i="10"/>
  <c r="Q813" i="10"/>
  <c r="Q478" i="10"/>
  <c r="Q828" i="10"/>
  <c r="Q799" i="10"/>
  <c r="Q476" i="10"/>
  <c r="Q826" i="10"/>
  <c r="Q470" i="10"/>
  <c r="Q820" i="10"/>
  <c r="Q811" i="10"/>
  <c r="Q805" i="10"/>
  <c r="Q474" i="10"/>
  <c r="Q824" i="10"/>
  <c r="Q471" i="10"/>
  <c r="Q821" i="10"/>
  <c r="Q468" i="10"/>
  <c r="Q818" i="10"/>
  <c r="Q815" i="10"/>
  <c r="Q809" i="10"/>
  <c r="Q803" i="10"/>
  <c r="Q413" i="10"/>
  <c r="Q622" i="10"/>
  <c r="Q214" i="10"/>
  <c r="Q211" i="10"/>
  <c r="Q208" i="10"/>
  <c r="Q423" i="10"/>
  <c r="Q642" i="10"/>
  <c r="Q417" i="10"/>
  <c r="Q630" i="10"/>
  <c r="Q431" i="10"/>
  <c r="Q783" i="10"/>
  <c r="Q421" i="10"/>
  <c r="Q638" i="10"/>
  <c r="Q626" i="10"/>
  <c r="Q320" i="10"/>
  <c r="Q317" i="10"/>
  <c r="Q311" i="10"/>
  <c r="Q321" i="10"/>
  <c r="Q318" i="10"/>
  <c r="Q315" i="10"/>
  <c r="Q21" i="10"/>
  <c r="Q18" i="10"/>
  <c r="Q15" i="10"/>
  <c r="J37" i="9"/>
  <c r="Q16" i="10"/>
  <c r="Q216" i="10"/>
  <c r="Q213" i="10"/>
  <c r="Q210" i="10"/>
  <c r="AD574" i="11"/>
  <c r="O735" i="11"/>
  <c r="P735" i="11" s="1"/>
  <c r="O720" i="11"/>
  <c r="P720" i="11" s="1"/>
  <c r="O726" i="11"/>
  <c r="P726" i="11" s="1"/>
  <c r="O732" i="11"/>
  <c r="P732" i="11" s="1"/>
  <c r="O738" i="11"/>
  <c r="P738" i="11" s="1"/>
  <c r="O729" i="11"/>
  <c r="P729" i="11" s="1"/>
  <c r="O741" i="11"/>
  <c r="P741" i="11" s="1"/>
  <c r="O708" i="11"/>
  <c r="P708" i="11" s="1"/>
  <c r="O736" i="11"/>
  <c r="P736" i="11" s="1"/>
  <c r="O742" i="11"/>
  <c r="P742" i="11" s="1"/>
  <c r="O698" i="11"/>
  <c r="P698" i="11" s="1"/>
  <c r="O710" i="11"/>
  <c r="P710" i="11" s="1"/>
  <c r="O709" i="11"/>
  <c r="P709" i="11" s="1"/>
  <c r="O725" i="11"/>
  <c r="P725" i="11" s="1"/>
  <c r="O737" i="11"/>
  <c r="P737" i="11" s="1"/>
  <c r="O743" i="11"/>
  <c r="P743" i="11" s="1"/>
  <c r="O739" i="11"/>
  <c r="P739" i="11" s="1"/>
  <c r="O573" i="11"/>
  <c r="P573" i="11" s="1"/>
  <c r="O574" i="11"/>
  <c r="P574" i="11" s="1"/>
  <c r="O731" i="11"/>
  <c r="P731" i="11" s="1"/>
  <c r="O745" i="11"/>
  <c r="P745" i="11" s="1"/>
  <c r="O699" i="11"/>
  <c r="P699" i="11" s="1"/>
  <c r="O701" i="11"/>
  <c r="P701" i="11" s="1"/>
  <c r="O718" i="11"/>
  <c r="P718" i="11" s="1"/>
  <c r="O706" i="11"/>
  <c r="P706" i="11" s="1"/>
  <c r="O716" i="11"/>
  <c r="P716" i="11" s="1"/>
  <c r="O722" i="11"/>
  <c r="P722" i="11" s="1"/>
  <c r="O728" i="11"/>
  <c r="P728" i="11" s="1"/>
  <c r="O734" i="11"/>
  <c r="P734" i="11" s="1"/>
  <c r="O740" i="11"/>
  <c r="P740" i="11" s="1"/>
  <c r="O707" i="11"/>
  <c r="P707" i="11" s="1"/>
  <c r="O717" i="11"/>
  <c r="P717" i="11" s="1"/>
  <c r="O723" i="11"/>
  <c r="P723" i="11" s="1"/>
  <c r="O702" i="11"/>
  <c r="P702" i="11" s="1"/>
  <c r="O724" i="11"/>
  <c r="P724" i="11" s="1"/>
  <c r="O700" i="11"/>
  <c r="P700" i="11" s="1"/>
  <c r="O730" i="11"/>
  <c r="P730" i="11" s="1"/>
  <c r="O703" i="11"/>
  <c r="P703" i="11" s="1"/>
  <c r="O704" i="11"/>
  <c r="P704" i="11" s="1"/>
  <c r="O705" i="11"/>
  <c r="P705" i="11" s="1"/>
  <c r="O715" i="11"/>
  <c r="P715" i="11" s="1"/>
  <c r="O721" i="11"/>
  <c r="P721" i="11" s="1"/>
  <c r="O727" i="11"/>
  <c r="P727" i="11" s="1"/>
  <c r="O733" i="11"/>
  <c r="P733" i="11" s="1"/>
  <c r="O719" i="11"/>
  <c r="P719" i="11" s="1"/>
  <c r="O744" i="11"/>
  <c r="P744" i="11" s="1"/>
  <c r="O579" i="11"/>
  <c r="P579" i="11" s="1"/>
  <c r="O577" i="11"/>
  <c r="P577" i="11" s="1"/>
  <c r="O687" i="11"/>
  <c r="P687" i="11" s="1"/>
  <c r="O684" i="11"/>
  <c r="P684" i="11" s="1"/>
  <c r="L521" i="11"/>
  <c r="AD521" i="11" s="1"/>
  <c r="O697" i="11"/>
  <c r="O547" i="11"/>
  <c r="P547" i="11" s="1"/>
  <c r="O632" i="11"/>
  <c r="P632" i="11" s="1"/>
  <c r="O576" i="11"/>
  <c r="P576" i="11" s="1"/>
  <c r="L658" i="11"/>
  <c r="AD658" i="11" s="1"/>
  <c r="L606" i="11"/>
  <c r="AD606" i="11" s="1"/>
  <c r="L580" i="11"/>
  <c r="AD580" i="11" s="1"/>
  <c r="L495" i="11"/>
  <c r="AD495" i="11" s="1"/>
  <c r="L482" i="11"/>
  <c r="AD482" i="11" s="1"/>
  <c r="O685" i="11"/>
  <c r="P685" i="11" s="1"/>
  <c r="O686" i="11"/>
  <c r="P686" i="11" s="1"/>
  <c r="O578" i="11"/>
  <c r="P578" i="11" s="1"/>
  <c r="W576" i="11"/>
  <c r="AB576" i="11" s="1"/>
  <c r="W578" i="11"/>
  <c r="AB578" i="11" s="1"/>
  <c r="AB687" i="11"/>
  <c r="AC687" i="11"/>
  <c r="AC685" i="11"/>
  <c r="AB685" i="11"/>
  <c r="AB684" i="11"/>
  <c r="AB579" i="11"/>
  <c r="AC579" i="11"/>
  <c r="W686" i="11"/>
  <c r="W577" i="11"/>
  <c r="AB870" i="11" l="1"/>
  <c r="AC870" i="11"/>
  <c r="W692" i="11"/>
  <c r="V692" i="11"/>
  <c r="W689" i="11"/>
  <c r="V689" i="11"/>
  <c r="V867" i="11"/>
  <c r="W867" i="11"/>
  <c r="W696" i="11"/>
  <c r="AB696" i="11" s="1"/>
  <c r="V696" i="11"/>
  <c r="V690" i="11"/>
  <c r="W690" i="11"/>
  <c r="AC690" i="11" s="1"/>
  <c r="W694" i="11"/>
  <c r="AC694" i="11" s="1"/>
  <c r="V694" i="11"/>
  <c r="V866" i="11"/>
  <c r="W866" i="11"/>
  <c r="W691" i="11"/>
  <c r="V691" i="11"/>
  <c r="W693" i="11"/>
  <c r="V693" i="11"/>
  <c r="W853" i="11"/>
  <c r="V853" i="11"/>
  <c r="W695" i="11"/>
  <c r="AC695" i="11" s="1"/>
  <c r="V695" i="11"/>
  <c r="P697" i="11"/>
  <c r="Q697" i="11" s="1"/>
  <c r="R697" i="11" s="1"/>
  <c r="U521" i="11"/>
  <c r="U482" i="11"/>
  <c r="U606" i="11"/>
  <c r="U658" i="11"/>
  <c r="U495" i="11"/>
  <c r="U580" i="11"/>
  <c r="AC865" i="11"/>
  <c r="AB865" i="11"/>
  <c r="AC696" i="11"/>
  <c r="T90" i="2"/>
  <c r="S90" i="2"/>
  <c r="W859" i="11"/>
  <c r="W856" i="11"/>
  <c r="W303" i="11"/>
  <c r="W712" i="11"/>
  <c r="AC712" i="11" s="1"/>
  <c r="W863" i="11"/>
  <c r="W713" i="11"/>
  <c r="W862" i="11"/>
  <c r="AB862" i="11" s="1"/>
  <c r="W850" i="11"/>
  <c r="W857" i="11"/>
  <c r="W861" i="11"/>
  <c r="W851" i="11"/>
  <c r="W854" i="11"/>
  <c r="W860" i="11"/>
  <c r="W714" i="11"/>
  <c r="W852" i="11"/>
  <c r="W711" i="11"/>
  <c r="W855" i="11"/>
  <c r="W858" i="11"/>
  <c r="Q716" i="11"/>
  <c r="R716" i="11" s="1"/>
  <c r="V716" i="11" s="1"/>
  <c r="Q729" i="11"/>
  <c r="R729" i="11" s="1"/>
  <c r="V729" i="11" s="1"/>
  <c r="Q726" i="11"/>
  <c r="R726" i="11" s="1"/>
  <c r="V726" i="11" s="1"/>
  <c r="Q740" i="11"/>
  <c r="R740" i="11" s="1"/>
  <c r="V740" i="11" s="1"/>
  <c r="Q704" i="11"/>
  <c r="R704" i="11" s="1"/>
  <c r="V704" i="11" s="1"/>
  <c r="Q698" i="11"/>
  <c r="R698" i="11" s="1"/>
  <c r="V698" i="11" s="1"/>
  <c r="Q573" i="11"/>
  <c r="R573" i="11" s="1"/>
  <c r="V573" i="11" s="1"/>
  <c r="Q700" i="11"/>
  <c r="R700" i="11" s="1"/>
  <c r="V700" i="11" s="1"/>
  <c r="Q724" i="11"/>
  <c r="R724" i="11" s="1"/>
  <c r="V724" i="11" s="1"/>
  <c r="Q701" i="11"/>
  <c r="R701" i="11" s="1"/>
  <c r="V701" i="11" s="1"/>
  <c r="Q744" i="11"/>
  <c r="R744" i="11" s="1"/>
  <c r="V744" i="11" s="1"/>
  <c r="Q702" i="11"/>
  <c r="R702" i="11" s="1"/>
  <c r="V702" i="11" s="1"/>
  <c r="Q699" i="11"/>
  <c r="R699" i="11" s="1"/>
  <c r="V699" i="11" s="1"/>
  <c r="Q742" i="11"/>
  <c r="R742" i="11" s="1"/>
  <c r="V742" i="11" s="1"/>
  <c r="Q772" i="11"/>
  <c r="R772" i="11" s="1"/>
  <c r="V772" i="11" s="1"/>
  <c r="Q725" i="11"/>
  <c r="R725" i="11" s="1"/>
  <c r="V725" i="11" s="1"/>
  <c r="Q730" i="11"/>
  <c r="R730" i="11" s="1"/>
  <c r="V730" i="11" s="1"/>
  <c r="Q709" i="11"/>
  <c r="R709" i="11" s="1"/>
  <c r="V709" i="11" s="1"/>
  <c r="Q718" i="11"/>
  <c r="R718" i="11" s="1"/>
  <c r="V718" i="11" s="1"/>
  <c r="Q719" i="11"/>
  <c r="R719" i="11" s="1"/>
  <c r="V719" i="11" s="1"/>
  <c r="Q723" i="11"/>
  <c r="R723" i="11" s="1"/>
  <c r="V723" i="11" s="1"/>
  <c r="Q745" i="11"/>
  <c r="R745" i="11" s="1"/>
  <c r="V745" i="11" s="1"/>
  <c r="Q736" i="11"/>
  <c r="R736" i="11" s="1"/>
  <c r="V736" i="11" s="1"/>
  <c r="Q722" i="11"/>
  <c r="R722" i="11" s="1"/>
  <c r="V722" i="11" s="1"/>
  <c r="Q703" i="11"/>
  <c r="R703" i="11" s="1"/>
  <c r="V703" i="11" s="1"/>
  <c r="Q706" i="11"/>
  <c r="R706" i="11" s="1"/>
  <c r="V706" i="11" s="1"/>
  <c r="Q735" i="11"/>
  <c r="R735" i="11" s="1"/>
  <c r="V735" i="11" s="1"/>
  <c r="Q710" i="11"/>
  <c r="R710" i="11" s="1"/>
  <c r="V710" i="11" s="1"/>
  <c r="Q733" i="11"/>
  <c r="R733" i="11" s="1"/>
  <c r="V733" i="11" s="1"/>
  <c r="Q717" i="11"/>
  <c r="R717" i="11" s="1"/>
  <c r="V717" i="11" s="1"/>
  <c r="Q731" i="11"/>
  <c r="R731" i="11" s="1"/>
  <c r="V731" i="11" s="1"/>
  <c r="Q708" i="11"/>
  <c r="R708" i="11" s="1"/>
  <c r="V708" i="11" s="1"/>
  <c r="Q721" i="11"/>
  <c r="R721" i="11" s="1"/>
  <c r="V721" i="11" s="1"/>
  <c r="Q737" i="11"/>
  <c r="R737" i="11" s="1"/>
  <c r="V737" i="11" s="1"/>
  <c r="Q720" i="11"/>
  <c r="R720" i="11" s="1"/>
  <c r="V720" i="11" s="1"/>
  <c r="Q727" i="11"/>
  <c r="R727" i="11" s="1"/>
  <c r="V727" i="11" s="1"/>
  <c r="Q707" i="11"/>
  <c r="R707" i="11" s="1"/>
  <c r="V707" i="11" s="1"/>
  <c r="Q574" i="11"/>
  <c r="R574" i="11" s="1"/>
  <c r="V574" i="11" s="1"/>
  <c r="Q741" i="11"/>
  <c r="R741" i="11" s="1"/>
  <c r="V741" i="11" s="1"/>
  <c r="Q547" i="11"/>
  <c r="R547" i="11" s="1"/>
  <c r="V547" i="11" s="1"/>
  <c r="Q715" i="11"/>
  <c r="R715" i="11" s="1"/>
  <c r="V715" i="11" s="1"/>
  <c r="Q734" i="11"/>
  <c r="R734" i="11" s="1"/>
  <c r="V734" i="11" s="1"/>
  <c r="Q739" i="11"/>
  <c r="R739" i="11" s="1"/>
  <c r="V739" i="11" s="1"/>
  <c r="Q738" i="11"/>
  <c r="R738" i="11" s="1"/>
  <c r="V738" i="11" s="1"/>
  <c r="Q705" i="11"/>
  <c r="R705" i="11" s="1"/>
  <c r="V705" i="11" s="1"/>
  <c r="Q728" i="11"/>
  <c r="R728" i="11" s="1"/>
  <c r="V728" i="11" s="1"/>
  <c r="Q743" i="11"/>
  <c r="R743" i="11" s="1"/>
  <c r="V743" i="11" s="1"/>
  <c r="Q732" i="11"/>
  <c r="R732" i="11" s="1"/>
  <c r="V732" i="11" s="1"/>
  <c r="AB864" i="11"/>
  <c r="AC864" i="11"/>
  <c r="AB866" i="11"/>
  <c r="AC866" i="11"/>
  <c r="AB303" i="11"/>
  <c r="AC303" i="11"/>
  <c r="O482" i="11"/>
  <c r="P482" i="11" s="1"/>
  <c r="Q632" i="11"/>
  <c r="R632" i="11" s="1"/>
  <c r="V632" i="11" s="1"/>
  <c r="AC576" i="11"/>
  <c r="O521" i="11"/>
  <c r="P521" i="11" s="1"/>
  <c r="O658" i="11"/>
  <c r="P658" i="11" s="1"/>
  <c r="O606" i="11"/>
  <c r="P606" i="11" s="1"/>
  <c r="O580" i="11"/>
  <c r="P580" i="11" s="1"/>
  <c r="O495" i="11"/>
  <c r="P495" i="11" s="1"/>
  <c r="AC578" i="11"/>
  <c r="AB686" i="11"/>
  <c r="AC686" i="11"/>
  <c r="AB577" i="11"/>
  <c r="AC577" i="11"/>
  <c r="W697" i="11" l="1"/>
  <c r="V697" i="11"/>
  <c r="AB694" i="11"/>
  <c r="AB853" i="11"/>
  <c r="AC853" i="11"/>
  <c r="AB690" i="11"/>
  <c r="AC867" i="11"/>
  <c r="AB867" i="11"/>
  <c r="AC693" i="11"/>
  <c r="AB693" i="11"/>
  <c r="AB712" i="11"/>
  <c r="AB695" i="11"/>
  <c r="AB691" i="11"/>
  <c r="AC691" i="11"/>
  <c r="AC689" i="11"/>
  <c r="AB689" i="11"/>
  <c r="AC692" i="11"/>
  <c r="AB692" i="11"/>
  <c r="AC862" i="11"/>
  <c r="X90" i="2"/>
  <c r="W90" i="2"/>
  <c r="W744" i="11"/>
  <c r="W701" i="11"/>
  <c r="W737" i="11"/>
  <c r="W724" i="11"/>
  <c r="W708" i="11"/>
  <c r="W727" i="11"/>
  <c r="AC727" i="11" s="1"/>
  <c r="W743" i="11"/>
  <c r="W705" i="11"/>
  <c r="AC705" i="11" s="1"/>
  <c r="W731" i="11"/>
  <c r="W718" i="11"/>
  <c r="W573" i="11"/>
  <c r="AB573" i="11" s="1"/>
  <c r="W722" i="11"/>
  <c r="AB722" i="11" s="1"/>
  <c r="W728" i="11"/>
  <c r="W721" i="11"/>
  <c r="W734" i="11"/>
  <c r="AB734" i="11" s="1"/>
  <c r="W717" i="11"/>
  <c r="W709" i="11"/>
  <c r="W698" i="11"/>
  <c r="W736" i="11"/>
  <c r="AC736" i="11" s="1"/>
  <c r="W723" i="11"/>
  <c r="AC723" i="11" s="1"/>
  <c r="W715" i="11"/>
  <c r="W733" i="11"/>
  <c r="AB733" i="11" s="1"/>
  <c r="W730" i="11"/>
  <c r="W704" i="11"/>
  <c r="AC704" i="11" s="1"/>
  <c r="W732" i="11"/>
  <c r="W720" i="11"/>
  <c r="W700" i="11"/>
  <c r="W710" i="11"/>
  <c r="W725" i="11"/>
  <c r="W740" i="11"/>
  <c r="W702" i="11"/>
  <c r="W719" i="11"/>
  <c r="AC719" i="11" s="1"/>
  <c r="W735" i="11"/>
  <c r="AB735" i="11" s="1"/>
  <c r="W726" i="11"/>
  <c r="W739" i="11"/>
  <c r="AB739" i="11" s="1"/>
  <c r="W706" i="11"/>
  <c r="AC706" i="11" s="1"/>
  <c r="W729" i="11"/>
  <c r="W745" i="11"/>
  <c r="W738" i="11"/>
  <c r="W741" i="11"/>
  <c r="W574" i="11"/>
  <c r="AC574" i="11" s="1"/>
  <c r="W742" i="11"/>
  <c r="W707" i="11"/>
  <c r="W703" i="11"/>
  <c r="W699" i="11"/>
  <c r="W716" i="11"/>
  <c r="Q482" i="11"/>
  <c r="R482" i="11" s="1"/>
  <c r="V482" i="11" s="1"/>
  <c r="AB858" i="11"/>
  <c r="AC858" i="11"/>
  <c r="AC854" i="11"/>
  <c r="AB854" i="11"/>
  <c r="AC713" i="11"/>
  <c r="AB713" i="11"/>
  <c r="AB855" i="11"/>
  <c r="AC855" i="11"/>
  <c r="AB851" i="11"/>
  <c r="AC851" i="11"/>
  <c r="AB863" i="11"/>
  <c r="AC863" i="11"/>
  <c r="AC711" i="11"/>
  <c r="AB711" i="11"/>
  <c r="AC861" i="11"/>
  <c r="AB861" i="11"/>
  <c r="AC852" i="11"/>
  <c r="AB852" i="11"/>
  <c r="AB857" i="11"/>
  <c r="AC857" i="11"/>
  <c r="Q521" i="11"/>
  <c r="R521" i="11" s="1"/>
  <c r="V521" i="11" s="1"/>
  <c r="AC714" i="11"/>
  <c r="AB714" i="11"/>
  <c r="AC850" i="11"/>
  <c r="AB850" i="11"/>
  <c r="AB856" i="11"/>
  <c r="AC856" i="11"/>
  <c r="AB860" i="11"/>
  <c r="AC860" i="11"/>
  <c r="AB859" i="11"/>
  <c r="AC859" i="11"/>
  <c r="AB736" i="11"/>
  <c r="W632" i="11"/>
  <c r="AC632" i="11" s="1"/>
  <c r="AB705" i="11"/>
  <c r="W547" i="11"/>
  <c r="Q658" i="11"/>
  <c r="Q495" i="11"/>
  <c r="AC697" i="11" l="1"/>
  <c r="AB697" i="11"/>
  <c r="AB719" i="11"/>
  <c r="AB723" i="11"/>
  <c r="AC734" i="11"/>
  <c r="AC573" i="11"/>
  <c r="AC742" i="11"/>
  <c r="AB742" i="11"/>
  <c r="AC740" i="11"/>
  <c r="AB740" i="11"/>
  <c r="AB698" i="11"/>
  <c r="AC698" i="11"/>
  <c r="AC725" i="11"/>
  <c r="AB725" i="11"/>
  <c r="AB730" i="11"/>
  <c r="AC730" i="11"/>
  <c r="AB709" i="11"/>
  <c r="AC709" i="11"/>
  <c r="AB708" i="11"/>
  <c r="AC708" i="11"/>
  <c r="AC722" i="11"/>
  <c r="AB704" i="11"/>
  <c r="AB716" i="11"/>
  <c r="AC716" i="11"/>
  <c r="AB741" i="11"/>
  <c r="AC741" i="11"/>
  <c r="AB726" i="11"/>
  <c r="AC726" i="11"/>
  <c r="AB710" i="11"/>
  <c r="AC710" i="11"/>
  <c r="AB717" i="11"/>
  <c r="AC717" i="11"/>
  <c r="AB718" i="11"/>
  <c r="AC718" i="11"/>
  <c r="AB724" i="11"/>
  <c r="AC724" i="11"/>
  <c r="AB727" i="11"/>
  <c r="AB574" i="11"/>
  <c r="AC699" i="11"/>
  <c r="AB699" i="11"/>
  <c r="AB738" i="11"/>
  <c r="AC738" i="11"/>
  <c r="AC700" i="11"/>
  <c r="AB700" i="11"/>
  <c r="AB715" i="11"/>
  <c r="AC715" i="11"/>
  <c r="AB731" i="11"/>
  <c r="AC731" i="11"/>
  <c r="AB737" i="11"/>
  <c r="AC737" i="11"/>
  <c r="AB706" i="11"/>
  <c r="AB703" i="11"/>
  <c r="AC703" i="11"/>
  <c r="AB745" i="11"/>
  <c r="AC745" i="11"/>
  <c r="AB720" i="11"/>
  <c r="AC720" i="11"/>
  <c r="AC721" i="11"/>
  <c r="AB721" i="11"/>
  <c r="AB701" i="11"/>
  <c r="AC701" i="11"/>
  <c r="AC739" i="11"/>
  <c r="AC733" i="11"/>
  <c r="AC735" i="11"/>
  <c r="AB707" i="11"/>
  <c r="AC707" i="11"/>
  <c r="AC729" i="11"/>
  <c r="AB729" i="11"/>
  <c r="AB702" i="11"/>
  <c r="AC702" i="11"/>
  <c r="AB732" i="11"/>
  <c r="AC732" i="11"/>
  <c r="AC728" i="11"/>
  <c r="AB728" i="11"/>
  <c r="AC743" i="11"/>
  <c r="AB743" i="11"/>
  <c r="AB744" i="11"/>
  <c r="AC744" i="11"/>
  <c r="AB632" i="11"/>
  <c r="Q580" i="11"/>
  <c r="R580" i="11" s="1"/>
  <c r="V580" i="11" s="1"/>
  <c r="Q606" i="11"/>
  <c r="R606" i="11" s="1"/>
  <c r="V606" i="11" s="1"/>
  <c r="R658" i="11"/>
  <c r="V658" i="11" s="1"/>
  <c r="AB547" i="11"/>
  <c r="AC547" i="11"/>
  <c r="W521" i="11"/>
  <c r="R495" i="11"/>
  <c r="V495" i="11" s="1"/>
  <c r="W606" i="11" l="1"/>
  <c r="AB606" i="11" s="1"/>
  <c r="W580" i="11"/>
  <c r="AB580" i="11" s="1"/>
  <c r="W658" i="11"/>
  <c r="AC658" i="11" s="1"/>
  <c r="AB521" i="11"/>
  <c r="AC521" i="11"/>
  <c r="W495" i="11"/>
  <c r="AC606" i="11" l="1"/>
  <c r="AB658" i="11"/>
  <c r="AC580" i="11"/>
  <c r="AB495" i="11"/>
  <c r="AC495" i="11"/>
  <c r="C4" i="11" l="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32" i="11"/>
  <c r="C33" i="11"/>
  <c r="C34" i="11"/>
  <c r="C35" i="11"/>
  <c r="C36" i="11"/>
  <c r="C37" i="11"/>
  <c r="C38" i="11"/>
  <c r="C39" i="11"/>
  <c r="C40" i="11"/>
  <c r="C41" i="11"/>
  <c r="C42" i="11"/>
  <c r="C43" i="11"/>
  <c r="C44" i="11"/>
  <c r="C45" i="11"/>
  <c r="C46" i="11"/>
  <c r="C47" i="11"/>
  <c r="C48" i="11"/>
  <c r="C49" i="11"/>
  <c r="C50" i="11"/>
  <c r="C51" i="11"/>
  <c r="C52" i="11"/>
  <c r="C53" i="11"/>
  <c r="C54" i="11"/>
  <c r="C55" i="11"/>
  <c r="C56" i="11"/>
  <c r="C57" i="11"/>
  <c r="C58" i="11"/>
  <c r="C59" i="11"/>
  <c r="C60" i="11"/>
  <c r="C61" i="11"/>
  <c r="C62" i="11"/>
  <c r="C63" i="11"/>
  <c r="C64" i="11"/>
  <c r="C65" i="11"/>
  <c r="C66" i="11"/>
  <c r="C67" i="11"/>
  <c r="C68" i="11"/>
  <c r="C69" i="11"/>
  <c r="C71" i="11"/>
  <c r="C84" i="11"/>
  <c r="C85" i="11"/>
  <c r="C86" i="11"/>
  <c r="C87" i="11"/>
  <c r="C88" i="11"/>
  <c r="C89" i="11"/>
  <c r="C90" i="11"/>
  <c r="C91" i="11"/>
  <c r="C92" i="11"/>
  <c r="C93" i="11"/>
  <c r="C94" i="11"/>
  <c r="C95" i="11"/>
  <c r="C112" i="11"/>
  <c r="C113" i="11"/>
  <c r="C114" i="11"/>
  <c r="C115" i="11"/>
  <c r="C116" i="11"/>
  <c r="C117" i="11"/>
  <c r="C118" i="11"/>
  <c r="C119" i="11"/>
  <c r="C120" i="11"/>
  <c r="C121" i="11"/>
  <c r="C123" i="11"/>
  <c r="C136" i="11"/>
  <c r="C137" i="11"/>
  <c r="C138" i="11"/>
  <c r="C139" i="11"/>
  <c r="C140" i="11"/>
  <c r="C141" i="11"/>
  <c r="C142" i="11"/>
  <c r="C143" i="11"/>
  <c r="C144" i="11"/>
  <c r="C145" i="11"/>
  <c r="C146" i="11"/>
  <c r="C147" i="11"/>
  <c r="C149" i="11"/>
  <c r="C162" i="11"/>
  <c r="C163" i="11"/>
  <c r="C164" i="11"/>
  <c r="C165" i="11"/>
  <c r="C166" i="11"/>
  <c r="C167" i="11"/>
  <c r="C168" i="11"/>
  <c r="C169" i="11"/>
  <c r="C170" i="11"/>
  <c r="C171" i="11"/>
  <c r="C172" i="11"/>
  <c r="C173" i="11"/>
  <c r="C175" i="11"/>
  <c r="C188" i="11"/>
  <c r="C189" i="11"/>
  <c r="C190" i="11"/>
  <c r="C191" i="11"/>
  <c r="C192" i="11"/>
  <c r="C193" i="11"/>
  <c r="C194" i="11"/>
  <c r="C195" i="11"/>
  <c r="C196" i="11"/>
  <c r="C197" i="11"/>
  <c r="C198" i="11"/>
  <c r="C199" i="11"/>
  <c r="C201" i="11"/>
  <c r="C214" i="11"/>
  <c r="C215" i="11"/>
  <c r="C216" i="11"/>
  <c r="C217" i="11"/>
  <c r="C218" i="11"/>
  <c r="C219" i="11"/>
  <c r="C220" i="11"/>
  <c r="C221" i="11"/>
  <c r="C222" i="11"/>
  <c r="C223" i="11"/>
  <c r="C224" i="11"/>
  <c r="C225" i="11"/>
  <c r="C226" i="11"/>
  <c r="C240" i="11"/>
  <c r="C241" i="11"/>
  <c r="C242" i="11"/>
  <c r="C243" i="11"/>
  <c r="C244" i="11"/>
  <c r="C245" i="11"/>
  <c r="C246" i="11"/>
  <c r="C247" i="11"/>
  <c r="C248" i="11"/>
  <c r="C249" i="11"/>
  <c r="C250" i="11"/>
  <c r="C251" i="11"/>
  <c r="C253" i="11"/>
  <c r="C266" i="11"/>
  <c r="C267" i="11"/>
  <c r="C268" i="11"/>
  <c r="C269" i="11"/>
  <c r="C270" i="11"/>
  <c r="C271" i="11"/>
  <c r="C272" i="11"/>
  <c r="C273" i="11"/>
  <c r="C274" i="11"/>
  <c r="C275" i="11"/>
  <c r="C276" i="11"/>
  <c r="C277" i="11"/>
  <c r="C279" i="11"/>
  <c r="C318" i="11"/>
  <c r="C319" i="11"/>
  <c r="C320" i="11"/>
  <c r="C321" i="11"/>
  <c r="C322" i="11"/>
  <c r="C323" i="11"/>
  <c r="C324" i="11"/>
  <c r="C325" i="11"/>
  <c r="C326" i="11"/>
  <c r="C327" i="11"/>
  <c r="C328" i="11"/>
  <c r="C329" i="11"/>
  <c r="C331" i="11"/>
  <c r="C344" i="11"/>
  <c r="C345" i="11"/>
  <c r="C346" i="11"/>
  <c r="C347" i="11"/>
  <c r="C348" i="11"/>
  <c r="C349" i="11"/>
  <c r="C350" i="11"/>
  <c r="C351" i="11"/>
  <c r="C352" i="11"/>
  <c r="C353" i="11"/>
  <c r="C354" i="11"/>
  <c r="C355" i="11"/>
  <c r="C357" i="11"/>
  <c r="C370" i="11"/>
  <c r="C371" i="11"/>
  <c r="C372" i="11"/>
  <c r="C373" i="11"/>
  <c r="C374" i="11"/>
  <c r="C375" i="11"/>
  <c r="C376" i="11"/>
  <c r="C377" i="11"/>
  <c r="C378" i="11"/>
  <c r="C379" i="11"/>
  <c r="C380" i="11"/>
  <c r="C381" i="11"/>
  <c r="C383" i="11"/>
  <c r="C396" i="11"/>
  <c r="C397" i="11"/>
  <c r="C398" i="11"/>
  <c r="C399" i="11"/>
  <c r="C400" i="11"/>
  <c r="C401" i="11"/>
  <c r="C402" i="11"/>
  <c r="C403" i="11"/>
  <c r="C404" i="11"/>
  <c r="C405" i="11"/>
  <c r="C406" i="11"/>
  <c r="C407" i="11"/>
  <c r="C409" i="11"/>
  <c r="C422" i="11"/>
  <c r="C423" i="11"/>
  <c r="C424" i="11"/>
  <c r="C425" i="11"/>
  <c r="C426" i="11"/>
  <c r="C427" i="11"/>
  <c r="C428" i="11"/>
  <c r="C429" i="11"/>
  <c r="C430" i="11"/>
  <c r="C431" i="11"/>
  <c r="C432" i="11"/>
  <c r="C433" i="11"/>
  <c r="C434" i="11"/>
  <c r="C435" i="11"/>
  <c r="C436" i="11"/>
  <c r="C437" i="11"/>
  <c r="C438" i="11"/>
  <c r="C439" i="11"/>
  <c r="C440" i="11"/>
  <c r="C441" i="11"/>
  <c r="C442" i="11"/>
  <c r="C443" i="11"/>
  <c r="C444" i="11"/>
  <c r="C445" i="11"/>
  <c r="C446" i="11"/>
  <c r="C447" i="11"/>
  <c r="C448" i="11"/>
  <c r="C449" i="11"/>
  <c r="C450" i="11"/>
  <c r="C451" i="11"/>
  <c r="C452" i="11"/>
  <c r="C453" i="11"/>
  <c r="C454" i="11"/>
  <c r="C455" i="11"/>
  <c r="C456" i="11"/>
  <c r="C458" i="11"/>
  <c r="C471" i="11"/>
  <c r="C472" i="11"/>
  <c r="C473" i="11"/>
  <c r="C474" i="11"/>
  <c r="C475" i="11"/>
  <c r="C476" i="11"/>
  <c r="C477" i="11"/>
  <c r="C478" i="11"/>
  <c r="C479" i="11"/>
  <c r="C480" i="11"/>
  <c r="C481" i="11"/>
  <c r="C3" i="11"/>
  <c r="A26" i="11"/>
  <c r="A38" i="11"/>
  <c r="A50" i="11"/>
  <c r="A62" i="11"/>
  <c r="A87" i="11"/>
  <c r="A162" i="11"/>
  <c r="A175" i="11"/>
  <c r="A199" i="11"/>
  <c r="A224" i="11"/>
  <c r="A249" i="11"/>
  <c r="A274" i="11"/>
  <c r="A324" i="11"/>
  <c r="A349" i="11"/>
  <c r="A374" i="11"/>
  <c r="A399" i="11"/>
  <c r="A424" i="11"/>
  <c r="A436" i="11"/>
  <c r="A448" i="11"/>
  <c r="A473" i="11"/>
  <c r="D6" i="2"/>
  <c r="J64" i="9" s="1"/>
  <c r="D7" i="2"/>
  <c r="J85" i="9" s="1"/>
  <c r="E10" i="2"/>
  <c r="D15" i="2"/>
  <c r="J74" i="9" s="1"/>
  <c r="D19" i="2"/>
  <c r="J90" i="9" s="1"/>
  <c r="E22" i="2"/>
  <c r="P26" i="2"/>
  <c r="D27" i="2"/>
  <c r="D31" i="2"/>
  <c r="E33" i="2"/>
  <c r="E34" i="2"/>
  <c r="Q38" i="2"/>
  <c r="D39" i="2"/>
  <c r="J89" i="9" s="1"/>
  <c r="D43" i="2"/>
  <c r="E46" i="2"/>
  <c r="E49" i="2"/>
  <c r="D50" i="2"/>
  <c r="J57" i="9" s="1"/>
  <c r="D54" i="2"/>
  <c r="E56" i="2"/>
  <c r="E57" i="2"/>
  <c r="D65" i="2"/>
  <c r="D66" i="2"/>
  <c r="E67" i="2"/>
  <c r="Q68" i="2"/>
  <c r="P71" i="2"/>
  <c r="E100" i="2"/>
  <c r="P75" i="2"/>
  <c r="E78" i="2"/>
  <c r="Q102" i="2"/>
  <c r="D79" i="2"/>
  <c r="D82" i="2"/>
  <c r="D86" i="2"/>
  <c r="J40" i="9" s="1"/>
  <c r="E87" i="2"/>
  <c r="E88" i="2"/>
  <c r="D105" i="2"/>
  <c r="D109" i="2"/>
  <c r="E112" i="2"/>
  <c r="D114" i="2"/>
  <c r="E116" i="2"/>
  <c r="P117" i="2"/>
  <c r="E120" i="2"/>
  <c r="U121" i="2"/>
  <c r="D125" i="2"/>
  <c r="E128" i="2"/>
  <c r="E129" i="2"/>
  <c r="E131" i="2"/>
  <c r="E133" i="2"/>
  <c r="E137" i="2"/>
  <c r="P138" i="2"/>
  <c r="E140" i="2"/>
  <c r="E141" i="2"/>
  <c r="E142" i="2"/>
  <c r="P144" i="2"/>
  <c r="E146" i="2"/>
  <c r="D148" i="2"/>
  <c r="E3" i="2"/>
  <c r="P286" i="10"/>
  <c r="P287" i="10"/>
  <c r="P288" i="10"/>
  <c r="P289" i="10"/>
  <c r="P290" i="10"/>
  <c r="P291" i="10"/>
  <c r="P292" i="10"/>
  <c r="P293" i="10"/>
  <c r="P294" i="10"/>
  <c r="P295" i="10"/>
  <c r="P296" i="10"/>
  <c r="P297" i="10"/>
  <c r="P298" i="10"/>
  <c r="P299" i="10"/>
  <c r="P300" i="10"/>
  <c r="P301" i="10"/>
  <c r="P302" i="10"/>
  <c r="G235" i="11" s="1"/>
  <c r="P303" i="10"/>
  <c r="P304" i="10"/>
  <c r="P305" i="10"/>
  <c r="P306" i="10"/>
  <c r="P307" i="10"/>
  <c r="P308" i="10"/>
  <c r="P309" i="10"/>
  <c r="P310" i="10"/>
  <c r="P311" i="10"/>
  <c r="P312" i="10"/>
  <c r="P313" i="10"/>
  <c r="P314" i="10"/>
  <c r="P315" i="10"/>
  <c r="P316" i="10"/>
  <c r="P317" i="10"/>
  <c r="P318" i="10"/>
  <c r="P319" i="10"/>
  <c r="P320" i="10"/>
  <c r="P321" i="10"/>
  <c r="P322" i="10"/>
  <c r="P323" i="10"/>
  <c r="P324" i="10"/>
  <c r="P325" i="10"/>
  <c r="P326" i="10"/>
  <c r="P327" i="10"/>
  <c r="P328" i="10"/>
  <c r="P329" i="10"/>
  <c r="P330" i="10"/>
  <c r="P331" i="10"/>
  <c r="P332" i="10"/>
  <c r="P333" i="10"/>
  <c r="P334" i="10"/>
  <c r="P335" i="10"/>
  <c r="P336" i="10"/>
  <c r="P337" i="10"/>
  <c r="P338" i="10"/>
  <c r="G265" i="11" s="1"/>
  <c r="P339" i="10"/>
  <c r="P340" i="10"/>
  <c r="P341" i="10"/>
  <c r="P342" i="10"/>
  <c r="P343" i="10"/>
  <c r="P344" i="10"/>
  <c r="P345" i="10"/>
  <c r="P346" i="10"/>
  <c r="P347" i="10"/>
  <c r="P348" i="10"/>
  <c r="P349" i="10"/>
  <c r="G259" i="11" s="1"/>
  <c r="P350" i="10"/>
  <c r="P351" i="10"/>
  <c r="G260" i="11" s="1"/>
  <c r="P352" i="10"/>
  <c r="P353" i="10"/>
  <c r="P354" i="10"/>
  <c r="P355" i="10"/>
  <c r="P356" i="10"/>
  <c r="P357" i="10"/>
  <c r="P358" i="10"/>
  <c r="P359" i="10"/>
  <c r="P360" i="10"/>
  <c r="P361" i="10"/>
  <c r="P362" i="10"/>
  <c r="P363" i="10"/>
  <c r="P364" i="10"/>
  <c r="P365" i="10"/>
  <c r="P366" i="10"/>
  <c r="P367" i="10"/>
  <c r="P368" i="10"/>
  <c r="P369" i="10"/>
  <c r="P370" i="10"/>
  <c r="P371" i="10"/>
  <c r="P372" i="10"/>
  <c r="P373" i="10"/>
  <c r="P374" i="10"/>
  <c r="P375" i="10"/>
  <c r="P376" i="10"/>
  <c r="P377" i="10"/>
  <c r="P378" i="10"/>
  <c r="P379" i="10"/>
  <c r="P380" i="10"/>
  <c r="P381" i="10"/>
  <c r="P382" i="10"/>
  <c r="P383" i="10"/>
  <c r="P384" i="10"/>
  <c r="P385" i="10"/>
  <c r="P386" i="10"/>
  <c r="P387" i="10"/>
  <c r="P388" i="10"/>
  <c r="P389" i="10"/>
  <c r="G396" i="11" s="1"/>
  <c r="P390" i="10"/>
  <c r="G397" i="11" s="1"/>
  <c r="P391" i="10"/>
  <c r="G398" i="11" s="1"/>
  <c r="P392" i="10"/>
  <c r="P393" i="10"/>
  <c r="G400" i="11" s="1"/>
  <c r="P394" i="10"/>
  <c r="P395" i="10"/>
  <c r="G402" i="11" s="1"/>
  <c r="P396" i="10"/>
  <c r="G403" i="11" s="1"/>
  <c r="P397" i="10"/>
  <c r="G404" i="11" s="1"/>
  <c r="P398" i="10"/>
  <c r="G405" i="11" s="1"/>
  <c r="P399" i="10"/>
  <c r="G381" i="11" s="1"/>
  <c r="P400" i="10"/>
  <c r="P401" i="10"/>
  <c r="G409" i="11" s="1"/>
  <c r="P402" i="10"/>
  <c r="G422" i="11" s="1"/>
  <c r="P403" i="10"/>
  <c r="G423" i="11" s="1"/>
  <c r="P404" i="10"/>
  <c r="P405" i="10"/>
  <c r="P406" i="10"/>
  <c r="P407" i="10"/>
  <c r="G427" i="11" s="1"/>
  <c r="P408" i="10"/>
  <c r="G428" i="11" s="1"/>
  <c r="P409" i="10"/>
  <c r="G429" i="11" s="1"/>
  <c r="P410" i="10"/>
  <c r="G430" i="11" s="1"/>
  <c r="P411" i="10"/>
  <c r="P412" i="10"/>
  <c r="G407" i="11" s="1"/>
  <c r="P413" i="10"/>
  <c r="G660" i="11" s="1"/>
  <c r="P414" i="10"/>
  <c r="P415" i="10"/>
  <c r="G674" i="11" s="1"/>
  <c r="P416" i="10"/>
  <c r="P417" i="10"/>
  <c r="P418" i="10"/>
  <c r="P419" i="10"/>
  <c r="P420" i="10"/>
  <c r="P421" i="10"/>
  <c r="P422" i="10"/>
  <c r="P423" i="10"/>
  <c r="P424" i="10"/>
  <c r="P425" i="10"/>
  <c r="P426" i="10"/>
  <c r="P427" i="10"/>
  <c r="P428" i="10"/>
  <c r="P429" i="10"/>
  <c r="P430" i="10"/>
  <c r="P431" i="10"/>
  <c r="P432" i="10"/>
  <c r="P433" i="10"/>
  <c r="P434" i="10"/>
  <c r="P435" i="10"/>
  <c r="P436" i="10"/>
  <c r="P437" i="10"/>
  <c r="G290" i="11" s="1"/>
  <c r="P438" i="10"/>
  <c r="P439" i="10"/>
  <c r="P440" i="10"/>
  <c r="P441" i="10"/>
  <c r="G437" i="11" s="1"/>
  <c r="P442" i="10"/>
  <c r="P443" i="10"/>
  <c r="P444" i="10"/>
  <c r="G700" i="11" s="1"/>
  <c r="P445" i="10"/>
  <c r="P446" i="10"/>
  <c r="G702" i="11" s="1"/>
  <c r="P447" i="10"/>
  <c r="P448" i="10"/>
  <c r="G704" i="11" s="1"/>
  <c r="P449" i="10"/>
  <c r="P450" i="10"/>
  <c r="G706" i="11" s="1"/>
  <c r="P451" i="10"/>
  <c r="P452" i="10"/>
  <c r="G708" i="11" s="1"/>
  <c r="P453" i="10"/>
  <c r="P454" i="10"/>
  <c r="G710" i="11" s="1"/>
  <c r="P455" i="10"/>
  <c r="P456" i="10"/>
  <c r="G716" i="11" s="1"/>
  <c r="P457" i="10"/>
  <c r="P458" i="10"/>
  <c r="G718" i="11" s="1"/>
  <c r="P459" i="10"/>
  <c r="P460" i="10"/>
  <c r="G720" i="11" s="1"/>
  <c r="P461" i="10"/>
  <c r="P462" i="10"/>
  <c r="G722" i="11" s="1"/>
  <c r="P463" i="10"/>
  <c r="P464" i="10"/>
  <c r="G724" i="11" s="1"/>
  <c r="P465" i="10"/>
  <c r="P466" i="10"/>
  <c r="G726" i="11" s="1"/>
  <c r="P467" i="10"/>
  <c r="P468" i="10"/>
  <c r="P469" i="10"/>
  <c r="P470" i="10"/>
  <c r="P471" i="10"/>
  <c r="P472" i="10"/>
  <c r="P473" i="10"/>
  <c r="P474" i="10"/>
  <c r="P475" i="10"/>
  <c r="P476" i="10"/>
  <c r="P477" i="10"/>
  <c r="P478" i="10"/>
  <c r="P479" i="10"/>
  <c r="G739" i="11" s="1"/>
  <c r="P480" i="10"/>
  <c r="P481" i="10"/>
  <c r="G741" i="11" s="1"/>
  <c r="P482" i="10"/>
  <c r="G742" i="11" s="1"/>
  <c r="P483" i="10"/>
  <c r="G743" i="11" s="1"/>
  <c r="P484" i="10"/>
  <c r="G744" i="11" s="1"/>
  <c r="P485" i="10"/>
  <c r="G745" i="11" s="1"/>
  <c r="D4" i="2"/>
  <c r="J86" i="9" s="1"/>
  <c r="E4" i="2"/>
  <c r="D5" i="2"/>
  <c r="J65" i="9" s="1"/>
  <c r="E5" i="2"/>
  <c r="E7" i="2"/>
  <c r="D96" i="2"/>
  <c r="E96" i="2"/>
  <c r="O3" i="7" s="1"/>
  <c r="D97" i="2"/>
  <c r="E97" i="2"/>
  <c r="D98" i="2"/>
  <c r="E98" i="2"/>
  <c r="D8" i="2"/>
  <c r="J78" i="9" s="1"/>
  <c r="E8" i="2"/>
  <c r="D9" i="2"/>
  <c r="J79" i="9" s="1"/>
  <c r="E9" i="2"/>
  <c r="D11" i="2"/>
  <c r="J71" i="9" s="1"/>
  <c r="E11" i="2"/>
  <c r="D12" i="2"/>
  <c r="E12" i="2"/>
  <c r="D13" i="2"/>
  <c r="J75" i="9" s="1"/>
  <c r="E13" i="2"/>
  <c r="D14" i="2"/>
  <c r="J76" i="9" s="1"/>
  <c r="D16" i="2"/>
  <c r="J73" i="9" s="1"/>
  <c r="E16" i="2"/>
  <c r="D17" i="2"/>
  <c r="J92" i="9" s="1"/>
  <c r="E17" i="2"/>
  <c r="D18" i="2"/>
  <c r="J66" i="9" s="1"/>
  <c r="E18" i="2"/>
  <c r="D20" i="2"/>
  <c r="E20" i="2"/>
  <c r="D21" i="2"/>
  <c r="E21" i="2"/>
  <c r="D23" i="2"/>
  <c r="E23" i="2"/>
  <c r="D24" i="2"/>
  <c r="J60" i="9" s="1"/>
  <c r="E24" i="2"/>
  <c r="D25" i="2"/>
  <c r="J93" i="9" s="1"/>
  <c r="E25" i="2"/>
  <c r="D28" i="2"/>
  <c r="E28" i="2"/>
  <c r="D29" i="2"/>
  <c r="J77" i="9" s="1"/>
  <c r="E29" i="2"/>
  <c r="D30" i="2"/>
  <c r="J83" i="9" s="1"/>
  <c r="E30" i="2"/>
  <c r="D32" i="2"/>
  <c r="J81" i="9" s="1"/>
  <c r="E32" i="2"/>
  <c r="D35" i="2"/>
  <c r="J84" i="9" s="1"/>
  <c r="E35" i="2"/>
  <c r="D36" i="2"/>
  <c r="E36" i="2"/>
  <c r="D37" i="2"/>
  <c r="J59" i="9" s="1"/>
  <c r="E37" i="2"/>
  <c r="D40" i="2"/>
  <c r="E40" i="2"/>
  <c r="D41" i="2"/>
  <c r="E41" i="2"/>
  <c r="D42" i="2"/>
  <c r="E42" i="2"/>
  <c r="D44" i="2"/>
  <c r="E44" i="2"/>
  <c r="D45" i="2"/>
  <c r="E45" i="2"/>
  <c r="D47" i="2"/>
  <c r="E47" i="2"/>
  <c r="D48" i="2"/>
  <c r="E48" i="2"/>
  <c r="D51" i="2"/>
  <c r="J56" i="9" s="1"/>
  <c r="E51" i="2"/>
  <c r="D52" i="2"/>
  <c r="J63" i="9" s="1"/>
  <c r="E52" i="2"/>
  <c r="D53" i="2"/>
  <c r="J62" i="9" s="1"/>
  <c r="E53" i="2"/>
  <c r="D55" i="2"/>
  <c r="J54" i="9" s="1"/>
  <c r="E55" i="2"/>
  <c r="D56" i="2"/>
  <c r="J61" i="9" s="1"/>
  <c r="D58" i="2"/>
  <c r="E58" i="2"/>
  <c r="D59" i="2"/>
  <c r="E59" i="2"/>
  <c r="D60" i="2"/>
  <c r="E60" i="2"/>
  <c r="D61" i="2"/>
  <c r="D62" i="2"/>
  <c r="E62" i="2"/>
  <c r="D63" i="2"/>
  <c r="E63" i="2"/>
  <c r="D64" i="2"/>
  <c r="E64" i="2"/>
  <c r="D104" i="2"/>
  <c r="E104" i="2"/>
  <c r="E66" i="2"/>
  <c r="D69" i="2"/>
  <c r="E69" i="2"/>
  <c r="D70" i="2"/>
  <c r="E70" i="2"/>
  <c r="D72" i="2"/>
  <c r="J9" i="9" s="1"/>
  <c r="E72" i="2"/>
  <c r="D73" i="2"/>
  <c r="E73" i="2"/>
  <c r="D94" i="2"/>
  <c r="D74" i="2"/>
  <c r="E74" i="2"/>
  <c r="D91" i="2"/>
  <c r="E91" i="2"/>
  <c r="D76" i="2"/>
  <c r="J8" i="9" s="1"/>
  <c r="E76" i="2"/>
  <c r="D92" i="2"/>
  <c r="E92" i="2"/>
  <c r="D101" i="2"/>
  <c r="E101" i="2"/>
  <c r="D77" i="2"/>
  <c r="E77" i="2"/>
  <c r="D93" i="2"/>
  <c r="E93" i="2"/>
  <c r="E79" i="2"/>
  <c r="D80" i="2"/>
  <c r="E80" i="2"/>
  <c r="D103" i="2"/>
  <c r="E103" i="2"/>
  <c r="D81" i="2"/>
  <c r="E81" i="2"/>
  <c r="D83" i="2"/>
  <c r="E83" i="2"/>
  <c r="D84" i="2"/>
  <c r="E84" i="2"/>
  <c r="D85" i="2"/>
  <c r="J38" i="9" s="1"/>
  <c r="E85" i="2"/>
  <c r="D95" i="2"/>
  <c r="E95" i="2"/>
  <c r="D88" i="2"/>
  <c r="J50" i="9" s="1"/>
  <c r="D106" i="2"/>
  <c r="E106" i="2"/>
  <c r="D107" i="2"/>
  <c r="E107" i="2"/>
  <c r="D108" i="2"/>
  <c r="E108" i="2"/>
  <c r="D110" i="2"/>
  <c r="E110" i="2"/>
  <c r="D111" i="2"/>
  <c r="E111" i="2"/>
  <c r="D112" i="2"/>
  <c r="D113" i="2"/>
  <c r="E113" i="2"/>
  <c r="D115" i="2"/>
  <c r="E115" i="2"/>
  <c r="D116" i="2"/>
  <c r="D118" i="2"/>
  <c r="E118" i="2"/>
  <c r="D119" i="2"/>
  <c r="E119" i="2"/>
  <c r="D120" i="2"/>
  <c r="D122" i="2"/>
  <c r="E122" i="2"/>
  <c r="D123" i="2"/>
  <c r="E123" i="2"/>
  <c r="D124" i="2"/>
  <c r="E124" i="2"/>
  <c r="D126" i="2"/>
  <c r="D127" i="2"/>
  <c r="E127" i="2"/>
  <c r="D128" i="2"/>
  <c r="D130" i="2"/>
  <c r="E130" i="2"/>
  <c r="D131" i="2"/>
  <c r="D132" i="2"/>
  <c r="E132" i="2"/>
  <c r="D134" i="2"/>
  <c r="E134" i="2"/>
  <c r="D135" i="2"/>
  <c r="E135" i="2"/>
  <c r="D136" i="2"/>
  <c r="E136" i="2"/>
  <c r="D137" i="2"/>
  <c r="D139" i="2"/>
  <c r="E139" i="2"/>
  <c r="D140" i="2"/>
  <c r="D143" i="2"/>
  <c r="E143" i="2"/>
  <c r="P4" i="2"/>
  <c r="Q4" i="2"/>
  <c r="P5" i="2"/>
  <c r="Q5" i="2"/>
  <c r="P7" i="2"/>
  <c r="Q7" i="2"/>
  <c r="P96" i="2"/>
  <c r="I96" i="2" s="1"/>
  <c r="L96" i="2" s="1"/>
  <c r="M96" i="2" s="1"/>
  <c r="Q96" i="2"/>
  <c r="N96" i="2" s="1"/>
  <c r="O96" i="2" s="1"/>
  <c r="P97" i="2"/>
  <c r="I97" i="2" s="1"/>
  <c r="L97" i="2" s="1"/>
  <c r="M97" i="2" s="1"/>
  <c r="Q97" i="2"/>
  <c r="N97" i="2" s="1"/>
  <c r="O97" i="2" s="1"/>
  <c r="P98" i="2"/>
  <c r="I98" i="2" s="1"/>
  <c r="L98" i="2" s="1"/>
  <c r="M98" i="2" s="1"/>
  <c r="Q98" i="2"/>
  <c r="N98" i="2" s="1"/>
  <c r="O98" i="2" s="1"/>
  <c r="P8" i="2"/>
  <c r="Q8" i="2"/>
  <c r="P9" i="2"/>
  <c r="Q9" i="2"/>
  <c r="P11" i="2"/>
  <c r="Q11" i="2"/>
  <c r="P12" i="2"/>
  <c r="Q12" i="2"/>
  <c r="P13" i="2"/>
  <c r="Q13" i="2"/>
  <c r="P16" i="2"/>
  <c r="Q16" i="2"/>
  <c r="P17" i="2"/>
  <c r="Q17" i="2"/>
  <c r="P18" i="2"/>
  <c r="Q18" i="2"/>
  <c r="P19" i="2"/>
  <c r="Q19" i="2"/>
  <c r="P20" i="2"/>
  <c r="Q20" i="2"/>
  <c r="P21" i="2"/>
  <c r="Q21" i="2"/>
  <c r="P23" i="2"/>
  <c r="Q23" i="2"/>
  <c r="P24" i="2"/>
  <c r="Q24" i="2"/>
  <c r="P25" i="2"/>
  <c r="Q25" i="2"/>
  <c r="P28" i="2"/>
  <c r="Q28" i="2"/>
  <c r="P29" i="2"/>
  <c r="Q29" i="2"/>
  <c r="P30" i="2"/>
  <c r="Q30" i="2"/>
  <c r="P31" i="2"/>
  <c r="Q31" i="2"/>
  <c r="P32" i="2"/>
  <c r="Q32" i="2"/>
  <c r="P33" i="2"/>
  <c r="Q33" i="2"/>
  <c r="P35" i="2"/>
  <c r="Q35" i="2"/>
  <c r="P36" i="2"/>
  <c r="R36" i="2" s="1"/>
  <c r="Q36" i="2"/>
  <c r="P37" i="2"/>
  <c r="Q37" i="2"/>
  <c r="P40" i="2"/>
  <c r="Q40" i="2"/>
  <c r="P41" i="2"/>
  <c r="Q41" i="2"/>
  <c r="P42" i="2"/>
  <c r="Q42" i="2"/>
  <c r="P43" i="2"/>
  <c r="Q43" i="2"/>
  <c r="P44" i="2"/>
  <c r="Q44" i="2"/>
  <c r="P45" i="2"/>
  <c r="Q45" i="2"/>
  <c r="P47" i="2"/>
  <c r="Q47" i="2"/>
  <c r="P48" i="2"/>
  <c r="Q48" i="2"/>
  <c r="Q49" i="2"/>
  <c r="P51" i="2"/>
  <c r="Q51" i="2"/>
  <c r="P52" i="2"/>
  <c r="Q52" i="2"/>
  <c r="P53" i="2"/>
  <c r="Q53" i="2"/>
  <c r="P54" i="2"/>
  <c r="Q54" i="2"/>
  <c r="P55" i="2"/>
  <c r="Q55" i="2"/>
  <c r="P56" i="2"/>
  <c r="Q56" i="2"/>
  <c r="P58" i="2"/>
  <c r="Q58" i="2"/>
  <c r="P59" i="2"/>
  <c r="Q59" i="2"/>
  <c r="P60" i="2"/>
  <c r="Q60" i="2"/>
  <c r="P62" i="2"/>
  <c r="Q62" i="2"/>
  <c r="P63" i="2"/>
  <c r="Q63" i="2"/>
  <c r="P64" i="2"/>
  <c r="Q64" i="2"/>
  <c r="P65" i="2"/>
  <c r="Q65" i="2"/>
  <c r="P104" i="2"/>
  <c r="I104" i="2" s="1"/>
  <c r="Q104" i="2"/>
  <c r="P66" i="2"/>
  <c r="Q66" i="2"/>
  <c r="P69" i="2"/>
  <c r="Q69" i="2"/>
  <c r="P70" i="2"/>
  <c r="Q70" i="2"/>
  <c r="P72" i="2"/>
  <c r="Q72" i="2"/>
  <c r="P73" i="2"/>
  <c r="Q73" i="2"/>
  <c r="P94" i="2"/>
  <c r="I94" i="2" s="1"/>
  <c r="Q94" i="2"/>
  <c r="P74" i="2"/>
  <c r="Q74" i="2"/>
  <c r="P91" i="2"/>
  <c r="Q91" i="2"/>
  <c r="P76" i="2"/>
  <c r="Q76" i="2"/>
  <c r="P92" i="2"/>
  <c r="Q92" i="2"/>
  <c r="P101" i="2"/>
  <c r="I101" i="2" s="1"/>
  <c r="Q101" i="2"/>
  <c r="P77" i="2"/>
  <c r="Q77" i="2"/>
  <c r="P93" i="2"/>
  <c r="Q93" i="2"/>
  <c r="P79" i="2"/>
  <c r="Q79" i="2"/>
  <c r="P80" i="2"/>
  <c r="Q80" i="2"/>
  <c r="P103" i="2"/>
  <c r="I103" i="2" s="1"/>
  <c r="Q103" i="2"/>
  <c r="P81" i="2"/>
  <c r="Q81" i="2"/>
  <c r="Q82" i="2"/>
  <c r="P83" i="2"/>
  <c r="Q83" i="2"/>
  <c r="P84" i="2"/>
  <c r="Q84" i="2"/>
  <c r="P85" i="2"/>
  <c r="Q85" i="2"/>
  <c r="P86" i="2"/>
  <c r="Q86" i="2"/>
  <c r="P95" i="2"/>
  <c r="I95" i="2" s="1"/>
  <c r="Q95" i="2"/>
  <c r="P88" i="2"/>
  <c r="Q88" i="2"/>
  <c r="P106" i="2"/>
  <c r="Q106" i="2"/>
  <c r="P107" i="2"/>
  <c r="Q107" i="2"/>
  <c r="P108" i="2"/>
  <c r="Q108" i="2"/>
  <c r="P110" i="2"/>
  <c r="Q110" i="2"/>
  <c r="P111" i="2"/>
  <c r="Q111" i="2"/>
  <c r="Q112" i="2"/>
  <c r="P113" i="2"/>
  <c r="Q113" i="2"/>
  <c r="Q114" i="2"/>
  <c r="P115" i="2"/>
  <c r="Q115" i="2"/>
  <c r="P116" i="2"/>
  <c r="Q116" i="2"/>
  <c r="P118" i="2"/>
  <c r="Q118" i="2"/>
  <c r="P119" i="2"/>
  <c r="Q119" i="2"/>
  <c r="Q120" i="2"/>
  <c r="P122" i="2"/>
  <c r="Q122" i="2"/>
  <c r="P123" i="2"/>
  <c r="Q123" i="2"/>
  <c r="P124" i="2"/>
  <c r="Q124" i="2"/>
  <c r="P125" i="2"/>
  <c r="Q125" i="2"/>
  <c r="P127" i="2"/>
  <c r="Q127" i="2"/>
  <c r="P128" i="2"/>
  <c r="Q128" i="2"/>
  <c r="P130" i="2"/>
  <c r="Q130" i="2"/>
  <c r="Q131" i="2"/>
  <c r="P132" i="2"/>
  <c r="Q132" i="2"/>
  <c r="P134" i="2"/>
  <c r="Q134" i="2"/>
  <c r="P135" i="2"/>
  <c r="Q135" i="2"/>
  <c r="P136" i="2"/>
  <c r="Q136" i="2"/>
  <c r="P137" i="2"/>
  <c r="Q137" i="2"/>
  <c r="P139" i="2"/>
  <c r="Q139" i="2"/>
  <c r="P140" i="2"/>
  <c r="Q140" i="2"/>
  <c r="Q142" i="2"/>
  <c r="P143" i="2"/>
  <c r="Q143" i="2"/>
  <c r="Q3" i="2"/>
  <c r="P3" i="2"/>
  <c r="E4" i="11"/>
  <c r="F4" i="11"/>
  <c r="E5" i="11"/>
  <c r="F5" i="11"/>
  <c r="E6" i="11"/>
  <c r="F6" i="11"/>
  <c r="E7" i="11"/>
  <c r="F7" i="11"/>
  <c r="E8" i="11"/>
  <c r="F8" i="11"/>
  <c r="E9" i="11"/>
  <c r="F9" i="11"/>
  <c r="E10" i="11"/>
  <c r="F10" i="11"/>
  <c r="E11" i="11"/>
  <c r="F11" i="11"/>
  <c r="E12" i="11"/>
  <c r="F12" i="11"/>
  <c r="E13" i="11"/>
  <c r="F13" i="11"/>
  <c r="F14" i="11"/>
  <c r="E15" i="11"/>
  <c r="F15" i="11"/>
  <c r="E16" i="11"/>
  <c r="F16" i="11"/>
  <c r="E17" i="11"/>
  <c r="F17" i="11"/>
  <c r="E18" i="11"/>
  <c r="F18" i="11"/>
  <c r="E19" i="11"/>
  <c r="F19" i="11"/>
  <c r="E20" i="11"/>
  <c r="F20" i="11"/>
  <c r="E21" i="11"/>
  <c r="F21" i="11"/>
  <c r="E22" i="11"/>
  <c r="F22" i="11"/>
  <c r="E23" i="11"/>
  <c r="F23" i="11"/>
  <c r="E24" i="11"/>
  <c r="F24" i="11"/>
  <c r="E25" i="11"/>
  <c r="F25" i="11"/>
  <c r="F26" i="11"/>
  <c r="E27" i="11"/>
  <c r="F27" i="11"/>
  <c r="Q139" i="10" s="1"/>
  <c r="E28" i="11"/>
  <c r="F28" i="11"/>
  <c r="E29" i="11"/>
  <c r="F29" i="11"/>
  <c r="Q137" i="10" s="1"/>
  <c r="E30" i="11"/>
  <c r="F30" i="11"/>
  <c r="E31" i="11"/>
  <c r="F31" i="11"/>
  <c r="E32" i="11"/>
  <c r="F32" i="11"/>
  <c r="Q135" i="10" s="1"/>
  <c r="E33" i="11"/>
  <c r="F33" i="11"/>
  <c r="E34" i="11"/>
  <c r="F34" i="11"/>
  <c r="E35" i="11"/>
  <c r="F35" i="11"/>
  <c r="E36" i="11"/>
  <c r="F36" i="11"/>
  <c r="E37" i="11"/>
  <c r="F37" i="11"/>
  <c r="F38" i="11"/>
  <c r="E39" i="11"/>
  <c r="F39" i="11"/>
  <c r="E40" i="11"/>
  <c r="F40" i="11"/>
  <c r="E41" i="11"/>
  <c r="F41" i="11"/>
  <c r="Q112" i="10" s="1"/>
  <c r="E42" i="11"/>
  <c r="F42" i="11"/>
  <c r="E43" i="11"/>
  <c r="F43" i="11"/>
  <c r="E44" i="11"/>
  <c r="F44" i="11"/>
  <c r="Q110" i="10" s="1"/>
  <c r="E45" i="11"/>
  <c r="F45" i="11"/>
  <c r="E46" i="11"/>
  <c r="F46" i="11"/>
  <c r="E47" i="11"/>
  <c r="F47" i="11"/>
  <c r="E48" i="11"/>
  <c r="F48" i="11"/>
  <c r="E49" i="11"/>
  <c r="F49" i="11"/>
  <c r="F50" i="11"/>
  <c r="E51" i="11"/>
  <c r="F51" i="11"/>
  <c r="E52" i="11"/>
  <c r="F52" i="11"/>
  <c r="E53" i="11"/>
  <c r="F53" i="11"/>
  <c r="E54" i="11"/>
  <c r="F54" i="11"/>
  <c r="E55" i="11"/>
  <c r="F55" i="11"/>
  <c r="E56" i="11"/>
  <c r="F56" i="11"/>
  <c r="E57" i="11"/>
  <c r="F57" i="11"/>
  <c r="Q123" i="10" s="1"/>
  <c r="E58" i="11"/>
  <c r="F58" i="11"/>
  <c r="E59" i="11"/>
  <c r="F59" i="11"/>
  <c r="E60" i="11"/>
  <c r="F60" i="11"/>
  <c r="Q121" i="10" s="1"/>
  <c r="E61" i="11"/>
  <c r="F61" i="11"/>
  <c r="F62" i="11"/>
  <c r="Q119" i="10" s="1"/>
  <c r="E63" i="11"/>
  <c r="F63" i="11"/>
  <c r="E64" i="11"/>
  <c r="F64" i="11"/>
  <c r="E65" i="11"/>
  <c r="F65" i="11"/>
  <c r="E66" i="11"/>
  <c r="F66" i="11"/>
  <c r="E67" i="11"/>
  <c r="F67" i="11"/>
  <c r="Q796" i="10" s="1"/>
  <c r="E68" i="11"/>
  <c r="F68" i="11"/>
  <c r="Q794" i="10" s="1"/>
  <c r="E69" i="11"/>
  <c r="F69" i="11"/>
  <c r="Q469" i="10" s="1"/>
  <c r="E71" i="11"/>
  <c r="F71" i="11"/>
  <c r="E84" i="11"/>
  <c r="F84" i="11"/>
  <c r="Q449" i="10" s="1"/>
  <c r="E85" i="11"/>
  <c r="F85" i="11"/>
  <c r="Q451" i="10" s="1"/>
  <c r="E86" i="11"/>
  <c r="F86" i="11"/>
  <c r="Q453" i="10" s="1"/>
  <c r="F87" i="11"/>
  <c r="Q455" i="10" s="1"/>
  <c r="E88" i="11"/>
  <c r="F88" i="11"/>
  <c r="Q457" i="10" s="1"/>
  <c r="E89" i="11"/>
  <c r="F89" i="11"/>
  <c r="Q459" i="10" s="1"/>
  <c r="E90" i="11"/>
  <c r="F90" i="11"/>
  <c r="Q461" i="10" s="1"/>
  <c r="E91" i="11"/>
  <c r="F91" i="11"/>
  <c r="Q463" i="10" s="1"/>
  <c r="E92" i="11"/>
  <c r="F92" i="11"/>
  <c r="Q465" i="10" s="1"/>
  <c r="E93" i="11"/>
  <c r="F93" i="11"/>
  <c r="Q467" i="10" s="1"/>
  <c r="E94" i="11"/>
  <c r="F94" i="11"/>
  <c r="E95" i="11"/>
  <c r="F95" i="11"/>
  <c r="F112" i="11"/>
  <c r="E113" i="11"/>
  <c r="F113" i="11"/>
  <c r="E114" i="11"/>
  <c r="F114" i="11"/>
  <c r="E115" i="11"/>
  <c r="F115" i="11"/>
  <c r="E116" i="11"/>
  <c r="F116" i="11"/>
  <c r="Q161" i="10" s="1"/>
  <c r="E117" i="11"/>
  <c r="F117" i="11"/>
  <c r="E118" i="11"/>
  <c r="F118" i="11"/>
  <c r="E119" i="11"/>
  <c r="F119" i="11"/>
  <c r="E120" i="11"/>
  <c r="F120" i="11"/>
  <c r="E121" i="11"/>
  <c r="F121" i="11"/>
  <c r="Q178" i="10" s="1"/>
  <c r="E123" i="11"/>
  <c r="F123" i="11"/>
  <c r="E136" i="11"/>
  <c r="F136" i="11"/>
  <c r="F137" i="11"/>
  <c r="E138" i="11"/>
  <c r="F138" i="11"/>
  <c r="E139" i="11"/>
  <c r="F139" i="11"/>
  <c r="E140" i="11"/>
  <c r="F140" i="11"/>
  <c r="E141" i="11"/>
  <c r="F141" i="11"/>
  <c r="Q173" i="10" s="1"/>
  <c r="E142" i="11"/>
  <c r="F142" i="11"/>
  <c r="E143" i="11"/>
  <c r="F143" i="11"/>
  <c r="E144" i="11"/>
  <c r="F144" i="11"/>
  <c r="E145" i="11"/>
  <c r="F145" i="11"/>
  <c r="E146" i="11"/>
  <c r="F146" i="11"/>
  <c r="E147" i="11"/>
  <c r="F147" i="11"/>
  <c r="Q209" i="10" s="1"/>
  <c r="E149" i="11"/>
  <c r="F149" i="11"/>
  <c r="F162" i="11"/>
  <c r="E163" i="11"/>
  <c r="F163" i="11"/>
  <c r="E164" i="11"/>
  <c r="F164" i="11"/>
  <c r="E165" i="11"/>
  <c r="F165" i="11"/>
  <c r="Q195" i="10" s="1"/>
  <c r="E166" i="11"/>
  <c r="F166" i="11"/>
  <c r="Q197" i="10" s="1"/>
  <c r="E167" i="11"/>
  <c r="F167" i="11"/>
  <c r="Q199" i="10" s="1"/>
  <c r="E168" i="11"/>
  <c r="F168" i="11"/>
  <c r="Q201" i="10" s="1"/>
  <c r="E169" i="11"/>
  <c r="F169" i="11"/>
  <c r="Q203" i="10" s="1"/>
  <c r="E170" i="11"/>
  <c r="F170" i="11"/>
  <c r="Q205" i="10" s="1"/>
  <c r="E171" i="11"/>
  <c r="F171" i="11"/>
  <c r="Q207" i="10" s="1"/>
  <c r="E172" i="11"/>
  <c r="F172" i="11"/>
  <c r="E173" i="11"/>
  <c r="F173" i="11"/>
  <c r="F175" i="11"/>
  <c r="Q219" i="10" s="1"/>
  <c r="E188" i="11"/>
  <c r="F188" i="11"/>
  <c r="Q220" i="10" s="1"/>
  <c r="E189" i="11"/>
  <c r="F189" i="11"/>
  <c r="Q221" i="10" s="1"/>
  <c r="E190" i="11"/>
  <c r="F190" i="11"/>
  <c r="Q222" i="10" s="1"/>
  <c r="E191" i="11"/>
  <c r="F191" i="11"/>
  <c r="Q223" i="10" s="1"/>
  <c r="E192" i="11"/>
  <c r="F192" i="11"/>
  <c r="Q224" i="10" s="1"/>
  <c r="E193" i="11"/>
  <c r="F193" i="11"/>
  <c r="Q225" i="10" s="1"/>
  <c r="E194" i="11"/>
  <c r="F194" i="11"/>
  <c r="Q226" i="10" s="1"/>
  <c r="E195" i="11"/>
  <c r="F195" i="11"/>
  <c r="Q227" i="10" s="1"/>
  <c r="E196" i="11"/>
  <c r="F196" i="11"/>
  <c r="Q228" i="10" s="1"/>
  <c r="E197" i="11"/>
  <c r="F197" i="11"/>
  <c r="E198" i="11"/>
  <c r="F198" i="11"/>
  <c r="Q218" i="10" s="1"/>
  <c r="F199" i="11"/>
  <c r="E201" i="11"/>
  <c r="F201" i="11"/>
  <c r="E214" i="11"/>
  <c r="F214" i="11"/>
  <c r="Q267" i="10" s="1"/>
  <c r="E215" i="11"/>
  <c r="F215" i="11"/>
  <c r="Q269" i="10" s="1"/>
  <c r="E216" i="11"/>
  <c r="F216" i="11"/>
  <c r="Q271" i="10" s="1"/>
  <c r="E217" i="11"/>
  <c r="F217" i="11"/>
  <c r="Q273" i="10" s="1"/>
  <c r="E218" i="11"/>
  <c r="F218" i="11"/>
  <c r="Q275" i="10" s="1"/>
  <c r="E219" i="11"/>
  <c r="F219" i="11"/>
  <c r="Q277" i="10" s="1"/>
  <c r="E220" i="11"/>
  <c r="F220" i="11"/>
  <c r="Q279" i="10" s="1"/>
  <c r="E221" i="11"/>
  <c r="F221" i="11"/>
  <c r="Q281" i="10" s="1"/>
  <c r="E222" i="11"/>
  <c r="F222" i="11"/>
  <c r="E223" i="11"/>
  <c r="F223" i="11"/>
  <c r="F224" i="11"/>
  <c r="Q263" i="10" s="1"/>
  <c r="E225" i="11"/>
  <c r="F225" i="11"/>
  <c r="Q312" i="10" s="1"/>
  <c r="E226" i="11"/>
  <c r="F226" i="11"/>
  <c r="E240" i="11"/>
  <c r="F240" i="11"/>
  <c r="E241" i="11"/>
  <c r="F241" i="11"/>
  <c r="E242" i="11"/>
  <c r="F242" i="11"/>
  <c r="Q296" i="10" s="1"/>
  <c r="E243" i="11"/>
  <c r="F243" i="11"/>
  <c r="Q298" i="10" s="1"/>
  <c r="E244" i="11"/>
  <c r="F244" i="11"/>
  <c r="Q300" i="10" s="1"/>
  <c r="E245" i="11"/>
  <c r="F245" i="11"/>
  <c r="Q302" i="10" s="1"/>
  <c r="E246" i="11"/>
  <c r="F246" i="11"/>
  <c r="Q304" i="10" s="1"/>
  <c r="E247" i="11"/>
  <c r="F247" i="11"/>
  <c r="Q306" i="10" s="1"/>
  <c r="E248" i="11"/>
  <c r="F248" i="11"/>
  <c r="F249" i="11"/>
  <c r="Q310" i="10" s="1"/>
  <c r="E250" i="11"/>
  <c r="F250" i="11"/>
  <c r="Q314" i="10" s="1"/>
  <c r="E251" i="11"/>
  <c r="F251" i="11"/>
  <c r="E253" i="11"/>
  <c r="F253" i="11"/>
  <c r="E266" i="11"/>
  <c r="F266" i="11"/>
  <c r="E267" i="11"/>
  <c r="F267" i="11"/>
  <c r="Q286" i="10" s="1"/>
  <c r="E268" i="11"/>
  <c r="F268" i="11"/>
  <c r="E269" i="11"/>
  <c r="F269" i="11"/>
  <c r="Q288" i="10" s="1"/>
  <c r="E270" i="11"/>
  <c r="F270" i="11"/>
  <c r="E271" i="11"/>
  <c r="F271" i="11"/>
  <c r="Q290" i="10" s="1"/>
  <c r="E272" i="11"/>
  <c r="F272" i="11"/>
  <c r="E273" i="11"/>
  <c r="F273" i="11"/>
  <c r="F274" i="11"/>
  <c r="E275" i="11"/>
  <c r="F275" i="11"/>
  <c r="E276" i="11"/>
  <c r="F276" i="11"/>
  <c r="E277" i="11"/>
  <c r="F277" i="11"/>
  <c r="Q443" i="10" s="1"/>
  <c r="E279" i="11"/>
  <c r="F279" i="11"/>
  <c r="Q415" i="10" s="1"/>
  <c r="Q328" i="10"/>
  <c r="Q332" i="10"/>
  <c r="Q333" i="10"/>
  <c r="E318" i="11"/>
  <c r="F318" i="11"/>
  <c r="E319" i="11"/>
  <c r="F319" i="11"/>
  <c r="E320" i="11"/>
  <c r="F320" i="11"/>
  <c r="G320" i="11"/>
  <c r="E321" i="11"/>
  <c r="F321" i="11"/>
  <c r="E322" i="11"/>
  <c r="F322" i="11"/>
  <c r="E323" i="11"/>
  <c r="F323" i="11"/>
  <c r="F324" i="11"/>
  <c r="E325" i="11"/>
  <c r="F325" i="11"/>
  <c r="Q493" i="10" s="1"/>
  <c r="E326" i="11"/>
  <c r="F326" i="11"/>
  <c r="G326" i="11"/>
  <c r="E327" i="11"/>
  <c r="F327" i="11"/>
  <c r="Q495" i="10" s="1"/>
  <c r="E328" i="11"/>
  <c r="F328" i="11"/>
  <c r="E329" i="11"/>
  <c r="F329" i="11"/>
  <c r="E331" i="11"/>
  <c r="F331" i="11"/>
  <c r="E344" i="11"/>
  <c r="F344" i="11"/>
  <c r="E345" i="11"/>
  <c r="F345" i="11"/>
  <c r="E346" i="11"/>
  <c r="F346" i="11"/>
  <c r="G346" i="11"/>
  <c r="E347" i="11"/>
  <c r="F347" i="11"/>
  <c r="G347" i="11"/>
  <c r="E348" i="11"/>
  <c r="F348" i="11"/>
  <c r="F349" i="11"/>
  <c r="E350" i="11"/>
  <c r="F350" i="11"/>
  <c r="E351" i="11"/>
  <c r="F351" i="11"/>
  <c r="E352" i="11"/>
  <c r="F352" i="11"/>
  <c r="E353" i="11"/>
  <c r="F353" i="11"/>
  <c r="E354" i="11"/>
  <c r="F354" i="11"/>
  <c r="Q521" i="10" s="1"/>
  <c r="E355" i="11"/>
  <c r="F355" i="11"/>
  <c r="E357" i="11"/>
  <c r="F357" i="11"/>
  <c r="E370" i="11"/>
  <c r="F370" i="11"/>
  <c r="Q527" i="10" s="1"/>
  <c r="G370" i="11"/>
  <c r="E371" i="11"/>
  <c r="F371" i="11"/>
  <c r="Q529" i="10" s="1"/>
  <c r="G371" i="11"/>
  <c r="E372" i="11"/>
  <c r="F372" i="11"/>
  <c r="Q531" i="10" s="1"/>
  <c r="E373" i="11"/>
  <c r="F373" i="11"/>
  <c r="Q533" i="10" s="1"/>
  <c r="F374" i="11"/>
  <c r="Q535" i="10" s="1"/>
  <c r="E375" i="11"/>
  <c r="F375" i="11"/>
  <c r="Q537" i="10" s="1"/>
  <c r="E376" i="11"/>
  <c r="F376" i="11"/>
  <c r="Q539" i="10" s="1"/>
  <c r="E377" i="11"/>
  <c r="F377" i="11"/>
  <c r="Q541" i="10" s="1"/>
  <c r="E378" i="11"/>
  <c r="F378" i="11"/>
  <c r="Q543" i="10" s="1"/>
  <c r="E379" i="11"/>
  <c r="F379" i="11"/>
  <c r="E380" i="11"/>
  <c r="F380" i="11"/>
  <c r="Q523" i="10" s="1"/>
  <c r="E381" i="11"/>
  <c r="F381" i="11"/>
  <c r="Q573" i="10" s="1"/>
  <c r="E383" i="11"/>
  <c r="F383" i="11"/>
  <c r="G383" i="11"/>
  <c r="E396" i="11"/>
  <c r="F396" i="11"/>
  <c r="Q551" i="10" s="1"/>
  <c r="E397" i="11"/>
  <c r="F397" i="11"/>
  <c r="Q552" i="10" s="1"/>
  <c r="E398" i="11"/>
  <c r="F398" i="11"/>
  <c r="Q553" i="10" s="1"/>
  <c r="F399" i="11"/>
  <c r="Q554" i="10" s="1"/>
  <c r="E400" i="11"/>
  <c r="F400" i="11"/>
  <c r="Q561" i="10" s="1"/>
  <c r="E401" i="11"/>
  <c r="F401" i="11"/>
  <c r="Q563" i="10" s="1"/>
  <c r="G401" i="11"/>
  <c r="E402" i="11"/>
  <c r="F402" i="11"/>
  <c r="Q565" i="10" s="1"/>
  <c r="E403" i="11"/>
  <c r="F403" i="11"/>
  <c r="Q567" i="10" s="1"/>
  <c r="E404" i="11"/>
  <c r="F404" i="11"/>
  <c r="Q569" i="10" s="1"/>
  <c r="E405" i="11"/>
  <c r="F405" i="11"/>
  <c r="E406" i="11"/>
  <c r="F406" i="11"/>
  <c r="E407" i="11"/>
  <c r="F407" i="11"/>
  <c r="Q599" i="10" s="1"/>
  <c r="E409" i="11"/>
  <c r="F409" i="11"/>
  <c r="E422" i="11"/>
  <c r="F422" i="11"/>
  <c r="Q579" i="10" s="1"/>
  <c r="E423" i="11"/>
  <c r="F423" i="11"/>
  <c r="Q581" i="10" s="1"/>
  <c r="F424" i="11"/>
  <c r="Q583" i="10" s="1"/>
  <c r="E425" i="11"/>
  <c r="F425" i="11"/>
  <c r="Q585" i="10" s="1"/>
  <c r="G425" i="11"/>
  <c r="E426" i="11"/>
  <c r="F426" i="11"/>
  <c r="Q587" i="10" s="1"/>
  <c r="G426" i="11"/>
  <c r="E427" i="11"/>
  <c r="F427" i="11"/>
  <c r="Q589" i="10" s="1"/>
  <c r="E428" i="11"/>
  <c r="F428" i="11"/>
  <c r="Q591" i="10" s="1"/>
  <c r="E429" i="11"/>
  <c r="F429" i="11"/>
  <c r="Q593" i="10" s="1"/>
  <c r="E430" i="11"/>
  <c r="F430" i="11"/>
  <c r="Q595" i="10" s="1"/>
  <c r="E431" i="11"/>
  <c r="F431" i="11"/>
  <c r="Q597" i="10" s="1"/>
  <c r="G431" i="11"/>
  <c r="E432" i="11"/>
  <c r="F432" i="11"/>
  <c r="Q575" i="10" s="1"/>
  <c r="G432" i="11"/>
  <c r="E433" i="11"/>
  <c r="F433" i="11"/>
  <c r="Q778" i="10" s="1"/>
  <c r="G433" i="11"/>
  <c r="E434" i="11"/>
  <c r="F434" i="11"/>
  <c r="E435" i="11"/>
  <c r="F435" i="11"/>
  <c r="Q800" i="10" s="1"/>
  <c r="G435" i="11"/>
  <c r="F436" i="11"/>
  <c r="E437" i="11"/>
  <c r="F437" i="11"/>
  <c r="E438" i="11"/>
  <c r="F438" i="11"/>
  <c r="E439" i="11"/>
  <c r="F439" i="11"/>
  <c r="E440" i="11"/>
  <c r="F440" i="11"/>
  <c r="E441" i="11"/>
  <c r="F441" i="11"/>
  <c r="E442" i="11"/>
  <c r="F442" i="11"/>
  <c r="E443" i="11"/>
  <c r="F443" i="11"/>
  <c r="E444" i="11"/>
  <c r="F444" i="11"/>
  <c r="E445" i="11"/>
  <c r="F445" i="11"/>
  <c r="E446" i="11"/>
  <c r="F446" i="11"/>
  <c r="E447" i="11"/>
  <c r="F447" i="11"/>
  <c r="F448" i="11"/>
  <c r="E449" i="11"/>
  <c r="F449" i="11"/>
  <c r="E450" i="11"/>
  <c r="F450" i="11"/>
  <c r="E451" i="11"/>
  <c r="F451" i="11"/>
  <c r="E452" i="11"/>
  <c r="F452" i="11"/>
  <c r="E453" i="11"/>
  <c r="F453" i="11"/>
  <c r="E454" i="11"/>
  <c r="F454" i="11"/>
  <c r="E455" i="11"/>
  <c r="F455" i="11"/>
  <c r="E456" i="11"/>
  <c r="F456" i="11"/>
  <c r="E458" i="11"/>
  <c r="F458" i="11"/>
  <c r="E471" i="11"/>
  <c r="F471" i="11"/>
  <c r="E472" i="11"/>
  <c r="F472" i="11"/>
  <c r="Q143" i="10" s="1"/>
  <c r="F473" i="11"/>
  <c r="E474" i="11"/>
  <c r="F474" i="11"/>
  <c r="E475" i="11"/>
  <c r="F475" i="11"/>
  <c r="E476" i="11"/>
  <c r="F476" i="11"/>
  <c r="Q147" i="10" s="1"/>
  <c r="E477" i="11"/>
  <c r="F477" i="11"/>
  <c r="E478" i="11"/>
  <c r="F478" i="11"/>
  <c r="E479" i="11"/>
  <c r="F479" i="11"/>
  <c r="E480" i="11"/>
  <c r="F480" i="11"/>
  <c r="E481" i="11"/>
  <c r="F481" i="11"/>
  <c r="S4" i="11"/>
  <c r="T4" i="11"/>
  <c r="S5" i="11"/>
  <c r="T5" i="11"/>
  <c r="S6" i="11"/>
  <c r="T6" i="11"/>
  <c r="S7" i="11"/>
  <c r="T7" i="11"/>
  <c r="S8" i="11"/>
  <c r="T8" i="11"/>
  <c r="S9" i="11"/>
  <c r="T9" i="11"/>
  <c r="S10" i="11"/>
  <c r="T10" i="11"/>
  <c r="S11" i="11"/>
  <c r="T11" i="11"/>
  <c r="S12" i="11"/>
  <c r="T12" i="11"/>
  <c r="S13" i="11"/>
  <c r="T13" i="11"/>
  <c r="S14" i="11"/>
  <c r="T14" i="11"/>
  <c r="S15" i="11"/>
  <c r="T15" i="11"/>
  <c r="S16" i="11"/>
  <c r="T16" i="11"/>
  <c r="S17" i="11"/>
  <c r="T17" i="11"/>
  <c r="S18" i="11"/>
  <c r="T18" i="11"/>
  <c r="S19" i="11"/>
  <c r="T19" i="11"/>
  <c r="S20" i="11"/>
  <c r="T20" i="11"/>
  <c r="S21" i="11"/>
  <c r="T21" i="11"/>
  <c r="S22" i="11"/>
  <c r="T22" i="11"/>
  <c r="S23" i="11"/>
  <c r="T23" i="11"/>
  <c r="S24" i="11"/>
  <c r="T24" i="11"/>
  <c r="S25" i="11"/>
  <c r="T25" i="11"/>
  <c r="S26" i="11"/>
  <c r="T26" i="11"/>
  <c r="S27" i="11"/>
  <c r="T27" i="11"/>
  <c r="S28" i="11"/>
  <c r="T28" i="11"/>
  <c r="S29" i="11"/>
  <c r="T29" i="11"/>
  <c r="S30" i="11"/>
  <c r="T30" i="11"/>
  <c r="S31" i="11"/>
  <c r="T31" i="11"/>
  <c r="S32" i="11"/>
  <c r="T32" i="11"/>
  <c r="S33" i="11"/>
  <c r="T33" i="11"/>
  <c r="S34" i="11"/>
  <c r="T34" i="11"/>
  <c r="S35" i="11"/>
  <c r="T35" i="11"/>
  <c r="S36" i="11"/>
  <c r="T36" i="11"/>
  <c r="S37" i="11"/>
  <c r="T37" i="11"/>
  <c r="S38" i="11"/>
  <c r="T38" i="11"/>
  <c r="S39" i="11"/>
  <c r="T39" i="11"/>
  <c r="S40" i="11"/>
  <c r="T40" i="11"/>
  <c r="S41" i="11"/>
  <c r="T41" i="11"/>
  <c r="S42" i="11"/>
  <c r="T42" i="11"/>
  <c r="S43" i="11"/>
  <c r="T43" i="11"/>
  <c r="S44" i="11"/>
  <c r="T44" i="11"/>
  <c r="S45" i="11"/>
  <c r="T45" i="11"/>
  <c r="S46" i="11"/>
  <c r="T46" i="11"/>
  <c r="S47" i="11"/>
  <c r="T47" i="11"/>
  <c r="S48" i="11"/>
  <c r="T48" i="11"/>
  <c r="S49" i="11"/>
  <c r="T49" i="11"/>
  <c r="S50" i="11"/>
  <c r="T50" i="11"/>
  <c r="S51" i="11"/>
  <c r="T51" i="11"/>
  <c r="S52" i="11"/>
  <c r="T52" i="11"/>
  <c r="S53" i="11"/>
  <c r="T53" i="11"/>
  <c r="S54" i="11"/>
  <c r="T54" i="11"/>
  <c r="S55" i="11"/>
  <c r="T55" i="11"/>
  <c r="S56" i="11"/>
  <c r="T56" i="11"/>
  <c r="S57" i="11"/>
  <c r="T57" i="11"/>
  <c r="S58" i="11"/>
  <c r="T58" i="11"/>
  <c r="S59" i="11"/>
  <c r="T59" i="11"/>
  <c r="S60" i="11"/>
  <c r="T60" i="11"/>
  <c r="S61" i="11"/>
  <c r="T61" i="11"/>
  <c r="S62" i="11"/>
  <c r="T62" i="11"/>
  <c r="S63" i="11"/>
  <c r="T63" i="11"/>
  <c r="S64" i="11"/>
  <c r="T64" i="11"/>
  <c r="S65" i="11"/>
  <c r="U65" i="11" s="1"/>
  <c r="T65" i="11"/>
  <c r="S66" i="11"/>
  <c r="U66" i="11" s="1"/>
  <c r="T66" i="11"/>
  <c r="S67" i="11"/>
  <c r="U67" i="11" s="1"/>
  <c r="T67" i="11"/>
  <c r="S68" i="11"/>
  <c r="U68" i="11" s="1"/>
  <c r="T68" i="11"/>
  <c r="S69" i="11"/>
  <c r="T69" i="11"/>
  <c r="S71" i="11"/>
  <c r="T71" i="11"/>
  <c r="S84" i="11"/>
  <c r="T84" i="11"/>
  <c r="S85" i="11"/>
  <c r="T85" i="11"/>
  <c r="S86" i="11"/>
  <c r="T86" i="11"/>
  <c r="S87" i="11"/>
  <c r="T87" i="11"/>
  <c r="S88" i="11"/>
  <c r="T88" i="11"/>
  <c r="S89" i="11"/>
  <c r="T89" i="11"/>
  <c r="S90" i="11"/>
  <c r="T90" i="11"/>
  <c r="S91" i="11"/>
  <c r="T91" i="11"/>
  <c r="S92" i="11"/>
  <c r="T92" i="11"/>
  <c r="S93" i="11"/>
  <c r="T93" i="11"/>
  <c r="S94" i="11"/>
  <c r="T94" i="11"/>
  <c r="S95" i="11"/>
  <c r="T95" i="11"/>
  <c r="S112" i="11"/>
  <c r="T112" i="11"/>
  <c r="S113" i="11"/>
  <c r="T113" i="11"/>
  <c r="S114" i="11"/>
  <c r="T114" i="11"/>
  <c r="S115" i="11"/>
  <c r="T115" i="11"/>
  <c r="S116" i="11"/>
  <c r="T116" i="11"/>
  <c r="S117" i="11"/>
  <c r="T117" i="11"/>
  <c r="S118" i="11"/>
  <c r="T118" i="11"/>
  <c r="S119" i="11"/>
  <c r="T119" i="11"/>
  <c r="S120" i="11"/>
  <c r="T120" i="11"/>
  <c r="S121" i="11"/>
  <c r="T121" i="11"/>
  <c r="S123" i="11"/>
  <c r="T123" i="11"/>
  <c r="S136" i="11"/>
  <c r="T136" i="11"/>
  <c r="S137" i="11"/>
  <c r="T137" i="11"/>
  <c r="S138" i="11"/>
  <c r="T138" i="11"/>
  <c r="S139" i="11"/>
  <c r="T139" i="11"/>
  <c r="S140" i="11"/>
  <c r="T140" i="11"/>
  <c r="S141" i="11"/>
  <c r="T141" i="11"/>
  <c r="S142" i="11"/>
  <c r="T142" i="11"/>
  <c r="S143" i="11"/>
  <c r="T143" i="11"/>
  <c r="S144" i="11"/>
  <c r="T144" i="11"/>
  <c r="S145" i="11"/>
  <c r="T145" i="11"/>
  <c r="S146" i="11"/>
  <c r="T146" i="11"/>
  <c r="S147" i="11"/>
  <c r="T147" i="11"/>
  <c r="S149" i="11"/>
  <c r="T149" i="11"/>
  <c r="S162" i="11"/>
  <c r="T162" i="11"/>
  <c r="S163" i="11"/>
  <c r="T163" i="11"/>
  <c r="S164" i="11"/>
  <c r="T164" i="11"/>
  <c r="S165" i="11"/>
  <c r="T165" i="11"/>
  <c r="S166" i="11"/>
  <c r="T166" i="11"/>
  <c r="S167" i="11"/>
  <c r="T167" i="11"/>
  <c r="S168" i="11"/>
  <c r="T168" i="11"/>
  <c r="S169" i="11"/>
  <c r="T169" i="11"/>
  <c r="S170" i="11"/>
  <c r="T170" i="11"/>
  <c r="S171" i="11"/>
  <c r="T171" i="11"/>
  <c r="S172" i="11"/>
  <c r="T172" i="11"/>
  <c r="S173" i="11"/>
  <c r="T173" i="11"/>
  <c r="S175" i="11"/>
  <c r="T175" i="11"/>
  <c r="S188" i="11"/>
  <c r="T188" i="11"/>
  <c r="S189" i="11"/>
  <c r="T189" i="11"/>
  <c r="S190" i="11"/>
  <c r="T190" i="11"/>
  <c r="S191" i="11"/>
  <c r="T191" i="11"/>
  <c r="S192" i="11"/>
  <c r="T192" i="11"/>
  <c r="S193" i="11"/>
  <c r="T193" i="11"/>
  <c r="S194" i="11"/>
  <c r="T194" i="11"/>
  <c r="S195" i="11"/>
  <c r="T195" i="11"/>
  <c r="S196" i="11"/>
  <c r="T196" i="11"/>
  <c r="S197" i="11"/>
  <c r="T197" i="11"/>
  <c r="S198" i="11"/>
  <c r="T198" i="11"/>
  <c r="S199" i="11"/>
  <c r="T199" i="11"/>
  <c r="S201" i="11"/>
  <c r="T201" i="11"/>
  <c r="S214" i="11"/>
  <c r="T214" i="11"/>
  <c r="S215" i="11"/>
  <c r="T215" i="11"/>
  <c r="S216" i="11"/>
  <c r="T216" i="11"/>
  <c r="S217" i="11"/>
  <c r="T217" i="11"/>
  <c r="S218" i="11"/>
  <c r="T218" i="11"/>
  <c r="S219" i="11"/>
  <c r="T219" i="11"/>
  <c r="S220" i="11"/>
  <c r="T220" i="11"/>
  <c r="S221" i="11"/>
  <c r="T221" i="11"/>
  <c r="S222" i="11"/>
  <c r="T222" i="11"/>
  <c r="S223" i="11"/>
  <c r="T223" i="11"/>
  <c r="S224" i="11"/>
  <c r="T224" i="11"/>
  <c r="S225" i="11"/>
  <c r="T225" i="11"/>
  <c r="S226" i="11"/>
  <c r="T226" i="11"/>
  <c r="S240" i="11"/>
  <c r="T240" i="11"/>
  <c r="S241" i="11"/>
  <c r="T241" i="11"/>
  <c r="S242" i="11"/>
  <c r="T242" i="11"/>
  <c r="S243" i="11"/>
  <c r="T243" i="11"/>
  <c r="S244" i="11"/>
  <c r="T244" i="11"/>
  <c r="S245" i="11"/>
  <c r="T245" i="11"/>
  <c r="S246" i="11"/>
  <c r="T246" i="11"/>
  <c r="S247" i="11"/>
  <c r="T247" i="11"/>
  <c r="S248" i="11"/>
  <c r="T248" i="11"/>
  <c r="S249" i="11"/>
  <c r="T249" i="11"/>
  <c r="S250" i="11"/>
  <c r="T250" i="11"/>
  <c r="S251" i="11"/>
  <c r="T251" i="11"/>
  <c r="S253" i="11"/>
  <c r="T253" i="11"/>
  <c r="S266" i="11"/>
  <c r="T266" i="11"/>
  <c r="S267" i="11"/>
  <c r="T267" i="11"/>
  <c r="S268" i="11"/>
  <c r="T268" i="11"/>
  <c r="S269" i="11"/>
  <c r="T269" i="11"/>
  <c r="S270" i="11"/>
  <c r="T270" i="11"/>
  <c r="S271" i="11"/>
  <c r="T271" i="11"/>
  <c r="S272" i="11"/>
  <c r="T272" i="11"/>
  <c r="S273" i="11"/>
  <c r="T273" i="11"/>
  <c r="S274" i="11"/>
  <c r="T274" i="11"/>
  <c r="S275" i="11"/>
  <c r="T275" i="11"/>
  <c r="S276" i="11"/>
  <c r="T276" i="11"/>
  <c r="S277" i="11"/>
  <c r="T277" i="11"/>
  <c r="S279" i="11"/>
  <c r="T279" i="11"/>
  <c r="S318" i="11"/>
  <c r="T318" i="11"/>
  <c r="S319" i="11"/>
  <c r="T319" i="11"/>
  <c r="S320" i="11"/>
  <c r="T320" i="11"/>
  <c r="S321" i="11"/>
  <c r="T321" i="11"/>
  <c r="S322" i="11"/>
  <c r="T322" i="11"/>
  <c r="S323" i="11"/>
  <c r="T323" i="11"/>
  <c r="S324" i="11"/>
  <c r="T324" i="11"/>
  <c r="S325" i="11"/>
  <c r="T325" i="11"/>
  <c r="S326" i="11"/>
  <c r="T326" i="11"/>
  <c r="S327" i="11"/>
  <c r="T327" i="11"/>
  <c r="S328" i="11"/>
  <c r="T328" i="11"/>
  <c r="S329" i="11"/>
  <c r="T329" i="11"/>
  <c r="S331" i="11"/>
  <c r="T331" i="11"/>
  <c r="S344" i="11"/>
  <c r="T344" i="11"/>
  <c r="S345" i="11"/>
  <c r="T345" i="11"/>
  <c r="S346" i="11"/>
  <c r="T346" i="11"/>
  <c r="S347" i="11"/>
  <c r="T347" i="11"/>
  <c r="S348" i="11"/>
  <c r="T348" i="11"/>
  <c r="S349" i="11"/>
  <c r="T349" i="11"/>
  <c r="S350" i="11"/>
  <c r="T350" i="11"/>
  <c r="S351" i="11"/>
  <c r="T351" i="11"/>
  <c r="S352" i="11"/>
  <c r="T352" i="11"/>
  <c r="S353" i="11"/>
  <c r="T353" i="11"/>
  <c r="S354" i="11"/>
  <c r="T354" i="11"/>
  <c r="S355" i="11"/>
  <c r="T355" i="11"/>
  <c r="S357" i="11"/>
  <c r="T357" i="11"/>
  <c r="S370" i="11"/>
  <c r="T370" i="11"/>
  <c r="S371" i="11"/>
  <c r="T371" i="11"/>
  <c r="S372" i="11"/>
  <c r="T372" i="11"/>
  <c r="S373" i="11"/>
  <c r="T373" i="11"/>
  <c r="S374" i="11"/>
  <c r="T374" i="11"/>
  <c r="S375" i="11"/>
  <c r="T375" i="11"/>
  <c r="S376" i="11"/>
  <c r="T376" i="11"/>
  <c r="S377" i="11"/>
  <c r="T377" i="11"/>
  <c r="S378" i="11"/>
  <c r="T378" i="11"/>
  <c r="S379" i="11"/>
  <c r="T379" i="11"/>
  <c r="S380" i="11"/>
  <c r="T380" i="11"/>
  <c r="S381" i="11"/>
  <c r="T381" i="11"/>
  <c r="S383" i="11"/>
  <c r="T383" i="11"/>
  <c r="S396" i="11"/>
  <c r="T396" i="11"/>
  <c r="S397" i="11"/>
  <c r="T397" i="11"/>
  <c r="S398" i="11"/>
  <c r="T398" i="11"/>
  <c r="S399" i="11"/>
  <c r="T399" i="11"/>
  <c r="S400" i="11"/>
  <c r="T400" i="11"/>
  <c r="S401" i="11"/>
  <c r="T401" i="11"/>
  <c r="S402" i="11"/>
  <c r="T402" i="11"/>
  <c r="S403" i="11"/>
  <c r="T403" i="11"/>
  <c r="S404" i="11"/>
  <c r="T404" i="11"/>
  <c r="S405" i="11"/>
  <c r="T405" i="11"/>
  <c r="S406" i="11"/>
  <c r="T406" i="11"/>
  <c r="S407" i="11"/>
  <c r="T407" i="11"/>
  <c r="S409" i="11"/>
  <c r="T409" i="11"/>
  <c r="S422" i="11"/>
  <c r="T422" i="11"/>
  <c r="S423" i="11"/>
  <c r="T423" i="11"/>
  <c r="S424" i="11"/>
  <c r="T424" i="11"/>
  <c r="S425" i="11"/>
  <c r="T425" i="11"/>
  <c r="S426" i="11"/>
  <c r="T426" i="11"/>
  <c r="S427" i="11"/>
  <c r="T427" i="11"/>
  <c r="S428" i="11"/>
  <c r="T428" i="11"/>
  <c r="S429" i="11"/>
  <c r="T429" i="11"/>
  <c r="S430" i="11"/>
  <c r="T430" i="11"/>
  <c r="S431" i="11"/>
  <c r="T431" i="11"/>
  <c r="S432" i="11"/>
  <c r="T432" i="11"/>
  <c r="S433" i="11"/>
  <c r="U433" i="11" s="1"/>
  <c r="T433" i="11"/>
  <c r="S434" i="11"/>
  <c r="U434" i="11" s="1"/>
  <c r="T434" i="11"/>
  <c r="S435" i="11"/>
  <c r="U435" i="11" s="1"/>
  <c r="T435" i="11"/>
  <c r="V435" i="11" s="1"/>
  <c r="S436" i="11"/>
  <c r="U436" i="11" s="1"/>
  <c r="T436" i="11"/>
  <c r="V436" i="11" s="1"/>
  <c r="S437" i="11"/>
  <c r="U437" i="11" s="1"/>
  <c r="T437" i="11"/>
  <c r="V437" i="11" s="1"/>
  <c r="S438" i="11"/>
  <c r="U438" i="11" s="1"/>
  <c r="T438" i="11"/>
  <c r="S439" i="11"/>
  <c r="T439" i="11"/>
  <c r="S440" i="11"/>
  <c r="T440" i="11"/>
  <c r="S441" i="11"/>
  <c r="T441" i="11"/>
  <c r="S442" i="11"/>
  <c r="T442" i="11"/>
  <c r="S443" i="11"/>
  <c r="T443" i="11"/>
  <c r="S444" i="11"/>
  <c r="T444" i="11"/>
  <c r="S445" i="11"/>
  <c r="T445" i="11"/>
  <c r="S446" i="11"/>
  <c r="T446" i="11"/>
  <c r="S447" i="11"/>
  <c r="T447" i="11"/>
  <c r="S448" i="11"/>
  <c r="T448" i="11"/>
  <c r="S449" i="11"/>
  <c r="T449" i="11"/>
  <c r="S450" i="11"/>
  <c r="T450" i="11"/>
  <c r="S451" i="11"/>
  <c r="T451" i="11"/>
  <c r="S452" i="11"/>
  <c r="T452" i="11"/>
  <c r="S453" i="11"/>
  <c r="T453" i="11"/>
  <c r="S454" i="11"/>
  <c r="T454" i="11"/>
  <c r="S455" i="11"/>
  <c r="T455" i="11"/>
  <c r="S456" i="11"/>
  <c r="T456" i="11"/>
  <c r="S458" i="11"/>
  <c r="T458" i="11"/>
  <c r="S471" i="11"/>
  <c r="T471" i="11"/>
  <c r="S472" i="11"/>
  <c r="T472" i="11"/>
  <c r="S473" i="11"/>
  <c r="T473" i="11"/>
  <c r="S474" i="11"/>
  <c r="T474" i="11"/>
  <c r="S475" i="11"/>
  <c r="T475" i="11"/>
  <c r="S476" i="11"/>
  <c r="T476" i="11"/>
  <c r="S477" i="11"/>
  <c r="T477" i="11"/>
  <c r="S478" i="11"/>
  <c r="T478" i="11"/>
  <c r="S479" i="11"/>
  <c r="T479" i="11"/>
  <c r="S480" i="11"/>
  <c r="T480" i="11"/>
  <c r="S481" i="11"/>
  <c r="T481" i="11"/>
  <c r="T3" i="11"/>
  <c r="S3" i="11"/>
  <c r="F3" i="11"/>
  <c r="E3" i="11"/>
  <c r="A4" i="11"/>
  <c r="A5" i="11"/>
  <c r="A6" i="11"/>
  <c r="A7" i="11"/>
  <c r="A8" i="11"/>
  <c r="A9" i="11"/>
  <c r="A10" i="11"/>
  <c r="A11" i="11"/>
  <c r="A12" i="11"/>
  <c r="A13" i="11"/>
  <c r="A15" i="11"/>
  <c r="A16" i="11"/>
  <c r="A17" i="11"/>
  <c r="A18" i="11"/>
  <c r="A19" i="11"/>
  <c r="A20" i="11"/>
  <c r="A21" i="11"/>
  <c r="A22" i="11"/>
  <c r="A23" i="11"/>
  <c r="A24" i="11"/>
  <c r="A25" i="11"/>
  <c r="A27" i="11"/>
  <c r="A28" i="11"/>
  <c r="A29" i="11"/>
  <c r="A30" i="11"/>
  <c r="A31" i="11"/>
  <c r="A32" i="11"/>
  <c r="A33" i="11"/>
  <c r="A34" i="11"/>
  <c r="A35" i="11"/>
  <c r="A36" i="11"/>
  <c r="A37" i="11"/>
  <c r="A39" i="11"/>
  <c r="A40" i="11"/>
  <c r="A41" i="11"/>
  <c r="A42" i="11"/>
  <c r="A43" i="11"/>
  <c r="A44" i="11"/>
  <c r="A45" i="11"/>
  <c r="A46" i="11"/>
  <c r="A47" i="11"/>
  <c r="A48" i="11"/>
  <c r="A49" i="11"/>
  <c r="A51" i="11"/>
  <c r="A52" i="11"/>
  <c r="A53" i="11"/>
  <c r="A54" i="11"/>
  <c r="A55" i="11"/>
  <c r="A56" i="11"/>
  <c r="A57" i="11"/>
  <c r="A58" i="11"/>
  <c r="A59" i="11"/>
  <c r="A60" i="11"/>
  <c r="A61" i="11"/>
  <c r="A63" i="11"/>
  <c r="A64" i="11"/>
  <c r="A65" i="11"/>
  <c r="A66" i="11"/>
  <c r="A67" i="11"/>
  <c r="A68" i="11"/>
  <c r="A69" i="11"/>
  <c r="A71" i="11"/>
  <c r="A84" i="11"/>
  <c r="A85" i="11"/>
  <c r="A86" i="11"/>
  <c r="A88" i="11"/>
  <c r="A89" i="11"/>
  <c r="A90" i="11"/>
  <c r="A91" i="11"/>
  <c r="A92" i="11"/>
  <c r="A93" i="11"/>
  <c r="A94" i="11"/>
  <c r="A95" i="11"/>
  <c r="A113" i="11"/>
  <c r="A114" i="11"/>
  <c r="A115" i="11"/>
  <c r="A116" i="11"/>
  <c r="A117" i="11"/>
  <c r="A118" i="11"/>
  <c r="A119" i="11"/>
  <c r="A120" i="11"/>
  <c r="A121" i="11"/>
  <c r="A123" i="11"/>
  <c r="A136" i="11"/>
  <c r="A138" i="11"/>
  <c r="A139" i="11"/>
  <c r="A140" i="11"/>
  <c r="A141" i="11"/>
  <c r="A142" i="11"/>
  <c r="A143" i="11"/>
  <c r="A144" i="11"/>
  <c r="A145" i="11"/>
  <c r="A146" i="11"/>
  <c r="A147" i="11"/>
  <c r="A149" i="11"/>
  <c r="A163" i="11"/>
  <c r="A164" i="11"/>
  <c r="A165" i="11"/>
  <c r="A166" i="11"/>
  <c r="A167" i="11"/>
  <c r="A168" i="11"/>
  <c r="A169" i="11"/>
  <c r="A170" i="11"/>
  <c r="A171" i="11"/>
  <c r="A172" i="11"/>
  <c r="A173" i="11"/>
  <c r="A188" i="11"/>
  <c r="A189" i="11"/>
  <c r="A190" i="11"/>
  <c r="A191" i="11"/>
  <c r="A192" i="11"/>
  <c r="A193" i="11"/>
  <c r="A194" i="11"/>
  <c r="A195" i="11"/>
  <c r="A196" i="11"/>
  <c r="A197" i="11"/>
  <c r="A198" i="11"/>
  <c r="A201" i="11"/>
  <c r="A214" i="11"/>
  <c r="A215" i="11"/>
  <c r="A216" i="11"/>
  <c r="A217" i="11"/>
  <c r="A218" i="11"/>
  <c r="A219" i="11"/>
  <c r="A220" i="11"/>
  <c r="A221" i="11"/>
  <c r="A222" i="11"/>
  <c r="A223" i="11"/>
  <c r="A225" i="11"/>
  <c r="A226" i="11"/>
  <c r="A240" i="11"/>
  <c r="A241" i="11"/>
  <c r="A242" i="11"/>
  <c r="A243" i="11"/>
  <c r="A244" i="11"/>
  <c r="A245" i="11"/>
  <c r="A246" i="11"/>
  <c r="A247" i="11"/>
  <c r="A248" i="11"/>
  <c r="A250" i="11"/>
  <c r="A251" i="11"/>
  <c r="A253" i="11"/>
  <c r="A266" i="11"/>
  <c r="A267" i="11"/>
  <c r="A268" i="11"/>
  <c r="A269" i="11"/>
  <c r="A270" i="11"/>
  <c r="A271" i="11"/>
  <c r="A272" i="11"/>
  <c r="A273" i="11"/>
  <c r="A275" i="11"/>
  <c r="A276" i="11"/>
  <c r="A277" i="11"/>
  <c r="A279" i="11"/>
  <c r="A318" i="11"/>
  <c r="A319" i="11"/>
  <c r="A320" i="11"/>
  <c r="A321" i="11"/>
  <c r="A322" i="11"/>
  <c r="A323" i="11"/>
  <c r="A325" i="11"/>
  <c r="A326" i="11"/>
  <c r="A327" i="11"/>
  <c r="A328" i="11"/>
  <c r="A329" i="11"/>
  <c r="A331" i="11"/>
  <c r="A344" i="11"/>
  <c r="A345" i="11"/>
  <c r="A346" i="11"/>
  <c r="A347" i="11"/>
  <c r="A348" i="11"/>
  <c r="A350" i="11"/>
  <c r="A351" i="11"/>
  <c r="A352" i="11"/>
  <c r="A353" i="11"/>
  <c r="A354" i="11"/>
  <c r="A355" i="11"/>
  <c r="A357" i="11"/>
  <c r="A370" i="11"/>
  <c r="A371" i="11"/>
  <c r="A372" i="11"/>
  <c r="A373" i="11"/>
  <c r="A375" i="11"/>
  <c r="A376" i="11"/>
  <c r="A377" i="11"/>
  <c r="A378" i="11"/>
  <c r="A379" i="11"/>
  <c r="A380" i="11"/>
  <c r="A381" i="11"/>
  <c r="A383" i="11"/>
  <c r="A396" i="11"/>
  <c r="A397" i="11"/>
  <c r="A398" i="11"/>
  <c r="A400" i="11"/>
  <c r="A401" i="11"/>
  <c r="A402" i="11"/>
  <c r="A403" i="11"/>
  <c r="A404" i="11"/>
  <c r="A405" i="11"/>
  <c r="A406" i="11"/>
  <c r="A407" i="11"/>
  <c r="A409" i="11"/>
  <c r="A422" i="11"/>
  <c r="A423" i="11"/>
  <c r="A425" i="11"/>
  <c r="A426" i="11"/>
  <c r="A427" i="11"/>
  <c r="A428" i="11"/>
  <c r="A429" i="11"/>
  <c r="A430" i="11"/>
  <c r="A431" i="11"/>
  <c r="A432" i="11"/>
  <c r="A433" i="11"/>
  <c r="A434" i="11"/>
  <c r="A435" i="11"/>
  <c r="A437" i="11"/>
  <c r="A438" i="11"/>
  <c r="A439" i="11"/>
  <c r="A440" i="11"/>
  <c r="A441" i="11"/>
  <c r="A442" i="11"/>
  <c r="A443" i="11"/>
  <c r="A444" i="11"/>
  <c r="A445" i="11"/>
  <c r="A446" i="11"/>
  <c r="A447" i="11"/>
  <c r="A449" i="11"/>
  <c r="A450" i="11"/>
  <c r="A451" i="11"/>
  <c r="A452" i="11"/>
  <c r="A453" i="11"/>
  <c r="A454" i="11"/>
  <c r="A455" i="11"/>
  <c r="A456" i="11"/>
  <c r="A458" i="11"/>
  <c r="A471" i="11"/>
  <c r="A472" i="11"/>
  <c r="A474" i="11"/>
  <c r="A475" i="11"/>
  <c r="A476" i="11"/>
  <c r="A477" i="11"/>
  <c r="A478" i="11"/>
  <c r="A479" i="11"/>
  <c r="A480" i="11"/>
  <c r="A481" i="11"/>
  <c r="A3" i="11"/>
  <c r="N3" i="7"/>
  <c r="F96" i="2" s="1"/>
  <c r="N4" i="7"/>
  <c r="F97" i="2" s="1"/>
  <c r="N5" i="7"/>
  <c r="N6" i="7"/>
  <c r="N7" i="7"/>
  <c r="N8" i="7"/>
  <c r="N9" i="7"/>
  <c r="N10" i="7"/>
  <c r="N11" i="7"/>
  <c r="N12" i="7"/>
  <c r="N13" i="7"/>
  <c r="N14" i="7"/>
  <c r="N15" i="7"/>
  <c r="N16" i="7"/>
  <c r="N17" i="7"/>
  <c r="N18" i="7"/>
  <c r="N19" i="7"/>
  <c r="N20" i="7"/>
  <c r="N21" i="7"/>
  <c r="N22" i="7"/>
  <c r="N23" i="7"/>
  <c r="N24" i="7"/>
  <c r="N25" i="7"/>
  <c r="N26" i="7"/>
  <c r="N27" i="7"/>
  <c r="N28" i="7"/>
  <c r="N29" i="7"/>
  <c r="N30" i="7"/>
  <c r="N31" i="7"/>
  <c r="N32" i="7"/>
  <c r="N33" i="7"/>
  <c r="N34" i="7"/>
  <c r="N35" i="7"/>
  <c r="N36" i="7"/>
  <c r="N37" i="7"/>
  <c r="N38" i="7"/>
  <c r="N39" i="7"/>
  <c r="N40" i="7"/>
  <c r="N41" i="7"/>
  <c r="N42" i="7"/>
  <c r="N43" i="7"/>
  <c r="N44" i="7"/>
  <c r="N45" i="7"/>
  <c r="N46" i="7"/>
  <c r="N47" i="7"/>
  <c r="N48" i="7"/>
  <c r="N49" i="7"/>
  <c r="N50" i="7"/>
  <c r="N51" i="7"/>
  <c r="N52" i="7"/>
  <c r="N53" i="7"/>
  <c r="N54" i="7"/>
  <c r="N55" i="7"/>
  <c r="N56" i="7"/>
  <c r="N57" i="7"/>
  <c r="N58" i="7"/>
  <c r="N59" i="7"/>
  <c r="N60" i="7"/>
  <c r="N61" i="7"/>
  <c r="N62" i="7"/>
  <c r="N63" i="7"/>
  <c r="N64" i="7"/>
  <c r="N65" i="7"/>
  <c r="N66" i="7"/>
  <c r="N67" i="7"/>
  <c r="N68" i="7"/>
  <c r="N69" i="7"/>
  <c r="N70" i="7"/>
  <c r="N71" i="7"/>
  <c r="N72" i="7"/>
  <c r="N73" i="7"/>
  <c r="N74" i="7"/>
  <c r="N75" i="7"/>
  <c r="N76" i="7"/>
  <c r="N77" i="7"/>
  <c r="N78" i="7"/>
  <c r="N79" i="7"/>
  <c r="N80" i="7"/>
  <c r="N81" i="7"/>
  <c r="N82" i="7"/>
  <c r="N83" i="7"/>
  <c r="N84" i="7"/>
  <c r="N85" i="7"/>
  <c r="N86" i="7"/>
  <c r="N87" i="7"/>
  <c r="N88" i="7"/>
  <c r="N89" i="7"/>
  <c r="N90" i="7"/>
  <c r="N91" i="7"/>
  <c r="N92" i="7"/>
  <c r="N93" i="7"/>
  <c r="N94" i="7"/>
  <c r="N95" i="7"/>
  <c r="N96" i="7"/>
  <c r="N97" i="7"/>
  <c r="N98" i="7"/>
  <c r="N99" i="7"/>
  <c r="N100" i="7"/>
  <c r="N101" i="7"/>
  <c r="N102" i="7"/>
  <c r="N103" i="7"/>
  <c r="N104" i="7"/>
  <c r="N105" i="7"/>
  <c r="N106" i="7"/>
  <c r="N107" i="7"/>
  <c r="N108" i="7"/>
  <c r="N109" i="7"/>
  <c r="N110" i="7"/>
  <c r="N111" i="7"/>
  <c r="N112" i="7"/>
  <c r="N113" i="7"/>
  <c r="N114" i="7"/>
  <c r="N115" i="7"/>
  <c r="N116" i="7"/>
  <c r="N117" i="7"/>
  <c r="N118" i="7"/>
  <c r="N119" i="7"/>
  <c r="N120" i="7"/>
  <c r="N121" i="7"/>
  <c r="N122" i="7"/>
  <c r="N123" i="7"/>
  <c r="N124" i="7"/>
  <c r="N125" i="7"/>
  <c r="N126" i="7"/>
  <c r="N127" i="7"/>
  <c r="N128" i="7"/>
  <c r="N129" i="7"/>
  <c r="N130" i="7"/>
  <c r="N131" i="7"/>
  <c r="N132" i="7"/>
  <c r="N133" i="7"/>
  <c r="N134" i="7"/>
  <c r="N135" i="7"/>
  <c r="N136" i="7"/>
  <c r="N137" i="7"/>
  <c r="N138" i="7"/>
  <c r="N139" i="7"/>
  <c r="N140" i="7"/>
  <c r="N141" i="7"/>
  <c r="N142" i="7"/>
  <c r="N143" i="7"/>
  <c r="N144" i="7"/>
  <c r="N145" i="7"/>
  <c r="N146" i="7"/>
  <c r="N147" i="7"/>
  <c r="F89" i="2" s="1"/>
  <c r="N2" i="7"/>
  <c r="F98" i="2" s="1"/>
  <c r="P3" i="10"/>
  <c r="G484" i="11" s="1"/>
  <c r="P4" i="10"/>
  <c r="G485" i="11" s="1"/>
  <c r="P5" i="10"/>
  <c r="G486" i="11" s="1"/>
  <c r="P6" i="10"/>
  <c r="G487" i="11" s="1"/>
  <c r="P7" i="10"/>
  <c r="G488" i="11" s="1"/>
  <c r="P8" i="10"/>
  <c r="G489" i="11" s="1"/>
  <c r="P9" i="10"/>
  <c r="G490" i="11" s="1"/>
  <c r="P10" i="10"/>
  <c r="G491" i="11" s="1"/>
  <c r="P11" i="10"/>
  <c r="G492" i="11" s="1"/>
  <c r="P12" i="10"/>
  <c r="G493" i="11" s="1"/>
  <c r="P13" i="10"/>
  <c r="G494" i="11" s="1"/>
  <c r="P14" i="10"/>
  <c r="G482" i="11" s="1"/>
  <c r="P15" i="10"/>
  <c r="P16" i="10"/>
  <c r="P17" i="10"/>
  <c r="P18" i="10"/>
  <c r="P19" i="10"/>
  <c r="G693" i="11" s="1"/>
  <c r="P20" i="10"/>
  <c r="G514" i="11" s="1"/>
  <c r="P21" i="10"/>
  <c r="G515" i="11" s="1"/>
  <c r="P22" i="10"/>
  <c r="G516" i="11" s="1"/>
  <c r="P23" i="10"/>
  <c r="G517" i="11" s="1"/>
  <c r="P24" i="10"/>
  <c r="G518" i="11" s="1"/>
  <c r="P25" i="10"/>
  <c r="G519" i="11" s="1"/>
  <c r="P26" i="10"/>
  <c r="G520" i="11" s="1"/>
  <c r="P27" i="10"/>
  <c r="G495" i="11" s="1"/>
  <c r="P28" i="10"/>
  <c r="G522" i="11" s="1"/>
  <c r="P29" i="10"/>
  <c r="G536" i="11" s="1"/>
  <c r="P30" i="10"/>
  <c r="G537" i="11" s="1"/>
  <c r="P31" i="10"/>
  <c r="G538" i="11" s="1"/>
  <c r="P32" i="10"/>
  <c r="G539" i="11" s="1"/>
  <c r="P33" i="10"/>
  <c r="G540" i="11" s="1"/>
  <c r="P34" i="10"/>
  <c r="G541" i="11" s="1"/>
  <c r="P35" i="10"/>
  <c r="G542" i="11" s="1"/>
  <c r="P36" i="10"/>
  <c r="G543" i="11" s="1"/>
  <c r="P37" i="10"/>
  <c r="G544" i="11" s="1"/>
  <c r="P38" i="10"/>
  <c r="G545" i="11" s="1"/>
  <c r="P39" i="10"/>
  <c r="G546" i="11" s="1"/>
  <c r="P40" i="10"/>
  <c r="G521" i="11" s="1"/>
  <c r="P41" i="10"/>
  <c r="G548" i="11" s="1"/>
  <c r="P42" i="10"/>
  <c r="G562" i="11" s="1"/>
  <c r="P43" i="10"/>
  <c r="G563" i="11" s="1"/>
  <c r="P44" i="10"/>
  <c r="G564" i="11" s="1"/>
  <c r="P45" i="10"/>
  <c r="G565" i="11" s="1"/>
  <c r="P46" i="10"/>
  <c r="G566" i="11" s="1"/>
  <c r="P47" i="10"/>
  <c r="G567" i="11" s="1"/>
  <c r="P48" i="10"/>
  <c r="G568" i="11" s="1"/>
  <c r="P49" i="10"/>
  <c r="G569" i="11" s="1"/>
  <c r="P50" i="10"/>
  <c r="G570" i="11" s="1"/>
  <c r="P51" i="10"/>
  <c r="G571" i="11" s="1"/>
  <c r="P52" i="10"/>
  <c r="G572" i="11" s="1"/>
  <c r="P53" i="10"/>
  <c r="G547" i="11" s="1"/>
  <c r="P54" i="10"/>
  <c r="P55" i="10"/>
  <c r="P56" i="10"/>
  <c r="P57" i="10"/>
  <c r="P58" i="10"/>
  <c r="P59" i="10"/>
  <c r="P60" i="10"/>
  <c r="P61" i="10"/>
  <c r="P62" i="10"/>
  <c r="P63" i="10"/>
  <c r="P64" i="10"/>
  <c r="P65" i="10"/>
  <c r="P66" i="10"/>
  <c r="P67" i="10"/>
  <c r="P68" i="10"/>
  <c r="P69" i="10"/>
  <c r="P70" i="10"/>
  <c r="P71" i="10"/>
  <c r="P72" i="10"/>
  <c r="P73" i="10"/>
  <c r="P74" i="10"/>
  <c r="P75" i="10"/>
  <c r="P76" i="10"/>
  <c r="P77" i="10"/>
  <c r="P78" i="10"/>
  <c r="P79" i="10"/>
  <c r="P80" i="10"/>
  <c r="P81" i="10"/>
  <c r="P82" i="10"/>
  <c r="P83" i="10"/>
  <c r="P84" i="10"/>
  <c r="P85" i="10"/>
  <c r="P86" i="10"/>
  <c r="P87" i="10"/>
  <c r="P88" i="10"/>
  <c r="P89" i="10"/>
  <c r="P90" i="10"/>
  <c r="P91" i="10"/>
  <c r="P92" i="10"/>
  <c r="P93" i="10"/>
  <c r="P94" i="10"/>
  <c r="P95" i="10"/>
  <c r="P96" i="10"/>
  <c r="P97" i="10"/>
  <c r="P98" i="10"/>
  <c r="P99" i="10"/>
  <c r="P100" i="10"/>
  <c r="P101" i="10"/>
  <c r="P102" i="10"/>
  <c r="P103" i="10"/>
  <c r="P104" i="10"/>
  <c r="P105" i="10"/>
  <c r="P106" i="10"/>
  <c r="P107" i="10"/>
  <c r="P108" i="10"/>
  <c r="P109" i="10"/>
  <c r="P110" i="10"/>
  <c r="P111" i="10"/>
  <c r="P112" i="10"/>
  <c r="P113" i="10"/>
  <c r="P114" i="10"/>
  <c r="P115" i="10"/>
  <c r="P116" i="10"/>
  <c r="P117" i="10"/>
  <c r="P118" i="10"/>
  <c r="P119" i="10"/>
  <c r="P120" i="10"/>
  <c r="P121" i="10"/>
  <c r="P122" i="10"/>
  <c r="P123" i="10"/>
  <c r="G469" i="11" s="1"/>
  <c r="P124" i="10"/>
  <c r="P125" i="10"/>
  <c r="P126" i="10"/>
  <c r="P127" i="10"/>
  <c r="P128" i="10"/>
  <c r="P129" i="10"/>
  <c r="P130" i="10"/>
  <c r="P131" i="10"/>
  <c r="P132" i="10"/>
  <c r="P133" i="10"/>
  <c r="P134" i="10"/>
  <c r="P135" i="10"/>
  <c r="G100" i="11" s="1"/>
  <c r="P136" i="10"/>
  <c r="P137" i="10"/>
  <c r="P138" i="10"/>
  <c r="P139" i="10"/>
  <c r="P140" i="10"/>
  <c r="P141" i="10"/>
  <c r="P142" i="10"/>
  <c r="P143" i="10"/>
  <c r="P144" i="10"/>
  <c r="P145" i="10"/>
  <c r="P146" i="10"/>
  <c r="P147" i="10"/>
  <c r="G106" i="11" s="1"/>
  <c r="P148" i="10"/>
  <c r="P149" i="10"/>
  <c r="P150" i="10"/>
  <c r="P151" i="10"/>
  <c r="P152" i="10"/>
  <c r="P153" i="10"/>
  <c r="P154" i="10"/>
  <c r="P155" i="10"/>
  <c r="P156" i="10"/>
  <c r="P157" i="10"/>
  <c r="P158" i="10"/>
  <c r="P159" i="10"/>
  <c r="G125" i="11" s="1"/>
  <c r="P160" i="10"/>
  <c r="P161" i="10"/>
  <c r="P162" i="10"/>
  <c r="P163" i="10"/>
  <c r="P164" i="10"/>
  <c r="P165" i="10"/>
  <c r="P166" i="10"/>
  <c r="P167" i="10"/>
  <c r="P168" i="10"/>
  <c r="P169" i="10"/>
  <c r="P170" i="10"/>
  <c r="P171" i="10"/>
  <c r="G131" i="11" s="1"/>
  <c r="P172" i="10"/>
  <c r="P173" i="10"/>
  <c r="P174" i="10"/>
  <c r="P175" i="10"/>
  <c r="P176" i="10"/>
  <c r="P177" i="10"/>
  <c r="P178" i="10"/>
  <c r="P179" i="10"/>
  <c r="P180" i="10"/>
  <c r="P181" i="10"/>
  <c r="P182" i="10"/>
  <c r="P183" i="10"/>
  <c r="G150" i="11" s="1"/>
  <c r="P184" i="10"/>
  <c r="P185" i="10"/>
  <c r="P186" i="10"/>
  <c r="P187" i="10"/>
  <c r="P188" i="10"/>
  <c r="P189" i="10"/>
  <c r="P190" i="10"/>
  <c r="P191" i="10"/>
  <c r="P192" i="10"/>
  <c r="P193" i="10"/>
  <c r="G155" i="11" s="1"/>
  <c r="P194" i="10"/>
  <c r="P195" i="10"/>
  <c r="G156" i="11" s="1"/>
  <c r="P196" i="10"/>
  <c r="P197" i="10"/>
  <c r="P198" i="10"/>
  <c r="P199" i="10"/>
  <c r="P200" i="10"/>
  <c r="P201" i="10"/>
  <c r="P202" i="10"/>
  <c r="P203" i="10"/>
  <c r="P204" i="10"/>
  <c r="P205" i="10"/>
  <c r="G148" i="11" s="1"/>
  <c r="P206" i="10"/>
  <c r="P207" i="10"/>
  <c r="P208" i="10"/>
  <c r="P209" i="10"/>
  <c r="P210" i="10"/>
  <c r="P211" i="10"/>
  <c r="P212" i="10"/>
  <c r="P213" i="10"/>
  <c r="P214" i="10"/>
  <c r="P215" i="10"/>
  <c r="P216" i="10"/>
  <c r="P217" i="10"/>
  <c r="P218" i="10"/>
  <c r="P219" i="10"/>
  <c r="P220" i="10"/>
  <c r="P221" i="10"/>
  <c r="P222" i="10"/>
  <c r="P223" i="10"/>
  <c r="P224" i="10"/>
  <c r="P225" i="10"/>
  <c r="P226" i="10"/>
  <c r="P227" i="10"/>
  <c r="P228" i="10"/>
  <c r="P229" i="10"/>
  <c r="P230" i="10"/>
  <c r="P231" i="10"/>
  <c r="P232" i="10"/>
  <c r="P233" i="10"/>
  <c r="P234" i="10"/>
  <c r="P235" i="10"/>
  <c r="P236" i="10"/>
  <c r="P237" i="10"/>
  <c r="P238" i="10"/>
  <c r="P239" i="10"/>
  <c r="P240" i="10"/>
  <c r="P241" i="10"/>
  <c r="G184" i="11" s="1"/>
  <c r="P242" i="10"/>
  <c r="P243" i="10"/>
  <c r="G186" i="11" s="1"/>
  <c r="P244" i="10"/>
  <c r="P245" i="10"/>
  <c r="P246" i="10"/>
  <c r="P247" i="10"/>
  <c r="P248" i="10"/>
  <c r="G242" i="11" s="1"/>
  <c r="P249" i="10"/>
  <c r="G243" i="11" s="1"/>
  <c r="P250" i="10"/>
  <c r="P251" i="10"/>
  <c r="P252" i="10"/>
  <c r="P253" i="10"/>
  <c r="P254" i="10"/>
  <c r="G248" i="11" s="1"/>
  <c r="P255" i="10"/>
  <c r="P256" i="10"/>
  <c r="P257" i="10"/>
  <c r="P258" i="10"/>
  <c r="P259" i="10"/>
  <c r="G610" i="11" s="1"/>
  <c r="P260" i="10"/>
  <c r="P261" i="10"/>
  <c r="P262" i="10"/>
  <c r="G613" i="11" s="1"/>
  <c r="P263" i="10"/>
  <c r="P264" i="10"/>
  <c r="G615" i="11" s="1"/>
  <c r="P265" i="10"/>
  <c r="P266" i="10"/>
  <c r="P267" i="10"/>
  <c r="P268" i="10"/>
  <c r="P269" i="10"/>
  <c r="P270" i="10"/>
  <c r="P271" i="10"/>
  <c r="P272" i="10"/>
  <c r="P273" i="10"/>
  <c r="P274" i="10"/>
  <c r="G625" i="11" s="1"/>
  <c r="P275" i="10"/>
  <c r="P276" i="10"/>
  <c r="G627" i="11" s="1"/>
  <c r="P277" i="10"/>
  <c r="P278" i="10"/>
  <c r="P279" i="10"/>
  <c r="P280" i="10"/>
  <c r="P281" i="10"/>
  <c r="P282" i="10"/>
  <c r="P283" i="10"/>
  <c r="P284" i="10"/>
  <c r="P285" i="10"/>
  <c r="G239" i="11" s="1"/>
  <c r="P2" i="10"/>
  <c r="G483" i="11" s="1"/>
  <c r="Q438" i="11"/>
  <c r="Q434" i="11"/>
  <c r="Q433" i="11"/>
  <c r="X456" i="11"/>
  <c r="N152" i="2"/>
  <c r="N151" i="2"/>
  <c r="N150" i="2"/>
  <c r="N4" i="2"/>
  <c r="N16" i="2"/>
  <c r="N15" i="2"/>
  <c r="N14" i="2"/>
  <c r="N13" i="2"/>
  <c r="N57" i="2"/>
  <c r="N12" i="2"/>
  <c r="N11" i="2"/>
  <c r="N8" i="2"/>
  <c r="N5" i="2"/>
  <c r="N154" i="2"/>
  <c r="N153" i="2"/>
  <c r="X4" i="11"/>
  <c r="X5" i="11"/>
  <c r="X6" i="11"/>
  <c r="X7" i="11"/>
  <c r="X8" i="11"/>
  <c r="X9" i="11"/>
  <c r="X10" i="11"/>
  <c r="X11" i="11"/>
  <c r="X12" i="11"/>
  <c r="X13" i="11"/>
  <c r="X14" i="11"/>
  <c r="X16" i="11"/>
  <c r="X17" i="11"/>
  <c r="X18" i="11"/>
  <c r="X19" i="11"/>
  <c r="X20" i="11"/>
  <c r="X21" i="11"/>
  <c r="X22" i="11"/>
  <c r="X23" i="11"/>
  <c r="X24" i="11"/>
  <c r="X25" i="11"/>
  <c r="X26" i="11"/>
  <c r="X28" i="11"/>
  <c r="X29" i="11"/>
  <c r="X30" i="11"/>
  <c r="X31" i="11"/>
  <c r="X32" i="11"/>
  <c r="X33" i="11"/>
  <c r="X34" i="11"/>
  <c r="X35" i="11"/>
  <c r="X36" i="11"/>
  <c r="X37" i="11"/>
  <c r="X38" i="11"/>
  <c r="X40" i="11"/>
  <c r="X41" i="11"/>
  <c r="X42" i="11"/>
  <c r="X43" i="11"/>
  <c r="X44" i="11"/>
  <c r="X45" i="11"/>
  <c r="X46" i="11"/>
  <c r="X47" i="11"/>
  <c r="X48" i="11"/>
  <c r="X49" i="11"/>
  <c r="X50" i="11"/>
  <c r="X51" i="11"/>
  <c r="X53" i="11"/>
  <c r="X54" i="11"/>
  <c r="X55" i="11"/>
  <c r="X56" i="11"/>
  <c r="X57" i="11"/>
  <c r="X58" i="11"/>
  <c r="X59" i="11"/>
  <c r="X60" i="11"/>
  <c r="X61" i="11"/>
  <c r="X62" i="11"/>
  <c r="X63" i="11"/>
  <c r="X64" i="11"/>
  <c r="X65" i="11"/>
  <c r="X66" i="11"/>
  <c r="X67" i="11"/>
  <c r="X68" i="11"/>
  <c r="X433" i="11"/>
  <c r="X434" i="11"/>
  <c r="X435" i="11"/>
  <c r="X436" i="11"/>
  <c r="X437" i="11"/>
  <c r="X438" i="11"/>
  <c r="X439" i="11"/>
  <c r="X440" i="11"/>
  <c r="X441" i="11"/>
  <c r="X442" i="11"/>
  <c r="X443" i="11"/>
  <c r="X444" i="11"/>
  <c r="X445" i="11"/>
  <c r="X446" i="11"/>
  <c r="X447" i="11"/>
  <c r="X448" i="11"/>
  <c r="X449" i="11"/>
  <c r="X450" i="11"/>
  <c r="X451" i="11"/>
  <c r="X452" i="11"/>
  <c r="X453" i="11"/>
  <c r="X454" i="11"/>
  <c r="X455" i="11"/>
  <c r="U143" i="2"/>
  <c r="U140" i="2"/>
  <c r="U139" i="2"/>
  <c r="U137" i="2"/>
  <c r="U136" i="2"/>
  <c r="U135" i="2"/>
  <c r="U134" i="2"/>
  <c r="U132" i="2"/>
  <c r="U130" i="2"/>
  <c r="U128" i="2"/>
  <c r="U127" i="2"/>
  <c r="U125" i="2"/>
  <c r="U124" i="2"/>
  <c r="U123" i="2"/>
  <c r="U122" i="2"/>
  <c r="U119" i="2"/>
  <c r="U118" i="2"/>
  <c r="U117" i="2"/>
  <c r="U116" i="2"/>
  <c r="U115" i="2"/>
  <c r="U113" i="2"/>
  <c r="U111" i="2"/>
  <c r="U110" i="2"/>
  <c r="U109" i="2"/>
  <c r="U108" i="2"/>
  <c r="U107" i="2"/>
  <c r="U106" i="2"/>
  <c r="U88" i="2"/>
  <c r="U95" i="2"/>
  <c r="U86" i="2"/>
  <c r="U85" i="2"/>
  <c r="U84" i="2"/>
  <c r="U83" i="2"/>
  <c r="U81" i="2"/>
  <c r="U103" i="2"/>
  <c r="U80" i="2"/>
  <c r="U79" i="2"/>
  <c r="U93" i="2"/>
  <c r="U77" i="2"/>
  <c r="U101" i="2"/>
  <c r="U92" i="2"/>
  <c r="U76" i="2"/>
  <c r="U91" i="2"/>
  <c r="U74" i="2"/>
  <c r="U99" i="2"/>
  <c r="U94" i="2"/>
  <c r="U73" i="2"/>
  <c r="U72" i="2"/>
  <c r="U70" i="2"/>
  <c r="U69" i="2"/>
  <c r="U66" i="2"/>
  <c r="U104" i="2"/>
  <c r="U65" i="2"/>
  <c r="U64" i="2"/>
  <c r="U63" i="2"/>
  <c r="U62" i="2"/>
  <c r="U60" i="2"/>
  <c r="U59" i="2"/>
  <c r="U58" i="2"/>
  <c r="U56" i="2"/>
  <c r="U55" i="2"/>
  <c r="U54" i="2"/>
  <c r="U53" i="2"/>
  <c r="U52" i="2"/>
  <c r="U51" i="2"/>
  <c r="U50" i="2"/>
  <c r="U49" i="2"/>
  <c r="U48" i="2"/>
  <c r="U47" i="2"/>
  <c r="U45" i="2"/>
  <c r="U44" i="2"/>
  <c r="U43" i="2"/>
  <c r="U42" i="2"/>
  <c r="U41" i="2"/>
  <c r="U40" i="2"/>
  <c r="U39" i="2"/>
  <c r="U38" i="2"/>
  <c r="U37" i="2"/>
  <c r="U36" i="2"/>
  <c r="U35" i="2"/>
  <c r="U33" i="2"/>
  <c r="U32" i="2"/>
  <c r="U31" i="2"/>
  <c r="U30" i="2"/>
  <c r="U29" i="2"/>
  <c r="U28" i="2"/>
  <c r="U27" i="2"/>
  <c r="U25" i="2"/>
  <c r="U24" i="2"/>
  <c r="U23" i="2"/>
  <c r="U21" i="2"/>
  <c r="U20" i="2"/>
  <c r="U19" i="2"/>
  <c r="U18" i="2"/>
  <c r="U17" i="2"/>
  <c r="U16" i="2"/>
  <c r="U15" i="2"/>
  <c r="U14" i="2"/>
  <c r="U13" i="2"/>
  <c r="U12" i="2"/>
  <c r="U11" i="2"/>
  <c r="U9" i="2"/>
  <c r="U8" i="2"/>
  <c r="U98" i="2"/>
  <c r="U97" i="2"/>
  <c r="U96" i="2"/>
  <c r="U7" i="2"/>
  <c r="U6" i="2"/>
  <c r="U5" i="2"/>
  <c r="U4" i="2"/>
  <c r="U3" i="2"/>
  <c r="K88" i="2"/>
  <c r="J88" i="2" s="1"/>
  <c r="I88" i="2"/>
  <c r="K86" i="2"/>
  <c r="J86" i="2" s="1"/>
  <c r="I86" i="2"/>
  <c r="K85" i="2"/>
  <c r="J85" i="2" s="1"/>
  <c r="I85" i="2"/>
  <c r="K82" i="2"/>
  <c r="J82" i="2" s="1"/>
  <c r="I82" i="2"/>
  <c r="K81" i="2"/>
  <c r="J81" i="2" s="1"/>
  <c r="I81" i="2"/>
  <c r="K80" i="2"/>
  <c r="J80" i="2" s="1"/>
  <c r="K79" i="2"/>
  <c r="J79" i="2" s="1"/>
  <c r="I79" i="2"/>
  <c r="K78" i="2"/>
  <c r="J78" i="2" s="1"/>
  <c r="I78" i="2"/>
  <c r="K77" i="2"/>
  <c r="J77" i="2" s="1"/>
  <c r="I77" i="2"/>
  <c r="K76" i="2"/>
  <c r="J76" i="2" s="1"/>
  <c r="I76" i="2"/>
  <c r="K75" i="2"/>
  <c r="J75" i="2" s="1"/>
  <c r="I75" i="2"/>
  <c r="K74" i="2"/>
  <c r="J74" i="2" s="1"/>
  <c r="K73" i="2"/>
  <c r="J73" i="2" s="1"/>
  <c r="I73" i="2"/>
  <c r="K72" i="2"/>
  <c r="J72" i="2" s="1"/>
  <c r="K71" i="2"/>
  <c r="J71" i="2" s="1"/>
  <c r="I71" i="2"/>
  <c r="K70" i="2"/>
  <c r="J70" i="2" s="1"/>
  <c r="K69" i="2"/>
  <c r="J69" i="2" s="1"/>
  <c r="I69" i="2"/>
  <c r="K68" i="2"/>
  <c r="J68" i="2" s="1"/>
  <c r="I68" i="2"/>
  <c r="K67" i="2"/>
  <c r="J67" i="2" s="1"/>
  <c r="I67" i="2"/>
  <c r="K66" i="2"/>
  <c r="J66" i="2" s="1"/>
  <c r="I66" i="2"/>
  <c r="K65" i="2"/>
  <c r="J65" i="2" s="1"/>
  <c r="K64" i="2"/>
  <c r="J64" i="2" s="1"/>
  <c r="I64" i="2"/>
  <c r="K63" i="2"/>
  <c r="J63" i="2" s="1"/>
  <c r="I63" i="2"/>
  <c r="K62" i="2"/>
  <c r="J62" i="2" s="1"/>
  <c r="I62" i="2"/>
  <c r="K61" i="2"/>
  <c r="J61" i="2" s="1"/>
  <c r="I61" i="2"/>
  <c r="K60" i="2"/>
  <c r="J60" i="2" s="1"/>
  <c r="K58" i="2"/>
  <c r="J58" i="2" s="1"/>
  <c r="I58" i="2"/>
  <c r="K56" i="2"/>
  <c r="J56" i="2" s="1"/>
  <c r="I56" i="2"/>
  <c r="K55" i="2"/>
  <c r="J55" i="2" s="1"/>
  <c r="I55" i="2"/>
  <c r="K51" i="2"/>
  <c r="J51" i="2" s="1"/>
  <c r="I51" i="2"/>
  <c r="K50" i="2"/>
  <c r="J50" i="2" s="1"/>
  <c r="I50" i="2"/>
  <c r="K49" i="2"/>
  <c r="J49" i="2" s="1"/>
  <c r="I49" i="2"/>
  <c r="K38" i="2"/>
  <c r="J38" i="2" s="1"/>
  <c r="I38" i="2"/>
  <c r="K37" i="2"/>
  <c r="J37" i="2" s="1"/>
  <c r="I37" i="2"/>
  <c r="K87" i="2"/>
  <c r="J87" i="2" s="1"/>
  <c r="I87" i="2"/>
  <c r="K83" i="2"/>
  <c r="J83" i="2" s="1"/>
  <c r="I83" i="2"/>
  <c r="K57" i="2"/>
  <c r="J57" i="2" s="1"/>
  <c r="I57" i="2"/>
  <c r="K54" i="2"/>
  <c r="J54" i="2" s="1"/>
  <c r="I54" i="2"/>
  <c r="K53" i="2"/>
  <c r="J53" i="2" s="1"/>
  <c r="I53" i="2"/>
  <c r="K52" i="2"/>
  <c r="J52" i="2" s="1"/>
  <c r="I52" i="2"/>
  <c r="K48" i="2"/>
  <c r="J48" i="2" s="1"/>
  <c r="I48" i="2"/>
  <c r="K47" i="2"/>
  <c r="J47" i="2" s="1"/>
  <c r="I47" i="2"/>
  <c r="K46" i="2"/>
  <c r="J46" i="2" s="1"/>
  <c r="I46" i="2"/>
  <c r="K45" i="2"/>
  <c r="J45" i="2" s="1"/>
  <c r="I45" i="2"/>
  <c r="K44" i="2"/>
  <c r="J44" i="2" s="1"/>
  <c r="I44" i="2"/>
  <c r="K43" i="2"/>
  <c r="J43" i="2" s="1"/>
  <c r="I43" i="2"/>
  <c r="K42" i="2"/>
  <c r="J42" i="2" s="1"/>
  <c r="I42" i="2"/>
  <c r="K41" i="2"/>
  <c r="J41" i="2" s="1"/>
  <c r="I41" i="2"/>
  <c r="K40" i="2"/>
  <c r="J40" i="2" s="1"/>
  <c r="I40" i="2"/>
  <c r="K39" i="2"/>
  <c r="J39" i="2" s="1"/>
  <c r="I39" i="2"/>
  <c r="K35" i="2"/>
  <c r="J35" i="2" s="1"/>
  <c r="I35" i="2"/>
  <c r="K34" i="2"/>
  <c r="J34" i="2" s="1"/>
  <c r="I34" i="2"/>
  <c r="K33" i="2"/>
  <c r="J33" i="2" s="1"/>
  <c r="I33" i="2"/>
  <c r="K32" i="2"/>
  <c r="J32" i="2" s="1"/>
  <c r="I32" i="2"/>
  <c r="K31" i="2"/>
  <c r="J31" i="2" s="1"/>
  <c r="I31" i="2"/>
  <c r="K30" i="2"/>
  <c r="J30" i="2" s="1"/>
  <c r="I30" i="2"/>
  <c r="K28" i="2"/>
  <c r="J28" i="2" s="1"/>
  <c r="I28" i="2"/>
  <c r="K27" i="2"/>
  <c r="J27" i="2" s="1"/>
  <c r="I27" i="2"/>
  <c r="K26" i="2"/>
  <c r="J26" i="2" s="1"/>
  <c r="I26" i="2"/>
  <c r="K25" i="2"/>
  <c r="J25" i="2" s="1"/>
  <c r="I25" i="2"/>
  <c r="K23" i="2"/>
  <c r="J23" i="2" s="1"/>
  <c r="I23" i="2"/>
  <c r="K22" i="2"/>
  <c r="J22" i="2" s="1"/>
  <c r="I22" i="2"/>
  <c r="K21" i="2"/>
  <c r="J21" i="2" s="1"/>
  <c r="I21" i="2"/>
  <c r="K20" i="2"/>
  <c r="J20" i="2" s="1"/>
  <c r="I20" i="2"/>
  <c r="K19" i="2"/>
  <c r="J19" i="2" s="1"/>
  <c r="I19" i="2"/>
  <c r="K18" i="2"/>
  <c r="J18" i="2" s="1"/>
  <c r="I18" i="2"/>
  <c r="K17" i="2"/>
  <c r="J17" i="2" s="1"/>
  <c r="I17" i="2"/>
  <c r="K16" i="2"/>
  <c r="J16" i="2" s="1"/>
  <c r="I16" i="2"/>
  <c r="K15" i="2"/>
  <c r="J15" i="2" s="1"/>
  <c r="I15" i="2"/>
  <c r="K14" i="2"/>
  <c r="J14" i="2" s="1"/>
  <c r="I14" i="2"/>
  <c r="K13" i="2"/>
  <c r="J13" i="2" s="1"/>
  <c r="I13" i="2"/>
  <c r="K12" i="2"/>
  <c r="J12" i="2" s="1"/>
  <c r="I12" i="2"/>
  <c r="K11" i="2"/>
  <c r="J11" i="2" s="1"/>
  <c r="I11" i="2"/>
  <c r="K10" i="2"/>
  <c r="J10" i="2" s="1"/>
  <c r="I10" i="2"/>
  <c r="K9" i="2"/>
  <c r="J9" i="2" s="1"/>
  <c r="I9" i="2"/>
  <c r="K8" i="2"/>
  <c r="J8" i="2" s="1"/>
  <c r="I8" i="2"/>
  <c r="K7" i="2"/>
  <c r="J7" i="2" s="1"/>
  <c r="I7" i="2"/>
  <c r="K6" i="2"/>
  <c r="J6" i="2" s="1"/>
  <c r="I6" i="2"/>
  <c r="K5" i="2"/>
  <c r="J5" i="2" s="1"/>
  <c r="I5" i="2"/>
  <c r="K4" i="2"/>
  <c r="J4" i="2" s="1"/>
  <c r="I4" i="2"/>
  <c r="I70" i="2"/>
  <c r="I80" i="2"/>
  <c r="I65" i="2"/>
  <c r="I60" i="2"/>
  <c r="I74" i="2"/>
  <c r="I72" i="2"/>
  <c r="M456" i="11"/>
  <c r="G277" i="11" l="1"/>
  <c r="G130" i="11"/>
  <c r="G124" i="11"/>
  <c r="G105" i="11"/>
  <c r="G99" i="11"/>
  <c r="G468" i="11"/>
  <c r="G183" i="11"/>
  <c r="G135" i="11"/>
  <c r="G110" i="11"/>
  <c r="G461" i="11"/>
  <c r="G296" i="11"/>
  <c r="F85" i="2"/>
  <c r="F90" i="2"/>
  <c r="Q105" i="10"/>
  <c r="G237" i="11"/>
  <c r="G254" i="11"/>
  <c r="G209" i="11"/>
  <c r="G203" i="11"/>
  <c r="G182" i="11"/>
  <c r="G160" i="11"/>
  <c r="G154" i="11"/>
  <c r="G122" i="11"/>
  <c r="G129" i="11"/>
  <c r="G467" i="11"/>
  <c r="G181" i="11"/>
  <c r="G121" i="11"/>
  <c r="G471" i="11"/>
  <c r="G109" i="11"/>
  <c r="G466" i="11"/>
  <c r="G278" i="11"/>
  <c r="G753" i="11"/>
  <c r="G231" i="11"/>
  <c r="G512" i="11"/>
  <c r="G692" i="11"/>
  <c r="Q151" i="10"/>
  <c r="G511" i="11"/>
  <c r="G691" i="11"/>
  <c r="G510" i="11"/>
  <c r="G690" i="11"/>
  <c r="G497" i="11"/>
  <c r="G689" i="11"/>
  <c r="G229" i="11"/>
  <c r="F95" i="2"/>
  <c r="Q294" i="10"/>
  <c r="Q149" i="10"/>
  <c r="Q141" i="10"/>
  <c r="Q487" i="10"/>
  <c r="Q179" i="10"/>
  <c r="Q145" i="10"/>
  <c r="Q157" i="10"/>
  <c r="Q283" i="10"/>
  <c r="Q167" i="10"/>
  <c r="G153" i="11"/>
  <c r="G103" i="11"/>
  <c r="G97" i="11"/>
  <c r="G459" i="11"/>
  <c r="G96" i="11"/>
  <c r="Q571" i="10"/>
  <c r="G159" i="11"/>
  <c r="G128" i="11"/>
  <c r="G275" i="11"/>
  <c r="G233" i="11"/>
  <c r="G227" i="11"/>
  <c r="G180" i="11"/>
  <c r="G134" i="11"/>
  <c r="Q163" i="10"/>
  <c r="G256" i="11"/>
  <c r="Q133" i="10"/>
  <c r="Q177" i="10"/>
  <c r="Q519" i="10"/>
  <c r="Q230" i="10"/>
  <c r="Q261" i="10"/>
  <c r="Q125" i="10"/>
  <c r="G317" i="11"/>
  <c r="G234" i="11"/>
  <c r="G228" i="11"/>
  <c r="G179" i="11"/>
  <c r="G465" i="11"/>
  <c r="G470" i="11"/>
  <c r="Q793" i="10"/>
  <c r="Q802" i="10"/>
  <c r="Q292" i="10"/>
  <c r="Q153" i="10"/>
  <c r="Q159" i="10"/>
  <c r="Q788" i="10"/>
  <c r="Q797" i="10"/>
  <c r="Q108" i="10"/>
  <c r="G258" i="11"/>
  <c r="G178" i="11"/>
  <c r="G133" i="11"/>
  <c r="G127" i="11"/>
  <c r="Q171" i="10"/>
  <c r="Q116" i="10"/>
  <c r="G158" i="11"/>
  <c r="G152" i="11"/>
  <c r="G108" i="11"/>
  <c r="G177" i="11"/>
  <c r="G464" i="11"/>
  <c r="Q792" i="10"/>
  <c r="Q801" i="10"/>
  <c r="Q183" i="10"/>
  <c r="Q193" i="10"/>
  <c r="Q786" i="10"/>
  <c r="Q795" i="10"/>
  <c r="G257" i="11"/>
  <c r="G151" i="11"/>
  <c r="G132" i="11"/>
  <c r="G126" i="11"/>
  <c r="G107" i="11"/>
  <c r="G101" i="11"/>
  <c r="G457" i="11"/>
  <c r="Q550" i="10"/>
  <c r="Q555" i="10"/>
  <c r="G766" i="11"/>
  <c r="G232" i="11"/>
  <c r="G463" i="11"/>
  <c r="Q107" i="10"/>
  <c r="Q114" i="10"/>
  <c r="G176" i="11"/>
  <c r="Q308" i="10"/>
  <c r="Q313" i="10"/>
  <c r="Q175" i="10"/>
  <c r="Q169" i="10"/>
  <c r="Q165" i="10"/>
  <c r="G157" i="11"/>
  <c r="G185" i="11"/>
  <c r="G161" i="11"/>
  <c r="G111" i="11"/>
  <c r="G462" i="11"/>
  <c r="Q489" i="10"/>
  <c r="Q494" i="10"/>
  <c r="Q259" i="10"/>
  <c r="Q129" i="10"/>
  <c r="G763" i="11"/>
  <c r="G751" i="11"/>
  <c r="G261" i="11"/>
  <c r="G255" i="11"/>
  <c r="Q335" i="10"/>
  <c r="Q445" i="10"/>
  <c r="Q131" i="10"/>
  <c r="G762" i="11"/>
  <c r="G750" i="11"/>
  <c r="G236" i="11"/>
  <c r="G230" i="11"/>
  <c r="Q492" i="10"/>
  <c r="Q497" i="10"/>
  <c r="Q118" i="10"/>
  <c r="F123" i="2"/>
  <c r="F70" i="2"/>
  <c r="F64" i="2"/>
  <c r="F83" i="2"/>
  <c r="F25" i="2"/>
  <c r="F35" i="2"/>
  <c r="F44" i="2"/>
  <c r="F107" i="2"/>
  <c r="F72" i="2"/>
  <c r="F101" i="2"/>
  <c r="L101" i="2"/>
  <c r="L95" i="2"/>
  <c r="L104" i="2"/>
  <c r="L103" i="2"/>
  <c r="L94" i="2"/>
  <c r="G623" i="11"/>
  <c r="G241" i="11"/>
  <c r="G247" i="11"/>
  <c r="F91" i="2"/>
  <c r="F103" i="2"/>
  <c r="F66" i="2"/>
  <c r="Y823" i="11"/>
  <c r="Y811" i="11"/>
  <c r="Y799" i="11"/>
  <c r="Y838" i="11"/>
  <c r="Y826" i="11"/>
  <c r="Y787" i="11"/>
  <c r="Y775" i="11"/>
  <c r="Y762" i="11"/>
  <c r="Y750" i="11"/>
  <c r="Y675" i="11"/>
  <c r="X675" i="11" s="1"/>
  <c r="Y663" i="11"/>
  <c r="X663" i="11" s="1"/>
  <c r="Y654" i="11"/>
  <c r="X654" i="11" s="1"/>
  <c r="Y642" i="11"/>
  <c r="X642" i="11" s="1"/>
  <c r="Y628" i="11"/>
  <c r="X628" i="11" s="1"/>
  <c r="Y616" i="11"/>
  <c r="X616" i="11" s="1"/>
  <c r="Y602" i="11"/>
  <c r="X602" i="11" s="1"/>
  <c r="Y590" i="11"/>
  <c r="X590" i="11" s="1"/>
  <c r="Y569" i="11"/>
  <c r="X569" i="11" s="1"/>
  <c r="Y557" i="11"/>
  <c r="X557" i="11" s="1"/>
  <c r="Y544" i="11"/>
  <c r="X544" i="11" s="1"/>
  <c r="Y532" i="11"/>
  <c r="X532" i="11" s="1"/>
  <c r="Y519" i="11"/>
  <c r="X519" i="11" s="1"/>
  <c r="Y507" i="11"/>
  <c r="X507" i="11" s="1"/>
  <c r="Y494" i="11"/>
  <c r="X494" i="11" s="1"/>
  <c r="Y432" i="11"/>
  <c r="X432" i="11" s="1"/>
  <c r="Y420" i="11"/>
  <c r="X420" i="11" s="1"/>
  <c r="Y408" i="11"/>
  <c r="X408" i="11" s="1"/>
  <c r="Y822" i="11"/>
  <c r="Y810" i="11"/>
  <c r="Y849" i="11"/>
  <c r="Y837" i="11"/>
  <c r="Y825" i="11"/>
  <c r="Y786" i="11"/>
  <c r="Y774" i="11"/>
  <c r="Y761" i="11"/>
  <c r="Y749" i="11"/>
  <c r="Y674" i="11"/>
  <c r="X674" i="11" s="1"/>
  <c r="Y662" i="11"/>
  <c r="X662" i="11" s="1"/>
  <c r="Y653" i="11"/>
  <c r="X653" i="11" s="1"/>
  <c r="Y641" i="11"/>
  <c r="X641" i="11" s="1"/>
  <c r="Y627" i="11"/>
  <c r="X627" i="11" s="1"/>
  <c r="Y615" i="11"/>
  <c r="X615" i="11" s="1"/>
  <c r="Y601" i="11"/>
  <c r="X601" i="11" s="1"/>
  <c r="Y589" i="11"/>
  <c r="X589" i="11" s="1"/>
  <c r="Y568" i="11"/>
  <c r="X568" i="11" s="1"/>
  <c r="Y556" i="11"/>
  <c r="X556" i="11" s="1"/>
  <c r="Y543" i="11"/>
  <c r="X543" i="11" s="1"/>
  <c r="Y531" i="11"/>
  <c r="X531" i="11" s="1"/>
  <c r="Y518" i="11"/>
  <c r="X518" i="11" s="1"/>
  <c r="Y506" i="11"/>
  <c r="X506" i="11" s="1"/>
  <c r="Y493" i="11"/>
  <c r="X493" i="11" s="1"/>
  <c r="Y431" i="11"/>
  <c r="X431" i="11" s="1"/>
  <c r="Y419" i="11"/>
  <c r="X419" i="11" s="1"/>
  <c r="Y821" i="11"/>
  <c r="Y809" i="11"/>
  <c r="Y848" i="11"/>
  <c r="Y836" i="11"/>
  <c r="Y797" i="11"/>
  <c r="Y785" i="11"/>
  <c r="Y773" i="11"/>
  <c r="Y760" i="11"/>
  <c r="Y748" i="11"/>
  <c r="Y673" i="11"/>
  <c r="X673" i="11" s="1"/>
  <c r="Y661" i="11"/>
  <c r="X661" i="11" s="1"/>
  <c r="Y652" i="11"/>
  <c r="X652" i="11" s="1"/>
  <c r="Y640" i="11"/>
  <c r="X640" i="11" s="1"/>
  <c r="Y626" i="11"/>
  <c r="X626" i="11" s="1"/>
  <c r="Y614" i="11"/>
  <c r="X614" i="11" s="1"/>
  <c r="Y600" i="11"/>
  <c r="X600" i="11" s="1"/>
  <c r="Y588" i="11"/>
  <c r="X588" i="11" s="1"/>
  <c r="Y567" i="11"/>
  <c r="X567" i="11" s="1"/>
  <c r="Y555" i="11"/>
  <c r="X555" i="11" s="1"/>
  <c r="Y542" i="11"/>
  <c r="X542" i="11" s="1"/>
  <c r="Y530" i="11"/>
  <c r="X530" i="11" s="1"/>
  <c r="Y517" i="11"/>
  <c r="X517" i="11" s="1"/>
  <c r="Y505" i="11"/>
  <c r="X505" i="11" s="1"/>
  <c r="Y492" i="11"/>
  <c r="X492" i="11" s="1"/>
  <c r="Y430" i="11"/>
  <c r="X430" i="11" s="1"/>
  <c r="Y418" i="11"/>
  <c r="X418" i="11" s="1"/>
  <c r="Y820" i="11"/>
  <c r="Y808" i="11"/>
  <c r="Y847" i="11"/>
  <c r="Y835" i="11"/>
  <c r="Y796" i="11"/>
  <c r="Y784" i="11"/>
  <c r="Y771" i="11"/>
  <c r="Y759" i="11"/>
  <c r="Y747" i="11"/>
  <c r="Y672" i="11"/>
  <c r="X672" i="11" s="1"/>
  <c r="Y660" i="11"/>
  <c r="X660" i="11" s="1"/>
  <c r="Y651" i="11"/>
  <c r="X651" i="11" s="1"/>
  <c r="Y639" i="11"/>
  <c r="X639" i="11" s="1"/>
  <c r="Y625" i="11"/>
  <c r="X625" i="11" s="1"/>
  <c r="Y613" i="11"/>
  <c r="X613" i="11" s="1"/>
  <c r="Y599" i="11"/>
  <c r="X599" i="11" s="1"/>
  <c r="Y587" i="11"/>
  <c r="X587" i="11" s="1"/>
  <c r="Y566" i="11"/>
  <c r="X566" i="11" s="1"/>
  <c r="Y554" i="11"/>
  <c r="X554" i="11" s="1"/>
  <c r="Y541" i="11"/>
  <c r="X541" i="11" s="1"/>
  <c r="Y529" i="11"/>
  <c r="X529" i="11" s="1"/>
  <c r="Y516" i="11"/>
  <c r="X516" i="11" s="1"/>
  <c r="Y504" i="11"/>
  <c r="X504" i="11" s="1"/>
  <c r="Y491" i="11"/>
  <c r="X491" i="11" s="1"/>
  <c r="Y429" i="11"/>
  <c r="X429" i="11" s="1"/>
  <c r="Y417" i="11"/>
  <c r="X417" i="11" s="1"/>
  <c r="Y819" i="11"/>
  <c r="Y807" i="11"/>
  <c r="Y846" i="11"/>
  <c r="Y834" i="11"/>
  <c r="Y795" i="11"/>
  <c r="Y783" i="11"/>
  <c r="Y770" i="11"/>
  <c r="Y758" i="11"/>
  <c r="Y683" i="11"/>
  <c r="X683" i="11" s="1"/>
  <c r="Y671" i="11"/>
  <c r="X671" i="11" s="1"/>
  <c r="Y659" i="11"/>
  <c r="X659" i="11" s="1"/>
  <c r="Y650" i="11"/>
  <c r="X650" i="11" s="1"/>
  <c r="Y638" i="11"/>
  <c r="X638" i="11" s="1"/>
  <c r="Y624" i="11"/>
  <c r="X624" i="11" s="1"/>
  <c r="Y612" i="11"/>
  <c r="X612" i="11" s="1"/>
  <c r="Y598" i="11"/>
  <c r="X598" i="11" s="1"/>
  <c r="Y586" i="11"/>
  <c r="X586" i="11" s="1"/>
  <c r="Y565" i="11"/>
  <c r="X565" i="11" s="1"/>
  <c r="Y553" i="11"/>
  <c r="X553" i="11" s="1"/>
  <c r="Y540" i="11"/>
  <c r="X540" i="11" s="1"/>
  <c r="Y528" i="11"/>
  <c r="X528" i="11" s="1"/>
  <c r="Y515" i="11"/>
  <c r="X515" i="11" s="1"/>
  <c r="Y503" i="11"/>
  <c r="X503" i="11" s="1"/>
  <c r="Y490" i="11"/>
  <c r="X490" i="11" s="1"/>
  <c r="Y428" i="11"/>
  <c r="X428" i="11" s="1"/>
  <c r="Y416" i="11"/>
  <c r="X416" i="11" s="1"/>
  <c r="Y818" i="11"/>
  <c r="Y806" i="11"/>
  <c r="Y845" i="11"/>
  <c r="Y833" i="11"/>
  <c r="Y794" i="11"/>
  <c r="Y782" i="11"/>
  <c r="Y769" i="11"/>
  <c r="Y757" i="11"/>
  <c r="Y682" i="11"/>
  <c r="X682" i="11" s="1"/>
  <c r="Y670" i="11"/>
  <c r="X670" i="11" s="1"/>
  <c r="Y649" i="11"/>
  <c r="X649" i="11" s="1"/>
  <c r="Y637" i="11"/>
  <c r="X637" i="11" s="1"/>
  <c r="Y623" i="11"/>
  <c r="X623" i="11" s="1"/>
  <c r="Y611" i="11"/>
  <c r="X611" i="11" s="1"/>
  <c r="Y597" i="11"/>
  <c r="X597" i="11" s="1"/>
  <c r="Y585" i="11"/>
  <c r="X585" i="11" s="1"/>
  <c r="Y564" i="11"/>
  <c r="X564" i="11" s="1"/>
  <c r="Y552" i="11"/>
  <c r="X552" i="11" s="1"/>
  <c r="Y539" i="11"/>
  <c r="X539" i="11" s="1"/>
  <c r="Y527" i="11"/>
  <c r="X527" i="11" s="1"/>
  <c r="Y514" i="11"/>
  <c r="X514" i="11" s="1"/>
  <c r="Y502" i="11"/>
  <c r="X502" i="11" s="1"/>
  <c r="Y489" i="11"/>
  <c r="X489" i="11" s="1"/>
  <c r="Y427" i="11"/>
  <c r="X427" i="11" s="1"/>
  <c r="Y415" i="11"/>
  <c r="X415" i="11" s="1"/>
  <c r="Y817" i="11"/>
  <c r="Y805" i="11"/>
  <c r="Y844" i="11"/>
  <c r="Y832" i="11"/>
  <c r="Y793" i="11"/>
  <c r="Y781" i="11"/>
  <c r="Y768" i="11"/>
  <c r="Y756" i="11"/>
  <c r="Y681" i="11"/>
  <c r="X681" i="11" s="1"/>
  <c r="Y669" i="11"/>
  <c r="X669" i="11" s="1"/>
  <c r="Y648" i="11"/>
  <c r="X648" i="11" s="1"/>
  <c r="Y636" i="11"/>
  <c r="X636" i="11" s="1"/>
  <c r="Y622" i="11"/>
  <c r="X622" i="11" s="1"/>
  <c r="Y610" i="11"/>
  <c r="X610" i="11" s="1"/>
  <c r="Y596" i="11"/>
  <c r="X596" i="11" s="1"/>
  <c r="Y584" i="11"/>
  <c r="X584" i="11" s="1"/>
  <c r="Y563" i="11"/>
  <c r="X563" i="11" s="1"/>
  <c r="Y551" i="11"/>
  <c r="X551" i="11" s="1"/>
  <c r="Y538" i="11"/>
  <c r="X538" i="11" s="1"/>
  <c r="Y526" i="11"/>
  <c r="X526" i="11" s="1"/>
  <c r="Y513" i="11"/>
  <c r="X513" i="11" s="1"/>
  <c r="Y501" i="11"/>
  <c r="X501" i="11" s="1"/>
  <c r="Y488" i="11"/>
  <c r="X488" i="11" s="1"/>
  <c r="Y426" i="11"/>
  <c r="X426" i="11" s="1"/>
  <c r="Y414" i="11"/>
  <c r="X414" i="11" s="1"/>
  <c r="Y816" i="11"/>
  <c r="Y804" i="11"/>
  <c r="Y843" i="11"/>
  <c r="Y831" i="11"/>
  <c r="Y792" i="11"/>
  <c r="Y780" i="11"/>
  <c r="Y767" i="11"/>
  <c r="Y755" i="11"/>
  <c r="Y680" i="11"/>
  <c r="X680" i="11" s="1"/>
  <c r="Y668" i="11"/>
  <c r="X668" i="11" s="1"/>
  <c r="Y647" i="11"/>
  <c r="X647" i="11" s="1"/>
  <c r="Y635" i="11"/>
  <c r="X635" i="11" s="1"/>
  <c r="Y621" i="11"/>
  <c r="X621" i="11" s="1"/>
  <c r="Y609" i="11"/>
  <c r="X609" i="11" s="1"/>
  <c r="Y595" i="11"/>
  <c r="X595" i="11" s="1"/>
  <c r="Y583" i="11"/>
  <c r="X583" i="11" s="1"/>
  <c r="Y562" i="11"/>
  <c r="X562" i="11" s="1"/>
  <c r="Y550" i="11"/>
  <c r="X550" i="11" s="1"/>
  <c r="Y537" i="11"/>
  <c r="X537" i="11" s="1"/>
  <c r="Y525" i="11"/>
  <c r="X525" i="11" s="1"/>
  <c r="Y512" i="11"/>
  <c r="X512" i="11" s="1"/>
  <c r="Y500" i="11"/>
  <c r="X500" i="11" s="1"/>
  <c r="Y487" i="11"/>
  <c r="X487" i="11" s="1"/>
  <c r="Y425" i="11"/>
  <c r="X425" i="11" s="1"/>
  <c r="Y413" i="11"/>
  <c r="X413" i="11" s="1"/>
  <c r="Y815" i="11"/>
  <c r="Y803" i="11"/>
  <c r="Y842" i="11"/>
  <c r="Y830" i="11"/>
  <c r="Y791" i="11"/>
  <c r="Y779" i="11"/>
  <c r="Y766" i="11"/>
  <c r="Y754" i="11"/>
  <c r="Y679" i="11"/>
  <c r="X679" i="11" s="1"/>
  <c r="Y667" i="11"/>
  <c r="X667" i="11" s="1"/>
  <c r="Y646" i="11"/>
  <c r="X646" i="11" s="1"/>
  <c r="Y634" i="11"/>
  <c r="X634" i="11" s="1"/>
  <c r="Y620" i="11"/>
  <c r="X620" i="11" s="1"/>
  <c r="Y608" i="11"/>
  <c r="X608" i="11" s="1"/>
  <c r="Y594" i="11"/>
  <c r="X594" i="11" s="1"/>
  <c r="Y582" i="11"/>
  <c r="X582" i="11" s="1"/>
  <c r="Y561" i="11"/>
  <c r="X561" i="11" s="1"/>
  <c r="Y549" i="11"/>
  <c r="X549" i="11" s="1"/>
  <c r="Y536" i="11"/>
  <c r="X536" i="11" s="1"/>
  <c r="Y524" i="11"/>
  <c r="X524" i="11" s="1"/>
  <c r="Y511" i="11"/>
  <c r="X511" i="11" s="1"/>
  <c r="Y499" i="11"/>
  <c r="X499" i="11" s="1"/>
  <c r="Y486" i="11"/>
  <c r="X486" i="11" s="1"/>
  <c r="Y424" i="11"/>
  <c r="X424" i="11" s="1"/>
  <c r="Y412" i="11"/>
  <c r="X412" i="11" s="1"/>
  <c r="Y814" i="11"/>
  <c r="Y802" i="11"/>
  <c r="Y841" i="11"/>
  <c r="Y829" i="11"/>
  <c r="Y790" i="11"/>
  <c r="Y778" i="11"/>
  <c r="Y765" i="11"/>
  <c r="Y753" i="11"/>
  <c r="Y678" i="11"/>
  <c r="X678" i="11" s="1"/>
  <c r="Y666" i="11"/>
  <c r="X666" i="11" s="1"/>
  <c r="Y657" i="11"/>
  <c r="X657" i="11" s="1"/>
  <c r="Y645" i="11"/>
  <c r="X645" i="11" s="1"/>
  <c r="Y631" i="11"/>
  <c r="X631" i="11" s="1"/>
  <c r="Y619" i="11"/>
  <c r="X619" i="11" s="1"/>
  <c r="Y605" i="11"/>
  <c r="X605" i="11" s="1"/>
  <c r="Y593" i="11"/>
  <c r="X593" i="11" s="1"/>
  <c r="Y572" i="11"/>
  <c r="X572" i="11" s="1"/>
  <c r="Y560" i="11"/>
  <c r="X560" i="11" s="1"/>
  <c r="Y548" i="11"/>
  <c r="X548" i="11" s="1"/>
  <c r="Y535" i="11"/>
  <c r="X535" i="11" s="1"/>
  <c r="Y523" i="11"/>
  <c r="X523" i="11" s="1"/>
  <c r="Y510" i="11"/>
  <c r="X510" i="11" s="1"/>
  <c r="Y498" i="11"/>
  <c r="X498" i="11" s="1"/>
  <c r="Y485" i="11"/>
  <c r="X485" i="11" s="1"/>
  <c r="Y423" i="11"/>
  <c r="X423" i="11" s="1"/>
  <c r="Y411" i="11"/>
  <c r="X411" i="11" s="1"/>
  <c r="Y813" i="11"/>
  <c r="Y801" i="11"/>
  <c r="Y840" i="11"/>
  <c r="Y828" i="11"/>
  <c r="Y789" i="11"/>
  <c r="Y777" i="11"/>
  <c r="Y764" i="11"/>
  <c r="Y752" i="11"/>
  <c r="Y677" i="11"/>
  <c r="X677" i="11" s="1"/>
  <c r="Y665" i="11"/>
  <c r="X665" i="11" s="1"/>
  <c r="Y656" i="11"/>
  <c r="X656" i="11" s="1"/>
  <c r="Y644" i="11"/>
  <c r="X644" i="11" s="1"/>
  <c r="Y630" i="11"/>
  <c r="X630" i="11" s="1"/>
  <c r="Y618" i="11"/>
  <c r="X618" i="11" s="1"/>
  <c r="Y604" i="11"/>
  <c r="X604" i="11" s="1"/>
  <c r="Y592" i="11"/>
  <c r="X592" i="11" s="1"/>
  <c r="Y571" i="11"/>
  <c r="X571" i="11" s="1"/>
  <c r="Y559" i="11"/>
  <c r="X559" i="11" s="1"/>
  <c r="Y546" i="11"/>
  <c r="X546" i="11" s="1"/>
  <c r="Y534" i="11"/>
  <c r="X534" i="11" s="1"/>
  <c r="Y522" i="11"/>
  <c r="X522" i="11" s="1"/>
  <c r="Y509" i="11"/>
  <c r="X509" i="11" s="1"/>
  <c r="Y497" i="11"/>
  <c r="X497" i="11" s="1"/>
  <c r="Y484" i="11"/>
  <c r="X484" i="11" s="1"/>
  <c r="Y422" i="11"/>
  <c r="X422" i="11" s="1"/>
  <c r="Y410" i="11"/>
  <c r="X410" i="11" s="1"/>
  <c r="Y812" i="11"/>
  <c r="Y800" i="11"/>
  <c r="Y839" i="11"/>
  <c r="Y827" i="11"/>
  <c r="Y788" i="11"/>
  <c r="Y776" i="11"/>
  <c r="Y763" i="11"/>
  <c r="Y751" i="11"/>
  <c r="Y676" i="11"/>
  <c r="X676" i="11" s="1"/>
  <c r="Y664" i="11"/>
  <c r="X664" i="11" s="1"/>
  <c r="Y655" i="11"/>
  <c r="X655" i="11" s="1"/>
  <c r="Y643" i="11"/>
  <c r="X643" i="11" s="1"/>
  <c r="Y629" i="11"/>
  <c r="X629" i="11" s="1"/>
  <c r="Y617" i="11"/>
  <c r="X617" i="11" s="1"/>
  <c r="Y603" i="11"/>
  <c r="X603" i="11" s="1"/>
  <c r="Y591" i="11"/>
  <c r="X591" i="11" s="1"/>
  <c r="Y570" i="11"/>
  <c r="X570" i="11" s="1"/>
  <c r="Y558" i="11"/>
  <c r="X558" i="11" s="1"/>
  <c r="Y545" i="11"/>
  <c r="X545" i="11" s="1"/>
  <c r="Y533" i="11"/>
  <c r="X533" i="11" s="1"/>
  <c r="Y520" i="11"/>
  <c r="X520" i="11" s="1"/>
  <c r="Y508" i="11"/>
  <c r="X508" i="11" s="1"/>
  <c r="Y496" i="11"/>
  <c r="X496" i="11" s="1"/>
  <c r="Y483" i="11"/>
  <c r="X483" i="11" s="1"/>
  <c r="Y421" i="11"/>
  <c r="X421" i="11" s="1"/>
  <c r="Y409" i="11"/>
  <c r="X409" i="11" s="1"/>
  <c r="Y481" i="11"/>
  <c r="X481" i="11" s="1"/>
  <c r="Y469" i="11"/>
  <c r="X469" i="11" s="1"/>
  <c r="Y457" i="11"/>
  <c r="X457" i="11" s="1"/>
  <c r="Y395" i="11"/>
  <c r="X395" i="11" s="1"/>
  <c r="Y383" i="11"/>
  <c r="X383" i="11" s="1"/>
  <c r="Y370" i="11"/>
  <c r="X370" i="11" s="1"/>
  <c r="Y358" i="11"/>
  <c r="X358" i="11" s="1"/>
  <c r="Y345" i="11"/>
  <c r="X345" i="11" s="1"/>
  <c r="Y333" i="11"/>
  <c r="X333" i="11" s="1"/>
  <c r="Y320" i="11"/>
  <c r="X320" i="11" s="1"/>
  <c r="Y308" i="11"/>
  <c r="X308" i="11" s="1"/>
  <c r="Y295" i="11"/>
  <c r="X295" i="11" s="1"/>
  <c r="Y283" i="11"/>
  <c r="X283" i="11" s="1"/>
  <c r="Y270" i="11"/>
  <c r="X270" i="11" s="1"/>
  <c r="Y258" i="11"/>
  <c r="X258" i="11" s="1"/>
  <c r="Y245" i="11"/>
  <c r="X245" i="11" s="1"/>
  <c r="Y233" i="11"/>
  <c r="X233" i="11" s="1"/>
  <c r="Y220" i="11"/>
  <c r="X220" i="11" s="1"/>
  <c r="Y208" i="11"/>
  <c r="X208" i="11" s="1"/>
  <c r="Y195" i="11"/>
  <c r="X195" i="11" s="1"/>
  <c r="Y183" i="11"/>
  <c r="X183" i="11" s="1"/>
  <c r="Y170" i="11"/>
  <c r="X170" i="11" s="1"/>
  <c r="Y158" i="11"/>
  <c r="X158" i="11" s="1"/>
  <c r="Y145" i="11"/>
  <c r="X145" i="11" s="1"/>
  <c r="Y133" i="11"/>
  <c r="X133" i="11" s="1"/>
  <c r="Y120" i="11"/>
  <c r="X120" i="11" s="1"/>
  <c r="Y108" i="11"/>
  <c r="X108" i="11" s="1"/>
  <c r="Y96" i="11"/>
  <c r="X96" i="11" s="1"/>
  <c r="Y83" i="11"/>
  <c r="X83" i="11" s="1"/>
  <c r="Y71" i="11"/>
  <c r="X71" i="11" s="1"/>
  <c r="Y480" i="11"/>
  <c r="X480" i="11" s="1"/>
  <c r="Y468" i="11"/>
  <c r="X468" i="11" s="1"/>
  <c r="Y406" i="11"/>
  <c r="X406" i="11" s="1"/>
  <c r="Y394" i="11"/>
  <c r="X394" i="11" s="1"/>
  <c r="Y382" i="11"/>
  <c r="X382" i="11" s="1"/>
  <c r="Y369" i="11"/>
  <c r="X369" i="11" s="1"/>
  <c r="Y357" i="11"/>
  <c r="X357" i="11" s="1"/>
  <c r="Y344" i="11"/>
  <c r="X344" i="11" s="1"/>
  <c r="Y332" i="11"/>
  <c r="X332" i="11" s="1"/>
  <c r="Y319" i="11"/>
  <c r="X319" i="11" s="1"/>
  <c r="Y307" i="11"/>
  <c r="X307" i="11" s="1"/>
  <c r="Y294" i="11"/>
  <c r="X294" i="11" s="1"/>
  <c r="Y282" i="11"/>
  <c r="X282" i="11" s="1"/>
  <c r="Y269" i="11"/>
  <c r="X269" i="11" s="1"/>
  <c r="Y257" i="11"/>
  <c r="X257" i="11" s="1"/>
  <c r="Y244" i="11"/>
  <c r="X244" i="11" s="1"/>
  <c r="Y232" i="11"/>
  <c r="X232" i="11" s="1"/>
  <c r="Y219" i="11"/>
  <c r="X219" i="11" s="1"/>
  <c r="Y207" i="11"/>
  <c r="X207" i="11" s="1"/>
  <c r="Y194" i="11"/>
  <c r="X194" i="11" s="1"/>
  <c r="Y182" i="11"/>
  <c r="X182" i="11" s="1"/>
  <c r="Y169" i="11"/>
  <c r="X169" i="11" s="1"/>
  <c r="Y157" i="11"/>
  <c r="X157" i="11" s="1"/>
  <c r="Y144" i="11"/>
  <c r="X144" i="11" s="1"/>
  <c r="Y132" i="11"/>
  <c r="X132" i="11" s="1"/>
  <c r="Y119" i="11"/>
  <c r="X119" i="11" s="1"/>
  <c r="Y107" i="11"/>
  <c r="X107" i="11" s="1"/>
  <c r="Y94" i="11"/>
  <c r="X94" i="11" s="1"/>
  <c r="Y82" i="11"/>
  <c r="X82" i="11" s="1"/>
  <c r="Y70" i="11"/>
  <c r="X70" i="11" s="1"/>
  <c r="Y479" i="11"/>
  <c r="X479" i="11" s="1"/>
  <c r="Y467" i="11"/>
  <c r="X467" i="11" s="1"/>
  <c r="Y405" i="11"/>
  <c r="X405" i="11" s="1"/>
  <c r="Y393" i="11"/>
  <c r="X393" i="11" s="1"/>
  <c r="Y380" i="11"/>
  <c r="X380" i="11" s="1"/>
  <c r="Y368" i="11"/>
  <c r="X368" i="11" s="1"/>
  <c r="Y356" i="11"/>
  <c r="X356" i="11" s="1"/>
  <c r="Y343" i="11"/>
  <c r="X343" i="11" s="1"/>
  <c r="Y331" i="11"/>
  <c r="X331" i="11" s="1"/>
  <c r="Y318" i="11"/>
  <c r="X318" i="11" s="1"/>
  <c r="Y306" i="11"/>
  <c r="X306" i="11" s="1"/>
  <c r="Y293" i="11"/>
  <c r="X293" i="11" s="1"/>
  <c r="Y281" i="11"/>
  <c r="X281" i="11" s="1"/>
  <c r="Y268" i="11"/>
  <c r="X268" i="11" s="1"/>
  <c r="Y256" i="11"/>
  <c r="X256" i="11" s="1"/>
  <c r="Y243" i="11"/>
  <c r="X243" i="11" s="1"/>
  <c r="Y231" i="11"/>
  <c r="X231" i="11" s="1"/>
  <c r="Y218" i="11"/>
  <c r="X218" i="11" s="1"/>
  <c r="Y206" i="11"/>
  <c r="X206" i="11" s="1"/>
  <c r="Y193" i="11"/>
  <c r="X193" i="11" s="1"/>
  <c r="Y181" i="11"/>
  <c r="X181" i="11" s="1"/>
  <c r="Y168" i="11"/>
  <c r="X168" i="11" s="1"/>
  <c r="Y156" i="11"/>
  <c r="X156" i="11" s="1"/>
  <c r="Y143" i="11"/>
  <c r="X143" i="11" s="1"/>
  <c r="Y131" i="11"/>
  <c r="X131" i="11" s="1"/>
  <c r="Y118" i="11"/>
  <c r="X118" i="11" s="1"/>
  <c r="Y106" i="11"/>
  <c r="X106" i="11" s="1"/>
  <c r="Y93" i="11"/>
  <c r="X93" i="11" s="1"/>
  <c r="Y81" i="11"/>
  <c r="X81" i="11" s="1"/>
  <c r="Y478" i="11"/>
  <c r="X478" i="11" s="1"/>
  <c r="Y466" i="11"/>
  <c r="X466" i="11" s="1"/>
  <c r="Y404" i="11"/>
  <c r="X404" i="11" s="1"/>
  <c r="Y392" i="11"/>
  <c r="X392" i="11" s="1"/>
  <c r="Y379" i="11"/>
  <c r="X379" i="11" s="1"/>
  <c r="Y367" i="11"/>
  <c r="X367" i="11" s="1"/>
  <c r="Y354" i="11"/>
  <c r="X354" i="11" s="1"/>
  <c r="Y342" i="11"/>
  <c r="X342" i="11" s="1"/>
  <c r="Y330" i="11"/>
  <c r="X330" i="11" s="1"/>
  <c r="Y317" i="11"/>
  <c r="X317" i="11" s="1"/>
  <c r="Y305" i="11"/>
  <c r="X305" i="11" s="1"/>
  <c r="Y292" i="11"/>
  <c r="X292" i="11" s="1"/>
  <c r="Y280" i="11"/>
  <c r="X280" i="11" s="1"/>
  <c r="Y267" i="11"/>
  <c r="X267" i="11" s="1"/>
  <c r="Y255" i="11"/>
  <c r="X255" i="11" s="1"/>
  <c r="Y242" i="11"/>
  <c r="X242" i="11" s="1"/>
  <c r="Y230" i="11"/>
  <c r="X230" i="11" s="1"/>
  <c r="Y217" i="11"/>
  <c r="X217" i="11" s="1"/>
  <c r="Y205" i="11"/>
  <c r="X205" i="11" s="1"/>
  <c r="Y192" i="11"/>
  <c r="X192" i="11" s="1"/>
  <c r="Y180" i="11"/>
  <c r="X180" i="11" s="1"/>
  <c r="Y167" i="11"/>
  <c r="X167" i="11" s="1"/>
  <c r="Y155" i="11"/>
  <c r="X155" i="11" s="1"/>
  <c r="Y142" i="11"/>
  <c r="X142" i="11" s="1"/>
  <c r="Y130" i="11"/>
  <c r="X130" i="11" s="1"/>
  <c r="Y117" i="11"/>
  <c r="X117" i="11" s="1"/>
  <c r="Y105" i="11"/>
  <c r="X105" i="11" s="1"/>
  <c r="Y92" i="11"/>
  <c r="X92" i="11" s="1"/>
  <c r="Y80" i="11"/>
  <c r="X80" i="11" s="1"/>
  <c r="Y477" i="11"/>
  <c r="X477" i="11" s="1"/>
  <c r="Y465" i="11"/>
  <c r="X465" i="11" s="1"/>
  <c r="Y403" i="11"/>
  <c r="X403" i="11" s="1"/>
  <c r="Y391" i="11"/>
  <c r="X391" i="11" s="1"/>
  <c r="Y378" i="11"/>
  <c r="X378" i="11" s="1"/>
  <c r="Y366" i="11"/>
  <c r="X366" i="11" s="1"/>
  <c r="Y353" i="11"/>
  <c r="X353" i="11" s="1"/>
  <c r="Y341" i="11"/>
  <c r="X341" i="11" s="1"/>
  <c r="Y328" i="11"/>
  <c r="X328" i="11" s="1"/>
  <c r="Y316" i="11"/>
  <c r="X316" i="11" s="1"/>
  <c r="Y304" i="11"/>
  <c r="X304" i="11" s="1"/>
  <c r="Y291" i="11"/>
  <c r="X291" i="11" s="1"/>
  <c r="Y279" i="11"/>
  <c r="X279" i="11" s="1"/>
  <c r="Y266" i="11"/>
  <c r="X266" i="11" s="1"/>
  <c r="Y254" i="11"/>
  <c r="X254" i="11" s="1"/>
  <c r="Y241" i="11"/>
  <c r="X241" i="11" s="1"/>
  <c r="Y229" i="11"/>
  <c r="X229" i="11" s="1"/>
  <c r="Y216" i="11"/>
  <c r="X216" i="11" s="1"/>
  <c r="Y204" i="11"/>
  <c r="X204" i="11" s="1"/>
  <c r="Y191" i="11"/>
  <c r="X191" i="11" s="1"/>
  <c r="Y179" i="11"/>
  <c r="X179" i="11" s="1"/>
  <c r="Y166" i="11"/>
  <c r="X166" i="11" s="1"/>
  <c r="Y154" i="11"/>
  <c r="X154" i="11" s="1"/>
  <c r="Y141" i="11"/>
  <c r="X141" i="11" s="1"/>
  <c r="Y129" i="11"/>
  <c r="X129" i="11" s="1"/>
  <c r="Y116" i="11"/>
  <c r="X116" i="11" s="1"/>
  <c r="Y104" i="11"/>
  <c r="X104" i="11" s="1"/>
  <c r="Y91" i="11"/>
  <c r="X91" i="11" s="1"/>
  <c r="Y79" i="11"/>
  <c r="X79" i="11" s="1"/>
  <c r="Y476" i="11"/>
  <c r="X476" i="11" s="1"/>
  <c r="Y464" i="11"/>
  <c r="X464" i="11" s="1"/>
  <c r="Y402" i="11"/>
  <c r="X402" i="11" s="1"/>
  <c r="Y390" i="11"/>
  <c r="X390" i="11" s="1"/>
  <c r="Y377" i="11"/>
  <c r="X377" i="11" s="1"/>
  <c r="Y365" i="11"/>
  <c r="X365" i="11" s="1"/>
  <c r="Y352" i="11"/>
  <c r="X352" i="11" s="1"/>
  <c r="Y340" i="11"/>
  <c r="X340" i="11" s="1"/>
  <c r="Y327" i="11"/>
  <c r="X327" i="11" s="1"/>
  <c r="Y315" i="11"/>
  <c r="X315" i="11" s="1"/>
  <c r="Y302" i="11"/>
  <c r="X302" i="11" s="1"/>
  <c r="Y290" i="11"/>
  <c r="X290" i="11" s="1"/>
  <c r="Y278" i="11"/>
  <c r="X278" i="11" s="1"/>
  <c r="Y265" i="11"/>
  <c r="X265" i="11" s="1"/>
  <c r="Y253" i="11"/>
  <c r="X253" i="11" s="1"/>
  <c r="Y240" i="11"/>
  <c r="X240" i="11" s="1"/>
  <c r="Y228" i="11"/>
  <c r="X228" i="11" s="1"/>
  <c r="Y215" i="11"/>
  <c r="X215" i="11" s="1"/>
  <c r="Y203" i="11"/>
  <c r="X203" i="11" s="1"/>
  <c r="Y190" i="11"/>
  <c r="X190" i="11" s="1"/>
  <c r="Y178" i="11"/>
  <c r="X178" i="11" s="1"/>
  <c r="Y165" i="11"/>
  <c r="X165" i="11" s="1"/>
  <c r="Y153" i="11"/>
  <c r="X153" i="11" s="1"/>
  <c r="Y140" i="11"/>
  <c r="X140" i="11" s="1"/>
  <c r="Y128" i="11"/>
  <c r="X128" i="11" s="1"/>
  <c r="Y115" i="11"/>
  <c r="X115" i="11" s="1"/>
  <c r="Y103" i="11"/>
  <c r="X103" i="11" s="1"/>
  <c r="Y90" i="11"/>
  <c r="X90" i="11" s="1"/>
  <c r="Y78" i="11"/>
  <c r="X78" i="11" s="1"/>
  <c r="Y475" i="11"/>
  <c r="X475" i="11" s="1"/>
  <c r="Y463" i="11"/>
  <c r="X463" i="11" s="1"/>
  <c r="Y401" i="11"/>
  <c r="X401" i="11" s="1"/>
  <c r="Y389" i="11"/>
  <c r="X389" i="11" s="1"/>
  <c r="Y376" i="11"/>
  <c r="X376" i="11" s="1"/>
  <c r="Y364" i="11"/>
  <c r="X364" i="11" s="1"/>
  <c r="Y351" i="11"/>
  <c r="X351" i="11" s="1"/>
  <c r="Y339" i="11"/>
  <c r="X339" i="11" s="1"/>
  <c r="Y326" i="11"/>
  <c r="X326" i="11" s="1"/>
  <c r="Y314" i="11"/>
  <c r="X314" i="11" s="1"/>
  <c r="Y301" i="11"/>
  <c r="X301" i="11" s="1"/>
  <c r="Y289" i="11"/>
  <c r="X289" i="11" s="1"/>
  <c r="Y276" i="11"/>
  <c r="X276" i="11" s="1"/>
  <c r="Y264" i="11"/>
  <c r="X264" i="11" s="1"/>
  <c r="Y252" i="11"/>
  <c r="X252" i="11" s="1"/>
  <c r="Y239" i="11"/>
  <c r="X239" i="11" s="1"/>
  <c r="Y227" i="11"/>
  <c r="X227" i="11" s="1"/>
  <c r="Y214" i="11"/>
  <c r="X214" i="11" s="1"/>
  <c r="Y202" i="11"/>
  <c r="X202" i="11" s="1"/>
  <c r="Y189" i="11"/>
  <c r="X189" i="11" s="1"/>
  <c r="Y177" i="11"/>
  <c r="X177" i="11" s="1"/>
  <c r="Y164" i="11"/>
  <c r="X164" i="11" s="1"/>
  <c r="Y152" i="11"/>
  <c r="X152" i="11" s="1"/>
  <c r="Y139" i="11"/>
  <c r="X139" i="11" s="1"/>
  <c r="Y127" i="11"/>
  <c r="X127" i="11" s="1"/>
  <c r="Y114" i="11"/>
  <c r="X114" i="11" s="1"/>
  <c r="Y102" i="11"/>
  <c r="X102" i="11" s="1"/>
  <c r="Y89" i="11"/>
  <c r="X89" i="11" s="1"/>
  <c r="Y77" i="11"/>
  <c r="X77" i="11" s="1"/>
  <c r="Y474" i="11"/>
  <c r="X474" i="11" s="1"/>
  <c r="Y462" i="11"/>
  <c r="X462" i="11" s="1"/>
  <c r="Y400" i="11"/>
  <c r="X400" i="11" s="1"/>
  <c r="Y388" i="11"/>
  <c r="X388" i="11" s="1"/>
  <c r="Y375" i="11"/>
  <c r="X375" i="11" s="1"/>
  <c r="Y363" i="11"/>
  <c r="X363" i="11" s="1"/>
  <c r="Y350" i="11"/>
  <c r="X350" i="11" s="1"/>
  <c r="Y338" i="11"/>
  <c r="X338" i="11" s="1"/>
  <c r="Y325" i="11"/>
  <c r="X325" i="11" s="1"/>
  <c r="Y313" i="11"/>
  <c r="X313" i="11" s="1"/>
  <c r="Y300" i="11"/>
  <c r="X300" i="11" s="1"/>
  <c r="Y288" i="11"/>
  <c r="X288" i="11" s="1"/>
  <c r="Y275" i="11"/>
  <c r="X275" i="11" s="1"/>
  <c r="Y263" i="11"/>
  <c r="X263" i="11" s="1"/>
  <c r="Y250" i="11"/>
  <c r="X250" i="11" s="1"/>
  <c r="Y238" i="11"/>
  <c r="X238" i="11" s="1"/>
  <c r="Y226" i="11"/>
  <c r="X226" i="11" s="1"/>
  <c r="Y213" i="11"/>
  <c r="X213" i="11" s="1"/>
  <c r="Y201" i="11"/>
  <c r="X201" i="11" s="1"/>
  <c r="Y188" i="11"/>
  <c r="X188" i="11" s="1"/>
  <c r="Y176" i="11"/>
  <c r="X176" i="11" s="1"/>
  <c r="Y163" i="11"/>
  <c r="X163" i="11" s="1"/>
  <c r="Y151" i="11"/>
  <c r="X151" i="11" s="1"/>
  <c r="Y138" i="11"/>
  <c r="X138" i="11" s="1"/>
  <c r="Y126" i="11"/>
  <c r="X126" i="11" s="1"/>
  <c r="Y113" i="11"/>
  <c r="X113" i="11" s="1"/>
  <c r="Y101" i="11"/>
  <c r="X101" i="11" s="1"/>
  <c r="Y88" i="11"/>
  <c r="X88" i="11" s="1"/>
  <c r="Y76" i="11"/>
  <c r="X76" i="11" s="1"/>
  <c r="Y473" i="11"/>
  <c r="X473" i="11" s="1"/>
  <c r="Y461" i="11"/>
  <c r="X461" i="11" s="1"/>
  <c r="Y399" i="11"/>
  <c r="X399" i="11" s="1"/>
  <c r="Y387" i="11"/>
  <c r="X387" i="11" s="1"/>
  <c r="Y374" i="11"/>
  <c r="X374" i="11" s="1"/>
  <c r="Y362" i="11"/>
  <c r="X362" i="11" s="1"/>
  <c r="Y349" i="11"/>
  <c r="X349" i="11" s="1"/>
  <c r="Y337" i="11"/>
  <c r="X337" i="11" s="1"/>
  <c r="Y324" i="11"/>
  <c r="X324" i="11" s="1"/>
  <c r="Y312" i="11"/>
  <c r="X312" i="11" s="1"/>
  <c r="Y299" i="11"/>
  <c r="X299" i="11" s="1"/>
  <c r="Y287" i="11"/>
  <c r="X287" i="11" s="1"/>
  <c r="Y274" i="11"/>
  <c r="X274" i="11" s="1"/>
  <c r="Y262" i="11"/>
  <c r="X262" i="11" s="1"/>
  <c r="Y249" i="11"/>
  <c r="X249" i="11" s="1"/>
  <c r="Y237" i="11"/>
  <c r="X237" i="11" s="1"/>
  <c r="Y224" i="11"/>
  <c r="X224" i="11" s="1"/>
  <c r="Y212" i="11"/>
  <c r="X212" i="11" s="1"/>
  <c r="Y200" i="11"/>
  <c r="X200" i="11" s="1"/>
  <c r="Y187" i="11"/>
  <c r="X187" i="11" s="1"/>
  <c r="Y175" i="11"/>
  <c r="X175" i="11" s="1"/>
  <c r="Y162" i="11"/>
  <c r="X162" i="11" s="1"/>
  <c r="Y150" i="11"/>
  <c r="X150" i="11" s="1"/>
  <c r="Y137" i="11"/>
  <c r="X137" i="11" s="1"/>
  <c r="Y125" i="11"/>
  <c r="X125" i="11" s="1"/>
  <c r="Y112" i="11"/>
  <c r="X112" i="11" s="1"/>
  <c r="Y100" i="11"/>
  <c r="X100" i="11" s="1"/>
  <c r="Y87" i="11"/>
  <c r="X87" i="11" s="1"/>
  <c r="Y75" i="11"/>
  <c r="X75" i="11" s="1"/>
  <c r="Y472" i="11"/>
  <c r="X472" i="11" s="1"/>
  <c r="Y460" i="11"/>
  <c r="X460" i="11" s="1"/>
  <c r="Y398" i="11"/>
  <c r="X398" i="11" s="1"/>
  <c r="Y386" i="11"/>
  <c r="X386" i="11" s="1"/>
  <c r="Y373" i="11"/>
  <c r="X373" i="11" s="1"/>
  <c r="Y361" i="11"/>
  <c r="X361" i="11" s="1"/>
  <c r="Y348" i="11"/>
  <c r="X348" i="11" s="1"/>
  <c r="Y336" i="11"/>
  <c r="X336" i="11" s="1"/>
  <c r="Y323" i="11"/>
  <c r="X323" i="11" s="1"/>
  <c r="Y311" i="11"/>
  <c r="X311" i="11" s="1"/>
  <c r="Y298" i="11"/>
  <c r="X298" i="11" s="1"/>
  <c r="Y286" i="11"/>
  <c r="X286" i="11" s="1"/>
  <c r="Y273" i="11"/>
  <c r="X273" i="11" s="1"/>
  <c r="Y261" i="11"/>
  <c r="X261" i="11" s="1"/>
  <c r="Y248" i="11"/>
  <c r="X248" i="11" s="1"/>
  <c r="Y236" i="11"/>
  <c r="X236" i="11" s="1"/>
  <c r="Y223" i="11"/>
  <c r="X223" i="11" s="1"/>
  <c r="Y211" i="11"/>
  <c r="X211" i="11" s="1"/>
  <c r="Y198" i="11"/>
  <c r="X198" i="11" s="1"/>
  <c r="Y186" i="11"/>
  <c r="X186" i="11" s="1"/>
  <c r="Y174" i="11"/>
  <c r="X174" i="11" s="1"/>
  <c r="Y161" i="11"/>
  <c r="X161" i="11" s="1"/>
  <c r="Y149" i="11"/>
  <c r="X149" i="11" s="1"/>
  <c r="Y136" i="11"/>
  <c r="X136" i="11" s="1"/>
  <c r="Y124" i="11"/>
  <c r="X124" i="11" s="1"/>
  <c r="Y111" i="11"/>
  <c r="X111" i="11" s="1"/>
  <c r="Y99" i="11"/>
  <c r="X99" i="11" s="1"/>
  <c r="Y86" i="11"/>
  <c r="X86" i="11" s="1"/>
  <c r="Y74" i="11"/>
  <c r="X74" i="11" s="1"/>
  <c r="Y471" i="11"/>
  <c r="X471" i="11" s="1"/>
  <c r="Y459" i="11"/>
  <c r="X459" i="11" s="1"/>
  <c r="Y397" i="11"/>
  <c r="X397" i="11" s="1"/>
  <c r="Y385" i="11"/>
  <c r="X385" i="11" s="1"/>
  <c r="Y372" i="11"/>
  <c r="X372" i="11" s="1"/>
  <c r="Y360" i="11"/>
  <c r="X360" i="11" s="1"/>
  <c r="Y347" i="11"/>
  <c r="X347" i="11" s="1"/>
  <c r="Y335" i="11"/>
  <c r="X335" i="11" s="1"/>
  <c r="Y322" i="11"/>
  <c r="X322" i="11" s="1"/>
  <c r="Y310" i="11"/>
  <c r="X310" i="11" s="1"/>
  <c r="Y297" i="11"/>
  <c r="X297" i="11" s="1"/>
  <c r="Y285" i="11"/>
  <c r="X285" i="11" s="1"/>
  <c r="Y272" i="11"/>
  <c r="X272" i="11" s="1"/>
  <c r="Y260" i="11"/>
  <c r="X260" i="11" s="1"/>
  <c r="Y247" i="11"/>
  <c r="X247" i="11" s="1"/>
  <c r="Y235" i="11"/>
  <c r="X235" i="11" s="1"/>
  <c r="Y222" i="11"/>
  <c r="X222" i="11" s="1"/>
  <c r="Y210" i="11"/>
  <c r="X210" i="11" s="1"/>
  <c r="Y197" i="11"/>
  <c r="X197" i="11" s="1"/>
  <c r="Y185" i="11"/>
  <c r="X185" i="11" s="1"/>
  <c r="Y172" i="11"/>
  <c r="X172" i="11" s="1"/>
  <c r="Y160" i="11"/>
  <c r="X160" i="11" s="1"/>
  <c r="Y148" i="11"/>
  <c r="X148" i="11" s="1"/>
  <c r="Y135" i="11"/>
  <c r="X135" i="11" s="1"/>
  <c r="Y123" i="11"/>
  <c r="X123" i="11" s="1"/>
  <c r="Y110" i="11"/>
  <c r="X110" i="11" s="1"/>
  <c r="Y98" i="11"/>
  <c r="X98" i="11" s="1"/>
  <c r="Y85" i="11"/>
  <c r="X85" i="11" s="1"/>
  <c r="Y73" i="11"/>
  <c r="X73" i="11" s="1"/>
  <c r="Y470" i="11"/>
  <c r="X470" i="11" s="1"/>
  <c r="Y458" i="11"/>
  <c r="X458" i="11" s="1"/>
  <c r="Y396" i="11"/>
  <c r="X396" i="11" s="1"/>
  <c r="Y384" i="11"/>
  <c r="X384" i="11" s="1"/>
  <c r="Y371" i="11"/>
  <c r="X371" i="11" s="1"/>
  <c r="Y359" i="11"/>
  <c r="X359" i="11" s="1"/>
  <c r="Y346" i="11"/>
  <c r="X346" i="11" s="1"/>
  <c r="Y334" i="11"/>
  <c r="X334" i="11" s="1"/>
  <c r="Y321" i="11"/>
  <c r="X321" i="11" s="1"/>
  <c r="Y309" i="11"/>
  <c r="X309" i="11" s="1"/>
  <c r="Y296" i="11"/>
  <c r="X296" i="11" s="1"/>
  <c r="Y284" i="11"/>
  <c r="X284" i="11" s="1"/>
  <c r="Y271" i="11"/>
  <c r="X271" i="11" s="1"/>
  <c r="Y259" i="11"/>
  <c r="X259" i="11" s="1"/>
  <c r="Y246" i="11"/>
  <c r="X246" i="11" s="1"/>
  <c r="Y234" i="11"/>
  <c r="X234" i="11" s="1"/>
  <c r="Y221" i="11"/>
  <c r="X221" i="11" s="1"/>
  <c r="Y209" i="11"/>
  <c r="X209" i="11" s="1"/>
  <c r="Y196" i="11"/>
  <c r="X196" i="11" s="1"/>
  <c r="Y184" i="11"/>
  <c r="X184" i="11" s="1"/>
  <c r="Y171" i="11"/>
  <c r="X171" i="11" s="1"/>
  <c r="Y159" i="11"/>
  <c r="X159" i="11" s="1"/>
  <c r="Y146" i="11"/>
  <c r="X146" i="11" s="1"/>
  <c r="Y134" i="11"/>
  <c r="X134" i="11" s="1"/>
  <c r="Y122" i="11"/>
  <c r="X122" i="11" s="1"/>
  <c r="Y109" i="11"/>
  <c r="X109" i="11" s="1"/>
  <c r="Y97" i="11"/>
  <c r="X97" i="11" s="1"/>
  <c r="Y84" i="11"/>
  <c r="X84" i="11" s="1"/>
  <c r="Y72" i="11"/>
  <c r="X72" i="11" s="1"/>
  <c r="G608" i="11"/>
  <c r="G607" i="11"/>
  <c r="G621" i="11"/>
  <c r="G609" i="11"/>
  <c r="G246" i="11"/>
  <c r="G633" i="11"/>
  <c r="G647" i="11"/>
  <c r="G635" i="11"/>
  <c r="F58" i="2"/>
  <c r="F147" i="2"/>
  <c r="F132" i="2"/>
  <c r="F63" i="2"/>
  <c r="F118" i="2"/>
  <c r="F21" i="2"/>
  <c r="F13" i="2"/>
  <c r="F115" i="2"/>
  <c r="F122" i="2"/>
  <c r="F111" i="2"/>
  <c r="O88" i="7"/>
  <c r="F104" i="2"/>
  <c r="F12" i="2"/>
  <c r="F52" i="2"/>
  <c r="F40" i="2"/>
  <c r="F51" i="2"/>
  <c r="F93" i="2"/>
  <c r="F74" i="2"/>
  <c r="F73" i="2"/>
  <c r="F130" i="2"/>
  <c r="F113" i="2"/>
  <c r="F18" i="2"/>
  <c r="F36" i="2"/>
  <c r="F42" i="2"/>
  <c r="F106" i="2"/>
  <c r="F69" i="2"/>
  <c r="F110" i="2"/>
  <c r="F53" i="2"/>
  <c r="F17" i="2"/>
  <c r="F41" i="2"/>
  <c r="F24" i="2"/>
  <c r="F99" i="2"/>
  <c r="F79" i="2"/>
  <c r="F61" i="2"/>
  <c r="F92" i="2"/>
  <c r="F62" i="2"/>
  <c r="F60" i="2"/>
  <c r="F33" i="2"/>
  <c r="F8" i="2"/>
  <c r="F145" i="2"/>
  <c r="F47" i="2"/>
  <c r="F84" i="2"/>
  <c r="F139" i="2"/>
  <c r="F127" i="2"/>
  <c r="F11" i="2"/>
  <c r="F76" i="2"/>
  <c r="F134" i="2"/>
  <c r="F126" i="2"/>
  <c r="F3" i="2"/>
  <c r="F9" i="2"/>
  <c r="F23" i="2"/>
  <c r="F143" i="2"/>
  <c r="F138" i="2"/>
  <c r="F37" i="2"/>
  <c r="F20" i="2"/>
  <c r="F45" i="2"/>
  <c r="F65" i="2"/>
  <c r="F119" i="2"/>
  <c r="F28" i="2"/>
  <c r="F59" i="2"/>
  <c r="F30" i="2"/>
  <c r="F16" i="2"/>
  <c r="F136" i="2"/>
  <c r="F48" i="2"/>
  <c r="F108" i="2"/>
  <c r="F29" i="2"/>
  <c r="F82" i="2"/>
  <c r="F77" i="2"/>
  <c r="F4" i="2"/>
  <c r="F135" i="2"/>
  <c r="F81" i="2"/>
  <c r="F75" i="2"/>
  <c r="F31" i="2"/>
  <c r="F80" i="2"/>
  <c r="F94" i="2"/>
  <c r="F124" i="2"/>
  <c r="F5" i="2"/>
  <c r="F32" i="2"/>
  <c r="F14" i="2"/>
  <c r="F55" i="2"/>
  <c r="R81" i="2"/>
  <c r="R101" i="2"/>
  <c r="R94" i="2"/>
  <c r="R70" i="2"/>
  <c r="R63" i="2"/>
  <c r="R42" i="2"/>
  <c r="R33" i="2"/>
  <c r="R25" i="2"/>
  <c r="R18" i="2"/>
  <c r="R9" i="2"/>
  <c r="R5" i="2"/>
  <c r="R103" i="2"/>
  <c r="R92" i="2"/>
  <c r="R69" i="2"/>
  <c r="R55" i="2"/>
  <c r="R86" i="2"/>
  <c r="R48" i="2"/>
  <c r="R41" i="2"/>
  <c r="R32" i="2"/>
  <c r="R17" i="2"/>
  <c r="R8" i="2"/>
  <c r="R4" i="2"/>
  <c r="R80" i="2"/>
  <c r="R76" i="2"/>
  <c r="R66" i="2"/>
  <c r="R62" i="2"/>
  <c r="R54" i="2"/>
  <c r="R26" i="2"/>
  <c r="R85" i="2"/>
  <c r="R47" i="2"/>
  <c r="R40" i="2"/>
  <c r="R31" i="2"/>
  <c r="R23" i="2"/>
  <c r="R16" i="2"/>
  <c r="R98" i="2"/>
  <c r="R79" i="2"/>
  <c r="R91" i="2"/>
  <c r="R104" i="2"/>
  <c r="R60" i="2"/>
  <c r="R53" i="2"/>
  <c r="R56" i="2"/>
  <c r="R45" i="2"/>
  <c r="R37" i="2"/>
  <c r="R30" i="2"/>
  <c r="R21" i="2"/>
  <c r="R13" i="2"/>
  <c r="R97" i="2"/>
  <c r="R93" i="2"/>
  <c r="R74" i="2"/>
  <c r="R73" i="2"/>
  <c r="R65" i="2"/>
  <c r="R52" i="2"/>
  <c r="R75" i="2"/>
  <c r="R83" i="2"/>
  <c r="R44" i="2"/>
  <c r="R20" i="2"/>
  <c r="R12" i="2"/>
  <c r="R96" i="2"/>
  <c r="R77" i="2"/>
  <c r="R72" i="2"/>
  <c r="R64" i="2"/>
  <c r="R58" i="2"/>
  <c r="R51" i="2"/>
  <c r="R71" i="2"/>
  <c r="R88" i="2"/>
  <c r="R43" i="2"/>
  <c r="R35" i="2"/>
  <c r="R28" i="2"/>
  <c r="R19" i="2"/>
  <c r="R11" i="2"/>
  <c r="R7" i="2"/>
  <c r="J47" i="9"/>
  <c r="M607" i="11"/>
  <c r="L607" i="11" s="1"/>
  <c r="U607" i="11" s="1"/>
  <c r="Q607" i="11"/>
  <c r="R607" i="11" s="1"/>
  <c r="V607" i="11" s="1"/>
  <c r="N607" i="11"/>
  <c r="N561" i="11"/>
  <c r="Q558" i="11"/>
  <c r="R558" i="11" s="1"/>
  <c r="V558" i="11" s="1"/>
  <c r="N557" i="11"/>
  <c r="Q554" i="11"/>
  <c r="R554" i="11" s="1"/>
  <c r="V554" i="11" s="1"/>
  <c r="N553" i="11"/>
  <c r="Q550" i="11"/>
  <c r="R550" i="11" s="1"/>
  <c r="V550" i="11" s="1"/>
  <c r="N549" i="11"/>
  <c r="M561" i="11"/>
  <c r="M557" i="11"/>
  <c r="M553" i="11"/>
  <c r="M549" i="11"/>
  <c r="Q559" i="11"/>
  <c r="R559" i="11" s="1"/>
  <c r="V559" i="11" s="1"/>
  <c r="N558" i="11"/>
  <c r="Q555" i="11"/>
  <c r="R555" i="11" s="1"/>
  <c r="V555" i="11" s="1"/>
  <c r="N554" i="11"/>
  <c r="Q551" i="11"/>
  <c r="R551" i="11" s="1"/>
  <c r="V551" i="11" s="1"/>
  <c r="N550" i="11"/>
  <c r="M558" i="11"/>
  <c r="M554" i="11"/>
  <c r="M550" i="11"/>
  <c r="Q560" i="11"/>
  <c r="R560" i="11" s="1"/>
  <c r="V560" i="11" s="1"/>
  <c r="N559" i="11"/>
  <c r="Q556" i="11"/>
  <c r="R556" i="11" s="1"/>
  <c r="V556" i="11" s="1"/>
  <c r="N555" i="11"/>
  <c r="Q552" i="11"/>
  <c r="R552" i="11" s="1"/>
  <c r="V552" i="11" s="1"/>
  <c r="N551" i="11"/>
  <c r="M559" i="11"/>
  <c r="M555" i="11"/>
  <c r="M551" i="11"/>
  <c r="Q561" i="11"/>
  <c r="R561" i="11" s="1"/>
  <c r="V561" i="11" s="1"/>
  <c r="N560" i="11"/>
  <c r="Q557" i="11"/>
  <c r="R557" i="11" s="1"/>
  <c r="V557" i="11" s="1"/>
  <c r="N556" i="11"/>
  <c r="Q553" i="11"/>
  <c r="R553" i="11" s="1"/>
  <c r="V553" i="11" s="1"/>
  <c r="N552" i="11"/>
  <c r="Q549" i="11"/>
  <c r="R549" i="11" s="1"/>
  <c r="V549" i="11" s="1"/>
  <c r="M560" i="11"/>
  <c r="M556" i="11"/>
  <c r="M552" i="11"/>
  <c r="N535" i="11"/>
  <c r="Q532" i="11"/>
  <c r="R532" i="11" s="1"/>
  <c r="V532" i="11" s="1"/>
  <c r="N531" i="11"/>
  <c r="Q528" i="11"/>
  <c r="R528" i="11" s="1"/>
  <c r="V528" i="11" s="1"/>
  <c r="N527" i="11"/>
  <c r="Q524" i="11"/>
  <c r="R524" i="11" s="1"/>
  <c r="V524" i="11" s="1"/>
  <c r="N523" i="11"/>
  <c r="M535" i="11"/>
  <c r="M531" i="11"/>
  <c r="M527" i="11"/>
  <c r="M523" i="11"/>
  <c r="Q533" i="11"/>
  <c r="R533" i="11" s="1"/>
  <c r="V533" i="11" s="1"/>
  <c r="N532" i="11"/>
  <c r="Q529" i="11"/>
  <c r="R529" i="11" s="1"/>
  <c r="V529" i="11" s="1"/>
  <c r="N528" i="11"/>
  <c r="Q525" i="11"/>
  <c r="R525" i="11" s="1"/>
  <c r="V525" i="11" s="1"/>
  <c r="N524" i="11"/>
  <c r="M532" i="11"/>
  <c r="M528" i="11"/>
  <c r="M524" i="11"/>
  <c r="Q534" i="11"/>
  <c r="R534" i="11" s="1"/>
  <c r="V534" i="11" s="1"/>
  <c r="N533" i="11"/>
  <c r="Q530" i="11"/>
  <c r="R530" i="11" s="1"/>
  <c r="V530" i="11" s="1"/>
  <c r="N529" i="11"/>
  <c r="Q526" i="11"/>
  <c r="R526" i="11" s="1"/>
  <c r="V526" i="11" s="1"/>
  <c r="N525" i="11"/>
  <c r="M533" i="11"/>
  <c r="M529" i="11"/>
  <c r="M525" i="11"/>
  <c r="Q535" i="11"/>
  <c r="R535" i="11" s="1"/>
  <c r="V535" i="11" s="1"/>
  <c r="N534" i="11"/>
  <c r="Q531" i="11"/>
  <c r="R531" i="11" s="1"/>
  <c r="V531" i="11" s="1"/>
  <c r="N530" i="11"/>
  <c r="Q527" i="11"/>
  <c r="R527" i="11" s="1"/>
  <c r="V527" i="11" s="1"/>
  <c r="N526" i="11"/>
  <c r="Q523" i="11"/>
  <c r="R523" i="11" s="1"/>
  <c r="V523" i="11" s="1"/>
  <c r="M534" i="11"/>
  <c r="M530" i="11"/>
  <c r="M526" i="11"/>
  <c r="N672" i="11"/>
  <c r="Q670" i="11"/>
  <c r="R670" i="11" s="1"/>
  <c r="V670" i="11" s="1"/>
  <c r="N669" i="11"/>
  <c r="Q666" i="11"/>
  <c r="R666" i="11" s="1"/>
  <c r="V666" i="11" s="1"/>
  <c r="N665" i="11"/>
  <c r="Q662" i="11"/>
  <c r="R662" i="11" s="1"/>
  <c r="V662" i="11" s="1"/>
  <c r="N661" i="11"/>
  <c r="M672" i="11"/>
  <c r="M669" i="11"/>
  <c r="M665" i="11"/>
  <c r="M661" i="11"/>
  <c r="Q671" i="11"/>
  <c r="R671" i="11" s="1"/>
  <c r="V671" i="11" s="1"/>
  <c r="N670" i="11"/>
  <c r="Q667" i="11"/>
  <c r="R667" i="11" s="1"/>
  <c r="V667" i="11" s="1"/>
  <c r="N666" i="11"/>
  <c r="Q663" i="11"/>
  <c r="R663" i="11" s="1"/>
  <c r="V663" i="11" s="1"/>
  <c r="N662" i="11"/>
  <c r="M670" i="11"/>
  <c r="M666" i="11"/>
  <c r="M662" i="11"/>
  <c r="Q659" i="11"/>
  <c r="R659" i="11" s="1"/>
  <c r="V659" i="11" s="1"/>
  <c r="N671" i="11"/>
  <c r="Q668" i="11"/>
  <c r="R668" i="11" s="1"/>
  <c r="V668" i="11" s="1"/>
  <c r="N667" i="11"/>
  <c r="Q664" i="11"/>
  <c r="R664" i="11" s="1"/>
  <c r="V664" i="11" s="1"/>
  <c r="N663" i="11"/>
  <c r="M671" i="11"/>
  <c r="M667" i="11"/>
  <c r="M663" i="11"/>
  <c r="Q672" i="11"/>
  <c r="R672" i="11" s="1"/>
  <c r="V672" i="11" s="1"/>
  <c r="N659" i="11"/>
  <c r="Q669" i="11"/>
  <c r="R669" i="11" s="1"/>
  <c r="V669" i="11" s="1"/>
  <c r="N668" i="11"/>
  <c r="Q665" i="11"/>
  <c r="R665" i="11" s="1"/>
  <c r="V665" i="11" s="1"/>
  <c r="N664" i="11"/>
  <c r="Q661" i="11"/>
  <c r="R661" i="11" s="1"/>
  <c r="V661" i="11" s="1"/>
  <c r="M659" i="11"/>
  <c r="M668" i="11"/>
  <c r="M664" i="11"/>
  <c r="Q633" i="11"/>
  <c r="R633" i="11" s="1"/>
  <c r="V633" i="11" s="1"/>
  <c r="N633" i="11"/>
  <c r="M633" i="11"/>
  <c r="L633" i="11" s="1"/>
  <c r="U633" i="11" s="1"/>
  <c r="N509" i="11"/>
  <c r="Q507" i="11"/>
  <c r="R507" i="11" s="1"/>
  <c r="V507" i="11" s="1"/>
  <c r="N506" i="11"/>
  <c r="Q503" i="11"/>
  <c r="R503" i="11" s="1"/>
  <c r="V503" i="11" s="1"/>
  <c r="N502" i="11"/>
  <c r="Q499" i="11"/>
  <c r="R499" i="11" s="1"/>
  <c r="V499" i="11" s="1"/>
  <c r="N498" i="11"/>
  <c r="M509" i="11"/>
  <c r="M506" i="11"/>
  <c r="M502" i="11"/>
  <c r="M498" i="11"/>
  <c r="Q508" i="11"/>
  <c r="R508" i="11" s="1"/>
  <c r="V508" i="11" s="1"/>
  <c r="N507" i="11"/>
  <c r="Q504" i="11"/>
  <c r="R504" i="11" s="1"/>
  <c r="V504" i="11" s="1"/>
  <c r="N503" i="11"/>
  <c r="Q500" i="11"/>
  <c r="R500" i="11" s="1"/>
  <c r="V500" i="11" s="1"/>
  <c r="N499" i="11"/>
  <c r="M507" i="11"/>
  <c r="M503" i="11"/>
  <c r="M499" i="11"/>
  <c r="Q496" i="11"/>
  <c r="R496" i="11" s="1"/>
  <c r="V496" i="11" s="1"/>
  <c r="N508" i="11"/>
  <c r="Q505" i="11"/>
  <c r="R505" i="11" s="1"/>
  <c r="V505" i="11" s="1"/>
  <c r="N504" i="11"/>
  <c r="Q501" i="11"/>
  <c r="R501" i="11" s="1"/>
  <c r="V501" i="11" s="1"/>
  <c r="N500" i="11"/>
  <c r="M508" i="11"/>
  <c r="M504" i="11"/>
  <c r="M500" i="11"/>
  <c r="Q509" i="11"/>
  <c r="R509" i="11" s="1"/>
  <c r="V509" i="11" s="1"/>
  <c r="N496" i="11"/>
  <c r="Q506" i="11"/>
  <c r="R506" i="11" s="1"/>
  <c r="V506" i="11" s="1"/>
  <c r="N505" i="11"/>
  <c r="Q502" i="11"/>
  <c r="R502" i="11" s="1"/>
  <c r="V502" i="11" s="1"/>
  <c r="N501" i="11"/>
  <c r="Q498" i="11"/>
  <c r="R498" i="11" s="1"/>
  <c r="V498" i="11" s="1"/>
  <c r="M496" i="11"/>
  <c r="M505" i="11"/>
  <c r="M501" i="11"/>
  <c r="N421" i="11"/>
  <c r="N418" i="11"/>
  <c r="N414" i="11"/>
  <c r="N410" i="11"/>
  <c r="N419" i="11"/>
  <c r="N415" i="11"/>
  <c r="N411" i="11"/>
  <c r="N420" i="11"/>
  <c r="N416" i="11"/>
  <c r="N412" i="11"/>
  <c r="N408" i="11"/>
  <c r="N417" i="11"/>
  <c r="N413" i="11"/>
  <c r="N395" i="11"/>
  <c r="N392" i="11"/>
  <c r="N388" i="11"/>
  <c r="N384" i="11"/>
  <c r="N393" i="11"/>
  <c r="N389" i="11"/>
  <c r="N385" i="11"/>
  <c r="N394" i="11"/>
  <c r="N390" i="11"/>
  <c r="N386" i="11"/>
  <c r="N382" i="11"/>
  <c r="N391" i="11"/>
  <c r="N387" i="11"/>
  <c r="N360" i="11"/>
  <c r="N364" i="11"/>
  <c r="N368" i="11"/>
  <c r="N359" i="11"/>
  <c r="N363" i="11"/>
  <c r="N367" i="11"/>
  <c r="N358" i="11"/>
  <c r="N362" i="11"/>
  <c r="N366" i="11"/>
  <c r="N369" i="11"/>
  <c r="N361" i="11"/>
  <c r="N365" i="11"/>
  <c r="N356" i="11"/>
  <c r="N343" i="11"/>
  <c r="N340" i="11"/>
  <c r="N336" i="11"/>
  <c r="N332" i="11"/>
  <c r="N341" i="11"/>
  <c r="N337" i="11"/>
  <c r="N333" i="11"/>
  <c r="N342" i="11"/>
  <c r="N338" i="11"/>
  <c r="N334" i="11"/>
  <c r="N330" i="11"/>
  <c r="N339" i="11"/>
  <c r="N335" i="11"/>
  <c r="G736" i="11"/>
  <c r="G315" i="11"/>
  <c r="G737" i="11"/>
  <c r="G316" i="11"/>
  <c r="G735" i="11"/>
  <c r="G314" i="11"/>
  <c r="G734" i="11"/>
  <c r="G313" i="11"/>
  <c r="G733" i="11"/>
  <c r="G312" i="11"/>
  <c r="G732" i="11"/>
  <c r="G311" i="11"/>
  <c r="G731" i="11"/>
  <c r="G310" i="11"/>
  <c r="G730" i="11"/>
  <c r="G309" i="11"/>
  <c r="G729" i="11"/>
  <c r="G308" i="11"/>
  <c r="G728" i="11"/>
  <c r="G307" i="11"/>
  <c r="G727" i="11"/>
  <c r="G306" i="11"/>
  <c r="G738" i="11"/>
  <c r="G304" i="11"/>
  <c r="N317" i="11"/>
  <c r="Q315" i="11"/>
  <c r="R315" i="11" s="1"/>
  <c r="V315" i="11" s="1"/>
  <c r="N314" i="11"/>
  <c r="Q311" i="11"/>
  <c r="R311" i="11" s="1"/>
  <c r="V311" i="11" s="1"/>
  <c r="N310" i="11"/>
  <c r="Q307" i="11"/>
  <c r="R307" i="11" s="1"/>
  <c r="V307" i="11" s="1"/>
  <c r="N306" i="11"/>
  <c r="M317" i="11"/>
  <c r="M314" i="11"/>
  <c r="M310" i="11"/>
  <c r="M306" i="11"/>
  <c r="Q316" i="11"/>
  <c r="R316" i="11" s="1"/>
  <c r="V316" i="11" s="1"/>
  <c r="N315" i="11"/>
  <c r="Q312" i="11"/>
  <c r="R312" i="11" s="1"/>
  <c r="V312" i="11" s="1"/>
  <c r="N311" i="11"/>
  <c r="Q308" i="11"/>
  <c r="R308" i="11" s="1"/>
  <c r="V308" i="11" s="1"/>
  <c r="N307" i="11"/>
  <c r="M315" i="11"/>
  <c r="M311" i="11"/>
  <c r="M307" i="11"/>
  <c r="Q304" i="11"/>
  <c r="R304" i="11" s="1"/>
  <c r="V304" i="11" s="1"/>
  <c r="N316" i="11"/>
  <c r="Q313" i="11"/>
  <c r="R313" i="11" s="1"/>
  <c r="V313" i="11" s="1"/>
  <c r="N312" i="11"/>
  <c r="Q309" i="11"/>
  <c r="R309" i="11" s="1"/>
  <c r="V309" i="11" s="1"/>
  <c r="N308" i="11"/>
  <c r="M316" i="11"/>
  <c r="M312" i="11"/>
  <c r="M308" i="11"/>
  <c r="Q317" i="11"/>
  <c r="R317" i="11" s="1"/>
  <c r="V317" i="11" s="1"/>
  <c r="N304" i="11"/>
  <c r="Q314" i="11"/>
  <c r="R314" i="11" s="1"/>
  <c r="V314" i="11" s="1"/>
  <c r="N313" i="11"/>
  <c r="Q310" i="11"/>
  <c r="R310" i="11" s="1"/>
  <c r="V310" i="11" s="1"/>
  <c r="N309" i="11"/>
  <c r="Q306" i="11"/>
  <c r="R306" i="11" s="1"/>
  <c r="V306" i="11" s="1"/>
  <c r="M304" i="11"/>
  <c r="M313" i="11"/>
  <c r="M309" i="11"/>
  <c r="G723" i="11"/>
  <c r="G82" i="11"/>
  <c r="G707" i="11"/>
  <c r="G76" i="11"/>
  <c r="G721" i="11"/>
  <c r="G81" i="11"/>
  <c r="G705" i="11"/>
  <c r="G75" i="11"/>
  <c r="G725" i="11"/>
  <c r="G70" i="11"/>
  <c r="G709" i="11"/>
  <c r="G77" i="11"/>
  <c r="G719" i="11"/>
  <c r="G80" i="11"/>
  <c r="G703" i="11"/>
  <c r="G74" i="11"/>
  <c r="G717" i="11"/>
  <c r="G79" i="11"/>
  <c r="G701" i="11"/>
  <c r="G73" i="11"/>
  <c r="G715" i="11"/>
  <c r="G78" i="11"/>
  <c r="G699" i="11"/>
  <c r="G72" i="11"/>
  <c r="G698" i="11"/>
  <c r="G83" i="11"/>
  <c r="N83" i="11"/>
  <c r="N80" i="11"/>
  <c r="N76" i="11"/>
  <c r="N72" i="11"/>
  <c r="N81" i="11"/>
  <c r="N77" i="11"/>
  <c r="N73" i="11"/>
  <c r="N82" i="11"/>
  <c r="N78" i="11"/>
  <c r="N74" i="11"/>
  <c r="N70" i="11"/>
  <c r="N79" i="11"/>
  <c r="N75" i="11"/>
  <c r="G685" i="11"/>
  <c r="G286" i="11"/>
  <c r="G684" i="11"/>
  <c r="G297" i="11"/>
  <c r="G675" i="11"/>
  <c r="G291" i="11"/>
  <c r="G434" i="11"/>
  <c r="G285" i="11"/>
  <c r="G673" i="11"/>
  <c r="G302" i="11"/>
  <c r="G658" i="11"/>
  <c r="G284" i="11"/>
  <c r="G676" i="11"/>
  <c r="G280" i="11"/>
  <c r="G66" i="11"/>
  <c r="G301" i="11"/>
  <c r="G683" i="11"/>
  <c r="G295" i="11"/>
  <c r="G631" i="11"/>
  <c r="G619" i="11"/>
  <c r="G67" i="11"/>
  <c r="G289" i="11"/>
  <c r="G682" i="11"/>
  <c r="G283" i="11"/>
  <c r="G65" i="11"/>
  <c r="G300" i="11"/>
  <c r="G681" i="11"/>
  <c r="G294" i="11"/>
  <c r="G68" i="11"/>
  <c r="G288" i="11"/>
  <c r="G680" i="11"/>
  <c r="G282" i="11"/>
  <c r="G740" i="11"/>
  <c r="G305" i="11"/>
  <c r="G697" i="11"/>
  <c r="G299" i="11"/>
  <c r="G679" i="11"/>
  <c r="G293" i="11"/>
  <c r="G687" i="11"/>
  <c r="G287" i="11"/>
  <c r="G678" i="11"/>
  <c r="G281" i="11"/>
  <c r="G245" i="11"/>
  <c r="G686" i="11"/>
  <c r="G298" i="11"/>
  <c r="G677" i="11"/>
  <c r="G292" i="11"/>
  <c r="N291" i="11"/>
  <c r="N288" i="11"/>
  <c r="N284" i="11"/>
  <c r="N280" i="11"/>
  <c r="N289" i="11"/>
  <c r="N285" i="11"/>
  <c r="N281" i="11"/>
  <c r="N290" i="11"/>
  <c r="N286" i="11"/>
  <c r="N282" i="11"/>
  <c r="N278" i="11"/>
  <c r="N287" i="11"/>
  <c r="N283" i="11"/>
  <c r="N294" i="11"/>
  <c r="N298" i="11"/>
  <c r="N302" i="11"/>
  <c r="N293" i="11"/>
  <c r="N297" i="11"/>
  <c r="N301" i="11"/>
  <c r="M305" i="11"/>
  <c r="N292" i="11"/>
  <c r="N296" i="11"/>
  <c r="N300" i="11"/>
  <c r="N305" i="11"/>
  <c r="N295" i="11"/>
  <c r="N299" i="11"/>
  <c r="Q305" i="11"/>
  <c r="R305" i="11" s="1"/>
  <c r="V305" i="11" s="1"/>
  <c r="G323" i="11"/>
  <c r="G262" i="11"/>
  <c r="G331" i="11"/>
  <c r="G252" i="11"/>
  <c r="G327" i="11"/>
  <c r="G264" i="11"/>
  <c r="G325" i="11"/>
  <c r="G263" i="11"/>
  <c r="N265" i="11"/>
  <c r="N262" i="11"/>
  <c r="N258" i="11"/>
  <c r="N254" i="11"/>
  <c r="N263" i="11"/>
  <c r="N259" i="11"/>
  <c r="N255" i="11"/>
  <c r="N264" i="11"/>
  <c r="N260" i="11"/>
  <c r="N256" i="11"/>
  <c r="N252" i="11"/>
  <c r="N261" i="11"/>
  <c r="N257" i="11"/>
  <c r="G253" i="11"/>
  <c r="G238" i="11"/>
  <c r="Q284" i="10"/>
  <c r="N239" i="11"/>
  <c r="N235" i="11"/>
  <c r="N231" i="11"/>
  <c r="N227" i="11"/>
  <c r="N236" i="11"/>
  <c r="N232" i="11"/>
  <c r="N228" i="11"/>
  <c r="N237" i="11"/>
  <c r="N233" i="11"/>
  <c r="N229" i="11"/>
  <c r="N238" i="11"/>
  <c r="N234" i="11"/>
  <c r="N230" i="11"/>
  <c r="G606" i="11"/>
  <c r="G212" i="11"/>
  <c r="G620" i="11"/>
  <c r="G206" i="11"/>
  <c r="G276" i="11"/>
  <c r="G200" i="11"/>
  <c r="G622" i="11"/>
  <c r="G207" i="11"/>
  <c r="G628" i="11"/>
  <c r="G210" i="11"/>
  <c r="G616" i="11"/>
  <c r="G204" i="11"/>
  <c r="G618" i="11"/>
  <c r="G205" i="11"/>
  <c r="G630" i="11"/>
  <c r="G211" i="11"/>
  <c r="G624" i="11"/>
  <c r="G208" i="11"/>
  <c r="G612" i="11"/>
  <c r="G202" i="11"/>
  <c r="G611" i="11"/>
  <c r="G213" i="11"/>
  <c r="N213" i="11"/>
  <c r="N210" i="11"/>
  <c r="N206" i="11"/>
  <c r="N202" i="11"/>
  <c r="N211" i="11"/>
  <c r="N207" i="11"/>
  <c r="N203" i="11"/>
  <c r="N212" i="11"/>
  <c r="N208" i="11"/>
  <c r="N204" i="11"/>
  <c r="N200" i="11"/>
  <c r="N209" i="11"/>
  <c r="N205" i="11"/>
  <c r="G250" i="11"/>
  <c r="G174" i="11"/>
  <c r="G240" i="11"/>
  <c r="G187" i="11"/>
  <c r="N174" i="11"/>
  <c r="N183" i="11"/>
  <c r="N179" i="11"/>
  <c r="N184" i="11"/>
  <c r="N180" i="11"/>
  <c r="N176" i="11"/>
  <c r="N185" i="11"/>
  <c r="N181" i="11"/>
  <c r="N177" i="11"/>
  <c r="N186" i="11"/>
  <c r="N182" i="11"/>
  <c r="N178" i="11"/>
  <c r="N187" i="11"/>
  <c r="Q181" i="10"/>
  <c r="N148" i="11"/>
  <c r="N157" i="11"/>
  <c r="N153" i="11"/>
  <c r="N158" i="11"/>
  <c r="N154" i="11"/>
  <c r="N150" i="11"/>
  <c r="N159" i="11"/>
  <c r="N155" i="11"/>
  <c r="N151" i="11"/>
  <c r="N160" i="11"/>
  <c r="N156" i="11"/>
  <c r="N152" i="11"/>
  <c r="N161" i="11"/>
  <c r="Q155" i="10"/>
  <c r="N122" i="11"/>
  <c r="N131" i="11"/>
  <c r="N127" i="11"/>
  <c r="N132" i="11"/>
  <c r="N128" i="11"/>
  <c r="N124" i="11"/>
  <c r="N133" i="11"/>
  <c r="N129" i="11"/>
  <c r="N125" i="11"/>
  <c r="N134" i="11"/>
  <c r="N130" i="11"/>
  <c r="N126" i="11"/>
  <c r="N135" i="11"/>
  <c r="G225" i="11"/>
  <c r="G629" i="11"/>
  <c r="G617" i="11"/>
  <c r="G605" i="11"/>
  <c r="G593" i="11"/>
  <c r="G472" i="11"/>
  <c r="G104" i="11"/>
  <c r="G37" i="11"/>
  <c r="G98" i="11"/>
  <c r="G23" i="11"/>
  <c r="G11" i="11"/>
  <c r="G449" i="11"/>
  <c r="G579" i="11"/>
  <c r="G244" i="11"/>
  <c r="G27" i="11"/>
  <c r="G102" i="11"/>
  <c r="G64" i="11"/>
  <c r="G52" i="11"/>
  <c r="G46" i="11"/>
  <c r="G445" i="11"/>
  <c r="N108" i="11"/>
  <c r="N104" i="11"/>
  <c r="N100" i="11"/>
  <c r="N105" i="11"/>
  <c r="N101" i="11"/>
  <c r="N106" i="11"/>
  <c r="N102" i="11"/>
  <c r="N98" i="11"/>
  <c r="N107" i="11"/>
  <c r="N103" i="11"/>
  <c r="N99" i="11"/>
  <c r="N97" i="11"/>
  <c r="N109" i="11"/>
  <c r="N96" i="11"/>
  <c r="N111" i="11"/>
  <c r="N110" i="11"/>
  <c r="G45" i="11"/>
  <c r="G460" i="11"/>
  <c r="Q103" i="10"/>
  <c r="N457" i="11"/>
  <c r="N466" i="11"/>
  <c r="N462" i="11"/>
  <c r="M457" i="11"/>
  <c r="M466" i="11"/>
  <c r="M462" i="11"/>
  <c r="N467" i="11"/>
  <c r="N463" i="11"/>
  <c r="N459" i="11"/>
  <c r="M467" i="11"/>
  <c r="M463" i="11"/>
  <c r="M459" i="11"/>
  <c r="N468" i="11"/>
  <c r="N464" i="11"/>
  <c r="N460" i="11"/>
  <c r="M468" i="11"/>
  <c r="M464" i="11"/>
  <c r="M460" i="11"/>
  <c r="N469" i="11"/>
  <c r="N465" i="11"/>
  <c r="N461" i="11"/>
  <c r="M469" i="11"/>
  <c r="M465" i="11"/>
  <c r="M461" i="11"/>
  <c r="N470" i="11"/>
  <c r="M470" i="11"/>
  <c r="G513" i="11"/>
  <c r="G575" i="11"/>
  <c r="Q150" i="10"/>
  <c r="Q166" i="10"/>
  <c r="G146" i="11"/>
  <c r="G193" i="11"/>
  <c r="G147" i="11"/>
  <c r="G172" i="11"/>
  <c r="G479" i="11"/>
  <c r="G592" i="11"/>
  <c r="G614" i="11"/>
  <c r="G626" i="11"/>
  <c r="G123" i="11"/>
  <c r="G604" i="11"/>
  <c r="G194" i="11"/>
  <c r="G168" i="11"/>
  <c r="G143" i="11"/>
  <c r="G118" i="11"/>
  <c r="G36" i="11"/>
  <c r="G61" i="11"/>
  <c r="G44" i="11"/>
  <c r="G406" i="11"/>
  <c r="G747" i="11"/>
  <c r="G357" i="11"/>
  <c r="G761" i="11"/>
  <c r="G345" i="11"/>
  <c r="G749" i="11"/>
  <c r="G355" i="11"/>
  <c r="G746" i="11"/>
  <c r="G380" i="11"/>
  <c r="G760" i="11"/>
  <c r="G344" i="11"/>
  <c r="G748" i="11"/>
  <c r="G576" i="11"/>
  <c r="G379" i="11"/>
  <c r="G771" i="11"/>
  <c r="G329" i="11"/>
  <c r="G759" i="11"/>
  <c r="G378" i="11"/>
  <c r="G770" i="11"/>
  <c r="G354" i="11"/>
  <c r="G758" i="11"/>
  <c r="G215" i="11"/>
  <c r="G377" i="11"/>
  <c r="G769" i="11"/>
  <c r="G353" i="11"/>
  <c r="G757" i="11"/>
  <c r="G376" i="11"/>
  <c r="G768" i="11"/>
  <c r="G352" i="11"/>
  <c r="G756" i="11"/>
  <c r="G375" i="11"/>
  <c r="G767" i="11"/>
  <c r="G351" i="11"/>
  <c r="G755" i="11"/>
  <c r="G350" i="11"/>
  <c r="G754" i="11"/>
  <c r="G373" i="11"/>
  <c r="G765" i="11"/>
  <c r="G372" i="11"/>
  <c r="G764" i="11"/>
  <c r="G348" i="11"/>
  <c r="G752" i="11"/>
  <c r="N749" i="11"/>
  <c r="M749" i="11"/>
  <c r="L749" i="11" s="1"/>
  <c r="U749" i="11" s="1"/>
  <c r="N748" i="11"/>
  <c r="M748" i="11"/>
  <c r="Q749" i="11"/>
  <c r="R749" i="11" s="1"/>
  <c r="V749" i="11" s="1"/>
  <c r="Q748" i="11"/>
  <c r="R748" i="11" s="1"/>
  <c r="V748" i="11" s="1"/>
  <c r="N775" i="11"/>
  <c r="M775" i="11"/>
  <c r="L775" i="11" s="1"/>
  <c r="U775" i="11" s="1"/>
  <c r="N774" i="11"/>
  <c r="M774" i="11"/>
  <c r="Q775" i="11"/>
  <c r="R775" i="11" s="1"/>
  <c r="V775" i="11" s="1"/>
  <c r="Q774" i="11"/>
  <c r="R774" i="11" s="1"/>
  <c r="V774" i="11" s="1"/>
  <c r="N799" i="11"/>
  <c r="M799" i="11"/>
  <c r="L799" i="11" s="1"/>
  <c r="U799" i="11" s="1"/>
  <c r="N801" i="11"/>
  <c r="M801" i="11"/>
  <c r="L801" i="11" s="1"/>
  <c r="U801" i="11" s="1"/>
  <c r="N800" i="11"/>
  <c r="M800" i="11"/>
  <c r="L800" i="11" s="1"/>
  <c r="U800" i="11" s="1"/>
  <c r="Q799" i="11"/>
  <c r="R799" i="11" s="1"/>
  <c r="V799" i="11" s="1"/>
  <c r="Q801" i="11"/>
  <c r="R801" i="11" s="1"/>
  <c r="V801" i="11" s="1"/>
  <c r="Q800" i="11"/>
  <c r="R800" i="11" s="1"/>
  <c r="V800" i="11" s="1"/>
  <c r="Q825" i="11"/>
  <c r="R825" i="11" s="1"/>
  <c r="V825" i="11" s="1"/>
  <c r="N825" i="11"/>
  <c r="M825" i="11"/>
  <c r="L825" i="11" s="1"/>
  <c r="U825" i="11" s="1"/>
  <c r="Q142" i="10"/>
  <c r="M751" i="11"/>
  <c r="Q752" i="11"/>
  <c r="R752" i="11" s="1"/>
  <c r="V752" i="11" s="1"/>
  <c r="M754" i="11"/>
  <c r="Q755" i="11"/>
  <c r="R755" i="11" s="1"/>
  <c r="V755" i="11" s="1"/>
  <c r="M757" i="11"/>
  <c r="Q758" i="11"/>
  <c r="R758" i="11" s="1"/>
  <c r="V758" i="11" s="1"/>
  <c r="M760" i="11"/>
  <c r="Q761" i="11"/>
  <c r="R761" i="11" s="1"/>
  <c r="V761" i="11" s="1"/>
  <c r="M763" i="11"/>
  <c r="Q764" i="11"/>
  <c r="R764" i="11" s="1"/>
  <c r="V764" i="11" s="1"/>
  <c r="M766" i="11"/>
  <c r="Q767" i="11"/>
  <c r="R767" i="11" s="1"/>
  <c r="V767" i="11" s="1"/>
  <c r="M769" i="11"/>
  <c r="Q770" i="11"/>
  <c r="R770" i="11" s="1"/>
  <c r="V770" i="11" s="1"/>
  <c r="Q747" i="11"/>
  <c r="R747" i="11" s="1"/>
  <c r="V747" i="11" s="1"/>
  <c r="Q776" i="11"/>
  <c r="R776" i="11" s="1"/>
  <c r="V776" i="11" s="1"/>
  <c r="M778" i="11"/>
  <c r="Q779" i="11"/>
  <c r="R779" i="11" s="1"/>
  <c r="V779" i="11" s="1"/>
  <c r="M781" i="11"/>
  <c r="Q782" i="11"/>
  <c r="R782" i="11" s="1"/>
  <c r="V782" i="11" s="1"/>
  <c r="M784" i="11"/>
  <c r="Q785" i="11"/>
  <c r="R785" i="11" s="1"/>
  <c r="V785" i="11" s="1"/>
  <c r="M787" i="11"/>
  <c r="Q788" i="11"/>
  <c r="R788" i="11" s="1"/>
  <c r="V788" i="11" s="1"/>
  <c r="N751" i="11"/>
  <c r="N754" i="11"/>
  <c r="N757" i="11"/>
  <c r="N760" i="11"/>
  <c r="N763" i="11"/>
  <c r="N766" i="11"/>
  <c r="N769" i="11"/>
  <c r="N778" i="11"/>
  <c r="N781" i="11"/>
  <c r="N784" i="11"/>
  <c r="N787" i="11"/>
  <c r="N790" i="11"/>
  <c r="N793" i="11"/>
  <c r="M750" i="11"/>
  <c r="Q751" i="11"/>
  <c r="R751" i="11" s="1"/>
  <c r="V751" i="11" s="1"/>
  <c r="M753" i="11"/>
  <c r="Q754" i="11"/>
  <c r="R754" i="11" s="1"/>
  <c r="V754" i="11" s="1"/>
  <c r="M756" i="11"/>
  <c r="Q757" i="11"/>
  <c r="R757" i="11" s="1"/>
  <c r="V757" i="11" s="1"/>
  <c r="M759" i="11"/>
  <c r="Q760" i="11"/>
  <c r="R760" i="11" s="1"/>
  <c r="V760" i="11" s="1"/>
  <c r="M762" i="11"/>
  <c r="Q763" i="11"/>
  <c r="R763" i="11" s="1"/>
  <c r="V763" i="11" s="1"/>
  <c r="M765" i="11"/>
  <c r="Q766" i="11"/>
  <c r="R766" i="11" s="1"/>
  <c r="V766" i="11" s="1"/>
  <c r="M768" i="11"/>
  <c r="Q769" i="11"/>
  <c r="R769" i="11" s="1"/>
  <c r="V769" i="11" s="1"/>
  <c r="M771" i="11"/>
  <c r="M777" i="11"/>
  <c r="Q778" i="11"/>
  <c r="R778" i="11" s="1"/>
  <c r="V778" i="11" s="1"/>
  <c r="M780" i="11"/>
  <c r="Q781" i="11"/>
  <c r="R781" i="11" s="1"/>
  <c r="V781" i="11" s="1"/>
  <c r="M783" i="11"/>
  <c r="Q784" i="11"/>
  <c r="R784" i="11" s="1"/>
  <c r="V784" i="11" s="1"/>
  <c r="M786" i="11"/>
  <c r="Q787" i="11"/>
  <c r="R787" i="11" s="1"/>
  <c r="V787" i="11" s="1"/>
  <c r="M789" i="11"/>
  <c r="Q790" i="11"/>
  <c r="R790" i="11" s="1"/>
  <c r="V790" i="11" s="1"/>
  <c r="M792" i="11"/>
  <c r="Q793" i="11"/>
  <c r="R793" i="11" s="1"/>
  <c r="V793" i="11" s="1"/>
  <c r="M795" i="11"/>
  <c r="Q796" i="11"/>
  <c r="R796" i="11" s="1"/>
  <c r="V796" i="11" s="1"/>
  <c r="N750" i="11"/>
  <c r="N753" i="11"/>
  <c r="N756" i="11"/>
  <c r="N759" i="11"/>
  <c r="N762" i="11"/>
  <c r="N765" i="11"/>
  <c r="N768" i="11"/>
  <c r="N771" i="11"/>
  <c r="N777" i="11"/>
  <c r="N780" i="11"/>
  <c r="N783" i="11"/>
  <c r="N786" i="11"/>
  <c r="N789" i="11"/>
  <c r="N792" i="11"/>
  <c r="N795" i="11"/>
  <c r="Q750" i="11"/>
  <c r="R750" i="11" s="1"/>
  <c r="V750" i="11" s="1"/>
  <c r="M752" i="11"/>
  <c r="Q753" i="11"/>
  <c r="R753" i="11" s="1"/>
  <c r="V753" i="11" s="1"/>
  <c r="M755" i="11"/>
  <c r="Q756" i="11"/>
  <c r="R756" i="11" s="1"/>
  <c r="V756" i="11" s="1"/>
  <c r="M758" i="11"/>
  <c r="Q759" i="11"/>
  <c r="R759" i="11" s="1"/>
  <c r="V759" i="11" s="1"/>
  <c r="M761" i="11"/>
  <c r="Q762" i="11"/>
  <c r="R762" i="11" s="1"/>
  <c r="V762" i="11" s="1"/>
  <c r="M764" i="11"/>
  <c r="Q765" i="11"/>
  <c r="R765" i="11" s="1"/>
  <c r="V765" i="11" s="1"/>
  <c r="M767" i="11"/>
  <c r="Q768" i="11"/>
  <c r="R768" i="11" s="1"/>
  <c r="V768" i="11" s="1"/>
  <c r="M770" i="11"/>
  <c r="Q771" i="11"/>
  <c r="R771" i="11" s="1"/>
  <c r="V771" i="11" s="1"/>
  <c r="M747" i="11"/>
  <c r="M776" i="11"/>
  <c r="Q777" i="11"/>
  <c r="R777" i="11" s="1"/>
  <c r="V777" i="11" s="1"/>
  <c r="M779" i="11"/>
  <c r="Q780" i="11"/>
  <c r="R780" i="11" s="1"/>
  <c r="V780" i="11" s="1"/>
  <c r="M782" i="11"/>
  <c r="Q783" i="11"/>
  <c r="R783" i="11" s="1"/>
  <c r="V783" i="11" s="1"/>
  <c r="M785" i="11"/>
  <c r="Q786" i="11"/>
  <c r="R786" i="11" s="1"/>
  <c r="V786" i="11" s="1"/>
  <c r="M788" i="11"/>
  <c r="Q789" i="11"/>
  <c r="R789" i="11" s="1"/>
  <c r="V789" i="11" s="1"/>
  <c r="M791" i="11"/>
  <c r="Q792" i="11"/>
  <c r="R792" i="11" s="1"/>
  <c r="V792" i="11" s="1"/>
  <c r="M794" i="11"/>
  <c r="Q795" i="11"/>
  <c r="R795" i="11" s="1"/>
  <c r="V795" i="11" s="1"/>
  <c r="M797" i="11"/>
  <c r="M803" i="11"/>
  <c r="Q804" i="11"/>
  <c r="R804" i="11" s="1"/>
  <c r="V804" i="11" s="1"/>
  <c r="M806" i="11"/>
  <c r="Q807" i="11"/>
  <c r="R807" i="11" s="1"/>
  <c r="V807" i="11" s="1"/>
  <c r="M809" i="11"/>
  <c r="Q810" i="11"/>
  <c r="R810" i="11" s="1"/>
  <c r="V810" i="11" s="1"/>
  <c r="N752" i="11"/>
  <c r="N755" i="11"/>
  <c r="N758" i="11"/>
  <c r="N761" i="11"/>
  <c r="N764" i="11"/>
  <c r="N767" i="11"/>
  <c r="N770" i="11"/>
  <c r="N747" i="11"/>
  <c r="N776" i="11"/>
  <c r="N779" i="11"/>
  <c r="N782" i="11"/>
  <c r="N785" i="11"/>
  <c r="N788" i="11"/>
  <c r="N791" i="11"/>
  <c r="N794" i="11"/>
  <c r="N797" i="11"/>
  <c r="N803" i="11"/>
  <c r="N806" i="11"/>
  <c r="N809" i="11"/>
  <c r="N812" i="11"/>
  <c r="M813" i="11"/>
  <c r="M815" i="11"/>
  <c r="Q818" i="11"/>
  <c r="R818" i="11" s="1"/>
  <c r="V818" i="11" s="1"/>
  <c r="M820" i="11"/>
  <c r="Q821" i="11"/>
  <c r="R821" i="11" s="1"/>
  <c r="V821" i="11" s="1"/>
  <c r="M823" i="11"/>
  <c r="Q830" i="11"/>
  <c r="R830" i="11" s="1"/>
  <c r="V830" i="11" s="1"/>
  <c r="M832" i="11"/>
  <c r="Q833" i="11"/>
  <c r="R833" i="11" s="1"/>
  <c r="V833" i="11" s="1"/>
  <c r="M835" i="11"/>
  <c r="Q836" i="11"/>
  <c r="R836" i="11" s="1"/>
  <c r="V836" i="11" s="1"/>
  <c r="M838" i="11"/>
  <c r="Q839" i="11"/>
  <c r="R839" i="11" s="1"/>
  <c r="V839" i="11" s="1"/>
  <c r="M841" i="11"/>
  <c r="Q842" i="11"/>
  <c r="R842" i="11" s="1"/>
  <c r="V842" i="11" s="1"/>
  <c r="M844" i="11"/>
  <c r="Q845" i="11"/>
  <c r="R845" i="11" s="1"/>
  <c r="V845" i="11" s="1"/>
  <c r="M847" i="11"/>
  <c r="Q848" i="11"/>
  <c r="R848" i="11" s="1"/>
  <c r="V848" i="11" s="1"/>
  <c r="M773" i="11"/>
  <c r="M802" i="11"/>
  <c r="M805" i="11"/>
  <c r="M808" i="11"/>
  <c r="M811" i="11"/>
  <c r="N813" i="11"/>
  <c r="N815" i="11"/>
  <c r="M817" i="11"/>
  <c r="N820" i="11"/>
  <c r="N823" i="11"/>
  <c r="N832" i="11"/>
  <c r="N835" i="11"/>
  <c r="N838" i="11"/>
  <c r="N841" i="11"/>
  <c r="N844" i="11"/>
  <c r="N847" i="11"/>
  <c r="M790" i="11"/>
  <c r="M793" i="11"/>
  <c r="N773" i="11"/>
  <c r="N802" i="11"/>
  <c r="N805" i="11"/>
  <c r="N808" i="11"/>
  <c r="N811" i="11"/>
  <c r="N817" i="11"/>
  <c r="M796" i="11"/>
  <c r="Q813" i="11"/>
  <c r="R813" i="11" s="1"/>
  <c r="V813" i="11" s="1"/>
  <c r="N796" i="11"/>
  <c r="Q773" i="11"/>
  <c r="R773" i="11" s="1"/>
  <c r="V773" i="11" s="1"/>
  <c r="Q802" i="11"/>
  <c r="R802" i="11" s="1"/>
  <c r="V802" i="11" s="1"/>
  <c r="Q805" i="11"/>
  <c r="R805" i="11" s="1"/>
  <c r="V805" i="11" s="1"/>
  <c r="Q808" i="11"/>
  <c r="R808" i="11" s="1"/>
  <c r="V808" i="11" s="1"/>
  <c r="Q811" i="11"/>
  <c r="R811" i="11" s="1"/>
  <c r="V811" i="11" s="1"/>
  <c r="Q815" i="11"/>
  <c r="R815" i="11" s="1"/>
  <c r="V815" i="11" s="1"/>
  <c r="Q817" i="11"/>
  <c r="R817" i="11" s="1"/>
  <c r="V817" i="11" s="1"/>
  <c r="M819" i="11"/>
  <c r="Q820" i="11"/>
  <c r="R820" i="11" s="1"/>
  <c r="V820" i="11" s="1"/>
  <c r="M822" i="11"/>
  <c r="Q823" i="11"/>
  <c r="R823" i="11" s="1"/>
  <c r="V823" i="11" s="1"/>
  <c r="M831" i="11"/>
  <c r="Q832" i="11"/>
  <c r="R832" i="11" s="1"/>
  <c r="V832" i="11" s="1"/>
  <c r="M834" i="11"/>
  <c r="Q835" i="11"/>
  <c r="R835" i="11" s="1"/>
  <c r="V835" i="11" s="1"/>
  <c r="M837" i="11"/>
  <c r="Q838" i="11"/>
  <c r="R838" i="11" s="1"/>
  <c r="V838" i="11" s="1"/>
  <c r="M840" i="11"/>
  <c r="Q841" i="11"/>
  <c r="R841" i="11" s="1"/>
  <c r="V841" i="11" s="1"/>
  <c r="M843" i="11"/>
  <c r="Q844" i="11"/>
  <c r="R844" i="11" s="1"/>
  <c r="V844" i="11" s="1"/>
  <c r="M846" i="11"/>
  <c r="Q847" i="11"/>
  <c r="R847" i="11" s="1"/>
  <c r="V847" i="11" s="1"/>
  <c r="M849" i="11"/>
  <c r="Q791" i="11"/>
  <c r="R791" i="11" s="1"/>
  <c r="V791" i="11" s="1"/>
  <c r="Q794" i="11"/>
  <c r="R794" i="11" s="1"/>
  <c r="V794" i="11" s="1"/>
  <c r="M814" i="11"/>
  <c r="N819" i="11"/>
  <c r="N822" i="11"/>
  <c r="N831" i="11"/>
  <c r="N834" i="11"/>
  <c r="N837" i="11"/>
  <c r="N840" i="11"/>
  <c r="N843" i="11"/>
  <c r="N846" i="11"/>
  <c r="N849" i="11"/>
  <c r="N814" i="11"/>
  <c r="M812" i="11"/>
  <c r="M816" i="11"/>
  <c r="Q797" i="11"/>
  <c r="R797" i="11" s="1"/>
  <c r="V797" i="11" s="1"/>
  <c r="Q803" i="11"/>
  <c r="R803" i="11" s="1"/>
  <c r="V803" i="11" s="1"/>
  <c r="Q806" i="11"/>
  <c r="R806" i="11" s="1"/>
  <c r="V806" i="11" s="1"/>
  <c r="Q809" i="11"/>
  <c r="R809" i="11" s="1"/>
  <c r="V809" i="11" s="1"/>
  <c r="Q814" i="11"/>
  <c r="R814" i="11" s="1"/>
  <c r="V814" i="11" s="1"/>
  <c r="N816" i="11"/>
  <c r="M818" i="11"/>
  <c r="Q819" i="11"/>
  <c r="R819" i="11" s="1"/>
  <c r="V819" i="11" s="1"/>
  <c r="M821" i="11"/>
  <c r="Q822" i="11"/>
  <c r="R822" i="11" s="1"/>
  <c r="V822" i="11" s="1"/>
  <c r="M830" i="11"/>
  <c r="Q831" i="11"/>
  <c r="R831" i="11" s="1"/>
  <c r="V831" i="11" s="1"/>
  <c r="M833" i="11"/>
  <c r="Q834" i="11"/>
  <c r="R834" i="11" s="1"/>
  <c r="V834" i="11" s="1"/>
  <c r="M836" i="11"/>
  <c r="Q837" i="11"/>
  <c r="R837" i="11" s="1"/>
  <c r="V837" i="11" s="1"/>
  <c r="M839" i="11"/>
  <c r="Q840" i="11"/>
  <c r="R840" i="11" s="1"/>
  <c r="V840" i="11" s="1"/>
  <c r="M842" i="11"/>
  <c r="Q843" i="11"/>
  <c r="R843" i="11" s="1"/>
  <c r="V843" i="11" s="1"/>
  <c r="M845" i="11"/>
  <c r="Q846" i="11"/>
  <c r="R846" i="11" s="1"/>
  <c r="V846" i="11" s="1"/>
  <c r="M848" i="11"/>
  <c r="Q849" i="11"/>
  <c r="R849" i="11" s="1"/>
  <c r="V849" i="11" s="1"/>
  <c r="M804" i="11"/>
  <c r="M807" i="11"/>
  <c r="M810" i="11"/>
  <c r="N818" i="11"/>
  <c r="N821" i="11"/>
  <c r="N830" i="11"/>
  <c r="N833" i="11"/>
  <c r="N836" i="11"/>
  <c r="N839" i="11"/>
  <c r="N842" i="11"/>
  <c r="N845" i="11"/>
  <c r="N848" i="11"/>
  <c r="N804" i="11"/>
  <c r="N807" i="11"/>
  <c r="N810" i="11"/>
  <c r="Q812" i="11"/>
  <c r="R812" i="11" s="1"/>
  <c r="V812" i="11" s="1"/>
  <c r="Q816" i="11"/>
  <c r="R816" i="11" s="1"/>
  <c r="V816" i="11" s="1"/>
  <c r="Q144" i="10"/>
  <c r="G266" i="11"/>
  <c r="Q148" i="10"/>
  <c r="G574" i="11"/>
  <c r="G32" i="11"/>
  <c r="G57" i="11"/>
  <c r="G43" i="11"/>
  <c r="G17" i="11"/>
  <c r="G5" i="11"/>
  <c r="G453" i="11"/>
  <c r="G441" i="11"/>
  <c r="Q140" i="10"/>
  <c r="Q246" i="10"/>
  <c r="Q170" i="10"/>
  <c r="G654" i="11"/>
  <c r="G642" i="11"/>
  <c r="G273" i="11"/>
  <c r="G217" i="11"/>
  <c r="G456" i="11"/>
  <c r="G166" i="11"/>
  <c r="Q249" i="10"/>
  <c r="G19" i="11"/>
  <c r="G7" i="11"/>
  <c r="G452" i="11"/>
  <c r="G440" i="11"/>
  <c r="Q182" i="10"/>
  <c r="G653" i="11"/>
  <c r="G641" i="11"/>
  <c r="G577" i="11"/>
  <c r="G169" i="11"/>
  <c r="G144" i="11"/>
  <c r="G119" i="11"/>
  <c r="G481" i="11"/>
  <c r="G34" i="11"/>
  <c r="G59" i="11"/>
  <c r="G18" i="11"/>
  <c r="G6" i="11"/>
  <c r="G446" i="11"/>
  <c r="G141" i="11"/>
  <c r="G116" i="11"/>
  <c r="G163" i="11"/>
  <c r="G138" i="11"/>
  <c r="G113" i="11"/>
  <c r="Q410" i="10"/>
  <c r="Q590" i="10"/>
  <c r="Q405" i="10"/>
  <c r="Q580" i="10"/>
  <c r="Q393" i="10"/>
  <c r="Q556" i="10"/>
  <c r="Q399" i="10"/>
  <c r="Q568" i="10"/>
  <c r="Q381" i="10"/>
  <c r="Q532" i="10"/>
  <c r="Q363" i="10"/>
  <c r="Q507" i="10"/>
  <c r="Q357" i="10"/>
  <c r="Q488" i="10"/>
  <c r="Q427" i="10"/>
  <c r="Q779" i="10"/>
  <c r="Q398" i="10"/>
  <c r="Q566" i="10"/>
  <c r="Q375" i="10"/>
  <c r="Q520" i="10"/>
  <c r="Q368" i="10"/>
  <c r="Q512" i="10"/>
  <c r="Q435" i="10"/>
  <c r="Q787" i="10"/>
  <c r="Q109" i="10"/>
  <c r="Q409" i="10"/>
  <c r="Q588" i="10"/>
  <c r="Q404" i="10"/>
  <c r="Q578" i="10"/>
  <c r="Q392" i="10"/>
  <c r="Q549" i="10"/>
  <c r="Q374" i="10"/>
  <c r="Q518" i="10"/>
  <c r="Q380" i="10"/>
  <c r="Q530" i="10"/>
  <c r="Q362" i="10"/>
  <c r="Q506" i="10"/>
  <c r="Q156" i="10"/>
  <c r="Q408" i="10"/>
  <c r="Q586" i="10"/>
  <c r="Q385" i="10"/>
  <c r="Q540" i="10"/>
  <c r="Q366" i="10"/>
  <c r="Q510" i="10"/>
  <c r="Q361" i="10"/>
  <c r="Q505" i="10"/>
  <c r="Q403" i="10"/>
  <c r="Q576" i="10"/>
  <c r="Q367" i="10"/>
  <c r="Q511" i="10"/>
  <c r="Q402" i="10"/>
  <c r="Q574" i="10"/>
  <c r="Q396" i="10"/>
  <c r="Q562" i="10"/>
  <c r="Q390" i="10"/>
  <c r="Q547" i="10"/>
  <c r="Q378" i="10"/>
  <c r="Q526" i="10"/>
  <c r="Q372" i="10"/>
  <c r="Q516" i="10"/>
  <c r="Q397" i="10"/>
  <c r="Q564" i="10"/>
  <c r="Q407" i="10"/>
  <c r="Q584" i="10"/>
  <c r="Q384" i="10"/>
  <c r="Q538" i="10"/>
  <c r="Q373" i="10"/>
  <c r="Q517" i="10"/>
  <c r="Q355" i="10"/>
  <c r="Q486" i="10"/>
  <c r="Q441" i="10"/>
  <c r="Q791" i="10"/>
  <c r="Q400" i="10"/>
  <c r="Q570" i="10"/>
  <c r="Q401" i="10"/>
  <c r="Q572" i="10"/>
  <c r="Q395" i="10"/>
  <c r="Q560" i="10"/>
  <c r="Q389" i="10"/>
  <c r="Q546" i="10"/>
  <c r="Q371" i="10"/>
  <c r="Q515" i="10"/>
  <c r="Q365" i="10"/>
  <c r="Q509" i="10"/>
  <c r="Q379" i="10"/>
  <c r="Q528" i="10"/>
  <c r="Q383" i="10"/>
  <c r="Q536" i="10"/>
  <c r="Q377" i="10"/>
  <c r="Q524" i="10"/>
  <c r="Q391" i="10"/>
  <c r="Q548" i="10"/>
  <c r="Q440" i="10"/>
  <c r="Q790" i="10"/>
  <c r="Q406" i="10"/>
  <c r="Q582" i="10"/>
  <c r="Q412" i="10"/>
  <c r="Q594" i="10"/>
  <c r="Q370" i="10"/>
  <c r="Q514" i="10"/>
  <c r="Q360" i="10"/>
  <c r="Q491" i="10"/>
  <c r="Q411" i="10"/>
  <c r="Q592" i="10"/>
  <c r="Q394" i="10"/>
  <c r="Q558" i="10"/>
  <c r="Q388" i="10"/>
  <c r="Q545" i="10"/>
  <c r="Q382" i="10"/>
  <c r="Q534" i="10"/>
  <c r="Q364" i="10"/>
  <c r="Q508" i="10"/>
  <c r="Q359" i="10"/>
  <c r="Q490" i="10"/>
  <c r="Q386" i="10"/>
  <c r="Q542" i="10"/>
  <c r="Q439" i="10"/>
  <c r="Q789" i="10"/>
  <c r="Q387" i="10"/>
  <c r="Q544" i="10"/>
  <c r="Q376" i="10"/>
  <c r="Q522" i="10"/>
  <c r="Q369" i="10"/>
  <c r="Q513" i="10"/>
  <c r="Q433" i="10"/>
  <c r="Q785" i="10"/>
  <c r="Q176" i="10"/>
  <c r="Q130" i="10"/>
  <c r="Q358" i="10"/>
  <c r="G585" i="11"/>
  <c r="G219" i="11"/>
  <c r="G171" i="11"/>
  <c r="G30" i="11"/>
  <c r="G55" i="11"/>
  <c r="G49" i="11"/>
  <c r="G21" i="11"/>
  <c r="G9" i="11"/>
  <c r="G578" i="11"/>
  <c r="G218" i="11"/>
  <c r="G170" i="11"/>
  <c r="G145" i="11"/>
  <c r="G95" i="11"/>
  <c r="G120" i="11"/>
  <c r="G458" i="11"/>
  <c r="G63" i="11"/>
  <c r="G42" i="11"/>
  <c r="G25" i="11"/>
  <c r="G13" i="11"/>
  <c r="G447" i="11"/>
  <c r="Q245" i="10"/>
  <c r="G652" i="11"/>
  <c r="G640" i="11"/>
  <c r="Q289" i="10"/>
  <c r="Q295" i="10"/>
  <c r="Q168" i="10"/>
  <c r="Q162" i="10"/>
  <c r="Q100" i="10"/>
  <c r="G84" i="11"/>
  <c r="G651" i="11"/>
  <c r="G639" i="11"/>
  <c r="G270" i="11"/>
  <c r="Q180" i="10"/>
  <c r="Q128" i="10"/>
  <c r="Q138" i="10"/>
  <c r="G28" i="11"/>
  <c r="G53" i="11"/>
  <c r="G39" i="11"/>
  <c r="G51" i="11"/>
  <c r="G22" i="11"/>
  <c r="G10" i="11"/>
  <c r="G444" i="11"/>
  <c r="G93" i="11"/>
  <c r="G648" i="11"/>
  <c r="G636" i="11"/>
  <c r="G267" i="11"/>
  <c r="Q184" i="10"/>
  <c r="G597" i="11"/>
  <c r="G476" i="11"/>
  <c r="Q293" i="10"/>
  <c r="Q102" i="10"/>
  <c r="G223" i="11"/>
  <c r="G197" i="11"/>
  <c r="G198" i="11"/>
  <c r="G596" i="11"/>
  <c r="G584" i="11"/>
  <c r="G475" i="11"/>
  <c r="Q164" i="10"/>
  <c r="G220" i="11"/>
  <c r="G195" i="11"/>
  <c r="Q75" i="10"/>
  <c r="Q37" i="10"/>
  <c r="Q322" i="10"/>
  <c r="Q414" i="10"/>
  <c r="Q252" i="10"/>
  <c r="Q299" i="10"/>
  <c r="Q346" i="10"/>
  <c r="Q462" i="10"/>
  <c r="Q340" i="10"/>
  <c r="Q450" i="10"/>
  <c r="Q122" i="10"/>
  <c r="Q134" i="10"/>
  <c r="Q83" i="10"/>
  <c r="Q45" i="10"/>
  <c r="Q87" i="10"/>
  <c r="Q49" i="10"/>
  <c r="Q239" i="10"/>
  <c r="Q274" i="10"/>
  <c r="Q233" i="10"/>
  <c r="Q262" i="10"/>
  <c r="Q188" i="10"/>
  <c r="Q198" i="10"/>
  <c r="Q339" i="10"/>
  <c r="Q448" i="10"/>
  <c r="Q95" i="10"/>
  <c r="Q57" i="10"/>
  <c r="Q99" i="10"/>
  <c r="G319" i="11"/>
  <c r="G86" i="11"/>
  <c r="G272" i="11"/>
  <c r="Q68" i="10"/>
  <c r="Q30" i="10"/>
  <c r="Q89" i="10"/>
  <c r="Q51" i="10"/>
  <c r="Q74" i="10"/>
  <c r="Q36" i="10"/>
  <c r="Q327" i="10"/>
  <c r="Q424" i="10"/>
  <c r="Q251" i="10"/>
  <c r="Q297" i="10"/>
  <c r="Q345" i="10"/>
  <c r="Q460" i="10"/>
  <c r="Q78" i="10"/>
  <c r="Q40" i="10"/>
  <c r="Q88" i="10"/>
  <c r="Q50" i="10"/>
  <c r="G318" i="11"/>
  <c r="G85" i="11"/>
  <c r="G271" i="11"/>
  <c r="Q67" i="10"/>
  <c r="Q29" i="10"/>
  <c r="Q61" i="10"/>
  <c r="Q23" i="10"/>
  <c r="Q351" i="10"/>
  <c r="Q482" i="10"/>
  <c r="Q238" i="10"/>
  <c r="Q272" i="10"/>
  <c r="Q232" i="10"/>
  <c r="Q260" i="10"/>
  <c r="Q187" i="10"/>
  <c r="Q196" i="10"/>
  <c r="Q338" i="10"/>
  <c r="Q446" i="10"/>
  <c r="Q436" i="10"/>
  <c r="Q90" i="10"/>
  <c r="Q52" i="10"/>
  <c r="G603" i="11"/>
  <c r="G590" i="11"/>
  <c r="G191" i="11"/>
  <c r="G601" i="11"/>
  <c r="G589" i="11"/>
  <c r="G480" i="11"/>
  <c r="Q73" i="10"/>
  <c r="Q35" i="10"/>
  <c r="Q426" i="10"/>
  <c r="Q326" i="10"/>
  <c r="Q422" i="10"/>
  <c r="Q250" i="10"/>
  <c r="Q256" i="10"/>
  <c r="Q307" i="10"/>
  <c r="Q174" i="10"/>
  <c r="Q344" i="10"/>
  <c r="Q458" i="10"/>
  <c r="Q126" i="10"/>
  <c r="Q82" i="10"/>
  <c r="Q44" i="10"/>
  <c r="G328" i="11"/>
  <c r="G71" i="11"/>
  <c r="G650" i="11"/>
  <c r="G638" i="11"/>
  <c r="G269" i="11"/>
  <c r="G602" i="11"/>
  <c r="G190" i="11"/>
  <c r="G600" i="11"/>
  <c r="G588" i="11"/>
  <c r="G167" i="11"/>
  <c r="G142" i="11"/>
  <c r="G117" i="11"/>
  <c r="G573" i="11"/>
  <c r="Q66" i="10"/>
  <c r="Q28" i="10"/>
  <c r="Q60" i="10"/>
  <c r="Q22" i="10"/>
  <c r="Q356" i="10"/>
  <c r="Q350" i="10"/>
  <c r="Q481" i="10"/>
  <c r="Q244" i="10"/>
  <c r="Q309" i="10"/>
  <c r="Q237" i="10"/>
  <c r="Q270" i="10"/>
  <c r="Q243" i="10"/>
  <c r="Q282" i="10"/>
  <c r="Q229" i="10"/>
  <c r="Q257" i="10"/>
  <c r="Q186" i="10"/>
  <c r="Q194" i="10"/>
  <c r="Q337" i="10"/>
  <c r="Q444" i="10"/>
  <c r="Q434" i="10"/>
  <c r="Q113" i="10"/>
  <c r="Q94" i="10"/>
  <c r="Q56" i="10"/>
  <c r="Q101" i="10"/>
  <c r="G69" i="11"/>
  <c r="G94" i="11"/>
  <c r="G279" i="11"/>
  <c r="G649" i="11"/>
  <c r="G637" i="11"/>
  <c r="G268" i="11"/>
  <c r="G192" i="11"/>
  <c r="G216" i="11"/>
  <c r="G226" i="11"/>
  <c r="G214" i="11"/>
  <c r="G189" i="11"/>
  <c r="G599" i="11"/>
  <c r="G587" i="11"/>
  <c r="G478" i="11"/>
  <c r="G29" i="11"/>
  <c r="G54" i="11"/>
  <c r="G40" i="11"/>
  <c r="G15" i="11"/>
  <c r="G3" i="11"/>
  <c r="G455" i="11"/>
  <c r="G443" i="11"/>
  <c r="Q152" i="10"/>
  <c r="Q72" i="10"/>
  <c r="Q34" i="10"/>
  <c r="Q331" i="10"/>
  <c r="Q432" i="10"/>
  <c r="Q325" i="10"/>
  <c r="Q420" i="10"/>
  <c r="Q231" i="10"/>
  <c r="Q258" i="10"/>
  <c r="Q191" i="10"/>
  <c r="Q204" i="10"/>
  <c r="Q154" i="10"/>
  <c r="Q343" i="10"/>
  <c r="Q456" i="10"/>
  <c r="Q120" i="10"/>
  <c r="Q127" i="10"/>
  <c r="Q132" i="10"/>
  <c r="Q85" i="10"/>
  <c r="Q47" i="10"/>
  <c r="Q62" i="10"/>
  <c r="Q24" i="10"/>
  <c r="Q352" i="10"/>
  <c r="Q483" i="10"/>
  <c r="G591" i="11"/>
  <c r="G201" i="11"/>
  <c r="G188" i="11"/>
  <c r="G598" i="11"/>
  <c r="G586" i="11"/>
  <c r="G165" i="11"/>
  <c r="G140" i="11"/>
  <c r="G115" i="11"/>
  <c r="G477" i="11"/>
  <c r="G31" i="11"/>
  <c r="G56" i="11"/>
  <c r="G41" i="11"/>
  <c r="G16" i="11"/>
  <c r="G4" i="11"/>
  <c r="G454" i="11"/>
  <c r="G442" i="11"/>
  <c r="Q146" i="10"/>
  <c r="Q65" i="10"/>
  <c r="Q27" i="10"/>
  <c r="Q349" i="10"/>
  <c r="Q480" i="10"/>
  <c r="Q330" i="10"/>
  <c r="Q430" i="10"/>
  <c r="Q287" i="10"/>
  <c r="Q255" i="10"/>
  <c r="Q305" i="10"/>
  <c r="Q242" i="10"/>
  <c r="Q280" i="10"/>
  <c r="Q236" i="10"/>
  <c r="Q268" i="10"/>
  <c r="Q185" i="10"/>
  <c r="Q192" i="10"/>
  <c r="Q160" i="10"/>
  <c r="Q336" i="10"/>
  <c r="Q442" i="10"/>
  <c r="Q115" i="10"/>
  <c r="Q97" i="10"/>
  <c r="Q59" i="10"/>
  <c r="Q79" i="10"/>
  <c r="Q41" i="10"/>
  <c r="G92" i="11"/>
  <c r="Q334" i="10"/>
  <c r="Q438" i="10"/>
  <c r="G164" i="11"/>
  <c r="G139" i="11"/>
  <c r="G114" i="11"/>
  <c r="Q77" i="10"/>
  <c r="Q39" i="10"/>
  <c r="Q71" i="10"/>
  <c r="Q33" i="10"/>
  <c r="Q348" i="10"/>
  <c r="Q479" i="10"/>
  <c r="Q354" i="10"/>
  <c r="Q485" i="10"/>
  <c r="Q324" i="10"/>
  <c r="Q418" i="10"/>
  <c r="Q254" i="10"/>
  <c r="Q303" i="10"/>
  <c r="Q248" i="10"/>
  <c r="Q172" i="10"/>
  <c r="Q342" i="10"/>
  <c r="Q454" i="10"/>
  <c r="Q91" i="10"/>
  <c r="Q53" i="10"/>
  <c r="Q81" i="10"/>
  <c r="Q43" i="10"/>
  <c r="Q86" i="10"/>
  <c r="Q48" i="10"/>
  <c r="G91" i="11"/>
  <c r="G632" i="11"/>
  <c r="G646" i="11"/>
  <c r="G634" i="11"/>
  <c r="Q347" i="10"/>
  <c r="Q464" i="10"/>
  <c r="Q117" i="10"/>
  <c r="Q93" i="10"/>
  <c r="Q55" i="10"/>
  <c r="Q98" i="10"/>
  <c r="G90" i="11"/>
  <c r="G657" i="11"/>
  <c r="G645" i="11"/>
  <c r="G251" i="11"/>
  <c r="Q64" i="10"/>
  <c r="Q26" i="10"/>
  <c r="Q241" i="10"/>
  <c r="Q278" i="10"/>
  <c r="Q235" i="10"/>
  <c r="Q266" i="10"/>
  <c r="Q190" i="10"/>
  <c r="Q202" i="10"/>
  <c r="G222" i="11"/>
  <c r="G173" i="11"/>
  <c r="G581" i="11"/>
  <c r="G595" i="11"/>
  <c r="G583" i="11"/>
  <c r="G474" i="11"/>
  <c r="G35" i="11"/>
  <c r="G60" i="11"/>
  <c r="G48" i="11"/>
  <c r="G20" i="11"/>
  <c r="G8" i="11"/>
  <c r="G451" i="11"/>
  <c r="G439" i="11"/>
  <c r="Q76" i="10"/>
  <c r="Q38" i="10"/>
  <c r="Q70" i="10"/>
  <c r="Q32" i="10"/>
  <c r="Q353" i="10"/>
  <c r="Q484" i="10"/>
  <c r="Q329" i="10"/>
  <c r="Q428" i="10"/>
  <c r="Q323" i="10"/>
  <c r="Q416" i="10"/>
  <c r="Q253" i="10"/>
  <c r="Q301" i="10"/>
  <c r="Q247" i="10"/>
  <c r="Q341" i="10"/>
  <c r="Q452" i="10"/>
  <c r="Q124" i="10"/>
  <c r="Q104" i="10"/>
  <c r="Q136" i="10"/>
  <c r="Q84" i="10"/>
  <c r="Q46" i="10"/>
  <c r="Q80" i="10"/>
  <c r="Q42" i="10"/>
  <c r="G322" i="11"/>
  <c r="G89" i="11"/>
  <c r="G656" i="11"/>
  <c r="G644" i="11"/>
  <c r="G221" i="11"/>
  <c r="G196" i="11"/>
  <c r="G580" i="11"/>
  <c r="G594" i="11"/>
  <c r="G582" i="11"/>
  <c r="G149" i="11"/>
  <c r="G136" i="11"/>
  <c r="G33" i="11"/>
  <c r="G58" i="11"/>
  <c r="G47" i="11"/>
  <c r="G24" i="11"/>
  <c r="G12" i="11"/>
  <c r="G450" i="11"/>
  <c r="G438" i="11"/>
  <c r="Q69" i="10"/>
  <c r="Q31" i="10"/>
  <c r="Q63" i="10"/>
  <c r="Q25" i="10"/>
  <c r="Q291" i="10"/>
  <c r="Q285" i="10"/>
  <c r="Q240" i="10"/>
  <c r="Q276" i="10"/>
  <c r="Q234" i="10"/>
  <c r="Q264" i="10"/>
  <c r="Q189" i="10"/>
  <c r="Q200" i="10"/>
  <c r="Q158" i="10"/>
  <c r="Q106" i="10"/>
  <c r="Q111" i="10"/>
  <c r="Q96" i="10"/>
  <c r="Q58" i="10"/>
  <c r="Q92" i="10"/>
  <c r="Q54" i="10"/>
  <c r="G321" i="11"/>
  <c r="G88" i="11"/>
  <c r="G655" i="11"/>
  <c r="G643" i="11"/>
  <c r="O95" i="7"/>
  <c r="J15" i="9"/>
  <c r="J18" i="9"/>
  <c r="J46" i="9"/>
  <c r="J20" i="9"/>
  <c r="J102" i="9"/>
  <c r="J105" i="9"/>
  <c r="J27" i="9"/>
  <c r="J26" i="9"/>
  <c r="J34" i="9"/>
  <c r="J33" i="9"/>
  <c r="J19" i="9"/>
  <c r="J10" i="9"/>
  <c r="J14" i="9"/>
  <c r="J21" i="9"/>
  <c r="J24" i="9"/>
  <c r="N137" i="2"/>
  <c r="N128" i="2"/>
  <c r="N120" i="2"/>
  <c r="N136" i="2"/>
  <c r="N119" i="2"/>
  <c r="N127" i="2"/>
  <c r="N143" i="2"/>
  <c r="N125" i="2"/>
  <c r="N134" i="2"/>
  <c r="N142" i="2"/>
  <c r="N140" i="2"/>
  <c r="N132" i="2"/>
  <c r="N123" i="2"/>
  <c r="N139" i="2"/>
  <c r="N131" i="2"/>
  <c r="N130" i="2"/>
  <c r="N122" i="2"/>
  <c r="Q683" i="11"/>
  <c r="R683" i="11" s="1"/>
  <c r="V683" i="11" s="1"/>
  <c r="Q679" i="11"/>
  <c r="R679" i="11" s="1"/>
  <c r="V679" i="11" s="1"/>
  <c r="Q675" i="11"/>
  <c r="R675" i="11" s="1"/>
  <c r="V675" i="11" s="1"/>
  <c r="Q657" i="11"/>
  <c r="R657" i="11" s="1"/>
  <c r="V657" i="11" s="1"/>
  <c r="Q653" i="11"/>
  <c r="R653" i="11" s="1"/>
  <c r="V653" i="11" s="1"/>
  <c r="Q649" i="11"/>
  <c r="R649" i="11" s="1"/>
  <c r="V649" i="11" s="1"/>
  <c r="Q645" i="11"/>
  <c r="R645" i="11" s="1"/>
  <c r="V645" i="11" s="1"/>
  <c r="Q641" i="11"/>
  <c r="R641" i="11" s="1"/>
  <c r="V641" i="11" s="1"/>
  <c r="Q637" i="11"/>
  <c r="R637" i="11" s="1"/>
  <c r="V637" i="11" s="1"/>
  <c r="Q631" i="11"/>
  <c r="R631" i="11" s="1"/>
  <c r="V631" i="11" s="1"/>
  <c r="Q627" i="11"/>
  <c r="R627" i="11" s="1"/>
  <c r="V627" i="11" s="1"/>
  <c r="Q623" i="11"/>
  <c r="R623" i="11" s="1"/>
  <c r="V623" i="11" s="1"/>
  <c r="Q619" i="11"/>
  <c r="R619" i="11" s="1"/>
  <c r="V619" i="11" s="1"/>
  <c r="Q615" i="11"/>
  <c r="R615" i="11" s="1"/>
  <c r="V615" i="11" s="1"/>
  <c r="Q611" i="11"/>
  <c r="R611" i="11" s="1"/>
  <c r="V611" i="11" s="1"/>
  <c r="Q572" i="11"/>
  <c r="R572" i="11" s="1"/>
  <c r="V572" i="11" s="1"/>
  <c r="Q568" i="11"/>
  <c r="R568" i="11" s="1"/>
  <c r="V568" i="11" s="1"/>
  <c r="Q564" i="11"/>
  <c r="R564" i="11" s="1"/>
  <c r="V564" i="11" s="1"/>
  <c r="Q546" i="11"/>
  <c r="R546" i="11" s="1"/>
  <c r="V546" i="11" s="1"/>
  <c r="Q542" i="11"/>
  <c r="R542" i="11" s="1"/>
  <c r="V542" i="11" s="1"/>
  <c r="Q538" i="11"/>
  <c r="R538" i="11" s="1"/>
  <c r="V538" i="11" s="1"/>
  <c r="Q520" i="11"/>
  <c r="R520" i="11" s="1"/>
  <c r="V520" i="11" s="1"/>
  <c r="Q516" i="11"/>
  <c r="R516" i="11" s="1"/>
  <c r="V516" i="11" s="1"/>
  <c r="Q512" i="11"/>
  <c r="R512" i="11" s="1"/>
  <c r="V512" i="11" s="1"/>
  <c r="Q494" i="11"/>
  <c r="R494" i="11" s="1"/>
  <c r="V494" i="11" s="1"/>
  <c r="Q490" i="11"/>
  <c r="R490" i="11" s="1"/>
  <c r="V490" i="11" s="1"/>
  <c r="Q486" i="11"/>
  <c r="R486" i="11" s="1"/>
  <c r="V486" i="11" s="1"/>
  <c r="N331" i="11"/>
  <c r="N319" i="11"/>
  <c r="N267" i="11"/>
  <c r="N215" i="11"/>
  <c r="N145" i="11"/>
  <c r="N89" i="11"/>
  <c r="N64" i="11"/>
  <c r="N683" i="11"/>
  <c r="N679" i="11"/>
  <c r="N675" i="11"/>
  <c r="N657" i="11"/>
  <c r="N653" i="11"/>
  <c r="N649" i="11"/>
  <c r="N645" i="11"/>
  <c r="N641" i="11"/>
  <c r="N637" i="11"/>
  <c r="N631" i="11"/>
  <c r="N627" i="11"/>
  <c r="N623" i="11"/>
  <c r="N619" i="11"/>
  <c r="N615" i="11"/>
  <c r="N611" i="11"/>
  <c r="N572" i="11"/>
  <c r="N568" i="11"/>
  <c r="N564" i="11"/>
  <c r="N546" i="11"/>
  <c r="N542" i="11"/>
  <c r="N538" i="11"/>
  <c r="N520" i="11"/>
  <c r="N516" i="11"/>
  <c r="N512" i="11"/>
  <c r="N494" i="11"/>
  <c r="N490" i="11"/>
  <c r="N486" i="11"/>
  <c r="N481" i="11"/>
  <c r="N477" i="11"/>
  <c r="M683" i="11"/>
  <c r="L683" i="11" s="1"/>
  <c r="U683" i="11" s="1"/>
  <c r="M679" i="11"/>
  <c r="L679" i="11" s="1"/>
  <c r="U679" i="11" s="1"/>
  <c r="M675" i="11"/>
  <c r="L675" i="11" s="1"/>
  <c r="U675" i="11" s="1"/>
  <c r="M657" i="11"/>
  <c r="L657" i="11" s="1"/>
  <c r="U657" i="11" s="1"/>
  <c r="M653" i="11"/>
  <c r="L653" i="11" s="1"/>
  <c r="U653" i="11" s="1"/>
  <c r="M649" i="11"/>
  <c r="L649" i="11" s="1"/>
  <c r="U649" i="11" s="1"/>
  <c r="M645" i="11"/>
  <c r="L645" i="11" s="1"/>
  <c r="U645" i="11" s="1"/>
  <c r="M641" i="11"/>
  <c r="L641" i="11" s="1"/>
  <c r="U641" i="11" s="1"/>
  <c r="M637" i="11"/>
  <c r="L637" i="11" s="1"/>
  <c r="U637" i="11" s="1"/>
  <c r="M631" i="11"/>
  <c r="L631" i="11" s="1"/>
  <c r="U631" i="11" s="1"/>
  <c r="M627" i="11"/>
  <c r="L627" i="11" s="1"/>
  <c r="U627" i="11" s="1"/>
  <c r="M623" i="11"/>
  <c r="L623" i="11" s="1"/>
  <c r="U623" i="11" s="1"/>
  <c r="M619" i="11"/>
  <c r="L619" i="11" s="1"/>
  <c r="U619" i="11" s="1"/>
  <c r="M615" i="11"/>
  <c r="L615" i="11" s="1"/>
  <c r="U615" i="11" s="1"/>
  <c r="M611" i="11"/>
  <c r="L611" i="11" s="1"/>
  <c r="U611" i="11" s="1"/>
  <c r="M572" i="11"/>
  <c r="L572" i="11" s="1"/>
  <c r="U572" i="11" s="1"/>
  <c r="M568" i="11"/>
  <c r="L568" i="11" s="1"/>
  <c r="U568" i="11" s="1"/>
  <c r="M564" i="11"/>
  <c r="L564" i="11" s="1"/>
  <c r="U564" i="11" s="1"/>
  <c r="M546" i="11"/>
  <c r="L546" i="11" s="1"/>
  <c r="U546" i="11" s="1"/>
  <c r="M542" i="11"/>
  <c r="L542" i="11" s="1"/>
  <c r="U542" i="11" s="1"/>
  <c r="M538" i="11"/>
  <c r="L538" i="11" s="1"/>
  <c r="U538" i="11" s="1"/>
  <c r="M520" i="11"/>
  <c r="M516" i="11"/>
  <c r="L516" i="11" s="1"/>
  <c r="U516" i="11" s="1"/>
  <c r="M512" i="11"/>
  <c r="L512" i="11" s="1"/>
  <c r="U512" i="11" s="1"/>
  <c r="M494" i="11"/>
  <c r="L494" i="11" s="1"/>
  <c r="U494" i="11" s="1"/>
  <c r="M490" i="11"/>
  <c r="L490" i="11" s="1"/>
  <c r="U490" i="11" s="1"/>
  <c r="M486" i="11"/>
  <c r="M481" i="11"/>
  <c r="L481" i="11" s="1"/>
  <c r="U481" i="11" s="1"/>
  <c r="M477" i="11"/>
  <c r="L477" i="11" s="1"/>
  <c r="U477" i="11" s="1"/>
  <c r="M473" i="11"/>
  <c r="L473" i="11" s="1"/>
  <c r="U473" i="11" s="1"/>
  <c r="N373" i="11"/>
  <c r="N370" i="11"/>
  <c r="N349" i="11"/>
  <c r="Q682" i="11"/>
  <c r="R682" i="11" s="1"/>
  <c r="V682" i="11" s="1"/>
  <c r="Q678" i="11"/>
  <c r="R678" i="11" s="1"/>
  <c r="V678" i="11" s="1"/>
  <c r="Q674" i="11"/>
  <c r="R674" i="11" s="1"/>
  <c r="V674" i="11" s="1"/>
  <c r="Q656" i="11"/>
  <c r="R656" i="11" s="1"/>
  <c r="V656" i="11" s="1"/>
  <c r="Q652" i="11"/>
  <c r="R652" i="11" s="1"/>
  <c r="V652" i="11" s="1"/>
  <c r="Q648" i="11"/>
  <c r="R648" i="11" s="1"/>
  <c r="V648" i="11" s="1"/>
  <c r="Q644" i="11"/>
  <c r="R644" i="11" s="1"/>
  <c r="V644" i="11" s="1"/>
  <c r="Q640" i="11"/>
  <c r="R640" i="11" s="1"/>
  <c r="V640" i="11" s="1"/>
  <c r="Q636" i="11"/>
  <c r="R636" i="11" s="1"/>
  <c r="V636" i="11" s="1"/>
  <c r="Q630" i="11"/>
  <c r="R630" i="11" s="1"/>
  <c r="V630" i="11" s="1"/>
  <c r="Q626" i="11"/>
  <c r="R626" i="11" s="1"/>
  <c r="V626" i="11" s="1"/>
  <c r="Q622" i="11"/>
  <c r="R622" i="11" s="1"/>
  <c r="V622" i="11" s="1"/>
  <c r="Q618" i="11"/>
  <c r="R618" i="11" s="1"/>
  <c r="V618" i="11" s="1"/>
  <c r="Q614" i="11"/>
  <c r="R614" i="11" s="1"/>
  <c r="V614" i="11" s="1"/>
  <c r="Q610" i="11"/>
  <c r="R610" i="11" s="1"/>
  <c r="V610" i="11" s="1"/>
  <c r="Q604" i="11"/>
  <c r="R604" i="11" s="1"/>
  <c r="V604" i="11" s="1"/>
  <c r="Q600" i="11"/>
  <c r="R600" i="11" s="1"/>
  <c r="V600" i="11" s="1"/>
  <c r="Q596" i="11"/>
  <c r="R596" i="11" s="1"/>
  <c r="V596" i="11" s="1"/>
  <c r="Q592" i="11"/>
  <c r="R592" i="11" s="1"/>
  <c r="V592" i="11" s="1"/>
  <c r="Q588" i="11"/>
  <c r="R588" i="11" s="1"/>
  <c r="V588" i="11" s="1"/>
  <c r="Q584" i="11"/>
  <c r="R584" i="11" s="1"/>
  <c r="V584" i="11" s="1"/>
  <c r="Q571" i="11"/>
  <c r="R571" i="11" s="1"/>
  <c r="V571" i="11" s="1"/>
  <c r="Q567" i="11"/>
  <c r="R567" i="11" s="1"/>
  <c r="V567" i="11" s="1"/>
  <c r="Q563" i="11"/>
  <c r="R563" i="11" s="1"/>
  <c r="V563" i="11" s="1"/>
  <c r="Q545" i="11"/>
  <c r="R545" i="11" s="1"/>
  <c r="V545" i="11" s="1"/>
  <c r="Q541" i="11"/>
  <c r="R541" i="11" s="1"/>
  <c r="V541" i="11" s="1"/>
  <c r="Q537" i="11"/>
  <c r="R537" i="11" s="1"/>
  <c r="V537" i="11" s="1"/>
  <c r="Q519" i="11"/>
  <c r="R519" i="11" s="1"/>
  <c r="V519" i="11" s="1"/>
  <c r="Q515" i="11"/>
  <c r="R515" i="11" s="1"/>
  <c r="V515" i="11" s="1"/>
  <c r="Q511" i="11"/>
  <c r="R511" i="11" s="1"/>
  <c r="V511" i="11" s="1"/>
  <c r="Q493" i="11"/>
  <c r="R493" i="11" s="1"/>
  <c r="V493" i="11" s="1"/>
  <c r="Q489" i="11"/>
  <c r="R489" i="11" s="1"/>
  <c r="V489" i="11" s="1"/>
  <c r="Q485" i="11"/>
  <c r="R485" i="11" s="1"/>
  <c r="V485" i="11" s="1"/>
  <c r="N376" i="11"/>
  <c r="N352" i="11"/>
  <c r="N328" i="11"/>
  <c r="N682" i="11"/>
  <c r="N678" i="11"/>
  <c r="N674" i="11"/>
  <c r="N656" i="11"/>
  <c r="N652" i="11"/>
  <c r="N648" i="11"/>
  <c r="N644" i="11"/>
  <c r="N640" i="11"/>
  <c r="N636" i="11"/>
  <c r="N630" i="11"/>
  <c r="N626" i="11"/>
  <c r="N622" i="11"/>
  <c r="N618" i="11"/>
  <c r="N614" i="11"/>
  <c r="N610" i="11"/>
  <c r="N604" i="11"/>
  <c r="N600" i="11"/>
  <c r="N596" i="11"/>
  <c r="N592" i="11"/>
  <c r="N588" i="11"/>
  <c r="N584" i="11"/>
  <c r="N571" i="11"/>
  <c r="N567" i="11"/>
  <c r="N563" i="11"/>
  <c r="N545" i="11"/>
  <c r="N541" i="11"/>
  <c r="N537" i="11"/>
  <c r="N519" i="11"/>
  <c r="N515" i="11"/>
  <c r="N511" i="11"/>
  <c r="N493" i="11"/>
  <c r="N489" i="11"/>
  <c r="N485" i="11"/>
  <c r="N480" i="11"/>
  <c r="N476" i="11"/>
  <c r="N472" i="11"/>
  <c r="N431" i="11"/>
  <c r="N427" i="11"/>
  <c r="N423" i="11"/>
  <c r="N405" i="11"/>
  <c r="N401" i="11"/>
  <c r="N397" i="11"/>
  <c r="N379" i="11"/>
  <c r="M682" i="11"/>
  <c r="L682" i="11" s="1"/>
  <c r="U682" i="11" s="1"/>
  <c r="M678" i="11"/>
  <c r="L678" i="11" s="1"/>
  <c r="U678" i="11" s="1"/>
  <c r="M674" i="11"/>
  <c r="M656" i="11"/>
  <c r="L656" i="11" s="1"/>
  <c r="U656" i="11" s="1"/>
  <c r="M652" i="11"/>
  <c r="L652" i="11" s="1"/>
  <c r="U652" i="11" s="1"/>
  <c r="M648" i="11"/>
  <c r="L648" i="11" s="1"/>
  <c r="U648" i="11" s="1"/>
  <c r="M644" i="11"/>
  <c r="L644" i="11" s="1"/>
  <c r="U644" i="11" s="1"/>
  <c r="M640" i="11"/>
  <c r="L640" i="11" s="1"/>
  <c r="U640" i="11" s="1"/>
  <c r="M636" i="11"/>
  <c r="M630" i="11"/>
  <c r="M626" i="11"/>
  <c r="L626" i="11" s="1"/>
  <c r="U626" i="11" s="1"/>
  <c r="M622" i="11"/>
  <c r="M618" i="11"/>
  <c r="L618" i="11" s="1"/>
  <c r="U618" i="11" s="1"/>
  <c r="M614" i="11"/>
  <c r="L614" i="11" s="1"/>
  <c r="U614" i="11" s="1"/>
  <c r="M610" i="11"/>
  <c r="M604" i="11"/>
  <c r="L604" i="11" s="1"/>
  <c r="U604" i="11" s="1"/>
  <c r="M600" i="11"/>
  <c r="L600" i="11" s="1"/>
  <c r="U600" i="11" s="1"/>
  <c r="M596" i="11"/>
  <c r="L596" i="11" s="1"/>
  <c r="U596" i="11" s="1"/>
  <c r="M592" i="11"/>
  <c r="L592" i="11" s="1"/>
  <c r="U592" i="11" s="1"/>
  <c r="M588" i="11"/>
  <c r="L588" i="11" s="1"/>
  <c r="U588" i="11" s="1"/>
  <c r="M584" i="11"/>
  <c r="L584" i="11" s="1"/>
  <c r="U584" i="11" s="1"/>
  <c r="M571" i="11"/>
  <c r="M567" i="11"/>
  <c r="L567" i="11" s="1"/>
  <c r="U567" i="11" s="1"/>
  <c r="M563" i="11"/>
  <c r="L563" i="11" s="1"/>
  <c r="U563" i="11" s="1"/>
  <c r="M545" i="11"/>
  <c r="M541" i="11"/>
  <c r="L541" i="11" s="1"/>
  <c r="U541" i="11" s="1"/>
  <c r="M537" i="11"/>
  <c r="M519" i="11"/>
  <c r="L519" i="11" s="1"/>
  <c r="U519" i="11" s="1"/>
  <c r="M515" i="11"/>
  <c r="L515" i="11" s="1"/>
  <c r="U515" i="11" s="1"/>
  <c r="M511" i="11"/>
  <c r="L511" i="11" s="1"/>
  <c r="U511" i="11" s="1"/>
  <c r="M493" i="11"/>
  <c r="L493" i="11" s="1"/>
  <c r="U493" i="11" s="1"/>
  <c r="M489" i="11"/>
  <c r="L489" i="11" s="1"/>
  <c r="U489" i="11" s="1"/>
  <c r="M485" i="11"/>
  <c r="L485" i="11" s="1"/>
  <c r="U485" i="11" s="1"/>
  <c r="M480" i="11"/>
  <c r="L480" i="11" s="1"/>
  <c r="U480" i="11" s="1"/>
  <c r="M476" i="11"/>
  <c r="L476" i="11" s="1"/>
  <c r="U476" i="11" s="1"/>
  <c r="M472" i="11"/>
  <c r="L472" i="11" s="1"/>
  <c r="U472" i="11" s="1"/>
  <c r="N357" i="11"/>
  <c r="N348" i="11"/>
  <c r="N345" i="11"/>
  <c r="N324" i="11"/>
  <c r="Q681" i="11"/>
  <c r="R681" i="11" s="1"/>
  <c r="V681" i="11" s="1"/>
  <c r="Q677" i="11"/>
  <c r="R677" i="11" s="1"/>
  <c r="V677" i="11" s="1"/>
  <c r="Q673" i="11"/>
  <c r="R673" i="11" s="1"/>
  <c r="V673" i="11" s="1"/>
  <c r="Q655" i="11"/>
  <c r="R655" i="11" s="1"/>
  <c r="V655" i="11" s="1"/>
  <c r="Q651" i="11"/>
  <c r="R651" i="11" s="1"/>
  <c r="V651" i="11" s="1"/>
  <c r="Q647" i="11"/>
  <c r="R647" i="11" s="1"/>
  <c r="V647" i="11" s="1"/>
  <c r="Q643" i="11"/>
  <c r="R643" i="11" s="1"/>
  <c r="V643" i="11" s="1"/>
  <c r="Q639" i="11"/>
  <c r="R639" i="11" s="1"/>
  <c r="V639" i="11" s="1"/>
  <c r="Q635" i="11"/>
  <c r="R635" i="11" s="1"/>
  <c r="V635" i="11" s="1"/>
  <c r="Q629" i="11"/>
  <c r="R629" i="11" s="1"/>
  <c r="V629" i="11" s="1"/>
  <c r="Q625" i="11"/>
  <c r="R625" i="11" s="1"/>
  <c r="V625" i="11" s="1"/>
  <c r="Q621" i="11"/>
  <c r="R621" i="11" s="1"/>
  <c r="V621" i="11" s="1"/>
  <c r="Q617" i="11"/>
  <c r="R617" i="11" s="1"/>
  <c r="V617" i="11" s="1"/>
  <c r="Q613" i="11"/>
  <c r="R613" i="11" s="1"/>
  <c r="V613" i="11" s="1"/>
  <c r="Q609" i="11"/>
  <c r="R609" i="11" s="1"/>
  <c r="V609" i="11" s="1"/>
  <c r="Q570" i="11"/>
  <c r="R570" i="11" s="1"/>
  <c r="V570" i="11" s="1"/>
  <c r="Q566" i="11"/>
  <c r="R566" i="11" s="1"/>
  <c r="V566" i="11" s="1"/>
  <c r="Q562" i="11"/>
  <c r="R562" i="11" s="1"/>
  <c r="V562" i="11" s="1"/>
  <c r="Q544" i="11"/>
  <c r="R544" i="11" s="1"/>
  <c r="V544" i="11" s="1"/>
  <c r="Q540" i="11"/>
  <c r="R540" i="11" s="1"/>
  <c r="V540" i="11" s="1"/>
  <c r="Q536" i="11"/>
  <c r="R536" i="11" s="1"/>
  <c r="V536" i="11" s="1"/>
  <c r="Q518" i="11"/>
  <c r="R518" i="11" s="1"/>
  <c r="V518" i="11" s="1"/>
  <c r="Q514" i="11"/>
  <c r="R514" i="11" s="1"/>
  <c r="V514" i="11" s="1"/>
  <c r="Q510" i="11"/>
  <c r="R510" i="11" s="1"/>
  <c r="V510" i="11" s="1"/>
  <c r="Q492" i="11"/>
  <c r="R492" i="11" s="1"/>
  <c r="V492" i="11" s="1"/>
  <c r="Q488" i="11"/>
  <c r="R488" i="11" s="1"/>
  <c r="V488" i="11" s="1"/>
  <c r="Q484" i="11"/>
  <c r="R484" i="11" s="1"/>
  <c r="V484" i="11" s="1"/>
  <c r="N372" i="11"/>
  <c r="N351" i="11"/>
  <c r="N327" i="11"/>
  <c r="N272" i="11"/>
  <c r="N244" i="11"/>
  <c r="N241" i="11"/>
  <c r="N220" i="11"/>
  <c r="N192" i="11"/>
  <c r="N189" i="11"/>
  <c r="N168" i="11"/>
  <c r="N149" i="11"/>
  <c r="N115" i="11"/>
  <c r="N62" i="11"/>
  <c r="N681" i="11"/>
  <c r="N677" i="11"/>
  <c r="N673" i="11"/>
  <c r="N655" i="11"/>
  <c r="N651" i="11"/>
  <c r="N647" i="11"/>
  <c r="N643" i="11"/>
  <c r="N639" i="11"/>
  <c r="N635" i="11"/>
  <c r="N629" i="11"/>
  <c r="N625" i="11"/>
  <c r="N621" i="11"/>
  <c r="N617" i="11"/>
  <c r="N613" i="11"/>
  <c r="N609" i="11"/>
  <c r="N570" i="11"/>
  <c r="N566" i="11"/>
  <c r="N562" i="11"/>
  <c r="N544" i="11"/>
  <c r="N540" i="11"/>
  <c r="N536" i="11"/>
  <c r="N518" i="11"/>
  <c r="N514" i="11"/>
  <c r="N510" i="11"/>
  <c r="N492" i="11"/>
  <c r="N488" i="11"/>
  <c r="N484" i="11"/>
  <c r="N479" i="11"/>
  <c r="N475" i="11"/>
  <c r="N471" i="11"/>
  <c r="N430" i="11"/>
  <c r="N426" i="11"/>
  <c r="N422" i="11"/>
  <c r="N404" i="11"/>
  <c r="N400" i="11"/>
  <c r="N396" i="11"/>
  <c r="N378" i="11"/>
  <c r="N375" i="11"/>
  <c r="N275" i="11"/>
  <c r="N253" i="11"/>
  <c r="N223" i="11"/>
  <c r="N201" i="11"/>
  <c r="M681" i="11"/>
  <c r="M677" i="11"/>
  <c r="M673" i="11"/>
  <c r="L673" i="11" s="1"/>
  <c r="U673" i="11" s="1"/>
  <c r="M655" i="11"/>
  <c r="L655" i="11" s="1"/>
  <c r="U655" i="11" s="1"/>
  <c r="M651" i="11"/>
  <c r="L651" i="11" s="1"/>
  <c r="U651" i="11" s="1"/>
  <c r="M647" i="11"/>
  <c r="L647" i="11" s="1"/>
  <c r="U647" i="11" s="1"/>
  <c r="M643" i="11"/>
  <c r="L643" i="11" s="1"/>
  <c r="U643" i="11" s="1"/>
  <c r="M639" i="11"/>
  <c r="L639" i="11" s="1"/>
  <c r="U639" i="11" s="1"/>
  <c r="M635" i="11"/>
  <c r="L635" i="11" s="1"/>
  <c r="U635" i="11" s="1"/>
  <c r="M629" i="11"/>
  <c r="L629" i="11" s="1"/>
  <c r="U629" i="11" s="1"/>
  <c r="M625" i="11"/>
  <c r="L625" i="11" s="1"/>
  <c r="U625" i="11" s="1"/>
  <c r="M621" i="11"/>
  <c r="L621" i="11" s="1"/>
  <c r="U621" i="11" s="1"/>
  <c r="M617" i="11"/>
  <c r="L617" i="11" s="1"/>
  <c r="U617" i="11" s="1"/>
  <c r="M613" i="11"/>
  <c r="L613" i="11" s="1"/>
  <c r="U613" i="11" s="1"/>
  <c r="M609" i="11"/>
  <c r="L609" i="11" s="1"/>
  <c r="U609" i="11" s="1"/>
  <c r="M570" i="11"/>
  <c r="L570" i="11" s="1"/>
  <c r="U570" i="11" s="1"/>
  <c r="M566" i="11"/>
  <c r="L566" i="11" s="1"/>
  <c r="U566" i="11" s="1"/>
  <c r="M562" i="11"/>
  <c r="L562" i="11" s="1"/>
  <c r="U562" i="11" s="1"/>
  <c r="M544" i="11"/>
  <c r="L544" i="11" s="1"/>
  <c r="U544" i="11" s="1"/>
  <c r="M540" i="11"/>
  <c r="M536" i="11"/>
  <c r="M518" i="11"/>
  <c r="M514" i="11"/>
  <c r="L514" i="11" s="1"/>
  <c r="U514" i="11" s="1"/>
  <c r="M510" i="11"/>
  <c r="M492" i="11"/>
  <c r="L492" i="11" s="1"/>
  <c r="U492" i="11" s="1"/>
  <c r="M488" i="11"/>
  <c r="L488" i="11" s="1"/>
  <c r="U488" i="11" s="1"/>
  <c r="M484" i="11"/>
  <c r="L484" i="11" s="1"/>
  <c r="U484" i="11" s="1"/>
  <c r="M479" i="11"/>
  <c r="L479" i="11" s="1"/>
  <c r="U479" i="11" s="1"/>
  <c r="M475" i="11"/>
  <c r="L475" i="11" s="1"/>
  <c r="U475" i="11" s="1"/>
  <c r="M471" i="11"/>
  <c r="L471" i="11" s="1"/>
  <c r="U471" i="11" s="1"/>
  <c r="N354" i="11"/>
  <c r="N344" i="11"/>
  <c r="Q680" i="11"/>
  <c r="R680" i="11" s="1"/>
  <c r="V680" i="11" s="1"/>
  <c r="Q676" i="11"/>
  <c r="R676" i="11" s="1"/>
  <c r="V676" i="11" s="1"/>
  <c r="Q660" i="11"/>
  <c r="R660" i="11" s="1"/>
  <c r="V660" i="11" s="1"/>
  <c r="Q654" i="11"/>
  <c r="R654" i="11" s="1"/>
  <c r="V654" i="11" s="1"/>
  <c r="Q650" i="11"/>
  <c r="R650" i="11" s="1"/>
  <c r="V650" i="11" s="1"/>
  <c r="Q646" i="11"/>
  <c r="R646" i="11" s="1"/>
  <c r="V646" i="11" s="1"/>
  <c r="Q642" i="11"/>
  <c r="R642" i="11" s="1"/>
  <c r="V642" i="11" s="1"/>
  <c r="Q638" i="11"/>
  <c r="R638" i="11" s="1"/>
  <c r="V638" i="11" s="1"/>
  <c r="Q634" i="11"/>
  <c r="R634" i="11" s="1"/>
  <c r="V634" i="11" s="1"/>
  <c r="Q628" i="11"/>
  <c r="R628" i="11" s="1"/>
  <c r="V628" i="11" s="1"/>
  <c r="Q624" i="11"/>
  <c r="R624" i="11" s="1"/>
  <c r="V624" i="11" s="1"/>
  <c r="Q620" i="11"/>
  <c r="R620" i="11" s="1"/>
  <c r="V620" i="11" s="1"/>
  <c r="Q616" i="11"/>
  <c r="R616" i="11" s="1"/>
  <c r="V616" i="11" s="1"/>
  <c r="Q612" i="11"/>
  <c r="R612" i="11" s="1"/>
  <c r="V612" i="11" s="1"/>
  <c r="Q608" i="11"/>
  <c r="R608" i="11" s="1"/>
  <c r="V608" i="11" s="1"/>
  <c r="Q602" i="11"/>
  <c r="R602" i="11" s="1"/>
  <c r="V602" i="11" s="1"/>
  <c r="Q598" i="11"/>
  <c r="R598" i="11" s="1"/>
  <c r="V598" i="11" s="1"/>
  <c r="Q594" i="11"/>
  <c r="R594" i="11" s="1"/>
  <c r="V594" i="11" s="1"/>
  <c r="Q590" i="11"/>
  <c r="R590" i="11" s="1"/>
  <c r="V590" i="11" s="1"/>
  <c r="Q586" i="11"/>
  <c r="R586" i="11" s="1"/>
  <c r="V586" i="11" s="1"/>
  <c r="Q582" i="11"/>
  <c r="R582" i="11" s="1"/>
  <c r="V582" i="11" s="1"/>
  <c r="Q569" i="11"/>
  <c r="R569" i="11" s="1"/>
  <c r="V569" i="11" s="1"/>
  <c r="Q565" i="11"/>
  <c r="R565" i="11" s="1"/>
  <c r="V565" i="11" s="1"/>
  <c r="Q548" i="11"/>
  <c r="R548" i="11" s="1"/>
  <c r="V548" i="11" s="1"/>
  <c r="Q543" i="11"/>
  <c r="R543" i="11" s="1"/>
  <c r="V543" i="11" s="1"/>
  <c r="Q539" i="11"/>
  <c r="R539" i="11" s="1"/>
  <c r="V539" i="11" s="1"/>
  <c r="Q522" i="11"/>
  <c r="R522" i="11" s="1"/>
  <c r="V522" i="11" s="1"/>
  <c r="Q517" i="11"/>
  <c r="R517" i="11" s="1"/>
  <c r="V517" i="11" s="1"/>
  <c r="Q513" i="11"/>
  <c r="R513" i="11" s="1"/>
  <c r="V513" i="11" s="1"/>
  <c r="Q497" i="11"/>
  <c r="R497" i="11" s="1"/>
  <c r="V497" i="11" s="1"/>
  <c r="Q491" i="11"/>
  <c r="R491" i="11" s="1"/>
  <c r="V491" i="11" s="1"/>
  <c r="Q487" i="11"/>
  <c r="R487" i="11" s="1"/>
  <c r="V487" i="11" s="1"/>
  <c r="Q483" i="11"/>
  <c r="R483" i="11" s="1"/>
  <c r="V483" i="11" s="1"/>
  <c r="N347" i="11"/>
  <c r="N680" i="11"/>
  <c r="N676" i="11"/>
  <c r="N660" i="11"/>
  <c r="N654" i="11"/>
  <c r="N650" i="11"/>
  <c r="N646" i="11"/>
  <c r="N642" i="11"/>
  <c r="N638" i="11"/>
  <c r="N634" i="11"/>
  <c r="N628" i="11"/>
  <c r="N624" i="11"/>
  <c r="N620" i="11"/>
  <c r="N616" i="11"/>
  <c r="N612" i="11"/>
  <c r="N608" i="11"/>
  <c r="N602" i="11"/>
  <c r="N598" i="11"/>
  <c r="N594" i="11"/>
  <c r="N590" i="11"/>
  <c r="N586" i="11"/>
  <c r="N582" i="11"/>
  <c r="N569" i="11"/>
  <c r="N565" i="11"/>
  <c r="N548" i="11"/>
  <c r="N543" i="11"/>
  <c r="N539" i="11"/>
  <c r="N522" i="11"/>
  <c r="N517" i="11"/>
  <c r="N513" i="11"/>
  <c r="N497" i="11"/>
  <c r="N491" i="11"/>
  <c r="N487" i="11"/>
  <c r="N483" i="11"/>
  <c r="N478" i="11"/>
  <c r="N474" i="11"/>
  <c r="N458" i="11"/>
  <c r="N429" i="11"/>
  <c r="N425" i="11"/>
  <c r="N409" i="11"/>
  <c r="N403" i="11"/>
  <c r="N399" i="11"/>
  <c r="N383" i="11"/>
  <c r="N371" i="11"/>
  <c r="N350" i="11"/>
  <c r="N274" i="11"/>
  <c r="N250" i="11"/>
  <c r="N243" i="11"/>
  <c r="N222" i="11"/>
  <c r="N198" i="11"/>
  <c r="M680" i="11"/>
  <c r="M616" i="11"/>
  <c r="L616" i="11" s="1"/>
  <c r="U616" i="11" s="1"/>
  <c r="M543" i="11"/>
  <c r="M458" i="11"/>
  <c r="L458" i="11" s="1"/>
  <c r="U458" i="11" s="1"/>
  <c r="N269" i="11"/>
  <c r="N120" i="11"/>
  <c r="N116" i="11"/>
  <c r="N63" i="11"/>
  <c r="N48" i="11"/>
  <c r="N41" i="11"/>
  <c r="N22" i="11"/>
  <c r="M676" i="11"/>
  <c r="M612" i="11"/>
  <c r="M539" i="11"/>
  <c r="L539" i="11" s="1"/>
  <c r="U539" i="11" s="1"/>
  <c r="N432" i="11"/>
  <c r="N380" i="11"/>
  <c r="N346" i="11"/>
  <c r="N323" i="11"/>
  <c r="N318" i="11"/>
  <c r="N249" i="11"/>
  <c r="N226" i="11"/>
  <c r="N196" i="11"/>
  <c r="N169" i="11"/>
  <c r="N165" i="11"/>
  <c r="N85" i="11"/>
  <c r="N59" i="11"/>
  <c r="N51" i="11"/>
  <c r="N33" i="11"/>
  <c r="N25" i="11"/>
  <c r="M660" i="11"/>
  <c r="L660" i="11" s="1"/>
  <c r="U660" i="11" s="1"/>
  <c r="M608" i="11"/>
  <c r="L608" i="11" s="1"/>
  <c r="U608" i="11" s="1"/>
  <c r="M522" i="11"/>
  <c r="L522" i="11" s="1"/>
  <c r="U522" i="11" s="1"/>
  <c r="N377" i="11"/>
  <c r="N273" i="11"/>
  <c r="N268" i="11"/>
  <c r="N191" i="11"/>
  <c r="N175" i="11"/>
  <c r="N142" i="11"/>
  <c r="N138" i="11"/>
  <c r="N93" i="11"/>
  <c r="N44" i="11"/>
  <c r="N36" i="11"/>
  <c r="N18" i="11"/>
  <c r="N10" i="11"/>
  <c r="N47" i="11"/>
  <c r="N29" i="11"/>
  <c r="N21" i="11"/>
  <c r="N13" i="11"/>
  <c r="N6" i="11"/>
  <c r="N20" i="11"/>
  <c r="N12" i="11"/>
  <c r="N193" i="11"/>
  <c r="N23" i="11"/>
  <c r="N5" i="11"/>
  <c r="M628" i="11"/>
  <c r="N270" i="11"/>
  <c r="N144" i="11"/>
  <c r="M654" i="11"/>
  <c r="L654" i="11" s="1"/>
  <c r="U654" i="11" s="1"/>
  <c r="M602" i="11"/>
  <c r="L602" i="11" s="1"/>
  <c r="U602" i="11" s="1"/>
  <c r="M517" i="11"/>
  <c r="L517" i="11" s="1"/>
  <c r="U517" i="11" s="1"/>
  <c r="N428" i="11"/>
  <c r="N322" i="11"/>
  <c r="N219" i="11"/>
  <c r="N195" i="11"/>
  <c r="N164" i="11"/>
  <c r="N146" i="11"/>
  <c r="N119" i="11"/>
  <c r="N55" i="11"/>
  <c r="N113" i="11"/>
  <c r="M650" i="11"/>
  <c r="L650" i="11" s="1"/>
  <c r="U650" i="11" s="1"/>
  <c r="M598" i="11"/>
  <c r="L598" i="11" s="1"/>
  <c r="U598" i="11" s="1"/>
  <c r="M513" i="11"/>
  <c r="L513" i="11" s="1"/>
  <c r="U513" i="11" s="1"/>
  <c r="N374" i="11"/>
  <c r="N224" i="11"/>
  <c r="N214" i="11"/>
  <c r="N88" i="11"/>
  <c r="N84" i="11"/>
  <c r="N58" i="11"/>
  <c r="N40" i="11"/>
  <c r="N32" i="11"/>
  <c r="N57" i="11"/>
  <c r="M646" i="11"/>
  <c r="L646" i="11" s="1"/>
  <c r="U646" i="11" s="1"/>
  <c r="M594" i="11"/>
  <c r="L594" i="11" s="1"/>
  <c r="U594" i="11" s="1"/>
  <c r="M497" i="11"/>
  <c r="L497" i="11" s="1"/>
  <c r="U497" i="11" s="1"/>
  <c r="N424" i="11"/>
  <c r="N279" i="11"/>
  <c r="N248" i="11"/>
  <c r="N218" i="11"/>
  <c r="N194" i="11"/>
  <c r="N190" i="11"/>
  <c r="N172" i="11"/>
  <c r="N141" i="11"/>
  <c r="N137" i="11"/>
  <c r="N118" i="11"/>
  <c r="N92" i="11"/>
  <c r="N50" i="11"/>
  <c r="N43" i="11"/>
  <c r="N24" i="11"/>
  <c r="N17" i="11"/>
  <c r="N9" i="11"/>
  <c r="N31" i="11"/>
  <c r="M642" i="11"/>
  <c r="L642" i="11" s="1"/>
  <c r="U642" i="11" s="1"/>
  <c r="M590" i="11"/>
  <c r="L590" i="11" s="1"/>
  <c r="U590" i="11" s="1"/>
  <c r="M491" i="11"/>
  <c r="L491" i="11" s="1"/>
  <c r="U491" i="11" s="1"/>
  <c r="N326" i="11"/>
  <c r="N321" i="11"/>
  <c r="N247" i="11"/>
  <c r="N242" i="11"/>
  <c r="N114" i="11"/>
  <c r="N61" i="11"/>
  <c r="N54" i="11"/>
  <c r="N35" i="11"/>
  <c r="N28" i="11"/>
  <c r="M638" i="11"/>
  <c r="L638" i="11" s="1"/>
  <c r="U638" i="11" s="1"/>
  <c r="M586" i="11"/>
  <c r="L586" i="11" s="1"/>
  <c r="U586" i="11" s="1"/>
  <c r="M487" i="11"/>
  <c r="L487" i="11" s="1"/>
  <c r="U487" i="11" s="1"/>
  <c r="N406" i="11"/>
  <c r="N320" i="11"/>
  <c r="N271" i="11"/>
  <c r="N171" i="11"/>
  <c r="N167" i="11"/>
  <c r="N163" i="11"/>
  <c r="N136" i="11"/>
  <c r="N87" i="11"/>
  <c r="N71" i="11"/>
  <c r="N46" i="11"/>
  <c r="N38" i="11"/>
  <c r="M634" i="11"/>
  <c r="L634" i="11" s="1"/>
  <c r="U634" i="11" s="1"/>
  <c r="M582" i="11"/>
  <c r="L582" i="11" s="1"/>
  <c r="U582" i="11" s="1"/>
  <c r="M483" i="11"/>
  <c r="N353" i="11"/>
  <c r="N325" i="11"/>
  <c r="N276" i="11"/>
  <c r="N266" i="11"/>
  <c r="N246" i="11"/>
  <c r="N217" i="11"/>
  <c r="N140" i="11"/>
  <c r="N49" i="11"/>
  <c r="M478" i="11"/>
  <c r="L478" i="11" s="1"/>
  <c r="U478" i="11" s="1"/>
  <c r="M620" i="11"/>
  <c r="L620" i="11" s="1"/>
  <c r="U620" i="11" s="1"/>
  <c r="M548" i="11"/>
  <c r="L548" i="11" s="1"/>
  <c r="U548" i="11" s="1"/>
  <c r="N473" i="11"/>
  <c r="N398" i="11"/>
  <c r="N245" i="11"/>
  <c r="N240" i="11"/>
  <c r="N188" i="11"/>
  <c r="N143" i="11"/>
  <c r="N139" i="11"/>
  <c r="N112" i="11"/>
  <c r="N94" i="11"/>
  <c r="N86" i="11"/>
  <c r="N56" i="11"/>
  <c r="N37" i="11"/>
  <c r="N30" i="11"/>
  <c r="N11" i="11"/>
  <c r="N14" i="11"/>
  <c r="N7" i="11"/>
  <c r="N91" i="11"/>
  <c r="N402" i="11"/>
  <c r="N197" i="11"/>
  <c r="N117" i="11"/>
  <c r="N60" i="11"/>
  <c r="M624" i="11"/>
  <c r="N166" i="11"/>
  <c r="M569" i="11"/>
  <c r="L569" i="11" s="1"/>
  <c r="U569" i="11" s="1"/>
  <c r="N123" i="11"/>
  <c r="N34" i="11"/>
  <c r="M565" i="11"/>
  <c r="M474" i="11"/>
  <c r="L474" i="11" s="1"/>
  <c r="U474" i="11" s="1"/>
  <c r="N221" i="11"/>
  <c r="N53" i="11"/>
  <c r="N8" i="11"/>
  <c r="N216" i="11"/>
  <c r="N26" i="11"/>
  <c r="N162" i="11"/>
  <c r="N19" i="11"/>
  <c r="N90" i="11"/>
  <c r="N45" i="11"/>
  <c r="N170" i="11"/>
  <c r="N42" i="11"/>
  <c r="N16" i="11"/>
  <c r="L439" i="11"/>
  <c r="U439" i="11" s="1"/>
  <c r="E50" i="2"/>
  <c r="O9" i="7" s="1"/>
  <c r="F15" i="2"/>
  <c r="P39" i="2"/>
  <c r="R39" i="2" s="1"/>
  <c r="D141" i="2"/>
  <c r="E117" i="2"/>
  <c r="O90" i="7" s="1"/>
  <c r="F140" i="2"/>
  <c r="F128" i="2"/>
  <c r="F116" i="2"/>
  <c r="F88" i="2"/>
  <c r="P27" i="2"/>
  <c r="R27" i="2" s="1"/>
  <c r="D99" i="2"/>
  <c r="Q129" i="2"/>
  <c r="P105" i="2"/>
  <c r="U105" i="2"/>
  <c r="Q105" i="2"/>
  <c r="P68" i="2"/>
  <c r="R68" i="2" s="1"/>
  <c r="Q39" i="2"/>
  <c r="D129" i="2"/>
  <c r="F117" i="2"/>
  <c r="E99" i="2"/>
  <c r="E39" i="2"/>
  <c r="O46" i="7" s="1"/>
  <c r="F27" i="2"/>
  <c r="Q141" i="2"/>
  <c r="D117" i="2"/>
  <c r="E15" i="2"/>
  <c r="P141" i="2"/>
  <c r="Q99" i="2"/>
  <c r="Q50" i="2"/>
  <c r="F105" i="2"/>
  <c r="F68" i="2"/>
  <c r="U141" i="2"/>
  <c r="Q117" i="2"/>
  <c r="P99" i="2"/>
  <c r="I99" i="2" s="1"/>
  <c r="P50" i="2"/>
  <c r="R50" i="2" s="1"/>
  <c r="Q15" i="2"/>
  <c r="E105" i="2"/>
  <c r="O51" i="7" s="1"/>
  <c r="E68" i="2"/>
  <c r="O129" i="7" s="1"/>
  <c r="P15" i="2"/>
  <c r="R15" i="2" s="1"/>
  <c r="D68" i="2"/>
  <c r="J23" i="9" s="1"/>
  <c r="U68" i="2"/>
  <c r="U129" i="2"/>
  <c r="F141" i="2"/>
  <c r="Q27" i="2"/>
  <c r="O141" i="7"/>
  <c r="F50" i="2"/>
  <c r="P129" i="2"/>
  <c r="F129" i="2"/>
  <c r="F39" i="2"/>
  <c r="N4" i="11"/>
  <c r="M455" i="11"/>
  <c r="M449" i="11"/>
  <c r="M443" i="11"/>
  <c r="Q451" i="11"/>
  <c r="Q439" i="11"/>
  <c r="L455" i="11"/>
  <c r="U455" i="11" s="1"/>
  <c r="L449" i="11"/>
  <c r="U449" i="11" s="1"/>
  <c r="L443" i="11"/>
  <c r="U443" i="11" s="1"/>
  <c r="Q450" i="11"/>
  <c r="M439" i="11"/>
  <c r="M454" i="11"/>
  <c r="M448" i="11"/>
  <c r="M442" i="11"/>
  <c r="Q449" i="11"/>
  <c r="L454" i="11"/>
  <c r="U454" i="11" s="1"/>
  <c r="L448" i="11"/>
  <c r="U448" i="11" s="1"/>
  <c r="L442" i="11"/>
  <c r="U442" i="11" s="1"/>
  <c r="Q448" i="11"/>
  <c r="M453" i="11"/>
  <c r="M447" i="11"/>
  <c r="M441" i="11"/>
  <c r="Q447" i="11"/>
  <c r="L453" i="11"/>
  <c r="U453" i="11" s="1"/>
  <c r="L447" i="11"/>
  <c r="U447" i="11" s="1"/>
  <c r="L441" i="11"/>
  <c r="U441" i="11" s="1"/>
  <c r="Q446" i="11"/>
  <c r="M452" i="11"/>
  <c r="M446" i="11"/>
  <c r="M440" i="11"/>
  <c r="Q445" i="11"/>
  <c r="L452" i="11"/>
  <c r="U452" i="11" s="1"/>
  <c r="L446" i="11"/>
  <c r="U446" i="11" s="1"/>
  <c r="L440" i="11"/>
  <c r="U440" i="11" s="1"/>
  <c r="Q444" i="11"/>
  <c r="M451" i="11"/>
  <c r="M445" i="11"/>
  <c r="Q455" i="11"/>
  <c r="Q443" i="11"/>
  <c r="L451" i="11"/>
  <c r="U451" i="11" s="1"/>
  <c r="L445" i="11"/>
  <c r="U445" i="11" s="1"/>
  <c r="Q454" i="11"/>
  <c r="Q442" i="11"/>
  <c r="M450" i="11"/>
  <c r="M444" i="11"/>
  <c r="Q453" i="11"/>
  <c r="Q441" i="11"/>
  <c r="L450" i="11"/>
  <c r="U450" i="11" s="1"/>
  <c r="L444" i="11"/>
  <c r="U444" i="11" s="1"/>
  <c r="Q452" i="11"/>
  <c r="Q440" i="11"/>
  <c r="P102" i="2"/>
  <c r="P38" i="2"/>
  <c r="R38" i="2" s="1"/>
  <c r="D133" i="2"/>
  <c r="E61" i="2"/>
  <c r="O120" i="7" s="1"/>
  <c r="D49" i="2"/>
  <c r="J58" i="9" s="1"/>
  <c r="E14" i="2"/>
  <c r="O26" i="7" s="1"/>
  <c r="U82" i="2"/>
  <c r="P82" i="2"/>
  <c r="R82" i="2" s="1"/>
  <c r="P49" i="2"/>
  <c r="R49" i="2" s="1"/>
  <c r="E82" i="2"/>
  <c r="O143" i="7" s="1"/>
  <c r="E75" i="2"/>
  <c r="O128" i="7" s="1"/>
  <c r="U102" i="2"/>
  <c r="Q109" i="2"/>
  <c r="F121" i="2"/>
  <c r="D75" i="2"/>
  <c r="J16" i="9" s="1"/>
  <c r="F38" i="2"/>
  <c r="U75" i="2"/>
  <c r="P109" i="2"/>
  <c r="E121" i="2"/>
  <c r="O97" i="7" s="1"/>
  <c r="E38" i="2"/>
  <c r="O14" i="7" s="1"/>
  <c r="U71" i="2"/>
  <c r="Q61" i="2"/>
  <c r="Q6" i="2"/>
  <c r="D121" i="2"/>
  <c r="F71" i="2"/>
  <c r="D38" i="2"/>
  <c r="J55" i="9" s="1"/>
  <c r="F6" i="2"/>
  <c r="U61" i="2"/>
  <c r="Q121" i="2"/>
  <c r="P61" i="2"/>
  <c r="R61" i="2" s="1"/>
  <c r="P6" i="2"/>
  <c r="R6" i="2" s="1"/>
  <c r="F102" i="2"/>
  <c r="E71" i="2"/>
  <c r="O116" i="7" s="1"/>
  <c r="F26" i="2"/>
  <c r="E6" i="2"/>
  <c r="P121" i="2"/>
  <c r="Q71" i="2"/>
  <c r="Q14" i="2"/>
  <c r="F109" i="2"/>
  <c r="E102" i="2"/>
  <c r="O145" i="7" s="1"/>
  <c r="D71" i="2"/>
  <c r="J11" i="9" s="1"/>
  <c r="E26" i="2"/>
  <c r="O73" i="7" s="1"/>
  <c r="U133" i="2"/>
  <c r="P14" i="2"/>
  <c r="R14" i="2" s="1"/>
  <c r="E109" i="2"/>
  <c r="D102" i="2"/>
  <c r="J35" i="9" s="1"/>
  <c r="D26" i="2"/>
  <c r="J96" i="9" s="1"/>
  <c r="Q133" i="2"/>
  <c r="Q75" i="2"/>
  <c r="Q26" i="2"/>
  <c r="U26" i="2"/>
  <c r="P133" i="2"/>
  <c r="F133" i="2"/>
  <c r="F49" i="2"/>
  <c r="O4" i="7"/>
  <c r="E65" i="2"/>
  <c r="O105" i="7" s="1"/>
  <c r="F43" i="2"/>
  <c r="F7" i="2"/>
  <c r="E43" i="2"/>
  <c r="O38" i="7" s="1"/>
  <c r="F54" i="2"/>
  <c r="F125" i="2"/>
  <c r="F86" i="2"/>
  <c r="E54" i="2"/>
  <c r="O64" i="7" s="1"/>
  <c r="F19" i="2"/>
  <c r="E125" i="2"/>
  <c r="O110" i="7" s="1"/>
  <c r="E86" i="2"/>
  <c r="E19" i="2"/>
  <c r="O36" i="7" s="1"/>
  <c r="E31" i="2"/>
  <c r="E27" i="2"/>
  <c r="O82" i="7" s="1"/>
  <c r="G473" i="11"/>
  <c r="G448" i="11"/>
  <c r="G436" i="11"/>
  <c r="G424" i="11"/>
  <c r="G399" i="11"/>
  <c r="G374" i="11"/>
  <c r="G349" i="11"/>
  <c r="G324" i="11"/>
  <c r="G274" i="11"/>
  <c r="G249" i="11"/>
  <c r="G224" i="11"/>
  <c r="G199" i="11"/>
  <c r="G175" i="11"/>
  <c r="G162" i="11"/>
  <c r="G137" i="11"/>
  <c r="G112" i="11"/>
  <c r="G87" i="11"/>
  <c r="G62" i="11"/>
  <c r="G50" i="11"/>
  <c r="G38" i="11"/>
  <c r="G26" i="11"/>
  <c r="G14" i="11"/>
  <c r="E473" i="11"/>
  <c r="E448" i="11"/>
  <c r="E436" i="11"/>
  <c r="E424" i="11"/>
  <c r="E399" i="11"/>
  <c r="E374" i="11"/>
  <c r="E349" i="11"/>
  <c r="E324" i="11"/>
  <c r="E274" i="11"/>
  <c r="E249" i="11"/>
  <c r="E224" i="11"/>
  <c r="E199" i="11"/>
  <c r="E175" i="11"/>
  <c r="E162" i="11"/>
  <c r="E137" i="11"/>
  <c r="E112" i="11"/>
  <c r="E87" i="11"/>
  <c r="E62" i="11"/>
  <c r="E50" i="11"/>
  <c r="E38" i="11"/>
  <c r="E26" i="11"/>
  <c r="E14" i="11"/>
  <c r="A137" i="11"/>
  <c r="A112" i="11"/>
  <c r="A14" i="11"/>
  <c r="R867" i="10" s="1"/>
  <c r="Q87" i="2"/>
  <c r="E126" i="2"/>
  <c r="O103" i="7" s="1"/>
  <c r="E94" i="2"/>
  <c r="O134" i="7" s="1"/>
  <c r="D33" i="2"/>
  <c r="Q126" i="2"/>
  <c r="P114" i="2"/>
  <c r="E138" i="2"/>
  <c r="O19" i="7" s="1"/>
  <c r="Q138" i="2"/>
  <c r="P126" i="2"/>
  <c r="D138" i="2"/>
  <c r="U138" i="2"/>
  <c r="F137" i="2"/>
  <c r="F56" i="2"/>
  <c r="U126" i="2"/>
  <c r="U114" i="2"/>
  <c r="D22" i="2"/>
  <c r="D67" i="2"/>
  <c r="J51" i="9" s="1"/>
  <c r="F114" i="2"/>
  <c r="E114" i="2"/>
  <c r="O79" i="7" s="1"/>
  <c r="D100" i="2"/>
  <c r="D142" i="2"/>
  <c r="O2" i="7"/>
  <c r="D78" i="2"/>
  <c r="D34" i="2"/>
  <c r="P142" i="2"/>
  <c r="P131" i="2"/>
  <c r="P120" i="2"/>
  <c r="P112" i="2"/>
  <c r="P87" i="2"/>
  <c r="R87" i="2" s="1"/>
  <c r="Q78" i="2"/>
  <c r="Q100" i="2"/>
  <c r="Q67" i="2"/>
  <c r="Q57" i="2"/>
  <c r="Q46" i="2"/>
  <c r="P34" i="2"/>
  <c r="R34" i="2" s="1"/>
  <c r="Q22" i="2"/>
  <c r="D46" i="2"/>
  <c r="P78" i="2"/>
  <c r="R78" i="2" s="1"/>
  <c r="P100" i="2"/>
  <c r="P67" i="2"/>
  <c r="R67" i="2" s="1"/>
  <c r="P57" i="2"/>
  <c r="R57" i="2" s="1"/>
  <c r="D3" i="2"/>
  <c r="J72" i="9" s="1"/>
  <c r="D87" i="2"/>
  <c r="D57" i="2"/>
  <c r="J87" i="9" s="1"/>
  <c r="U148" i="2"/>
  <c r="Q148" i="2"/>
  <c r="P148" i="2"/>
  <c r="O59" i="7"/>
  <c r="O27" i="7"/>
  <c r="O87" i="7"/>
  <c r="O44" i="7"/>
  <c r="E145" i="2"/>
  <c r="O56" i="7" s="1"/>
  <c r="D145" i="2"/>
  <c r="O39" i="7"/>
  <c r="O146" i="7"/>
  <c r="O17" i="7"/>
  <c r="O21" i="7"/>
  <c r="O24" i="7"/>
  <c r="Q146" i="2"/>
  <c r="P46" i="2"/>
  <c r="R46" i="2" s="1"/>
  <c r="Q34" i="2"/>
  <c r="E144" i="2"/>
  <c r="O48" i="7" s="1"/>
  <c r="P146" i="2"/>
  <c r="Q10" i="2"/>
  <c r="D144" i="2"/>
  <c r="O10" i="7"/>
  <c r="O41" i="7"/>
  <c r="O139" i="7"/>
  <c r="O124" i="7"/>
  <c r="O71" i="7"/>
  <c r="U10" i="2"/>
  <c r="U22" i="2"/>
  <c r="U34" i="2"/>
  <c r="U46" i="2"/>
  <c r="U57" i="2"/>
  <c r="U67" i="2"/>
  <c r="U100" i="2"/>
  <c r="U78" i="2"/>
  <c r="U87" i="2"/>
  <c r="U112" i="2"/>
  <c r="U120" i="2"/>
  <c r="U131" i="2"/>
  <c r="U142" i="2"/>
  <c r="Q145" i="2"/>
  <c r="P22" i="2"/>
  <c r="R22" i="2" s="1"/>
  <c r="P10" i="2"/>
  <c r="R10" i="2" s="1"/>
  <c r="F148" i="2"/>
  <c r="P145" i="2"/>
  <c r="E148" i="2"/>
  <c r="O115" i="7" s="1"/>
  <c r="O136" i="7"/>
  <c r="O20" i="7"/>
  <c r="O11" i="7"/>
  <c r="O33" i="7"/>
  <c r="O100" i="7"/>
  <c r="O85" i="7"/>
  <c r="O6" i="7"/>
  <c r="U144" i="2"/>
  <c r="O135" i="7"/>
  <c r="Q144" i="2"/>
  <c r="O7" i="7"/>
  <c r="O29" i="7"/>
  <c r="O118" i="7"/>
  <c r="O13" i="7"/>
  <c r="F144" i="2"/>
  <c r="O137" i="7"/>
  <c r="O91" i="7"/>
  <c r="O16" i="7"/>
  <c r="O43" i="7"/>
  <c r="O18" i="7"/>
  <c r="O61" i="7"/>
  <c r="O53" i="7"/>
  <c r="O104" i="7"/>
  <c r="U145" i="2"/>
  <c r="F146" i="2"/>
  <c r="F142" i="2"/>
  <c r="F131" i="2"/>
  <c r="F120" i="2"/>
  <c r="F112" i="2"/>
  <c r="F87" i="2"/>
  <c r="F78" i="2"/>
  <c r="F100" i="2"/>
  <c r="F67" i="2"/>
  <c r="F57" i="2"/>
  <c r="F46" i="2"/>
  <c r="F34" i="2"/>
  <c r="F22" i="2"/>
  <c r="F10" i="2"/>
  <c r="O138" i="7"/>
  <c r="O114" i="7"/>
  <c r="D146" i="2"/>
  <c r="D10" i="2"/>
  <c r="J80" i="9" s="1"/>
  <c r="O31" i="7"/>
  <c r="O22" i="7"/>
  <c r="O96" i="7"/>
  <c r="O142" i="7"/>
  <c r="O89" i="7"/>
  <c r="O112" i="7"/>
  <c r="O77" i="7"/>
  <c r="O49" i="7"/>
  <c r="U146" i="2"/>
  <c r="R95" i="2"/>
  <c r="L456" i="11"/>
  <c r="U456" i="11" s="1"/>
  <c r="O94" i="7" l="1"/>
  <c r="R869" i="10"/>
  <c r="R868" i="10"/>
  <c r="R870" i="10"/>
  <c r="O111" i="7"/>
  <c r="O28" i="7"/>
  <c r="O45" i="7"/>
  <c r="O65" i="7"/>
  <c r="O63" i="7"/>
  <c r="O133" i="7"/>
  <c r="O125" i="7"/>
  <c r="O86" i="7"/>
  <c r="O37" i="7"/>
  <c r="O35" i="7"/>
  <c r="O47" i="7"/>
  <c r="R863" i="10"/>
  <c r="M94" i="2"/>
  <c r="N94" i="2" s="1"/>
  <c r="O94" i="2" s="1"/>
  <c r="M103" i="2"/>
  <c r="N103" i="2" s="1"/>
  <c r="O103" i="2" s="1"/>
  <c r="M95" i="2"/>
  <c r="N95" i="2" s="1"/>
  <c r="O95" i="2" s="1"/>
  <c r="O122" i="7"/>
  <c r="M101" i="2"/>
  <c r="N101" i="2" s="1"/>
  <c r="O101" i="2" s="1"/>
  <c r="M104" i="2"/>
  <c r="N104" i="2" s="1"/>
  <c r="O104" i="2" s="1"/>
  <c r="O83" i="7"/>
  <c r="R861" i="10"/>
  <c r="R858" i="10"/>
  <c r="R860" i="10"/>
  <c r="R859" i="10"/>
  <c r="R862" i="10"/>
  <c r="R864" i="10"/>
  <c r="R866" i="10"/>
  <c r="R865" i="10"/>
  <c r="R856" i="10"/>
  <c r="O80" i="7"/>
  <c r="O140" i="7"/>
  <c r="O106" i="7"/>
  <c r="O98" i="7"/>
  <c r="O130" i="7"/>
  <c r="L99" i="2"/>
  <c r="O99" i="7"/>
  <c r="O108" i="7"/>
  <c r="R855" i="10"/>
  <c r="R854" i="10"/>
  <c r="R857" i="10"/>
  <c r="O15" i="7"/>
  <c r="O109" i="7"/>
  <c r="O25" i="7"/>
  <c r="O54" i="7"/>
  <c r="O74" i="7"/>
  <c r="O69" i="7"/>
  <c r="O81" i="7"/>
  <c r="O92" i="7"/>
  <c r="O8" i="7"/>
  <c r="O57" i="7"/>
  <c r="O34" i="7"/>
  <c r="O72" i="7"/>
  <c r="O119" i="7"/>
  <c r="O84" i="7"/>
  <c r="I102" i="2"/>
  <c r="O62" i="7"/>
  <c r="O131" i="7"/>
  <c r="I100" i="2"/>
  <c r="O76" i="7"/>
  <c r="O123" i="7"/>
  <c r="R839" i="10"/>
  <c r="O40" i="7"/>
  <c r="O5" i="7"/>
  <c r="R836" i="10"/>
  <c r="R852" i="10"/>
  <c r="R845" i="10"/>
  <c r="R847" i="10"/>
  <c r="R842" i="10"/>
  <c r="R848" i="10"/>
  <c r="R838" i="10"/>
  <c r="R853" i="10"/>
  <c r="R846" i="10"/>
  <c r="R849" i="10"/>
  <c r="R844" i="10"/>
  <c r="R850" i="10"/>
  <c r="R840" i="10"/>
  <c r="R843" i="10"/>
  <c r="R841" i="10"/>
  <c r="R851" i="10"/>
  <c r="R837" i="10"/>
  <c r="O58" i="7"/>
  <c r="O67" i="7"/>
  <c r="O42" i="7"/>
  <c r="O32" i="7"/>
  <c r="O107" i="7"/>
  <c r="O121" i="7"/>
  <c r="O30" i="7"/>
  <c r="O23" i="7"/>
  <c r="O50" i="7"/>
  <c r="O132" i="7"/>
  <c r="O147" i="7"/>
  <c r="O60" i="7"/>
  <c r="O52" i="7"/>
  <c r="O12" i="7"/>
  <c r="O55" i="7"/>
  <c r="O102" i="7"/>
  <c r="O144" i="7"/>
  <c r="O117" i="7"/>
  <c r="O127" i="7"/>
  <c r="R99" i="2"/>
  <c r="O490" i="11"/>
  <c r="P490" i="11" s="1"/>
  <c r="O494" i="11"/>
  <c r="P494" i="11" s="1"/>
  <c r="O489" i="11"/>
  <c r="P489" i="11" s="1"/>
  <c r="O493" i="11"/>
  <c r="P493" i="11" s="1"/>
  <c r="O485" i="11"/>
  <c r="P485" i="11" s="1"/>
  <c r="O487" i="11"/>
  <c r="P487" i="11" s="1"/>
  <c r="O491" i="11"/>
  <c r="P491" i="11" s="1"/>
  <c r="O484" i="11"/>
  <c r="P484" i="11" s="1"/>
  <c r="O488" i="11"/>
  <c r="P488" i="11" s="1"/>
  <c r="O660" i="11"/>
  <c r="P660" i="11" s="1"/>
  <c r="O492" i="11"/>
  <c r="P492" i="11" s="1"/>
  <c r="W607" i="11"/>
  <c r="O607" i="11"/>
  <c r="P607" i="11" s="1"/>
  <c r="AD607" i="11"/>
  <c r="O66" i="7"/>
  <c r="O657" i="11"/>
  <c r="P657" i="11" s="1"/>
  <c r="AD657" i="11"/>
  <c r="O629" i="11"/>
  <c r="P629" i="11" s="1"/>
  <c r="AD629" i="11"/>
  <c r="O616" i="11"/>
  <c r="P616" i="11" s="1"/>
  <c r="AD616" i="11"/>
  <c r="O635" i="11"/>
  <c r="P635" i="11" s="1"/>
  <c r="AD635" i="11"/>
  <c r="O626" i="11"/>
  <c r="P626" i="11" s="1"/>
  <c r="AD626" i="11"/>
  <c r="O611" i="11"/>
  <c r="P611" i="11" s="1"/>
  <c r="AD611" i="11"/>
  <c r="O675" i="11"/>
  <c r="P675" i="11" s="1"/>
  <c r="AD675" i="11"/>
  <c r="O639" i="11"/>
  <c r="P639" i="11" s="1"/>
  <c r="AD639" i="11"/>
  <c r="O615" i="11"/>
  <c r="P615" i="11" s="1"/>
  <c r="AD615" i="11"/>
  <c r="O679" i="11"/>
  <c r="P679" i="11" s="1"/>
  <c r="AD679" i="11"/>
  <c r="O647" i="11"/>
  <c r="P647" i="11" s="1"/>
  <c r="AD647" i="11"/>
  <c r="O640" i="11"/>
  <c r="P640" i="11" s="1"/>
  <c r="AD640" i="11"/>
  <c r="O623" i="11"/>
  <c r="P623" i="11" s="1"/>
  <c r="AD623" i="11"/>
  <c r="O646" i="11"/>
  <c r="P646" i="11" s="1"/>
  <c r="AD646" i="11"/>
  <c r="O650" i="11"/>
  <c r="P650" i="11" s="1"/>
  <c r="AD650" i="11"/>
  <c r="O654" i="11"/>
  <c r="P654" i="11" s="1"/>
  <c r="AD654" i="11"/>
  <c r="O651" i="11"/>
  <c r="P651" i="11" s="1"/>
  <c r="AD651" i="11"/>
  <c r="O644" i="11"/>
  <c r="P644" i="11" s="1"/>
  <c r="AD644" i="11"/>
  <c r="O627" i="11"/>
  <c r="P627" i="11" s="1"/>
  <c r="AD627" i="11"/>
  <c r="O683" i="11"/>
  <c r="P683" i="11" s="1"/>
  <c r="AD683" i="11"/>
  <c r="O655" i="11"/>
  <c r="P655" i="11" s="1"/>
  <c r="AD655" i="11"/>
  <c r="O648" i="11"/>
  <c r="P648" i="11" s="1"/>
  <c r="AD648" i="11"/>
  <c r="O631" i="11"/>
  <c r="P631" i="11" s="1"/>
  <c r="AD631" i="11"/>
  <c r="O620" i="11"/>
  <c r="P620" i="11" s="1"/>
  <c r="AD620" i="11"/>
  <c r="O634" i="11"/>
  <c r="P634" i="11" s="1"/>
  <c r="AD634" i="11"/>
  <c r="O609" i="11"/>
  <c r="P609" i="11" s="1"/>
  <c r="AD609" i="11"/>
  <c r="O673" i="11"/>
  <c r="P673" i="11" s="1"/>
  <c r="AD673" i="11"/>
  <c r="O652" i="11"/>
  <c r="P652" i="11" s="1"/>
  <c r="AD652" i="11"/>
  <c r="O637" i="11"/>
  <c r="P637" i="11" s="1"/>
  <c r="AD637" i="11"/>
  <c r="O608" i="11"/>
  <c r="P608" i="11" s="1"/>
  <c r="AD608" i="11"/>
  <c r="O613" i="11"/>
  <c r="P613" i="11" s="1"/>
  <c r="AD613" i="11"/>
  <c r="O656" i="11"/>
  <c r="P656" i="11" s="1"/>
  <c r="AD656" i="11"/>
  <c r="O641" i="11"/>
  <c r="P641" i="11" s="1"/>
  <c r="AD641" i="11"/>
  <c r="O643" i="11"/>
  <c r="P643" i="11" s="1"/>
  <c r="AD643" i="11"/>
  <c r="O619" i="11"/>
  <c r="P619" i="11" s="1"/>
  <c r="AD619" i="11"/>
  <c r="O638" i="11"/>
  <c r="P638" i="11" s="1"/>
  <c r="AD638" i="11"/>
  <c r="O642" i="11"/>
  <c r="P642" i="11" s="1"/>
  <c r="AD642" i="11"/>
  <c r="O617" i="11"/>
  <c r="P617" i="11" s="1"/>
  <c r="AD617" i="11"/>
  <c r="O645" i="11"/>
  <c r="P645" i="11" s="1"/>
  <c r="AD645" i="11"/>
  <c r="O621" i="11"/>
  <c r="P621" i="11" s="1"/>
  <c r="AD621" i="11"/>
  <c r="O614" i="11"/>
  <c r="P614" i="11" s="1"/>
  <c r="AD614" i="11"/>
  <c r="O678" i="11"/>
  <c r="P678" i="11" s="1"/>
  <c r="AD678" i="11"/>
  <c r="O649" i="11"/>
  <c r="P649" i="11" s="1"/>
  <c r="AD649" i="11"/>
  <c r="O625" i="11"/>
  <c r="P625" i="11" s="1"/>
  <c r="AD625" i="11"/>
  <c r="O618" i="11"/>
  <c r="P618" i="11" s="1"/>
  <c r="AD618" i="11"/>
  <c r="O682" i="11"/>
  <c r="P682" i="11" s="1"/>
  <c r="AD682" i="11"/>
  <c r="O653" i="11"/>
  <c r="P653" i="11" s="1"/>
  <c r="AD653" i="11"/>
  <c r="O511" i="11"/>
  <c r="P511" i="11" s="1"/>
  <c r="AD511" i="11"/>
  <c r="O596" i="11"/>
  <c r="P596" i="11" s="1"/>
  <c r="AD596" i="11"/>
  <c r="O539" i="11"/>
  <c r="P539" i="11" s="1"/>
  <c r="AD539" i="11"/>
  <c r="O515" i="11"/>
  <c r="P515" i="11" s="1"/>
  <c r="AD515" i="11"/>
  <c r="O600" i="11"/>
  <c r="P600" i="11" s="1"/>
  <c r="AD600" i="11"/>
  <c r="O538" i="11"/>
  <c r="P538" i="11" s="1"/>
  <c r="AD538" i="11"/>
  <c r="O474" i="11"/>
  <c r="P474" i="11" s="1"/>
  <c r="AD474" i="11"/>
  <c r="O519" i="11"/>
  <c r="P519" i="11" s="1"/>
  <c r="AD519" i="11"/>
  <c r="O604" i="11"/>
  <c r="P604" i="11" s="1"/>
  <c r="AD604" i="11"/>
  <c r="O542" i="11"/>
  <c r="P542" i="11" s="1"/>
  <c r="AD542" i="11"/>
  <c r="O513" i="11"/>
  <c r="P513" i="11" s="1"/>
  <c r="AD513" i="11"/>
  <c r="O544" i="11"/>
  <c r="P544" i="11" s="1"/>
  <c r="AD544" i="11"/>
  <c r="O546" i="11"/>
  <c r="P546" i="11" s="1"/>
  <c r="AD546" i="11"/>
  <c r="O517" i="11"/>
  <c r="P517" i="11" s="1"/>
  <c r="AD517" i="11"/>
  <c r="O594" i="11"/>
  <c r="P594" i="11" s="1"/>
  <c r="AD594" i="11"/>
  <c r="O598" i="11"/>
  <c r="P598" i="11" s="1"/>
  <c r="AD598" i="11"/>
  <c r="O602" i="11"/>
  <c r="P602" i="11" s="1"/>
  <c r="AD602" i="11"/>
  <c r="O471" i="11"/>
  <c r="P471" i="11" s="1"/>
  <c r="AD471" i="11"/>
  <c r="O562" i="11"/>
  <c r="P562" i="11" s="1"/>
  <c r="AD562" i="11"/>
  <c r="O541" i="11"/>
  <c r="P541" i="11" s="1"/>
  <c r="AD541" i="11"/>
  <c r="O473" i="11"/>
  <c r="P473" i="11" s="1"/>
  <c r="AD473" i="11"/>
  <c r="O564" i="11"/>
  <c r="P564" i="11" s="1"/>
  <c r="AD564" i="11"/>
  <c r="O497" i="11"/>
  <c r="P497" i="11" s="1"/>
  <c r="AD497" i="11"/>
  <c r="O475" i="11"/>
  <c r="P475" i="11" s="1"/>
  <c r="AD475" i="11"/>
  <c r="O566" i="11"/>
  <c r="P566" i="11" s="1"/>
  <c r="AD566" i="11"/>
  <c r="O477" i="11"/>
  <c r="P477" i="11" s="1"/>
  <c r="AD477" i="11"/>
  <c r="O568" i="11"/>
  <c r="P568" i="11" s="1"/>
  <c r="AD568" i="11"/>
  <c r="O569" i="11"/>
  <c r="P569" i="11" s="1"/>
  <c r="AD569" i="11"/>
  <c r="O548" i="11"/>
  <c r="P548" i="11" s="1"/>
  <c r="AD548" i="11"/>
  <c r="O582" i="11"/>
  <c r="P582" i="11" s="1"/>
  <c r="AD582" i="11"/>
  <c r="O479" i="11"/>
  <c r="P479" i="11" s="1"/>
  <c r="AD479" i="11"/>
  <c r="O570" i="11"/>
  <c r="P570" i="11" s="1"/>
  <c r="AD570" i="11"/>
  <c r="O472" i="11"/>
  <c r="P472" i="11" s="1"/>
  <c r="AD472" i="11"/>
  <c r="O563" i="11"/>
  <c r="P563" i="11" s="1"/>
  <c r="AD563" i="11"/>
  <c r="O481" i="11"/>
  <c r="P481" i="11" s="1"/>
  <c r="AD481" i="11"/>
  <c r="O572" i="11"/>
  <c r="P572" i="11" s="1"/>
  <c r="AD572" i="11"/>
  <c r="O522" i="11"/>
  <c r="P522" i="11" s="1"/>
  <c r="AD522" i="11"/>
  <c r="O476" i="11"/>
  <c r="P476" i="11" s="1"/>
  <c r="AD476" i="11"/>
  <c r="O567" i="11"/>
  <c r="P567" i="11" s="1"/>
  <c r="AD567" i="11"/>
  <c r="O478" i="11"/>
  <c r="P478" i="11" s="1"/>
  <c r="AD478" i="11"/>
  <c r="O586" i="11"/>
  <c r="P586" i="11" s="1"/>
  <c r="AD586" i="11"/>
  <c r="O590" i="11"/>
  <c r="P590" i="11" s="1"/>
  <c r="AD590" i="11"/>
  <c r="O480" i="11"/>
  <c r="P480" i="11" s="1"/>
  <c r="AD480" i="11"/>
  <c r="O584" i="11"/>
  <c r="P584" i="11" s="1"/>
  <c r="AD584" i="11"/>
  <c r="O588" i="11"/>
  <c r="P588" i="11" s="1"/>
  <c r="AD588" i="11"/>
  <c r="O512" i="11"/>
  <c r="P512" i="11" s="1"/>
  <c r="AD512" i="11"/>
  <c r="O458" i="11"/>
  <c r="P458" i="11" s="1"/>
  <c r="AD458" i="11"/>
  <c r="O514" i="11"/>
  <c r="P514" i="11" s="1"/>
  <c r="AD514" i="11"/>
  <c r="O592" i="11"/>
  <c r="P592" i="11" s="1"/>
  <c r="AD592" i="11"/>
  <c r="O516" i="11"/>
  <c r="P516" i="11" s="1"/>
  <c r="AD516" i="11"/>
  <c r="O799" i="11"/>
  <c r="P799" i="11" s="1"/>
  <c r="O749" i="11"/>
  <c r="P749" i="11" s="1"/>
  <c r="O801" i="11"/>
  <c r="P801" i="11" s="1"/>
  <c r="O775" i="11"/>
  <c r="P775" i="11" s="1"/>
  <c r="O800" i="11"/>
  <c r="P800" i="11" s="1"/>
  <c r="O825" i="11"/>
  <c r="P825" i="11" s="1"/>
  <c r="W549" i="11"/>
  <c r="W559" i="11"/>
  <c r="W556" i="11"/>
  <c r="L549" i="11"/>
  <c r="U549" i="11" s="1"/>
  <c r="W553" i="11"/>
  <c r="L553" i="11"/>
  <c r="U553" i="11" s="1"/>
  <c r="W560" i="11"/>
  <c r="L557" i="11"/>
  <c r="U557" i="11" s="1"/>
  <c r="W557" i="11"/>
  <c r="L550" i="11"/>
  <c r="U550" i="11" s="1"/>
  <c r="L561" i="11"/>
  <c r="U561" i="11" s="1"/>
  <c r="L554" i="11"/>
  <c r="U554" i="11" s="1"/>
  <c r="W561" i="11"/>
  <c r="L558" i="11"/>
  <c r="U558" i="11" s="1"/>
  <c r="W550" i="11"/>
  <c r="L551" i="11"/>
  <c r="U551" i="11" s="1"/>
  <c r="L555" i="11"/>
  <c r="U555" i="11" s="1"/>
  <c r="W551" i="11"/>
  <c r="W554" i="11"/>
  <c r="L552" i="11"/>
  <c r="U552" i="11" s="1"/>
  <c r="L559" i="11"/>
  <c r="U559" i="11" s="1"/>
  <c r="L556" i="11"/>
  <c r="U556" i="11" s="1"/>
  <c r="W555" i="11"/>
  <c r="W558" i="11"/>
  <c r="L560" i="11"/>
  <c r="U560" i="11" s="1"/>
  <c r="W552" i="11"/>
  <c r="W523" i="11"/>
  <c r="W533" i="11"/>
  <c r="W530" i="11"/>
  <c r="L523" i="11"/>
  <c r="U523" i="11" s="1"/>
  <c r="W527" i="11"/>
  <c r="L527" i="11"/>
  <c r="U527" i="11" s="1"/>
  <c r="W534" i="11"/>
  <c r="L531" i="11"/>
  <c r="U531" i="11" s="1"/>
  <c r="W531" i="11"/>
  <c r="L524" i="11"/>
  <c r="U524" i="11" s="1"/>
  <c r="L535" i="11"/>
  <c r="U535" i="11" s="1"/>
  <c r="L528" i="11"/>
  <c r="U528" i="11" s="1"/>
  <c r="W535" i="11"/>
  <c r="L532" i="11"/>
  <c r="U532" i="11" s="1"/>
  <c r="W524" i="11"/>
  <c r="L525" i="11"/>
  <c r="U525" i="11" s="1"/>
  <c r="L529" i="11"/>
  <c r="U529" i="11" s="1"/>
  <c r="W525" i="11"/>
  <c r="W528" i="11"/>
  <c r="L526" i="11"/>
  <c r="U526" i="11" s="1"/>
  <c r="L533" i="11"/>
  <c r="U533" i="11" s="1"/>
  <c r="L530" i="11"/>
  <c r="U530" i="11" s="1"/>
  <c r="W529" i="11"/>
  <c r="W532" i="11"/>
  <c r="L534" i="11"/>
  <c r="U534" i="11" s="1"/>
  <c r="W526" i="11"/>
  <c r="W661" i="11"/>
  <c r="W671" i="11"/>
  <c r="W668" i="11"/>
  <c r="L661" i="11"/>
  <c r="U661" i="11" s="1"/>
  <c r="W665" i="11"/>
  <c r="L665" i="11"/>
  <c r="U665" i="11" s="1"/>
  <c r="W659" i="11"/>
  <c r="L669" i="11"/>
  <c r="U669" i="11" s="1"/>
  <c r="W669" i="11"/>
  <c r="L662" i="11"/>
  <c r="U662" i="11" s="1"/>
  <c r="L672" i="11"/>
  <c r="U672" i="11" s="1"/>
  <c r="L666" i="11"/>
  <c r="U666" i="11" s="1"/>
  <c r="W672" i="11"/>
  <c r="L670" i="11"/>
  <c r="U670" i="11" s="1"/>
  <c r="W662" i="11"/>
  <c r="L663" i="11"/>
  <c r="U663" i="11" s="1"/>
  <c r="L667" i="11"/>
  <c r="U667" i="11" s="1"/>
  <c r="W663" i="11"/>
  <c r="W666" i="11"/>
  <c r="L664" i="11"/>
  <c r="U664" i="11" s="1"/>
  <c r="L671" i="11"/>
  <c r="U671" i="11" s="1"/>
  <c r="L668" i="11"/>
  <c r="U668" i="11" s="1"/>
  <c r="W667" i="11"/>
  <c r="W670" i="11"/>
  <c r="L659" i="11"/>
  <c r="U659" i="11" s="1"/>
  <c r="W664" i="11"/>
  <c r="O633" i="11"/>
  <c r="P633" i="11" s="1"/>
  <c r="AD633" i="11"/>
  <c r="W633" i="11"/>
  <c r="W498" i="11"/>
  <c r="W508" i="11"/>
  <c r="W505" i="11"/>
  <c r="L498" i="11"/>
  <c r="U498" i="11" s="1"/>
  <c r="W502" i="11"/>
  <c r="L502" i="11"/>
  <c r="U502" i="11" s="1"/>
  <c r="W496" i="11"/>
  <c r="L506" i="11"/>
  <c r="U506" i="11" s="1"/>
  <c r="W506" i="11"/>
  <c r="L499" i="11"/>
  <c r="U499" i="11" s="1"/>
  <c r="L509" i="11"/>
  <c r="U509" i="11" s="1"/>
  <c r="L503" i="11"/>
  <c r="U503" i="11" s="1"/>
  <c r="W509" i="11"/>
  <c r="L507" i="11"/>
  <c r="U507" i="11" s="1"/>
  <c r="W499" i="11"/>
  <c r="L500" i="11"/>
  <c r="U500" i="11" s="1"/>
  <c r="L504" i="11"/>
  <c r="U504" i="11" s="1"/>
  <c r="W500" i="11"/>
  <c r="W503" i="11"/>
  <c r="L501" i="11"/>
  <c r="U501" i="11" s="1"/>
  <c r="L508" i="11"/>
  <c r="U508" i="11" s="1"/>
  <c r="L505" i="11"/>
  <c r="U505" i="11" s="1"/>
  <c r="W504" i="11"/>
  <c r="W507" i="11"/>
  <c r="L496" i="11"/>
  <c r="U496" i="11" s="1"/>
  <c r="W501" i="11"/>
  <c r="W306" i="11"/>
  <c r="W316" i="11"/>
  <c r="W313" i="11"/>
  <c r="L306" i="11"/>
  <c r="U306" i="11" s="1"/>
  <c r="W310" i="11"/>
  <c r="L310" i="11"/>
  <c r="U310" i="11" s="1"/>
  <c r="W304" i="11"/>
  <c r="L314" i="11"/>
  <c r="U314" i="11" s="1"/>
  <c r="W314" i="11"/>
  <c r="L307" i="11"/>
  <c r="U307" i="11" s="1"/>
  <c r="L317" i="11"/>
  <c r="U317" i="11" s="1"/>
  <c r="L311" i="11"/>
  <c r="U311" i="11" s="1"/>
  <c r="W317" i="11"/>
  <c r="L315" i="11"/>
  <c r="U315" i="11" s="1"/>
  <c r="W307" i="11"/>
  <c r="L308" i="11"/>
  <c r="U308" i="11" s="1"/>
  <c r="L312" i="11"/>
  <c r="U312" i="11" s="1"/>
  <c r="W308" i="11"/>
  <c r="W311" i="11"/>
  <c r="L309" i="11"/>
  <c r="U309" i="11" s="1"/>
  <c r="L316" i="11"/>
  <c r="U316" i="11" s="1"/>
  <c r="L313" i="11"/>
  <c r="U313" i="11" s="1"/>
  <c r="W312" i="11"/>
  <c r="W315" i="11"/>
  <c r="L304" i="11"/>
  <c r="U304" i="11" s="1"/>
  <c r="W309" i="11"/>
  <c r="W305" i="11"/>
  <c r="L305" i="11"/>
  <c r="U305" i="11" s="1"/>
  <c r="R85" i="10"/>
  <c r="L461" i="11"/>
  <c r="U461" i="11" s="1"/>
  <c r="L465" i="11"/>
  <c r="U465" i="11" s="1"/>
  <c r="L469" i="11"/>
  <c r="U469" i="11" s="1"/>
  <c r="L462" i="11"/>
  <c r="U462" i="11" s="1"/>
  <c r="L466" i="11"/>
  <c r="U466" i="11" s="1"/>
  <c r="L457" i="11"/>
  <c r="U457" i="11" s="1"/>
  <c r="L459" i="11"/>
  <c r="U459" i="11" s="1"/>
  <c r="L463" i="11"/>
  <c r="U463" i="11" s="1"/>
  <c r="L467" i="11"/>
  <c r="U467" i="11" s="1"/>
  <c r="L460" i="11"/>
  <c r="U460" i="11" s="1"/>
  <c r="L464" i="11"/>
  <c r="U464" i="11" s="1"/>
  <c r="L468" i="11"/>
  <c r="U468" i="11" s="1"/>
  <c r="L470" i="11"/>
  <c r="U470" i="11" s="1"/>
  <c r="W748" i="11"/>
  <c r="L748" i="11"/>
  <c r="U748" i="11" s="1"/>
  <c r="L774" i="11"/>
  <c r="U774" i="11" s="1"/>
  <c r="R87" i="10"/>
  <c r="R83" i="10"/>
  <c r="L810" i="11"/>
  <c r="U810" i="11" s="1"/>
  <c r="W840" i="11"/>
  <c r="W822" i="11"/>
  <c r="L812" i="11"/>
  <c r="U812" i="11" s="1"/>
  <c r="W838" i="11"/>
  <c r="W820" i="11"/>
  <c r="L805" i="11"/>
  <c r="U805" i="11" s="1"/>
  <c r="L838" i="11"/>
  <c r="U838" i="11" s="1"/>
  <c r="L820" i="11"/>
  <c r="U820" i="11" s="1"/>
  <c r="L794" i="11"/>
  <c r="U794" i="11" s="1"/>
  <c r="L776" i="11"/>
  <c r="U776" i="11" s="1"/>
  <c r="L758" i="11"/>
  <c r="U758" i="11" s="1"/>
  <c r="W793" i="11"/>
  <c r="W775" i="11"/>
  <c r="W757" i="11"/>
  <c r="L784" i="11"/>
  <c r="U784" i="11" s="1"/>
  <c r="L766" i="11"/>
  <c r="U766" i="11" s="1"/>
  <c r="L807" i="11"/>
  <c r="U807" i="11" s="1"/>
  <c r="L839" i="11"/>
  <c r="U839" i="11" s="1"/>
  <c r="L821" i="11"/>
  <c r="U821" i="11" s="1"/>
  <c r="L814" i="11"/>
  <c r="U814" i="11" s="1"/>
  <c r="L837" i="11"/>
  <c r="U837" i="11" s="1"/>
  <c r="L819" i="11"/>
  <c r="U819" i="11" s="1"/>
  <c r="L802" i="11"/>
  <c r="U802" i="11" s="1"/>
  <c r="W836" i="11"/>
  <c r="W818" i="11"/>
  <c r="W810" i="11"/>
  <c r="W792" i="11"/>
  <c r="W774" i="11"/>
  <c r="W756" i="11"/>
  <c r="L792" i="11"/>
  <c r="U792" i="11" s="1"/>
  <c r="L756" i="11"/>
  <c r="U756" i="11" s="1"/>
  <c r="W782" i="11"/>
  <c r="W764" i="11"/>
  <c r="L804" i="11"/>
  <c r="U804" i="11" s="1"/>
  <c r="W837" i="11"/>
  <c r="W819" i="11"/>
  <c r="W794" i="11"/>
  <c r="W835" i="11"/>
  <c r="W817" i="11"/>
  <c r="L773" i="11"/>
  <c r="U773" i="11" s="1"/>
  <c r="L835" i="11"/>
  <c r="U835" i="11" s="1"/>
  <c r="L815" i="11"/>
  <c r="U815" i="11" s="1"/>
  <c r="L809" i="11"/>
  <c r="U809" i="11" s="1"/>
  <c r="L791" i="11"/>
  <c r="U791" i="11" s="1"/>
  <c r="L747" i="11"/>
  <c r="U747" i="11" s="1"/>
  <c r="L755" i="11"/>
  <c r="U755" i="11" s="1"/>
  <c r="W790" i="11"/>
  <c r="W746" i="11"/>
  <c r="W754" i="11"/>
  <c r="L781" i="11"/>
  <c r="U781" i="11" s="1"/>
  <c r="L763" i="11"/>
  <c r="U763" i="11" s="1"/>
  <c r="L836" i="11"/>
  <c r="U836" i="11" s="1"/>
  <c r="L818" i="11"/>
  <c r="U818" i="11" s="1"/>
  <c r="W791" i="11"/>
  <c r="L834" i="11"/>
  <c r="U834" i="11" s="1"/>
  <c r="W815" i="11"/>
  <c r="W825" i="11"/>
  <c r="W833" i="11"/>
  <c r="L813" i="11"/>
  <c r="U813" i="11" s="1"/>
  <c r="W807" i="11"/>
  <c r="W789" i="11"/>
  <c r="W771" i="11"/>
  <c r="W753" i="11"/>
  <c r="L789" i="11"/>
  <c r="U789" i="11" s="1"/>
  <c r="L771" i="11"/>
  <c r="U771" i="11" s="1"/>
  <c r="L753" i="11"/>
  <c r="U753" i="11" s="1"/>
  <c r="W779" i="11"/>
  <c r="W761" i="11"/>
  <c r="W834" i="11"/>
  <c r="W824" i="11"/>
  <c r="W832" i="11"/>
  <c r="W811" i="11"/>
  <c r="L832" i="11"/>
  <c r="U832" i="11" s="1"/>
  <c r="L806" i="11"/>
  <c r="U806" i="11" s="1"/>
  <c r="L788" i="11"/>
  <c r="U788" i="11" s="1"/>
  <c r="L770" i="11"/>
  <c r="U770" i="11" s="1"/>
  <c r="L752" i="11"/>
  <c r="U752" i="11" s="1"/>
  <c r="W787" i="11"/>
  <c r="W769" i="11"/>
  <c r="W751" i="11"/>
  <c r="L778" i="11"/>
  <c r="U778" i="11" s="1"/>
  <c r="L760" i="11"/>
  <c r="U760" i="11" s="1"/>
  <c r="W816" i="11"/>
  <c r="L833" i="11"/>
  <c r="U833" i="11" s="1"/>
  <c r="W814" i="11"/>
  <c r="L849" i="11"/>
  <c r="U849" i="11" s="1"/>
  <c r="L831" i="11"/>
  <c r="U831" i="11" s="1"/>
  <c r="W808" i="11"/>
  <c r="W848" i="11"/>
  <c r="W830" i="11"/>
  <c r="W804" i="11"/>
  <c r="W786" i="11"/>
  <c r="W768" i="11"/>
  <c r="W750" i="11"/>
  <c r="L786" i="11"/>
  <c r="U786" i="11" s="1"/>
  <c r="L768" i="11"/>
  <c r="U768" i="11" s="1"/>
  <c r="L750" i="11"/>
  <c r="U750" i="11" s="1"/>
  <c r="W776" i="11"/>
  <c r="W758" i="11"/>
  <c r="W812" i="11"/>
  <c r="W849" i="11"/>
  <c r="W831" i="11"/>
  <c r="W809" i="11"/>
  <c r="W847" i="11"/>
  <c r="W805" i="11"/>
  <c r="L793" i="11"/>
  <c r="U793" i="11" s="1"/>
  <c r="L847" i="11"/>
  <c r="U847" i="11" s="1"/>
  <c r="L803" i="11"/>
  <c r="U803" i="11" s="1"/>
  <c r="L785" i="11"/>
  <c r="U785" i="11" s="1"/>
  <c r="L767" i="11"/>
  <c r="U767" i="11" s="1"/>
  <c r="W784" i="11"/>
  <c r="W766" i="11"/>
  <c r="L757" i="11"/>
  <c r="U757" i="11" s="1"/>
  <c r="L848" i="11"/>
  <c r="U848" i="11" s="1"/>
  <c r="L830" i="11"/>
  <c r="U830" i="11" s="1"/>
  <c r="W806" i="11"/>
  <c r="L846" i="11"/>
  <c r="U846" i="11" s="1"/>
  <c r="W802" i="11"/>
  <c r="L790" i="11"/>
  <c r="U790" i="11" s="1"/>
  <c r="L817" i="11"/>
  <c r="U817" i="11" s="1"/>
  <c r="W845" i="11"/>
  <c r="W801" i="11"/>
  <c r="W783" i="11"/>
  <c r="W765" i="11"/>
  <c r="L783" i="11"/>
  <c r="U783" i="11" s="1"/>
  <c r="L765" i="11"/>
  <c r="U765" i="11" s="1"/>
  <c r="W747" i="11"/>
  <c r="W755" i="11"/>
  <c r="W846" i="11"/>
  <c r="W803" i="11"/>
  <c r="W844" i="11"/>
  <c r="W773" i="11"/>
  <c r="L844" i="11"/>
  <c r="U844" i="11" s="1"/>
  <c r="L782" i="11"/>
  <c r="U782" i="11" s="1"/>
  <c r="L764" i="11"/>
  <c r="U764" i="11" s="1"/>
  <c r="W781" i="11"/>
  <c r="W763" i="11"/>
  <c r="L754" i="11"/>
  <c r="U754" i="11" s="1"/>
  <c r="L845" i="11"/>
  <c r="U845" i="11" s="1"/>
  <c r="W800" i="11"/>
  <c r="L843" i="11"/>
  <c r="U843" i="11" s="1"/>
  <c r="W842" i="11"/>
  <c r="W798" i="11"/>
  <c r="W772" i="11"/>
  <c r="W780" i="11"/>
  <c r="W762" i="11"/>
  <c r="L780" i="11"/>
  <c r="U780" i="11" s="1"/>
  <c r="L762" i="11"/>
  <c r="U762" i="11" s="1"/>
  <c r="W788" i="11"/>
  <c r="W770" i="11"/>
  <c r="W752" i="11"/>
  <c r="W843" i="11"/>
  <c r="W799" i="11"/>
  <c r="W797" i="11"/>
  <c r="W841" i="11"/>
  <c r="W823" i="11"/>
  <c r="W813" i="11"/>
  <c r="L811" i="11"/>
  <c r="U811" i="11" s="1"/>
  <c r="L841" i="11"/>
  <c r="U841" i="11" s="1"/>
  <c r="L823" i="11"/>
  <c r="U823" i="11" s="1"/>
  <c r="L797" i="11"/>
  <c r="U797" i="11" s="1"/>
  <c r="L779" i="11"/>
  <c r="U779" i="11" s="1"/>
  <c r="L761" i="11"/>
  <c r="U761" i="11" s="1"/>
  <c r="W796" i="11"/>
  <c r="W778" i="11"/>
  <c r="W760" i="11"/>
  <c r="L787" i="11"/>
  <c r="U787" i="11" s="1"/>
  <c r="L769" i="11"/>
  <c r="U769" i="11" s="1"/>
  <c r="L751" i="11"/>
  <c r="U751" i="11" s="1"/>
  <c r="L842" i="11"/>
  <c r="U842" i="11" s="1"/>
  <c r="L816" i="11"/>
  <c r="U816" i="11" s="1"/>
  <c r="L840" i="11"/>
  <c r="U840" i="11" s="1"/>
  <c r="L822" i="11"/>
  <c r="U822" i="11" s="1"/>
  <c r="L796" i="11"/>
  <c r="U796" i="11" s="1"/>
  <c r="L808" i="11"/>
  <c r="U808" i="11" s="1"/>
  <c r="W839" i="11"/>
  <c r="W821" i="11"/>
  <c r="W795" i="11"/>
  <c r="W777" i="11"/>
  <c r="W759" i="11"/>
  <c r="L795" i="11"/>
  <c r="U795" i="11" s="1"/>
  <c r="L777" i="11"/>
  <c r="U777" i="11" s="1"/>
  <c r="L759" i="11"/>
  <c r="U759" i="11" s="1"/>
  <c r="W785" i="11"/>
  <c r="W767" i="11"/>
  <c r="W749" i="11"/>
  <c r="R79" i="10"/>
  <c r="R82" i="10"/>
  <c r="R88" i="10"/>
  <c r="R78" i="10"/>
  <c r="O93" i="7"/>
  <c r="O75" i="7"/>
  <c r="O113" i="7"/>
  <c r="O68" i="7"/>
  <c r="R785" i="10"/>
  <c r="R490" i="10"/>
  <c r="R491" i="10"/>
  <c r="R524" i="10"/>
  <c r="R560" i="10"/>
  <c r="R538" i="10"/>
  <c r="R562" i="10"/>
  <c r="R540" i="10"/>
  <c r="R566" i="10"/>
  <c r="R556" i="10"/>
  <c r="R487" i="10"/>
  <c r="R819" i="10"/>
  <c r="R781" i="10"/>
  <c r="R754" i="10"/>
  <c r="R760" i="10"/>
  <c r="R834" i="10"/>
  <c r="R814" i="10"/>
  <c r="R606" i="10"/>
  <c r="R618" i="10"/>
  <c r="R647" i="10"/>
  <c r="R744" i="10"/>
  <c r="R661" i="10"/>
  <c r="R579" i="10"/>
  <c r="R766" i="10"/>
  <c r="R718" i="10"/>
  <c r="R768" i="10"/>
  <c r="R555" i="10"/>
  <c r="R577" i="10"/>
  <c r="R747" i="10"/>
  <c r="R670" i="10"/>
  <c r="R689" i="10"/>
  <c r="R775" i="10"/>
  <c r="R500" i="10"/>
  <c r="R777" i="10"/>
  <c r="R578" i="10"/>
  <c r="R778" i="10"/>
  <c r="R813" i="10"/>
  <c r="R783" i="10"/>
  <c r="R598" i="10"/>
  <c r="R610" i="10"/>
  <c r="R640" i="10"/>
  <c r="R644" i="10"/>
  <c r="R738" i="10"/>
  <c r="R636" i="10"/>
  <c r="R645" i="10"/>
  <c r="R599" i="10"/>
  <c r="R601" i="10"/>
  <c r="R504" i="10"/>
  <c r="R674" i="10"/>
  <c r="R567" i="10"/>
  <c r="R591" i="10"/>
  <c r="R684" i="10"/>
  <c r="R709" i="10"/>
  <c r="R692" i="10"/>
  <c r="R687" i="10"/>
  <c r="R575" i="10"/>
  <c r="R660" i="10"/>
  <c r="R685" i="10"/>
  <c r="R611" i="10"/>
  <c r="R513" i="10"/>
  <c r="R508" i="10"/>
  <c r="R514" i="10"/>
  <c r="R536" i="10"/>
  <c r="R572" i="10"/>
  <c r="R584" i="10"/>
  <c r="R574" i="10"/>
  <c r="R586" i="10"/>
  <c r="R779" i="10"/>
  <c r="R580" i="10"/>
  <c r="R630" i="10"/>
  <c r="R634" i="10"/>
  <c r="R626" i="10"/>
  <c r="R762" i="10"/>
  <c r="R792" i="10"/>
  <c r="R832" i="10"/>
  <c r="R732" i="10"/>
  <c r="R753" i="10"/>
  <c r="R759" i="10"/>
  <c r="R712" i="10"/>
  <c r="R631" i="10"/>
  <c r="R702" i="10"/>
  <c r="R770" i="10"/>
  <c r="R710" i="10"/>
  <c r="R668" i="10"/>
  <c r="R559" i="10"/>
  <c r="R719" i="10"/>
  <c r="R751" i="10"/>
  <c r="R746" i="10"/>
  <c r="R705" i="10"/>
  <c r="R773" i="10"/>
  <c r="R665" i="10"/>
  <c r="R633" i="10"/>
  <c r="R501" i="10"/>
  <c r="R588" i="10"/>
  <c r="R805" i="10"/>
  <c r="R826" i="10"/>
  <c r="R816" i="10"/>
  <c r="R734" i="10"/>
  <c r="R794" i="10"/>
  <c r="R736" i="10"/>
  <c r="R804" i="10"/>
  <c r="R798" i="10"/>
  <c r="R731" i="10"/>
  <c r="R748" i="10"/>
  <c r="R629" i="10"/>
  <c r="R554" i="10"/>
  <c r="R655" i="10"/>
  <c r="R557" i="10"/>
  <c r="R657" i="10"/>
  <c r="R688" i="10"/>
  <c r="R725" i="10"/>
  <c r="R533" i="10"/>
  <c r="R561" i="10"/>
  <c r="R741" i="10"/>
  <c r="R664" i="10"/>
  <c r="R683" i="10"/>
  <c r="R769" i="10"/>
  <c r="R493" i="10"/>
  <c r="R522" i="10"/>
  <c r="R534" i="10"/>
  <c r="R594" i="10"/>
  <c r="R528" i="10"/>
  <c r="R570" i="10"/>
  <c r="R564" i="10"/>
  <c r="R511" i="10"/>
  <c r="R488" i="10"/>
  <c r="R590" i="10"/>
  <c r="R818" i="10"/>
  <c r="R811" i="10"/>
  <c r="R807" i="10"/>
  <c r="R800" i="10"/>
  <c r="R730" i="10"/>
  <c r="R726" i="10"/>
  <c r="R608" i="10"/>
  <c r="R620" i="10"/>
  <c r="R812" i="10"/>
  <c r="R656" i="10"/>
  <c r="R706" i="10"/>
  <c r="R583" i="10"/>
  <c r="R593" i="10"/>
  <c r="R499" i="10"/>
  <c r="R771" i="10"/>
  <c r="R605" i="10"/>
  <c r="R531" i="10"/>
  <c r="R678" i="10"/>
  <c r="R703" i="10"/>
  <c r="R635" i="10"/>
  <c r="R669" i="10"/>
  <c r="R523" i="10"/>
  <c r="R654" i="10"/>
  <c r="R550" i="10"/>
  <c r="R506" i="10"/>
  <c r="R803" i="10"/>
  <c r="R793" i="10"/>
  <c r="R817" i="10"/>
  <c r="R764" i="10"/>
  <c r="R763" i="10"/>
  <c r="R796" i="10"/>
  <c r="R784" i="10"/>
  <c r="R755" i="10"/>
  <c r="R761" i="10"/>
  <c r="R573" i="10"/>
  <c r="R742" i="10"/>
  <c r="R615" i="10"/>
  <c r="R696" i="10"/>
  <c r="R679" i="10"/>
  <c r="R603" i="10"/>
  <c r="R723" i="10"/>
  <c r="R681" i="10"/>
  <c r="R701" i="10"/>
  <c r="R745" i="10"/>
  <c r="R740" i="10"/>
  <c r="R699" i="10"/>
  <c r="R767" i="10"/>
  <c r="R653" i="10"/>
  <c r="R497" i="10"/>
  <c r="R544" i="10"/>
  <c r="R545" i="10"/>
  <c r="R582" i="10"/>
  <c r="R509" i="10"/>
  <c r="R791" i="10"/>
  <c r="R516" i="10"/>
  <c r="R576" i="10"/>
  <c r="R787" i="10"/>
  <c r="R507" i="10"/>
  <c r="R646" i="10"/>
  <c r="R642" i="10"/>
  <c r="R820" i="10"/>
  <c r="R757" i="10"/>
  <c r="R616" i="10"/>
  <c r="R596" i="10"/>
  <c r="R600" i="10"/>
  <c r="R612" i="10"/>
  <c r="R802" i="10"/>
  <c r="R765" i="10"/>
  <c r="R643" i="10"/>
  <c r="R613" i="10"/>
  <c r="R539" i="10"/>
  <c r="R625" i="10"/>
  <c r="R496" i="10"/>
  <c r="R662" i="10"/>
  <c r="R682" i="10"/>
  <c r="R713" i="10"/>
  <c r="R495" i="10"/>
  <c r="R529" i="10"/>
  <c r="R565" i="10"/>
  <c r="R658" i="10"/>
  <c r="R671" i="10"/>
  <c r="R521" i="10"/>
  <c r="R530" i="10"/>
  <c r="R825" i="10"/>
  <c r="R809" i="10"/>
  <c r="R795" i="10"/>
  <c r="R604" i="10"/>
  <c r="R830" i="10"/>
  <c r="R808" i="10"/>
  <c r="R735" i="10"/>
  <c r="R624" i="10"/>
  <c r="R673" i="10"/>
  <c r="R595" i="10"/>
  <c r="R492" i="10"/>
  <c r="R700" i="10"/>
  <c r="R774" i="10"/>
  <c r="R720" i="10"/>
  <c r="R721" i="10"/>
  <c r="R704" i="10"/>
  <c r="R589" i="10"/>
  <c r="R749" i="10"/>
  <c r="R672" i="10"/>
  <c r="R697" i="10"/>
  <c r="R627" i="10"/>
  <c r="R651" i="10"/>
  <c r="R503" i="10"/>
  <c r="R502" i="10"/>
  <c r="R789" i="10"/>
  <c r="R558" i="10"/>
  <c r="R790" i="10"/>
  <c r="R515" i="10"/>
  <c r="R486" i="10"/>
  <c r="R526" i="10"/>
  <c r="R505" i="10"/>
  <c r="R512" i="10"/>
  <c r="R532" i="10"/>
  <c r="R638" i="10"/>
  <c r="R824" i="10"/>
  <c r="R822" i="10"/>
  <c r="R833" i="10"/>
  <c r="R628" i="10"/>
  <c r="R632" i="10"/>
  <c r="R782" i="10"/>
  <c r="R756" i="10"/>
  <c r="R617" i="10"/>
  <c r="R541" i="10"/>
  <c r="R722" i="10"/>
  <c r="R637" i="10"/>
  <c r="R607" i="10"/>
  <c r="R648" i="10"/>
  <c r="R649" i="10"/>
  <c r="R551" i="10"/>
  <c r="R717" i="10"/>
  <c r="R663" i="10"/>
  <c r="R695" i="10"/>
  <c r="R739" i="10"/>
  <c r="R571" i="10"/>
  <c r="R693" i="10"/>
  <c r="R724" i="10"/>
  <c r="R569" i="10"/>
  <c r="R518" i="10"/>
  <c r="R797" i="10"/>
  <c r="R801" i="10"/>
  <c r="R815" i="10"/>
  <c r="R737" i="10"/>
  <c r="R829" i="10"/>
  <c r="R729" i="10"/>
  <c r="R810" i="10"/>
  <c r="R728" i="10"/>
  <c r="R714" i="10"/>
  <c r="R667" i="10"/>
  <c r="R587" i="10"/>
  <c r="R772" i="10"/>
  <c r="R597" i="10"/>
  <c r="R639" i="10"/>
  <c r="R585" i="10"/>
  <c r="R537" i="10"/>
  <c r="R650" i="10"/>
  <c r="R676" i="10"/>
  <c r="R707" i="10"/>
  <c r="R525" i="10"/>
  <c r="R553" i="10"/>
  <c r="R543" i="10"/>
  <c r="R652" i="10"/>
  <c r="R788" i="10"/>
  <c r="R542" i="10"/>
  <c r="R592" i="10"/>
  <c r="R548" i="10"/>
  <c r="R546" i="10"/>
  <c r="R517" i="10"/>
  <c r="R547" i="10"/>
  <c r="R510" i="10"/>
  <c r="R520" i="10"/>
  <c r="R568" i="10"/>
  <c r="R827" i="10"/>
  <c r="R821" i="10"/>
  <c r="R828" i="10"/>
  <c r="R835" i="10"/>
  <c r="R733" i="10"/>
  <c r="R831" i="10"/>
  <c r="R614" i="10"/>
  <c r="R806" i="10"/>
  <c r="R750" i="10"/>
  <c r="R609" i="10"/>
  <c r="R519" i="10"/>
  <c r="R686" i="10"/>
  <c r="R694" i="10"/>
  <c r="R659" i="10"/>
  <c r="R690" i="10"/>
  <c r="R715" i="10"/>
  <c r="R698" i="10"/>
  <c r="R581" i="10"/>
  <c r="R743" i="10"/>
  <c r="R666" i="10"/>
  <c r="R691" i="10"/>
  <c r="R619" i="10"/>
  <c r="R680" i="10"/>
  <c r="R549" i="10"/>
  <c r="R786" i="10"/>
  <c r="R823" i="10"/>
  <c r="R622" i="10"/>
  <c r="R799" i="10"/>
  <c r="R727" i="10"/>
  <c r="R780" i="10"/>
  <c r="R602" i="10"/>
  <c r="R752" i="10"/>
  <c r="R758" i="10"/>
  <c r="R623" i="10"/>
  <c r="R708" i="10"/>
  <c r="R776" i="10"/>
  <c r="R716" i="10"/>
  <c r="R621" i="10"/>
  <c r="R498" i="10"/>
  <c r="R494" i="10"/>
  <c r="R563" i="10"/>
  <c r="R535" i="10"/>
  <c r="R711" i="10"/>
  <c r="R552" i="10"/>
  <c r="R677" i="10"/>
  <c r="R641" i="10"/>
  <c r="R527" i="10"/>
  <c r="R675" i="10"/>
  <c r="R489" i="10"/>
  <c r="R89" i="10"/>
  <c r="R80" i="10"/>
  <c r="R84" i="10"/>
  <c r="R86" i="10"/>
  <c r="R81" i="10"/>
  <c r="O78" i="7"/>
  <c r="O101" i="7"/>
  <c r="O126" i="7"/>
  <c r="J17" i="9"/>
  <c r="J103" i="9"/>
  <c r="J12" i="9"/>
  <c r="J69" i="9"/>
  <c r="J70" i="9"/>
  <c r="N145" i="2"/>
  <c r="N138" i="2"/>
  <c r="N146" i="2"/>
  <c r="N126" i="2"/>
  <c r="N148" i="2"/>
  <c r="N133" i="2"/>
  <c r="N129" i="2"/>
  <c r="N144" i="2"/>
  <c r="N141" i="2"/>
  <c r="AD493" i="11"/>
  <c r="AD489" i="11"/>
  <c r="AD485" i="11"/>
  <c r="AD494" i="11"/>
  <c r="AD484" i="11"/>
  <c r="AD491" i="11"/>
  <c r="AD492" i="11"/>
  <c r="AD487" i="11"/>
  <c r="AD488" i="11"/>
  <c r="AD490" i="11"/>
  <c r="AD660" i="11"/>
  <c r="R406" i="10"/>
  <c r="W678" i="11"/>
  <c r="L681" i="11"/>
  <c r="U681" i="11" s="1"/>
  <c r="W582" i="11"/>
  <c r="W562" i="11"/>
  <c r="W537" i="11"/>
  <c r="W512" i="11"/>
  <c r="L610" i="11"/>
  <c r="U610" i="11" s="1"/>
  <c r="W652" i="11"/>
  <c r="W627" i="11"/>
  <c r="W602" i="11"/>
  <c r="W570" i="11"/>
  <c r="W519" i="11"/>
  <c r="W538" i="11"/>
  <c r="L622" i="11"/>
  <c r="U622" i="11" s="1"/>
  <c r="W616" i="11"/>
  <c r="L628" i="11"/>
  <c r="U628" i="11" s="1"/>
  <c r="W608" i="11"/>
  <c r="W584" i="11"/>
  <c r="W564" i="11"/>
  <c r="W539" i="11"/>
  <c r="L636" i="11"/>
  <c r="U636" i="11" s="1"/>
  <c r="W514" i="11"/>
  <c r="W653" i="11"/>
  <c r="L540" i="11"/>
  <c r="U540" i="11" s="1"/>
  <c r="W628" i="11"/>
  <c r="W571" i="11"/>
  <c r="W520" i="11"/>
  <c r="W641" i="11"/>
  <c r="L518" i="11"/>
  <c r="U518" i="11" s="1"/>
  <c r="W620" i="11"/>
  <c r="W609" i="11"/>
  <c r="W596" i="11"/>
  <c r="W565" i="11"/>
  <c r="W540" i="11"/>
  <c r="W679" i="11"/>
  <c r="W642" i="11"/>
  <c r="W617" i="11"/>
  <c r="W592" i="11"/>
  <c r="W546" i="11"/>
  <c r="W594" i="11"/>
  <c r="W513" i="11"/>
  <c r="W634" i="11"/>
  <c r="W621" i="11"/>
  <c r="W610" i="11"/>
  <c r="AC610" i="11" s="1"/>
  <c r="L483" i="11"/>
  <c r="U483" i="11" s="1"/>
  <c r="W586" i="11"/>
  <c r="L674" i="11"/>
  <c r="U674" i="11" s="1"/>
  <c r="W566" i="11"/>
  <c r="W515" i="11"/>
  <c r="L612" i="11"/>
  <c r="U612" i="11" s="1"/>
  <c r="W654" i="11"/>
  <c r="W629" i="11"/>
  <c r="W604" i="11"/>
  <c r="L680" i="11"/>
  <c r="U680" i="11" s="1"/>
  <c r="W572" i="11"/>
  <c r="W646" i="11"/>
  <c r="L545" i="11"/>
  <c r="U545" i="11" s="1"/>
  <c r="W635" i="11"/>
  <c r="L520" i="11"/>
  <c r="U520" i="11" s="1"/>
  <c r="W622" i="11"/>
  <c r="W611" i="11"/>
  <c r="W598" i="11"/>
  <c r="W541" i="11"/>
  <c r="L624" i="11"/>
  <c r="U624" i="11" s="1"/>
  <c r="W680" i="11"/>
  <c r="W643" i="11"/>
  <c r="W618" i="11"/>
  <c r="W563" i="11"/>
  <c r="L565" i="11"/>
  <c r="U565" i="11" s="1"/>
  <c r="W660" i="11"/>
  <c r="L571" i="11"/>
  <c r="U571" i="11" s="1"/>
  <c r="W647" i="11"/>
  <c r="W636" i="11"/>
  <c r="AC636" i="11" s="1"/>
  <c r="W623" i="11"/>
  <c r="L510" i="11"/>
  <c r="U510" i="11" s="1"/>
  <c r="W612" i="11"/>
  <c r="W567" i="11"/>
  <c r="W516" i="11"/>
  <c r="W655" i="11"/>
  <c r="W630" i="11"/>
  <c r="W673" i="11"/>
  <c r="W648" i="11"/>
  <c r="W637" i="11"/>
  <c r="L536" i="11"/>
  <c r="U536" i="11" s="1"/>
  <c r="W624" i="11"/>
  <c r="W613" i="11"/>
  <c r="W588" i="11"/>
  <c r="W542" i="11"/>
  <c r="W681" i="11"/>
  <c r="W644" i="11"/>
  <c r="W619" i="11"/>
  <c r="W674" i="11"/>
  <c r="W649" i="11"/>
  <c r="W638" i="11"/>
  <c r="L537" i="11"/>
  <c r="U537" i="11" s="1"/>
  <c r="W625" i="11"/>
  <c r="L486" i="11"/>
  <c r="U486" i="11" s="1"/>
  <c r="W600" i="11"/>
  <c r="L676" i="11"/>
  <c r="U676" i="11" s="1"/>
  <c r="W568" i="11"/>
  <c r="W517" i="11"/>
  <c r="W656" i="11"/>
  <c r="L543" i="11"/>
  <c r="U543" i="11" s="1"/>
  <c r="W631" i="11"/>
  <c r="W497" i="11"/>
  <c r="W675" i="11"/>
  <c r="W650" i="11"/>
  <c r="W639" i="11"/>
  <c r="W614" i="11"/>
  <c r="W543" i="11"/>
  <c r="W682" i="11"/>
  <c r="W645" i="11"/>
  <c r="W522" i="11"/>
  <c r="L630" i="11"/>
  <c r="U630" i="11" s="1"/>
  <c r="W510" i="11"/>
  <c r="W676" i="11"/>
  <c r="W651" i="11"/>
  <c r="W626" i="11"/>
  <c r="L677" i="11"/>
  <c r="U677" i="11" s="1"/>
  <c r="W569" i="11"/>
  <c r="W518" i="11"/>
  <c r="W657" i="11"/>
  <c r="W545" i="11"/>
  <c r="W548" i="11"/>
  <c r="W536" i="11"/>
  <c r="W511" i="11"/>
  <c r="W677" i="11"/>
  <c r="W640" i="11"/>
  <c r="W615" i="11"/>
  <c r="W590" i="11"/>
  <c r="W544" i="11"/>
  <c r="W683" i="11"/>
  <c r="R90" i="10"/>
  <c r="R289" i="10"/>
  <c r="R371" i="10"/>
  <c r="R226" i="10"/>
  <c r="R73" i="10"/>
  <c r="R46" i="10"/>
  <c r="R21" i="10"/>
  <c r="R203" i="10"/>
  <c r="R317" i="10"/>
  <c r="R207" i="10"/>
  <c r="R314" i="10"/>
  <c r="R473" i="10"/>
  <c r="R278" i="10"/>
  <c r="R204" i="10"/>
  <c r="R428" i="10"/>
  <c r="R262" i="10"/>
  <c r="R53" i="10"/>
  <c r="R268" i="10"/>
  <c r="R308" i="10"/>
  <c r="R319" i="10"/>
  <c r="R454" i="10"/>
  <c r="R99" i="10"/>
  <c r="R284" i="10"/>
  <c r="R107" i="10"/>
  <c r="R227" i="10"/>
  <c r="R189" i="10"/>
  <c r="R149" i="10"/>
  <c r="R177" i="10"/>
  <c r="R405" i="10"/>
  <c r="R347" i="10"/>
  <c r="R394" i="10"/>
  <c r="R91" i="10"/>
  <c r="R293" i="10"/>
  <c r="R139" i="10"/>
  <c r="R294" i="10"/>
  <c r="R356" i="10"/>
  <c r="R434" i="10"/>
  <c r="R372" i="10"/>
  <c r="R126" i="10"/>
  <c r="R361" i="10"/>
  <c r="R112" i="10"/>
  <c r="R283" i="10"/>
  <c r="R245" i="10"/>
  <c r="R141" i="10"/>
  <c r="R11" i="10"/>
  <c r="R51" i="10"/>
  <c r="R5" i="10"/>
  <c r="R476" i="10"/>
  <c r="R193" i="10"/>
  <c r="R302" i="10"/>
  <c r="R461" i="10"/>
  <c r="R304" i="10"/>
  <c r="R55" i="10"/>
  <c r="R414" i="10"/>
  <c r="R482" i="10"/>
  <c r="R29" i="10"/>
  <c r="R214" i="10"/>
  <c r="R267" i="10"/>
  <c r="R307" i="10"/>
  <c r="R442" i="10"/>
  <c r="R95" i="10"/>
  <c r="R290" i="10"/>
  <c r="R246" i="10"/>
  <c r="R160" i="10"/>
  <c r="R234" i="10"/>
  <c r="R349" i="10"/>
  <c r="R222" i="10"/>
  <c r="R410" i="10"/>
  <c r="R159" i="10"/>
  <c r="R439" i="10"/>
  <c r="R135" i="10"/>
  <c r="R324" i="10"/>
  <c r="R132" i="10"/>
  <c r="R325" i="10"/>
  <c r="R103" i="10"/>
  <c r="R337" i="10"/>
  <c r="R378" i="10"/>
  <c r="R116" i="10"/>
  <c r="R366" i="10"/>
  <c r="R108" i="10"/>
  <c r="R351" i="10"/>
  <c r="R251" i="10"/>
  <c r="R8" i="10"/>
  <c r="R45" i="10"/>
  <c r="R12" i="10"/>
  <c r="R23" i="10"/>
  <c r="R17" i="10"/>
  <c r="R40" i="10"/>
  <c r="R274" i="10"/>
  <c r="R449" i="10"/>
  <c r="R484" i="10"/>
  <c r="R31" i="10"/>
  <c r="R311" i="10"/>
  <c r="R470" i="10"/>
  <c r="R305" i="10"/>
  <c r="R199" i="10"/>
  <c r="R212" i="10"/>
  <c r="R280" i="10"/>
  <c r="R421" i="10"/>
  <c r="R105" i="10"/>
  <c r="R334" i="10"/>
  <c r="R252" i="10"/>
  <c r="R145" i="10"/>
  <c r="R240" i="10"/>
  <c r="R64" i="10"/>
  <c r="R228" i="10"/>
  <c r="R75" i="10"/>
  <c r="R153" i="10"/>
  <c r="R63" i="10"/>
  <c r="R102" i="10"/>
  <c r="R354" i="10"/>
  <c r="R127" i="10"/>
  <c r="R331" i="10"/>
  <c r="R128" i="10"/>
  <c r="R161" i="10"/>
  <c r="R401" i="10"/>
  <c r="R344" i="10"/>
  <c r="R385" i="10"/>
  <c r="R436" i="10"/>
  <c r="R357" i="10"/>
  <c r="R137" i="10"/>
  <c r="R327" i="10"/>
  <c r="R49" i="10"/>
  <c r="R297" i="10"/>
  <c r="R10" i="10"/>
  <c r="R263" i="10"/>
  <c r="R475" i="10"/>
  <c r="R6" i="10"/>
  <c r="R259" i="10"/>
  <c r="R430" i="10"/>
  <c r="R472" i="10"/>
  <c r="R477" i="10"/>
  <c r="R298" i="10"/>
  <c r="R458" i="10"/>
  <c r="R208" i="10"/>
  <c r="R52" i="10"/>
  <c r="R198" i="10"/>
  <c r="R266" i="10"/>
  <c r="R318" i="10"/>
  <c r="R109" i="10"/>
  <c r="R352" i="10"/>
  <c r="R130" i="10"/>
  <c r="R328" i="10"/>
  <c r="R92" i="10"/>
  <c r="R285" i="10"/>
  <c r="R247" i="10"/>
  <c r="R143" i="10"/>
  <c r="R184" i="10"/>
  <c r="R69" i="10"/>
  <c r="R123" i="10"/>
  <c r="R348" i="10"/>
  <c r="R120" i="10"/>
  <c r="R355" i="10"/>
  <c r="R167" i="10"/>
  <c r="R400" i="10"/>
  <c r="R390" i="10"/>
  <c r="R338" i="10"/>
  <c r="R367" i="10"/>
  <c r="R133" i="10"/>
  <c r="R333" i="10"/>
  <c r="R35" i="10"/>
  <c r="R36" i="10"/>
  <c r="R37" i="10"/>
  <c r="R59" i="10"/>
  <c r="R463" i="10"/>
  <c r="R420" i="10"/>
  <c r="R206" i="10"/>
  <c r="R416" i="10"/>
  <c r="R460" i="10"/>
  <c r="R465" i="10"/>
  <c r="R270" i="10"/>
  <c r="R446" i="10"/>
  <c r="R481" i="10"/>
  <c r="R28" i="10"/>
  <c r="R27" i="10"/>
  <c r="R211" i="10"/>
  <c r="R306" i="10"/>
  <c r="R435" i="10"/>
  <c r="R358" i="10"/>
  <c r="R134" i="10"/>
  <c r="R322" i="10"/>
  <c r="R96" i="10"/>
  <c r="R291" i="10"/>
  <c r="R253" i="10"/>
  <c r="R411" i="10"/>
  <c r="R190" i="10"/>
  <c r="R144" i="10"/>
  <c r="R342" i="10"/>
  <c r="R377" i="10"/>
  <c r="R343" i="10"/>
  <c r="R373" i="10"/>
  <c r="R332" i="10"/>
  <c r="R155" i="10"/>
  <c r="R186" i="10"/>
  <c r="R441" i="10"/>
  <c r="R174" i="10"/>
  <c r="R396" i="10"/>
  <c r="R162" i="10"/>
  <c r="R386" i="10"/>
  <c r="R125" i="10"/>
  <c r="R362" i="10"/>
  <c r="R273" i="10"/>
  <c r="R34" i="10"/>
  <c r="R39" i="10"/>
  <c r="R4" i="10"/>
  <c r="R451" i="10"/>
  <c r="R464" i="10"/>
  <c r="R192" i="10"/>
  <c r="R313" i="10"/>
  <c r="R448" i="10"/>
  <c r="R195" i="10"/>
  <c r="R217" i="10"/>
  <c r="R425" i="10"/>
  <c r="R469" i="10"/>
  <c r="R438" i="10"/>
  <c r="R18" i="10"/>
  <c r="R197" i="10"/>
  <c r="R279" i="10"/>
  <c r="R339" i="10"/>
  <c r="R368" i="10"/>
  <c r="R118" i="10"/>
  <c r="R363" i="10"/>
  <c r="R111" i="10"/>
  <c r="R369" i="10"/>
  <c r="R136" i="10"/>
  <c r="R323" i="10"/>
  <c r="R330" i="10"/>
  <c r="R235" i="10"/>
  <c r="R150" i="10"/>
  <c r="R165" i="10"/>
  <c r="R383" i="10"/>
  <c r="R154" i="10"/>
  <c r="R384" i="10"/>
  <c r="R229" i="10"/>
  <c r="R65" i="10"/>
  <c r="R180" i="10"/>
  <c r="R407" i="10"/>
  <c r="R168" i="10"/>
  <c r="R379" i="10"/>
  <c r="R121" i="10"/>
  <c r="R380" i="10"/>
  <c r="R13" i="10"/>
  <c r="R299" i="10"/>
  <c r="R215" i="10"/>
  <c r="R213" i="10"/>
  <c r="R432" i="10"/>
  <c r="R41" i="10"/>
  <c r="R38" i="10"/>
  <c r="R301" i="10"/>
  <c r="R429" i="10"/>
  <c r="R437" i="10"/>
  <c r="R202" i="10"/>
  <c r="R413" i="10"/>
  <c r="R457" i="10"/>
  <c r="R480" i="10"/>
  <c r="R50" i="10"/>
  <c r="R44" i="10"/>
  <c r="R265" i="10"/>
  <c r="R157" i="10"/>
  <c r="R375" i="10"/>
  <c r="R122" i="10"/>
  <c r="R381" i="10"/>
  <c r="R106" i="10"/>
  <c r="R376" i="10"/>
  <c r="R131" i="10"/>
  <c r="R329" i="10"/>
  <c r="R440" i="10"/>
  <c r="R241" i="10"/>
  <c r="R70" i="10"/>
  <c r="R172" i="10"/>
  <c r="R76" i="10"/>
  <c r="R173" i="10"/>
  <c r="R389" i="10"/>
  <c r="R243" i="10"/>
  <c r="R146" i="10"/>
  <c r="R219" i="10"/>
  <c r="R72" i="10"/>
  <c r="R181" i="10"/>
  <c r="R402" i="10"/>
  <c r="R345" i="10"/>
  <c r="R374" i="10"/>
  <c r="R58" i="10"/>
  <c r="R33" i="10"/>
  <c r="R19" i="10"/>
  <c r="R3" i="10"/>
  <c r="R418" i="10"/>
  <c r="R474" i="10"/>
  <c r="R264" i="10"/>
  <c r="R272" i="10"/>
  <c r="R415" i="10"/>
  <c r="R277" i="10"/>
  <c r="R54" i="10"/>
  <c r="R310" i="10"/>
  <c r="R445" i="10"/>
  <c r="R468" i="10"/>
  <c r="R479" i="10"/>
  <c r="R26" i="10"/>
  <c r="R210" i="10"/>
  <c r="R163" i="10"/>
  <c r="R392" i="10"/>
  <c r="R340" i="10"/>
  <c r="R398" i="10"/>
  <c r="R119" i="10"/>
  <c r="R399" i="10"/>
  <c r="R104" i="10"/>
  <c r="R353" i="10"/>
  <c r="R98" i="10"/>
  <c r="R286" i="10"/>
  <c r="R114" i="10"/>
  <c r="R166" i="10"/>
  <c r="R178" i="10"/>
  <c r="R191" i="10"/>
  <c r="R395" i="10"/>
  <c r="R237" i="10"/>
  <c r="R140" i="10"/>
  <c r="R225" i="10"/>
  <c r="R152" i="10"/>
  <c r="R187" i="10"/>
  <c r="R60" i="10"/>
  <c r="R156" i="10"/>
  <c r="R391" i="10"/>
  <c r="R201" i="10"/>
  <c r="R24" i="10"/>
  <c r="R7" i="10"/>
  <c r="R20" i="10"/>
  <c r="R315" i="10"/>
  <c r="R462" i="10"/>
  <c r="R452" i="10"/>
  <c r="R258" i="10"/>
  <c r="R312" i="10"/>
  <c r="R483" i="10"/>
  <c r="R30" i="10"/>
  <c r="R296" i="10"/>
  <c r="R424" i="10"/>
  <c r="R456" i="10"/>
  <c r="R467" i="10"/>
  <c r="R209" i="10"/>
  <c r="R196" i="10"/>
  <c r="R182" i="10"/>
  <c r="R403" i="10"/>
  <c r="R346" i="10"/>
  <c r="R404" i="10"/>
  <c r="R433" i="10"/>
  <c r="R393" i="10"/>
  <c r="R124" i="10"/>
  <c r="R359" i="10"/>
  <c r="R93" i="10"/>
  <c r="R292" i="10"/>
  <c r="R185" i="10"/>
  <c r="R223" i="10"/>
  <c r="R287" i="10"/>
  <c r="R224" i="10"/>
  <c r="R71" i="10"/>
  <c r="R101" i="10"/>
  <c r="R244" i="10"/>
  <c r="R255" i="10"/>
  <c r="R256" i="10"/>
  <c r="R115" i="10"/>
  <c r="R232" i="10"/>
  <c r="R66" i="10"/>
  <c r="R169" i="10"/>
  <c r="R397" i="10"/>
  <c r="R57" i="10"/>
  <c r="R22" i="10"/>
  <c r="R9" i="10"/>
  <c r="R14" i="10"/>
  <c r="R303" i="10"/>
  <c r="R450" i="10"/>
  <c r="R316" i="10"/>
  <c r="R205" i="10"/>
  <c r="R300" i="10"/>
  <c r="R471" i="10"/>
  <c r="R453" i="10"/>
  <c r="R269" i="10"/>
  <c r="R321" i="10"/>
  <c r="R444" i="10"/>
  <c r="R455" i="10"/>
  <c r="R281" i="10"/>
  <c r="R43" i="10"/>
  <c r="R188" i="10"/>
  <c r="R61" i="10"/>
  <c r="R170" i="10"/>
  <c r="R409" i="10"/>
  <c r="R158" i="10"/>
  <c r="R427" i="10"/>
  <c r="R341" i="10"/>
  <c r="R364" i="10"/>
  <c r="R129" i="10"/>
  <c r="R360" i="10"/>
  <c r="R365" i="10"/>
  <c r="R230" i="10"/>
  <c r="R412" i="10"/>
  <c r="R218" i="10"/>
  <c r="R77" i="10"/>
  <c r="R94" i="10"/>
  <c r="R288" i="10"/>
  <c r="R250" i="10"/>
  <c r="R179" i="10"/>
  <c r="R238" i="10"/>
  <c r="R147" i="10"/>
  <c r="R175" i="10"/>
  <c r="R408" i="10"/>
  <c r="R261" i="10"/>
  <c r="R25" i="10"/>
  <c r="R275" i="10"/>
  <c r="R47" i="10"/>
  <c r="R276" i="10"/>
  <c r="R431" i="10"/>
  <c r="R194" i="10"/>
  <c r="R56" i="10"/>
  <c r="R271" i="10"/>
  <c r="R459" i="10"/>
  <c r="R42" i="10"/>
  <c r="R216" i="10"/>
  <c r="R309" i="10"/>
  <c r="R423" i="10"/>
  <c r="R443" i="10"/>
  <c r="R478" i="10"/>
  <c r="R97" i="10"/>
  <c r="R233" i="10"/>
  <c r="R67" i="10"/>
  <c r="R176" i="10"/>
  <c r="R74" i="10"/>
  <c r="R164" i="10"/>
  <c r="R62" i="10"/>
  <c r="R335" i="10"/>
  <c r="R382" i="10"/>
  <c r="R110" i="10"/>
  <c r="R370" i="10"/>
  <c r="R248" i="10"/>
  <c r="R151" i="10"/>
  <c r="R231" i="10"/>
  <c r="R336" i="10"/>
  <c r="R113" i="10"/>
  <c r="R350" i="10"/>
  <c r="R138" i="10"/>
  <c r="R326" i="10"/>
  <c r="R100" i="10"/>
  <c r="R295" i="10"/>
  <c r="R236" i="10"/>
  <c r="R220" i="10"/>
  <c r="R426" i="10"/>
  <c r="R48" i="10"/>
  <c r="R16" i="10"/>
  <c r="R15" i="10"/>
  <c r="R2" i="10"/>
  <c r="R260" i="10"/>
  <c r="R417" i="10"/>
  <c r="R485" i="10"/>
  <c r="R32" i="10"/>
  <c r="R257" i="10"/>
  <c r="R447" i="10"/>
  <c r="R419" i="10"/>
  <c r="R200" i="10"/>
  <c r="R282" i="10"/>
  <c r="R320" i="10"/>
  <c r="R422" i="10"/>
  <c r="R466" i="10"/>
  <c r="R242" i="10"/>
  <c r="R239" i="10"/>
  <c r="R148" i="10"/>
  <c r="R221" i="10"/>
  <c r="R142" i="10"/>
  <c r="R183" i="10"/>
  <c r="R68" i="10"/>
  <c r="R171" i="10"/>
  <c r="R387" i="10"/>
  <c r="R117" i="10"/>
  <c r="R388" i="10"/>
  <c r="R254" i="10"/>
  <c r="R249" i="10"/>
  <c r="O70" i="7"/>
  <c r="AD456" i="11"/>
  <c r="O456" i="11"/>
  <c r="P456" i="11" s="1"/>
  <c r="M99" i="2" l="1"/>
  <c r="N99" i="2" s="1"/>
  <c r="O99" i="2" s="1"/>
  <c r="L100" i="2"/>
  <c r="M100" i="2" s="1"/>
  <c r="N100" i="2" s="1"/>
  <c r="O100" i="2" s="1"/>
  <c r="L102" i="2"/>
  <c r="R102" i="2"/>
  <c r="R100" i="2"/>
  <c r="O659" i="11"/>
  <c r="P659" i="11" s="1"/>
  <c r="O666" i="11"/>
  <c r="P666" i="11" s="1"/>
  <c r="O668" i="11"/>
  <c r="P668" i="11" s="1"/>
  <c r="O671" i="11"/>
  <c r="P671" i="11" s="1"/>
  <c r="O664" i="11"/>
  <c r="P664" i="11" s="1"/>
  <c r="O665" i="11"/>
  <c r="P665" i="11" s="1"/>
  <c r="AC607" i="11"/>
  <c r="AB607" i="11"/>
  <c r="O681" i="11"/>
  <c r="P681" i="11" s="1"/>
  <c r="AD681" i="11"/>
  <c r="O636" i="11"/>
  <c r="P636" i="11" s="1"/>
  <c r="AD636" i="11"/>
  <c r="O628" i="11"/>
  <c r="P628" i="11" s="1"/>
  <c r="AD628" i="11"/>
  <c r="O676" i="11"/>
  <c r="P676" i="11" s="1"/>
  <c r="AD676" i="11"/>
  <c r="O612" i="11"/>
  <c r="P612" i="11" s="1"/>
  <c r="AD612" i="11"/>
  <c r="O622" i="11"/>
  <c r="P622" i="11" s="1"/>
  <c r="AD622" i="11"/>
  <c r="O680" i="11"/>
  <c r="P680" i="11" s="1"/>
  <c r="AD680" i="11"/>
  <c r="O677" i="11"/>
  <c r="P677" i="11" s="1"/>
  <c r="AD677" i="11"/>
  <c r="O624" i="11"/>
  <c r="P624" i="11" s="1"/>
  <c r="AD624" i="11"/>
  <c r="O674" i="11"/>
  <c r="P674" i="11" s="1"/>
  <c r="AD674" i="11"/>
  <c r="O630" i="11"/>
  <c r="P630" i="11" s="1"/>
  <c r="AD630" i="11"/>
  <c r="O610" i="11"/>
  <c r="P610" i="11" s="1"/>
  <c r="AD610" i="11"/>
  <c r="O543" i="11"/>
  <c r="P543" i="11" s="1"/>
  <c r="AD543" i="11"/>
  <c r="O565" i="11"/>
  <c r="P565" i="11" s="1"/>
  <c r="AD565" i="11"/>
  <c r="AD463" i="11"/>
  <c r="AD501" i="11"/>
  <c r="AD503" i="11"/>
  <c r="AD535" i="11"/>
  <c r="AD556" i="11"/>
  <c r="O536" i="11"/>
  <c r="P536" i="11" s="1"/>
  <c r="AD536" i="11"/>
  <c r="AD459" i="11"/>
  <c r="AD509" i="11"/>
  <c r="AD524" i="11"/>
  <c r="AD559" i="11"/>
  <c r="AD549" i="11"/>
  <c r="AD457" i="11"/>
  <c r="AD304" i="11"/>
  <c r="AD312" i="11"/>
  <c r="AD314" i="11"/>
  <c r="AD499" i="11"/>
  <c r="AD552" i="11"/>
  <c r="AD554" i="11"/>
  <c r="AD466" i="11"/>
  <c r="AD308" i="11"/>
  <c r="AD561" i="11"/>
  <c r="O537" i="11"/>
  <c r="P537" i="11" s="1"/>
  <c r="AD537" i="11"/>
  <c r="O520" i="11"/>
  <c r="P520" i="11" s="1"/>
  <c r="AD520" i="11"/>
  <c r="AD462" i="11"/>
  <c r="AD534" i="11"/>
  <c r="AD529" i="11"/>
  <c r="AD531" i="11"/>
  <c r="AD550" i="11"/>
  <c r="AD469" i="11"/>
  <c r="AD310" i="11"/>
  <c r="AD496" i="11"/>
  <c r="AD504" i="11"/>
  <c r="AD506" i="11"/>
  <c r="AD525" i="11"/>
  <c r="AD465" i="11"/>
  <c r="AD315" i="11"/>
  <c r="AD500" i="11"/>
  <c r="O545" i="11"/>
  <c r="P545" i="11" s="1"/>
  <c r="AD545" i="11"/>
  <c r="AD470" i="11"/>
  <c r="AD461" i="11"/>
  <c r="AD313" i="11"/>
  <c r="AD527" i="11"/>
  <c r="AD560" i="11"/>
  <c r="AD555" i="11"/>
  <c r="AD557" i="11"/>
  <c r="O571" i="11"/>
  <c r="P571" i="11" s="1"/>
  <c r="AD571" i="11"/>
  <c r="AD468" i="11"/>
  <c r="AD316" i="11"/>
  <c r="AD306" i="11"/>
  <c r="AD502" i="11"/>
  <c r="AD532" i="11"/>
  <c r="AD551" i="11"/>
  <c r="O518" i="11"/>
  <c r="P518" i="11" s="1"/>
  <c r="AD518" i="11"/>
  <c r="AD464" i="11"/>
  <c r="AD305" i="11"/>
  <c r="AD309" i="11"/>
  <c r="AD311" i="11"/>
  <c r="AD507" i="11"/>
  <c r="AD530" i="11"/>
  <c r="AD460" i="11"/>
  <c r="AD317" i="11"/>
  <c r="AD505" i="11"/>
  <c r="AD533" i="11"/>
  <c r="AD523" i="11"/>
  <c r="AD553" i="11"/>
  <c r="O510" i="11"/>
  <c r="P510" i="11" s="1"/>
  <c r="AD510" i="11"/>
  <c r="O540" i="11"/>
  <c r="P540" i="11" s="1"/>
  <c r="AD540" i="11"/>
  <c r="AD467" i="11"/>
  <c r="AD307" i="11"/>
  <c r="AD508" i="11"/>
  <c r="AD498" i="11"/>
  <c r="AD526" i="11"/>
  <c r="AD528" i="11"/>
  <c r="AD558" i="11"/>
  <c r="O774" i="11"/>
  <c r="P774" i="11" s="1"/>
  <c r="O556" i="11"/>
  <c r="P556" i="11" s="1"/>
  <c r="O559" i="11"/>
  <c r="P559" i="11" s="1"/>
  <c r="O560" i="11"/>
  <c r="P560" i="11" s="1"/>
  <c r="AC558" i="11"/>
  <c r="AB558" i="11"/>
  <c r="AC551" i="11"/>
  <c r="AB551" i="11"/>
  <c r="O554" i="11"/>
  <c r="P554" i="11" s="1"/>
  <c r="O553" i="11"/>
  <c r="P553" i="11" s="1"/>
  <c r="AC555" i="11"/>
  <c r="AB555" i="11"/>
  <c r="O555" i="11"/>
  <c r="P555" i="11" s="1"/>
  <c r="O561" i="11"/>
  <c r="P561" i="11" s="1"/>
  <c r="AC553" i="11"/>
  <c r="AB553" i="11"/>
  <c r="O551" i="11"/>
  <c r="P551" i="11" s="1"/>
  <c r="O550" i="11"/>
  <c r="P550" i="11" s="1"/>
  <c r="O549" i="11"/>
  <c r="P549" i="11" s="1"/>
  <c r="AC550" i="11"/>
  <c r="AB550" i="11"/>
  <c r="AC557" i="11"/>
  <c r="AB557" i="11"/>
  <c r="AC556" i="11"/>
  <c r="AB556" i="11"/>
  <c r="O552" i="11"/>
  <c r="P552" i="11" s="1"/>
  <c r="AC552" i="11"/>
  <c r="AB552" i="11"/>
  <c r="O558" i="11"/>
  <c r="P558" i="11" s="1"/>
  <c r="O557" i="11"/>
  <c r="P557" i="11" s="1"/>
  <c r="AC559" i="11"/>
  <c r="AB559" i="11"/>
  <c r="AC554" i="11"/>
  <c r="AB554" i="11"/>
  <c r="AC561" i="11"/>
  <c r="AB561" i="11"/>
  <c r="AC560" i="11"/>
  <c r="AB560" i="11"/>
  <c r="AC549" i="11"/>
  <c r="AB549" i="11"/>
  <c r="O526" i="11"/>
  <c r="P526" i="11" s="1"/>
  <c r="O528" i="11"/>
  <c r="P528" i="11" s="1"/>
  <c r="O534" i="11"/>
  <c r="P534" i="11" s="1"/>
  <c r="O533" i="11"/>
  <c r="P533" i="11" s="1"/>
  <c r="O527" i="11"/>
  <c r="P527" i="11" s="1"/>
  <c r="O530" i="11"/>
  <c r="P530" i="11" s="1"/>
  <c r="AC532" i="11"/>
  <c r="AB532" i="11"/>
  <c r="AC525" i="11"/>
  <c r="AB525" i="11"/>
  <c r="AC529" i="11"/>
  <c r="AB529" i="11"/>
  <c r="O529" i="11"/>
  <c r="P529" i="11" s="1"/>
  <c r="O535" i="11"/>
  <c r="P535" i="11" s="1"/>
  <c r="AC527" i="11"/>
  <c r="AB527" i="11"/>
  <c r="O525" i="11"/>
  <c r="P525" i="11" s="1"/>
  <c r="O524" i="11"/>
  <c r="P524" i="11" s="1"/>
  <c r="O523" i="11"/>
  <c r="P523" i="11" s="1"/>
  <c r="AC524" i="11"/>
  <c r="AB524" i="11"/>
  <c r="AC531" i="11"/>
  <c r="AB531" i="11"/>
  <c r="AC530" i="11"/>
  <c r="AB530" i="11"/>
  <c r="AC526" i="11"/>
  <c r="AB526" i="11"/>
  <c r="O532" i="11"/>
  <c r="P532" i="11" s="1"/>
  <c r="O531" i="11"/>
  <c r="P531" i="11" s="1"/>
  <c r="AC533" i="11"/>
  <c r="AB533" i="11"/>
  <c r="AC528" i="11"/>
  <c r="AB528" i="11"/>
  <c r="AC535" i="11"/>
  <c r="AB535" i="11"/>
  <c r="AC534" i="11"/>
  <c r="AB534" i="11"/>
  <c r="AC523" i="11"/>
  <c r="AB523" i="11"/>
  <c r="AD666" i="11"/>
  <c r="AD665" i="11"/>
  <c r="AC670" i="11"/>
  <c r="AB670" i="11"/>
  <c r="AC663" i="11"/>
  <c r="AB663" i="11"/>
  <c r="AD667" i="11"/>
  <c r="AD672" i="11"/>
  <c r="AC667" i="11"/>
  <c r="AB667" i="11"/>
  <c r="O667" i="11"/>
  <c r="P667" i="11" s="1"/>
  <c r="O672" i="11"/>
  <c r="P672" i="11" s="1"/>
  <c r="AC665" i="11"/>
  <c r="AB665" i="11"/>
  <c r="AD663" i="11"/>
  <c r="AD662" i="11"/>
  <c r="AD661" i="11"/>
  <c r="AD668" i="11"/>
  <c r="O663" i="11"/>
  <c r="P663" i="11" s="1"/>
  <c r="O662" i="11"/>
  <c r="P662" i="11" s="1"/>
  <c r="O661" i="11"/>
  <c r="P661" i="11" s="1"/>
  <c r="AD671" i="11"/>
  <c r="AC662" i="11"/>
  <c r="AB662" i="11"/>
  <c r="AC669" i="11"/>
  <c r="AB669" i="11"/>
  <c r="AC668" i="11"/>
  <c r="AB668" i="11"/>
  <c r="AD670" i="11"/>
  <c r="AD669" i="11"/>
  <c r="AC664" i="11"/>
  <c r="AB664" i="11"/>
  <c r="AD664" i="11"/>
  <c r="O670" i="11"/>
  <c r="P670" i="11" s="1"/>
  <c r="O669" i="11"/>
  <c r="P669" i="11" s="1"/>
  <c r="AC671" i="11"/>
  <c r="AB671" i="11"/>
  <c r="AD659" i="11"/>
  <c r="AC666" i="11"/>
  <c r="AB666" i="11"/>
  <c r="AC672" i="11"/>
  <c r="AB672" i="11"/>
  <c r="AC659" i="11"/>
  <c r="AB659" i="11"/>
  <c r="AC661" i="11"/>
  <c r="AB661" i="11"/>
  <c r="AC633" i="11"/>
  <c r="AB633" i="11"/>
  <c r="O508" i="11"/>
  <c r="P508" i="11" s="1"/>
  <c r="O501" i="11"/>
  <c r="P501" i="11" s="1"/>
  <c r="O509" i="11"/>
  <c r="P509" i="11" s="1"/>
  <c r="O504" i="11"/>
  <c r="P504" i="11" s="1"/>
  <c r="O505" i="11"/>
  <c r="P505" i="11" s="1"/>
  <c r="AC507" i="11"/>
  <c r="AB507" i="11"/>
  <c r="AC500" i="11"/>
  <c r="AB500" i="11"/>
  <c r="O503" i="11"/>
  <c r="P503" i="11" s="1"/>
  <c r="O502" i="11"/>
  <c r="P502" i="11" s="1"/>
  <c r="AC504" i="11"/>
  <c r="AB504" i="11"/>
  <c r="AC502" i="11"/>
  <c r="AB502" i="11"/>
  <c r="O500" i="11"/>
  <c r="P500" i="11" s="1"/>
  <c r="O499" i="11"/>
  <c r="P499" i="11" s="1"/>
  <c r="O498" i="11"/>
  <c r="P498" i="11" s="1"/>
  <c r="AC499" i="11"/>
  <c r="AB499" i="11"/>
  <c r="AC506" i="11"/>
  <c r="AB506" i="11"/>
  <c r="AC505" i="11"/>
  <c r="AB505" i="11"/>
  <c r="AC501" i="11"/>
  <c r="AB501" i="11"/>
  <c r="O507" i="11"/>
  <c r="P507" i="11" s="1"/>
  <c r="O506" i="11"/>
  <c r="P506" i="11" s="1"/>
  <c r="AC508" i="11"/>
  <c r="AB508" i="11"/>
  <c r="O496" i="11"/>
  <c r="P496" i="11" s="1"/>
  <c r="AC503" i="11"/>
  <c r="AB503" i="11"/>
  <c r="AC509" i="11"/>
  <c r="AB509" i="11"/>
  <c r="AC496" i="11"/>
  <c r="AB496" i="11"/>
  <c r="AC498" i="11"/>
  <c r="AB498" i="11"/>
  <c r="O304" i="11"/>
  <c r="P304" i="11" s="1"/>
  <c r="O313" i="11"/>
  <c r="P313" i="11" s="1"/>
  <c r="O317" i="11"/>
  <c r="P317" i="11" s="1"/>
  <c r="O312" i="11"/>
  <c r="P312" i="11" s="1"/>
  <c r="AC315" i="11"/>
  <c r="AB315" i="11"/>
  <c r="AC308" i="11"/>
  <c r="AB308" i="11"/>
  <c r="O311" i="11"/>
  <c r="P311" i="11" s="1"/>
  <c r="O310" i="11"/>
  <c r="P310" i="11" s="1"/>
  <c r="AC312" i="11"/>
  <c r="AB312" i="11"/>
  <c r="AC310" i="11"/>
  <c r="AB310" i="11"/>
  <c r="O308" i="11"/>
  <c r="P308" i="11" s="1"/>
  <c r="O307" i="11"/>
  <c r="P307" i="11" s="1"/>
  <c r="O306" i="11"/>
  <c r="P306" i="11" s="1"/>
  <c r="O316" i="11"/>
  <c r="P316" i="11" s="1"/>
  <c r="AC307" i="11"/>
  <c r="AB307" i="11"/>
  <c r="AC314" i="11"/>
  <c r="AB314" i="11"/>
  <c r="AC313" i="11"/>
  <c r="AB313" i="11"/>
  <c r="O309" i="11"/>
  <c r="P309" i="11" s="1"/>
  <c r="AC309" i="11"/>
  <c r="AB309" i="11"/>
  <c r="O315" i="11"/>
  <c r="P315" i="11" s="1"/>
  <c r="O314" i="11"/>
  <c r="P314" i="11" s="1"/>
  <c r="AC316" i="11"/>
  <c r="AB316" i="11"/>
  <c r="AC311" i="11"/>
  <c r="AB311" i="11"/>
  <c r="AC317" i="11"/>
  <c r="AB317" i="11"/>
  <c r="AC304" i="11"/>
  <c r="AB304" i="11"/>
  <c r="AC306" i="11"/>
  <c r="AB306" i="11"/>
  <c r="O305" i="11"/>
  <c r="P305" i="11" s="1"/>
  <c r="AB305" i="11"/>
  <c r="AC305" i="11"/>
  <c r="O467" i="11"/>
  <c r="P467" i="11" s="1"/>
  <c r="O465" i="11"/>
  <c r="P465" i="11" s="1"/>
  <c r="O461" i="11"/>
  <c r="P461" i="11" s="1"/>
  <c r="O468" i="11"/>
  <c r="P468" i="11" s="1"/>
  <c r="O457" i="11"/>
  <c r="P457" i="11" s="1"/>
  <c r="O464" i="11"/>
  <c r="P464" i="11" s="1"/>
  <c r="O466" i="11"/>
  <c r="P466" i="11" s="1"/>
  <c r="O460" i="11"/>
  <c r="P460" i="11" s="1"/>
  <c r="O462" i="11"/>
  <c r="P462" i="11" s="1"/>
  <c r="O469" i="11"/>
  <c r="P469" i="11" s="1"/>
  <c r="O463" i="11"/>
  <c r="P463" i="11" s="1"/>
  <c r="O459" i="11"/>
  <c r="P459" i="11" s="1"/>
  <c r="O470" i="11"/>
  <c r="P470" i="11" s="1"/>
  <c r="O748" i="11"/>
  <c r="P748" i="11" s="1"/>
  <c r="AB748" i="11"/>
  <c r="O812" i="11"/>
  <c r="P812" i="11" s="1"/>
  <c r="O759" i="11"/>
  <c r="P759" i="11" s="1"/>
  <c r="O776" i="11"/>
  <c r="P776" i="11" s="1"/>
  <c r="O767" i="11"/>
  <c r="P767" i="11" s="1"/>
  <c r="O747" i="11"/>
  <c r="P747" i="11" s="1"/>
  <c r="O751" i="11"/>
  <c r="P751" i="11" s="1"/>
  <c r="O750" i="11"/>
  <c r="P750" i="11" s="1"/>
  <c r="O770" i="11"/>
  <c r="P770" i="11" s="1"/>
  <c r="O809" i="11"/>
  <c r="P809" i="11" s="1"/>
  <c r="O830" i="11"/>
  <c r="P830" i="11" s="1"/>
  <c r="O803" i="11"/>
  <c r="P803" i="11" s="1"/>
  <c r="O766" i="11"/>
  <c r="P766" i="11" s="1"/>
  <c r="O794" i="11"/>
  <c r="P794" i="11" s="1"/>
  <c r="O840" i="11"/>
  <c r="P840" i="11" s="1"/>
  <c r="O765" i="11"/>
  <c r="P765" i="11" s="1"/>
  <c r="O834" i="11"/>
  <c r="P834" i="11" s="1"/>
  <c r="O773" i="11"/>
  <c r="P773" i="11" s="1"/>
  <c r="O804" i="11"/>
  <c r="P804" i="11" s="1"/>
  <c r="O821" i="11"/>
  <c r="P821" i="11" s="1"/>
  <c r="O847" i="11"/>
  <c r="P847" i="11" s="1"/>
  <c r="O780" i="11"/>
  <c r="P780" i="11" s="1"/>
  <c r="O790" i="11"/>
  <c r="P790" i="11" s="1"/>
  <c r="O832" i="11"/>
  <c r="P832" i="11" s="1"/>
  <c r="O841" i="11"/>
  <c r="P841" i="11" s="1"/>
  <c r="O797" i="11"/>
  <c r="P797" i="11" s="1"/>
  <c r="O762" i="11"/>
  <c r="P762" i="11" s="1"/>
  <c r="O849" i="11"/>
  <c r="P849" i="11" s="1"/>
  <c r="O806" i="11"/>
  <c r="P806" i="11" s="1"/>
  <c r="O763" i="11"/>
  <c r="P763" i="11" s="1"/>
  <c r="O791" i="11"/>
  <c r="P791" i="11" s="1"/>
  <c r="O756" i="11"/>
  <c r="P756" i="11" s="1"/>
  <c r="O777" i="11"/>
  <c r="P777" i="11" s="1"/>
  <c r="O839" i="11"/>
  <c r="P839" i="11" s="1"/>
  <c r="O843" i="11"/>
  <c r="P843" i="11" s="1"/>
  <c r="O807" i="11"/>
  <c r="P807" i="11" s="1"/>
  <c r="O757" i="11"/>
  <c r="P757" i="11" s="1"/>
  <c r="O752" i="11"/>
  <c r="P752" i="11" s="1"/>
  <c r="O802" i="11"/>
  <c r="P802" i="11" s="1"/>
  <c r="O753" i="11"/>
  <c r="P753" i="11" s="1"/>
  <c r="O818" i="11"/>
  <c r="P818" i="11" s="1"/>
  <c r="O819" i="11"/>
  <c r="P819" i="11" s="1"/>
  <c r="O845" i="11"/>
  <c r="P845" i="11" s="1"/>
  <c r="O842" i="11"/>
  <c r="P842" i="11" s="1"/>
  <c r="O761" i="11"/>
  <c r="P761" i="11" s="1"/>
  <c r="O760" i="11"/>
  <c r="P760" i="11" s="1"/>
  <c r="O771" i="11"/>
  <c r="P771" i="11" s="1"/>
  <c r="O836" i="11"/>
  <c r="P836" i="11" s="1"/>
  <c r="O837" i="11"/>
  <c r="P837" i="11" s="1"/>
  <c r="O754" i="11"/>
  <c r="P754" i="11" s="1"/>
  <c r="O831" i="11"/>
  <c r="P831" i="11" s="1"/>
  <c r="O788" i="11"/>
  <c r="P788" i="11" s="1"/>
  <c r="O822" i="11"/>
  <c r="P822" i="11" s="1"/>
  <c r="O769" i="11"/>
  <c r="P769" i="11" s="1"/>
  <c r="O779" i="11"/>
  <c r="P779" i="11" s="1"/>
  <c r="AB823" i="11"/>
  <c r="O764" i="11"/>
  <c r="P764" i="11" s="1"/>
  <c r="O846" i="11"/>
  <c r="P846" i="11" s="1"/>
  <c r="O768" i="11"/>
  <c r="P768" i="11" s="1"/>
  <c r="O833" i="11"/>
  <c r="P833" i="11" s="1"/>
  <c r="O755" i="11"/>
  <c r="P755" i="11" s="1"/>
  <c r="O758" i="11"/>
  <c r="P758" i="11" s="1"/>
  <c r="AB820" i="11"/>
  <c r="AB767" i="11"/>
  <c r="AB777" i="11"/>
  <c r="AB770" i="11"/>
  <c r="AB772" i="11"/>
  <c r="AB747" i="11"/>
  <c r="AB766" i="11"/>
  <c r="AB831" i="11"/>
  <c r="AB830" i="11"/>
  <c r="AB769" i="11"/>
  <c r="AB753" i="11"/>
  <c r="AB825" i="11"/>
  <c r="AB756" i="11"/>
  <c r="AB817" i="11"/>
  <c r="AB785" i="11"/>
  <c r="AB795" i="11"/>
  <c r="O787" i="11"/>
  <c r="P787" i="11" s="1"/>
  <c r="AB841" i="11"/>
  <c r="AB788" i="11"/>
  <c r="AB798" i="11"/>
  <c r="O782" i="11"/>
  <c r="P782" i="11" s="1"/>
  <c r="AB844" i="11"/>
  <c r="AB845" i="11"/>
  <c r="AB806" i="11"/>
  <c r="AB784" i="11"/>
  <c r="O793" i="11"/>
  <c r="P793" i="11" s="1"/>
  <c r="AB849" i="11"/>
  <c r="O786" i="11"/>
  <c r="P786" i="11" s="1"/>
  <c r="AB848" i="11"/>
  <c r="AB787" i="11"/>
  <c r="AB761" i="11"/>
  <c r="AB771" i="11"/>
  <c r="AB815" i="11"/>
  <c r="AB764" i="11"/>
  <c r="AB774" i="11"/>
  <c r="AB838" i="11"/>
  <c r="AB821" i="11"/>
  <c r="O816" i="11"/>
  <c r="P816" i="11" s="1"/>
  <c r="AB760" i="11"/>
  <c r="O823" i="11"/>
  <c r="P823" i="11" s="1"/>
  <c r="AB797" i="11"/>
  <c r="AB842" i="11"/>
  <c r="AB803" i="11"/>
  <c r="O783" i="11"/>
  <c r="P783" i="11" s="1"/>
  <c r="O817" i="11"/>
  <c r="P817" i="11" s="1"/>
  <c r="AB805" i="11"/>
  <c r="AB812" i="11"/>
  <c r="AB750" i="11"/>
  <c r="AB808" i="11"/>
  <c r="AB816" i="11"/>
  <c r="AB811" i="11"/>
  <c r="AB779" i="11"/>
  <c r="AB789" i="11"/>
  <c r="O781" i="11"/>
  <c r="P781" i="11" s="1"/>
  <c r="AB835" i="11"/>
  <c r="AB782" i="11"/>
  <c r="AB792" i="11"/>
  <c r="O784" i="11"/>
  <c r="P784" i="11" s="1"/>
  <c r="O848" i="11"/>
  <c r="P848" i="11" s="1"/>
  <c r="O785" i="11"/>
  <c r="P785" i="11" s="1"/>
  <c r="AB839" i="11"/>
  <c r="AB778" i="11"/>
  <c r="AB799" i="11"/>
  <c r="AB765" i="11"/>
  <c r="AB758" i="11"/>
  <c r="AB768" i="11"/>
  <c r="AB832" i="11"/>
  <c r="AB807" i="11"/>
  <c r="AB791" i="11"/>
  <c r="AB754" i="11"/>
  <c r="AB794" i="11"/>
  <c r="AB810" i="11"/>
  <c r="O814" i="11"/>
  <c r="P814" i="11" s="1"/>
  <c r="AB757" i="11"/>
  <c r="O820" i="11"/>
  <c r="P820" i="11" s="1"/>
  <c r="AB822" i="11"/>
  <c r="O795" i="11"/>
  <c r="P795" i="11" s="1"/>
  <c r="O808" i="11"/>
  <c r="P808" i="11" s="1"/>
  <c r="AB796" i="11"/>
  <c r="O811" i="11"/>
  <c r="P811" i="11" s="1"/>
  <c r="AB843" i="11"/>
  <c r="AB762" i="11"/>
  <c r="AB763" i="11"/>
  <c r="O844" i="11"/>
  <c r="P844" i="11" s="1"/>
  <c r="AB846" i="11"/>
  <c r="AB783" i="11"/>
  <c r="AB802" i="11"/>
  <c r="AB847" i="11"/>
  <c r="AB776" i="11"/>
  <c r="AB786" i="11"/>
  <c r="O778" i="11"/>
  <c r="P778" i="11" s="1"/>
  <c r="AB824" i="11"/>
  <c r="O813" i="11"/>
  <c r="P813" i="11" s="1"/>
  <c r="AB746" i="11"/>
  <c r="O815" i="11"/>
  <c r="P815" i="11" s="1"/>
  <c r="AB819" i="11"/>
  <c r="AB818" i="11"/>
  <c r="AB775" i="11"/>
  <c r="O838" i="11"/>
  <c r="P838" i="11" s="1"/>
  <c r="AB840" i="11"/>
  <c r="AB759" i="11"/>
  <c r="O796" i="11"/>
  <c r="P796" i="11" s="1"/>
  <c r="AB813" i="11"/>
  <c r="AB752" i="11"/>
  <c r="AB780" i="11"/>
  <c r="AB800" i="11"/>
  <c r="AB781" i="11"/>
  <c r="AB773" i="11"/>
  <c r="AB755" i="11"/>
  <c r="AB801" i="11"/>
  <c r="AB809" i="11"/>
  <c r="AB804" i="11"/>
  <c r="AB814" i="11"/>
  <c r="AB751" i="11"/>
  <c r="AB834" i="11"/>
  <c r="O789" i="11"/>
  <c r="P789" i="11" s="1"/>
  <c r="AB833" i="11"/>
  <c r="AB790" i="11"/>
  <c r="O835" i="11"/>
  <c r="P835" i="11" s="1"/>
  <c r="AB837" i="11"/>
  <c r="O792" i="11"/>
  <c r="P792" i="11" s="1"/>
  <c r="AB836" i="11"/>
  <c r="AB793" i="11"/>
  <c r="O805" i="11"/>
  <c r="P805" i="11" s="1"/>
  <c r="O810" i="11"/>
  <c r="P810" i="11" s="1"/>
  <c r="AB749" i="11"/>
  <c r="AD486" i="11"/>
  <c r="O486" i="11"/>
  <c r="P486" i="11" s="1"/>
  <c r="AD483" i="11"/>
  <c r="O483" i="11"/>
  <c r="P483" i="11" s="1"/>
  <c r="AC513" i="11"/>
  <c r="AB513" i="11"/>
  <c r="AC539" i="11"/>
  <c r="AB539" i="11"/>
  <c r="AB518" i="11"/>
  <c r="AC518" i="11"/>
  <c r="AB656" i="11"/>
  <c r="AC656" i="11"/>
  <c r="AB613" i="11"/>
  <c r="AC613" i="11"/>
  <c r="AC626" i="11"/>
  <c r="AB626" i="11"/>
  <c r="AB639" i="11"/>
  <c r="AC639" i="11"/>
  <c r="AB681" i="11"/>
  <c r="AC681" i="11"/>
  <c r="AB648" i="11"/>
  <c r="AC648" i="11"/>
  <c r="AB566" i="11"/>
  <c r="AC566" i="11"/>
  <c r="AB594" i="11"/>
  <c r="AC594" i="11"/>
  <c r="AB642" i="11"/>
  <c r="AC642" i="11"/>
  <c r="AB571" i="11"/>
  <c r="AC571" i="11"/>
  <c r="AB653" i="11"/>
  <c r="AC653" i="11"/>
  <c r="AB608" i="11"/>
  <c r="AC608" i="11"/>
  <c r="AC568" i="11"/>
  <c r="AB568" i="11"/>
  <c r="AC638" i="11"/>
  <c r="AB638" i="11"/>
  <c r="AB588" i="11"/>
  <c r="AC588" i="11"/>
  <c r="AC655" i="11"/>
  <c r="AB655" i="11"/>
  <c r="AC643" i="11"/>
  <c r="AB643" i="11"/>
  <c r="AC622" i="11"/>
  <c r="AB622" i="11"/>
  <c r="AC629" i="11"/>
  <c r="AB629" i="11"/>
  <c r="AB540" i="11"/>
  <c r="AC540" i="11"/>
  <c r="AC538" i="11"/>
  <c r="AB538" i="11"/>
  <c r="AC602" i="11"/>
  <c r="AB602" i="11"/>
  <c r="AB610" i="11"/>
  <c r="AB562" i="11"/>
  <c r="AC562" i="11"/>
  <c r="AB511" i="11"/>
  <c r="AC511" i="11"/>
  <c r="AB563" i="11"/>
  <c r="AC563" i="11"/>
  <c r="AB680" i="11"/>
  <c r="AC680" i="11"/>
  <c r="AC621" i="11"/>
  <c r="AB621" i="11"/>
  <c r="AC519" i="11"/>
  <c r="AB519" i="11"/>
  <c r="AB627" i="11"/>
  <c r="AC627" i="11"/>
  <c r="AB512" i="11"/>
  <c r="AC512" i="11"/>
  <c r="AC683" i="11"/>
  <c r="AB683" i="11"/>
  <c r="AC640" i="11"/>
  <c r="AB640" i="11"/>
  <c r="AB545" i="11"/>
  <c r="AC545" i="11"/>
  <c r="AC543" i="11"/>
  <c r="AB543" i="11"/>
  <c r="AC600" i="11"/>
  <c r="AB600" i="11"/>
  <c r="AB649" i="11"/>
  <c r="AC649" i="11"/>
  <c r="AB598" i="11"/>
  <c r="AC598" i="11"/>
  <c r="AC635" i="11"/>
  <c r="AB635" i="11"/>
  <c r="AB572" i="11"/>
  <c r="AC572" i="11"/>
  <c r="AC654" i="11"/>
  <c r="AB654" i="11"/>
  <c r="AB546" i="11"/>
  <c r="AC546" i="11"/>
  <c r="AB565" i="11"/>
  <c r="AC565" i="11"/>
  <c r="AC620" i="11"/>
  <c r="AB620" i="11"/>
  <c r="AC564" i="11"/>
  <c r="AB564" i="11"/>
  <c r="AC582" i="11"/>
  <c r="AB582" i="11"/>
  <c r="AC615" i="11"/>
  <c r="AB615" i="11"/>
  <c r="AB548" i="11"/>
  <c r="AC548" i="11"/>
  <c r="AC609" i="11"/>
  <c r="AB609" i="11"/>
  <c r="AB544" i="11"/>
  <c r="AC544" i="11"/>
  <c r="AB569" i="11"/>
  <c r="AC569" i="11"/>
  <c r="AC510" i="11"/>
  <c r="AB510" i="11"/>
  <c r="AB497" i="11"/>
  <c r="AC497" i="11"/>
  <c r="AB619" i="11"/>
  <c r="AC619" i="11"/>
  <c r="AC516" i="11"/>
  <c r="AB516" i="11"/>
  <c r="AB679" i="11"/>
  <c r="AC679" i="11"/>
  <c r="AC651" i="11"/>
  <c r="AB651" i="11"/>
  <c r="AC645" i="11"/>
  <c r="AB645" i="11"/>
  <c r="AC650" i="11"/>
  <c r="AB650" i="11"/>
  <c r="AB624" i="11"/>
  <c r="AC624" i="11"/>
  <c r="AC673" i="11"/>
  <c r="AB673" i="11"/>
  <c r="AB612" i="11"/>
  <c r="AC612" i="11"/>
  <c r="AC647" i="11"/>
  <c r="AB647" i="11"/>
  <c r="AB586" i="11"/>
  <c r="AC586" i="11"/>
  <c r="AB517" i="11"/>
  <c r="AC517" i="11"/>
  <c r="AC674" i="11"/>
  <c r="AB674" i="11"/>
  <c r="AC514" i="11"/>
  <c r="AB514" i="11"/>
  <c r="AB584" i="11"/>
  <c r="AC584" i="11"/>
  <c r="AB570" i="11"/>
  <c r="AC570" i="11"/>
  <c r="AB678" i="11"/>
  <c r="AC678" i="11"/>
  <c r="AC677" i="11"/>
  <c r="AB677" i="11"/>
  <c r="AB536" i="11"/>
  <c r="AC536" i="11"/>
  <c r="AC657" i="11"/>
  <c r="AB657" i="11"/>
  <c r="AC625" i="11"/>
  <c r="AB625" i="11"/>
  <c r="AC542" i="11"/>
  <c r="AB542" i="11"/>
  <c r="AC630" i="11"/>
  <c r="AB630" i="11"/>
  <c r="AC618" i="11"/>
  <c r="AB618" i="11"/>
  <c r="AC611" i="11"/>
  <c r="AB611" i="11"/>
  <c r="AC646" i="11"/>
  <c r="AB646" i="11"/>
  <c r="AC604" i="11"/>
  <c r="AB604" i="11"/>
  <c r="AC634" i="11"/>
  <c r="AB634" i="11"/>
  <c r="AC592" i="11"/>
  <c r="AB592" i="11"/>
  <c r="AC641" i="11"/>
  <c r="AB641" i="11"/>
  <c r="AC616" i="11"/>
  <c r="AB616" i="11"/>
  <c r="AC652" i="11"/>
  <c r="AB652" i="11"/>
  <c r="AC537" i="11"/>
  <c r="AB537" i="11"/>
  <c r="AB522" i="11"/>
  <c r="AC522" i="11"/>
  <c r="AB631" i="11"/>
  <c r="AC631" i="11"/>
  <c r="AB541" i="11"/>
  <c r="AC541" i="11"/>
  <c r="AC515" i="11"/>
  <c r="AB515" i="11"/>
  <c r="AC520" i="11"/>
  <c r="AB520" i="11"/>
  <c r="AB636" i="11"/>
  <c r="AB590" i="11"/>
  <c r="AC590" i="11"/>
  <c r="AB676" i="11"/>
  <c r="AC676" i="11"/>
  <c r="AB682" i="11"/>
  <c r="AC682" i="11"/>
  <c r="AB614" i="11"/>
  <c r="AC614" i="11"/>
  <c r="AB675" i="11"/>
  <c r="AC675" i="11"/>
  <c r="AB644" i="11"/>
  <c r="AC644" i="11"/>
  <c r="AC637" i="11"/>
  <c r="AB637" i="11"/>
  <c r="AB567" i="11"/>
  <c r="AC567" i="11"/>
  <c r="AC623" i="11"/>
  <c r="AB623" i="11"/>
  <c r="AC660" i="11"/>
  <c r="AB660" i="11"/>
  <c r="AC617" i="11"/>
  <c r="AB617" i="11"/>
  <c r="AB596" i="11"/>
  <c r="AC596" i="11"/>
  <c r="AC628" i="11"/>
  <c r="AB628" i="11"/>
  <c r="Q456" i="11"/>
  <c r="M102" i="2" l="1"/>
  <c r="N102" i="2" s="1"/>
  <c r="O102" i="2" s="1"/>
  <c r="Q470" i="11"/>
  <c r="R470" i="11" s="1"/>
  <c r="V470" i="11" s="1"/>
  <c r="Q467" i="11"/>
  <c r="R467" i="11" s="1"/>
  <c r="V467" i="11" s="1"/>
  <c r="Q460" i="11"/>
  <c r="R460" i="11" s="1"/>
  <c r="V460" i="11" s="1"/>
  <c r="Q463" i="11"/>
  <c r="R463" i="11" s="1"/>
  <c r="V463" i="11" s="1"/>
  <c r="Q457" i="11"/>
  <c r="R457" i="11" s="1"/>
  <c r="V457" i="11" s="1"/>
  <c r="Q459" i="11"/>
  <c r="R459" i="11" s="1"/>
  <c r="V459" i="11" s="1"/>
  <c r="Q466" i="11"/>
  <c r="R466" i="11" s="1"/>
  <c r="V466" i="11" s="1"/>
  <c r="Q469" i="11"/>
  <c r="R469" i="11" s="1"/>
  <c r="V469" i="11" s="1"/>
  <c r="Q462" i="11"/>
  <c r="R462" i="11" s="1"/>
  <c r="V462" i="11" s="1"/>
  <c r="Q465" i="11"/>
  <c r="R465" i="11" s="1"/>
  <c r="V465" i="11" s="1"/>
  <c r="Q468" i="11"/>
  <c r="R468" i="11" s="1"/>
  <c r="V468" i="11" s="1"/>
  <c r="Q461" i="11"/>
  <c r="R461" i="11" s="1"/>
  <c r="V461" i="11" s="1"/>
  <c r="Q464" i="11"/>
  <c r="R464" i="11" s="1"/>
  <c r="V464" i="11" s="1"/>
  <c r="R456" i="11"/>
  <c r="V456" i="11" s="1"/>
  <c r="Q480" i="11"/>
  <c r="R480" i="11" s="1"/>
  <c r="V480" i="11" s="1"/>
  <c r="Q476" i="11"/>
  <c r="R476" i="11" s="1"/>
  <c r="V476" i="11" s="1"/>
  <c r="Q472" i="11"/>
  <c r="R472" i="11" s="1"/>
  <c r="V472" i="11" s="1"/>
  <c r="Q479" i="11"/>
  <c r="R479" i="11" s="1"/>
  <c r="V479" i="11" s="1"/>
  <c r="Q475" i="11"/>
  <c r="R475" i="11" s="1"/>
  <c r="V475" i="11" s="1"/>
  <c r="Q478" i="11"/>
  <c r="R478" i="11" s="1"/>
  <c r="V478" i="11" s="1"/>
  <c r="Q471" i="11"/>
  <c r="R471" i="11" s="1"/>
  <c r="V471" i="11" s="1"/>
  <c r="Q474" i="11"/>
  <c r="R474" i="11" s="1"/>
  <c r="V474" i="11" s="1"/>
  <c r="Q481" i="11"/>
  <c r="R481" i="11" s="1"/>
  <c r="V481" i="11" s="1"/>
  <c r="Q458" i="11"/>
  <c r="R458" i="11" s="1"/>
  <c r="V458" i="11" s="1"/>
  <c r="Q477" i="11"/>
  <c r="R477" i="11" s="1"/>
  <c r="V477" i="11" s="1"/>
  <c r="Q473" i="11"/>
  <c r="R473" i="11" s="1"/>
  <c r="V473" i="11" s="1"/>
  <c r="W470" i="11" l="1"/>
  <c r="W456" i="11"/>
  <c r="W461" i="11"/>
  <c r="W468" i="11"/>
  <c r="W465" i="11"/>
  <c r="W462" i="11"/>
  <c r="W469" i="11"/>
  <c r="W466" i="11"/>
  <c r="W459" i="11"/>
  <c r="W457" i="11"/>
  <c r="W463" i="11"/>
  <c r="W460" i="11"/>
  <c r="W467" i="11"/>
  <c r="W464" i="11"/>
  <c r="AC470" i="11"/>
  <c r="AB470" i="11"/>
  <c r="W474" i="11"/>
  <c r="AB474" i="11" s="1"/>
  <c r="W480" i="11"/>
  <c r="AB480" i="11" s="1"/>
  <c r="W479" i="11"/>
  <c r="AB479" i="11" s="1"/>
  <c r="W478" i="11"/>
  <c r="AC478" i="11" s="1"/>
  <c r="W475" i="11"/>
  <c r="AB475" i="11" s="1"/>
  <c r="W477" i="11"/>
  <c r="AC477" i="11" s="1"/>
  <c r="W476" i="11"/>
  <c r="AB476" i="11" s="1"/>
  <c r="W472" i="11"/>
  <c r="AB472" i="11" s="1"/>
  <c r="W473" i="11"/>
  <c r="AC473" i="11" s="1"/>
  <c r="W481" i="11"/>
  <c r="AB481" i="11" s="1"/>
  <c r="W458" i="11"/>
  <c r="AC458" i="11" s="1"/>
  <c r="W471" i="11"/>
  <c r="AB471" i="11" s="1"/>
  <c r="AC456" i="11"/>
  <c r="AB456" i="11"/>
  <c r="AC466" i="11" l="1"/>
  <c r="AB466" i="11"/>
  <c r="AC462" i="11"/>
  <c r="AB462" i="11"/>
  <c r="AC464" i="11"/>
  <c r="AB464" i="11"/>
  <c r="AC467" i="11"/>
  <c r="AB467" i="11"/>
  <c r="AC465" i="11"/>
  <c r="AB465" i="11"/>
  <c r="AC469" i="11"/>
  <c r="AB469" i="11"/>
  <c r="AC457" i="11"/>
  <c r="AB457" i="11"/>
  <c r="AC468" i="11"/>
  <c r="AB468" i="11"/>
  <c r="AC463" i="11"/>
  <c r="AB463" i="11"/>
  <c r="AC460" i="11"/>
  <c r="AB460" i="11"/>
  <c r="AC459" i="11"/>
  <c r="AB459" i="11"/>
  <c r="AC461" i="11"/>
  <c r="AB461" i="11"/>
  <c r="AC480" i="11"/>
  <c r="AC474" i="11"/>
  <c r="AB478" i="11"/>
  <c r="AC475" i="11"/>
  <c r="AB477" i="11"/>
  <c r="AC479" i="11"/>
  <c r="AB458" i="11"/>
  <c r="AC476" i="11"/>
  <c r="AC471" i="11"/>
  <c r="AC481" i="11"/>
  <c r="AB473" i="11"/>
  <c r="AC472" i="11"/>
  <c r="Y9" i="2"/>
  <c r="Y19" i="2"/>
  <c r="Y20" i="2"/>
  <c r="Y36" i="2"/>
  <c r="Y41" i="2"/>
  <c r="Y43" i="2"/>
  <c r="Y44" i="2"/>
  <c r="Y46" i="2"/>
  <c r="Y53" i="2"/>
  <c r="Y84" i="2"/>
  <c r="Y59"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8" i="2"/>
  <c r="N7" i="2"/>
  <c r="N10" i="2"/>
  <c r="N31" i="2"/>
  <c r="N32" i="2"/>
  <c r="N33" i="2"/>
  <c r="N34" i="2"/>
  <c r="N40" i="2"/>
  <c r="N42" i="2"/>
  <c r="N45" i="2"/>
  <c r="N52" i="2"/>
  <c r="N51" i="2"/>
  <c r="O51" i="2" s="1"/>
  <c r="S51" i="2" s="1"/>
  <c r="N50" i="2"/>
  <c r="O50" i="2" s="1"/>
  <c r="S50" i="2" s="1"/>
  <c r="N48" i="2"/>
  <c r="O48" i="2" s="1"/>
  <c r="S48" i="2" s="1"/>
  <c r="N38" i="2"/>
  <c r="O38" i="2" s="1"/>
  <c r="S38" i="2" s="1"/>
  <c r="N37" i="2"/>
  <c r="O37" i="2" s="1"/>
  <c r="S37" i="2" s="1"/>
  <c r="N35" i="2"/>
  <c r="O35" i="2" s="1"/>
  <c r="S35" i="2" s="1"/>
  <c r="N28" i="2"/>
  <c r="O28" i="2" s="1"/>
  <c r="S28" i="2" s="1"/>
  <c r="N27" i="2"/>
  <c r="O27" i="2" s="1"/>
  <c r="S27" i="2" s="1"/>
  <c r="N26" i="2"/>
  <c r="O26" i="2" s="1"/>
  <c r="S26" i="2" s="1"/>
  <c r="N25" i="2"/>
  <c r="O25" i="2" s="1"/>
  <c r="S25" i="2" s="1"/>
  <c r="N24" i="2"/>
  <c r="O24" i="2" s="1"/>
  <c r="S24" i="2" s="1"/>
  <c r="N23" i="2"/>
  <c r="O23" i="2" s="1"/>
  <c r="S23" i="2" s="1"/>
  <c r="N22" i="2"/>
  <c r="O22" i="2" s="1"/>
  <c r="S22" i="2" s="1"/>
  <c r="N21" i="2"/>
  <c r="O21" i="2" s="1"/>
  <c r="S21" i="2" s="1"/>
  <c r="N17" i="2"/>
  <c r="O17" i="2" s="1"/>
  <c r="S17" i="2" s="1"/>
  <c r="N3" i="2"/>
  <c r="O3" i="2" s="1"/>
  <c r="S3" i="2" s="1"/>
  <c r="N87" i="2"/>
  <c r="O87" i="2" s="1"/>
  <c r="S87" i="2" s="1"/>
  <c r="X407" i="11" l="1"/>
  <c r="X381" i="11"/>
  <c r="X355" i="11"/>
  <c r="X329" i="11"/>
  <c r="X277" i="11"/>
  <c r="X251" i="11"/>
  <c r="X225" i="11"/>
  <c r="X199" i="11"/>
  <c r="X173" i="11"/>
  <c r="X147" i="11"/>
  <c r="X121" i="11"/>
  <c r="X95" i="11"/>
  <c r="X69" i="11"/>
  <c r="X52" i="11" l="1"/>
  <c r="X39" i="11"/>
  <c r="X27" i="11"/>
  <c r="X15" i="11"/>
  <c r="X3" i="11"/>
  <c r="M52" i="11" l="1"/>
  <c r="M39" i="11"/>
  <c r="M27" i="11"/>
  <c r="M15" i="11"/>
  <c r="M3" i="11"/>
  <c r="J59" i="2"/>
  <c r="I59" i="2" s="1"/>
  <c r="R59" i="2" s="1"/>
  <c r="J84" i="2"/>
  <c r="I84" i="2" s="1"/>
  <c r="R84" i="2" s="1"/>
  <c r="J36" i="2"/>
  <c r="L36" i="2" s="1"/>
  <c r="M36" i="2" s="1"/>
  <c r="I3" i="2"/>
  <c r="R3" i="2" s="1"/>
  <c r="Y88" i="2"/>
  <c r="Y3" i="2" l="1"/>
  <c r="M33" i="11"/>
  <c r="M31" i="11"/>
  <c r="M32" i="11"/>
  <c r="M28" i="11"/>
  <c r="M34" i="11"/>
  <c r="M38" i="11"/>
  <c r="M37" i="11"/>
  <c r="M35" i="11"/>
  <c r="M36" i="11"/>
  <c r="M30" i="11"/>
  <c r="M29" i="11"/>
  <c r="M9" i="11"/>
  <c r="M11" i="11"/>
  <c r="M5" i="11"/>
  <c r="M10" i="11"/>
  <c r="M12" i="11"/>
  <c r="M14" i="11"/>
  <c r="M7" i="11"/>
  <c r="M13" i="11"/>
  <c r="M8" i="11"/>
  <c r="M6" i="11"/>
  <c r="M21" i="11"/>
  <c r="M25" i="11"/>
  <c r="M20" i="11"/>
  <c r="M22" i="11"/>
  <c r="M26" i="11"/>
  <c r="M23" i="11"/>
  <c r="M16" i="11"/>
  <c r="M19" i="11"/>
  <c r="M17" i="11"/>
  <c r="M24" i="11"/>
  <c r="M18" i="11"/>
  <c r="M50" i="11"/>
  <c r="M45" i="11"/>
  <c r="M46" i="11"/>
  <c r="M40" i="11"/>
  <c r="M43" i="11"/>
  <c r="M49" i="11"/>
  <c r="M48" i="11"/>
  <c r="M47" i="11"/>
  <c r="M51" i="11"/>
  <c r="M41" i="11"/>
  <c r="M44" i="11"/>
  <c r="M42" i="11"/>
  <c r="M54" i="11"/>
  <c r="M57" i="11"/>
  <c r="M56" i="11"/>
  <c r="M63" i="11"/>
  <c r="M55" i="11"/>
  <c r="M59" i="11"/>
  <c r="M64" i="11"/>
  <c r="M62" i="11"/>
  <c r="M58" i="11"/>
  <c r="M60" i="11"/>
  <c r="M61" i="11"/>
  <c r="M53" i="11"/>
  <c r="M4" i="11"/>
  <c r="N36" i="2"/>
  <c r="O36" i="2" s="1"/>
  <c r="S36" i="2" s="1"/>
  <c r="L88" i="2"/>
  <c r="M88" i="2" s="1"/>
  <c r="Z29" i="2"/>
  <c r="I1" i="11" l="1"/>
  <c r="H1" i="2"/>
  <c r="N88" i="2"/>
  <c r="O88" i="2" s="1"/>
  <c r="S88" i="2" s="1"/>
  <c r="N29" i="2"/>
  <c r="K28" i="9" l="1"/>
  <c r="I28" i="9"/>
  <c r="J28" i="9"/>
  <c r="K91" i="9"/>
  <c r="I91" i="9"/>
  <c r="K99" i="9"/>
  <c r="K101" i="9"/>
  <c r="I101" i="9"/>
  <c r="K13" i="9"/>
  <c r="K67" i="9"/>
  <c r="K48" i="9"/>
  <c r="I95" i="9"/>
  <c r="K95" i="9"/>
  <c r="I22" i="9"/>
  <c r="K100" i="9"/>
  <c r="K36" i="9"/>
  <c r="I104" i="9"/>
  <c r="K44" i="9"/>
  <c r="K94" i="9"/>
  <c r="K42" i="9"/>
  <c r="K25" i="9"/>
  <c r="I82" i="9"/>
  <c r="I88" i="9"/>
  <c r="I100" i="9"/>
  <c r="I29" i="9"/>
  <c r="I41" i="9"/>
  <c r="I48" i="9"/>
  <c r="K31" i="9"/>
  <c r="K98" i="9"/>
  <c r="I94" i="9"/>
  <c r="I99" i="9"/>
  <c r="K32" i="9"/>
  <c r="K88" i="9"/>
  <c r="K29" i="9"/>
  <c r="I68" i="9"/>
  <c r="K43" i="9"/>
  <c r="I39" i="9"/>
  <c r="J82" i="9"/>
  <c r="K41" i="9"/>
  <c r="J97" i="9"/>
  <c r="I49" i="9"/>
  <c r="I67" i="9"/>
  <c r="I13" i="9"/>
  <c r="I98" i="9"/>
  <c r="I30" i="9"/>
  <c r="I25" i="9"/>
  <c r="K104" i="9"/>
  <c r="I36" i="9"/>
  <c r="I31" i="9"/>
  <c r="I32" i="9"/>
  <c r="I42" i="9"/>
  <c r="I43" i="9"/>
  <c r="I44" i="9"/>
  <c r="K39" i="9"/>
  <c r="K49" i="9"/>
  <c r="K22" i="9"/>
  <c r="I97" i="9"/>
  <c r="K68" i="9"/>
  <c r="J98" i="9"/>
  <c r="K82" i="9"/>
  <c r="K30" i="9"/>
  <c r="K97" i="9"/>
  <c r="J41" i="9"/>
  <c r="J88" i="9"/>
  <c r="J42" i="9"/>
  <c r="J30" i="9"/>
  <c r="J95" i="9"/>
  <c r="J43" i="9"/>
  <c r="J39" i="9"/>
  <c r="J44" i="9"/>
  <c r="J91" i="9"/>
  <c r="J13" i="9"/>
  <c r="J68" i="9"/>
  <c r="J99" i="9"/>
  <c r="J101" i="9"/>
  <c r="J94" i="9"/>
  <c r="J104" i="9"/>
  <c r="J32" i="9"/>
  <c r="J49" i="9"/>
  <c r="J67" i="9"/>
  <c r="J29" i="9"/>
  <c r="J31" i="9"/>
  <c r="J100" i="9"/>
  <c r="J22" i="9"/>
  <c r="J36" i="9"/>
  <c r="J48" i="9"/>
  <c r="J25" i="9"/>
  <c r="M319" i="11"/>
  <c r="M320" i="11"/>
  <c r="M328" i="11"/>
  <c r="M327" i="11"/>
  <c r="M321" i="11"/>
  <c r="M318" i="11"/>
  <c r="M322" i="11"/>
  <c r="M326" i="11"/>
  <c r="M323" i="11"/>
  <c r="M324" i="11"/>
  <c r="M325" i="11"/>
  <c r="AD438" i="11"/>
  <c r="O438" i="11"/>
  <c r="P438" i="11" s="1"/>
  <c r="M407" i="11"/>
  <c r="M381" i="11"/>
  <c r="M355" i="11"/>
  <c r="M329" i="11"/>
  <c r="M277" i="11"/>
  <c r="M251" i="11"/>
  <c r="M225" i="11"/>
  <c r="M199" i="11"/>
  <c r="M173" i="11"/>
  <c r="M147" i="11"/>
  <c r="M121" i="11"/>
  <c r="M95" i="11"/>
  <c r="M69" i="11"/>
  <c r="M415" i="11" l="1"/>
  <c r="M417" i="11"/>
  <c r="M411" i="11"/>
  <c r="M413" i="11"/>
  <c r="M408" i="11"/>
  <c r="M421" i="11"/>
  <c r="M418" i="11"/>
  <c r="M420" i="11"/>
  <c r="M414" i="11"/>
  <c r="M416" i="11"/>
  <c r="M410" i="11"/>
  <c r="M412" i="11"/>
  <c r="M419" i="11"/>
  <c r="M389" i="11"/>
  <c r="M391" i="11"/>
  <c r="M385" i="11"/>
  <c r="M387" i="11"/>
  <c r="M395" i="11"/>
  <c r="M392" i="11"/>
  <c r="M394" i="11"/>
  <c r="M388" i="11"/>
  <c r="M390" i="11"/>
  <c r="M384" i="11"/>
  <c r="M386" i="11"/>
  <c r="M393" i="11"/>
  <c r="M382" i="11"/>
  <c r="M360" i="11"/>
  <c r="M358" i="11"/>
  <c r="M364" i="11"/>
  <c r="M362" i="11"/>
  <c r="M368" i="11"/>
  <c r="M366" i="11"/>
  <c r="M369" i="11"/>
  <c r="M359" i="11"/>
  <c r="M363" i="11"/>
  <c r="M367" i="11"/>
  <c r="M361" i="11"/>
  <c r="M365" i="11"/>
  <c r="M356" i="11"/>
  <c r="M337" i="11"/>
  <c r="M339" i="11"/>
  <c r="M333" i="11"/>
  <c r="M335" i="11"/>
  <c r="M343" i="11"/>
  <c r="M340" i="11"/>
  <c r="M342" i="11"/>
  <c r="M336" i="11"/>
  <c r="M338" i="11"/>
  <c r="M332" i="11"/>
  <c r="M334" i="11"/>
  <c r="M341" i="11"/>
  <c r="M330" i="11"/>
  <c r="M77" i="11"/>
  <c r="M79" i="11"/>
  <c r="M73" i="11"/>
  <c r="M75" i="11"/>
  <c r="M83" i="11"/>
  <c r="M80" i="11"/>
  <c r="M82" i="11"/>
  <c r="M76" i="11"/>
  <c r="M78" i="11"/>
  <c r="M72" i="11"/>
  <c r="M74" i="11"/>
  <c r="M81" i="11"/>
  <c r="M70" i="11"/>
  <c r="M285" i="11"/>
  <c r="M287" i="11"/>
  <c r="M281" i="11"/>
  <c r="M283" i="11"/>
  <c r="M291" i="11"/>
  <c r="M288" i="11"/>
  <c r="M290" i="11"/>
  <c r="M284" i="11"/>
  <c r="M286" i="11"/>
  <c r="M280" i="11"/>
  <c r="M282" i="11"/>
  <c r="M289" i="11"/>
  <c r="M278" i="11"/>
  <c r="M294" i="11"/>
  <c r="M298" i="11"/>
  <c r="M302" i="11"/>
  <c r="M295" i="11"/>
  <c r="M292" i="11"/>
  <c r="M299" i="11"/>
  <c r="M296" i="11"/>
  <c r="M300" i="11"/>
  <c r="M293" i="11"/>
  <c r="M297" i="11"/>
  <c r="M301" i="11"/>
  <c r="M259" i="11"/>
  <c r="M261" i="11"/>
  <c r="M255" i="11"/>
  <c r="M257" i="11"/>
  <c r="M252" i="11"/>
  <c r="M265" i="11"/>
  <c r="M262" i="11"/>
  <c r="M264" i="11"/>
  <c r="M258" i="11"/>
  <c r="M260" i="11"/>
  <c r="M254" i="11"/>
  <c r="M256" i="11"/>
  <c r="M263" i="11"/>
  <c r="M236" i="11"/>
  <c r="M238" i="11"/>
  <c r="M232" i="11"/>
  <c r="M234" i="11"/>
  <c r="M228" i="11"/>
  <c r="M230" i="11"/>
  <c r="M239" i="11"/>
  <c r="M235" i="11"/>
  <c r="M237" i="11"/>
  <c r="M231" i="11"/>
  <c r="M233" i="11"/>
  <c r="M227" i="11"/>
  <c r="M229" i="11"/>
  <c r="M207" i="11"/>
  <c r="M209" i="11"/>
  <c r="M203" i="11"/>
  <c r="M205" i="11"/>
  <c r="M213" i="11"/>
  <c r="M210" i="11"/>
  <c r="M212" i="11"/>
  <c r="M206" i="11"/>
  <c r="M208" i="11"/>
  <c r="M202" i="11"/>
  <c r="M204" i="11"/>
  <c r="M211" i="11"/>
  <c r="M200" i="11"/>
  <c r="M187" i="11"/>
  <c r="L187" i="11" s="1"/>
  <c r="U187" i="11" s="1"/>
  <c r="M174" i="11"/>
  <c r="M185" i="11"/>
  <c r="M183" i="11"/>
  <c r="M181" i="11"/>
  <c r="M179" i="11"/>
  <c r="M177" i="11"/>
  <c r="M184" i="11"/>
  <c r="M186" i="11"/>
  <c r="M180" i="11"/>
  <c r="M182" i="11"/>
  <c r="M176" i="11"/>
  <c r="M178" i="11"/>
  <c r="M161" i="11"/>
  <c r="L161" i="11" s="1"/>
  <c r="U161" i="11" s="1"/>
  <c r="M152" i="11"/>
  <c r="M159" i="11"/>
  <c r="M155" i="11"/>
  <c r="M151" i="11"/>
  <c r="M158" i="11"/>
  <c r="M154" i="11"/>
  <c r="M150" i="11"/>
  <c r="M148" i="11"/>
  <c r="M157" i="11"/>
  <c r="M153" i="11"/>
  <c r="M160" i="11"/>
  <c r="M156" i="11"/>
  <c r="M135" i="11"/>
  <c r="L135" i="11" s="1"/>
  <c r="U135" i="11" s="1"/>
  <c r="M122" i="11"/>
  <c r="M133" i="11"/>
  <c r="M131" i="11"/>
  <c r="M129" i="11"/>
  <c r="M127" i="11"/>
  <c r="M125" i="11"/>
  <c r="M132" i="11"/>
  <c r="M134" i="11"/>
  <c r="M128" i="11"/>
  <c r="M130" i="11"/>
  <c r="M124" i="11"/>
  <c r="M126" i="11"/>
  <c r="M104" i="11"/>
  <c r="M100" i="11"/>
  <c r="M107" i="11"/>
  <c r="M98" i="11"/>
  <c r="M105" i="11"/>
  <c r="M103" i="11"/>
  <c r="M108" i="11"/>
  <c r="M101" i="11"/>
  <c r="M99" i="11"/>
  <c r="M106" i="11"/>
  <c r="M102" i="11"/>
  <c r="M109" i="11"/>
  <c r="M96" i="11"/>
  <c r="M97" i="11"/>
  <c r="M111" i="11"/>
  <c r="M110" i="11"/>
  <c r="M404" i="11"/>
  <c r="M399" i="11"/>
  <c r="M400" i="11"/>
  <c r="M396" i="11"/>
  <c r="M406" i="11"/>
  <c r="M383" i="11"/>
  <c r="M402" i="11"/>
  <c r="M398" i="11"/>
  <c r="M405" i="11"/>
  <c r="M401" i="11"/>
  <c r="M397" i="11"/>
  <c r="M403" i="11"/>
  <c r="M217" i="11"/>
  <c r="M215" i="11"/>
  <c r="M224" i="11"/>
  <c r="M221" i="11"/>
  <c r="M216" i="11"/>
  <c r="M214" i="11"/>
  <c r="M223" i="11"/>
  <c r="M220" i="11"/>
  <c r="M218" i="11"/>
  <c r="M222" i="11"/>
  <c r="M201" i="11"/>
  <c r="M219" i="11"/>
  <c r="M245" i="11"/>
  <c r="M249" i="11"/>
  <c r="M226" i="11"/>
  <c r="M243" i="11"/>
  <c r="M244" i="11"/>
  <c r="M241" i="11"/>
  <c r="M248" i="11"/>
  <c r="M247" i="11"/>
  <c r="M240" i="11"/>
  <c r="M242" i="11"/>
  <c r="M246" i="11"/>
  <c r="M250" i="11"/>
  <c r="M279" i="11"/>
  <c r="M370" i="11"/>
  <c r="M372" i="11"/>
  <c r="M378" i="11"/>
  <c r="M357" i="11"/>
  <c r="M375" i="11"/>
  <c r="M377" i="11"/>
  <c r="M374" i="11"/>
  <c r="M380" i="11"/>
  <c r="M373" i="11"/>
  <c r="M376" i="11"/>
  <c r="M379" i="11"/>
  <c r="M371" i="11"/>
  <c r="M426" i="11"/>
  <c r="M422" i="11"/>
  <c r="M432" i="11"/>
  <c r="M428" i="11"/>
  <c r="M424" i="11"/>
  <c r="M429" i="11"/>
  <c r="M431" i="11"/>
  <c r="M425" i="11"/>
  <c r="M427" i="11"/>
  <c r="M423" i="11"/>
  <c r="M409" i="11"/>
  <c r="M430" i="11"/>
  <c r="M119" i="11"/>
  <c r="M113" i="11"/>
  <c r="M115" i="11"/>
  <c r="M118" i="11"/>
  <c r="M114" i="11"/>
  <c r="M117" i="11"/>
  <c r="M120" i="11"/>
  <c r="M112" i="11"/>
  <c r="M116" i="11"/>
  <c r="M142" i="11"/>
  <c r="M138" i="11"/>
  <c r="M145" i="11"/>
  <c r="M123" i="11"/>
  <c r="M141" i="11"/>
  <c r="M137" i="11"/>
  <c r="M143" i="11"/>
  <c r="M139" i="11"/>
  <c r="M140" i="11"/>
  <c r="M146" i="11"/>
  <c r="M136" i="11"/>
  <c r="M144" i="11"/>
  <c r="M163" i="11"/>
  <c r="M169" i="11"/>
  <c r="M165" i="11"/>
  <c r="M149" i="11"/>
  <c r="M164" i="11"/>
  <c r="M167" i="11"/>
  <c r="M170" i="11"/>
  <c r="M166" i="11"/>
  <c r="M168" i="11"/>
  <c r="M172" i="11"/>
  <c r="M171" i="11"/>
  <c r="M162" i="11"/>
  <c r="M272" i="11"/>
  <c r="M273" i="11"/>
  <c r="M253" i="11"/>
  <c r="M268" i="11"/>
  <c r="M267" i="11"/>
  <c r="M271" i="11"/>
  <c r="M276" i="11"/>
  <c r="M266" i="11"/>
  <c r="M275" i="11"/>
  <c r="M270" i="11"/>
  <c r="M274" i="11"/>
  <c r="M269" i="11"/>
  <c r="M352" i="11"/>
  <c r="M346" i="11"/>
  <c r="M349" i="11"/>
  <c r="M351" i="11"/>
  <c r="M354" i="11"/>
  <c r="M348" i="11"/>
  <c r="M344" i="11"/>
  <c r="M347" i="11"/>
  <c r="M331" i="11"/>
  <c r="M353" i="11"/>
  <c r="M345" i="11"/>
  <c r="M350" i="11"/>
  <c r="M94" i="11"/>
  <c r="M86" i="11"/>
  <c r="M91" i="11"/>
  <c r="M89" i="11"/>
  <c r="M71" i="11"/>
  <c r="M84" i="11"/>
  <c r="M85" i="11"/>
  <c r="M93" i="11"/>
  <c r="M87" i="11"/>
  <c r="M90" i="11"/>
  <c r="M88" i="11"/>
  <c r="M92" i="11"/>
  <c r="M196" i="11"/>
  <c r="M189" i="11"/>
  <c r="M194" i="11"/>
  <c r="M188" i="11"/>
  <c r="M195" i="11"/>
  <c r="M193" i="11"/>
  <c r="M192" i="11"/>
  <c r="M191" i="11"/>
  <c r="M175" i="11"/>
  <c r="M190" i="11"/>
  <c r="M198" i="11"/>
  <c r="M197" i="11"/>
  <c r="AD450" i="11"/>
  <c r="AD444" i="11"/>
  <c r="AD447" i="11"/>
  <c r="AD453" i="11"/>
  <c r="AD441" i="11"/>
  <c r="AD449" i="11"/>
  <c r="AD452" i="11"/>
  <c r="AD446" i="11"/>
  <c r="AD445" i="11"/>
  <c r="AD442" i="11"/>
  <c r="AD440" i="11"/>
  <c r="AD454" i="11"/>
  <c r="AD448" i="11"/>
  <c r="AD455" i="11"/>
  <c r="AD451" i="11"/>
  <c r="AD443" i="11"/>
  <c r="AD439" i="11"/>
  <c r="O448" i="11"/>
  <c r="P448" i="11" s="1"/>
  <c r="R438" i="11"/>
  <c r="V438" i="11" s="1"/>
  <c r="O445" i="11"/>
  <c r="P445" i="11" s="1"/>
  <c r="O452" i="11"/>
  <c r="P452" i="11" s="1"/>
  <c r="O446" i="11"/>
  <c r="P446" i="11" s="1"/>
  <c r="O439" i="11"/>
  <c r="P439" i="11" s="1"/>
  <c r="O440" i="11"/>
  <c r="P440" i="11" s="1"/>
  <c r="O444" i="11"/>
  <c r="P444" i="11" s="1"/>
  <c r="O443" i="11"/>
  <c r="P443" i="11" s="1"/>
  <c r="O449" i="11"/>
  <c r="P449" i="11" s="1"/>
  <c r="O451" i="11"/>
  <c r="P451" i="11" s="1"/>
  <c r="O455" i="11"/>
  <c r="P455" i="11" s="1"/>
  <c r="O442" i="11"/>
  <c r="P442" i="11" s="1"/>
  <c r="O454" i="11"/>
  <c r="P454" i="11" s="1"/>
  <c r="O453" i="11"/>
  <c r="P453" i="11" s="1"/>
  <c r="O447" i="11"/>
  <c r="P447" i="11" s="1"/>
  <c r="O441" i="11"/>
  <c r="P441" i="11" s="1"/>
  <c r="O450" i="11"/>
  <c r="P450" i="11" s="1"/>
  <c r="O1" i="11"/>
  <c r="L1" i="2"/>
  <c r="N1" i="2" l="1"/>
  <c r="O1" i="2" s="1"/>
  <c r="Q1" i="11"/>
  <c r="R1" i="11" s="1"/>
  <c r="AD135" i="11"/>
  <c r="AD161" i="11"/>
  <c r="AD187" i="11"/>
  <c r="L410" i="11"/>
  <c r="U410" i="11" s="1"/>
  <c r="L416" i="11"/>
  <c r="U416" i="11" s="1"/>
  <c r="L420" i="11"/>
  <c r="U420" i="11" s="1"/>
  <c r="L418" i="11"/>
  <c r="U418" i="11" s="1"/>
  <c r="L421" i="11"/>
  <c r="U421" i="11" s="1"/>
  <c r="L414" i="11"/>
  <c r="U414" i="11" s="1"/>
  <c r="L408" i="11"/>
  <c r="U408" i="11" s="1"/>
  <c r="L413" i="11"/>
  <c r="U413" i="11" s="1"/>
  <c r="L412" i="11"/>
  <c r="U412" i="11" s="1"/>
  <c r="L411" i="11"/>
  <c r="U411" i="11" s="1"/>
  <c r="L417" i="11"/>
  <c r="U417" i="11" s="1"/>
  <c r="L419" i="11"/>
  <c r="U419" i="11" s="1"/>
  <c r="L415" i="11"/>
  <c r="U415" i="11" s="1"/>
  <c r="L393" i="11"/>
  <c r="U393" i="11" s="1"/>
  <c r="L386" i="11"/>
  <c r="U386" i="11" s="1"/>
  <c r="L384" i="11"/>
  <c r="U384" i="11" s="1"/>
  <c r="L390" i="11"/>
  <c r="U390" i="11" s="1"/>
  <c r="L388" i="11"/>
  <c r="U388" i="11" s="1"/>
  <c r="L394" i="11"/>
  <c r="U394" i="11" s="1"/>
  <c r="L392" i="11"/>
  <c r="U392" i="11" s="1"/>
  <c r="L395" i="11"/>
  <c r="U395" i="11" s="1"/>
  <c r="L387" i="11"/>
  <c r="U387" i="11" s="1"/>
  <c r="L385" i="11"/>
  <c r="U385" i="11" s="1"/>
  <c r="L391" i="11"/>
  <c r="U391" i="11" s="1"/>
  <c r="L382" i="11"/>
  <c r="U382" i="11" s="1"/>
  <c r="L389" i="11"/>
  <c r="U389" i="11" s="1"/>
  <c r="L361" i="11"/>
  <c r="U361" i="11" s="1"/>
  <c r="L367" i="11"/>
  <c r="U367" i="11" s="1"/>
  <c r="L363" i="11"/>
  <c r="U363" i="11" s="1"/>
  <c r="L359" i="11"/>
  <c r="U359" i="11" s="1"/>
  <c r="L365" i="11"/>
  <c r="U365" i="11" s="1"/>
  <c r="L369" i="11"/>
  <c r="U369" i="11" s="1"/>
  <c r="L366" i="11"/>
  <c r="U366" i="11" s="1"/>
  <c r="L368" i="11"/>
  <c r="U368" i="11" s="1"/>
  <c r="L362" i="11"/>
  <c r="U362" i="11" s="1"/>
  <c r="L364" i="11"/>
  <c r="U364" i="11" s="1"/>
  <c r="L358" i="11"/>
  <c r="U358" i="11" s="1"/>
  <c r="L356" i="11"/>
  <c r="U356" i="11" s="1"/>
  <c r="L360" i="11"/>
  <c r="U360" i="11" s="1"/>
  <c r="L341" i="11"/>
  <c r="U341" i="11" s="1"/>
  <c r="L334" i="11"/>
  <c r="U334" i="11" s="1"/>
  <c r="L332" i="11"/>
  <c r="U332" i="11" s="1"/>
  <c r="L338" i="11"/>
  <c r="U338" i="11" s="1"/>
  <c r="L336" i="11"/>
  <c r="U336" i="11" s="1"/>
  <c r="L342" i="11"/>
  <c r="U342" i="11" s="1"/>
  <c r="L340" i="11"/>
  <c r="U340" i="11" s="1"/>
  <c r="L343" i="11"/>
  <c r="U343" i="11" s="1"/>
  <c r="L335" i="11"/>
  <c r="U335" i="11" s="1"/>
  <c r="L333" i="11"/>
  <c r="U333" i="11" s="1"/>
  <c r="L339" i="11"/>
  <c r="U339" i="11" s="1"/>
  <c r="L330" i="11"/>
  <c r="U330" i="11" s="1"/>
  <c r="L337" i="11"/>
  <c r="U337" i="11" s="1"/>
  <c r="L81" i="11"/>
  <c r="U81" i="11" s="1"/>
  <c r="L74" i="11"/>
  <c r="U74" i="11" s="1"/>
  <c r="L72" i="11"/>
  <c r="U72" i="11" s="1"/>
  <c r="L78" i="11"/>
  <c r="U78" i="11" s="1"/>
  <c r="L76" i="11"/>
  <c r="U76" i="11" s="1"/>
  <c r="L82" i="11"/>
  <c r="U82" i="11" s="1"/>
  <c r="L80" i="11"/>
  <c r="U80" i="11" s="1"/>
  <c r="L83" i="11"/>
  <c r="U83" i="11" s="1"/>
  <c r="L75" i="11"/>
  <c r="U75" i="11" s="1"/>
  <c r="L73" i="11"/>
  <c r="U73" i="11" s="1"/>
  <c r="L79" i="11"/>
  <c r="U79" i="11" s="1"/>
  <c r="L70" i="11"/>
  <c r="U70" i="11" s="1"/>
  <c r="L77" i="11"/>
  <c r="U77" i="11" s="1"/>
  <c r="L289" i="11"/>
  <c r="U289" i="11" s="1"/>
  <c r="L282" i="11"/>
  <c r="U282" i="11" s="1"/>
  <c r="L280" i="11"/>
  <c r="U280" i="11" s="1"/>
  <c r="L286" i="11"/>
  <c r="U286" i="11" s="1"/>
  <c r="L284" i="11"/>
  <c r="U284" i="11" s="1"/>
  <c r="L290" i="11"/>
  <c r="U290" i="11" s="1"/>
  <c r="L288" i="11"/>
  <c r="U288" i="11" s="1"/>
  <c r="L291" i="11"/>
  <c r="U291" i="11" s="1"/>
  <c r="L283" i="11"/>
  <c r="U283" i="11" s="1"/>
  <c r="L281" i="11"/>
  <c r="U281" i="11" s="1"/>
  <c r="L287" i="11"/>
  <c r="U287" i="11" s="1"/>
  <c r="L278" i="11"/>
  <c r="U278" i="11" s="1"/>
  <c r="L285" i="11"/>
  <c r="U285" i="11" s="1"/>
  <c r="L301" i="11"/>
  <c r="U301" i="11" s="1"/>
  <c r="L297" i="11"/>
  <c r="U297" i="11" s="1"/>
  <c r="L293" i="11"/>
  <c r="U293" i="11" s="1"/>
  <c r="L300" i="11"/>
  <c r="U300" i="11" s="1"/>
  <c r="L296" i="11"/>
  <c r="U296" i="11" s="1"/>
  <c r="L299" i="11"/>
  <c r="U299" i="11" s="1"/>
  <c r="L292" i="11"/>
  <c r="U292" i="11" s="1"/>
  <c r="L295" i="11"/>
  <c r="U295" i="11" s="1"/>
  <c r="L302" i="11"/>
  <c r="U302" i="11" s="1"/>
  <c r="L298" i="11"/>
  <c r="U298" i="11" s="1"/>
  <c r="L294" i="11"/>
  <c r="U294" i="11" s="1"/>
  <c r="L256" i="11"/>
  <c r="U256" i="11" s="1"/>
  <c r="L254" i="11"/>
  <c r="U254" i="11" s="1"/>
  <c r="L260" i="11"/>
  <c r="U260" i="11" s="1"/>
  <c r="L258" i="11"/>
  <c r="U258" i="11" s="1"/>
  <c r="L264" i="11"/>
  <c r="U264" i="11" s="1"/>
  <c r="L262" i="11"/>
  <c r="U262" i="11" s="1"/>
  <c r="L265" i="11"/>
  <c r="U265" i="11" s="1"/>
  <c r="L252" i="11"/>
  <c r="U252" i="11" s="1"/>
  <c r="L257" i="11"/>
  <c r="U257" i="11" s="1"/>
  <c r="L255" i="11"/>
  <c r="U255" i="11" s="1"/>
  <c r="L261" i="11"/>
  <c r="U261" i="11" s="1"/>
  <c r="L263" i="11"/>
  <c r="U263" i="11" s="1"/>
  <c r="L259" i="11"/>
  <c r="U259" i="11" s="1"/>
  <c r="L227" i="11"/>
  <c r="U227" i="11" s="1"/>
  <c r="L233" i="11"/>
  <c r="U233" i="11" s="1"/>
  <c r="L231" i="11"/>
  <c r="U231" i="11" s="1"/>
  <c r="L237" i="11"/>
  <c r="U237" i="11" s="1"/>
  <c r="L235" i="11"/>
  <c r="U235" i="11" s="1"/>
  <c r="L239" i="11"/>
  <c r="U239" i="11" s="1"/>
  <c r="L230" i="11"/>
  <c r="U230" i="11" s="1"/>
  <c r="L228" i="11"/>
  <c r="U228" i="11" s="1"/>
  <c r="L234" i="11"/>
  <c r="U234" i="11" s="1"/>
  <c r="L232" i="11"/>
  <c r="U232" i="11" s="1"/>
  <c r="L238" i="11"/>
  <c r="U238" i="11" s="1"/>
  <c r="L229" i="11"/>
  <c r="U229" i="11" s="1"/>
  <c r="L236" i="11"/>
  <c r="U236" i="11" s="1"/>
  <c r="L211" i="11"/>
  <c r="U211" i="11" s="1"/>
  <c r="L204" i="11"/>
  <c r="U204" i="11" s="1"/>
  <c r="L202" i="11"/>
  <c r="U202" i="11" s="1"/>
  <c r="L208" i="11"/>
  <c r="U208" i="11" s="1"/>
  <c r="L206" i="11"/>
  <c r="U206" i="11" s="1"/>
  <c r="L212" i="11"/>
  <c r="U212" i="11" s="1"/>
  <c r="L210" i="11"/>
  <c r="U210" i="11" s="1"/>
  <c r="L213" i="11"/>
  <c r="U213" i="11" s="1"/>
  <c r="L205" i="11"/>
  <c r="U205" i="11" s="1"/>
  <c r="L203" i="11"/>
  <c r="U203" i="11" s="1"/>
  <c r="L209" i="11"/>
  <c r="U209" i="11" s="1"/>
  <c r="L200" i="11"/>
  <c r="U200" i="11" s="1"/>
  <c r="L207" i="11"/>
  <c r="U207" i="11" s="1"/>
  <c r="L182" i="11"/>
  <c r="U182" i="11" s="1"/>
  <c r="L180" i="11"/>
  <c r="U180" i="11" s="1"/>
  <c r="L186" i="11"/>
  <c r="U186" i="11" s="1"/>
  <c r="L184" i="11"/>
  <c r="U184" i="11" s="1"/>
  <c r="L176" i="11"/>
  <c r="U176" i="11" s="1"/>
  <c r="L177" i="11"/>
  <c r="U177" i="11" s="1"/>
  <c r="L179" i="11"/>
  <c r="U179" i="11" s="1"/>
  <c r="L181" i="11"/>
  <c r="U181" i="11" s="1"/>
  <c r="L183" i="11"/>
  <c r="U183" i="11" s="1"/>
  <c r="L185" i="11"/>
  <c r="U185" i="11" s="1"/>
  <c r="L174" i="11"/>
  <c r="U174" i="11" s="1"/>
  <c r="L178" i="11"/>
  <c r="U178" i="11" s="1"/>
  <c r="O187" i="11"/>
  <c r="P187" i="11" s="1"/>
  <c r="L160" i="11"/>
  <c r="U160" i="11" s="1"/>
  <c r="L153" i="11"/>
  <c r="U153" i="11" s="1"/>
  <c r="L157" i="11"/>
  <c r="U157" i="11" s="1"/>
  <c r="L148" i="11"/>
  <c r="U148" i="11" s="1"/>
  <c r="L150" i="11"/>
  <c r="U150" i="11" s="1"/>
  <c r="L154" i="11"/>
  <c r="U154" i="11" s="1"/>
  <c r="L158" i="11"/>
  <c r="U158" i="11" s="1"/>
  <c r="L151" i="11"/>
  <c r="U151" i="11" s="1"/>
  <c r="L155" i="11"/>
  <c r="U155" i="11" s="1"/>
  <c r="L159" i="11"/>
  <c r="U159" i="11" s="1"/>
  <c r="L152" i="11"/>
  <c r="U152" i="11" s="1"/>
  <c r="L156" i="11"/>
  <c r="U156" i="11" s="1"/>
  <c r="O161" i="11"/>
  <c r="P161" i="11" s="1"/>
  <c r="L124" i="11"/>
  <c r="U124" i="11" s="1"/>
  <c r="L130" i="11"/>
  <c r="U130" i="11" s="1"/>
  <c r="L128" i="11"/>
  <c r="U128" i="11" s="1"/>
  <c r="L134" i="11"/>
  <c r="U134" i="11" s="1"/>
  <c r="L132" i="11"/>
  <c r="U132" i="11" s="1"/>
  <c r="L125" i="11"/>
  <c r="U125" i="11" s="1"/>
  <c r="L127" i="11"/>
  <c r="U127" i="11" s="1"/>
  <c r="L129" i="11"/>
  <c r="U129" i="11" s="1"/>
  <c r="L131" i="11"/>
  <c r="U131" i="11" s="1"/>
  <c r="L133" i="11"/>
  <c r="U133" i="11" s="1"/>
  <c r="L122" i="11"/>
  <c r="U122" i="11" s="1"/>
  <c r="L126" i="11"/>
  <c r="U126" i="11" s="1"/>
  <c r="O135" i="11"/>
  <c r="P135" i="11" s="1"/>
  <c r="L102" i="11"/>
  <c r="U102" i="11" s="1"/>
  <c r="L106" i="11"/>
  <c r="U106" i="11" s="1"/>
  <c r="L99" i="11"/>
  <c r="U99" i="11" s="1"/>
  <c r="L101" i="11"/>
  <c r="U101" i="11" s="1"/>
  <c r="L108" i="11"/>
  <c r="U108" i="11" s="1"/>
  <c r="L103" i="11"/>
  <c r="U103" i="11" s="1"/>
  <c r="L105" i="11"/>
  <c r="U105" i="11" s="1"/>
  <c r="L98" i="11"/>
  <c r="U98" i="11" s="1"/>
  <c r="L107" i="11"/>
  <c r="U107" i="11" s="1"/>
  <c r="L100" i="11"/>
  <c r="U100" i="11" s="1"/>
  <c r="L104" i="11"/>
  <c r="U104" i="11" s="1"/>
  <c r="L97" i="11"/>
  <c r="U97" i="11" s="1"/>
  <c r="L96" i="11"/>
  <c r="U96" i="11" s="1"/>
  <c r="L109" i="11"/>
  <c r="U109" i="11" s="1"/>
  <c r="L110" i="11"/>
  <c r="U110" i="11" s="1"/>
  <c r="L111" i="11"/>
  <c r="U111" i="11" s="1"/>
  <c r="R448" i="11"/>
  <c r="V448" i="11" s="1"/>
  <c r="W438" i="11"/>
  <c r="AB438" i="11" s="1"/>
  <c r="R443" i="11"/>
  <c r="V443" i="11" s="1"/>
  <c r="R445" i="11"/>
  <c r="V445" i="11" s="1"/>
  <c r="R450" i="11"/>
  <c r="V450" i="11" s="1"/>
  <c r="R444" i="11"/>
  <c r="V444" i="11" s="1"/>
  <c r="R451" i="11"/>
  <c r="V451" i="11" s="1"/>
  <c r="R440" i="11"/>
  <c r="V440" i="11" s="1"/>
  <c r="R452" i="11"/>
  <c r="V452" i="11" s="1"/>
  <c r="R442" i="11"/>
  <c r="V442" i="11" s="1"/>
  <c r="R455" i="11"/>
  <c r="V455" i="11" s="1"/>
  <c r="R441" i="11"/>
  <c r="V441" i="11" s="1"/>
  <c r="R439" i="11"/>
  <c r="V439" i="11" s="1"/>
  <c r="R447" i="11"/>
  <c r="V447" i="11" s="1"/>
  <c r="R453" i="11"/>
  <c r="V453" i="11" s="1"/>
  <c r="R449" i="11"/>
  <c r="V449" i="11" s="1"/>
  <c r="R454" i="11"/>
  <c r="V454" i="11" s="1"/>
  <c r="R446" i="11"/>
  <c r="V446" i="11" s="1"/>
  <c r="Y35" i="2"/>
  <c r="Y95" i="2"/>
  <c r="Y86" i="2"/>
  <c r="Y85" i="2"/>
  <c r="Y82" i="2"/>
  <c r="Y81" i="2"/>
  <c r="Y103" i="2"/>
  <c r="Y80" i="2"/>
  <c r="Y79" i="2"/>
  <c r="Y102" i="2"/>
  <c r="Y93" i="2"/>
  <c r="Y78" i="2"/>
  <c r="Y77" i="2"/>
  <c r="Y101" i="2"/>
  <c r="Y92" i="2"/>
  <c r="Y76" i="2"/>
  <c r="Y91" i="2"/>
  <c r="Y75" i="2"/>
  <c r="Y74" i="2"/>
  <c r="Y99" i="2"/>
  <c r="Y100" i="2"/>
  <c r="Y94" i="2"/>
  <c r="Y73" i="2"/>
  <c r="Y72" i="2"/>
  <c r="Y71" i="2"/>
  <c r="Y70" i="2"/>
  <c r="Y69" i="2"/>
  <c r="Y68" i="2"/>
  <c r="Y67" i="2"/>
  <c r="Y66" i="2"/>
  <c r="Y104" i="2"/>
  <c r="Y65" i="2"/>
  <c r="Y64" i="2"/>
  <c r="Y63" i="2"/>
  <c r="Y62" i="2"/>
  <c r="Y61" i="2"/>
  <c r="Y60" i="2"/>
  <c r="Y58" i="2"/>
  <c r="Y56" i="2"/>
  <c r="Y55" i="2"/>
  <c r="Y51" i="2"/>
  <c r="Y50" i="2"/>
  <c r="Y49" i="2"/>
  <c r="Y38" i="2"/>
  <c r="Y37" i="2"/>
  <c r="K24" i="2"/>
  <c r="J24" i="2" s="1"/>
  <c r="I24" i="2"/>
  <c r="R24" i="2" s="1"/>
  <c r="Y87" i="2"/>
  <c r="Y83" i="2"/>
  <c r="Y57" i="2"/>
  <c r="Y54" i="2"/>
  <c r="Y52" i="2"/>
  <c r="Y48" i="2"/>
  <c r="Y47" i="2"/>
  <c r="Y45" i="2"/>
  <c r="Y42" i="2"/>
  <c r="Y40" i="2"/>
  <c r="Y39" i="2"/>
  <c r="Y34" i="2"/>
  <c r="Y33" i="2"/>
  <c r="Y32" i="2"/>
  <c r="Y31" i="2"/>
  <c r="Y30" i="2"/>
  <c r="K29" i="2"/>
  <c r="J29" i="2" s="1"/>
  <c r="I29" i="2"/>
  <c r="R29" i="2" s="1"/>
  <c r="Y28" i="2"/>
  <c r="Y27" i="2"/>
  <c r="Y26" i="2"/>
  <c r="Y25" i="2"/>
  <c r="Y23" i="2"/>
  <c r="Y22" i="2"/>
  <c r="Y21" i="2"/>
  <c r="Y18" i="2"/>
  <c r="Y17" i="2"/>
  <c r="Y16" i="2"/>
  <c r="Y15" i="2"/>
  <c r="Y14" i="2"/>
  <c r="Y13" i="2"/>
  <c r="Y12" i="2"/>
  <c r="Y11" i="2"/>
  <c r="Y10" i="2"/>
  <c r="Y8" i="2"/>
  <c r="Y98" i="2"/>
  <c r="Y97" i="2"/>
  <c r="Y96" i="2"/>
  <c r="Y7" i="2"/>
  <c r="Y6" i="2"/>
  <c r="Y5" i="2"/>
  <c r="Y4" i="2"/>
  <c r="K3" i="2"/>
  <c r="J3" i="2" s="1"/>
  <c r="L3" i="2" s="1"/>
  <c r="M3" i="2" s="1"/>
  <c r="L94" i="11"/>
  <c r="U94" i="11" s="1"/>
  <c r="L93" i="11"/>
  <c r="U93" i="11" s="1"/>
  <c r="L92" i="11"/>
  <c r="U92" i="11" s="1"/>
  <c r="L91" i="11"/>
  <c r="U91" i="11" s="1"/>
  <c r="L90" i="11"/>
  <c r="U90" i="11" s="1"/>
  <c r="L89" i="11"/>
  <c r="U89" i="11" s="1"/>
  <c r="L88" i="11"/>
  <c r="U88" i="11" s="1"/>
  <c r="L87" i="11"/>
  <c r="U87" i="11" s="1"/>
  <c r="L86" i="11"/>
  <c r="U86" i="11" s="1"/>
  <c r="L85" i="11"/>
  <c r="U85" i="11" s="1"/>
  <c r="L84" i="11"/>
  <c r="U84" i="11" s="1"/>
  <c r="L71" i="11"/>
  <c r="U71" i="11" s="1"/>
  <c r="L120" i="11"/>
  <c r="U120" i="11" s="1"/>
  <c r="L119" i="11"/>
  <c r="U119" i="11" s="1"/>
  <c r="L118" i="11"/>
  <c r="U118" i="11" s="1"/>
  <c r="L117" i="11"/>
  <c r="U117" i="11" s="1"/>
  <c r="L116" i="11"/>
  <c r="U116" i="11" s="1"/>
  <c r="L114" i="11"/>
  <c r="U114" i="11" s="1"/>
  <c r="L113" i="11"/>
  <c r="U113" i="11" s="1"/>
  <c r="L112" i="11"/>
  <c r="U112" i="11" s="1"/>
  <c r="L146" i="11"/>
  <c r="U146" i="11" s="1"/>
  <c r="L145" i="11"/>
  <c r="U145" i="11" s="1"/>
  <c r="L144" i="11"/>
  <c r="U144" i="11" s="1"/>
  <c r="L143" i="11"/>
  <c r="U143" i="11" s="1"/>
  <c r="L142" i="11"/>
  <c r="U142" i="11" s="1"/>
  <c r="L141" i="11"/>
  <c r="U141" i="11" s="1"/>
  <c r="L140" i="11"/>
  <c r="U140" i="11" s="1"/>
  <c r="L139" i="11"/>
  <c r="U139" i="11" s="1"/>
  <c r="L138" i="11"/>
  <c r="U138" i="11" s="1"/>
  <c r="L137" i="11"/>
  <c r="U137" i="11" s="1"/>
  <c r="L136" i="11"/>
  <c r="U136" i="11" s="1"/>
  <c r="L123" i="11"/>
  <c r="U123" i="11" s="1"/>
  <c r="L198" i="11"/>
  <c r="U198" i="11" s="1"/>
  <c r="L197" i="11"/>
  <c r="U197" i="11" s="1"/>
  <c r="L196" i="11"/>
  <c r="U196" i="11" s="1"/>
  <c r="L195" i="11"/>
  <c r="U195" i="11" s="1"/>
  <c r="L194" i="11"/>
  <c r="U194" i="11" s="1"/>
  <c r="L192" i="11"/>
  <c r="U192" i="11" s="1"/>
  <c r="L191" i="11"/>
  <c r="U191" i="11" s="1"/>
  <c r="L190" i="11"/>
  <c r="U190" i="11" s="1"/>
  <c r="L189" i="11"/>
  <c r="U189" i="11" s="1"/>
  <c r="L188" i="11"/>
  <c r="U188" i="11" s="1"/>
  <c r="L175" i="11"/>
  <c r="U175" i="11" s="1"/>
  <c r="L224" i="11"/>
  <c r="U224" i="11" s="1"/>
  <c r="L223" i="11"/>
  <c r="U223" i="11" s="1"/>
  <c r="L222" i="11"/>
  <c r="U222" i="11" s="1"/>
  <c r="L220" i="11"/>
  <c r="U220" i="11" s="1"/>
  <c r="L219" i="11"/>
  <c r="U219" i="11" s="1"/>
  <c r="L218" i="11"/>
  <c r="U218" i="11" s="1"/>
  <c r="L217" i="11"/>
  <c r="U217" i="11" s="1"/>
  <c r="L216" i="11"/>
  <c r="U216" i="11" s="1"/>
  <c r="L215" i="11"/>
  <c r="U215" i="11" s="1"/>
  <c r="L214" i="11"/>
  <c r="U214" i="11" s="1"/>
  <c r="L201" i="11"/>
  <c r="U201" i="11" s="1"/>
  <c r="L250" i="11"/>
  <c r="U250" i="11" s="1"/>
  <c r="L249" i="11"/>
  <c r="U249" i="11" s="1"/>
  <c r="L248" i="11"/>
  <c r="U248" i="11" s="1"/>
  <c r="L247" i="11"/>
  <c r="U247" i="11" s="1"/>
  <c r="L246" i="11"/>
  <c r="U246" i="11" s="1"/>
  <c r="L244" i="11"/>
  <c r="U244" i="11" s="1"/>
  <c r="L243" i="11"/>
  <c r="U243" i="11" s="1"/>
  <c r="L241" i="11"/>
  <c r="U241" i="11" s="1"/>
  <c r="L240" i="11"/>
  <c r="U240" i="11" s="1"/>
  <c r="L226" i="11"/>
  <c r="U226" i="11" s="1"/>
  <c r="L266" i="11"/>
  <c r="U266" i="11" s="1"/>
  <c r="L267" i="11"/>
  <c r="U267" i="11" s="1"/>
  <c r="L268" i="11"/>
  <c r="U268" i="11" s="1"/>
  <c r="L269" i="11"/>
  <c r="U269" i="11" s="1"/>
  <c r="L270" i="11"/>
  <c r="U270" i="11" s="1"/>
  <c r="L271" i="11"/>
  <c r="U271" i="11" s="1"/>
  <c r="L272" i="11"/>
  <c r="U272" i="11" s="1"/>
  <c r="L273" i="11"/>
  <c r="U273" i="11" s="1"/>
  <c r="L274" i="11"/>
  <c r="U274" i="11" s="1"/>
  <c r="L275" i="11"/>
  <c r="U275" i="11" s="1"/>
  <c r="L276" i="11"/>
  <c r="U276" i="11" s="1"/>
  <c r="L253" i="11"/>
  <c r="U253" i="11" s="1"/>
  <c r="L279" i="11"/>
  <c r="U279" i="11" s="1"/>
  <c r="L432" i="11"/>
  <c r="U432" i="11" s="1"/>
  <c r="L431" i="11"/>
  <c r="U431" i="11" s="1"/>
  <c r="L430" i="11"/>
  <c r="U430" i="11" s="1"/>
  <c r="L429" i="11"/>
  <c r="U429" i="11" s="1"/>
  <c r="L428" i="11"/>
  <c r="U428" i="11" s="1"/>
  <c r="L427" i="11"/>
  <c r="U427" i="11" s="1"/>
  <c r="L426" i="11"/>
  <c r="U426" i="11" s="1"/>
  <c r="L425" i="11"/>
  <c r="U425" i="11" s="1"/>
  <c r="L424" i="11"/>
  <c r="U424" i="11" s="1"/>
  <c r="L422" i="11"/>
  <c r="U422" i="11" s="1"/>
  <c r="L409" i="11"/>
  <c r="U409" i="11" s="1"/>
  <c r="L406" i="11"/>
  <c r="U406" i="11" s="1"/>
  <c r="L405" i="11"/>
  <c r="U405" i="11" s="1"/>
  <c r="L404" i="11"/>
  <c r="U404" i="11" s="1"/>
  <c r="L403" i="11"/>
  <c r="U403" i="11" s="1"/>
  <c r="L402" i="11"/>
  <c r="U402" i="11" s="1"/>
  <c r="L400" i="11"/>
  <c r="U400" i="11" s="1"/>
  <c r="L399" i="11"/>
  <c r="U399" i="11" s="1"/>
  <c r="L398" i="11"/>
  <c r="U398" i="11" s="1"/>
  <c r="L397" i="11"/>
  <c r="U397" i="11" s="1"/>
  <c r="L396" i="11"/>
  <c r="U396" i="11" s="1"/>
  <c r="L383" i="11"/>
  <c r="U383" i="11" s="1"/>
  <c r="L407" i="11"/>
  <c r="U407" i="11" s="1"/>
  <c r="L381" i="11"/>
  <c r="U381" i="11" s="1"/>
  <c r="L162" i="11"/>
  <c r="U162" i="11" s="1"/>
  <c r="L163" i="11"/>
  <c r="U163" i="11" s="1"/>
  <c r="L165" i="11"/>
  <c r="U165" i="11" s="1"/>
  <c r="L166" i="11"/>
  <c r="U166" i="11" s="1"/>
  <c r="L167" i="11"/>
  <c r="U167" i="11" s="1"/>
  <c r="L168" i="11"/>
  <c r="U168" i="11" s="1"/>
  <c r="L169" i="11"/>
  <c r="U169" i="11" s="1"/>
  <c r="L171" i="11"/>
  <c r="U171" i="11" s="1"/>
  <c r="L172" i="11"/>
  <c r="U172" i="11" s="1"/>
  <c r="L149" i="11"/>
  <c r="U149" i="11" s="1"/>
  <c r="L277" i="11"/>
  <c r="U277" i="11" s="1"/>
  <c r="L251" i="11"/>
  <c r="U251" i="11" s="1"/>
  <c r="L225" i="11"/>
  <c r="U225" i="11" s="1"/>
  <c r="L199" i="11"/>
  <c r="U199" i="11" s="1"/>
  <c r="L173" i="11"/>
  <c r="U173" i="11" s="1"/>
  <c r="L69" i="11"/>
  <c r="U69" i="11" s="1"/>
  <c r="L95" i="11"/>
  <c r="U95" i="11" s="1"/>
  <c r="L121" i="11"/>
  <c r="U121" i="11" s="1"/>
  <c r="L147" i="11"/>
  <c r="U147" i="11" s="1"/>
  <c r="L380" i="11"/>
  <c r="U380" i="11" s="1"/>
  <c r="L379" i="11"/>
  <c r="U379" i="11" s="1"/>
  <c r="L378" i="11"/>
  <c r="U378" i="11" s="1"/>
  <c r="L377" i="11"/>
  <c r="U377" i="11" s="1"/>
  <c r="L376" i="11"/>
  <c r="U376" i="11" s="1"/>
  <c r="L374" i="11"/>
  <c r="U374" i="11" s="1"/>
  <c r="L373" i="11"/>
  <c r="U373" i="11" s="1"/>
  <c r="L372" i="11"/>
  <c r="U372" i="11" s="1"/>
  <c r="L371" i="11"/>
  <c r="U371" i="11" s="1"/>
  <c r="L370" i="11"/>
  <c r="U370" i="11" s="1"/>
  <c r="L357" i="11"/>
  <c r="U357" i="11" s="1"/>
  <c r="L355" i="11"/>
  <c r="U355" i="11" s="1"/>
  <c r="L328" i="11"/>
  <c r="U328" i="11" s="1"/>
  <c r="L354" i="11"/>
  <c r="U354" i="11" s="1"/>
  <c r="L353" i="11"/>
  <c r="U353" i="11" s="1"/>
  <c r="L352" i="11"/>
  <c r="U352" i="11" s="1"/>
  <c r="L350" i="11"/>
  <c r="U350" i="11" s="1"/>
  <c r="L349" i="11"/>
  <c r="U349" i="11" s="1"/>
  <c r="L348" i="11"/>
  <c r="U348" i="11" s="1"/>
  <c r="L347" i="11"/>
  <c r="U347" i="11" s="1"/>
  <c r="L346" i="11"/>
  <c r="U346" i="11" s="1"/>
  <c r="L345" i="11"/>
  <c r="U345" i="11" s="1"/>
  <c r="L344" i="11"/>
  <c r="U344" i="11" s="1"/>
  <c r="L331" i="11"/>
  <c r="U331" i="11" s="1"/>
  <c r="L327" i="11"/>
  <c r="U327" i="11" s="1"/>
  <c r="L326" i="11"/>
  <c r="U326" i="11" s="1"/>
  <c r="L325" i="11"/>
  <c r="U325" i="11" s="1"/>
  <c r="L324" i="11"/>
  <c r="U324" i="11" s="1"/>
  <c r="L323" i="11"/>
  <c r="U323" i="11" s="1"/>
  <c r="L322" i="11"/>
  <c r="U322" i="11" s="1"/>
  <c r="L321" i="11"/>
  <c r="U321" i="11" s="1"/>
  <c r="L320" i="11"/>
  <c r="U320" i="11" s="1"/>
  <c r="L319" i="11"/>
  <c r="U319" i="11" s="1"/>
  <c r="L318" i="11"/>
  <c r="U318" i="11" s="1"/>
  <c r="L329" i="11"/>
  <c r="U329" i="11" s="1"/>
  <c r="O327" i="11" l="1"/>
  <c r="P327" i="11" s="1"/>
  <c r="AD327" i="11"/>
  <c r="O380" i="11"/>
  <c r="P380" i="11" s="1"/>
  <c r="AD380" i="11"/>
  <c r="O274" i="11"/>
  <c r="P274" i="11" s="1"/>
  <c r="AD274" i="11"/>
  <c r="O345" i="11"/>
  <c r="P345" i="11" s="1"/>
  <c r="AD345" i="11"/>
  <c r="O167" i="11"/>
  <c r="P167" i="11" s="1"/>
  <c r="AD167" i="11"/>
  <c r="O320" i="11"/>
  <c r="P320" i="11" s="1"/>
  <c r="AD320" i="11"/>
  <c r="O347" i="11"/>
  <c r="P347" i="11" s="1"/>
  <c r="AD347" i="11"/>
  <c r="O372" i="11"/>
  <c r="P372" i="11" s="1"/>
  <c r="AD372" i="11"/>
  <c r="O165" i="11"/>
  <c r="P165" i="11" s="1"/>
  <c r="AD165" i="11"/>
  <c r="O403" i="11"/>
  <c r="P403" i="11" s="1"/>
  <c r="AD403" i="11"/>
  <c r="O430" i="11"/>
  <c r="P430" i="11" s="1"/>
  <c r="AD430" i="11"/>
  <c r="O269" i="11"/>
  <c r="P269" i="11" s="1"/>
  <c r="AD269" i="11"/>
  <c r="O249" i="11"/>
  <c r="P249" i="11" s="1"/>
  <c r="AD249" i="11"/>
  <c r="O224" i="11"/>
  <c r="P224" i="11" s="1"/>
  <c r="AD224" i="11"/>
  <c r="O123" i="11"/>
  <c r="P123" i="11" s="1"/>
  <c r="AD123" i="11"/>
  <c r="O112" i="11"/>
  <c r="P112" i="11" s="1"/>
  <c r="AD112" i="11"/>
  <c r="O87" i="11"/>
  <c r="P87" i="11" s="1"/>
  <c r="AD87" i="11"/>
  <c r="AD105" i="11"/>
  <c r="AD129" i="11"/>
  <c r="AD155" i="11"/>
  <c r="AD185" i="11"/>
  <c r="AD209" i="11"/>
  <c r="AD229" i="11"/>
  <c r="AD259" i="11"/>
  <c r="AD256" i="11"/>
  <c r="AD285" i="11"/>
  <c r="AD289" i="11"/>
  <c r="AD74" i="11"/>
  <c r="AD332" i="11"/>
  <c r="AD359" i="11"/>
  <c r="AD388" i="11"/>
  <c r="AD414" i="11"/>
  <c r="O175" i="11"/>
  <c r="P175" i="11" s="1"/>
  <c r="AD175" i="11"/>
  <c r="O88" i="11"/>
  <c r="P88" i="11" s="1"/>
  <c r="AD88" i="11"/>
  <c r="AD103" i="11"/>
  <c r="AD127" i="11"/>
  <c r="AD151" i="11"/>
  <c r="AD183" i="11"/>
  <c r="AD203" i="11"/>
  <c r="AD238" i="11"/>
  <c r="AD263" i="11"/>
  <c r="AD294" i="11"/>
  <c r="AD278" i="11"/>
  <c r="AD77" i="11"/>
  <c r="AD81" i="11"/>
  <c r="AD334" i="11"/>
  <c r="AD363" i="11"/>
  <c r="AD390" i="11"/>
  <c r="AD421" i="11"/>
  <c r="O268" i="11"/>
  <c r="P268" i="11" s="1"/>
  <c r="AD268" i="11"/>
  <c r="O113" i="11"/>
  <c r="P113" i="11" s="1"/>
  <c r="AD113" i="11"/>
  <c r="O322" i="11"/>
  <c r="P322" i="11" s="1"/>
  <c r="AD322" i="11"/>
  <c r="O349" i="11"/>
  <c r="P349" i="11" s="1"/>
  <c r="AD349" i="11"/>
  <c r="O374" i="11"/>
  <c r="P374" i="11" s="1"/>
  <c r="AD374" i="11"/>
  <c r="O162" i="11"/>
  <c r="P162" i="11" s="1"/>
  <c r="AD162" i="11"/>
  <c r="O405" i="11"/>
  <c r="P405" i="11" s="1"/>
  <c r="AD405" i="11"/>
  <c r="O432" i="11"/>
  <c r="P432" i="11" s="1"/>
  <c r="AD432" i="11"/>
  <c r="O267" i="11"/>
  <c r="P267" i="11" s="1"/>
  <c r="AD267" i="11"/>
  <c r="O201" i="11"/>
  <c r="P201" i="11" s="1"/>
  <c r="AD201" i="11"/>
  <c r="O188" i="11"/>
  <c r="P188" i="11" s="1"/>
  <c r="AD188" i="11"/>
  <c r="O137" i="11"/>
  <c r="P137" i="11" s="1"/>
  <c r="AD137" i="11"/>
  <c r="O114" i="11"/>
  <c r="P114" i="11" s="1"/>
  <c r="AD114" i="11"/>
  <c r="O89" i="11"/>
  <c r="P89" i="11" s="1"/>
  <c r="AD89" i="11"/>
  <c r="AD108" i="11"/>
  <c r="AD125" i="11"/>
  <c r="AD158" i="11"/>
  <c r="AD181" i="11"/>
  <c r="AD205" i="11"/>
  <c r="AD232" i="11"/>
  <c r="AD261" i="11"/>
  <c r="AD298" i="11"/>
  <c r="AD287" i="11"/>
  <c r="AD70" i="11"/>
  <c r="AD337" i="11"/>
  <c r="AD341" i="11"/>
  <c r="AD367" i="11"/>
  <c r="AD384" i="11"/>
  <c r="AD418" i="11"/>
  <c r="AD111" i="11"/>
  <c r="AD101" i="11"/>
  <c r="AD132" i="11"/>
  <c r="AD154" i="11"/>
  <c r="AD179" i="11"/>
  <c r="AD213" i="11"/>
  <c r="AD234" i="11"/>
  <c r="AD255" i="11"/>
  <c r="AD302" i="11"/>
  <c r="AD281" i="11"/>
  <c r="AD79" i="11"/>
  <c r="AD330" i="11"/>
  <c r="AD360" i="11"/>
  <c r="AD361" i="11"/>
  <c r="AD386" i="11"/>
  <c r="AD420" i="11"/>
  <c r="O373" i="11"/>
  <c r="P373" i="11" s="1"/>
  <c r="AD373" i="11"/>
  <c r="O431" i="11"/>
  <c r="P431" i="11" s="1"/>
  <c r="AD431" i="11"/>
  <c r="O136" i="11"/>
  <c r="P136" i="11" s="1"/>
  <c r="AD136" i="11"/>
  <c r="O323" i="11"/>
  <c r="P323" i="11" s="1"/>
  <c r="AD323" i="11"/>
  <c r="O350" i="11"/>
  <c r="P350" i="11" s="1"/>
  <c r="AD350" i="11"/>
  <c r="O376" i="11"/>
  <c r="P376" i="11" s="1"/>
  <c r="AD376" i="11"/>
  <c r="O406" i="11"/>
  <c r="P406" i="11" s="1"/>
  <c r="AD406" i="11"/>
  <c r="O279" i="11"/>
  <c r="P279" i="11" s="1"/>
  <c r="AD279" i="11"/>
  <c r="O266" i="11"/>
  <c r="P266" i="11" s="1"/>
  <c r="AD266" i="11"/>
  <c r="O214" i="11"/>
  <c r="P214" i="11" s="1"/>
  <c r="AD214" i="11"/>
  <c r="O189" i="11"/>
  <c r="P189" i="11" s="1"/>
  <c r="AD189" i="11"/>
  <c r="O138" i="11"/>
  <c r="P138" i="11" s="1"/>
  <c r="AD138" i="11"/>
  <c r="O116" i="11"/>
  <c r="P116" i="11" s="1"/>
  <c r="AD116" i="11"/>
  <c r="O90" i="11"/>
  <c r="P90" i="11" s="1"/>
  <c r="AD90" i="11"/>
  <c r="O324" i="11"/>
  <c r="P324" i="11" s="1"/>
  <c r="AD324" i="11"/>
  <c r="O352" i="11"/>
  <c r="P352" i="11" s="1"/>
  <c r="AD352" i="11"/>
  <c r="O377" i="11"/>
  <c r="P377" i="11" s="1"/>
  <c r="AD377" i="11"/>
  <c r="O409" i="11"/>
  <c r="P409" i="11" s="1"/>
  <c r="AD409" i="11"/>
  <c r="O253" i="11"/>
  <c r="P253" i="11" s="1"/>
  <c r="AD253" i="11"/>
  <c r="O226" i="11"/>
  <c r="P226" i="11" s="1"/>
  <c r="AD226" i="11"/>
  <c r="O215" i="11"/>
  <c r="P215" i="11" s="1"/>
  <c r="AD215" i="11"/>
  <c r="O190" i="11"/>
  <c r="P190" i="11" s="1"/>
  <c r="AD190" i="11"/>
  <c r="O139" i="11"/>
  <c r="P139" i="11" s="1"/>
  <c r="AD139" i="11"/>
  <c r="O117" i="11"/>
  <c r="P117" i="11" s="1"/>
  <c r="AD117" i="11"/>
  <c r="O91" i="11"/>
  <c r="P91" i="11" s="1"/>
  <c r="AD91" i="11"/>
  <c r="AD110" i="11"/>
  <c r="AD99" i="11"/>
  <c r="AD134" i="11"/>
  <c r="AD150" i="11"/>
  <c r="AD177" i="11"/>
  <c r="AD210" i="11"/>
  <c r="AD228" i="11"/>
  <c r="AD257" i="11"/>
  <c r="AD295" i="11"/>
  <c r="AD283" i="11"/>
  <c r="AD73" i="11"/>
  <c r="AD339" i="11"/>
  <c r="AD356" i="11"/>
  <c r="AD389" i="11"/>
  <c r="AD393" i="11"/>
  <c r="AD416" i="11"/>
  <c r="O325" i="11"/>
  <c r="P325" i="11" s="1"/>
  <c r="AD325" i="11"/>
  <c r="O191" i="11"/>
  <c r="P191" i="11" s="1"/>
  <c r="AD191" i="11"/>
  <c r="AD109" i="11"/>
  <c r="AD106" i="11"/>
  <c r="AD128" i="11"/>
  <c r="AD148" i="11"/>
  <c r="AD176" i="11"/>
  <c r="AD212" i="11"/>
  <c r="AD230" i="11"/>
  <c r="AD252" i="11"/>
  <c r="AD292" i="11"/>
  <c r="AD291" i="11"/>
  <c r="AD75" i="11"/>
  <c r="AD333" i="11"/>
  <c r="AD358" i="11"/>
  <c r="AD382" i="11"/>
  <c r="AD415" i="11"/>
  <c r="AD410" i="11"/>
  <c r="O163" i="11"/>
  <c r="P163" i="11" s="1"/>
  <c r="AD163" i="11"/>
  <c r="O404" i="11"/>
  <c r="P404" i="11" s="1"/>
  <c r="AD404" i="11"/>
  <c r="O250" i="11"/>
  <c r="P250" i="11" s="1"/>
  <c r="AD250" i="11"/>
  <c r="O353" i="11"/>
  <c r="P353" i="11" s="1"/>
  <c r="AD353" i="11"/>
  <c r="O378" i="11"/>
  <c r="P378" i="11" s="1"/>
  <c r="AD378" i="11"/>
  <c r="O149" i="11"/>
  <c r="P149" i="11" s="1"/>
  <c r="AD149" i="11"/>
  <c r="O383" i="11"/>
  <c r="P383" i="11" s="1"/>
  <c r="AD383" i="11"/>
  <c r="O422" i="11"/>
  <c r="P422" i="11" s="1"/>
  <c r="AD422" i="11"/>
  <c r="O276" i="11"/>
  <c r="P276" i="11" s="1"/>
  <c r="AD276" i="11"/>
  <c r="O240" i="11"/>
  <c r="P240" i="11" s="1"/>
  <c r="AD240" i="11"/>
  <c r="O216" i="11"/>
  <c r="P216" i="11" s="1"/>
  <c r="AD216" i="11"/>
  <c r="O140" i="11"/>
  <c r="P140" i="11" s="1"/>
  <c r="AD140" i="11"/>
  <c r="O118" i="11"/>
  <c r="P118" i="11" s="1"/>
  <c r="AD118" i="11"/>
  <c r="O92" i="11"/>
  <c r="P92" i="11" s="1"/>
  <c r="AD92" i="11"/>
  <c r="O326" i="11"/>
  <c r="P326" i="11" s="1"/>
  <c r="AD326" i="11"/>
  <c r="O354" i="11"/>
  <c r="P354" i="11" s="1"/>
  <c r="AD354" i="11"/>
  <c r="O379" i="11"/>
  <c r="P379" i="11" s="1"/>
  <c r="AD379" i="11"/>
  <c r="O172" i="11"/>
  <c r="P172" i="11" s="1"/>
  <c r="AD172" i="11"/>
  <c r="O396" i="11"/>
  <c r="P396" i="11" s="1"/>
  <c r="AD396" i="11"/>
  <c r="O424" i="11"/>
  <c r="P424" i="11" s="1"/>
  <c r="AD424" i="11"/>
  <c r="O275" i="11"/>
  <c r="P275" i="11" s="1"/>
  <c r="AD275" i="11"/>
  <c r="O241" i="11"/>
  <c r="P241" i="11" s="1"/>
  <c r="AD241" i="11"/>
  <c r="O217" i="11"/>
  <c r="P217" i="11" s="1"/>
  <c r="AD217" i="11"/>
  <c r="O192" i="11"/>
  <c r="P192" i="11" s="1"/>
  <c r="AD192" i="11"/>
  <c r="O141" i="11"/>
  <c r="P141" i="11" s="1"/>
  <c r="AD141" i="11"/>
  <c r="O119" i="11"/>
  <c r="P119" i="11" s="1"/>
  <c r="AD119" i="11"/>
  <c r="O93" i="11"/>
  <c r="P93" i="11" s="1"/>
  <c r="AD93" i="11"/>
  <c r="AD96" i="11"/>
  <c r="AD102" i="11"/>
  <c r="AD130" i="11"/>
  <c r="AD157" i="11"/>
  <c r="AD184" i="11"/>
  <c r="AD206" i="11"/>
  <c r="AD239" i="11"/>
  <c r="AD265" i="11"/>
  <c r="AD299" i="11"/>
  <c r="AD288" i="11"/>
  <c r="AD83" i="11"/>
  <c r="AD335" i="11"/>
  <c r="AD364" i="11"/>
  <c r="AD391" i="11"/>
  <c r="AD419" i="11"/>
  <c r="O397" i="11"/>
  <c r="P397" i="11" s="1"/>
  <c r="AD397" i="11"/>
  <c r="O218" i="11"/>
  <c r="P218" i="11" s="1"/>
  <c r="AD218" i="11"/>
  <c r="O142" i="11"/>
  <c r="P142" i="11" s="1"/>
  <c r="AD142" i="11"/>
  <c r="O120" i="11"/>
  <c r="P120" i="11" s="1"/>
  <c r="AD120" i="11"/>
  <c r="O94" i="11"/>
  <c r="P94" i="11" s="1"/>
  <c r="AD94" i="11"/>
  <c r="AD97" i="11"/>
  <c r="AD124" i="11"/>
  <c r="AD153" i="11"/>
  <c r="AD186" i="11"/>
  <c r="AD208" i="11"/>
  <c r="AD235" i="11"/>
  <c r="AD262" i="11"/>
  <c r="AD296" i="11"/>
  <c r="AD290" i="11"/>
  <c r="AD80" i="11"/>
  <c r="AD343" i="11"/>
  <c r="AD362" i="11"/>
  <c r="AD385" i="11"/>
  <c r="AD417" i="11"/>
  <c r="O219" i="11"/>
  <c r="P219" i="11" s="1"/>
  <c r="AD219" i="11"/>
  <c r="AD104" i="11"/>
  <c r="AD126" i="11"/>
  <c r="AD160" i="11"/>
  <c r="AD180" i="11"/>
  <c r="AD202" i="11"/>
  <c r="AD237" i="11"/>
  <c r="AD264" i="11"/>
  <c r="AD300" i="11"/>
  <c r="AD284" i="11"/>
  <c r="AD82" i="11"/>
  <c r="AD340" i="11"/>
  <c r="AD368" i="11"/>
  <c r="AD387" i="11"/>
  <c r="AD411" i="11"/>
  <c r="O348" i="11"/>
  <c r="P348" i="11" s="1"/>
  <c r="AD348" i="11"/>
  <c r="O171" i="11"/>
  <c r="P171" i="11" s="1"/>
  <c r="AD171" i="11"/>
  <c r="O425" i="11"/>
  <c r="P425" i="11" s="1"/>
  <c r="AD425" i="11"/>
  <c r="O194" i="11"/>
  <c r="P194" i="11" s="1"/>
  <c r="AD194" i="11"/>
  <c r="O331" i="11"/>
  <c r="P331" i="11" s="1"/>
  <c r="AD331" i="11"/>
  <c r="O169" i="11"/>
  <c r="P169" i="11" s="1"/>
  <c r="AD169" i="11"/>
  <c r="O398" i="11"/>
  <c r="P398" i="11" s="1"/>
  <c r="AD398" i="11"/>
  <c r="O426" i="11"/>
  <c r="P426" i="11" s="1"/>
  <c r="AD426" i="11"/>
  <c r="O273" i="11"/>
  <c r="P273" i="11" s="1"/>
  <c r="AD273" i="11"/>
  <c r="O244" i="11"/>
  <c r="P244" i="11" s="1"/>
  <c r="AD244" i="11"/>
  <c r="O195" i="11"/>
  <c r="P195" i="11" s="1"/>
  <c r="AD195" i="11"/>
  <c r="O143" i="11"/>
  <c r="P143" i="11" s="1"/>
  <c r="AD143" i="11"/>
  <c r="O71" i="11"/>
  <c r="P71" i="11" s="1"/>
  <c r="AD71" i="11"/>
  <c r="O344" i="11"/>
  <c r="P344" i="11" s="1"/>
  <c r="AD344" i="11"/>
  <c r="O357" i="11"/>
  <c r="P357" i="11" s="1"/>
  <c r="AD357" i="11"/>
  <c r="O168" i="11"/>
  <c r="P168" i="11" s="1"/>
  <c r="AD168" i="11"/>
  <c r="O399" i="11"/>
  <c r="P399" i="11" s="1"/>
  <c r="AD399" i="11"/>
  <c r="O427" i="11"/>
  <c r="P427" i="11" s="1"/>
  <c r="AD427" i="11"/>
  <c r="O272" i="11"/>
  <c r="P272" i="11" s="1"/>
  <c r="AD272" i="11"/>
  <c r="O246" i="11"/>
  <c r="P246" i="11" s="1"/>
  <c r="AD246" i="11"/>
  <c r="O220" i="11"/>
  <c r="P220" i="11" s="1"/>
  <c r="AD220" i="11"/>
  <c r="O196" i="11"/>
  <c r="P196" i="11" s="1"/>
  <c r="AD196" i="11"/>
  <c r="O144" i="11"/>
  <c r="P144" i="11" s="1"/>
  <c r="AD144" i="11"/>
  <c r="O84" i="11"/>
  <c r="P84" i="11" s="1"/>
  <c r="AD84" i="11"/>
  <c r="AD100" i="11"/>
  <c r="AD122" i="11"/>
  <c r="AD156" i="11"/>
  <c r="AD182" i="11"/>
  <c r="AD204" i="11"/>
  <c r="AD231" i="11"/>
  <c r="AD258" i="11"/>
  <c r="AD293" i="11"/>
  <c r="AD286" i="11"/>
  <c r="AD76" i="11"/>
  <c r="AD342" i="11"/>
  <c r="AD366" i="11"/>
  <c r="AD395" i="11"/>
  <c r="AD412" i="11"/>
  <c r="O318" i="11"/>
  <c r="P318" i="11" s="1"/>
  <c r="AD318" i="11"/>
  <c r="AD107" i="11"/>
  <c r="AD133" i="11"/>
  <c r="AD152" i="11"/>
  <c r="AD178" i="11"/>
  <c r="AD207" i="11"/>
  <c r="AD211" i="11"/>
  <c r="AD233" i="11"/>
  <c r="AD260" i="11"/>
  <c r="AD297" i="11"/>
  <c r="AD280" i="11"/>
  <c r="AD78" i="11"/>
  <c r="AD336" i="11"/>
  <c r="AD369" i="11"/>
  <c r="AD392" i="11"/>
  <c r="AD413" i="11"/>
  <c r="O321" i="11"/>
  <c r="P321" i="11" s="1"/>
  <c r="AD321" i="11"/>
  <c r="O328" i="11"/>
  <c r="P328" i="11" s="1"/>
  <c r="AD328" i="11"/>
  <c r="O243" i="11"/>
  <c r="P243" i="11" s="1"/>
  <c r="AD243" i="11"/>
  <c r="O370" i="11"/>
  <c r="P370" i="11" s="1"/>
  <c r="AD370" i="11"/>
  <c r="O400" i="11"/>
  <c r="P400" i="11" s="1"/>
  <c r="AD400" i="11"/>
  <c r="O428" i="11"/>
  <c r="P428" i="11" s="1"/>
  <c r="AD428" i="11"/>
  <c r="O271" i="11"/>
  <c r="P271" i="11" s="1"/>
  <c r="AD271" i="11"/>
  <c r="O247" i="11"/>
  <c r="P247" i="11" s="1"/>
  <c r="AD247" i="11"/>
  <c r="O222" i="11"/>
  <c r="P222" i="11" s="1"/>
  <c r="AD222" i="11"/>
  <c r="O197" i="11"/>
  <c r="P197" i="11" s="1"/>
  <c r="AD197" i="11"/>
  <c r="O145" i="11"/>
  <c r="P145" i="11" s="1"/>
  <c r="AD145" i="11"/>
  <c r="O85" i="11"/>
  <c r="P85" i="11" s="1"/>
  <c r="AD85" i="11"/>
  <c r="O319" i="11"/>
  <c r="P319" i="11" s="1"/>
  <c r="AD319" i="11"/>
  <c r="O346" i="11"/>
  <c r="P346" i="11" s="1"/>
  <c r="AD346" i="11"/>
  <c r="O371" i="11"/>
  <c r="P371" i="11" s="1"/>
  <c r="AD371" i="11"/>
  <c r="O166" i="11"/>
  <c r="P166" i="11" s="1"/>
  <c r="AD166" i="11"/>
  <c r="O402" i="11"/>
  <c r="P402" i="11" s="1"/>
  <c r="AD402" i="11"/>
  <c r="O429" i="11"/>
  <c r="P429" i="11" s="1"/>
  <c r="AD429" i="11"/>
  <c r="O270" i="11"/>
  <c r="P270" i="11" s="1"/>
  <c r="AD270" i="11"/>
  <c r="O248" i="11"/>
  <c r="P248" i="11" s="1"/>
  <c r="AD248" i="11"/>
  <c r="O223" i="11"/>
  <c r="P223" i="11" s="1"/>
  <c r="AD223" i="11"/>
  <c r="O198" i="11"/>
  <c r="P198" i="11" s="1"/>
  <c r="AD198" i="11"/>
  <c r="O146" i="11"/>
  <c r="P146" i="11" s="1"/>
  <c r="AD146" i="11"/>
  <c r="O86" i="11"/>
  <c r="P86" i="11" s="1"/>
  <c r="AD86" i="11"/>
  <c r="AD98" i="11"/>
  <c r="AD131" i="11"/>
  <c r="AD159" i="11"/>
  <c r="AD174" i="11"/>
  <c r="AD200" i="11"/>
  <c r="AD236" i="11"/>
  <c r="AD227" i="11"/>
  <c r="AD254" i="11"/>
  <c r="AD301" i="11"/>
  <c r="AD282" i="11"/>
  <c r="AD72" i="11"/>
  <c r="AD338" i="11"/>
  <c r="AD365" i="11"/>
  <c r="AD394" i="11"/>
  <c r="AD408" i="11"/>
  <c r="O418" i="11"/>
  <c r="P418" i="11" s="1"/>
  <c r="O414" i="11"/>
  <c r="P414" i="11" s="1"/>
  <c r="O415" i="11"/>
  <c r="P415" i="11" s="1"/>
  <c r="O410" i="11"/>
  <c r="P410" i="11" s="1"/>
  <c r="O416" i="11"/>
  <c r="P416" i="11" s="1"/>
  <c r="O365" i="11"/>
  <c r="P365" i="11" s="1"/>
  <c r="O413" i="11"/>
  <c r="P413" i="11" s="1"/>
  <c r="O411" i="11"/>
  <c r="P411" i="11" s="1"/>
  <c r="O420" i="11"/>
  <c r="P420" i="11" s="1"/>
  <c r="O412" i="11"/>
  <c r="P412" i="11" s="1"/>
  <c r="O419" i="11"/>
  <c r="P419" i="11" s="1"/>
  <c r="O390" i="11"/>
  <c r="P390" i="11" s="1"/>
  <c r="O393" i="11"/>
  <c r="P393" i="11" s="1"/>
  <c r="O408" i="11"/>
  <c r="P408" i="11" s="1"/>
  <c r="O417" i="11"/>
  <c r="P417" i="11" s="1"/>
  <c r="O421" i="11"/>
  <c r="P421" i="11" s="1"/>
  <c r="O384" i="11"/>
  <c r="P384" i="11" s="1"/>
  <c r="O387" i="11"/>
  <c r="P387" i="11" s="1"/>
  <c r="O366" i="11"/>
  <c r="P366" i="11" s="1"/>
  <c r="O385" i="11"/>
  <c r="P385" i="11" s="1"/>
  <c r="O386" i="11"/>
  <c r="P386" i="11" s="1"/>
  <c r="O395" i="11"/>
  <c r="P395" i="11" s="1"/>
  <c r="O389" i="11"/>
  <c r="P389" i="11" s="1"/>
  <c r="O394" i="11"/>
  <c r="P394" i="11" s="1"/>
  <c r="O392" i="11"/>
  <c r="P392" i="11" s="1"/>
  <c r="O382" i="11"/>
  <c r="P382" i="11" s="1"/>
  <c r="O388" i="11"/>
  <c r="P388" i="11" s="1"/>
  <c r="O391" i="11"/>
  <c r="P391" i="11" s="1"/>
  <c r="O360" i="11"/>
  <c r="P360" i="11" s="1"/>
  <c r="O364" i="11"/>
  <c r="P364" i="11" s="1"/>
  <c r="O361" i="11"/>
  <c r="P361" i="11" s="1"/>
  <c r="O342" i="11"/>
  <c r="P342" i="11" s="1"/>
  <c r="O369" i="11"/>
  <c r="P369" i="11" s="1"/>
  <c r="O358" i="11"/>
  <c r="P358" i="11" s="1"/>
  <c r="O359" i="11"/>
  <c r="P359" i="11" s="1"/>
  <c r="O337" i="11"/>
  <c r="P337" i="11" s="1"/>
  <c r="O332" i="11"/>
  <c r="P332" i="11" s="1"/>
  <c r="O356" i="11"/>
  <c r="P356" i="11" s="1"/>
  <c r="O362" i="11"/>
  <c r="P362" i="11" s="1"/>
  <c r="O363" i="11"/>
  <c r="P363" i="11" s="1"/>
  <c r="O341" i="11"/>
  <c r="P341" i="11" s="1"/>
  <c r="O368" i="11"/>
  <c r="P368" i="11" s="1"/>
  <c r="O367" i="11"/>
  <c r="P367" i="11" s="1"/>
  <c r="O330" i="11"/>
  <c r="P330" i="11" s="1"/>
  <c r="O339" i="11"/>
  <c r="P339" i="11" s="1"/>
  <c r="O72" i="11"/>
  <c r="P72" i="11" s="1"/>
  <c r="O335" i="11"/>
  <c r="P335" i="11" s="1"/>
  <c r="O340" i="11"/>
  <c r="P340" i="11" s="1"/>
  <c r="O336" i="11"/>
  <c r="P336" i="11" s="1"/>
  <c r="O333" i="11"/>
  <c r="P333" i="11" s="1"/>
  <c r="O338" i="11"/>
  <c r="P338" i="11" s="1"/>
  <c r="O81" i="11"/>
  <c r="P81" i="11" s="1"/>
  <c r="O343" i="11"/>
  <c r="P343" i="11" s="1"/>
  <c r="O334" i="11"/>
  <c r="P334" i="11" s="1"/>
  <c r="O78" i="11"/>
  <c r="P78" i="11" s="1"/>
  <c r="O75" i="11"/>
  <c r="P75" i="11" s="1"/>
  <c r="O82" i="11"/>
  <c r="P82" i="11" s="1"/>
  <c r="O80" i="11"/>
  <c r="P80" i="11" s="1"/>
  <c r="O77" i="11"/>
  <c r="P77" i="11" s="1"/>
  <c r="O70" i="11"/>
  <c r="P70" i="11" s="1"/>
  <c r="O73" i="11"/>
  <c r="P73" i="11" s="1"/>
  <c r="O79" i="11"/>
  <c r="P79" i="11" s="1"/>
  <c r="O76" i="11"/>
  <c r="P76" i="11" s="1"/>
  <c r="O280" i="11"/>
  <c r="P280" i="11" s="1"/>
  <c r="O287" i="11"/>
  <c r="P287" i="11" s="1"/>
  <c r="O289" i="11"/>
  <c r="P289" i="11" s="1"/>
  <c r="O83" i="11"/>
  <c r="P83" i="11" s="1"/>
  <c r="O74" i="11"/>
  <c r="P74" i="11" s="1"/>
  <c r="O278" i="11"/>
  <c r="P278" i="11" s="1"/>
  <c r="O301" i="11"/>
  <c r="P301" i="11" s="1"/>
  <c r="O284" i="11"/>
  <c r="P284" i="11" s="1"/>
  <c r="O258" i="11"/>
  <c r="P258" i="11" s="1"/>
  <c r="O283" i="11"/>
  <c r="P283" i="11" s="1"/>
  <c r="O291" i="11"/>
  <c r="P291" i="11" s="1"/>
  <c r="O285" i="11"/>
  <c r="P285" i="11" s="1"/>
  <c r="O290" i="11"/>
  <c r="P290" i="11" s="1"/>
  <c r="O260" i="11"/>
  <c r="P260" i="11" s="1"/>
  <c r="O282" i="11"/>
  <c r="P282" i="11" s="1"/>
  <c r="O288" i="11"/>
  <c r="P288" i="11" s="1"/>
  <c r="O300" i="11"/>
  <c r="P300" i="11" s="1"/>
  <c r="O281" i="11"/>
  <c r="P281" i="11" s="1"/>
  <c r="O286" i="11"/>
  <c r="P286" i="11" s="1"/>
  <c r="O295" i="11"/>
  <c r="P295" i="11" s="1"/>
  <c r="O293" i="11"/>
  <c r="P293" i="11" s="1"/>
  <c r="O296" i="11"/>
  <c r="P296" i="11" s="1"/>
  <c r="O255" i="11"/>
  <c r="P255" i="11" s="1"/>
  <c r="O297" i="11"/>
  <c r="P297" i="11" s="1"/>
  <c r="O264" i="11"/>
  <c r="P264" i="11" s="1"/>
  <c r="O292" i="11"/>
  <c r="P292" i="11" s="1"/>
  <c r="O257" i="11"/>
  <c r="P257" i="11" s="1"/>
  <c r="O256" i="11"/>
  <c r="P256" i="11" s="1"/>
  <c r="O299" i="11"/>
  <c r="P299" i="11" s="1"/>
  <c r="O294" i="11"/>
  <c r="P294" i="11" s="1"/>
  <c r="O298" i="11"/>
  <c r="P298" i="11" s="1"/>
  <c r="O302" i="11"/>
  <c r="P302" i="11" s="1"/>
  <c r="O261" i="11"/>
  <c r="P261" i="11" s="1"/>
  <c r="O265" i="11"/>
  <c r="P265" i="11" s="1"/>
  <c r="O259" i="11"/>
  <c r="P259" i="11" s="1"/>
  <c r="O237" i="11"/>
  <c r="P237" i="11" s="1"/>
  <c r="O236" i="11"/>
  <c r="P236" i="11" s="1"/>
  <c r="O263" i="11"/>
  <c r="P263" i="11" s="1"/>
  <c r="O262" i="11"/>
  <c r="P262" i="11" s="1"/>
  <c r="O227" i="11"/>
  <c r="P227" i="11" s="1"/>
  <c r="O252" i="11"/>
  <c r="P252" i="11" s="1"/>
  <c r="O254" i="11"/>
  <c r="P254" i="11" s="1"/>
  <c r="O232" i="11"/>
  <c r="P232" i="11" s="1"/>
  <c r="O238" i="11"/>
  <c r="P238" i="11" s="1"/>
  <c r="O233" i="11"/>
  <c r="P233" i="11" s="1"/>
  <c r="O202" i="11"/>
  <c r="P202" i="11" s="1"/>
  <c r="O228" i="11"/>
  <c r="P228" i="11" s="1"/>
  <c r="O230" i="11"/>
  <c r="P230" i="11" s="1"/>
  <c r="O235" i="11"/>
  <c r="P235" i="11" s="1"/>
  <c r="O208" i="11"/>
  <c r="P208" i="11" s="1"/>
  <c r="O229" i="11"/>
  <c r="P229" i="11" s="1"/>
  <c r="O239" i="11"/>
  <c r="P239" i="11" s="1"/>
  <c r="O234" i="11"/>
  <c r="P234" i="11" s="1"/>
  <c r="O231" i="11"/>
  <c r="P231" i="11" s="1"/>
  <c r="O211" i="11"/>
  <c r="P211" i="11" s="1"/>
  <c r="O177" i="11"/>
  <c r="P177" i="11" s="1"/>
  <c r="O205" i="11"/>
  <c r="P205" i="11" s="1"/>
  <c r="O203" i="11"/>
  <c r="P203" i="11" s="1"/>
  <c r="O204" i="11"/>
  <c r="P204" i="11" s="1"/>
  <c r="O207" i="11"/>
  <c r="P207" i="11" s="1"/>
  <c r="O206" i="11"/>
  <c r="P206" i="11" s="1"/>
  <c r="O176" i="11"/>
  <c r="P176" i="11" s="1"/>
  <c r="O178" i="11"/>
  <c r="P178" i="11" s="1"/>
  <c r="O210" i="11"/>
  <c r="P210" i="11" s="1"/>
  <c r="O200" i="11"/>
  <c r="P200" i="11" s="1"/>
  <c r="O212" i="11"/>
  <c r="P212" i="11" s="1"/>
  <c r="O209" i="11"/>
  <c r="P209" i="11" s="1"/>
  <c r="O182" i="11"/>
  <c r="P182" i="11" s="1"/>
  <c r="O213" i="11"/>
  <c r="P213" i="11" s="1"/>
  <c r="O179" i="11"/>
  <c r="P179" i="11" s="1"/>
  <c r="O174" i="11"/>
  <c r="P174" i="11" s="1"/>
  <c r="O184" i="11"/>
  <c r="P184" i="11" s="1"/>
  <c r="O185" i="11"/>
  <c r="P185" i="11" s="1"/>
  <c r="O160" i="11"/>
  <c r="P160" i="11" s="1"/>
  <c r="O153" i="11"/>
  <c r="P153" i="11" s="1"/>
  <c r="O183" i="11"/>
  <c r="P183" i="11" s="1"/>
  <c r="O186" i="11"/>
  <c r="P186" i="11" s="1"/>
  <c r="O181" i="11"/>
  <c r="P181" i="11" s="1"/>
  <c r="O180" i="11"/>
  <c r="P180" i="11" s="1"/>
  <c r="O148" i="11"/>
  <c r="P148" i="11" s="1"/>
  <c r="O152" i="11"/>
  <c r="P152" i="11" s="1"/>
  <c r="O128" i="11"/>
  <c r="P128" i="11" s="1"/>
  <c r="O150" i="11"/>
  <c r="P150" i="11" s="1"/>
  <c r="O159" i="11"/>
  <c r="P159" i="11" s="1"/>
  <c r="O155" i="11"/>
  <c r="P155" i="11" s="1"/>
  <c r="O124" i="11"/>
  <c r="P124" i="11" s="1"/>
  <c r="O154" i="11"/>
  <c r="P154" i="11" s="1"/>
  <c r="O134" i="11"/>
  <c r="P134" i="11" s="1"/>
  <c r="O102" i="11"/>
  <c r="P102" i="11" s="1"/>
  <c r="O158" i="11"/>
  <c r="P158" i="11" s="1"/>
  <c r="O156" i="11"/>
  <c r="P156" i="11" s="1"/>
  <c r="O157" i="11"/>
  <c r="P157" i="11" s="1"/>
  <c r="O151" i="11"/>
  <c r="P151" i="11" s="1"/>
  <c r="O126" i="11"/>
  <c r="P126" i="11" s="1"/>
  <c r="O122" i="11"/>
  <c r="P122" i="11" s="1"/>
  <c r="O130" i="11"/>
  <c r="P130" i="11" s="1"/>
  <c r="O132" i="11"/>
  <c r="P132" i="11" s="1"/>
  <c r="O108" i="11"/>
  <c r="P108" i="11" s="1"/>
  <c r="O101" i="11"/>
  <c r="P101" i="11" s="1"/>
  <c r="O131" i="11"/>
  <c r="P131" i="11" s="1"/>
  <c r="O127" i="11"/>
  <c r="P127" i="11" s="1"/>
  <c r="O125" i="11"/>
  <c r="P125" i="11" s="1"/>
  <c r="O133" i="11"/>
  <c r="P133" i="11" s="1"/>
  <c r="O107" i="11"/>
  <c r="P107" i="11" s="1"/>
  <c r="O129" i="11"/>
  <c r="P129" i="11" s="1"/>
  <c r="O104" i="11"/>
  <c r="P104" i="11" s="1"/>
  <c r="O99" i="11"/>
  <c r="P99" i="11" s="1"/>
  <c r="O100" i="11"/>
  <c r="P100" i="11" s="1"/>
  <c r="O106" i="11"/>
  <c r="P106" i="11" s="1"/>
  <c r="O98" i="11"/>
  <c r="P98" i="11" s="1"/>
  <c r="O105" i="11"/>
  <c r="P105" i="11" s="1"/>
  <c r="O97" i="11"/>
  <c r="P97" i="11" s="1"/>
  <c r="O103" i="11"/>
  <c r="P103" i="11" s="1"/>
  <c r="O109" i="11"/>
  <c r="P109" i="11" s="1"/>
  <c r="O96" i="11"/>
  <c r="P96" i="11" s="1"/>
  <c r="O111" i="11"/>
  <c r="P111" i="11" s="1"/>
  <c r="O110" i="11"/>
  <c r="P110" i="11" s="1"/>
  <c r="Y24" i="2"/>
  <c r="Y29" i="2"/>
  <c r="AC438" i="11"/>
  <c r="AD95" i="11"/>
  <c r="AD69" i="11"/>
  <c r="AD173" i="11"/>
  <c r="AD437" i="11"/>
  <c r="AD434" i="11"/>
  <c r="AD251" i="11"/>
  <c r="AD381" i="11"/>
  <c r="AD277" i="11"/>
  <c r="AD433" i="11"/>
  <c r="AD436" i="11"/>
  <c r="AD199" i="11"/>
  <c r="AD225" i="11"/>
  <c r="AD329" i="11"/>
  <c r="AD355" i="11"/>
  <c r="AD147" i="11"/>
  <c r="AD435" i="11"/>
  <c r="AD121" i="11"/>
  <c r="W448" i="11"/>
  <c r="AC448" i="11" s="1"/>
  <c r="AD407" i="11"/>
  <c r="W455" i="11"/>
  <c r="AB455" i="11" s="1"/>
  <c r="W442" i="11"/>
  <c r="AB442" i="11" s="1"/>
  <c r="W452" i="11"/>
  <c r="AB452" i="11" s="1"/>
  <c r="W440" i="11"/>
  <c r="AB440" i="11" s="1"/>
  <c r="W446" i="11"/>
  <c r="AB446" i="11" s="1"/>
  <c r="W451" i="11"/>
  <c r="AC451" i="11" s="1"/>
  <c r="W454" i="11"/>
  <c r="AC454" i="11" s="1"/>
  <c r="W444" i="11"/>
  <c r="AC444" i="11" s="1"/>
  <c r="W449" i="11"/>
  <c r="AB449" i="11" s="1"/>
  <c r="W450" i="11"/>
  <c r="AB450" i="11" s="1"/>
  <c r="W453" i="11"/>
  <c r="AB453" i="11" s="1"/>
  <c r="W445" i="11"/>
  <c r="AC445" i="11" s="1"/>
  <c r="W447" i="11"/>
  <c r="AB447" i="11" s="1"/>
  <c r="W443" i="11"/>
  <c r="AB443" i="11" s="1"/>
  <c r="W439" i="11"/>
  <c r="AB439" i="11" s="1"/>
  <c r="W441" i="11"/>
  <c r="AB441" i="11" s="1"/>
  <c r="O95" i="11"/>
  <c r="P95" i="11" s="1"/>
  <c r="O69" i="11"/>
  <c r="P69" i="11" s="1"/>
  <c r="O173" i="11"/>
  <c r="P173" i="11" s="1"/>
  <c r="O199" i="11"/>
  <c r="P199" i="11" s="1"/>
  <c r="O251" i="11"/>
  <c r="P251" i="11" s="1"/>
  <c r="O381" i="11"/>
  <c r="P381" i="11" s="1"/>
  <c r="O277" i="11"/>
  <c r="P277" i="11" s="1"/>
  <c r="O407" i="11"/>
  <c r="P407" i="11" s="1"/>
  <c r="O329" i="11"/>
  <c r="P329" i="11" s="1"/>
  <c r="O355" i="11"/>
  <c r="P355" i="11" s="1"/>
  <c r="O147" i="11"/>
  <c r="P147" i="11" s="1"/>
  <c r="L31" i="2"/>
  <c r="M31" i="2" s="1"/>
  <c r="L35" i="2"/>
  <c r="M35" i="2" s="1"/>
  <c r="L11" i="2"/>
  <c r="M11" i="2" s="1"/>
  <c r="L17" i="2"/>
  <c r="M17" i="2" s="1"/>
  <c r="L23" i="2"/>
  <c r="M23" i="2" s="1"/>
  <c r="L30" i="2"/>
  <c r="L40" i="2"/>
  <c r="M40" i="2" s="1"/>
  <c r="L46" i="2"/>
  <c r="M46" i="2" s="1"/>
  <c r="L54" i="2"/>
  <c r="M54" i="2" s="1"/>
  <c r="L87" i="2"/>
  <c r="M87" i="2" s="1"/>
  <c r="L51" i="2"/>
  <c r="M51" i="2" s="1"/>
  <c r="L62" i="2"/>
  <c r="M62" i="2" s="1"/>
  <c r="L66" i="2"/>
  <c r="L72" i="2"/>
  <c r="M72" i="2" s="1"/>
  <c r="L77" i="2"/>
  <c r="M77" i="2" s="1"/>
  <c r="L85" i="2"/>
  <c r="M85" i="2" s="1"/>
  <c r="L6" i="2"/>
  <c r="M6" i="2" s="1"/>
  <c r="L8" i="2"/>
  <c r="M8" i="2" s="1"/>
  <c r="L14" i="2"/>
  <c r="M14" i="2" s="1"/>
  <c r="L20" i="2"/>
  <c r="M20" i="2" s="1"/>
  <c r="L27" i="2"/>
  <c r="M27" i="2" s="1"/>
  <c r="L33" i="2"/>
  <c r="M33" i="2" s="1"/>
  <c r="L43" i="2"/>
  <c r="M43" i="2" s="1"/>
  <c r="L83" i="2"/>
  <c r="L38" i="2"/>
  <c r="M38" i="2" s="1"/>
  <c r="L58" i="2"/>
  <c r="M58" i="2" s="1"/>
  <c r="L64" i="2"/>
  <c r="M64" i="2" s="1"/>
  <c r="L69" i="2"/>
  <c r="L81" i="2"/>
  <c r="M81" i="2" s="1"/>
  <c r="L4" i="2"/>
  <c r="M4" i="2" s="1"/>
  <c r="L12" i="2"/>
  <c r="M12" i="2" s="1"/>
  <c r="L18" i="2"/>
  <c r="M18" i="2" s="1"/>
  <c r="L25" i="2"/>
  <c r="M25" i="2" s="1"/>
  <c r="L41" i="2"/>
  <c r="M41" i="2" s="1"/>
  <c r="L47" i="2"/>
  <c r="M47" i="2" s="1"/>
  <c r="L57" i="2"/>
  <c r="M57" i="2" s="1"/>
  <c r="L24" i="2"/>
  <c r="M24" i="2" s="1"/>
  <c r="L55" i="2"/>
  <c r="L67" i="2"/>
  <c r="M67" i="2" s="1"/>
  <c r="L73" i="2"/>
  <c r="M73" i="2" s="1"/>
  <c r="L78" i="2"/>
  <c r="M78" i="2" s="1"/>
  <c r="L86" i="2"/>
  <c r="M86" i="2" s="1"/>
  <c r="L5" i="2"/>
  <c r="M5" i="2" s="1"/>
  <c r="L13" i="2"/>
  <c r="M13" i="2" s="1"/>
  <c r="L19" i="2"/>
  <c r="M19" i="2" s="1"/>
  <c r="L26" i="2"/>
  <c r="M26" i="2" s="1"/>
  <c r="L32" i="2"/>
  <c r="M32" i="2" s="1"/>
  <c r="L42" i="2"/>
  <c r="M42" i="2" s="1"/>
  <c r="L48" i="2"/>
  <c r="M48" i="2" s="1"/>
  <c r="L37" i="2"/>
  <c r="M37" i="2" s="1"/>
  <c r="L56" i="2"/>
  <c r="L63" i="2"/>
  <c r="M63" i="2" s="1"/>
  <c r="L68" i="2"/>
  <c r="L76" i="2"/>
  <c r="M76" i="2" s="1"/>
  <c r="L79" i="2"/>
  <c r="M79" i="2" s="1"/>
  <c r="L7" i="2"/>
  <c r="M7" i="2" s="1"/>
  <c r="L9" i="2"/>
  <c r="M9" i="2" s="1"/>
  <c r="L15" i="2"/>
  <c r="M15" i="2" s="1"/>
  <c r="L21" i="2"/>
  <c r="M21" i="2" s="1"/>
  <c r="L28" i="2"/>
  <c r="M28" i="2" s="1"/>
  <c r="L34" i="2"/>
  <c r="M34" i="2" s="1"/>
  <c r="L44" i="2"/>
  <c r="M44" i="2" s="1"/>
  <c r="L52" i="2"/>
  <c r="M52" i="2" s="1"/>
  <c r="L49" i="2"/>
  <c r="L60" i="2"/>
  <c r="M60" i="2" s="1"/>
  <c r="L65" i="2"/>
  <c r="M65" i="2" s="1"/>
  <c r="L70" i="2"/>
  <c r="L74" i="2"/>
  <c r="M74" i="2" s="1"/>
  <c r="L10" i="2"/>
  <c r="M10" i="2" s="1"/>
  <c r="L16" i="2"/>
  <c r="M16" i="2" s="1"/>
  <c r="L22" i="2"/>
  <c r="M22" i="2" s="1"/>
  <c r="L29" i="2"/>
  <c r="M29" i="2" s="1"/>
  <c r="L39" i="2"/>
  <c r="M39" i="2" s="1"/>
  <c r="L45" i="2"/>
  <c r="M45" i="2" s="1"/>
  <c r="L53" i="2"/>
  <c r="M53" i="2" s="1"/>
  <c r="L50" i="2"/>
  <c r="M50" i="2" s="1"/>
  <c r="L61" i="2"/>
  <c r="M61" i="2" s="1"/>
  <c r="L71" i="2"/>
  <c r="M71" i="2" s="1"/>
  <c r="L75" i="2"/>
  <c r="M75" i="2" s="1"/>
  <c r="L80" i="2"/>
  <c r="M80" i="2" s="1"/>
  <c r="L82" i="2"/>
  <c r="M82" i="2" s="1"/>
  <c r="O434" i="11"/>
  <c r="P434" i="11" s="1"/>
  <c r="O433" i="11"/>
  <c r="P433" i="11" s="1"/>
  <c r="L423" i="11"/>
  <c r="U423" i="11" s="1"/>
  <c r="L242" i="11"/>
  <c r="U242" i="11" s="1"/>
  <c r="L221" i="11"/>
  <c r="U221" i="11" s="1"/>
  <c r="L115" i="11"/>
  <c r="U115" i="11" s="1"/>
  <c r="L170" i="11"/>
  <c r="U170" i="11" s="1"/>
  <c r="L193" i="11"/>
  <c r="U193" i="11" s="1"/>
  <c r="L245" i="11"/>
  <c r="U245" i="11" s="1"/>
  <c r="L401" i="11"/>
  <c r="U401" i="11" s="1"/>
  <c r="L351" i="11"/>
  <c r="U351" i="11" s="1"/>
  <c r="L164" i="11"/>
  <c r="U164" i="11" s="1"/>
  <c r="O225" i="11"/>
  <c r="P225" i="11" s="1"/>
  <c r="O121" i="11"/>
  <c r="P121" i="11" s="1"/>
  <c r="L375" i="11"/>
  <c r="U375" i="11" s="1"/>
  <c r="M69" i="2" l="1"/>
  <c r="N69" i="2" s="1"/>
  <c r="O69" i="2" s="1"/>
  <c r="S69" i="2" s="1"/>
  <c r="M83" i="2"/>
  <c r="N83" i="2" s="1"/>
  <c r="O83" i="2" s="1"/>
  <c r="S83" i="2" s="1"/>
  <c r="M66" i="2"/>
  <c r="N66" i="2" s="1"/>
  <c r="O66" i="2" s="1"/>
  <c r="S66" i="2" s="1"/>
  <c r="M70" i="2"/>
  <c r="N70" i="2" s="1"/>
  <c r="O70" i="2" s="1"/>
  <c r="S70" i="2" s="1"/>
  <c r="M56" i="2"/>
  <c r="N56" i="2" s="1"/>
  <c r="O56" i="2" s="1"/>
  <c r="S56" i="2" s="1"/>
  <c r="M68" i="2"/>
  <c r="N68" i="2" s="1"/>
  <c r="O68" i="2" s="1"/>
  <c r="S68" i="2" s="1"/>
  <c r="M49" i="2"/>
  <c r="N49" i="2" s="1"/>
  <c r="O49" i="2" s="1"/>
  <c r="S49" i="2" s="1"/>
  <c r="M55" i="2"/>
  <c r="N55" i="2" s="1"/>
  <c r="O55" i="2" s="1"/>
  <c r="S55" i="2" s="1"/>
  <c r="M30" i="2"/>
  <c r="N30" i="2" s="1"/>
  <c r="O30" i="2" s="1"/>
  <c r="S30" i="2" s="1"/>
  <c r="O351" i="11"/>
  <c r="P351" i="11" s="1"/>
  <c r="AD351" i="11"/>
  <c r="O401" i="11"/>
  <c r="P401" i="11" s="1"/>
  <c r="AD401" i="11"/>
  <c r="O245" i="11"/>
  <c r="P245" i="11" s="1"/>
  <c r="AD245" i="11"/>
  <c r="O193" i="11"/>
  <c r="P193" i="11" s="1"/>
  <c r="AD193" i="11"/>
  <c r="O164" i="11"/>
  <c r="P164" i="11" s="1"/>
  <c r="AD164" i="11"/>
  <c r="O170" i="11"/>
  <c r="P170" i="11" s="1"/>
  <c r="AD170" i="11"/>
  <c r="O115" i="11"/>
  <c r="P115" i="11" s="1"/>
  <c r="AD115" i="11"/>
  <c r="O221" i="11"/>
  <c r="P221" i="11" s="1"/>
  <c r="AD221" i="11"/>
  <c r="O242" i="11"/>
  <c r="P242" i="11" s="1"/>
  <c r="AD242" i="11"/>
  <c r="O375" i="11"/>
  <c r="P375" i="11" s="1"/>
  <c r="AD375" i="11"/>
  <c r="O423" i="11"/>
  <c r="P423" i="11" s="1"/>
  <c r="AD423" i="11"/>
  <c r="AB448" i="11"/>
  <c r="Q381" i="11"/>
  <c r="R381" i="11" s="1"/>
  <c r="V381" i="11" s="1"/>
  <c r="Q147" i="11"/>
  <c r="R147" i="11" s="1"/>
  <c r="V147" i="11" s="1"/>
  <c r="Q251" i="11"/>
  <c r="Q355" i="11"/>
  <c r="Q329" i="11"/>
  <c r="Q407" i="11"/>
  <c r="Q277" i="11"/>
  <c r="Q199" i="11"/>
  <c r="Q173" i="11"/>
  <c r="Q69" i="11"/>
  <c r="Q95" i="11"/>
  <c r="R95" i="11" s="1"/>
  <c r="V95" i="11" s="1"/>
  <c r="O16" i="2"/>
  <c r="S16" i="2" s="1"/>
  <c r="O11" i="2"/>
  <c r="S11" i="2" s="1"/>
  <c r="O52" i="2"/>
  <c r="S52" i="2" s="1"/>
  <c r="N76" i="2"/>
  <c r="O76" i="2" s="1"/>
  <c r="S76" i="2" s="1"/>
  <c r="N19" i="2"/>
  <c r="O19" i="2" s="1"/>
  <c r="S19" i="2" s="1"/>
  <c r="O33" i="2"/>
  <c r="S33" i="2" s="1"/>
  <c r="N72" i="2"/>
  <c r="O72" i="2" s="1"/>
  <c r="S72" i="2" s="1"/>
  <c r="S97" i="2"/>
  <c r="N67" i="2"/>
  <c r="O67" i="2" s="1"/>
  <c r="S67" i="2" s="1"/>
  <c r="N44" i="2"/>
  <c r="O44" i="2" s="1"/>
  <c r="S44" i="2" s="1"/>
  <c r="O13" i="2"/>
  <c r="S13" i="2" s="1"/>
  <c r="S93" i="2"/>
  <c r="S96" i="2"/>
  <c r="N81" i="2"/>
  <c r="O81" i="2" s="1"/>
  <c r="S81" i="2" s="1"/>
  <c r="O10" i="2"/>
  <c r="S10" i="2" s="1"/>
  <c r="S104" i="2"/>
  <c r="O34" i="2"/>
  <c r="S34" i="2" s="1"/>
  <c r="S92" i="2"/>
  <c r="N20" i="2"/>
  <c r="O20" i="2" s="1"/>
  <c r="S20" i="2" s="1"/>
  <c r="N62" i="2"/>
  <c r="O62" i="2" s="1"/>
  <c r="S62" i="2" s="1"/>
  <c r="O31" i="2"/>
  <c r="S31" i="2" s="1"/>
  <c r="N61" i="2"/>
  <c r="O61" i="2" s="1"/>
  <c r="S61" i="2" s="1"/>
  <c r="O5" i="2"/>
  <c r="S5" i="2" s="1"/>
  <c r="O57" i="2"/>
  <c r="S57" i="2" s="1"/>
  <c r="S99" i="2"/>
  <c r="O14" i="2"/>
  <c r="S14" i="2" s="1"/>
  <c r="N63" i="2"/>
  <c r="O63" i="2" s="1"/>
  <c r="S63" i="2" s="1"/>
  <c r="N86" i="2"/>
  <c r="O86" i="2" s="1"/>
  <c r="S86" i="2" s="1"/>
  <c r="N47" i="2"/>
  <c r="O47" i="2" s="1"/>
  <c r="S47" i="2" s="1"/>
  <c r="O8" i="2"/>
  <c r="S8" i="2" s="1"/>
  <c r="N74" i="2"/>
  <c r="O74" i="2" s="1"/>
  <c r="S74" i="2" s="1"/>
  <c r="O15" i="2"/>
  <c r="S15" i="2" s="1"/>
  <c r="N41" i="2"/>
  <c r="O41" i="2" s="1"/>
  <c r="S41" i="2" s="1"/>
  <c r="N6" i="2"/>
  <c r="O6" i="2" s="1"/>
  <c r="S6" i="2" s="1"/>
  <c r="N54" i="2"/>
  <c r="O54" i="2" s="1"/>
  <c r="S54" i="2" s="1"/>
  <c r="S94" i="2"/>
  <c r="N53" i="2"/>
  <c r="O53" i="2" s="1"/>
  <c r="S53" i="2" s="1"/>
  <c r="N9" i="2"/>
  <c r="O9" i="2" s="1"/>
  <c r="S9" i="2" s="1"/>
  <c r="N64" i="2"/>
  <c r="O64" i="2" s="1"/>
  <c r="S64" i="2" s="1"/>
  <c r="N85" i="2"/>
  <c r="O85" i="2" s="1"/>
  <c r="S85" i="2" s="1"/>
  <c r="N46" i="2"/>
  <c r="O46" i="2" s="1"/>
  <c r="S46" i="2" s="1"/>
  <c r="N75" i="2"/>
  <c r="O75" i="2" s="1"/>
  <c r="S75" i="2" s="1"/>
  <c r="N82" i="2"/>
  <c r="O82" i="2" s="1"/>
  <c r="S82" i="2" s="1"/>
  <c r="O45" i="2"/>
  <c r="S45" i="2" s="1"/>
  <c r="O7" i="2"/>
  <c r="S7" i="2" s="1"/>
  <c r="N78" i="2"/>
  <c r="O78" i="2" s="1"/>
  <c r="S78" i="2" s="1"/>
  <c r="N18" i="2"/>
  <c r="O18" i="2" s="1"/>
  <c r="S18" i="2" s="1"/>
  <c r="N58" i="2"/>
  <c r="O58" i="2" s="1"/>
  <c r="S58" i="2" s="1"/>
  <c r="O40" i="2"/>
  <c r="S40" i="2" s="1"/>
  <c r="N80" i="2"/>
  <c r="O80" i="2" s="1"/>
  <c r="S80" i="2" s="1"/>
  <c r="N39" i="2"/>
  <c r="O39" i="2" s="1"/>
  <c r="S39" i="2" s="1"/>
  <c r="N65" i="2"/>
  <c r="O65" i="2" s="1"/>
  <c r="S65" i="2" s="1"/>
  <c r="S95" i="2"/>
  <c r="O12" i="2"/>
  <c r="S12" i="2" s="1"/>
  <c r="N43" i="2"/>
  <c r="O43" i="2" s="1"/>
  <c r="S43" i="2" s="1"/>
  <c r="S102" i="2"/>
  <c r="O29" i="2"/>
  <c r="S29" i="2" s="1"/>
  <c r="N60" i="2"/>
  <c r="O60" i="2" s="1"/>
  <c r="S60" i="2" s="1"/>
  <c r="S103" i="2"/>
  <c r="O42" i="2"/>
  <c r="S42" i="2" s="1"/>
  <c r="S100" i="2"/>
  <c r="S98" i="2"/>
  <c r="N77" i="2"/>
  <c r="O77" i="2" s="1"/>
  <c r="S77" i="2" s="1"/>
  <c r="N71" i="2"/>
  <c r="O71" i="2" s="1"/>
  <c r="S71" i="2" s="1"/>
  <c r="S101" i="2"/>
  <c r="N79" i="2"/>
  <c r="O79" i="2" s="1"/>
  <c r="S79" i="2" s="1"/>
  <c r="O32" i="2"/>
  <c r="S32" i="2" s="1"/>
  <c r="N73" i="2"/>
  <c r="O73" i="2" s="1"/>
  <c r="S73" i="2" s="1"/>
  <c r="O4" i="2"/>
  <c r="S4" i="2" s="1"/>
  <c r="S91" i="2"/>
  <c r="AC455" i="11"/>
  <c r="AB451" i="11"/>
  <c r="AB445" i="11"/>
  <c r="AB444" i="11"/>
  <c r="AC452" i="11"/>
  <c r="AC442" i="11"/>
  <c r="AC447" i="11"/>
  <c r="AB454" i="11"/>
  <c r="AC443" i="11"/>
  <c r="AC446" i="11"/>
  <c r="AC440" i="11"/>
  <c r="AC453" i="11"/>
  <c r="AC441" i="11"/>
  <c r="AC439" i="11"/>
  <c r="AC450" i="11"/>
  <c r="AC449" i="11"/>
  <c r="Q225" i="11"/>
  <c r="R434" i="11"/>
  <c r="V434" i="11" s="1"/>
  <c r="R433" i="11"/>
  <c r="V433" i="11" s="1"/>
  <c r="Q121" i="11"/>
  <c r="Q413" i="11" l="1"/>
  <c r="R413" i="11" s="1"/>
  <c r="V413" i="11" s="1"/>
  <c r="Q419" i="11"/>
  <c r="R419" i="11" s="1"/>
  <c r="V419" i="11" s="1"/>
  <c r="Q416" i="11"/>
  <c r="R416" i="11" s="1"/>
  <c r="V416" i="11" s="1"/>
  <c r="Q415" i="11"/>
  <c r="R415" i="11" s="1"/>
  <c r="V415" i="11" s="1"/>
  <c r="Q412" i="11"/>
  <c r="R412" i="11" s="1"/>
  <c r="V412" i="11" s="1"/>
  <c r="Q411" i="11"/>
  <c r="R411" i="11" s="1"/>
  <c r="V411" i="11" s="1"/>
  <c r="Q421" i="11"/>
  <c r="R421" i="11" s="1"/>
  <c r="V421" i="11" s="1"/>
  <c r="Q418" i="11"/>
  <c r="R418" i="11" s="1"/>
  <c r="V418" i="11" s="1"/>
  <c r="Q408" i="11"/>
  <c r="R408" i="11" s="1"/>
  <c r="V408" i="11" s="1"/>
  <c r="Q414" i="11"/>
  <c r="R414" i="11" s="1"/>
  <c r="V414" i="11" s="1"/>
  <c r="Q417" i="11"/>
  <c r="R417" i="11" s="1"/>
  <c r="V417" i="11" s="1"/>
  <c r="Q420" i="11"/>
  <c r="R420" i="11" s="1"/>
  <c r="V420" i="11" s="1"/>
  <c r="Q410" i="11"/>
  <c r="R410" i="11" s="1"/>
  <c r="V410" i="11" s="1"/>
  <c r="Q387" i="11"/>
  <c r="R387" i="11" s="1"/>
  <c r="V387" i="11" s="1"/>
  <c r="Q393" i="11"/>
  <c r="R393" i="11" s="1"/>
  <c r="V393" i="11" s="1"/>
  <c r="Q390" i="11"/>
  <c r="R390" i="11" s="1"/>
  <c r="V390" i="11" s="1"/>
  <c r="Q389" i="11"/>
  <c r="R389" i="11" s="1"/>
  <c r="V389" i="11" s="1"/>
  <c r="Q386" i="11"/>
  <c r="R386" i="11" s="1"/>
  <c r="V386" i="11" s="1"/>
  <c r="Q385" i="11"/>
  <c r="R385" i="11" s="1"/>
  <c r="V385" i="11" s="1"/>
  <c r="Q395" i="11"/>
  <c r="R395" i="11" s="1"/>
  <c r="V395" i="11" s="1"/>
  <c r="Q392" i="11"/>
  <c r="R392" i="11" s="1"/>
  <c r="V392" i="11" s="1"/>
  <c r="Q382" i="11"/>
  <c r="R382" i="11" s="1"/>
  <c r="V382" i="11" s="1"/>
  <c r="Q388" i="11"/>
  <c r="R388" i="11" s="1"/>
  <c r="V388" i="11" s="1"/>
  <c r="Q391" i="11"/>
  <c r="R391" i="11" s="1"/>
  <c r="V391" i="11" s="1"/>
  <c r="Q394" i="11"/>
  <c r="R394" i="11" s="1"/>
  <c r="V394" i="11" s="1"/>
  <c r="Q384" i="11"/>
  <c r="R384" i="11" s="1"/>
  <c r="V384" i="11" s="1"/>
  <c r="Q366" i="11"/>
  <c r="R366" i="11" s="1"/>
  <c r="V366" i="11" s="1"/>
  <c r="Q360" i="11"/>
  <c r="R360" i="11" s="1"/>
  <c r="V360" i="11" s="1"/>
  <c r="Q363" i="11"/>
  <c r="R363" i="11" s="1"/>
  <c r="V363" i="11" s="1"/>
  <c r="Q369" i="11"/>
  <c r="R369" i="11" s="1"/>
  <c r="V369" i="11" s="1"/>
  <c r="Q364" i="11"/>
  <c r="R364" i="11" s="1"/>
  <c r="V364" i="11" s="1"/>
  <c r="Q367" i="11"/>
  <c r="R367" i="11" s="1"/>
  <c r="V367" i="11" s="1"/>
  <c r="Q361" i="11"/>
  <c r="R361" i="11" s="1"/>
  <c r="V361" i="11" s="1"/>
  <c r="Q368" i="11"/>
  <c r="R368" i="11" s="1"/>
  <c r="V368" i="11" s="1"/>
  <c r="Q365" i="11"/>
  <c r="R365" i="11" s="1"/>
  <c r="V365" i="11" s="1"/>
  <c r="Q356" i="11"/>
  <c r="R356" i="11" s="1"/>
  <c r="V356" i="11" s="1"/>
  <c r="Q358" i="11"/>
  <c r="R358" i="11" s="1"/>
  <c r="V358" i="11" s="1"/>
  <c r="Q362" i="11"/>
  <c r="R362" i="11" s="1"/>
  <c r="V362" i="11" s="1"/>
  <c r="Q359" i="11"/>
  <c r="R359" i="11" s="1"/>
  <c r="V359" i="11" s="1"/>
  <c r="Q335" i="11"/>
  <c r="R335" i="11" s="1"/>
  <c r="V335" i="11" s="1"/>
  <c r="Q341" i="11"/>
  <c r="R341" i="11" s="1"/>
  <c r="V341" i="11" s="1"/>
  <c r="Q338" i="11"/>
  <c r="R338" i="11" s="1"/>
  <c r="V338" i="11" s="1"/>
  <c r="Q337" i="11"/>
  <c r="R337" i="11" s="1"/>
  <c r="V337" i="11" s="1"/>
  <c r="Q334" i="11"/>
  <c r="R334" i="11" s="1"/>
  <c r="V334" i="11" s="1"/>
  <c r="Q333" i="11"/>
  <c r="R333" i="11" s="1"/>
  <c r="V333" i="11" s="1"/>
  <c r="Q343" i="11"/>
  <c r="R343" i="11" s="1"/>
  <c r="V343" i="11" s="1"/>
  <c r="Q340" i="11"/>
  <c r="R340" i="11" s="1"/>
  <c r="V340" i="11" s="1"/>
  <c r="Q330" i="11"/>
  <c r="R330" i="11" s="1"/>
  <c r="V330" i="11" s="1"/>
  <c r="Q336" i="11"/>
  <c r="R336" i="11" s="1"/>
  <c r="V336" i="11" s="1"/>
  <c r="Q339" i="11"/>
  <c r="R339" i="11" s="1"/>
  <c r="V339" i="11" s="1"/>
  <c r="Q342" i="11"/>
  <c r="R342" i="11" s="1"/>
  <c r="V342" i="11" s="1"/>
  <c r="Q332" i="11"/>
  <c r="R332" i="11" s="1"/>
  <c r="V332" i="11" s="1"/>
  <c r="Q75" i="11"/>
  <c r="R75" i="11" s="1"/>
  <c r="V75" i="11" s="1"/>
  <c r="Q81" i="11"/>
  <c r="R81" i="11" s="1"/>
  <c r="V81" i="11" s="1"/>
  <c r="Q78" i="11"/>
  <c r="R78" i="11" s="1"/>
  <c r="V78" i="11" s="1"/>
  <c r="Q77" i="11"/>
  <c r="R77" i="11" s="1"/>
  <c r="V77" i="11" s="1"/>
  <c r="Q74" i="11"/>
  <c r="R74" i="11" s="1"/>
  <c r="V74" i="11" s="1"/>
  <c r="Q73" i="11"/>
  <c r="R73" i="11" s="1"/>
  <c r="V73" i="11" s="1"/>
  <c r="Q83" i="11"/>
  <c r="R83" i="11" s="1"/>
  <c r="V83" i="11" s="1"/>
  <c r="Q80" i="11"/>
  <c r="R80" i="11" s="1"/>
  <c r="V80" i="11" s="1"/>
  <c r="Q70" i="11"/>
  <c r="R70" i="11" s="1"/>
  <c r="V70" i="11" s="1"/>
  <c r="Q76" i="11"/>
  <c r="R76" i="11" s="1"/>
  <c r="V76" i="11" s="1"/>
  <c r="Q79" i="11"/>
  <c r="R79" i="11" s="1"/>
  <c r="V79" i="11" s="1"/>
  <c r="Q82" i="11"/>
  <c r="R82" i="11" s="1"/>
  <c r="V82" i="11" s="1"/>
  <c r="Q72" i="11"/>
  <c r="R72" i="11" s="1"/>
  <c r="V72" i="11" s="1"/>
  <c r="Q283" i="11"/>
  <c r="R283" i="11" s="1"/>
  <c r="V283" i="11" s="1"/>
  <c r="Q289" i="11"/>
  <c r="R289" i="11" s="1"/>
  <c r="V289" i="11" s="1"/>
  <c r="Q286" i="11"/>
  <c r="R286" i="11" s="1"/>
  <c r="V286" i="11" s="1"/>
  <c r="Q285" i="11"/>
  <c r="R285" i="11" s="1"/>
  <c r="V285" i="11" s="1"/>
  <c r="Q282" i="11"/>
  <c r="R282" i="11" s="1"/>
  <c r="V282" i="11" s="1"/>
  <c r="Q281" i="11"/>
  <c r="R281" i="11" s="1"/>
  <c r="V281" i="11" s="1"/>
  <c r="Q291" i="11"/>
  <c r="R291" i="11" s="1"/>
  <c r="V291" i="11" s="1"/>
  <c r="Q288" i="11"/>
  <c r="R288" i="11" s="1"/>
  <c r="V288" i="11" s="1"/>
  <c r="Q278" i="11"/>
  <c r="R278" i="11" s="1"/>
  <c r="V278" i="11" s="1"/>
  <c r="Q284" i="11"/>
  <c r="R284" i="11" s="1"/>
  <c r="V284" i="11" s="1"/>
  <c r="Q287" i="11"/>
  <c r="R287" i="11" s="1"/>
  <c r="V287" i="11" s="1"/>
  <c r="Q290" i="11"/>
  <c r="R290" i="11" s="1"/>
  <c r="V290" i="11" s="1"/>
  <c r="Q280" i="11"/>
  <c r="R280" i="11" s="1"/>
  <c r="V280" i="11" s="1"/>
  <c r="Q294" i="11"/>
  <c r="R294" i="11" s="1"/>
  <c r="V294" i="11" s="1"/>
  <c r="Q297" i="11"/>
  <c r="R297" i="11" s="1"/>
  <c r="V297" i="11" s="1"/>
  <c r="Q298" i="11"/>
  <c r="R298" i="11" s="1"/>
  <c r="V298" i="11" s="1"/>
  <c r="Q301" i="11"/>
  <c r="R301" i="11" s="1"/>
  <c r="V301" i="11" s="1"/>
  <c r="Q295" i="11"/>
  <c r="R295" i="11" s="1"/>
  <c r="V295" i="11" s="1"/>
  <c r="Q302" i="11"/>
  <c r="R302" i="11" s="1"/>
  <c r="V302" i="11" s="1"/>
  <c r="Q299" i="11"/>
  <c r="R299" i="11" s="1"/>
  <c r="V299" i="11" s="1"/>
  <c r="Q292" i="11"/>
  <c r="R292" i="11" s="1"/>
  <c r="V292" i="11" s="1"/>
  <c r="Q296" i="11"/>
  <c r="R296" i="11" s="1"/>
  <c r="V296" i="11" s="1"/>
  <c r="Q293" i="11"/>
  <c r="R293" i="11" s="1"/>
  <c r="V293" i="11" s="1"/>
  <c r="Q300" i="11"/>
  <c r="R300" i="11" s="1"/>
  <c r="V300" i="11" s="1"/>
  <c r="Q257" i="11"/>
  <c r="R257" i="11" s="1"/>
  <c r="V257" i="11" s="1"/>
  <c r="Q263" i="11"/>
  <c r="R263" i="11" s="1"/>
  <c r="V263" i="11" s="1"/>
  <c r="Q260" i="11"/>
  <c r="R260" i="11" s="1"/>
  <c r="V260" i="11" s="1"/>
  <c r="Q259" i="11"/>
  <c r="R259" i="11" s="1"/>
  <c r="V259" i="11" s="1"/>
  <c r="Q256" i="11"/>
  <c r="R256" i="11" s="1"/>
  <c r="V256" i="11" s="1"/>
  <c r="Q255" i="11"/>
  <c r="R255" i="11" s="1"/>
  <c r="V255" i="11" s="1"/>
  <c r="Q265" i="11"/>
  <c r="R265" i="11" s="1"/>
  <c r="V265" i="11" s="1"/>
  <c r="Q262" i="11"/>
  <c r="R262" i="11" s="1"/>
  <c r="V262" i="11" s="1"/>
  <c r="Q252" i="11"/>
  <c r="R252" i="11" s="1"/>
  <c r="V252" i="11" s="1"/>
  <c r="Q258" i="11"/>
  <c r="R258" i="11" s="1"/>
  <c r="V258" i="11" s="1"/>
  <c r="Q261" i="11"/>
  <c r="R261" i="11" s="1"/>
  <c r="V261" i="11" s="1"/>
  <c r="Q264" i="11"/>
  <c r="R264" i="11" s="1"/>
  <c r="V264" i="11" s="1"/>
  <c r="Q254" i="11"/>
  <c r="R254" i="11" s="1"/>
  <c r="V254" i="11" s="1"/>
  <c r="Q230" i="11"/>
  <c r="R230" i="11" s="1"/>
  <c r="V230" i="11" s="1"/>
  <c r="Q236" i="11"/>
  <c r="R236" i="11" s="1"/>
  <c r="V236" i="11" s="1"/>
  <c r="Q233" i="11"/>
  <c r="R233" i="11" s="1"/>
  <c r="V233" i="11" s="1"/>
  <c r="Q232" i="11"/>
  <c r="R232" i="11" s="1"/>
  <c r="V232" i="11" s="1"/>
  <c r="Q229" i="11"/>
  <c r="R229" i="11" s="1"/>
  <c r="V229" i="11" s="1"/>
  <c r="Q228" i="11"/>
  <c r="R228" i="11" s="1"/>
  <c r="V228" i="11" s="1"/>
  <c r="Q239" i="11"/>
  <c r="R239" i="11" s="1"/>
  <c r="V239" i="11" s="1"/>
  <c r="Q227" i="11"/>
  <c r="R227" i="11" s="1"/>
  <c r="V227" i="11" s="1"/>
  <c r="Q235" i="11"/>
  <c r="R235" i="11" s="1"/>
  <c r="V235" i="11" s="1"/>
  <c r="Q238" i="11"/>
  <c r="R238" i="11" s="1"/>
  <c r="V238" i="11" s="1"/>
  <c r="Q237" i="11"/>
  <c r="R237" i="11" s="1"/>
  <c r="V237" i="11" s="1"/>
  <c r="Q231" i="11"/>
  <c r="R231" i="11" s="1"/>
  <c r="V231" i="11" s="1"/>
  <c r="Q234" i="11"/>
  <c r="R234" i="11" s="1"/>
  <c r="V234" i="11" s="1"/>
  <c r="Q205" i="11"/>
  <c r="R205" i="11" s="1"/>
  <c r="V205" i="11" s="1"/>
  <c r="Q211" i="11"/>
  <c r="R211" i="11" s="1"/>
  <c r="V211" i="11" s="1"/>
  <c r="Q208" i="11"/>
  <c r="R208" i="11" s="1"/>
  <c r="V208" i="11" s="1"/>
  <c r="Q207" i="11"/>
  <c r="R207" i="11" s="1"/>
  <c r="V207" i="11" s="1"/>
  <c r="Q204" i="11"/>
  <c r="R204" i="11" s="1"/>
  <c r="V204" i="11" s="1"/>
  <c r="Q203" i="11"/>
  <c r="R203" i="11" s="1"/>
  <c r="V203" i="11" s="1"/>
  <c r="Q213" i="11"/>
  <c r="R213" i="11" s="1"/>
  <c r="V213" i="11" s="1"/>
  <c r="Q212" i="11"/>
  <c r="R212" i="11" s="1"/>
  <c r="V212" i="11" s="1"/>
  <c r="Q210" i="11"/>
  <c r="R210" i="11" s="1"/>
  <c r="V210" i="11" s="1"/>
  <c r="Q202" i="11"/>
  <c r="R202" i="11" s="1"/>
  <c r="V202" i="11" s="1"/>
  <c r="Q200" i="11"/>
  <c r="R200" i="11" s="1"/>
  <c r="V200" i="11" s="1"/>
  <c r="Q206" i="11"/>
  <c r="R206" i="11" s="1"/>
  <c r="V206" i="11" s="1"/>
  <c r="Q209" i="11"/>
  <c r="R209" i="11" s="1"/>
  <c r="V209" i="11" s="1"/>
  <c r="Q187" i="11"/>
  <c r="R187" i="11" s="1"/>
  <c r="V187" i="11" s="1"/>
  <c r="Q184" i="11"/>
  <c r="R184" i="11" s="1"/>
  <c r="V184" i="11" s="1"/>
  <c r="Q177" i="11"/>
  <c r="R177" i="11" s="1"/>
  <c r="V177" i="11" s="1"/>
  <c r="Q180" i="11"/>
  <c r="R180" i="11" s="1"/>
  <c r="V180" i="11" s="1"/>
  <c r="Q174" i="11"/>
  <c r="R174" i="11" s="1"/>
  <c r="V174" i="11" s="1"/>
  <c r="Q176" i="11"/>
  <c r="R176" i="11" s="1"/>
  <c r="V176" i="11" s="1"/>
  <c r="Q183" i="11"/>
  <c r="R183" i="11" s="1"/>
  <c r="V183" i="11" s="1"/>
  <c r="Q186" i="11"/>
  <c r="R186" i="11" s="1"/>
  <c r="V186" i="11" s="1"/>
  <c r="Q179" i="11"/>
  <c r="R179" i="11" s="1"/>
  <c r="V179" i="11" s="1"/>
  <c r="Q182" i="11"/>
  <c r="R182" i="11" s="1"/>
  <c r="V182" i="11" s="1"/>
  <c r="Q185" i="11"/>
  <c r="R185" i="11" s="1"/>
  <c r="V185" i="11" s="1"/>
  <c r="Q178" i="11"/>
  <c r="R178" i="11" s="1"/>
  <c r="V178" i="11" s="1"/>
  <c r="Q181" i="11"/>
  <c r="R181" i="11" s="1"/>
  <c r="V181" i="11" s="1"/>
  <c r="Q161" i="11"/>
  <c r="R161" i="11" s="1"/>
  <c r="V161" i="11" s="1"/>
  <c r="Q155" i="11"/>
  <c r="R155" i="11" s="1"/>
  <c r="V155" i="11" s="1"/>
  <c r="Q158" i="11"/>
  <c r="R158" i="11" s="1"/>
  <c r="V158" i="11" s="1"/>
  <c r="Q151" i="11"/>
  <c r="R151" i="11" s="1"/>
  <c r="V151" i="11" s="1"/>
  <c r="Q154" i="11"/>
  <c r="R154" i="11" s="1"/>
  <c r="V154" i="11" s="1"/>
  <c r="Q148" i="11"/>
  <c r="R148" i="11" s="1"/>
  <c r="V148" i="11" s="1"/>
  <c r="Q150" i="11"/>
  <c r="R150" i="11" s="1"/>
  <c r="V150" i="11" s="1"/>
  <c r="Q157" i="11"/>
  <c r="R157" i="11" s="1"/>
  <c r="V157" i="11" s="1"/>
  <c r="Q160" i="11"/>
  <c r="R160" i="11" s="1"/>
  <c r="V160" i="11" s="1"/>
  <c r="Q153" i="11"/>
  <c r="R153" i="11" s="1"/>
  <c r="V153" i="11" s="1"/>
  <c r="Q156" i="11"/>
  <c r="R156" i="11" s="1"/>
  <c r="V156" i="11" s="1"/>
  <c r="Q159" i="11"/>
  <c r="R159" i="11" s="1"/>
  <c r="V159" i="11" s="1"/>
  <c r="Q152" i="11"/>
  <c r="R152" i="11" s="1"/>
  <c r="V152" i="11" s="1"/>
  <c r="Q135" i="11"/>
  <c r="R135" i="11" s="1"/>
  <c r="V135" i="11" s="1"/>
  <c r="Q132" i="11"/>
  <c r="R132" i="11" s="1"/>
  <c r="V132" i="11" s="1"/>
  <c r="Q125" i="11"/>
  <c r="R125" i="11" s="1"/>
  <c r="V125" i="11" s="1"/>
  <c r="Q128" i="11"/>
  <c r="R128" i="11" s="1"/>
  <c r="V128" i="11" s="1"/>
  <c r="Q122" i="11"/>
  <c r="R122" i="11" s="1"/>
  <c r="V122" i="11" s="1"/>
  <c r="Q124" i="11"/>
  <c r="R124" i="11" s="1"/>
  <c r="V124" i="11" s="1"/>
  <c r="Q131" i="11"/>
  <c r="R131" i="11" s="1"/>
  <c r="V131" i="11" s="1"/>
  <c r="Q134" i="11"/>
  <c r="R134" i="11" s="1"/>
  <c r="V134" i="11" s="1"/>
  <c r="Q127" i="11"/>
  <c r="R127" i="11" s="1"/>
  <c r="V127" i="11" s="1"/>
  <c r="Q130" i="11"/>
  <c r="R130" i="11" s="1"/>
  <c r="V130" i="11" s="1"/>
  <c r="Q133" i="11"/>
  <c r="R133" i="11" s="1"/>
  <c r="V133" i="11" s="1"/>
  <c r="Q126" i="11"/>
  <c r="R126" i="11" s="1"/>
  <c r="V126" i="11" s="1"/>
  <c r="Q129" i="11"/>
  <c r="R129" i="11" s="1"/>
  <c r="V129" i="11" s="1"/>
  <c r="Q98" i="11"/>
  <c r="R98" i="11" s="1"/>
  <c r="V98" i="11" s="1"/>
  <c r="Q108" i="11"/>
  <c r="R108" i="11" s="1"/>
  <c r="V108" i="11" s="1"/>
  <c r="Q105" i="11"/>
  <c r="R105" i="11" s="1"/>
  <c r="V105" i="11" s="1"/>
  <c r="Q104" i="11"/>
  <c r="R104" i="11" s="1"/>
  <c r="V104" i="11" s="1"/>
  <c r="Q101" i="11"/>
  <c r="R101" i="11" s="1"/>
  <c r="V101" i="11" s="1"/>
  <c r="Q107" i="11"/>
  <c r="R107" i="11" s="1"/>
  <c r="V107" i="11" s="1"/>
  <c r="Q100" i="11"/>
  <c r="R100" i="11" s="1"/>
  <c r="V100" i="11" s="1"/>
  <c r="Q103" i="11"/>
  <c r="R103" i="11" s="1"/>
  <c r="V103" i="11" s="1"/>
  <c r="Q99" i="11"/>
  <c r="R99" i="11" s="1"/>
  <c r="V99" i="11" s="1"/>
  <c r="Q106" i="11"/>
  <c r="R106" i="11" s="1"/>
  <c r="V106" i="11" s="1"/>
  <c r="Q102" i="11"/>
  <c r="R102" i="11" s="1"/>
  <c r="V102" i="11" s="1"/>
  <c r="Q97" i="11"/>
  <c r="R97" i="11" s="1"/>
  <c r="V97" i="11" s="1"/>
  <c r="Q96" i="11"/>
  <c r="R96" i="11" s="1"/>
  <c r="V96" i="11" s="1"/>
  <c r="Q109" i="11"/>
  <c r="R109" i="11" s="1"/>
  <c r="V109" i="11" s="1"/>
  <c r="Q111" i="11"/>
  <c r="R111" i="11" s="1"/>
  <c r="V111" i="11" s="1"/>
  <c r="Q110" i="11"/>
  <c r="R110" i="11" s="1"/>
  <c r="V110" i="11" s="1"/>
  <c r="Q94" i="11"/>
  <c r="R94" i="11" s="1"/>
  <c r="V94" i="11" s="1"/>
  <c r="Q85" i="11"/>
  <c r="R85" i="11" s="1"/>
  <c r="V85" i="11" s="1"/>
  <c r="Q93" i="11"/>
  <c r="R93" i="11" s="1"/>
  <c r="V93" i="11" s="1"/>
  <c r="Q92" i="11"/>
  <c r="R92" i="11" s="1"/>
  <c r="V92" i="11" s="1"/>
  <c r="Q89" i="11"/>
  <c r="R89" i="11" s="1"/>
  <c r="V89" i="11" s="1"/>
  <c r="Q87" i="11"/>
  <c r="R87" i="11" s="1"/>
  <c r="V87" i="11" s="1"/>
  <c r="Q90" i="11"/>
  <c r="R90" i="11" s="1"/>
  <c r="V90" i="11" s="1"/>
  <c r="Q88" i="11"/>
  <c r="R88" i="11" s="1"/>
  <c r="V88" i="11" s="1"/>
  <c r="Q84" i="11"/>
  <c r="R84" i="11" s="1"/>
  <c r="V84" i="11" s="1"/>
  <c r="Q91" i="11"/>
  <c r="R91" i="11" s="1"/>
  <c r="V91" i="11" s="1"/>
  <c r="Q86" i="11"/>
  <c r="R86" i="11" s="1"/>
  <c r="V86" i="11" s="1"/>
  <c r="Q71" i="11"/>
  <c r="R71" i="11" s="1"/>
  <c r="V71" i="11" s="1"/>
  <c r="Q194" i="11"/>
  <c r="R194" i="11" s="1"/>
  <c r="V194" i="11" s="1"/>
  <c r="Q193" i="11"/>
  <c r="R193" i="11" s="1"/>
  <c r="V193" i="11" s="1"/>
  <c r="Q197" i="11"/>
  <c r="R197" i="11" s="1"/>
  <c r="V197" i="11" s="1"/>
  <c r="Q188" i="11"/>
  <c r="R188" i="11" s="1"/>
  <c r="V188" i="11" s="1"/>
  <c r="Q196" i="11"/>
  <c r="R196" i="11" s="1"/>
  <c r="V196" i="11" s="1"/>
  <c r="Q189" i="11"/>
  <c r="R189" i="11" s="1"/>
  <c r="V189" i="11" s="1"/>
  <c r="Q175" i="11"/>
  <c r="R175" i="11" s="1"/>
  <c r="V175" i="11" s="1"/>
  <c r="Q195" i="11"/>
  <c r="R195" i="11" s="1"/>
  <c r="V195" i="11" s="1"/>
  <c r="Q192" i="11"/>
  <c r="R192" i="11" s="1"/>
  <c r="V192" i="11" s="1"/>
  <c r="Q191" i="11"/>
  <c r="R191" i="11" s="1"/>
  <c r="V191" i="11" s="1"/>
  <c r="Q190" i="11"/>
  <c r="R190" i="11" s="1"/>
  <c r="V190" i="11" s="1"/>
  <c r="Q198" i="11"/>
  <c r="R198" i="11" s="1"/>
  <c r="V198" i="11" s="1"/>
  <c r="R199" i="11"/>
  <c r="V199" i="11" s="1"/>
  <c r="Q201" i="11"/>
  <c r="R201" i="11" s="1"/>
  <c r="V201" i="11" s="1"/>
  <c r="Q215" i="11"/>
  <c r="R215" i="11" s="1"/>
  <c r="V215" i="11" s="1"/>
  <c r="Q220" i="11"/>
  <c r="R220" i="11" s="1"/>
  <c r="V220" i="11" s="1"/>
  <c r="Q219" i="11"/>
  <c r="R219" i="11" s="1"/>
  <c r="V219" i="11" s="1"/>
  <c r="Q224" i="11"/>
  <c r="R224" i="11" s="1"/>
  <c r="V224" i="11" s="1"/>
  <c r="Q214" i="11"/>
  <c r="R214" i="11" s="1"/>
  <c r="V214" i="11" s="1"/>
  <c r="Q216" i="11"/>
  <c r="R216" i="11" s="1"/>
  <c r="V216" i="11" s="1"/>
  <c r="Q222" i="11"/>
  <c r="R222" i="11" s="1"/>
  <c r="V222" i="11" s="1"/>
  <c r="Q223" i="11"/>
  <c r="R223" i="11" s="1"/>
  <c r="V223" i="11" s="1"/>
  <c r="Q217" i="11"/>
  <c r="R217" i="11" s="1"/>
  <c r="V217" i="11" s="1"/>
  <c r="Q218" i="11"/>
  <c r="R218" i="11" s="1"/>
  <c r="V218" i="11" s="1"/>
  <c r="Q221" i="11"/>
  <c r="R221" i="11" s="1"/>
  <c r="V221" i="11" s="1"/>
  <c r="R277" i="11"/>
  <c r="V277" i="11" s="1"/>
  <c r="Q279" i="11"/>
  <c r="R279" i="11" s="1"/>
  <c r="V279" i="11" s="1"/>
  <c r="R407" i="11"/>
  <c r="V407" i="11" s="1"/>
  <c r="Q432" i="11"/>
  <c r="R432" i="11" s="1"/>
  <c r="V432" i="11" s="1"/>
  <c r="Q409" i="11"/>
  <c r="R409" i="11" s="1"/>
  <c r="V409" i="11" s="1"/>
  <c r="Q428" i="11"/>
  <c r="R428" i="11" s="1"/>
  <c r="V428" i="11" s="1"/>
  <c r="Q424" i="11"/>
  <c r="R424" i="11" s="1"/>
  <c r="V424" i="11" s="1"/>
  <c r="Q431" i="11"/>
  <c r="R431" i="11" s="1"/>
  <c r="V431" i="11" s="1"/>
  <c r="Q427" i="11"/>
  <c r="R427" i="11" s="1"/>
  <c r="V427" i="11" s="1"/>
  <c r="Q423" i="11"/>
  <c r="R423" i="11" s="1"/>
  <c r="V423" i="11" s="1"/>
  <c r="Q430" i="11"/>
  <c r="R430" i="11" s="1"/>
  <c r="V430" i="11" s="1"/>
  <c r="Q426" i="11"/>
  <c r="R426" i="11" s="1"/>
  <c r="V426" i="11" s="1"/>
  <c r="Q429" i="11"/>
  <c r="R429" i="11" s="1"/>
  <c r="V429" i="11" s="1"/>
  <c r="Q422" i="11"/>
  <c r="R422" i="11" s="1"/>
  <c r="V422" i="11" s="1"/>
  <c r="Q425" i="11"/>
  <c r="R425" i="11" s="1"/>
  <c r="V425" i="11" s="1"/>
  <c r="R329" i="11"/>
  <c r="V329" i="11" s="1"/>
  <c r="Q352" i="11"/>
  <c r="R352" i="11" s="1"/>
  <c r="V352" i="11" s="1"/>
  <c r="Q348" i="11"/>
  <c r="R348" i="11" s="1"/>
  <c r="V348" i="11" s="1"/>
  <c r="Q351" i="11"/>
  <c r="R351" i="11" s="1"/>
  <c r="V351" i="11" s="1"/>
  <c r="Q345" i="11"/>
  <c r="R345" i="11" s="1"/>
  <c r="V345" i="11" s="1"/>
  <c r="Q354" i="11"/>
  <c r="R354" i="11" s="1"/>
  <c r="V354" i="11" s="1"/>
  <c r="Q344" i="11"/>
  <c r="R344" i="11" s="1"/>
  <c r="V344" i="11" s="1"/>
  <c r="Q350" i="11"/>
  <c r="R350" i="11" s="1"/>
  <c r="V350" i="11" s="1"/>
  <c r="Q353" i="11"/>
  <c r="R353" i="11" s="1"/>
  <c r="V353" i="11" s="1"/>
  <c r="Q331" i="11"/>
  <c r="R331" i="11" s="1"/>
  <c r="V331" i="11" s="1"/>
  <c r="Q347" i="11"/>
  <c r="R347" i="11" s="1"/>
  <c r="V347" i="11" s="1"/>
  <c r="Q349" i="11"/>
  <c r="R349" i="11" s="1"/>
  <c r="V349" i="11" s="1"/>
  <c r="Q346" i="11"/>
  <c r="R346" i="11" s="1"/>
  <c r="V346" i="11" s="1"/>
  <c r="Q325" i="11"/>
  <c r="R325" i="11" s="1"/>
  <c r="V325" i="11" s="1"/>
  <c r="Q322" i="11"/>
  <c r="R322" i="11" s="1"/>
  <c r="V322" i="11" s="1"/>
  <c r="Q327" i="11"/>
  <c r="R327" i="11" s="1"/>
  <c r="V327" i="11" s="1"/>
  <c r="Q323" i="11"/>
  <c r="R323" i="11" s="1"/>
  <c r="V323" i="11" s="1"/>
  <c r="Q319" i="11"/>
  <c r="R319" i="11" s="1"/>
  <c r="V319" i="11" s="1"/>
  <c r="Q320" i="11"/>
  <c r="R320" i="11" s="1"/>
  <c r="V320" i="11" s="1"/>
  <c r="Q318" i="11"/>
  <c r="R318" i="11" s="1"/>
  <c r="V318" i="11" s="1"/>
  <c r="Q328" i="11"/>
  <c r="R328" i="11" s="1"/>
  <c r="V328" i="11" s="1"/>
  <c r="Q326" i="11"/>
  <c r="R326" i="11" s="1"/>
  <c r="V326" i="11" s="1"/>
  <c r="Q321" i="11"/>
  <c r="R321" i="11" s="1"/>
  <c r="V321" i="11" s="1"/>
  <c r="Q324" i="11"/>
  <c r="R324" i="11" s="1"/>
  <c r="V324" i="11" s="1"/>
  <c r="Q145" i="11"/>
  <c r="R145" i="11" s="1"/>
  <c r="V145" i="11" s="1"/>
  <c r="Q139" i="11"/>
  <c r="R139" i="11" s="1"/>
  <c r="V139" i="11" s="1"/>
  <c r="Q123" i="11"/>
  <c r="R123" i="11" s="1"/>
  <c r="V123" i="11" s="1"/>
  <c r="Q140" i="11"/>
  <c r="R140" i="11" s="1"/>
  <c r="V140" i="11" s="1"/>
  <c r="Q138" i="11"/>
  <c r="R138" i="11" s="1"/>
  <c r="V138" i="11" s="1"/>
  <c r="Q143" i="11"/>
  <c r="R143" i="11" s="1"/>
  <c r="V143" i="11" s="1"/>
  <c r="Q146" i="11"/>
  <c r="R146" i="11" s="1"/>
  <c r="V146" i="11" s="1"/>
  <c r="Q142" i="11"/>
  <c r="R142" i="11" s="1"/>
  <c r="V142" i="11" s="1"/>
  <c r="Q144" i="11"/>
  <c r="R144" i="11" s="1"/>
  <c r="V144" i="11" s="1"/>
  <c r="Q136" i="11"/>
  <c r="R136" i="11" s="1"/>
  <c r="V136" i="11" s="1"/>
  <c r="Q141" i="11"/>
  <c r="R141" i="11" s="1"/>
  <c r="V141" i="11" s="1"/>
  <c r="Q137" i="11"/>
  <c r="R137" i="11" s="1"/>
  <c r="V137" i="11" s="1"/>
  <c r="R355" i="11"/>
  <c r="V355" i="11" s="1"/>
  <c r="Q357" i="11"/>
  <c r="R357" i="11" s="1"/>
  <c r="V357" i="11" s="1"/>
  <c r="Q372" i="11"/>
  <c r="R372" i="11" s="1"/>
  <c r="V372" i="11" s="1"/>
  <c r="Q370" i="11"/>
  <c r="R370" i="11" s="1"/>
  <c r="V370" i="11" s="1"/>
  <c r="Q378" i="11"/>
  <c r="R378" i="11" s="1"/>
  <c r="V378" i="11" s="1"/>
  <c r="Q377" i="11"/>
  <c r="R377" i="11" s="1"/>
  <c r="V377" i="11" s="1"/>
  <c r="Q375" i="11"/>
  <c r="R375" i="11" s="1"/>
  <c r="V375" i="11" s="1"/>
  <c r="Q371" i="11"/>
  <c r="R371" i="11" s="1"/>
  <c r="V371" i="11" s="1"/>
  <c r="Q374" i="11"/>
  <c r="R374" i="11" s="1"/>
  <c r="V374" i="11" s="1"/>
  <c r="Q380" i="11"/>
  <c r="R380" i="11" s="1"/>
  <c r="V380" i="11" s="1"/>
  <c r="Q373" i="11"/>
  <c r="R373" i="11" s="1"/>
  <c r="V373" i="11" s="1"/>
  <c r="Q376" i="11"/>
  <c r="R376" i="11" s="1"/>
  <c r="V376" i="11" s="1"/>
  <c r="Q379" i="11"/>
  <c r="R379" i="11" s="1"/>
  <c r="V379" i="11" s="1"/>
  <c r="R251" i="11"/>
  <c r="V251" i="11" s="1"/>
  <c r="Q274" i="11"/>
  <c r="R274" i="11" s="1"/>
  <c r="V274" i="11" s="1"/>
  <c r="Q272" i="11"/>
  <c r="R272" i="11" s="1"/>
  <c r="V272" i="11" s="1"/>
  <c r="Q269" i="11"/>
  <c r="R269" i="11" s="1"/>
  <c r="V269" i="11" s="1"/>
  <c r="Q268" i="11"/>
  <c r="R268" i="11" s="1"/>
  <c r="V268" i="11" s="1"/>
  <c r="Q275" i="11"/>
  <c r="R275" i="11" s="1"/>
  <c r="V275" i="11" s="1"/>
  <c r="Q271" i="11"/>
  <c r="R271" i="11" s="1"/>
  <c r="V271" i="11" s="1"/>
  <c r="Q276" i="11"/>
  <c r="R276" i="11" s="1"/>
  <c r="V276" i="11" s="1"/>
  <c r="Q270" i="11"/>
  <c r="R270" i="11" s="1"/>
  <c r="V270" i="11" s="1"/>
  <c r="Q253" i="11"/>
  <c r="R253" i="11" s="1"/>
  <c r="V253" i="11" s="1"/>
  <c r="Q266" i="11"/>
  <c r="R266" i="11" s="1"/>
  <c r="V266" i="11" s="1"/>
  <c r="Q273" i="11"/>
  <c r="R273" i="11" s="1"/>
  <c r="V273" i="11" s="1"/>
  <c r="Q267" i="11"/>
  <c r="R267" i="11" s="1"/>
  <c r="V267" i="11" s="1"/>
  <c r="R69" i="11"/>
  <c r="V69" i="11" s="1"/>
  <c r="Q244" i="11"/>
  <c r="R244" i="11" s="1"/>
  <c r="V244" i="11" s="1"/>
  <c r="Q248" i="11"/>
  <c r="R248" i="11" s="1"/>
  <c r="V248" i="11" s="1"/>
  <c r="Q250" i="11"/>
  <c r="R250" i="11" s="1"/>
  <c r="V250" i="11" s="1"/>
  <c r="Q243" i="11"/>
  <c r="R243" i="11" s="1"/>
  <c r="V243" i="11" s="1"/>
  <c r="Q240" i="11"/>
  <c r="R240" i="11" s="1"/>
  <c r="V240" i="11" s="1"/>
  <c r="Q247" i="11"/>
  <c r="R247" i="11" s="1"/>
  <c r="V247" i="11" s="1"/>
  <c r="Q242" i="11"/>
  <c r="R242" i="11" s="1"/>
  <c r="V242" i="11" s="1"/>
  <c r="Q246" i="11"/>
  <c r="R246" i="11" s="1"/>
  <c r="V246" i="11" s="1"/>
  <c r="Q241" i="11"/>
  <c r="R241" i="11" s="1"/>
  <c r="V241" i="11" s="1"/>
  <c r="Q249" i="11"/>
  <c r="R249" i="11" s="1"/>
  <c r="V249" i="11" s="1"/>
  <c r="Q226" i="11"/>
  <c r="R226" i="11" s="1"/>
  <c r="V226" i="11" s="1"/>
  <c r="Q245" i="11"/>
  <c r="R245" i="11" s="1"/>
  <c r="V245" i="11" s="1"/>
  <c r="Q167" i="11"/>
  <c r="R167" i="11" s="1"/>
  <c r="V167" i="11" s="1"/>
  <c r="Q163" i="11"/>
  <c r="R163" i="11" s="1"/>
  <c r="V163" i="11" s="1"/>
  <c r="Q166" i="11"/>
  <c r="R166" i="11" s="1"/>
  <c r="V166" i="11" s="1"/>
  <c r="Q171" i="11"/>
  <c r="R171" i="11" s="1"/>
  <c r="V171" i="11" s="1"/>
  <c r="Q169" i="11"/>
  <c r="R169" i="11" s="1"/>
  <c r="V169" i="11" s="1"/>
  <c r="Q165" i="11"/>
  <c r="R165" i="11" s="1"/>
  <c r="V165" i="11" s="1"/>
  <c r="Q164" i="11"/>
  <c r="R164" i="11" s="1"/>
  <c r="V164" i="11" s="1"/>
  <c r="Q149" i="11"/>
  <c r="R149" i="11" s="1"/>
  <c r="V149" i="11" s="1"/>
  <c r="Q172" i="11"/>
  <c r="R172" i="11" s="1"/>
  <c r="V172" i="11" s="1"/>
  <c r="Q168" i="11"/>
  <c r="R168" i="11" s="1"/>
  <c r="V168" i="11" s="1"/>
  <c r="Q170" i="11"/>
  <c r="R170" i="11" s="1"/>
  <c r="V170" i="11" s="1"/>
  <c r="Q162" i="11"/>
  <c r="R162" i="11" s="1"/>
  <c r="V162" i="11" s="1"/>
  <c r="Q404" i="11"/>
  <c r="R404" i="11" s="1"/>
  <c r="V404" i="11" s="1"/>
  <c r="Q400" i="11"/>
  <c r="R400" i="11" s="1"/>
  <c r="V400" i="11" s="1"/>
  <c r="Q403" i="11"/>
  <c r="R403" i="11" s="1"/>
  <c r="V403" i="11" s="1"/>
  <c r="Q396" i="11"/>
  <c r="R396" i="11" s="1"/>
  <c r="V396" i="11" s="1"/>
  <c r="Q399" i="11"/>
  <c r="R399" i="11" s="1"/>
  <c r="V399" i="11" s="1"/>
  <c r="Q406" i="11"/>
  <c r="R406" i="11" s="1"/>
  <c r="V406" i="11" s="1"/>
  <c r="Q383" i="11"/>
  <c r="R383" i="11" s="1"/>
  <c r="V383" i="11" s="1"/>
  <c r="Q402" i="11"/>
  <c r="R402" i="11" s="1"/>
  <c r="V402" i="11" s="1"/>
  <c r="Q398" i="11"/>
  <c r="R398" i="11" s="1"/>
  <c r="V398" i="11" s="1"/>
  <c r="Q405" i="11"/>
  <c r="R405" i="11" s="1"/>
  <c r="V405" i="11" s="1"/>
  <c r="Q401" i="11"/>
  <c r="R401" i="11" s="1"/>
  <c r="V401" i="11" s="1"/>
  <c r="Q397" i="11"/>
  <c r="R397" i="11" s="1"/>
  <c r="V397" i="11" s="1"/>
  <c r="Q115" i="11"/>
  <c r="R115" i="11" s="1"/>
  <c r="V115" i="11" s="1"/>
  <c r="Q117" i="11"/>
  <c r="R117" i="11" s="1"/>
  <c r="V117" i="11" s="1"/>
  <c r="Q116" i="11"/>
  <c r="R116" i="11" s="1"/>
  <c r="V116" i="11" s="1"/>
  <c r="Q114" i="11"/>
  <c r="R114" i="11" s="1"/>
  <c r="V114" i="11" s="1"/>
  <c r="Q120" i="11"/>
  <c r="R120" i="11" s="1"/>
  <c r="V120" i="11" s="1"/>
  <c r="Q113" i="11"/>
  <c r="R113" i="11" s="1"/>
  <c r="V113" i="11" s="1"/>
  <c r="Q112" i="11"/>
  <c r="R112" i="11" s="1"/>
  <c r="V112" i="11" s="1"/>
  <c r="Q118" i="11"/>
  <c r="R118" i="11" s="1"/>
  <c r="V118" i="11" s="1"/>
  <c r="Q119" i="11"/>
  <c r="R119" i="11" s="1"/>
  <c r="V119" i="11" s="1"/>
  <c r="R173" i="11"/>
  <c r="V173" i="11" s="1"/>
  <c r="W147" i="11"/>
  <c r="AC147" i="11" s="1"/>
  <c r="W381" i="11"/>
  <c r="AB381" i="11" s="1"/>
  <c r="W95" i="11"/>
  <c r="AB95" i="11" s="1"/>
  <c r="R121" i="11"/>
  <c r="V121" i="11" s="1"/>
  <c r="R225" i="11"/>
  <c r="V225" i="11" s="1"/>
  <c r="W435" i="11"/>
  <c r="AC435" i="11" s="1"/>
  <c r="W433" i="11"/>
  <c r="AC433" i="11" s="1"/>
  <c r="W436" i="11"/>
  <c r="AB436" i="11" s="1"/>
  <c r="W434" i="11"/>
  <c r="AC434" i="11" s="1"/>
  <c r="W437" i="11"/>
  <c r="AC437" i="11" s="1"/>
  <c r="T95" i="2"/>
  <c r="T88" i="2"/>
  <c r="L38" i="11"/>
  <c r="U38" i="11" s="1"/>
  <c r="L37" i="11"/>
  <c r="U37" i="11" s="1"/>
  <c r="L36" i="11"/>
  <c r="U36" i="11" s="1"/>
  <c r="L35" i="11"/>
  <c r="U35" i="11" s="1"/>
  <c r="L34" i="11"/>
  <c r="U34" i="11" s="1"/>
  <c r="L33" i="11"/>
  <c r="U33" i="11" s="1"/>
  <c r="L32" i="11"/>
  <c r="U32" i="11" s="1"/>
  <c r="L31" i="11"/>
  <c r="U31" i="11" s="1"/>
  <c r="L30" i="11"/>
  <c r="U30" i="11" s="1"/>
  <c r="L29" i="11"/>
  <c r="U29" i="11" s="1"/>
  <c r="L51" i="11"/>
  <c r="U51" i="11" s="1"/>
  <c r="L50" i="11"/>
  <c r="U50" i="11" s="1"/>
  <c r="L49" i="11"/>
  <c r="U49" i="11" s="1"/>
  <c r="L47" i="11"/>
  <c r="U47" i="11" s="1"/>
  <c r="L46" i="11"/>
  <c r="U46" i="11" s="1"/>
  <c r="L45" i="11"/>
  <c r="U45" i="11" s="1"/>
  <c r="L44" i="11"/>
  <c r="U44" i="11" s="1"/>
  <c r="L42" i="11"/>
  <c r="U42" i="11" s="1"/>
  <c r="L41" i="11"/>
  <c r="U41" i="11" s="1"/>
  <c r="L61" i="11"/>
  <c r="U61" i="11" s="1"/>
  <c r="L60" i="11"/>
  <c r="U60" i="11" s="1"/>
  <c r="L54" i="11"/>
  <c r="U54" i="11" s="1"/>
  <c r="L53" i="11"/>
  <c r="U53" i="11" s="1"/>
  <c r="L40" i="11"/>
  <c r="U40" i="11" s="1"/>
  <c r="L28" i="11"/>
  <c r="U28" i="11" s="1"/>
  <c r="L17" i="11"/>
  <c r="U17" i="11" s="1"/>
  <c r="L18" i="11"/>
  <c r="U18" i="11" s="1"/>
  <c r="L19" i="11"/>
  <c r="U19" i="11" s="1"/>
  <c r="L20" i="11"/>
  <c r="U20" i="11" s="1"/>
  <c r="L21" i="11"/>
  <c r="U21" i="11" s="1"/>
  <c r="L22" i="11"/>
  <c r="U22" i="11" s="1"/>
  <c r="L23" i="11"/>
  <c r="U23" i="11" s="1"/>
  <c r="L25" i="11"/>
  <c r="U25" i="11" s="1"/>
  <c r="L16" i="11"/>
  <c r="U16" i="11" s="1"/>
  <c r="L52" i="11"/>
  <c r="U52" i="11" s="1"/>
  <c r="L48" i="11"/>
  <c r="U48" i="11" s="1"/>
  <c r="L43" i="11"/>
  <c r="U43" i="11" s="1"/>
  <c r="L39" i="11"/>
  <c r="U39" i="11" s="1"/>
  <c r="L27" i="11"/>
  <c r="U27" i="11" s="1"/>
  <c r="L24" i="11"/>
  <c r="U24" i="11" s="1"/>
  <c r="W216" i="11" l="1"/>
  <c r="AC216" i="11" s="1"/>
  <c r="W135" i="11"/>
  <c r="W348" i="11"/>
  <c r="AB348" i="11" s="1"/>
  <c r="W161" i="11"/>
  <c r="W409" i="11"/>
  <c r="AC409" i="11" s="1"/>
  <c r="W189" i="11"/>
  <c r="AC189" i="11" s="1"/>
  <c r="W187" i="11"/>
  <c r="AC187" i="11" s="1"/>
  <c r="W432" i="11"/>
  <c r="AC432" i="11" s="1"/>
  <c r="AD52" i="11"/>
  <c r="W220" i="11"/>
  <c r="AB220" i="11" s="1"/>
  <c r="W188" i="11"/>
  <c r="AB188" i="11" s="1"/>
  <c r="W194" i="11"/>
  <c r="AB194" i="11" s="1"/>
  <c r="W217" i="11"/>
  <c r="AC217" i="11" s="1"/>
  <c r="W403" i="11"/>
  <c r="AC403" i="11" s="1"/>
  <c r="W223" i="11"/>
  <c r="O42" i="11"/>
  <c r="P42" i="11" s="1"/>
  <c r="AD42" i="11"/>
  <c r="O45" i="11"/>
  <c r="P45" i="11" s="1"/>
  <c r="AD45" i="11"/>
  <c r="O18" i="11"/>
  <c r="P18" i="11" s="1"/>
  <c r="AD18" i="11"/>
  <c r="O24" i="11"/>
  <c r="P24" i="11" s="1"/>
  <c r="AD24" i="11"/>
  <c r="O17" i="11"/>
  <c r="P17" i="11" s="1"/>
  <c r="AD17" i="11"/>
  <c r="O47" i="11"/>
  <c r="P47" i="11" s="1"/>
  <c r="AD47" i="11"/>
  <c r="O43" i="11"/>
  <c r="P43" i="11" s="1"/>
  <c r="AD43" i="11"/>
  <c r="O49" i="11"/>
  <c r="P49" i="11" s="1"/>
  <c r="AD49" i="11"/>
  <c r="O48" i="11"/>
  <c r="P48" i="11" s="1"/>
  <c r="AD48" i="11"/>
  <c r="O40" i="11"/>
  <c r="P40" i="11" s="1"/>
  <c r="AD40" i="11"/>
  <c r="O50" i="11"/>
  <c r="P50" i="11" s="1"/>
  <c r="AD50" i="11"/>
  <c r="O16" i="11"/>
  <c r="P16" i="11" s="1"/>
  <c r="AD16" i="11"/>
  <c r="O21" i="11"/>
  <c r="P21" i="11" s="1"/>
  <c r="AD21" i="11"/>
  <c r="O19" i="11"/>
  <c r="P19" i="11" s="1"/>
  <c r="AD19" i="11"/>
  <c r="O46" i="11"/>
  <c r="P46" i="11" s="1"/>
  <c r="AD46" i="11"/>
  <c r="O51" i="11"/>
  <c r="P51" i="11" s="1"/>
  <c r="AD51" i="11"/>
  <c r="O25" i="11"/>
  <c r="P25" i="11" s="1"/>
  <c r="AD25" i="11"/>
  <c r="O23" i="11"/>
  <c r="P23" i="11" s="1"/>
  <c r="AD23" i="11"/>
  <c r="O22" i="11"/>
  <c r="P22" i="11" s="1"/>
  <c r="AD22" i="11"/>
  <c r="O41" i="11"/>
  <c r="P41" i="11" s="1"/>
  <c r="AD41" i="11"/>
  <c r="O20" i="11"/>
  <c r="P20" i="11" s="1"/>
  <c r="AD20" i="11"/>
  <c r="O44" i="11"/>
  <c r="P44" i="11" s="1"/>
  <c r="AD44" i="11"/>
  <c r="W420" i="11"/>
  <c r="W417" i="11"/>
  <c r="W414" i="11"/>
  <c r="W408" i="11"/>
  <c r="W418" i="11"/>
  <c r="W421" i="11"/>
  <c r="W411" i="11"/>
  <c r="W412" i="11"/>
  <c r="W415" i="11"/>
  <c r="W416" i="11"/>
  <c r="W419" i="11"/>
  <c r="W410" i="11"/>
  <c r="W413" i="11"/>
  <c r="W394" i="11"/>
  <c r="W391" i="11"/>
  <c r="W388" i="11"/>
  <c r="W382" i="11"/>
  <c r="W392" i="11"/>
  <c r="W395" i="11"/>
  <c r="W385" i="11"/>
  <c r="W386" i="11"/>
  <c r="W389" i="11"/>
  <c r="W390" i="11"/>
  <c r="W393" i="11"/>
  <c r="W384" i="11"/>
  <c r="W387" i="11"/>
  <c r="W407" i="11"/>
  <c r="AC407" i="11" s="1"/>
  <c r="W358" i="11"/>
  <c r="W356" i="11"/>
  <c r="W365" i="11"/>
  <c r="W362" i="11"/>
  <c r="W368" i="11"/>
  <c r="W361" i="11"/>
  <c r="W367" i="11"/>
  <c r="W364" i="11"/>
  <c r="W369" i="11"/>
  <c r="W363" i="11"/>
  <c r="W360" i="11"/>
  <c r="W359" i="11"/>
  <c r="W366" i="11"/>
  <c r="W342" i="11"/>
  <c r="W339" i="11"/>
  <c r="W336" i="11"/>
  <c r="W330" i="11"/>
  <c r="W340" i="11"/>
  <c r="W343" i="11"/>
  <c r="W333" i="11"/>
  <c r="W334" i="11"/>
  <c r="W337" i="11"/>
  <c r="W338" i="11"/>
  <c r="W341" i="11"/>
  <c r="W332" i="11"/>
  <c r="W335" i="11"/>
  <c r="W82" i="11"/>
  <c r="W79" i="11"/>
  <c r="W76" i="11"/>
  <c r="W70" i="11"/>
  <c r="W80" i="11"/>
  <c r="W83" i="11"/>
  <c r="W73" i="11"/>
  <c r="W74" i="11"/>
  <c r="W77" i="11"/>
  <c r="W78" i="11"/>
  <c r="W81" i="11"/>
  <c r="W72" i="11"/>
  <c r="W75" i="11"/>
  <c r="W290" i="11"/>
  <c r="W287" i="11"/>
  <c r="W284" i="11"/>
  <c r="W278" i="11"/>
  <c r="W288" i="11"/>
  <c r="W291" i="11"/>
  <c r="W281" i="11"/>
  <c r="W282" i="11"/>
  <c r="W285" i="11"/>
  <c r="W286" i="11"/>
  <c r="W289" i="11"/>
  <c r="W280" i="11"/>
  <c r="W283" i="11"/>
  <c r="W300" i="11"/>
  <c r="W293" i="11"/>
  <c r="W296" i="11"/>
  <c r="W292" i="11"/>
  <c r="W299" i="11"/>
  <c r="W302" i="11"/>
  <c r="W295" i="11"/>
  <c r="W301" i="11"/>
  <c r="W298" i="11"/>
  <c r="W297" i="11"/>
  <c r="W294" i="11"/>
  <c r="W264" i="11"/>
  <c r="W261" i="11"/>
  <c r="W258" i="11"/>
  <c r="W252" i="11"/>
  <c r="W262" i="11"/>
  <c r="W265" i="11"/>
  <c r="W255" i="11"/>
  <c r="W256" i="11"/>
  <c r="W259" i="11"/>
  <c r="W260" i="11"/>
  <c r="W263" i="11"/>
  <c r="W254" i="11"/>
  <c r="W257" i="11"/>
  <c r="W237" i="11"/>
  <c r="W238" i="11"/>
  <c r="W235" i="11"/>
  <c r="W227" i="11"/>
  <c r="W239" i="11"/>
  <c r="W228" i="11"/>
  <c r="W229" i="11"/>
  <c r="W231" i="11"/>
  <c r="W232" i="11"/>
  <c r="W233" i="11"/>
  <c r="W236" i="11"/>
  <c r="W234" i="11"/>
  <c r="W230" i="11"/>
  <c r="W277" i="11"/>
  <c r="AB277" i="11" s="1"/>
  <c r="W200" i="11"/>
  <c r="W202" i="11"/>
  <c r="W210" i="11"/>
  <c r="W212" i="11"/>
  <c r="W213" i="11"/>
  <c r="W206" i="11"/>
  <c r="W203" i="11"/>
  <c r="W204" i="11"/>
  <c r="W207" i="11"/>
  <c r="W208" i="11"/>
  <c r="W211" i="11"/>
  <c r="W209" i="11"/>
  <c r="W205" i="11"/>
  <c r="W199" i="11"/>
  <c r="AB199" i="11" s="1"/>
  <c r="W185" i="11"/>
  <c r="W182" i="11"/>
  <c r="W179" i="11"/>
  <c r="W186" i="11"/>
  <c r="W183" i="11"/>
  <c r="W176" i="11"/>
  <c r="W174" i="11"/>
  <c r="W180" i="11"/>
  <c r="W177" i="11"/>
  <c r="W184" i="11"/>
  <c r="W178" i="11"/>
  <c r="W181" i="11"/>
  <c r="W159" i="11"/>
  <c r="W156" i="11"/>
  <c r="W153" i="11"/>
  <c r="W160" i="11"/>
  <c r="W157" i="11"/>
  <c r="W150" i="11"/>
  <c r="W148" i="11"/>
  <c r="W154" i="11"/>
  <c r="W151" i="11"/>
  <c r="W158" i="11"/>
  <c r="W155" i="11"/>
  <c r="W152" i="11"/>
  <c r="W329" i="11"/>
  <c r="AC329" i="11" s="1"/>
  <c r="AC161" i="11"/>
  <c r="AB161" i="11"/>
  <c r="W126" i="11"/>
  <c r="W133" i="11"/>
  <c r="W130" i="11"/>
  <c r="W127" i="11"/>
  <c r="W134" i="11"/>
  <c r="W131" i="11"/>
  <c r="W124" i="11"/>
  <c r="W122" i="11"/>
  <c r="W128" i="11"/>
  <c r="W125" i="11"/>
  <c r="W132" i="11"/>
  <c r="W129" i="11"/>
  <c r="AC135" i="11"/>
  <c r="AB135" i="11"/>
  <c r="W102" i="11"/>
  <c r="W106" i="11"/>
  <c r="W99" i="11"/>
  <c r="W103" i="11"/>
  <c r="W100" i="11"/>
  <c r="W107" i="11"/>
  <c r="W101" i="11"/>
  <c r="W104" i="11"/>
  <c r="W105" i="11"/>
  <c r="W108" i="11"/>
  <c r="W98" i="11"/>
  <c r="W175" i="11"/>
  <c r="AB175" i="11" s="1"/>
  <c r="W251" i="11"/>
  <c r="AB251" i="11" s="1"/>
  <c r="W424" i="11"/>
  <c r="AB424" i="11" s="1"/>
  <c r="W109" i="11"/>
  <c r="W96" i="11"/>
  <c r="W97" i="11"/>
  <c r="W110" i="11"/>
  <c r="W111" i="11"/>
  <c r="W195" i="11"/>
  <c r="AC195" i="11" s="1"/>
  <c r="W428" i="11"/>
  <c r="AB428" i="11" s="1"/>
  <c r="W214" i="11"/>
  <c r="AB214" i="11" s="1"/>
  <c r="W69" i="11"/>
  <c r="AB69" i="11" s="1"/>
  <c r="W355" i="11"/>
  <c r="AB355" i="11" s="1"/>
  <c r="W173" i="11"/>
  <c r="AB173" i="11" s="1"/>
  <c r="AD28" i="11"/>
  <c r="O28" i="11"/>
  <c r="P28" i="11" s="1"/>
  <c r="AD38" i="11"/>
  <c r="O38" i="11"/>
  <c r="P38" i="11" s="1"/>
  <c r="AD29" i="11"/>
  <c r="O29" i="11"/>
  <c r="P29" i="11" s="1"/>
  <c r="AD30" i="11"/>
  <c r="O30" i="11"/>
  <c r="P30" i="11" s="1"/>
  <c r="AD60" i="11"/>
  <c r="O60" i="11"/>
  <c r="P60" i="11" s="1"/>
  <c r="AD61" i="11"/>
  <c r="O61" i="11"/>
  <c r="P61" i="11" s="1"/>
  <c r="AD31" i="11"/>
  <c r="O31" i="11"/>
  <c r="P31" i="11" s="1"/>
  <c r="AD54" i="11"/>
  <c r="O54" i="11"/>
  <c r="P54" i="11" s="1"/>
  <c r="AD32" i="11"/>
  <c r="O32" i="11"/>
  <c r="P32" i="11" s="1"/>
  <c r="AD33" i="11"/>
  <c r="O33" i="11"/>
  <c r="P33" i="11" s="1"/>
  <c r="AD34" i="11"/>
  <c r="O34" i="11"/>
  <c r="P34" i="11" s="1"/>
  <c r="AD35" i="11"/>
  <c r="O35" i="11"/>
  <c r="P35" i="11" s="1"/>
  <c r="AD53" i="11"/>
  <c r="O53" i="11"/>
  <c r="P53" i="11" s="1"/>
  <c r="AD36" i="11"/>
  <c r="O36" i="11"/>
  <c r="P36" i="11" s="1"/>
  <c r="AD37" i="11"/>
  <c r="O37" i="11"/>
  <c r="P37" i="11" s="1"/>
  <c r="W429" i="11"/>
  <c r="AB429" i="11" s="1"/>
  <c r="AD27" i="11"/>
  <c r="W357" i="11"/>
  <c r="AB357" i="11" s="1"/>
  <c r="W372" i="11"/>
  <c r="AB372" i="11" s="1"/>
  <c r="W215" i="11"/>
  <c r="AC215" i="11" s="1"/>
  <c r="W162" i="11"/>
  <c r="AB162" i="11" s="1"/>
  <c r="W267" i="11"/>
  <c r="AB267" i="11" s="1"/>
  <c r="W87" i="11"/>
  <c r="AB87" i="11" s="1"/>
  <c r="W190" i="11"/>
  <c r="AB190" i="11" s="1"/>
  <c r="W347" i="11"/>
  <c r="AB347" i="11" s="1"/>
  <c r="W85" i="11"/>
  <c r="AC85" i="11" s="1"/>
  <c r="W86" i="11"/>
  <c r="AC86" i="11" s="1"/>
  <c r="W88" i="11"/>
  <c r="AB88" i="11" s="1"/>
  <c r="AC381" i="11"/>
  <c r="W222" i="11"/>
  <c r="AC222" i="11" s="1"/>
  <c r="W197" i="11"/>
  <c r="AC197" i="11" s="1"/>
  <c r="W426" i="11"/>
  <c r="AC426" i="11" s="1"/>
  <c r="W94" i="11"/>
  <c r="AB94" i="11" s="1"/>
  <c r="W93" i="11"/>
  <c r="AB93" i="11" s="1"/>
  <c r="AB147" i="11"/>
  <c r="AC95" i="11"/>
  <c r="W92" i="11"/>
  <c r="AB92" i="11" s="1"/>
  <c r="W219" i="11"/>
  <c r="AB219" i="11" s="1"/>
  <c r="W163" i="11"/>
  <c r="AB163" i="11" s="1"/>
  <c r="W191" i="11"/>
  <c r="AC191" i="11" s="1"/>
  <c r="W269" i="11"/>
  <c r="AC269" i="11" s="1"/>
  <c r="W379" i="11"/>
  <c r="AB379" i="11" s="1"/>
  <c r="W114" i="11"/>
  <c r="AC114" i="11" s="1"/>
  <c r="W371" i="11"/>
  <c r="AC371" i="11" s="1"/>
  <c r="W166" i="11"/>
  <c r="AB166" i="11" s="1"/>
  <c r="W399" i="11"/>
  <c r="AB399" i="11" s="1"/>
  <c r="W271" i="11"/>
  <c r="AC271" i="11" s="1"/>
  <c r="W276" i="11"/>
  <c r="AC276" i="11" s="1"/>
  <c r="W431" i="11"/>
  <c r="AC431" i="11" s="1"/>
  <c r="W149" i="11"/>
  <c r="AC149" i="11" s="1"/>
  <c r="W346" i="11"/>
  <c r="AB346" i="11" s="1"/>
  <c r="W370" i="11"/>
  <c r="AB370" i="11" s="1"/>
  <c r="W422" i="11"/>
  <c r="AB422" i="11" s="1"/>
  <c r="W218" i="11"/>
  <c r="AC218" i="11" s="1"/>
  <c r="W344" i="11"/>
  <c r="AB344" i="11" s="1"/>
  <c r="W398" i="11"/>
  <c r="AB398" i="11" s="1"/>
  <c r="W71" i="11"/>
  <c r="AC71" i="11" s="1"/>
  <c r="W397" i="11"/>
  <c r="AC397" i="11" s="1"/>
  <c r="W376" i="11"/>
  <c r="AB376" i="11" s="1"/>
  <c r="W396" i="11"/>
  <c r="AB396" i="11" s="1"/>
  <c r="W275" i="11"/>
  <c r="AB275" i="11" s="1"/>
  <c r="W273" i="11"/>
  <c r="AB273" i="11" s="1"/>
  <c r="W406" i="11"/>
  <c r="AB406" i="11" s="1"/>
  <c r="W91" i="11"/>
  <c r="AC91" i="11" s="1"/>
  <c r="W117" i="11"/>
  <c r="AB117" i="11" s="1"/>
  <c r="W84" i="11"/>
  <c r="AC84" i="11" s="1"/>
  <c r="W345" i="11"/>
  <c r="AC345" i="11" s="1"/>
  <c r="W272" i="11"/>
  <c r="AC272" i="11" s="1"/>
  <c r="W168" i="11"/>
  <c r="AB168" i="11" s="1"/>
  <c r="W383" i="11"/>
  <c r="AB383" i="11" s="1"/>
  <c r="W266" i="11"/>
  <c r="AC266" i="11" s="1"/>
  <c r="W270" i="11"/>
  <c r="AB270" i="11" s="1"/>
  <c r="W253" i="11"/>
  <c r="AB253" i="11" s="1"/>
  <c r="W120" i="11"/>
  <c r="W167" i="11"/>
  <c r="AC167" i="11" s="1"/>
  <c r="W165" i="11"/>
  <c r="AB165" i="11" s="1"/>
  <c r="W352" i="11"/>
  <c r="AC352" i="11" s="1"/>
  <c r="W268" i="11"/>
  <c r="AB268" i="11" s="1"/>
  <c r="W90" i="11"/>
  <c r="AB90" i="11" s="1"/>
  <c r="W112" i="11"/>
  <c r="AB112" i="11" s="1"/>
  <c r="W192" i="11"/>
  <c r="AB192" i="11" s="1"/>
  <c r="W350" i="11"/>
  <c r="AC350" i="11" s="1"/>
  <c r="W119" i="11"/>
  <c r="W118" i="11"/>
  <c r="AD66" i="11"/>
  <c r="AD65" i="11"/>
  <c r="AB407" i="11"/>
  <c r="AD67" i="11"/>
  <c r="AD68" i="11"/>
  <c r="AD39" i="11"/>
  <c r="W400" i="11"/>
  <c r="AB400" i="11" s="1"/>
  <c r="W225" i="11"/>
  <c r="AB225" i="11" s="1"/>
  <c r="W121" i="11"/>
  <c r="AB121" i="11" s="1"/>
  <c r="W89" i="11"/>
  <c r="AB89" i="11" s="1"/>
  <c r="W196" i="11"/>
  <c r="AB196" i="11" s="1"/>
  <c r="W139" i="11"/>
  <c r="AB139" i="11" s="1"/>
  <c r="W274" i="11"/>
  <c r="AB274" i="11" s="1"/>
  <c r="W380" i="11"/>
  <c r="AB380" i="11" s="1"/>
  <c r="W353" i="11"/>
  <c r="AC353" i="11" s="1"/>
  <c r="W115" i="11"/>
  <c r="AB115" i="11" s="1"/>
  <c r="W279" i="11"/>
  <c r="AC279" i="11" s="1"/>
  <c r="W349" i="11"/>
  <c r="AB349" i="11" s="1"/>
  <c r="W331" i="11"/>
  <c r="AB331" i="11" s="1"/>
  <c r="W373" i="11"/>
  <c r="AB373" i="11" s="1"/>
  <c r="W116" i="11"/>
  <c r="AC116" i="11" s="1"/>
  <c r="W405" i="11"/>
  <c r="AB405" i="11" s="1"/>
  <c r="W423" i="11"/>
  <c r="AB423" i="11" s="1"/>
  <c r="W404" i="11"/>
  <c r="AC404" i="11" s="1"/>
  <c r="W378" i="11"/>
  <c r="AC378" i="11" s="1"/>
  <c r="W430" i="11"/>
  <c r="AB430" i="11" s="1"/>
  <c r="W427" i="11"/>
  <c r="AC427" i="11" s="1"/>
  <c r="W351" i="11"/>
  <c r="AB351" i="11" s="1"/>
  <c r="W374" i="11"/>
  <c r="AB374" i="11" s="1"/>
  <c r="W224" i="11"/>
  <c r="AB224" i="11" s="1"/>
  <c r="W354" i="11"/>
  <c r="AC354" i="11" s="1"/>
  <c r="W198" i="11"/>
  <c r="AB198" i="11" s="1"/>
  <c r="W171" i="11"/>
  <c r="AB171" i="11" s="1"/>
  <c r="W113" i="11"/>
  <c r="AB113" i="11" s="1"/>
  <c r="W169" i="11"/>
  <c r="AB169" i="11" s="1"/>
  <c r="W193" i="11"/>
  <c r="AB193" i="11" s="1"/>
  <c r="W201" i="11"/>
  <c r="AB201" i="11" s="1"/>
  <c r="W377" i="11"/>
  <c r="AC377" i="11" s="1"/>
  <c r="W402" i="11"/>
  <c r="AC402" i="11" s="1"/>
  <c r="W425" i="11"/>
  <c r="AB425" i="11" s="1"/>
  <c r="W328" i="11"/>
  <c r="AC328" i="11" s="1"/>
  <c r="AB403" i="11"/>
  <c r="W325" i="11"/>
  <c r="AC325" i="11" s="1"/>
  <c r="AC348" i="11"/>
  <c r="W141" i="11"/>
  <c r="AC141" i="11" s="1"/>
  <c r="W172" i="11"/>
  <c r="AC172" i="11" s="1"/>
  <c r="W145" i="11"/>
  <c r="AB145" i="11" s="1"/>
  <c r="W123" i="11"/>
  <c r="AB123" i="11" s="1"/>
  <c r="W327" i="11"/>
  <c r="AC327" i="11" s="1"/>
  <c r="W245" i="11"/>
  <c r="AB245" i="11" s="1"/>
  <c r="W323" i="11"/>
  <c r="AB323" i="11" s="1"/>
  <c r="W226" i="11"/>
  <c r="AB226" i="11" s="1"/>
  <c r="W242" i="11"/>
  <c r="AB242" i="11" s="1"/>
  <c r="W249" i="11"/>
  <c r="W320" i="11"/>
  <c r="W137" i="11"/>
  <c r="W250" i="11"/>
  <c r="W321" i="11"/>
  <c r="W138" i="11"/>
  <c r="W322" i="11"/>
  <c r="W240" i="11"/>
  <c r="W140" i="11"/>
  <c r="W241" i="11"/>
  <c r="W324" i="11"/>
  <c r="W142" i="11"/>
  <c r="AB223" i="11"/>
  <c r="AC223" i="11"/>
  <c r="W243" i="11"/>
  <c r="W326" i="11"/>
  <c r="W143" i="11"/>
  <c r="W244" i="11"/>
  <c r="W144" i="11"/>
  <c r="W246" i="11"/>
  <c r="W146" i="11"/>
  <c r="W247" i="11"/>
  <c r="W318" i="11"/>
  <c r="W248" i="11"/>
  <c r="W319" i="11"/>
  <c r="W136" i="11"/>
  <c r="AB435" i="11"/>
  <c r="AB434" i="11"/>
  <c r="AB433" i="11"/>
  <c r="AC436" i="11"/>
  <c r="AB437" i="11"/>
  <c r="W221" i="11"/>
  <c r="AC221" i="11" s="1"/>
  <c r="W164" i="11"/>
  <c r="AB164" i="11" s="1"/>
  <c r="W88" i="2"/>
  <c r="X88" i="2"/>
  <c r="W95" i="2"/>
  <c r="X95" i="2"/>
  <c r="O65" i="11"/>
  <c r="O66" i="11"/>
  <c r="O67" i="11"/>
  <c r="O68" i="11"/>
  <c r="L57" i="11"/>
  <c r="U57" i="11" s="1"/>
  <c r="L26" i="11"/>
  <c r="U26" i="11" s="1"/>
  <c r="O27" i="11"/>
  <c r="P27" i="11" s="1"/>
  <c r="O39" i="11"/>
  <c r="P39" i="11" s="1"/>
  <c r="O52" i="11"/>
  <c r="P52" i="11" s="1"/>
  <c r="L58" i="11"/>
  <c r="U58" i="11" s="1"/>
  <c r="L62" i="11"/>
  <c r="U62" i="11" s="1"/>
  <c r="L55" i="11"/>
  <c r="U55" i="11" s="1"/>
  <c r="L59" i="11"/>
  <c r="U59" i="11" s="1"/>
  <c r="L63" i="11"/>
  <c r="U63" i="11" s="1"/>
  <c r="L56" i="11"/>
  <c r="U56" i="11" s="1"/>
  <c r="L64" i="11"/>
  <c r="U64" i="11" s="1"/>
  <c r="L15" i="11"/>
  <c r="U15" i="11" s="1"/>
  <c r="AC220" i="11" l="1"/>
  <c r="AB432" i="11"/>
  <c r="P68" i="11"/>
  <c r="Q68" i="11" s="1"/>
  <c r="R68" i="11" s="1"/>
  <c r="V68" i="11" s="1"/>
  <c r="P67" i="11"/>
  <c r="Q67" i="11" s="1"/>
  <c r="R67" i="11" s="1"/>
  <c r="V67" i="11" s="1"/>
  <c r="P66" i="11"/>
  <c r="Q66" i="11" s="1"/>
  <c r="R66" i="11" s="1"/>
  <c r="V66" i="11" s="1"/>
  <c r="P65" i="11"/>
  <c r="Q65" i="11" s="1"/>
  <c r="R65" i="11" s="1"/>
  <c r="V65" i="11" s="1"/>
  <c r="AC188" i="11"/>
  <c r="AB216" i="11"/>
  <c r="AB187" i="11"/>
  <c r="AB217" i="11"/>
  <c r="AB409" i="11"/>
  <c r="AC277" i="11"/>
  <c r="AB189" i="11"/>
  <c r="AC194" i="11"/>
  <c r="O26" i="11"/>
  <c r="P26" i="11" s="1"/>
  <c r="AD26" i="11"/>
  <c r="AC410" i="11"/>
  <c r="AB410" i="11"/>
  <c r="AC421" i="11"/>
  <c r="AB421" i="11"/>
  <c r="AC419" i="11"/>
  <c r="AB419" i="11"/>
  <c r="AC418" i="11"/>
  <c r="AB418" i="11"/>
  <c r="AC416" i="11"/>
  <c r="AB416" i="11"/>
  <c r="AC408" i="11"/>
  <c r="AB408" i="11"/>
  <c r="AC415" i="11"/>
  <c r="AB415" i="11"/>
  <c r="AC414" i="11"/>
  <c r="AB414" i="11"/>
  <c r="AC412" i="11"/>
  <c r="AB412" i="11"/>
  <c r="AC417" i="11"/>
  <c r="AB417" i="11"/>
  <c r="AC413" i="11"/>
  <c r="AB413" i="11"/>
  <c r="AC411" i="11"/>
  <c r="AB411" i="11"/>
  <c r="AC420" i="11"/>
  <c r="AB420" i="11"/>
  <c r="AC384" i="11"/>
  <c r="AB384" i="11"/>
  <c r="AC395" i="11"/>
  <c r="AB395" i="11"/>
  <c r="AC393" i="11"/>
  <c r="AB393" i="11"/>
  <c r="AC392" i="11"/>
  <c r="AB392" i="11"/>
  <c r="AC390" i="11"/>
  <c r="AB390" i="11"/>
  <c r="AC382" i="11"/>
  <c r="AB382" i="11"/>
  <c r="AC389" i="11"/>
  <c r="AB389" i="11"/>
  <c r="AC388" i="11"/>
  <c r="AB388" i="11"/>
  <c r="AC386" i="11"/>
  <c r="AB386" i="11"/>
  <c r="AC391" i="11"/>
  <c r="AB391" i="11"/>
  <c r="AC387" i="11"/>
  <c r="AB387" i="11"/>
  <c r="AC385" i="11"/>
  <c r="AB385" i="11"/>
  <c r="AC394" i="11"/>
  <c r="AB394" i="11"/>
  <c r="AB329" i="11"/>
  <c r="AB361" i="11"/>
  <c r="AC361" i="11"/>
  <c r="AB360" i="11"/>
  <c r="AC360" i="11"/>
  <c r="AB368" i="11"/>
  <c r="AC368" i="11"/>
  <c r="AB363" i="11"/>
  <c r="AC363" i="11"/>
  <c r="AB362" i="11"/>
  <c r="AC362" i="11"/>
  <c r="AB359" i="11"/>
  <c r="AC359" i="11"/>
  <c r="AB369" i="11"/>
  <c r="AC369" i="11"/>
  <c r="AB365" i="11"/>
  <c r="AC365" i="11"/>
  <c r="AB364" i="11"/>
  <c r="AC364" i="11"/>
  <c r="AB356" i="11"/>
  <c r="AC356" i="11"/>
  <c r="AB367" i="11"/>
  <c r="AC367" i="11"/>
  <c r="AB366" i="11"/>
  <c r="AC366" i="11"/>
  <c r="AB358" i="11"/>
  <c r="AC358" i="11"/>
  <c r="AC332" i="11"/>
  <c r="AB332" i="11"/>
  <c r="AC343" i="11"/>
  <c r="AB343" i="11"/>
  <c r="AC341" i="11"/>
  <c r="AB341" i="11"/>
  <c r="AC340" i="11"/>
  <c r="AB340" i="11"/>
  <c r="AC338" i="11"/>
  <c r="AB338" i="11"/>
  <c r="AC330" i="11"/>
  <c r="AB330" i="11"/>
  <c r="AC337" i="11"/>
  <c r="AB337" i="11"/>
  <c r="AC336" i="11"/>
  <c r="AB336" i="11"/>
  <c r="AC334" i="11"/>
  <c r="AB334" i="11"/>
  <c r="AC339" i="11"/>
  <c r="AB339" i="11"/>
  <c r="AC335" i="11"/>
  <c r="AB335" i="11"/>
  <c r="AC333" i="11"/>
  <c r="AB333" i="11"/>
  <c r="AC342" i="11"/>
  <c r="AB342" i="11"/>
  <c r="AC72" i="11"/>
  <c r="AB72" i="11"/>
  <c r="AC83" i="11"/>
  <c r="AB83" i="11"/>
  <c r="AC81" i="11"/>
  <c r="AB81" i="11"/>
  <c r="AC80" i="11"/>
  <c r="AB80" i="11"/>
  <c r="AC78" i="11"/>
  <c r="AB78" i="11"/>
  <c r="AC70" i="11"/>
  <c r="AB70" i="11"/>
  <c r="AC77" i="11"/>
  <c r="AB77" i="11"/>
  <c r="AC76" i="11"/>
  <c r="AB76" i="11"/>
  <c r="AC74" i="11"/>
  <c r="AB74" i="11"/>
  <c r="AC79" i="11"/>
  <c r="AB79" i="11"/>
  <c r="AC75" i="11"/>
  <c r="AB75" i="11"/>
  <c r="AC73" i="11"/>
  <c r="AB73" i="11"/>
  <c r="AC82" i="11"/>
  <c r="AB82" i="11"/>
  <c r="AC289" i="11"/>
  <c r="AB289" i="11"/>
  <c r="AC288" i="11"/>
  <c r="AB288" i="11"/>
  <c r="AC291" i="11"/>
  <c r="AB291" i="11"/>
  <c r="AC286" i="11"/>
  <c r="AB286" i="11"/>
  <c r="AC278" i="11"/>
  <c r="AB278" i="11"/>
  <c r="AC285" i="11"/>
  <c r="AB285" i="11"/>
  <c r="AC284" i="11"/>
  <c r="AB284" i="11"/>
  <c r="AC280" i="11"/>
  <c r="AB280" i="11"/>
  <c r="AC282" i="11"/>
  <c r="AB282" i="11"/>
  <c r="AC287" i="11"/>
  <c r="AB287" i="11"/>
  <c r="AC283" i="11"/>
  <c r="AB283" i="11"/>
  <c r="AC281" i="11"/>
  <c r="AB281" i="11"/>
  <c r="AC290" i="11"/>
  <c r="AB290" i="11"/>
  <c r="AB302" i="11"/>
  <c r="AC302" i="11"/>
  <c r="AB294" i="11"/>
  <c r="AC294" i="11"/>
  <c r="AB299" i="11"/>
  <c r="AC299" i="11"/>
  <c r="AB297" i="11"/>
  <c r="AC297" i="11"/>
  <c r="AB292" i="11"/>
  <c r="AC292" i="11"/>
  <c r="AB298" i="11"/>
  <c r="AC298" i="11"/>
  <c r="AB296" i="11"/>
  <c r="AC296" i="11"/>
  <c r="AB301" i="11"/>
  <c r="AC301" i="11"/>
  <c r="AB293" i="11"/>
  <c r="AC293" i="11"/>
  <c r="AB295" i="11"/>
  <c r="AC295" i="11"/>
  <c r="AB300" i="11"/>
  <c r="AC300" i="11"/>
  <c r="AC199" i="11"/>
  <c r="AC254" i="11"/>
  <c r="AB254" i="11"/>
  <c r="AC265" i="11"/>
  <c r="AB265" i="11"/>
  <c r="AC263" i="11"/>
  <c r="AB263" i="11"/>
  <c r="AC262" i="11"/>
  <c r="AB262" i="11"/>
  <c r="AC260" i="11"/>
  <c r="AB260" i="11"/>
  <c r="AC252" i="11"/>
  <c r="AB252" i="11"/>
  <c r="AC259" i="11"/>
  <c r="AB259" i="11"/>
  <c r="AC258" i="11"/>
  <c r="AB258" i="11"/>
  <c r="AC256" i="11"/>
  <c r="AB256" i="11"/>
  <c r="AC261" i="11"/>
  <c r="AB261" i="11"/>
  <c r="AC257" i="11"/>
  <c r="AB257" i="11"/>
  <c r="AC255" i="11"/>
  <c r="AB255" i="11"/>
  <c r="AC264" i="11"/>
  <c r="AB264" i="11"/>
  <c r="AC236" i="11"/>
  <c r="AB236" i="11"/>
  <c r="AC239" i="11"/>
  <c r="AB239" i="11"/>
  <c r="AC233" i="11"/>
  <c r="AB233" i="11"/>
  <c r="AC234" i="11"/>
  <c r="AB234" i="11"/>
  <c r="AC227" i="11"/>
  <c r="AB227" i="11"/>
  <c r="AC232" i="11"/>
  <c r="AB232" i="11"/>
  <c r="AC235" i="11"/>
  <c r="AB235" i="11"/>
  <c r="AC231" i="11"/>
  <c r="AB231" i="11"/>
  <c r="AC238" i="11"/>
  <c r="AB238" i="11"/>
  <c r="AC228" i="11"/>
  <c r="AB228" i="11"/>
  <c r="AC230" i="11"/>
  <c r="AB230" i="11"/>
  <c r="AC229" i="11"/>
  <c r="AB229" i="11"/>
  <c r="AC237" i="11"/>
  <c r="AB237" i="11"/>
  <c r="AC209" i="11"/>
  <c r="AB209" i="11"/>
  <c r="AC206" i="11"/>
  <c r="AB206" i="11"/>
  <c r="AC211" i="11"/>
  <c r="AB211" i="11"/>
  <c r="AC213" i="11"/>
  <c r="AB213" i="11"/>
  <c r="AC208" i="11"/>
  <c r="AB208" i="11"/>
  <c r="AC212" i="11"/>
  <c r="AB212" i="11"/>
  <c r="AC207" i="11"/>
  <c r="AB207" i="11"/>
  <c r="AC210" i="11"/>
  <c r="AB210" i="11"/>
  <c r="AC204" i="11"/>
  <c r="AB204" i="11"/>
  <c r="AC202" i="11"/>
  <c r="AB202" i="11"/>
  <c r="AC205" i="11"/>
  <c r="AB205" i="11"/>
  <c r="AC203" i="11"/>
  <c r="AB203" i="11"/>
  <c r="AC200" i="11"/>
  <c r="AB200" i="11"/>
  <c r="AC181" i="11"/>
  <c r="AB181" i="11"/>
  <c r="AC176" i="11"/>
  <c r="AB176" i="11"/>
  <c r="AC178" i="11"/>
  <c r="AB178" i="11"/>
  <c r="AC183" i="11"/>
  <c r="AB183" i="11"/>
  <c r="AC184" i="11"/>
  <c r="AB184" i="11"/>
  <c r="AC186" i="11"/>
  <c r="AB186" i="11"/>
  <c r="AC177" i="11"/>
  <c r="AB177" i="11"/>
  <c r="AC179" i="11"/>
  <c r="AB179" i="11"/>
  <c r="AC180" i="11"/>
  <c r="AB180" i="11"/>
  <c r="AC182" i="11"/>
  <c r="AB182" i="11"/>
  <c r="AC174" i="11"/>
  <c r="AB174" i="11"/>
  <c r="AC185" i="11"/>
  <c r="AB185" i="11"/>
  <c r="AC251" i="11"/>
  <c r="AC175" i="11"/>
  <c r="AC152" i="11"/>
  <c r="AB152" i="11"/>
  <c r="AC150" i="11"/>
  <c r="AB150" i="11"/>
  <c r="AC155" i="11"/>
  <c r="AB155" i="11"/>
  <c r="AC157" i="11"/>
  <c r="AB157" i="11"/>
  <c r="AC158" i="11"/>
  <c r="AB158" i="11"/>
  <c r="AB160" i="11"/>
  <c r="AC160" i="11"/>
  <c r="AC151" i="11"/>
  <c r="AB151" i="11"/>
  <c r="AC153" i="11"/>
  <c r="AB153" i="11"/>
  <c r="AC156" i="11"/>
  <c r="AB156" i="11"/>
  <c r="AC154" i="11"/>
  <c r="AB154" i="11"/>
  <c r="AC148" i="11"/>
  <c r="AB148" i="11"/>
  <c r="AC159" i="11"/>
  <c r="AB159" i="11"/>
  <c r="AC424" i="11"/>
  <c r="AB195" i="11"/>
  <c r="AC214" i="11"/>
  <c r="AC69" i="11"/>
  <c r="AC428" i="11"/>
  <c r="AC129" i="11"/>
  <c r="AB129" i="11"/>
  <c r="AC131" i="11"/>
  <c r="AB131" i="11"/>
  <c r="AC132" i="11"/>
  <c r="AB132" i="11"/>
  <c r="AC134" i="11"/>
  <c r="AB134" i="11"/>
  <c r="AC125" i="11"/>
  <c r="AB125" i="11"/>
  <c r="AC127" i="11"/>
  <c r="AB127" i="11"/>
  <c r="AC128" i="11"/>
  <c r="AB128" i="11"/>
  <c r="AC130" i="11"/>
  <c r="AB130" i="11"/>
  <c r="AC122" i="11"/>
  <c r="AB122" i="11"/>
  <c r="AC133" i="11"/>
  <c r="AB133" i="11"/>
  <c r="AC124" i="11"/>
  <c r="AB124" i="11"/>
  <c r="AC126" i="11"/>
  <c r="AB126" i="11"/>
  <c r="AC355" i="11"/>
  <c r="AC107" i="11"/>
  <c r="AB107" i="11"/>
  <c r="AC98" i="11"/>
  <c r="AB98" i="11"/>
  <c r="AC100" i="11"/>
  <c r="AB100" i="11"/>
  <c r="AC108" i="11"/>
  <c r="AB108" i="11"/>
  <c r="AC103" i="11"/>
  <c r="AB103" i="11"/>
  <c r="AC105" i="11"/>
  <c r="AB105" i="11"/>
  <c r="AC99" i="11"/>
  <c r="AB99" i="11"/>
  <c r="AC104" i="11"/>
  <c r="AB104" i="11"/>
  <c r="AC106" i="11"/>
  <c r="AB106" i="11"/>
  <c r="AC101" i="11"/>
  <c r="AB101" i="11"/>
  <c r="AC102" i="11"/>
  <c r="AB102" i="11"/>
  <c r="AB97" i="11"/>
  <c r="AC97" i="11"/>
  <c r="AC96" i="11"/>
  <c r="AB96" i="11"/>
  <c r="AC109" i="11"/>
  <c r="AB109" i="11"/>
  <c r="AB111" i="11"/>
  <c r="AC111" i="11"/>
  <c r="AB110" i="11"/>
  <c r="AC110" i="11"/>
  <c r="AC173" i="11"/>
  <c r="AC372" i="11"/>
  <c r="AC357" i="11"/>
  <c r="AC380" i="11"/>
  <c r="AB197" i="11"/>
  <c r="AB191" i="11"/>
  <c r="AB215" i="11"/>
  <c r="AB276" i="11"/>
  <c r="AC267" i="11"/>
  <c r="AC162" i="11"/>
  <c r="AB426" i="11"/>
  <c r="AC87" i="11"/>
  <c r="AC429" i="11"/>
  <c r="AC347" i="11"/>
  <c r="AD57" i="11"/>
  <c r="O57" i="11"/>
  <c r="P57" i="11" s="1"/>
  <c r="AD64" i="11"/>
  <c r="O64" i="11"/>
  <c r="P64" i="11" s="1"/>
  <c r="AD56" i="11"/>
  <c r="O56" i="11"/>
  <c r="P56" i="11" s="1"/>
  <c r="AD55" i="11"/>
  <c r="O55" i="11"/>
  <c r="P55" i="11" s="1"/>
  <c r="AD59" i="11"/>
  <c r="O59" i="11"/>
  <c r="P59" i="11" s="1"/>
  <c r="AB71" i="11"/>
  <c r="AD62" i="11"/>
  <c r="O62" i="11"/>
  <c r="P62" i="11" s="1"/>
  <c r="AD58" i="11"/>
  <c r="O58" i="11"/>
  <c r="P58" i="11" s="1"/>
  <c r="AD63" i="11"/>
  <c r="O63" i="11"/>
  <c r="P63" i="11" s="1"/>
  <c r="AC94" i="11"/>
  <c r="AB269" i="11"/>
  <c r="AC190" i="11"/>
  <c r="AB85" i="11"/>
  <c r="AC406" i="11"/>
  <c r="AC88" i="11"/>
  <c r="AC344" i="11"/>
  <c r="AB86" i="11"/>
  <c r="AB116" i="11"/>
  <c r="AC117" i="11"/>
  <c r="AC163" i="11"/>
  <c r="AC219" i="11"/>
  <c r="AB222" i="11"/>
  <c r="AB218" i="11"/>
  <c r="AC396" i="11"/>
  <c r="AC422" i="11"/>
  <c r="AC90" i="11"/>
  <c r="AC379" i="11"/>
  <c r="AC93" i="11"/>
  <c r="AC399" i="11"/>
  <c r="AC92" i="11"/>
  <c r="AC346" i="11"/>
  <c r="AC374" i="11"/>
  <c r="AB350" i="11"/>
  <c r="AC166" i="11"/>
  <c r="AB431" i="11"/>
  <c r="AC400" i="11"/>
  <c r="AC253" i="11"/>
  <c r="AB371" i="11"/>
  <c r="AB114" i="11"/>
  <c r="AC351" i="11"/>
  <c r="AB279" i="11"/>
  <c r="AB91" i="11"/>
  <c r="AC398" i="11"/>
  <c r="AC121" i="11"/>
  <c r="W401" i="11"/>
  <c r="AB401" i="11" s="1"/>
  <c r="AB397" i="11"/>
  <c r="AB271" i="11"/>
  <c r="AB84" i="11"/>
  <c r="AC273" i="11"/>
  <c r="AB404" i="11"/>
  <c r="AB149" i="11"/>
  <c r="AC113" i="11"/>
  <c r="AC370" i="11"/>
  <c r="AC168" i="11"/>
  <c r="AC275" i="11"/>
  <c r="AC165" i="11"/>
  <c r="AC139" i="11"/>
  <c r="AC376" i="11"/>
  <c r="AB167" i="11"/>
  <c r="AB266" i="11"/>
  <c r="AC193" i="11"/>
  <c r="AB378" i="11"/>
  <c r="AC112" i="11"/>
  <c r="AC192" i="11"/>
  <c r="AC270" i="11"/>
  <c r="AC171" i="11"/>
  <c r="AC274" i="11"/>
  <c r="AC423" i="11"/>
  <c r="W375" i="11"/>
  <c r="AB375" i="11" s="1"/>
  <c r="AB345" i="11"/>
  <c r="AB352" i="11"/>
  <c r="W170" i="11"/>
  <c r="AC170" i="11" s="1"/>
  <c r="AB272" i="11"/>
  <c r="AB120" i="11"/>
  <c r="AC120" i="11"/>
  <c r="AC268" i="11"/>
  <c r="AC169" i="11"/>
  <c r="AC383" i="11"/>
  <c r="AB119" i="11"/>
  <c r="AC119" i="11"/>
  <c r="AC115" i="11"/>
  <c r="AB118" i="11"/>
  <c r="AC118" i="11"/>
  <c r="AC225" i="11"/>
  <c r="AC89" i="11"/>
  <c r="AD15" i="11"/>
  <c r="AB427" i="11"/>
  <c r="AC331" i="11"/>
  <c r="AC198" i="11"/>
  <c r="AC349" i="11"/>
  <c r="AC196" i="11"/>
  <c r="AC405" i="11"/>
  <c r="AB354" i="11"/>
  <c r="AC373" i="11"/>
  <c r="AB402" i="11"/>
  <c r="AB353" i="11"/>
  <c r="AC224" i="11"/>
  <c r="AC430" i="11"/>
  <c r="AB377" i="11"/>
  <c r="AC425" i="11"/>
  <c r="AC201" i="11"/>
  <c r="AB172" i="11"/>
  <c r="AB328" i="11"/>
  <c r="AB325" i="11"/>
  <c r="AB141" i="11"/>
  <c r="AC323" i="11"/>
  <c r="AC123" i="11"/>
  <c r="AC245" i="11"/>
  <c r="AB327" i="11"/>
  <c r="AC145" i="11"/>
  <c r="AC242" i="11"/>
  <c r="AC226" i="11"/>
  <c r="AB247" i="11"/>
  <c r="AC247" i="11"/>
  <c r="AC144" i="11"/>
  <c r="AB144" i="11"/>
  <c r="AC140" i="11"/>
  <c r="AB140" i="11"/>
  <c r="AB249" i="11"/>
  <c r="AC249" i="11"/>
  <c r="AB142" i="11"/>
  <c r="AC142" i="11"/>
  <c r="AB244" i="11"/>
  <c r="AC244" i="11"/>
  <c r="AB240" i="11"/>
  <c r="AC240" i="11"/>
  <c r="AB138" i="11"/>
  <c r="AC138" i="11"/>
  <c r="AB136" i="11"/>
  <c r="AC136" i="11"/>
  <c r="AC146" i="11"/>
  <c r="AB146" i="11"/>
  <c r="AB143" i="11"/>
  <c r="AC143" i="11"/>
  <c r="AB324" i="11"/>
  <c r="AC324" i="11"/>
  <c r="AC322" i="11"/>
  <c r="AB322" i="11"/>
  <c r="AC321" i="11"/>
  <c r="AB321" i="11"/>
  <c r="AB319" i="11"/>
  <c r="AC319" i="11"/>
  <c r="AB246" i="11"/>
  <c r="AC246" i="11"/>
  <c r="AB326" i="11"/>
  <c r="AC326" i="11"/>
  <c r="AC241" i="11"/>
  <c r="AB241" i="11"/>
  <c r="AB250" i="11"/>
  <c r="AC250" i="11"/>
  <c r="AB248" i="11"/>
  <c r="AC248" i="11"/>
  <c r="AB243" i="11"/>
  <c r="AC243" i="11"/>
  <c r="AC137" i="11"/>
  <c r="AB137" i="11"/>
  <c r="AB318" i="11"/>
  <c r="AC318" i="11"/>
  <c r="AB320" i="11"/>
  <c r="AC320" i="11"/>
  <c r="AB221" i="11"/>
  <c r="AC164" i="11"/>
  <c r="Q52" i="11"/>
  <c r="Q27" i="11"/>
  <c r="Q39" i="11"/>
  <c r="O15" i="11"/>
  <c r="P15" i="11" s="1"/>
  <c r="I108" i="2"/>
  <c r="I109" i="2"/>
  <c r="I110" i="2"/>
  <c r="I111" i="2"/>
  <c r="I112" i="2"/>
  <c r="I113" i="2"/>
  <c r="I114" i="2"/>
  <c r="I107" i="2"/>
  <c r="I105" i="2"/>
  <c r="I106" i="2"/>
  <c r="I115" i="2"/>
  <c r="I135" i="2"/>
  <c r="I136" i="2"/>
  <c r="R136" i="2" s="1"/>
  <c r="I137" i="2"/>
  <c r="R137" i="2" s="1"/>
  <c r="I138" i="2"/>
  <c r="R138" i="2" s="1"/>
  <c r="I139" i="2"/>
  <c r="R139" i="2" s="1"/>
  <c r="I140" i="2"/>
  <c r="R140" i="2" s="1"/>
  <c r="I141" i="2"/>
  <c r="R141" i="2" s="1"/>
  <c r="I142" i="2"/>
  <c r="R142" i="2" s="1"/>
  <c r="I143" i="2"/>
  <c r="R143" i="2" s="1"/>
  <c r="I144" i="2"/>
  <c r="R144" i="2" s="1"/>
  <c r="I145" i="2"/>
  <c r="R145" i="2" s="1"/>
  <c r="I146" i="2"/>
  <c r="R146" i="2" s="1"/>
  <c r="I148" i="2"/>
  <c r="R148" i="2" s="1"/>
  <c r="I116" i="2"/>
  <c r="R116" i="2" s="1"/>
  <c r="I117" i="2"/>
  <c r="I118" i="2"/>
  <c r="R118" i="2" s="1"/>
  <c r="I119" i="2"/>
  <c r="R119" i="2" s="1"/>
  <c r="I120" i="2"/>
  <c r="R120" i="2" s="1"/>
  <c r="I121" i="2"/>
  <c r="I122" i="2"/>
  <c r="R122" i="2" s="1"/>
  <c r="I123" i="2"/>
  <c r="R123" i="2" s="1"/>
  <c r="I124" i="2"/>
  <c r="I125" i="2"/>
  <c r="R125" i="2" s="1"/>
  <c r="I126" i="2"/>
  <c r="R126" i="2" s="1"/>
  <c r="I127" i="2"/>
  <c r="R127" i="2" s="1"/>
  <c r="I128" i="2"/>
  <c r="R128" i="2" s="1"/>
  <c r="I129" i="2"/>
  <c r="R129" i="2" s="1"/>
  <c r="I130" i="2"/>
  <c r="R130" i="2" s="1"/>
  <c r="I131" i="2"/>
  <c r="R131" i="2" s="1"/>
  <c r="I132" i="2"/>
  <c r="R132" i="2" s="1"/>
  <c r="I133" i="2"/>
  <c r="R133" i="2" s="1"/>
  <c r="I134" i="2"/>
  <c r="R134" i="2" s="1"/>
  <c r="R113" i="2" l="1"/>
  <c r="R112" i="2"/>
  <c r="R111" i="2"/>
  <c r="R110" i="2"/>
  <c r="R117" i="2"/>
  <c r="R109" i="2"/>
  <c r="R121" i="2"/>
  <c r="R108" i="2"/>
  <c r="R135" i="2"/>
  <c r="R115" i="2"/>
  <c r="R106" i="2"/>
  <c r="R107" i="2"/>
  <c r="R114" i="2"/>
  <c r="R124" i="2"/>
  <c r="R105" i="2"/>
  <c r="Q56" i="11"/>
  <c r="R56" i="11" s="1"/>
  <c r="V56" i="11" s="1"/>
  <c r="Q59" i="11"/>
  <c r="R59" i="11" s="1"/>
  <c r="V59" i="11" s="1"/>
  <c r="Q64" i="11"/>
  <c r="R64" i="11" s="1"/>
  <c r="V64" i="11" s="1"/>
  <c r="Q60" i="11"/>
  <c r="R60" i="11" s="1"/>
  <c r="V60" i="11" s="1"/>
  <c r="Q53" i="11"/>
  <c r="R53" i="11" s="1"/>
  <c r="V53" i="11" s="1"/>
  <c r="Q62" i="11"/>
  <c r="R62" i="11" s="1"/>
  <c r="V62" i="11" s="1"/>
  <c r="Q55" i="11"/>
  <c r="R55" i="11" s="1"/>
  <c r="V55" i="11" s="1"/>
  <c r="Q58" i="11"/>
  <c r="R58" i="11" s="1"/>
  <c r="V58" i="11" s="1"/>
  <c r="Q61" i="11"/>
  <c r="R61" i="11" s="1"/>
  <c r="V61" i="11" s="1"/>
  <c r="Q63" i="11"/>
  <c r="R63" i="11" s="1"/>
  <c r="V63" i="11" s="1"/>
  <c r="Q54" i="11"/>
  <c r="R54" i="11" s="1"/>
  <c r="V54" i="11" s="1"/>
  <c r="Q57" i="11"/>
  <c r="R57" i="11" s="1"/>
  <c r="V57" i="11" s="1"/>
  <c r="Q46" i="11"/>
  <c r="R46" i="11" s="1"/>
  <c r="V46" i="11" s="1"/>
  <c r="Q49" i="11"/>
  <c r="R49" i="11" s="1"/>
  <c r="V49" i="11" s="1"/>
  <c r="Q41" i="11"/>
  <c r="R41" i="11" s="1"/>
  <c r="V41" i="11" s="1"/>
  <c r="Q51" i="11"/>
  <c r="R51" i="11" s="1"/>
  <c r="V51" i="11" s="1"/>
  <c r="Q42" i="11"/>
  <c r="R42" i="11" s="1"/>
  <c r="V42" i="11" s="1"/>
  <c r="Q50" i="11"/>
  <c r="R50" i="11" s="1"/>
  <c r="V50" i="11" s="1"/>
  <c r="Q45" i="11"/>
  <c r="R45" i="11" s="1"/>
  <c r="V45" i="11" s="1"/>
  <c r="Q44" i="11"/>
  <c r="R44" i="11" s="1"/>
  <c r="V44" i="11" s="1"/>
  <c r="Q43" i="11"/>
  <c r="R43" i="11" s="1"/>
  <c r="V43" i="11" s="1"/>
  <c r="Q47" i="11"/>
  <c r="R47" i="11" s="1"/>
  <c r="V47" i="11" s="1"/>
  <c r="Q40" i="11"/>
  <c r="R40" i="11" s="1"/>
  <c r="V40" i="11" s="1"/>
  <c r="Q48" i="11"/>
  <c r="R48" i="11" s="1"/>
  <c r="V48" i="11" s="1"/>
  <c r="Q31" i="11"/>
  <c r="R31" i="11" s="1"/>
  <c r="V31" i="11" s="1"/>
  <c r="Q29" i="11"/>
  <c r="R29" i="11" s="1"/>
  <c r="V29" i="11" s="1"/>
  <c r="Q34" i="11"/>
  <c r="R34" i="11" s="1"/>
  <c r="V34" i="11" s="1"/>
  <c r="Q35" i="11"/>
  <c r="R35" i="11" s="1"/>
  <c r="V35" i="11" s="1"/>
  <c r="Q38" i="11"/>
  <c r="R38" i="11" s="1"/>
  <c r="V38" i="11" s="1"/>
  <c r="Q28" i="11"/>
  <c r="R28" i="11" s="1"/>
  <c r="V28" i="11" s="1"/>
  <c r="Q37" i="11"/>
  <c r="R37" i="11" s="1"/>
  <c r="V37" i="11" s="1"/>
  <c r="Q30" i="11"/>
  <c r="R30" i="11" s="1"/>
  <c r="V30" i="11" s="1"/>
  <c r="Q33" i="11"/>
  <c r="R33" i="11" s="1"/>
  <c r="V33" i="11" s="1"/>
  <c r="Q36" i="11"/>
  <c r="R36" i="11" s="1"/>
  <c r="V36" i="11" s="1"/>
  <c r="Q32" i="11"/>
  <c r="R32" i="11" s="1"/>
  <c r="V32" i="11" s="1"/>
  <c r="AC401" i="11"/>
  <c r="AC375" i="11"/>
  <c r="AB170" i="11"/>
  <c r="R52" i="11"/>
  <c r="V52" i="11" s="1"/>
  <c r="R27" i="11"/>
  <c r="V27" i="11" s="1"/>
  <c r="R39" i="11"/>
  <c r="V39" i="11" s="1"/>
  <c r="W66" i="11"/>
  <c r="AB66" i="11" s="1"/>
  <c r="W68" i="11"/>
  <c r="AB68" i="11" s="1"/>
  <c r="W65" i="11"/>
  <c r="AC65" i="11" s="1"/>
  <c r="W67" i="11"/>
  <c r="AB67" i="11" s="1"/>
  <c r="O131" i="2"/>
  <c r="S131" i="2" s="1"/>
  <c r="O136" i="2"/>
  <c r="S136" i="2" s="1"/>
  <c r="O130" i="2"/>
  <c r="S130" i="2" s="1"/>
  <c r="O119" i="2"/>
  <c r="S119" i="2" s="1"/>
  <c r="O148" i="2"/>
  <c r="S148" i="2" s="1"/>
  <c r="O141" i="2"/>
  <c r="S141" i="2" s="1"/>
  <c r="N118" i="2"/>
  <c r="O118" i="2" s="1"/>
  <c r="S118" i="2" s="1"/>
  <c r="O140" i="2"/>
  <c r="S140" i="2" s="1"/>
  <c r="O146" i="2"/>
  <c r="S146" i="2" s="1"/>
  <c r="O120" i="2"/>
  <c r="S120" i="2" s="1"/>
  <c r="O145" i="2"/>
  <c r="S145" i="2" s="1"/>
  <c r="O129" i="2"/>
  <c r="S129" i="2" s="1"/>
  <c r="O128" i="2"/>
  <c r="S128" i="2" s="1"/>
  <c r="O144" i="2"/>
  <c r="S144" i="2" s="1"/>
  <c r="O134" i="2"/>
  <c r="S134" i="2" s="1"/>
  <c r="O133" i="2"/>
  <c r="S133" i="2" s="1"/>
  <c r="O143" i="2"/>
  <c r="S143" i="2" s="1"/>
  <c r="O142" i="2"/>
  <c r="S142" i="2" s="1"/>
  <c r="O123" i="2"/>
  <c r="S123" i="2" s="1"/>
  <c r="O132" i="2"/>
  <c r="S132" i="2" s="1"/>
  <c r="O127" i="2"/>
  <c r="S127" i="2" s="1"/>
  <c r="Q15" i="11"/>
  <c r="L116" i="2"/>
  <c r="M116" i="2" s="1"/>
  <c r="L133" i="2"/>
  <c r="M133" i="2" s="1"/>
  <c r="L145" i="2"/>
  <c r="M145" i="2" s="1"/>
  <c r="L106" i="2"/>
  <c r="L128" i="2"/>
  <c r="M128" i="2" s="1"/>
  <c r="L132" i="2"/>
  <c r="M132" i="2" s="1"/>
  <c r="L127" i="2"/>
  <c r="M127" i="2" s="1"/>
  <c r="L121" i="2"/>
  <c r="L143" i="2"/>
  <c r="M143" i="2" s="1"/>
  <c r="L137" i="2"/>
  <c r="M137" i="2" s="1"/>
  <c r="L122" i="2"/>
  <c r="M122" i="2" s="1"/>
  <c r="L138" i="2"/>
  <c r="M138" i="2" s="1"/>
  <c r="L131" i="2"/>
  <c r="M131" i="2" s="1"/>
  <c r="L126" i="2"/>
  <c r="M126" i="2" s="1"/>
  <c r="L120" i="2"/>
  <c r="M120" i="2" s="1"/>
  <c r="L142" i="2"/>
  <c r="M142" i="2" s="1"/>
  <c r="L136" i="2"/>
  <c r="M136" i="2" s="1"/>
  <c r="L105" i="2"/>
  <c r="L123" i="2"/>
  <c r="M123" i="2" s="1"/>
  <c r="L148" i="2"/>
  <c r="M148" i="2" s="1"/>
  <c r="L141" i="2"/>
  <c r="M141" i="2" s="1"/>
  <c r="L135" i="2"/>
  <c r="L115" i="2"/>
  <c r="L134" i="2"/>
  <c r="M134" i="2" s="1"/>
  <c r="L139" i="2"/>
  <c r="M139" i="2" s="1"/>
  <c r="L130" i="2"/>
  <c r="M130" i="2" s="1"/>
  <c r="L125" i="2"/>
  <c r="M125" i="2" s="1"/>
  <c r="L119" i="2"/>
  <c r="M119" i="2" s="1"/>
  <c r="L117" i="2"/>
  <c r="L144" i="2"/>
  <c r="M144" i="2" s="1"/>
  <c r="L124" i="2"/>
  <c r="L118" i="2"/>
  <c r="M118" i="2" s="1"/>
  <c r="L146" i="2"/>
  <c r="M146" i="2" s="1"/>
  <c r="L140" i="2"/>
  <c r="M140" i="2" s="1"/>
  <c r="L107" i="2"/>
  <c r="L129" i="2"/>
  <c r="M129" i="2" s="1"/>
  <c r="L113" i="2"/>
  <c r="L112" i="2"/>
  <c r="L111" i="2"/>
  <c r="L110" i="2"/>
  <c r="L109" i="2"/>
  <c r="L114" i="2"/>
  <c r="L108" i="2"/>
  <c r="O138" i="2"/>
  <c r="S138" i="2" s="1"/>
  <c r="O122" i="2"/>
  <c r="S122" i="2" s="1"/>
  <c r="O126" i="2"/>
  <c r="S126" i="2" s="1"/>
  <c r="O139" i="2"/>
  <c r="S139" i="2" s="1"/>
  <c r="O125" i="2"/>
  <c r="S125" i="2" s="1"/>
  <c r="Y1" i="2"/>
  <c r="M113" i="2" l="1"/>
  <c r="N113" i="2" s="1"/>
  <c r="O113" i="2" s="1"/>
  <c r="S113" i="2" s="1"/>
  <c r="M107" i="2"/>
  <c r="N107" i="2" s="1"/>
  <c r="O107" i="2" s="1"/>
  <c r="S107" i="2" s="1"/>
  <c r="M121" i="2"/>
  <c r="N121" i="2" s="1"/>
  <c r="O121" i="2" s="1"/>
  <c r="S121" i="2" s="1"/>
  <c r="M124" i="2"/>
  <c r="N124" i="2" s="1"/>
  <c r="O124" i="2" s="1"/>
  <c r="S124" i="2" s="1"/>
  <c r="M114" i="2"/>
  <c r="N114" i="2" s="1"/>
  <c r="O114" i="2" s="1"/>
  <c r="S114" i="2" s="1"/>
  <c r="M105" i="2"/>
  <c r="N105" i="2" s="1"/>
  <c r="O105" i="2" s="1"/>
  <c r="S105" i="2" s="1"/>
  <c r="M112" i="2"/>
  <c r="N112" i="2" s="1"/>
  <c r="O112" i="2" s="1"/>
  <c r="S112" i="2" s="1"/>
  <c r="M135" i="2"/>
  <c r="N135" i="2" s="1"/>
  <c r="O135" i="2" s="1"/>
  <c r="S135" i="2" s="1"/>
  <c r="M110" i="2"/>
  <c r="N110" i="2" s="1"/>
  <c r="O110" i="2" s="1"/>
  <c r="S110" i="2" s="1"/>
  <c r="M106" i="2"/>
  <c r="N106" i="2" s="1"/>
  <c r="O106" i="2" s="1"/>
  <c r="S106" i="2" s="1"/>
  <c r="M115" i="2"/>
  <c r="N115" i="2" s="1"/>
  <c r="O115" i="2" s="1"/>
  <c r="S115" i="2" s="1"/>
  <c r="M108" i="2"/>
  <c r="N108" i="2" s="1"/>
  <c r="O108" i="2" s="1"/>
  <c r="S108" i="2" s="1"/>
  <c r="M109" i="2"/>
  <c r="N109" i="2" s="1"/>
  <c r="O109" i="2" s="1"/>
  <c r="S109" i="2" s="1"/>
  <c r="M117" i="2"/>
  <c r="N117" i="2" s="1"/>
  <c r="O117" i="2" s="1"/>
  <c r="S117" i="2" s="1"/>
  <c r="M111" i="2"/>
  <c r="N111" i="2" s="1"/>
  <c r="O111" i="2" s="1"/>
  <c r="S111" i="2" s="1"/>
  <c r="Q26" i="11"/>
  <c r="R26" i="11" s="1"/>
  <c r="V26" i="11" s="1"/>
  <c r="Q21" i="11"/>
  <c r="R21" i="11" s="1"/>
  <c r="V21" i="11" s="1"/>
  <c r="Q18" i="11"/>
  <c r="R18" i="11" s="1"/>
  <c r="V18" i="11" s="1"/>
  <c r="Q24" i="11"/>
  <c r="R24" i="11" s="1"/>
  <c r="V24" i="11" s="1"/>
  <c r="Q22" i="11"/>
  <c r="R22" i="11" s="1"/>
  <c r="V22" i="11" s="1"/>
  <c r="Q17" i="11"/>
  <c r="R17" i="11" s="1"/>
  <c r="V17" i="11" s="1"/>
  <c r="Q20" i="11"/>
  <c r="R20" i="11" s="1"/>
  <c r="V20" i="11" s="1"/>
  <c r="Q16" i="11"/>
  <c r="R16" i="11" s="1"/>
  <c r="V16" i="11" s="1"/>
  <c r="Q19" i="11"/>
  <c r="R19" i="11" s="1"/>
  <c r="V19" i="11" s="1"/>
  <c r="Q23" i="11"/>
  <c r="R23" i="11" s="1"/>
  <c r="V23" i="11" s="1"/>
  <c r="Q25" i="11"/>
  <c r="R25" i="11" s="1"/>
  <c r="V25" i="11" s="1"/>
  <c r="W52" i="11"/>
  <c r="AC52" i="11" s="1"/>
  <c r="W27" i="11"/>
  <c r="AC27" i="11" s="1"/>
  <c r="W39" i="11"/>
  <c r="AB39" i="11" s="1"/>
  <c r="W30" i="11"/>
  <c r="AB30" i="11" s="1"/>
  <c r="W32" i="11"/>
  <c r="AB32" i="11" s="1"/>
  <c r="W51" i="11"/>
  <c r="AB51" i="11" s="1"/>
  <c r="W36" i="11"/>
  <c r="AB36" i="11" s="1"/>
  <c r="O116" i="2"/>
  <c r="S116" i="2" s="1"/>
  <c r="W64" i="11"/>
  <c r="AB64" i="11" s="1"/>
  <c r="W28" i="11"/>
  <c r="AB28" i="11" s="1"/>
  <c r="W56" i="11"/>
  <c r="AC56" i="11" s="1"/>
  <c r="W57" i="11"/>
  <c r="AB57" i="11" s="1"/>
  <c r="W54" i="11"/>
  <c r="AC54" i="11" s="1"/>
  <c r="W60" i="11"/>
  <c r="W61" i="11"/>
  <c r="W53" i="11"/>
  <c r="W46" i="11"/>
  <c r="AB46" i="11" s="1"/>
  <c r="W48" i="11"/>
  <c r="AC48" i="11" s="1"/>
  <c r="W33" i="11"/>
  <c r="AC33" i="11" s="1"/>
  <c r="W40" i="11"/>
  <c r="AB40" i="11" s="1"/>
  <c r="W42" i="11"/>
  <c r="AC42" i="11" s="1"/>
  <c r="W45" i="11"/>
  <c r="AC45" i="11" s="1"/>
  <c r="W44" i="11"/>
  <c r="AB44" i="11" s="1"/>
  <c r="W41" i="11"/>
  <c r="W34" i="11"/>
  <c r="W43" i="11"/>
  <c r="W35" i="11"/>
  <c r="W37" i="11"/>
  <c r="W38" i="11"/>
  <c r="W47" i="11"/>
  <c r="W49" i="11"/>
  <c r="W29" i="11"/>
  <c r="W50" i="11"/>
  <c r="R15" i="11"/>
  <c r="V15" i="11" s="1"/>
  <c r="W31" i="11"/>
  <c r="AC68" i="11"/>
  <c r="AB65" i="11"/>
  <c r="AC67" i="11"/>
  <c r="W55" i="11"/>
  <c r="AC55" i="11" s="1"/>
  <c r="AC66" i="11"/>
  <c r="L84" i="2"/>
  <c r="M84" i="2" s="1"/>
  <c r="AC39" i="11" l="1"/>
  <c r="AB52" i="11"/>
  <c r="W62" i="11"/>
  <c r="AB62" i="11" s="1"/>
  <c r="W63" i="11"/>
  <c r="AB63" i="11" s="1"/>
  <c r="AB56" i="11"/>
  <c r="AC32" i="11"/>
  <c r="AC36" i="11"/>
  <c r="AC51" i="11"/>
  <c r="AB27" i="11"/>
  <c r="AC30" i="11"/>
  <c r="W15" i="11"/>
  <c r="AB15" i="11" s="1"/>
  <c r="AC64" i="11"/>
  <c r="W58" i="11"/>
  <c r="AB58" i="11" s="1"/>
  <c r="W59" i="11"/>
  <c r="AC59" i="11" s="1"/>
  <c r="N84" i="2"/>
  <c r="O84" i="2" s="1"/>
  <c r="S84" i="2" s="1"/>
  <c r="AC57" i="11"/>
  <c r="AB42" i="11"/>
  <c r="AC28" i="11"/>
  <c r="AB54" i="11"/>
  <c r="AB48" i="11"/>
  <c r="AC46" i="11"/>
  <c r="AB53" i="11"/>
  <c r="AC53" i="11"/>
  <c r="AB45" i="11"/>
  <c r="AB61" i="11"/>
  <c r="AC61" i="11"/>
  <c r="AB60" i="11"/>
  <c r="AC60" i="11"/>
  <c r="AC40" i="11"/>
  <c r="AC44" i="11"/>
  <c r="AB33" i="11"/>
  <c r="W16" i="11"/>
  <c r="AC50" i="11"/>
  <c r="AB50" i="11"/>
  <c r="W17" i="11"/>
  <c r="AC35" i="11"/>
  <c r="AB35" i="11"/>
  <c r="W26" i="11"/>
  <c r="AB37" i="11"/>
  <c r="AC37" i="11"/>
  <c r="W18" i="11"/>
  <c r="W19" i="11"/>
  <c r="AB29" i="11"/>
  <c r="AC29" i="11"/>
  <c r="AB43" i="11"/>
  <c r="AC43" i="11"/>
  <c r="W20" i="11"/>
  <c r="W21" i="11"/>
  <c r="AB49" i="11"/>
  <c r="AC49" i="11"/>
  <c r="W22" i="11"/>
  <c r="AB34" i="11"/>
  <c r="AC34" i="11"/>
  <c r="W23" i="11"/>
  <c r="AC47" i="11"/>
  <c r="AB47" i="11"/>
  <c r="W24" i="11"/>
  <c r="AC41" i="11"/>
  <c r="AB41" i="11"/>
  <c r="W25" i="11"/>
  <c r="AB38" i="11"/>
  <c r="AC38" i="11"/>
  <c r="AB31" i="11"/>
  <c r="AC31" i="11"/>
  <c r="AB55" i="11"/>
  <c r="AC62" i="11"/>
  <c r="AC63" i="11"/>
  <c r="L14" i="11"/>
  <c r="U14" i="11" s="1"/>
  <c r="L13" i="11"/>
  <c r="U13" i="11" s="1"/>
  <c r="L11" i="11"/>
  <c r="U11" i="11" s="1"/>
  <c r="L10" i="11"/>
  <c r="U10" i="11" s="1"/>
  <c r="L9" i="11"/>
  <c r="U9" i="11" s="1"/>
  <c r="L8" i="11"/>
  <c r="U8" i="11" s="1"/>
  <c r="L7" i="11"/>
  <c r="U7" i="11" s="1"/>
  <c r="L6" i="11"/>
  <c r="U6" i="11" s="1"/>
  <c r="L3" i="11"/>
  <c r="U3" i="11" s="1"/>
  <c r="O137" i="2"/>
  <c r="S137" i="2" s="1"/>
  <c r="O9" i="11" l="1"/>
  <c r="P9" i="11" s="1"/>
  <c r="AD9" i="11"/>
  <c r="O10" i="11"/>
  <c r="P10" i="11" s="1"/>
  <c r="AD10" i="11"/>
  <c r="O11" i="11"/>
  <c r="P11" i="11" s="1"/>
  <c r="AD11" i="11"/>
  <c r="O14" i="11"/>
  <c r="P14" i="11" s="1"/>
  <c r="AD14" i="11"/>
  <c r="O7" i="11"/>
  <c r="P7" i="11" s="1"/>
  <c r="AD7" i="11"/>
  <c r="O13" i="11"/>
  <c r="P13" i="11" s="1"/>
  <c r="AD13" i="11"/>
  <c r="O6" i="11"/>
  <c r="P6" i="11" s="1"/>
  <c r="AD6" i="11"/>
  <c r="O8" i="11"/>
  <c r="P8" i="11" s="1"/>
  <c r="AD8" i="11"/>
  <c r="AC15" i="11"/>
  <c r="AC58" i="11"/>
  <c r="AD3" i="11"/>
  <c r="AB59" i="11"/>
  <c r="AC24" i="11"/>
  <c r="AB24" i="11"/>
  <c r="AB21" i="11"/>
  <c r="AC21" i="11"/>
  <c r="AB20" i="11"/>
  <c r="AC20" i="11"/>
  <c r="AB26" i="11"/>
  <c r="AC26" i="11"/>
  <c r="AB23" i="11"/>
  <c r="AC23" i="11"/>
  <c r="AC17" i="11"/>
  <c r="AB17" i="11"/>
  <c r="AB25" i="11"/>
  <c r="AC25" i="11"/>
  <c r="AB22" i="11"/>
  <c r="AC22" i="11"/>
  <c r="AB19" i="11"/>
  <c r="AC19" i="11"/>
  <c r="AB18" i="11"/>
  <c r="AC18" i="11"/>
  <c r="AB16" i="11"/>
  <c r="AC16" i="11"/>
  <c r="O3" i="11"/>
  <c r="P3" i="11" s="1"/>
  <c r="L59" i="2"/>
  <c r="M59" i="2" s="1"/>
  <c r="L12" i="11"/>
  <c r="U12" i="11" s="1"/>
  <c r="L4" i="11"/>
  <c r="U4" i="11" s="1"/>
  <c r="L5" i="11"/>
  <c r="U5" i="11" s="1"/>
  <c r="AD4" i="11" l="1"/>
  <c r="O5" i="11"/>
  <c r="P5" i="11" s="1"/>
  <c r="AD5" i="11"/>
  <c r="O12" i="11"/>
  <c r="P12" i="11" s="1"/>
  <c r="AD12" i="11"/>
  <c r="Q3" i="11"/>
  <c r="N59" i="2"/>
  <c r="O59" i="2" s="1"/>
  <c r="S59" i="2" s="1"/>
  <c r="T87" i="2"/>
  <c r="O4" i="11"/>
  <c r="P4" i="11" s="1"/>
  <c r="R3" i="11" l="1"/>
  <c r="V3" i="11" s="1"/>
  <c r="Q5" i="11"/>
  <c r="R5" i="11" s="1"/>
  <c r="V5" i="11" s="1"/>
  <c r="Q13" i="11"/>
  <c r="R13" i="11" s="1"/>
  <c r="V13" i="11" s="1"/>
  <c r="Q7" i="11"/>
  <c r="R7" i="11" s="1"/>
  <c r="V7" i="11" s="1"/>
  <c r="Q6" i="11"/>
  <c r="R6" i="11" s="1"/>
  <c r="V6" i="11" s="1"/>
  <c r="Q8" i="11"/>
  <c r="R8" i="11" s="1"/>
  <c r="V8" i="11" s="1"/>
  <c r="Q10" i="11"/>
  <c r="R10" i="11" s="1"/>
  <c r="V10" i="11" s="1"/>
  <c r="Q11" i="11"/>
  <c r="R11" i="11" s="1"/>
  <c r="V11" i="11" s="1"/>
  <c r="Q14" i="11"/>
  <c r="R14" i="11" s="1"/>
  <c r="V14" i="11" s="1"/>
  <c r="Q9" i="11"/>
  <c r="R9" i="11" s="1"/>
  <c r="V9" i="11" s="1"/>
  <c r="Q12" i="11"/>
  <c r="R12" i="11" s="1"/>
  <c r="V12" i="11" s="1"/>
  <c r="Q4" i="11"/>
  <c r="T59" i="2"/>
  <c r="W59" i="2" s="1"/>
  <c r="W3" i="11"/>
  <c r="AC3" i="11" s="1"/>
  <c r="W87" i="2"/>
  <c r="X87" i="2"/>
  <c r="X59" i="2" l="1"/>
  <c r="W9" i="11"/>
  <c r="AB9" i="11" s="1"/>
  <c r="AB3" i="11"/>
  <c r="R4" i="11"/>
  <c r="V4" i="11" s="1"/>
  <c r="W6" i="11"/>
  <c r="AC6" i="11" s="1"/>
  <c r="W8" i="11"/>
  <c r="AB8" i="11" s="1"/>
  <c r="W5" i="11"/>
  <c r="AB5" i="11" s="1"/>
  <c r="W11" i="11"/>
  <c r="AB11" i="11" s="1"/>
  <c r="W10" i="11"/>
  <c r="AB10" i="11" s="1"/>
  <c r="W7" i="11"/>
  <c r="AB7" i="11" s="1"/>
  <c r="AC9" i="11"/>
  <c r="W14" i="11"/>
  <c r="AC14" i="11" s="1"/>
  <c r="W13" i="11"/>
  <c r="AB13" i="11" s="1"/>
  <c r="AC8" i="11" l="1"/>
  <c r="W12" i="11"/>
  <c r="AC12" i="11" s="1"/>
  <c r="W4" i="11"/>
  <c r="AC4" i="11" s="1"/>
  <c r="AB6" i="11"/>
  <c r="AC5" i="11"/>
  <c r="AC11" i="11"/>
  <c r="AC7" i="11"/>
  <c r="AC10" i="11"/>
  <c r="AC13" i="11"/>
  <c r="AB14" i="11"/>
  <c r="AB12" i="11"/>
  <c r="T86" i="2"/>
  <c r="T84" i="2"/>
  <c r="T83" i="2"/>
  <c r="T85" i="2"/>
  <c r="AB4" i="11" l="1"/>
  <c r="W85" i="2"/>
  <c r="X85" i="2"/>
  <c r="W83" i="2"/>
  <c r="X83" i="2"/>
  <c r="W84" i="2"/>
  <c r="X84" i="2"/>
  <c r="W86" i="2"/>
  <c r="X86" i="2"/>
  <c r="T28" i="2" l="1"/>
  <c r="W28" i="2" l="1"/>
  <c r="X28" i="2"/>
  <c r="T137" i="2"/>
  <c r="T109" i="2"/>
  <c r="T3" i="2"/>
  <c r="T113" i="2"/>
  <c r="T122" i="2"/>
  <c r="T138" i="2"/>
  <c r="T112" i="2"/>
  <c r="T114" i="2"/>
  <c r="T139" i="2"/>
  <c r="T125" i="2"/>
  <c r="T126" i="2"/>
  <c r="T111" i="2"/>
  <c r="T110" i="2"/>
  <c r="T108" i="2"/>
  <c r="T25" i="2"/>
  <c r="W25" i="2" l="1"/>
  <c r="X25" i="2"/>
  <c r="W139" i="2"/>
  <c r="X139" i="2"/>
  <c r="W108" i="2"/>
  <c r="X108" i="2"/>
  <c r="W138" i="2"/>
  <c r="X138" i="2"/>
  <c r="W114" i="2"/>
  <c r="X114" i="2"/>
  <c r="W137" i="2"/>
  <c r="X137" i="2"/>
  <c r="W110" i="2"/>
  <c r="X110" i="2"/>
  <c r="W112" i="2"/>
  <c r="X112" i="2"/>
  <c r="W113" i="2"/>
  <c r="X113" i="2"/>
  <c r="W3" i="2"/>
  <c r="X3" i="2"/>
  <c r="W126" i="2"/>
  <c r="X126" i="2"/>
  <c r="W125" i="2"/>
  <c r="X125" i="2"/>
  <c r="W109" i="2"/>
  <c r="X109" i="2"/>
  <c r="W111" i="2"/>
  <c r="X111" i="2"/>
  <c r="W122" i="2"/>
  <c r="X122" i="2"/>
  <c r="T70" i="2"/>
  <c r="T91" i="2"/>
  <c r="T9" i="2"/>
  <c r="T39" i="2"/>
  <c r="T141" i="2"/>
  <c r="T116" i="2"/>
  <c r="T72" i="2"/>
  <c r="T43" i="2"/>
  <c r="T148" i="2"/>
  <c r="T119" i="2"/>
  <c r="T44" i="2"/>
  <c r="T142" i="2"/>
  <c r="T41" i="2"/>
  <c r="T134" i="2"/>
  <c r="T118" i="2"/>
  <c r="T106" i="2"/>
  <c r="T104" i="2"/>
  <c r="T16" i="2"/>
  <c r="T133" i="2"/>
  <c r="T19" i="2"/>
  <c r="T30" i="2"/>
  <c r="T66" i="2"/>
  <c r="T18" i="2"/>
  <c r="T65" i="2"/>
  <c r="T55" i="2"/>
  <c r="T6" i="2"/>
  <c r="T76" i="2"/>
  <c r="T75" i="2"/>
  <c r="T42" i="2"/>
  <c r="T71" i="2"/>
  <c r="T146" i="2"/>
  <c r="T74" i="2"/>
  <c r="T12" i="2"/>
  <c r="T20" i="2"/>
  <c r="T99" i="2"/>
  <c r="T31" i="2"/>
  <c r="T102" i="2"/>
  <c r="T67" i="2"/>
  <c r="T143" i="2"/>
  <c r="T140" i="2"/>
  <c r="T34" i="2"/>
  <c r="T79" i="2"/>
  <c r="T10" i="2"/>
  <c r="T15" i="2"/>
  <c r="T105" i="2"/>
  <c r="T7" i="2"/>
  <c r="T53" i="2"/>
  <c r="T56" i="2"/>
  <c r="T107" i="2"/>
  <c r="T132" i="2"/>
  <c r="T45" i="2"/>
  <c r="T58" i="2"/>
  <c r="T92" i="2"/>
  <c r="T13" i="2"/>
  <c r="T61" i="2"/>
  <c r="T115" i="2"/>
  <c r="T69" i="2"/>
  <c r="T103" i="2"/>
  <c r="T127" i="2"/>
  <c r="T32" i="2"/>
  <c r="T131" i="2"/>
  <c r="T93" i="2"/>
  <c r="T77" i="2"/>
  <c r="T68" i="2"/>
  <c r="T78" i="2"/>
  <c r="T120" i="2"/>
  <c r="T144" i="2"/>
  <c r="T62" i="2"/>
  <c r="T4" i="2"/>
  <c r="T5" i="2"/>
  <c r="T96" i="2"/>
  <c r="T98" i="2"/>
  <c r="T94" i="2"/>
  <c r="T135" i="2"/>
  <c r="T63" i="2"/>
  <c r="T121" i="2"/>
  <c r="T33" i="2"/>
  <c r="T64" i="2"/>
  <c r="T123" i="2"/>
  <c r="T136" i="2"/>
  <c r="T57" i="2"/>
  <c r="T73" i="2"/>
  <c r="T124" i="2"/>
  <c r="T11" i="2"/>
  <c r="T36" i="2"/>
  <c r="T60" i="2"/>
  <c r="T101" i="2"/>
  <c r="T81" i="2"/>
  <c r="T29" i="2"/>
  <c r="T97" i="2"/>
  <c r="T100" i="2"/>
  <c r="T46" i="2"/>
  <c r="T80" i="2"/>
  <c r="T14" i="2"/>
  <c r="T128" i="2"/>
  <c r="T145" i="2"/>
  <c r="T47" i="2"/>
  <c r="T129" i="2"/>
  <c r="T54" i="2"/>
  <c r="T52" i="2"/>
  <c r="T117" i="2"/>
  <c r="T8" i="2"/>
  <c r="T130" i="2"/>
  <c r="T40" i="2"/>
  <c r="T38" i="2"/>
  <c r="T37" i="2"/>
  <c r="T22" i="2"/>
  <c r="T26" i="2"/>
  <c r="T21" i="2"/>
  <c r="T24" i="2"/>
  <c r="T50" i="2"/>
  <c r="T27" i="2"/>
  <c r="T49" i="2"/>
  <c r="T35" i="2"/>
  <c r="T51" i="2"/>
  <c r="T23" i="2"/>
  <c r="T17" i="2"/>
  <c r="T48" i="2"/>
  <c r="W51" i="2" l="1"/>
  <c r="X51" i="2"/>
  <c r="W128" i="2"/>
  <c r="X128" i="2"/>
  <c r="W60" i="2"/>
  <c r="X60" i="2"/>
  <c r="W57" i="2"/>
  <c r="X57" i="2"/>
  <c r="W64" i="2"/>
  <c r="X64" i="2"/>
  <c r="W98" i="2"/>
  <c r="X98" i="2"/>
  <c r="W62" i="2"/>
  <c r="X62" i="2"/>
  <c r="W77" i="2"/>
  <c r="X77" i="2"/>
  <c r="W103" i="2"/>
  <c r="X103" i="2"/>
  <c r="W61" i="2"/>
  <c r="X61" i="2"/>
  <c r="W132" i="2"/>
  <c r="X132" i="2"/>
  <c r="W53" i="2"/>
  <c r="X53" i="2"/>
  <c r="W10" i="2"/>
  <c r="X10" i="2"/>
  <c r="W67" i="2"/>
  <c r="X67" i="2"/>
  <c r="W20" i="2"/>
  <c r="X20" i="2"/>
  <c r="W75" i="2"/>
  <c r="X75" i="2"/>
  <c r="W18" i="2"/>
  <c r="X18" i="2"/>
  <c r="W16" i="2"/>
  <c r="X16" i="2"/>
  <c r="W134" i="2"/>
  <c r="X134" i="2"/>
  <c r="W119" i="2"/>
  <c r="X119" i="2"/>
  <c r="W116" i="2"/>
  <c r="X116" i="2"/>
  <c r="W70" i="2"/>
  <c r="X70" i="2"/>
  <c r="W35" i="2"/>
  <c r="X35" i="2"/>
  <c r="W49" i="2"/>
  <c r="X49" i="2"/>
  <c r="W40" i="2"/>
  <c r="X40" i="2"/>
  <c r="W129" i="2"/>
  <c r="X129" i="2"/>
  <c r="W14" i="2"/>
  <c r="X14" i="2"/>
  <c r="W29" i="2"/>
  <c r="X29" i="2"/>
  <c r="W36" i="2"/>
  <c r="X36" i="2"/>
  <c r="W33" i="2"/>
  <c r="X33" i="2"/>
  <c r="W144" i="2"/>
  <c r="X144" i="2"/>
  <c r="W93" i="2"/>
  <c r="X93" i="2"/>
  <c r="W13" i="2"/>
  <c r="X13" i="2"/>
  <c r="W107" i="2"/>
  <c r="X107" i="2"/>
  <c r="W102" i="2"/>
  <c r="X102" i="2"/>
  <c r="W12" i="2"/>
  <c r="X12" i="2"/>
  <c r="W76" i="2"/>
  <c r="X76" i="2"/>
  <c r="W66" i="2"/>
  <c r="X66" i="2"/>
  <c r="W41" i="2"/>
  <c r="X41" i="2"/>
  <c r="W148" i="2"/>
  <c r="X148" i="2"/>
  <c r="W27" i="2"/>
  <c r="X27" i="2"/>
  <c r="W50" i="2"/>
  <c r="X50" i="2"/>
  <c r="W130" i="2"/>
  <c r="X130" i="2"/>
  <c r="W80" i="2"/>
  <c r="X80" i="2"/>
  <c r="W81" i="2"/>
  <c r="X81" i="2"/>
  <c r="W11" i="2"/>
  <c r="X11" i="2"/>
  <c r="W121" i="2"/>
  <c r="X121" i="2"/>
  <c r="W96" i="2"/>
  <c r="X96" i="2"/>
  <c r="W120" i="2"/>
  <c r="X120" i="2"/>
  <c r="W131" i="2"/>
  <c r="X131" i="2"/>
  <c r="W69" i="2"/>
  <c r="X69" i="2"/>
  <c r="W92" i="2"/>
  <c r="X92" i="2"/>
  <c r="W56" i="2"/>
  <c r="X56" i="2"/>
  <c r="W7" i="2"/>
  <c r="X7" i="2"/>
  <c r="W79" i="2"/>
  <c r="X79" i="2"/>
  <c r="W74" i="2"/>
  <c r="X74" i="2"/>
  <c r="W104" i="2"/>
  <c r="X104" i="2"/>
  <c r="W142" i="2"/>
  <c r="X142" i="2"/>
  <c r="W141" i="2"/>
  <c r="X141" i="2"/>
  <c r="W24" i="2"/>
  <c r="X24" i="2"/>
  <c r="W21" i="2"/>
  <c r="X21" i="2"/>
  <c r="W8" i="2"/>
  <c r="X8" i="2"/>
  <c r="W47" i="2"/>
  <c r="X47" i="2"/>
  <c r="W46" i="2"/>
  <c r="X46" i="2"/>
  <c r="W124" i="2"/>
  <c r="X124" i="2"/>
  <c r="W136" i="2"/>
  <c r="X136" i="2"/>
  <c r="W63" i="2"/>
  <c r="X63" i="2"/>
  <c r="W5" i="2"/>
  <c r="X5" i="2"/>
  <c r="W32" i="2"/>
  <c r="X32" i="2"/>
  <c r="W115" i="2"/>
  <c r="X115" i="2"/>
  <c r="W58" i="2"/>
  <c r="X58" i="2"/>
  <c r="W105" i="2"/>
  <c r="X105" i="2"/>
  <c r="W34" i="2"/>
  <c r="X34" i="2"/>
  <c r="W31" i="2"/>
  <c r="X31" i="2"/>
  <c r="W146" i="2"/>
  <c r="X146" i="2"/>
  <c r="W6" i="2"/>
  <c r="X6" i="2"/>
  <c r="W30" i="2"/>
  <c r="X30" i="2"/>
  <c r="W106" i="2"/>
  <c r="X106" i="2"/>
  <c r="W39" i="2"/>
  <c r="X39" i="2"/>
  <c r="W26" i="2"/>
  <c r="X26" i="2"/>
  <c r="W22" i="2"/>
  <c r="X22" i="2"/>
  <c r="W117" i="2"/>
  <c r="X117" i="2"/>
  <c r="W52" i="2"/>
  <c r="X52" i="2"/>
  <c r="W100" i="2"/>
  <c r="X100" i="2"/>
  <c r="W101" i="2"/>
  <c r="X101" i="2"/>
  <c r="W135" i="2"/>
  <c r="X135" i="2"/>
  <c r="W78" i="2"/>
  <c r="X78" i="2"/>
  <c r="W45" i="2"/>
  <c r="X45" i="2"/>
  <c r="W140" i="2"/>
  <c r="X140" i="2"/>
  <c r="W71" i="2"/>
  <c r="X71" i="2"/>
  <c r="W55" i="2"/>
  <c r="X55" i="2"/>
  <c r="W19" i="2"/>
  <c r="X19" i="2"/>
  <c r="W43" i="2"/>
  <c r="X43" i="2"/>
  <c r="W9" i="2"/>
  <c r="X9" i="2"/>
  <c r="W48" i="2"/>
  <c r="X48" i="2"/>
  <c r="W37" i="2"/>
  <c r="X37" i="2"/>
  <c r="W23" i="2"/>
  <c r="X23" i="2"/>
  <c r="W17" i="2"/>
  <c r="X17" i="2"/>
  <c r="W38" i="2"/>
  <c r="X38" i="2"/>
  <c r="W54" i="2"/>
  <c r="X54" i="2"/>
  <c r="W145" i="2"/>
  <c r="X145" i="2"/>
  <c r="W97" i="2"/>
  <c r="X97" i="2"/>
  <c r="W73" i="2"/>
  <c r="X73" i="2"/>
  <c r="W123" i="2"/>
  <c r="X123" i="2"/>
  <c r="W94" i="2"/>
  <c r="X94" i="2"/>
  <c r="W4" i="2"/>
  <c r="X4" i="2"/>
  <c r="W68" i="2"/>
  <c r="X68" i="2"/>
  <c r="W127" i="2"/>
  <c r="X127" i="2"/>
  <c r="W15" i="2"/>
  <c r="X15" i="2"/>
  <c r="W143" i="2"/>
  <c r="X143" i="2"/>
  <c r="W99" i="2"/>
  <c r="X99" i="2"/>
  <c r="W42" i="2"/>
  <c r="X42" i="2"/>
  <c r="W65" i="2"/>
  <c r="X65" i="2"/>
  <c r="W133" i="2"/>
  <c r="X133" i="2"/>
  <c r="W118" i="2"/>
  <c r="X118" i="2"/>
  <c r="W44" i="2"/>
  <c r="X44" i="2"/>
  <c r="W72" i="2"/>
  <c r="X72" i="2"/>
  <c r="W91" i="2"/>
  <c r="X91" i="2"/>
  <c r="T82" i="2"/>
  <c r="X1" i="2" l="1"/>
  <c r="W82" i="2"/>
  <c r="X82" i="2"/>
  <c r="W1" i="2"/>
  <c r="W482" i="11" l="1"/>
  <c r="AB482" i="11" s="1"/>
  <c r="W492" i="11"/>
  <c r="W491" i="11"/>
  <c r="AC482" i="11" l="1"/>
  <c r="W484" i="11"/>
  <c r="AC491" i="11"/>
  <c r="AB491" i="11"/>
  <c r="W488" i="11"/>
  <c r="W489" i="11"/>
  <c r="W483" i="11"/>
  <c r="W486" i="11"/>
  <c r="W494" i="11"/>
  <c r="W485" i="11"/>
  <c r="W487" i="11"/>
  <c r="W490" i="11"/>
  <c r="AB492" i="11"/>
  <c r="AC492" i="11"/>
  <c r="W493" i="11"/>
  <c r="AB493" i="11" l="1"/>
  <c r="AC493" i="11"/>
  <c r="AC483" i="11"/>
  <c r="AB483" i="11"/>
  <c r="AC487" i="11"/>
  <c r="AB487" i="11"/>
  <c r="AB486" i="11"/>
  <c r="AC486" i="11"/>
  <c r="AC485" i="11"/>
  <c r="AB485" i="11"/>
  <c r="AC488" i="11"/>
  <c r="AB488" i="11"/>
  <c r="AB490" i="11"/>
  <c r="AC490" i="11"/>
  <c r="AC484" i="11"/>
  <c r="AB484" i="11"/>
  <c r="AC489" i="11"/>
  <c r="AB489" i="11"/>
  <c r="AC494" i="11"/>
  <c r="AB494" i="11"/>
  <c r="M829" i="11"/>
  <c r="L829" i="11" s="1"/>
  <c r="U829" i="11" s="1"/>
  <c r="Q827" i="11"/>
  <c r="R827" i="11" s="1"/>
  <c r="V827" i="11" s="1"/>
  <c r="Q829" i="11"/>
  <c r="R829" i="11" s="1"/>
  <c r="V829" i="11" s="1"/>
  <c r="M827" i="11"/>
  <c r="L827" i="11" s="1"/>
  <c r="U827" i="11" s="1"/>
  <c r="Q828" i="11"/>
  <c r="R828" i="11" s="1"/>
  <c r="V828" i="11" s="1"/>
  <c r="Q826" i="11"/>
  <c r="R826" i="11" s="1"/>
  <c r="V826" i="11" s="1"/>
  <c r="M828" i="11"/>
  <c r="N829" i="11"/>
  <c r="N827" i="11"/>
  <c r="N826" i="11"/>
  <c r="N828" i="11"/>
  <c r="M826" i="11"/>
  <c r="W827" i="11" l="1"/>
  <c r="W829" i="11"/>
  <c r="W826" i="11"/>
  <c r="W828" i="11"/>
  <c r="O827" i="11"/>
  <c r="P827" i="11" s="1"/>
  <c r="O829" i="11"/>
  <c r="P829" i="11" s="1"/>
  <c r="L826" i="11"/>
  <c r="U826" i="11" s="1"/>
  <c r="L828" i="11"/>
  <c r="U828" i="11" s="1"/>
  <c r="O828" i="11" l="1"/>
  <c r="P828" i="11" s="1"/>
  <c r="O826" i="11"/>
  <c r="P826" i="11" s="1"/>
  <c r="AB826" i="11"/>
  <c r="AB828" i="11"/>
  <c r="AB829" i="11"/>
  <c r="AB827" i="11"/>
  <c r="M589" i="11"/>
  <c r="Q591" i="11"/>
  <c r="R591" i="11" s="1"/>
  <c r="V591" i="11" s="1"/>
  <c r="Q603" i="11"/>
  <c r="R603" i="11" s="1"/>
  <c r="V603" i="11" s="1"/>
  <c r="M599" i="11"/>
  <c r="Q597" i="11"/>
  <c r="R597" i="11" s="1"/>
  <c r="V597" i="11" s="1"/>
  <c r="M603" i="11"/>
  <c r="L603" i="11" s="1"/>
  <c r="U603" i="11" s="1"/>
  <c r="Q587" i="11"/>
  <c r="R587" i="11" s="1"/>
  <c r="V587" i="11" s="1"/>
  <c r="Q595" i="11"/>
  <c r="R595" i="11" s="1"/>
  <c r="V595" i="11" s="1"/>
  <c r="M583" i="11"/>
  <c r="L583" i="11" s="1"/>
  <c r="U583" i="11" s="1"/>
  <c r="Q599" i="11"/>
  <c r="R599" i="11" s="1"/>
  <c r="V599" i="11" s="1"/>
  <c r="M593" i="11"/>
  <c r="L593" i="11" s="1"/>
  <c r="U593" i="11" s="1"/>
  <c r="M591" i="11"/>
  <c r="Q593" i="11"/>
  <c r="R593" i="11" s="1"/>
  <c r="V593" i="11" s="1"/>
  <c r="M587" i="11"/>
  <c r="L587" i="11" s="1"/>
  <c r="U587" i="11" s="1"/>
  <c r="M585" i="11"/>
  <c r="L585" i="11" s="1"/>
  <c r="U585" i="11" s="1"/>
  <c r="Q585" i="11"/>
  <c r="R585" i="11" s="1"/>
  <c r="V585" i="11" s="1"/>
  <c r="M601" i="11"/>
  <c r="L601" i="11" s="1"/>
  <c r="U601" i="11" s="1"/>
  <c r="N587" i="11"/>
  <c r="N601" i="11"/>
  <c r="N599" i="11"/>
  <c r="N583" i="11"/>
  <c r="N605" i="11"/>
  <c r="N595" i="11"/>
  <c r="N597" i="11"/>
  <c r="N593" i="11"/>
  <c r="N603" i="11"/>
  <c r="N585" i="11"/>
  <c r="N589" i="11"/>
  <c r="N581" i="11"/>
  <c r="N591" i="11"/>
  <c r="Q605" i="11"/>
  <c r="R605" i="11" s="1"/>
  <c r="V605" i="11" s="1"/>
  <c r="Q583" i="11"/>
  <c r="R583" i="11" s="1"/>
  <c r="V583" i="11" s="1"/>
  <c r="Q601" i="11"/>
  <c r="R601" i="11" s="1"/>
  <c r="V601" i="11" s="1"/>
  <c r="Q581" i="11"/>
  <c r="R581" i="11" s="1"/>
  <c r="V581" i="11" s="1"/>
  <c r="Q589" i="11"/>
  <c r="R589" i="11" s="1"/>
  <c r="V589" i="11" s="1"/>
  <c r="M595" i="11"/>
  <c r="L595" i="11" s="1"/>
  <c r="U595" i="11" s="1"/>
  <c r="M605" i="11"/>
  <c r="M581" i="11"/>
  <c r="M597" i="11"/>
  <c r="AD595" i="11" l="1"/>
  <c r="O585" i="11"/>
  <c r="P585" i="11" s="1"/>
  <c r="W593" i="11"/>
  <c r="W585" i="11"/>
  <c r="AD601" i="11"/>
  <c r="AD603" i="11"/>
  <c r="W597" i="11"/>
  <c r="AB593" i="11"/>
  <c r="AC593" i="11"/>
  <c r="W587" i="11"/>
  <c r="W589" i="11"/>
  <c r="W581" i="11"/>
  <c r="W599" i="11"/>
  <c r="W583" i="11"/>
  <c r="AD583" i="11"/>
  <c r="AD587" i="11"/>
  <c r="W591" i="11"/>
  <c r="AD593" i="11"/>
  <c r="W601" i="11"/>
  <c r="W605" i="11"/>
  <c r="W595" i="11"/>
  <c r="L591" i="11"/>
  <c r="U591" i="11" s="1"/>
  <c r="O601" i="11"/>
  <c r="P601" i="11" s="1"/>
  <c r="L581" i="11"/>
  <c r="U581" i="11" s="1"/>
  <c r="W603" i="11"/>
  <c r="L605" i="11"/>
  <c r="U605" i="11" s="1"/>
  <c r="O595" i="11"/>
  <c r="P595" i="11" s="1"/>
  <c r="O583" i="11"/>
  <c r="P583" i="11" s="1"/>
  <c r="L589" i="11"/>
  <c r="U589" i="11" s="1"/>
  <c r="AD585" i="11"/>
  <c r="L597" i="11"/>
  <c r="U597" i="11" s="1"/>
  <c r="O587" i="11"/>
  <c r="P587" i="11" s="1"/>
  <c r="O603" i="11"/>
  <c r="P603" i="11" s="1"/>
  <c r="O593" i="11"/>
  <c r="P593" i="11" s="1"/>
  <c r="L599" i="11"/>
  <c r="U599" i="11" s="1"/>
  <c r="O581" i="11" l="1"/>
  <c r="P581" i="11" s="1"/>
  <c r="O589" i="11"/>
  <c r="P589" i="11" s="1"/>
  <c r="O591" i="11"/>
  <c r="P591" i="11" s="1"/>
  <c r="AC583" i="11"/>
  <c r="AB583" i="11"/>
  <c r="AC601" i="11"/>
  <c r="AB601" i="11"/>
  <c r="AC597" i="11"/>
  <c r="AB597" i="11"/>
  <c r="AD599" i="11"/>
  <c r="AC589" i="11"/>
  <c r="AB589" i="11"/>
  <c r="AC603" i="11"/>
  <c r="AB603" i="11"/>
  <c r="AD605" i="11"/>
  <c r="AC581" i="11"/>
  <c r="AB581" i="11"/>
  <c r="AD597" i="11"/>
  <c r="O605" i="11"/>
  <c r="P605" i="11" s="1"/>
  <c r="O597" i="11"/>
  <c r="P597" i="11" s="1"/>
  <c r="AD589" i="11"/>
  <c r="AC599" i="11"/>
  <c r="AB599" i="11"/>
  <c r="AD581" i="11"/>
  <c r="AB591" i="11"/>
  <c r="AC591" i="11"/>
  <c r="AD591" i="11"/>
  <c r="AB595" i="11"/>
  <c r="AC595" i="11"/>
  <c r="AB587" i="11"/>
  <c r="AC587" i="11"/>
  <c r="AB605" i="11"/>
  <c r="AC605" i="11"/>
  <c r="O599" i="11"/>
  <c r="P599" i="11" s="1"/>
  <c r="AB585" i="11"/>
  <c r="AC585" i="11"/>
  <c r="X833" i="11"/>
  <c r="X811" i="11"/>
  <c r="X795" i="11"/>
  <c r="X779" i="11"/>
  <c r="X765" i="11"/>
  <c r="X755" i="11"/>
  <c r="X823" i="11"/>
  <c r="X803" i="11"/>
  <c r="X783" i="11"/>
  <c r="X771" i="11"/>
  <c r="X761" i="11"/>
  <c r="X753" i="11"/>
  <c r="X843" i="11"/>
  <c r="X799" i="11"/>
  <c r="X805" i="11"/>
  <c r="X785" i="11"/>
  <c r="X747" i="11"/>
  <c r="X763" i="11"/>
  <c r="X751" i="11"/>
  <c r="X845" i="11"/>
  <c r="X827" i="11"/>
  <c r="X807" i="11"/>
  <c r="X791" i="11"/>
  <c r="X777" i="11"/>
  <c r="X769" i="11"/>
  <c r="X757" i="11"/>
  <c r="X748" i="11"/>
  <c r="X829" i="11"/>
  <c r="X809" i="11"/>
  <c r="X787" i="11"/>
  <c r="X775" i="11"/>
  <c r="X767" i="11"/>
  <c r="X759" i="11"/>
  <c r="X842" i="11"/>
  <c r="X832" i="11"/>
  <c r="X822" i="11"/>
  <c r="X816" i="11"/>
  <c r="X804" i="11"/>
  <c r="X792" i="11"/>
  <c r="X782" i="11"/>
  <c r="X770" i="11"/>
  <c r="X768" i="11"/>
  <c r="X756" i="11"/>
  <c r="X754" i="11"/>
  <c r="X752" i="11"/>
  <c r="X750" i="11"/>
  <c r="X847" i="11"/>
  <c r="X831" i="11"/>
  <c r="X813" i="11"/>
  <c r="X789" i="11"/>
  <c r="X844" i="11"/>
  <c r="X830" i="11"/>
  <c r="X818" i="11"/>
  <c r="X806" i="11"/>
  <c r="X794" i="11"/>
  <c r="X764" i="11"/>
  <c r="X825" i="11"/>
  <c r="X841" i="11"/>
  <c r="X821" i="11"/>
  <c r="X801" i="11"/>
  <c r="X781" i="11"/>
  <c r="X840" i="11"/>
  <c r="X826" i="11"/>
  <c r="X814" i="11"/>
  <c r="X802" i="11"/>
  <c r="X784" i="11"/>
  <c r="X778" i="11"/>
  <c r="X762" i="11"/>
  <c r="X835" i="11"/>
  <c r="X815" i="11"/>
  <c r="X793" i="11"/>
  <c r="X846" i="11"/>
  <c r="X834" i="11"/>
  <c r="X808" i="11"/>
  <c r="X796" i="11"/>
  <c r="X786" i="11"/>
  <c r="X780" i="11"/>
  <c r="X760" i="11"/>
  <c r="X849" i="11"/>
  <c r="X837" i="11"/>
  <c r="X817" i="11"/>
  <c r="X797" i="11"/>
  <c r="X838" i="11"/>
  <c r="X828" i="11"/>
  <c r="X812" i="11"/>
  <c r="X800" i="11"/>
  <c r="X790" i="11"/>
  <c r="X776" i="11"/>
  <c r="X758" i="11"/>
  <c r="X839" i="11"/>
  <c r="X819" i="11"/>
  <c r="X773" i="11"/>
  <c r="X848" i="11"/>
  <c r="X836" i="11"/>
  <c r="X820" i="11"/>
  <c r="X810" i="11"/>
  <c r="X788" i="11"/>
  <c r="X774" i="11"/>
  <c r="X766" i="11"/>
  <c r="X749" i="11"/>
  <c r="X746" i="11"/>
  <c r="X772" i="11"/>
  <c r="X798" i="11"/>
  <c r="X824" i="11"/>
  <c r="AB1" i="11" l="1"/>
  <c r="AD825" i="11"/>
  <c r="AC825" i="11"/>
  <c r="AD759" i="11"/>
  <c r="AC759" i="11"/>
  <c r="AC783" i="11"/>
  <c r="AD783" i="11"/>
  <c r="AD824" i="11"/>
  <c r="AC824" i="11"/>
  <c r="AC773" i="11"/>
  <c r="AD773" i="11"/>
  <c r="AC837" i="11"/>
  <c r="AD837" i="11"/>
  <c r="AD762" i="11"/>
  <c r="AC762" i="11"/>
  <c r="AD764" i="11"/>
  <c r="AC764" i="11"/>
  <c r="AC754" i="11"/>
  <c r="AD754" i="11"/>
  <c r="AD767" i="11"/>
  <c r="AC767" i="11"/>
  <c r="AC845" i="11"/>
  <c r="AD845" i="11"/>
  <c r="AD803" i="11"/>
  <c r="AC803" i="11"/>
  <c r="AC848" i="11"/>
  <c r="AD848" i="11"/>
  <c r="AC752" i="11"/>
  <c r="AD752" i="11"/>
  <c r="AD827" i="11"/>
  <c r="AC827" i="11"/>
  <c r="AD798" i="11"/>
  <c r="AC798" i="11"/>
  <c r="AD819" i="11"/>
  <c r="AC819" i="11"/>
  <c r="AD849" i="11"/>
  <c r="AC849" i="11"/>
  <c r="AD778" i="11"/>
  <c r="AC778" i="11"/>
  <c r="AC794" i="11"/>
  <c r="AD794" i="11"/>
  <c r="AD756" i="11"/>
  <c r="AC756" i="11"/>
  <c r="AD775" i="11"/>
  <c r="AC775" i="11"/>
  <c r="AD751" i="11"/>
  <c r="AC751" i="11"/>
  <c r="AC823" i="11"/>
  <c r="AD823" i="11"/>
  <c r="AD817" i="11"/>
  <c r="AC817" i="11"/>
  <c r="AC760" i="11"/>
  <c r="AD760" i="11"/>
  <c r="AD784" i="11"/>
  <c r="AC784" i="11"/>
  <c r="AD806" i="11"/>
  <c r="AC806" i="11"/>
  <c r="AC768" i="11"/>
  <c r="AD768" i="11"/>
  <c r="AC787" i="11"/>
  <c r="AD787" i="11"/>
  <c r="AC763" i="11"/>
  <c r="AD763" i="11"/>
  <c r="AD755" i="11"/>
  <c r="AC755" i="11"/>
  <c r="AC835" i="11"/>
  <c r="AD835" i="11"/>
  <c r="AC818" i="11"/>
  <c r="AD818" i="11"/>
  <c r="AC786" i="11"/>
  <c r="AD786" i="11"/>
  <c r="AC830" i="11"/>
  <c r="AD830" i="11"/>
  <c r="AC782" i="11"/>
  <c r="AD782" i="11"/>
  <c r="AD829" i="11"/>
  <c r="AC829" i="11"/>
  <c r="AC785" i="11"/>
  <c r="AD785" i="11"/>
  <c r="AD779" i="11"/>
  <c r="AC779" i="11"/>
  <c r="AD746" i="11"/>
  <c r="AC746" i="11"/>
  <c r="AD770" i="11"/>
  <c r="AC770" i="11"/>
  <c r="AC765" i="11"/>
  <c r="AD765" i="11"/>
  <c r="AD776" i="11"/>
  <c r="AC776" i="11"/>
  <c r="AD766" i="11"/>
  <c r="AC766" i="11"/>
  <c r="AC790" i="11"/>
  <c r="AD790" i="11"/>
  <c r="AC796" i="11"/>
  <c r="AD796" i="11"/>
  <c r="AD826" i="11"/>
  <c r="AC826" i="11"/>
  <c r="AC844" i="11"/>
  <c r="AD844" i="11"/>
  <c r="AC792" i="11"/>
  <c r="AD792" i="11"/>
  <c r="AC748" i="11"/>
  <c r="AD748" i="11"/>
  <c r="AC805" i="11"/>
  <c r="AD805" i="11"/>
  <c r="AC795" i="11"/>
  <c r="AD795" i="11"/>
  <c r="AD772" i="11"/>
  <c r="AC772" i="11"/>
  <c r="AD802" i="11"/>
  <c r="AC802" i="11"/>
  <c r="AD809" i="11"/>
  <c r="AC809" i="11"/>
  <c r="AD747" i="11"/>
  <c r="AC747" i="11"/>
  <c r="AD749" i="11"/>
  <c r="AC749" i="11"/>
  <c r="AD814" i="11"/>
  <c r="AC814" i="11"/>
  <c r="AD774" i="11"/>
  <c r="AC774" i="11"/>
  <c r="AD800" i="11"/>
  <c r="AC800" i="11"/>
  <c r="AC808" i="11"/>
  <c r="AD808" i="11"/>
  <c r="AD840" i="11"/>
  <c r="AC840" i="11"/>
  <c r="AD789" i="11"/>
  <c r="AC789" i="11"/>
  <c r="AC804" i="11"/>
  <c r="AD804" i="11"/>
  <c r="AD757" i="11"/>
  <c r="AC757" i="11"/>
  <c r="AD799" i="11"/>
  <c r="AC799" i="11"/>
  <c r="AC811" i="11"/>
  <c r="AD811" i="11"/>
  <c r="AD780" i="11"/>
  <c r="AC780" i="11"/>
  <c r="AD834" i="11"/>
  <c r="AC834" i="11"/>
  <c r="AD781" i="11"/>
  <c r="AC781" i="11"/>
  <c r="AD813" i="11"/>
  <c r="AC813" i="11"/>
  <c r="AC816" i="11"/>
  <c r="AD816" i="11"/>
  <c r="AC769" i="11"/>
  <c r="AD769" i="11"/>
  <c r="AD843" i="11"/>
  <c r="AC843" i="11"/>
  <c r="AD833" i="11"/>
  <c r="AC833" i="11"/>
  <c r="AD1" i="11"/>
  <c r="AD758" i="11"/>
  <c r="AC758" i="11"/>
  <c r="AD812" i="11"/>
  <c r="AC812" i="11"/>
  <c r="AD828" i="11"/>
  <c r="AC828" i="11"/>
  <c r="AD801" i="11"/>
  <c r="AC801" i="11"/>
  <c r="AC822" i="11"/>
  <c r="AD822" i="11"/>
  <c r="AC753" i="11"/>
  <c r="AD753" i="11"/>
  <c r="AC820" i="11"/>
  <c r="AD820" i="11"/>
  <c r="AC838" i="11"/>
  <c r="AD838" i="11"/>
  <c r="AD793" i="11"/>
  <c r="AC793" i="11"/>
  <c r="AD821" i="11"/>
  <c r="AC821" i="11"/>
  <c r="AD847" i="11"/>
  <c r="AC847" i="11"/>
  <c r="AD832" i="11"/>
  <c r="AC832" i="11"/>
  <c r="AC791" i="11"/>
  <c r="AD791" i="11"/>
  <c r="AC761" i="11"/>
  <c r="AD761" i="11"/>
  <c r="AD839" i="11"/>
  <c r="AC839" i="11"/>
  <c r="AC788" i="11"/>
  <c r="AD788" i="11"/>
  <c r="AD810" i="11"/>
  <c r="AC810" i="11"/>
  <c r="AD846" i="11"/>
  <c r="AC846" i="11"/>
  <c r="AD831" i="11"/>
  <c r="AC831" i="11"/>
  <c r="AD777" i="11"/>
  <c r="AC777" i="11"/>
  <c r="AD836" i="11"/>
  <c r="AC836" i="11"/>
  <c r="AD797" i="11"/>
  <c r="AC797" i="11"/>
  <c r="AC815" i="11"/>
  <c r="AD815" i="11"/>
  <c r="AC841" i="11"/>
  <c r="AD841" i="11"/>
  <c r="AD750" i="11"/>
  <c r="AC750" i="11"/>
  <c r="AC842" i="11"/>
  <c r="AD842" i="11"/>
  <c r="AD807" i="11"/>
  <c r="AC807" i="11"/>
  <c r="AD771" i="11"/>
  <c r="AC771" i="11"/>
  <c r="AC1"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7DA4879-FF0A-4BA4-AA56-B9B3B159D414}" keepAlive="1" name="Запрос — Gamma" description="Соединение с запросом &quot;Gamma&quot; в книге." type="5" refreshedVersion="7" background="1" saveData="1">
    <dbPr connection="Provider=Microsoft.Mashup.OleDb.1;Data Source=$Workbook$;Location=Gamma;Extended Properties=&quot;&quot;" command="SELECT * FROM [Gamma]"/>
  </connection>
</connections>
</file>

<file path=xl/sharedStrings.xml><?xml version="1.0" encoding="utf-8"?>
<sst xmlns="http://schemas.openxmlformats.org/spreadsheetml/2006/main" count="14257" uniqueCount="1633">
  <si>
    <t>ID</t>
  </si>
  <si>
    <t>1</t>
  </si>
  <si>
    <t>Бортовой компьютер "Ferrum Group" GF 271 для ВАЗ (2107 (инжектор), 2110 (евро панель)), Лада Приора</t>
  </si>
  <si>
    <t>Бортовой компьютер "Ferrum Group" GF 218T для Лада Калина</t>
  </si>
  <si>
    <t>Бортовой компьютер "Ferrum Group" GF 415T для ВАЗ 2108-21099, 2113-2115</t>
  </si>
  <si>
    <t>Бортовой компьютер "Ferrum Group" GF 215T для ВАЗ 2108-21099, 2113-2115</t>
  </si>
  <si>
    <t>Бортовой компьютер "Ferrum Group" GF 115T для ВАЗ 2108-21099, 2113-2115</t>
  </si>
  <si>
    <t>Бортовой компьютер "Ferrum Group" GF 412 (с электронным блоком отопителя) для ВАЗ 2110-2112 (старая панель)</t>
  </si>
  <si>
    <t>Бортовой компьютер "Ferrum Group" GF 511 для ВАЗ 2110-2112 (евро панель)</t>
  </si>
  <si>
    <t>Бортовой компьютер "Ferrum Group" GF 223 для Шевроле Нива</t>
  </si>
  <si>
    <t>Бортовой компьютер "Ferrum Group" GF 207 для ВАЗ 2105, 2107</t>
  </si>
  <si>
    <t>Бортовой компьютер "Ferrum Group" GF 240 для Chevrolet Lanos, ZAZ Sens</t>
  </si>
  <si>
    <t>Бортовой компьютер "Ferrum Group" GF 241 для Chevrolet Aveo, Lacetti, Rezzo</t>
  </si>
  <si>
    <t>Переходник "Ferrum Group" GF 921 для комбинаций приборов "Ferrum Group"</t>
  </si>
  <si>
    <t>Программатор "Ferrum Group" GF 911</t>
  </si>
  <si>
    <t>Речевой информатор GF820</t>
  </si>
  <si>
    <t>Программатор "Ferrum Group" GF 910 для комбинаций приборов "Ferrum Group"</t>
  </si>
  <si>
    <t>Электронная комбинация приборов "Ferrum Group" GF 819 Black для ВАЗ 2110-2112 (европанель), Лада (Калина, Приора)</t>
  </si>
  <si>
    <t>Электронная комбинация приборов "Ferrum Group" GF 819 для ВАЗ 2110-2112 (европанель), Лада (Калина, Приора)</t>
  </si>
  <si>
    <t>Электронная комбинация приборов "Ferrum Group" GF 822 для ВАЗ 2110-2112 (европанель), Лада (Калина, Приора)</t>
  </si>
  <si>
    <t>Электронная комбинация приборов "Ferrum Group" GF 818 Black для ВАЗ 2110-2112 (европанель), Лада (Калина, Приора)</t>
  </si>
  <si>
    <t>Электронная комбинация приборов "Ferrum Group" GF 619 для ВАЗ 2110-2112 (европанель), Лада (Калина, Приора)</t>
  </si>
  <si>
    <t>Электронная комбинация приборов "Ferrum Group" GF 821 для ВАЗ 2110-2112 (европанель), Лада (Калина, Приора)</t>
  </si>
  <si>
    <t>Электронная комбинация приборов "Ferrum Group" GF 822S для ВАЗ 2110-2112 (европанель), Лада (Калина, Приора)</t>
  </si>
  <si>
    <t>Электронная комбинация приборов "Ferrum Group" GF 825S для ВАЗ 2110-2112, 2113-2115</t>
  </si>
  <si>
    <t>Электронная комбинация приборов "Ferrum Group" GF 616 для ВАЗ 2110-2112, 2113-2115</t>
  </si>
  <si>
    <t>Электронная комбинация приборов "Ferrum Group" GF 826 для ВАЗ 2110-2112, 2113-2115</t>
  </si>
  <si>
    <t>Электронная комбинация приборов "Ferrum Group" GF 851L 3.2" для Лада (Гранта, Гранта FL, Калина 2), Датсун (mi-DO, on-DO)</t>
  </si>
  <si>
    <t>Электронная комбинация приборов "Ferrum Group" GF 651S для Лада (Гранта, Гранта FL, Калина 2), Датсун (mi-DO, on-DO)</t>
  </si>
  <si>
    <t>Электронная комбинация приборов "Ferrum Group" GF 651 для Лада Гранта (до 2015 г. в.)</t>
  </si>
  <si>
    <t>Электронная комбинация приборов "Ferrum Group" GF 825S для Шевроле Нива</t>
  </si>
  <si>
    <t>Электронная комбинация приборов "Ferrum Group" GF 826 для Шевроле Нива</t>
  </si>
  <si>
    <t>Электронная комбинация приборов "Ferrum Group" GF 616 для Шевроле Нива</t>
  </si>
  <si>
    <t>Электронная комбинация приборов "Ferrum Group" GF 825S для Лада Нива 4x4, Нива 4x4 Урбан</t>
  </si>
  <si>
    <t>Электронная комбинация приборов "Ferrum Group" GF 616 для Лада Нива 4x4, Нива 4x4 Урбан (инжекторный двигатель)</t>
  </si>
  <si>
    <t>Электронная комбинация приборов "Ferrum Group" GF 826 для Лада Нива 4x4, Нива 4x4 Урбан</t>
  </si>
  <si>
    <t>Электронная комбинация приборов "Ferrum Group" GF 607 для ВАЗ 2107 (инжекторный двигатель)</t>
  </si>
  <si>
    <t>Ручки регулировки блока отопителя Лада Ларгус, Рено Логан, Сандеро (ХРОМ)</t>
  </si>
  <si>
    <t>Электронная комбинация приборов "Ferrum Group" GF 823 для Лада Приора 2</t>
  </si>
  <si>
    <t>Электронная комбинация приборов "Ferrum Group" GF 851S для Лада (Гранта, Гранта FL, Калина 2), Датсун (mi-DO, on-DO)</t>
  </si>
  <si>
    <t>Ручки отопителя "Ferrum Group" (серебро) для Шевроле Нива</t>
  </si>
  <si>
    <t>Электронная комбинация приборов "Ferrum Group" GF 940 SPORT Edition для Лада Веста</t>
  </si>
  <si>
    <t>Электронная комбинация приборов "Ferrum Group" GF 940 Premium Edition (голубая подсветка) для Лада Веста</t>
  </si>
  <si>
    <t>Электронная комбинация приборов "Ferrum Group" GF 940 Light Edition для Лада Веста</t>
  </si>
  <si>
    <t>Электронная комбинация приборов "Ferrum Group" GF 890 для Лада XRAY</t>
  </si>
  <si>
    <t>Электронная комбинация приборов "Ferrum Group" GF 683 для ВАЗ 2108-21099</t>
  </si>
  <si>
    <t>Муляж подушки безопасности для анатомического рулевого колеса Vesta "Ferrum Group" для Лада Веста, XRAY</t>
  </si>
  <si>
    <t>Накладки на педали "Ferrum Group" для Renault Arkana</t>
  </si>
  <si>
    <t>Датчики давления воздуха в шинах (TPMS) "Ferrum Group" для Лада Веста, XRAY</t>
  </si>
  <si>
    <t>Передний парктроник "Ferrum Group" (для GF 940 и GF 940) для Лада Веста</t>
  </si>
  <si>
    <t>Передний парктроник "Ferrum Group" (для GF 890 XRAY и GF 890 PH2) для Лада XRAY</t>
  </si>
  <si>
    <t>Накладки на педали "Ferrum Group" для Лада Веста (AMT, 1.8L)</t>
  </si>
  <si>
    <t>Накладки на педали "Ferrum Group" для Лада Веста (AMT, 1.6L)</t>
  </si>
  <si>
    <t>Накладки на педали "Ferrum Group" для Лада Веста</t>
  </si>
  <si>
    <t>Накладки на педали "Ferrum Group" для Лада XRAY (AMT)</t>
  </si>
  <si>
    <t>Накладки на педали "Ferrum Group" для Лада XRAY, Renault (Duster (Diesel), Logan 2)</t>
  </si>
  <si>
    <t>Щиток комбинации приборов "Ferrum Group" (c отделкой из кожи) для Лада Гранта</t>
  </si>
  <si>
    <t>Щиток комбинации приборов "Ferrum Group" для Лада Гранта</t>
  </si>
  <si>
    <t>Ручка КПП "Ferrum Group" (кожа) для Лада Веста (AMT)</t>
  </si>
  <si>
    <t>Ручки отопителя "Ferrum Group" для Лада (Ларгус, XRAY), Renault Duster</t>
  </si>
  <si>
    <t>Ручки отопителя "Ferrum Group" (чёрный глянец) для Шевроле Нива</t>
  </si>
  <si>
    <t>Ручки отопителя "Ferrum Group" (матовые) для Hyundai Solaris</t>
  </si>
  <si>
    <t>Ручки отопителя "Ferrum Group" (глянцевые) для Hyundai Solaris 2</t>
  </si>
  <si>
    <t>Ручки отопителя "Ferrum Group" для Volkswagen Polo Sedan</t>
  </si>
  <si>
    <t>Ручки отопителя "Ferrum Group" для Chevrolet Lacetti, Daewoo Gentra</t>
  </si>
  <si>
    <t>Блок управления отопителем с ручками "Ferrum Group" для Chevrolet Lacetti, Daewoo Gentra</t>
  </si>
  <si>
    <t>Комплект органайзеров "Ferrum Group" в багажник для Лада Веста</t>
  </si>
  <si>
    <t>Комплект органайзеров "Ferrum Group" в багажник для Шевроле Нива</t>
  </si>
  <si>
    <t>Комплект органайзеров "Ferrum Group" в багажник для Лада Калина, Калина 2</t>
  </si>
  <si>
    <t>Комплект органайзеров "Ferrum Group" в багажник для Лада Нива 4x4, Нива 4x4 Урбан</t>
  </si>
  <si>
    <t>Органайзер "Ferrum Group" для автомобильных аксессуаров</t>
  </si>
  <si>
    <t>Сумка "Ferrum Group" для набора автомобилиста</t>
  </si>
  <si>
    <t>Тюнинг комплект FG sport "Ferrum Group" для Лада Веста</t>
  </si>
  <si>
    <t>Шильд FG "Ferrum Group" для Лада Веста</t>
  </si>
  <si>
    <t>Комплект шильдов VICTORY "Ferrum Group" для Лада Веста</t>
  </si>
  <si>
    <t>Электронная комбинация приборов "Ferrum Group" GF 851S Cross для Лада (Гранта, Гранта FL, Калина 2), Датсун (mi-DO, on-DO)</t>
  </si>
  <si>
    <t>Электронная комбинация приборов "Ferrum Group" GF 940 Exclusive Edition для Лада Веста</t>
  </si>
  <si>
    <t>Электронная комбинация приборов "Ferrum Group" GF 940 LIMITED Edition для Лада Веста</t>
  </si>
  <si>
    <t>Электронная комбинация приборов "Ferrum Group" GF 949 CROSS Serie для Лада Веста</t>
  </si>
  <si>
    <t>Электронная комбинация приборов "Ferrum Group" GF 949 Exclusive для Лада Веста</t>
  </si>
  <si>
    <t>Электронная комбинация приборов "Ferrum Group" GF 949 GRAND Sport для Лада Веста</t>
  </si>
  <si>
    <t>Электронная комбинация приборов "Ferrum Group" GF 949 GRAND Premium для Лада Веста</t>
  </si>
  <si>
    <t>Щиток комбинации приборов "Ferrum Group" для Лада Веста</t>
  </si>
  <si>
    <t>Модельная ручка КПП "Ferrum Group" Sport для Лада Веста</t>
  </si>
  <si>
    <t>Модельная ручка КПП "Ferrum Group" Cross для Лада Веста</t>
  </si>
  <si>
    <t>Модельная ручка КПП "Ferrum Group" Exclusive для Лада Веста</t>
  </si>
  <si>
    <t>Модельная ручка КПП "Ferrum Group" Premium для Лада Веста</t>
  </si>
  <si>
    <t>Модельная ручка КПП "Ferrum Group" Grand Sport (с алькантарой) для Лада Веста</t>
  </si>
  <si>
    <t>Модельная ручка КПП "Ferrum Group" Cross Serie (с алькантарой) для Лада Веста</t>
  </si>
  <si>
    <t>Модельная ручка КПП "Ferrum Group" Grand Premium (с алькантарой) для Лада Веста</t>
  </si>
  <si>
    <t>Модельная ручка КПП "Ferrum Group" Exclusive (с алькантарой) для Лада Веста</t>
  </si>
  <si>
    <t>Модельная ручка КПП "Ferrum Group" Limited Edition (с алькантарой) для Лада Веста</t>
  </si>
  <si>
    <t>Комплект модельных ручек КПП "Ferrum Group" для Лада Нива 4x4</t>
  </si>
  <si>
    <t>Модельная ручка КПП "Ferrum Group" Grand Premium (в коже с алькантарой) для Лада Веста</t>
  </si>
  <si>
    <t>Модельная ручка КПП "Ferrum Group" Grand Sport (в коже с алькантарой) для Лада Веста</t>
  </si>
  <si>
    <t>Модельная ручка КПП "Ferrum Group" Cross Serie (в коже с алькантарой) для Лада Веста</t>
  </si>
  <si>
    <t>Модельная ручка КПП "Ferrum Group" Exclusive (в коже с алькантарой) для Лада Веста</t>
  </si>
  <si>
    <t>Модельная ручка КПП "Ferrum Group" Limited Edition (в коже с алькантарой) для Лада Веста</t>
  </si>
  <si>
    <t>Артикул</t>
  </si>
  <si>
    <t>GF 841</t>
  </si>
  <si>
    <t>GF 240</t>
  </si>
  <si>
    <t>GF 619</t>
  </si>
  <si>
    <t>GF 821</t>
  </si>
  <si>
    <t>GF 616</t>
  </si>
  <si>
    <t>GF 651</t>
  </si>
  <si>
    <t>GF 607</t>
  </si>
  <si>
    <t>GF 823</t>
  </si>
  <si>
    <t>https://ferrum.group/products/210</t>
  </si>
  <si>
    <t>https://ferrum.group/products/168</t>
  </si>
  <si>
    <t>https://ferrum.group/products/175</t>
  </si>
  <si>
    <t>https://ferrum.group/products/171</t>
  </si>
  <si>
    <t>https://ferrum.group/products/169</t>
  </si>
  <si>
    <t>https://ferrum.group/products/170</t>
  </si>
  <si>
    <t>https://ferrum.group/products/195</t>
  </si>
  <si>
    <t>GF 940 Exclusive</t>
  </si>
  <si>
    <t>https://ferrum.group/products/211</t>
  </si>
  <si>
    <t>https://ferrum.group/products/212</t>
  </si>
  <si>
    <t>https://ferrum.group/products/180</t>
  </si>
  <si>
    <t>https://ferrum.group/products/176</t>
  </si>
  <si>
    <t>https://ferrum.group/products/213</t>
  </si>
  <si>
    <t>https://ferrum.group/products/241</t>
  </si>
  <si>
    <t>https://ferrum.group/products/239</t>
  </si>
  <si>
    <t>https://ferrum.group/products/242</t>
  </si>
  <si>
    <t>https://ferrum.group/products/243</t>
  </si>
  <si>
    <t>https://ferrum.group/products/226</t>
  </si>
  <si>
    <t>https://ferrum.group/products/227</t>
  </si>
  <si>
    <t>https://ferrum.group/products/230</t>
  </si>
  <si>
    <t>https://ferrum.group/products/228</t>
  </si>
  <si>
    <t>https://ferrum.group/products/231</t>
  </si>
  <si>
    <t>https://ferrum.group/products/232</t>
  </si>
  <si>
    <t>https://ferrum.group/products/233</t>
  </si>
  <si>
    <t>https://ferrum.group/products/229</t>
  </si>
  <si>
    <t>https://ferrum.group/products/234</t>
  </si>
  <si>
    <t>https://ferrum.group/products/235</t>
  </si>
  <si>
    <t>https://ferrum.group/products/236</t>
  </si>
  <si>
    <t>https://ferrum.group/products/237</t>
  </si>
  <si>
    <t>https://ferrum.group/products/238</t>
  </si>
  <si>
    <t>https://ferrum.group/products/221</t>
  </si>
  <si>
    <t>https://ferrum.group/products/222</t>
  </si>
  <si>
    <t>https://ferrum.group/products/225</t>
  </si>
  <si>
    <t>https://ferrum.group/products/224</t>
  </si>
  <si>
    <t>https://ferrum.group/products/298</t>
  </si>
  <si>
    <t>https://ferrum.group/products/299</t>
  </si>
  <si>
    <t>https://ferrum.group/products/300</t>
  </si>
  <si>
    <t>https://ferrum.group/products/216</t>
  </si>
  <si>
    <t>https://ferrum.group/products/297</t>
  </si>
  <si>
    <t>https://ferrum.group/products/240</t>
  </si>
  <si>
    <t>https://ferrum.group/products/267</t>
  </si>
  <si>
    <t>https://ferrum.group/products/173</t>
  </si>
  <si>
    <t>https://ferrum.group/products/178</t>
  </si>
  <si>
    <t>https://ferrum.group/products/194</t>
  </si>
  <si>
    <t>https://ferrum.group/products/185</t>
  </si>
  <si>
    <t>https://ferrum.group/products/136</t>
  </si>
  <si>
    <t>https://ferrum.group/products/156</t>
  </si>
  <si>
    <t>https://ferrum.group/products/129</t>
  </si>
  <si>
    <t>https://ferrum.group/products/172</t>
  </si>
  <si>
    <t>https://ferrum.group/products/182</t>
  </si>
  <si>
    <t>https://ferrum.group/products/247</t>
  </si>
  <si>
    <t>https://ferrum.group/products/312</t>
  </si>
  <si>
    <t>https://ferrum.group/products/255</t>
  </si>
  <si>
    <t>Закуп</t>
  </si>
  <si>
    <t>РРЦ</t>
  </si>
  <si>
    <t>Итоговая маржа</t>
  </si>
  <si>
    <t>Расчетная маржа</t>
  </si>
  <si>
    <t>https://ferrum.group/products/314</t>
  </si>
  <si>
    <t>https://ferrum.group/products/301</t>
  </si>
  <si>
    <t>Электронная комбинация приборов "Ferrum Group" GF 940 Cross Serie для Лада Веста</t>
  </si>
  <si>
    <t>https://ferrum.group/products/53</t>
  </si>
  <si>
    <t>https://ferrum.group/products/66</t>
  </si>
  <si>
    <t>https://ferrum.group/products/57</t>
  </si>
  <si>
    <t>https://ferrum.group/products/100</t>
  </si>
  <si>
    <t>https://ferrum.group/products/118</t>
  </si>
  <si>
    <t>https://ferrum.group/products/77</t>
  </si>
  <si>
    <t>https://ferrum.group/products/61</t>
  </si>
  <si>
    <t>https://ferrum.group/products/62</t>
  </si>
  <si>
    <t>https://ferrum.group/products/78</t>
  </si>
  <si>
    <t>https://ferrum.group/products/86</t>
  </si>
  <si>
    <t>https://ferrum.group/products/89</t>
  </si>
  <si>
    <t>https://ferrum.group/products/99</t>
  </si>
  <si>
    <t>https://ferrum.group/products/133</t>
  </si>
  <si>
    <t>https://ferrum.group/products/125</t>
  </si>
  <si>
    <t>https://ferrum.group/products/127</t>
  </si>
  <si>
    <t>https://ferrum.group/products/126</t>
  </si>
  <si>
    <t>https://ferrum.group/products/105</t>
  </si>
  <si>
    <t>https://ferrum.group/products/244</t>
  </si>
  <si>
    <t>https://ferrum.group/products/114</t>
  </si>
  <si>
    <t>https://ferrum.group/products/116</t>
  </si>
  <si>
    <t>https://ferrum.group/products/131</t>
  </si>
  <si>
    <t>https://ferrum.group/products/134</t>
  </si>
  <si>
    <t>https://ferrum.group/products/124</t>
  </si>
  <si>
    <t>https://ferrum.group/products/167</t>
  </si>
  <si>
    <t>https://ferrum.group/products/165</t>
  </si>
  <si>
    <t>https://ferrum.group/products/137</t>
  </si>
  <si>
    <t>https://ferrum.group/products/166</t>
  </si>
  <si>
    <t>https://ferrum.group/products/112</t>
  </si>
  <si>
    <t>https://ferrum.group/products/110</t>
  </si>
  <si>
    <t>https://ferrum.group/products/113</t>
  </si>
  <si>
    <t>https://ferrum.group/products/164</t>
  </si>
  <si>
    <t>https://ferrum.group/products/147</t>
  </si>
  <si>
    <t>https://ferrum.group/products/148</t>
  </si>
  <si>
    <t>https://ferrum.group/products/149</t>
  </si>
  <si>
    <t>GF 949 Exclusive</t>
  </si>
  <si>
    <t>https://ferrum.group/products/161/</t>
  </si>
  <si>
    <t>https://ferrum.group/products/271</t>
  </si>
  <si>
    <t>https://ferrum.group/products/307</t>
  </si>
  <si>
    <t>GF 825S</t>
  </si>
  <si>
    <t>https://ferrum.group/products/218</t>
  </si>
  <si>
    <t>https://ferrum.group/products/220</t>
  </si>
  <si>
    <t>https://ferrum.group/products/219</t>
  </si>
  <si>
    <t>https://ferrum.group/products/217</t>
  </si>
  <si>
    <t>https://ferrum.group/products/140</t>
  </si>
  <si>
    <t>https://ferrum.group/products/117</t>
  </si>
  <si>
    <t>https://ferrum.group/products/101</t>
  </si>
  <si>
    <t>https://ferrum.group/products/158</t>
  </si>
  <si>
    <t>https://ferrum.group/products/28</t>
  </si>
  <si>
    <t>https://ferrum.group/products/142</t>
  </si>
  <si>
    <t>https://ferrum.group/products/98</t>
  </si>
  <si>
    <t>https://ferrum.group/products/33</t>
  </si>
  <si>
    <t>https://ferrum.group/products/36</t>
  </si>
  <si>
    <t>https://ferrum.group/products/37</t>
  </si>
  <si>
    <t>https://ferrum.group/products/38</t>
  </si>
  <si>
    <t>https://ferrum.group/products/43</t>
  </si>
  <si>
    <t>https://ferrum.group/products/47</t>
  </si>
  <si>
    <t>https://ferrum.group/products/130</t>
  </si>
  <si>
    <t>https://ferrum.group/products/108</t>
  </si>
  <si>
    <t>https://ferrum.group/products/41</t>
  </si>
  <si>
    <t>https://ferrum.group/products/40</t>
  </si>
  <si>
    <t>https://ferrum.group/products/177</t>
  </si>
  <si>
    <t>https://ferrum.group/products/143</t>
  </si>
  <si>
    <t>https://ferrum.group/products/152</t>
  </si>
  <si>
    <t>https://ferrum.group/products/138</t>
  </si>
  <si>
    <t>https://ferrum.group/products/139</t>
  </si>
  <si>
    <t>https://ferrum.group/products/151</t>
  </si>
  <si>
    <t>https://ferrum.group/products/153</t>
  </si>
  <si>
    <t>https://ferrum.group/products/91</t>
  </si>
  <si>
    <t>https://ferrum.group/products/90</t>
  </si>
  <si>
    <t>https://ferrum.group/products/115</t>
  </si>
  <si>
    <t>https://ferrum.group/products/64</t>
  </si>
  <si>
    <t>https://ferrum.group/products/162</t>
  </si>
  <si>
    <t>https://ferrum.group/products/135</t>
  </si>
  <si>
    <t>https://ferrum.group/products/69</t>
  </si>
  <si>
    <t>https://ferrum.group/products/317</t>
  </si>
  <si>
    <t>https://ferrum.group/products/323</t>
  </si>
  <si>
    <t>https://ferrum.group/products/311</t>
  </si>
  <si>
    <t>https://ferrum.group/products/310</t>
  </si>
  <si>
    <t>https://ferrum.group/products/313</t>
  </si>
  <si>
    <t>https://ferrum.group/products/309</t>
  </si>
  <si>
    <t>https://ferrum.group/products/320</t>
  </si>
  <si>
    <t>https://ferrum.group/products/305</t>
  </si>
  <si>
    <t>https://ferrum.group/products/304</t>
  </si>
  <si>
    <t>Gamma</t>
  </si>
  <si>
    <t>Электронная комбинация приборов "Ferrum Group" GF 890 PH2 (чёрные кольца) для Лада Ларгус FL, Nissan Terrano IV, Renault (Dokker, Duster (PH2), Duster Diesel (PH2), Logan II, Sandero II)</t>
  </si>
  <si>
    <t>Электронная комбинация приборов "Ferrum Group" GF 890 PH2 (хром) для для Лада Ларгус FL, Nissan Terrano IV, Renault (Dokker, Duster (PH2), Duster Diesel (PH2), Logan II, Sandero II)</t>
  </si>
  <si>
    <t>Электронная комбинация приборов "Ferrum Group" GF 890 PH2 (серебро) для Лада Ларгус FL, Nissan Terrano IV, Renault (Dokker, Duster (PH2), Duster Diesel (PH2), Logan II, Sandero II)</t>
  </si>
  <si>
    <t>Сканер Тестер Gamma GF 913</t>
  </si>
  <si>
    <t>Ручка КПП "Ferrum Group" (с подсветкой) для Лада Веста</t>
  </si>
  <si>
    <t>Накладка решетки радиатора "Ferrum Group" для Лада Веста</t>
  </si>
  <si>
    <t>Комплект органайзеров "Ferrum Group" на спинки сидений для Лада Калина, Калина 2, Гранта, Приора, Веста, XRAY</t>
  </si>
  <si>
    <t>Бортовой компьютер Gamma GF 512 с электронным блоком отопителя на Lada 2110-12 с евро панелью</t>
  </si>
  <si>
    <t>Бортовой компьютер Gamma GF 312T на Lada 2110-12</t>
  </si>
  <si>
    <t>Бортовой компьютер Gamma GF 270 на Lada Priora</t>
  </si>
  <si>
    <t>Бортовой компьютер Gamma GF 242</t>
  </si>
  <si>
    <t>Бортовой компьютер Gamma GF 215T Silver на Lada 2108-15</t>
  </si>
  <si>
    <t>Бортовой компьютер Gamma GF 212T для ВАЗ 2110-2112</t>
  </si>
  <si>
    <t>Под заказ</t>
  </si>
  <si>
    <t>Поставщик</t>
  </si>
  <si>
    <t>https://ferrum.group/products/326</t>
  </si>
  <si>
    <t>https://ferrum.group/products/123</t>
  </si>
  <si>
    <t xml:space="preserve"> Накладки на педали для а/м Renault Arkana</t>
  </si>
  <si>
    <t>GF 822 4.3</t>
  </si>
  <si>
    <t>Розница</t>
  </si>
  <si>
    <t>GF 215T</t>
  </si>
  <si>
    <t>GF 207</t>
  </si>
  <si>
    <t>GF 270</t>
  </si>
  <si>
    <t>GF 412</t>
  </si>
  <si>
    <t>GF 241</t>
  </si>
  <si>
    <t>GF 223</t>
  </si>
  <si>
    <t>GF 218T</t>
  </si>
  <si>
    <t>Парктроники "Ferrum Group" GF 801 для продукции "Ferrum Group" серии "Gamma"</t>
  </si>
  <si>
    <t>Стилизованные колпачки ступиц "Ferrum Group" для Лада Веста</t>
  </si>
  <si>
    <t>https://ferrum.group/products/327</t>
  </si>
  <si>
    <t>https://ferrum.group/products/328</t>
  </si>
  <si>
    <t>Модельная ручка КПП "Ferrum Group" для Лада Веста (с вариатором)</t>
  </si>
  <si>
    <t>Модельная ручка КПП "Ferrum Group" Black club для Лада Веста</t>
  </si>
  <si>
    <t>Модельная ручка КПП "Ferrum Group" для Лада Веста</t>
  </si>
  <si>
    <t>Электронная комбинация приборов "Ferrum Group" GF 940N Turbo LIMITED2 для Лада Веста</t>
  </si>
  <si>
    <t>Электронная комбинация приборов "Ferrum Group" GF 949N TURBO для Лада Веста</t>
  </si>
  <si>
    <t>Факт</t>
  </si>
  <si>
    <t>www.ferrum-group.ru</t>
  </si>
  <si>
    <t>На рули -1000 от нашей розницы!</t>
  </si>
  <si>
    <t>опт от 1шт</t>
  </si>
  <si>
    <t>от 2-5шт</t>
  </si>
  <si>
    <t>Lada Granta/Lada Kalina 2 (стрелочная)тонированная</t>
  </si>
  <si>
    <t>GF851L</t>
  </si>
  <si>
    <t>Lada Granta(тонированная)</t>
  </si>
  <si>
    <t>GF 651 S</t>
  </si>
  <si>
    <t>Lada Priora (стрелочная)</t>
  </si>
  <si>
    <t>GF 822S</t>
  </si>
  <si>
    <t>Lada Priora 2</t>
  </si>
  <si>
    <t>Lada 2110 со "старой" панелью, Samara-2</t>
  </si>
  <si>
    <t>Lada 2110 cо старой панелью, Samara-2 (стрелочная)</t>
  </si>
  <si>
    <t>Chevrolet Niva</t>
  </si>
  <si>
    <t>Chevrolet Niva (стрелочная)</t>
  </si>
  <si>
    <t>Renault Logan,Lada Largus,Renault Sandero</t>
  </si>
  <si>
    <t>Nissan Terrano IV,Renault Duster (PH2),Renault Duster Diesel (PH2),Renault Logan II,Renault Sandero II,Largus FL</t>
  </si>
  <si>
    <t>Renault Kaptur</t>
  </si>
  <si>
    <t>GF949 N Kaptur</t>
  </si>
  <si>
    <t>LADA X-RAY</t>
  </si>
  <si>
    <t>Vesta</t>
  </si>
  <si>
    <t>GF 940 Cross</t>
  </si>
  <si>
    <t>Lada 4X4</t>
  </si>
  <si>
    <t>Lada 2107</t>
  </si>
  <si>
    <t>до 10ед.</t>
  </si>
  <si>
    <t>от 10ед. до 30ед.</t>
  </si>
  <si>
    <t xml:space="preserve"> от 30 ед.</t>
  </si>
  <si>
    <t>Lada 2110 с "новой" панелью"</t>
  </si>
  <si>
    <t>Lada 2108 и "Самара-2"</t>
  </si>
  <si>
    <t>Lada 2123, "Шеви-Нива"</t>
  </si>
  <si>
    <t>Lada 2170 "Priora"</t>
  </si>
  <si>
    <t>Chevrolet Lanos,ZAZ Sens</t>
  </si>
  <si>
    <t>Chevrolet Lacetti</t>
  </si>
  <si>
    <t>Программатор для БК</t>
  </si>
  <si>
    <t>GF 911</t>
  </si>
  <si>
    <t>Программатор для КП</t>
  </si>
  <si>
    <t>GF 910</t>
  </si>
  <si>
    <t>GF 921</t>
  </si>
  <si>
    <t>Ручки отопителя "Priora"</t>
  </si>
  <si>
    <t>Ручки отопителя "Granta"</t>
  </si>
  <si>
    <t>Щиток для "Granta"</t>
  </si>
  <si>
    <t>черный мат крашенный</t>
  </si>
  <si>
    <t>Ручки отопителя "Chevrolet Niva"</t>
  </si>
  <si>
    <t>Шильды FG</t>
  </si>
  <si>
    <t>стойки/крыло</t>
  </si>
  <si>
    <t>Комплект органайзеров в багажник"Chevrolet Niva"</t>
  </si>
  <si>
    <t>Органайзер на спинку сиденья</t>
  </si>
  <si>
    <t>Ручки отопителя "Daewoo GENTRA, Chevrolet LACETTI"</t>
  </si>
  <si>
    <t>АМТ</t>
  </si>
  <si>
    <t>МТ</t>
  </si>
  <si>
    <t>Ручки отопителя VW Polo</t>
  </si>
  <si>
    <t>Органайзер "Largus"</t>
  </si>
  <si>
    <t>мат/глянец</t>
  </si>
  <si>
    <t>Модельная ручка КПП Lada,Nissan,Renault</t>
  </si>
  <si>
    <t>Модельная ручка АКПП4 Ferrum KIA RIO 3, Hyudai Solaris Exclusive</t>
  </si>
  <si>
    <t>Модельная ручка АКПП4 Ferrum KIA RIO 3, Hyundai Solaris Premium</t>
  </si>
  <si>
    <t>Стилизованные колпачки ступиц</t>
  </si>
  <si>
    <t>Печка Джентра</t>
  </si>
  <si>
    <t>Марка автомобиля</t>
  </si>
  <si>
    <t>Модель комбинации приборов</t>
  </si>
  <si>
    <t>Цена, руб</t>
  </si>
  <si>
    <t>Комментарий</t>
  </si>
  <si>
    <t>GF 819 Black, Sil.</t>
  </si>
  <si>
    <t>Lada Priora, Kalina (стрелочная)</t>
  </si>
  <si>
    <t>Lada Priora, Kalina (стрелочная)тон.</t>
  </si>
  <si>
    <t>Lada Priora, Kalina (стрел)тон.,накладка.</t>
  </si>
  <si>
    <t>на выбор красные/синие ореолы</t>
  </si>
  <si>
    <t>Lada 2110 c "новой панелью, "Lada Kalina", "Lada Priora "</t>
  </si>
  <si>
    <t>"Lada Kalina" (стрелочная)</t>
  </si>
  <si>
    <t>GF 818 Black, Sil</t>
  </si>
  <si>
    <t>+щиток</t>
  </si>
  <si>
    <t>GF 940 Sport Edition</t>
  </si>
  <si>
    <t>GF 940 Premium Edition (пленка голубая/оранжевая)</t>
  </si>
  <si>
    <t>GF 940 Light Edition</t>
  </si>
  <si>
    <t>GF 949 N TURBO</t>
  </si>
  <si>
    <t>GF 949 Cross Serie</t>
  </si>
  <si>
    <t>GF 949 Grand sport</t>
  </si>
  <si>
    <t>GF 949 Grand premium</t>
  </si>
  <si>
    <t>Модель бортового компьютера</t>
  </si>
  <si>
    <t>Lada 1118 "Lada Kalina"</t>
  </si>
  <si>
    <t>Парктроник передний</t>
  </si>
  <si>
    <t>для GF940/949, GF 890 XRAY и GF 890 PH2</t>
  </si>
  <si>
    <t>Парктроник задний</t>
  </si>
  <si>
    <t>GF 801 з</t>
  </si>
  <si>
    <t>Переходник Priora</t>
  </si>
  <si>
    <t>обтянутый кожей (красный, оранжевый)</t>
  </si>
  <si>
    <t xml:space="preserve">серебро/черные </t>
  </si>
  <si>
    <t>Комплект органайзеров в багажник Niva 4*4</t>
  </si>
  <si>
    <t>Комплект органайзеров в багажник Kalina Универсал</t>
  </si>
  <si>
    <t>Комплект органайзеров в багажник Vesta (кант красный, серый, черный)</t>
  </si>
  <si>
    <t>Ручки отопителя "Hyundai Solaris"</t>
  </si>
  <si>
    <t>Ручки отопителя "Hyundai Solaris 2"</t>
  </si>
  <si>
    <t>Датчики давления шин Vesta</t>
  </si>
  <si>
    <t>Модельная ручка КПП Vesta ВАРИАТОР (оранжевый, черный, серый, красный)</t>
  </si>
  <si>
    <t>Модельная ручка КПП Vesta  с алькантарой глянец</t>
  </si>
  <si>
    <t>Модельная ручка КПП Vesta  с алькантарой в коже</t>
  </si>
  <si>
    <t>Модельная ручка КПП Vesta с подсветкой</t>
  </si>
  <si>
    <t>Модельная ручкп КПП Granta</t>
  </si>
  <si>
    <t>Моднльная ручка КПП Ferrum Group Sport (круглая)</t>
  </si>
  <si>
    <t>красная</t>
  </si>
  <si>
    <t>Модельная ручка КПП Ferrum Group (со скоростями)</t>
  </si>
  <si>
    <t>Модельная Ручка КПП Niva (FG,Black)</t>
  </si>
  <si>
    <t>Накладки на пороги Vesta</t>
  </si>
  <si>
    <t>Накладка на решетку радиатора "Vesta" (под покраску)</t>
  </si>
  <si>
    <t>Накладки на пороги "Ferrum Group" для Лада Веста</t>
  </si>
  <si>
    <t>GF 940 Limited Edition</t>
  </si>
  <si>
    <t>Наименование</t>
  </si>
  <si>
    <t>6</t>
  </si>
  <si>
    <t>Ручка КПП "Ferrum Group" BLACK CLUB (модельная) для ВАЗ 2101-2107, Лада Нива 4x4</t>
  </si>
  <si>
    <t>Ручка КПП "Ferrum Group" модельная для ВАЗ 2101-2107, Лада Нива 4x4</t>
  </si>
  <si>
    <t>Анатомическое рулевое колесо "Ferrum Group" Black 2107  Жёлтая нить</t>
  </si>
  <si>
    <t>Анатомическое рулевое колесо "Ferrum Group" Black 2107  Зелёная нить</t>
  </si>
  <si>
    <t>Анатомическое рулевое колесо "Ferrum Group" Black 2107  Коричневая нить</t>
  </si>
  <si>
    <t>Анатомическое рулевое колесо "Ferrum Group" Black 2107  Красная нить</t>
  </si>
  <si>
    <t>Анатомическое рулевое колесо "Ferrum Group" Black 2107  Оранжевая нить</t>
  </si>
  <si>
    <t>Анатомическое рулевое колесо "Ferrum Group" Black 2107  Салатовая нить</t>
  </si>
  <si>
    <t>Анатомическое рулевое колесо "Ferrum Group" Black 2107  Светло-серая нить</t>
  </si>
  <si>
    <t>Анатомическое рулевое колесо "Ferrum Group" Black 2107  Сине-зелёная нить</t>
  </si>
  <si>
    <t>Анатомическое рулевое колесо "Ferrum Group" Black 2107  Синяя нить</t>
  </si>
  <si>
    <t>Анатомическое рулевое колесо "Ferrum Group" Black 2107  Тёмно-серая нить</t>
  </si>
  <si>
    <t>Анатомическое рулевое колесо "Ferrum Group" Black 2107  Фиолетовая нить</t>
  </si>
  <si>
    <t>Анатомическое рулевое колесо "Ferrum Group" Black 2107  Чёрная нить</t>
  </si>
  <si>
    <t>Бортовой компьютер Gamma GF 231 на ГАЗ</t>
  </si>
  <si>
    <t>Анатомическое рулевое колесо "Ferrum Group" Hunter для ВАЗ 2108-21099, 2113-2115 (Жёлтая нить)</t>
  </si>
  <si>
    <t>Анатомическое рулевое колесо "Ferrum Group" Hunter для ВАЗ 2108-21099, 2113-2115 (Зелёная нить)</t>
  </si>
  <si>
    <t>Анатомическое рулевое колесо "Ferrum Group" Hunter для ВАЗ 2108-21099, 2113-2115 (Коричневая нить)</t>
  </si>
  <si>
    <t>Анатомическое рулевое колесо "Ferrum Group" Hunter для ВАЗ 2108-21099, 2113-2115 (Красная нить)</t>
  </si>
  <si>
    <t>Анатомическое рулевое колесо "Ferrum Group" Hunter для ВАЗ 2108-21099, 2113-2115 (Оранжевая нить)</t>
  </si>
  <si>
    <t>Анатомическое рулевое колесо "Ferrum Group" Hunter для ВАЗ 2108-21099, 2113-2115 (Салатовая нить)</t>
  </si>
  <si>
    <t>Анатомическое рулевое колесо "Ferrum Group" Hunter для ВАЗ 2108-21099, 2113-2115 (Светло-серая нить)</t>
  </si>
  <si>
    <t>Анатомическое рулевое колесо "Ferrum Group" Hunter для ВАЗ 2108-21099, 2113-2115 (Сине-зелёная нить)</t>
  </si>
  <si>
    <t>Анатомическое рулевое колесо "Ferrum Group" Hunter для ВАЗ 2108-21099, 2113-2115 (Синяя нить)</t>
  </si>
  <si>
    <t>Анатомическое рулевое колесо "Ferrum Group" Hunter для ВАЗ 2108-21099, 2113-2115 (Тёмно-серая нить)</t>
  </si>
  <si>
    <t>Анатомическое рулевое колесо "Ferrum Group" Hunter для ВАЗ 2108-21099, 2113-2115 (Фиолетовая нить)</t>
  </si>
  <si>
    <t>Анатомическое рулевое колесо "Ferrum Group" Hunter для ВАЗ 2108-21099, 2113-2115 (Чёрная нить)</t>
  </si>
  <si>
    <t>Анатомическое рулевое колесо (руль) "Ferrum Group" (со вставками из алькантары) для Лада (Калина, Приора), Шевроле Нива (Белая нить)</t>
  </si>
  <si>
    <t>Анатомическое рулевое колесо (руль) "Ferrum Group" (со вставками из алькантары) для Лада (Калина, Приора), Шевроле Нива (Зелёная нить)</t>
  </si>
  <si>
    <t>Анатомическое рулевое колесо (руль) "Ferrum Group" (со вставками из алькантары) для Лада (Калина, Приора), Шевроле Нива (Коричневая нить)</t>
  </si>
  <si>
    <t>Анатомическое рулевое колесо (руль) "Ferrum Group" (со вставками из алькантары) для Лада (Калина, Приора), Шевроле Нива (Красная нить)</t>
  </si>
  <si>
    <t>Анатомическое рулевое колесо (руль) "Ferrum Group" (со вставками из алькантары) для Лада (Калина, Приора), Шевроле Нива (Оранжевая нить)</t>
  </si>
  <si>
    <t>Анатомическое рулевое колесо (руль) "Ferrum Group" (со вставками из алькантары) для Лада (Калина, Приора), Шевроле Нива (Салатовая нить)</t>
  </si>
  <si>
    <t>Анатомическое рулевое колесо (руль) "Ferrum Group" (со вставками из алькантары) для Лада (Калина, Приора), Шевроле Нива (Светло-серая нить)</t>
  </si>
  <si>
    <t>Анатомическое рулевое колесо (руль) "Ferrum Group" (со вставками из алькантары) для Лада (Калина, Приора), Шевроле Нива (Сине-зелёная нить)</t>
  </si>
  <si>
    <t>Анатомическое рулевое колесо (руль) "Ferrum Group" (со вставками из алькантары) для Лада (Калина, Приора), Шевроле Нива (Синяя нить)</t>
  </si>
  <si>
    <t>Анатомическое рулевое колесо (руль) "Ferrum Group" (со вставками из алькантары) для Лада (Калина, Приора), Шевроле Нива (Тёмно-серая нить)</t>
  </si>
  <si>
    <t>Анатомическое рулевое колесо (руль) "Ferrum Group" (со вставками из алькантары) для Лада (Калина, Приора), Шевроле Нива (Фиолетовая нить)</t>
  </si>
  <si>
    <t>Анатомическое рулевое колесо (руль) "Ferrum Group" (со вставками из алькантары) для Лада (Калина, Приора), Шевроле Нива (Чёрная нить)</t>
  </si>
  <si>
    <t>Рулевое колесо (руль) "Ferrum Group" Black, анатомическое для Лада Нива 4x4 (Жёлтая нить)</t>
  </si>
  <si>
    <t>Рулевое колесо (руль) "Ferrum Group" Black, анатомическое для Лада Нива 4x4 (Зелёная нить)</t>
  </si>
  <si>
    <t>Рулевое колесо (руль) "Ferrum Group" Black, анатомическое для Лада Нива 4x4 (Коричневая нить)</t>
  </si>
  <si>
    <t>Рулевое колесо (руль) "Ferrum Group" Black, анатомическое для Лада Нива 4x4 (Красная нить)</t>
  </si>
  <si>
    <t>Рулевое колесо (руль) "Ferrum Group" Black, анатомическое для Лада Нива 4x4 (Оранжевая нить)</t>
  </si>
  <si>
    <t>Рулевое колесо (руль) "Ferrum Group" Black, анатомическое для Лада Нива 4x4 (Салатовая нить)</t>
  </si>
  <si>
    <t>Рулевое колесо (руль) "Ferrum Group" Black, анатомическое для Лада Нива 4x4 (Светло-серая нить)</t>
  </si>
  <si>
    <t>Рулевое колесо (руль) "Ferrum Group" Black, анатомическое для Лада Нива 4x4 (Сине-зелёная нить)</t>
  </si>
  <si>
    <t>Рулевое колесо (руль) "Ferrum Group" Black, анатомическое для Лада Нива 4x4 (Синяя нить)</t>
  </si>
  <si>
    <t>Рулевое колесо (руль) "Ferrum Group" Black, анатомическое для Лада Нива 4x4 (Тёмно-серая нить)</t>
  </si>
  <si>
    <t>Рулевое колесо (руль) "Ferrum Group" Black, анатомическое для Лада Нива 4x4 (Фиолетовая нить)</t>
  </si>
  <si>
    <t>Рулевое колесо (руль) "Ferrum Group" Black, анатомическое для Лада Нива 4x4 (Чёрная нить)</t>
  </si>
  <si>
    <t>Рулевое колесо (руль) "Ferrum Group" Hunter, анатомическое для Лада Нива 4x4, Нива 4x4 Урбан, Нива Legend (Белая нить)</t>
  </si>
  <si>
    <t>Рулевое колесо (руль) "Ferrum Group" Hunter, анатомическое для Лада Нива 4x4, Нива 4x4 Урбан, Нива Legend (Жёлтая нить)</t>
  </si>
  <si>
    <t>Рулевое колесо (руль) "Ferrum Group" Hunter, анатомическое для Лада Нива 4x4, Нива 4x4 Урбан, Нива Legend (Зелёная нить)</t>
  </si>
  <si>
    <t>Рулевое колесо (руль) "Ferrum Group" Hunter, анатомическое для Лада Нива 4x4, Нива 4x4 Урбан, Нива Legend (Коричневая нить)</t>
  </si>
  <si>
    <t>Рулевое колесо (руль) "Ferrum Group" Hunter, анатомическое для Лада Нива 4x4, Нива 4x4 Урбан, Нива Legend (Красная нить)</t>
  </si>
  <si>
    <t>Рулевое колесо (руль) "Ferrum Group" Hunter, анатомическое для Лада Нива 4x4, Нива 4x4 Урбан, Нива Legend (Оранжевая нить)</t>
  </si>
  <si>
    <t>Рулевое колесо (руль) "Ferrum Group" Hunter, анатомическое для Лада Нива 4x4, Нива 4x4 Урбан, Нива Legend (Салатовая нить)</t>
  </si>
  <si>
    <t>Рулевое колесо (руль) "Ferrum Group" Hunter, анатомическое для Лада Нива 4x4, Нива 4x4 Урбан, Нива Legend (Светло-серая нить)</t>
  </si>
  <si>
    <t>Рулевое колесо (руль) "Ferrum Group" Hunter, анатомическое для Лада Нива 4x4, Нива 4x4 Урбан, Нива Legend (Сине-зелёная нить)</t>
  </si>
  <si>
    <t>Рулевое колесо (руль) "Ferrum Group" Hunter, анатомическое для Лада Нива 4x4, Нива 4x4 Урбан, Нива Legend (Синяя нить)</t>
  </si>
  <si>
    <t>Рулевое колесо (руль) "Ferrum Group" Hunter, анатомическое для Лада Нива 4x4, Нива 4x4 Урбан, Нива Legend (Тёмно-серая нить)</t>
  </si>
  <si>
    <t>Рулевое колесо (руль) "Ferrum Group" Hunter, анатомическое для Лада Нива 4x4, Нива 4x4 Урбан, Нива Legend (Фиолетовая нить)</t>
  </si>
  <si>
    <t>Рулевое колесо (руль) "Ferrum Group" Hunter, анатомическое для Лада Нива 4x4, Нива 4x4 Урбан, Нива Legend (Чёрная нить)</t>
  </si>
  <si>
    <t>Щиток комбинации приборов "Ferrum Group" (c отделкой из кожи) для Лада Калина 2, Гранта FL (Красная нить)</t>
  </si>
  <si>
    <t>Щиток комбинации приборов "Ferrum Group" (c отделкой из кожи) для Лада Калина 2, Гранта FL (Оранжевая нить)</t>
  </si>
  <si>
    <t>Щиток комбинации приборов "Ferrum Group" (c отделкой из кожи) для Лада Калина 2, Гранта FL (Светло-серая нить)</t>
  </si>
  <si>
    <t>Щиток комбинации приборов "Ferrum Group" (c отделкой из кожи) для Лада Калина 2, Гранта FL (Чёрная нить)</t>
  </si>
  <si>
    <t>https://ferrum.group/products/245</t>
  </si>
  <si>
    <t>https://ferrum.group/products/272</t>
  </si>
  <si>
    <t>Ручки "Ferrum Group" регулировки блока отопителя для Лада Приора (без кондиционера)</t>
  </si>
  <si>
    <t>Органайзер "Ferrum Group" на панель для Лада Ларгус</t>
  </si>
  <si>
    <t>Ручка КПП "Ferrum Group" для Лада (Ларгус, XRAY), Renault (Logan, Sandero) (Оранжевая нить)</t>
  </si>
  <si>
    <t>Ручка КПП "Ferrum Group" для Лада (Ларгус, XRAY), Renault (Logan, Sandero) (Светло-серая нить)</t>
  </si>
  <si>
    <t>Электронная комбинация приборов "Ferrum Group" GF 826 N для Лада Нива Legend (с 2020 г. в.) (Серебро)</t>
  </si>
  <si>
    <t>Электронная комбинация приборов "Ferrum Group" GF 826 N для Лада Нива Legend (с 2020 г. в.) (Хром)</t>
  </si>
  <si>
    <t>Электронная комбинация приборов "Ferrum Group" GF 826 N для Лада Нива Legend (с 2020 г. в.) (Чёрный)</t>
  </si>
  <si>
    <t>Накладки на педали Lada VESTA AMT</t>
  </si>
  <si>
    <t>Накладки на педали Lada Vesta MT</t>
  </si>
  <si>
    <t>Код</t>
  </si>
  <si>
    <t>https://ferrum.group/products/214</t>
  </si>
  <si>
    <t>Накладка решетки радиатора "Ferrum Group" для Лада Веста (Без покраски)</t>
  </si>
  <si>
    <t>Накладка решетки радиатора "Ferrum Group" для Лада Веста (В цвет, Ангкор (темно-коричневый, 246))</t>
  </si>
  <si>
    <t>Накладка решетки радиатора "Ferrum Group" для Лада Веста (В цвет, Блюз (темно-синий, 492))</t>
  </si>
  <si>
    <t>Накладка решетки радиатора "Ferrum Group" для Лада Веста (В цвет, Дайвинг (ярко-синий, 476))</t>
  </si>
  <si>
    <t>Накладка решетки радиатора "Ferrum Group" для Лада Веста (В цвет, Карфаген (бежевый, 247))</t>
  </si>
  <si>
    <t>Накладка решетки радиатора "Ferrum Group" для Лада Веста (В цвет, Криптон (темно-зеленый, 372))</t>
  </si>
  <si>
    <t>Накладка решетки радиатора "Ferrum Group" для Лада Веста (В цвет, Лайм (яркий желто-зеленый, 366))</t>
  </si>
  <si>
    <t>Накладка решетки радиатора "Ferrum Group" для Лада Веста (В цвет, Ледниковый (белый, 221))</t>
  </si>
  <si>
    <t>Накладка решетки радиатора "Ferrum Group" для Лада Веста (В цвет, Марс (оранжевый, 130))</t>
  </si>
  <si>
    <t>Накладка решетки радиатора "Ferrum Group" для Лада Веста (В цвет, Маэстро (черное стекло, 653))</t>
  </si>
  <si>
    <t>Накладка решетки радиатора "Ferrum Group" для Лада Веста (В цвет, Пантера (черная база, 672))</t>
  </si>
  <si>
    <t>Накладка решетки радиатора "Ferrum Group" для Лада Веста (В цвет, Платина (серебристо-бежевый, 691))</t>
  </si>
  <si>
    <t>Накладка решетки радиатора "Ferrum Group" для Лада Веста (В цвет, Плутон (темно-серый, 608))</t>
  </si>
  <si>
    <t>Накладка решетки радиатора "Ferrum Group" для Лада Веста (В цвет, Сердолик (темно-красный, 195))</t>
  </si>
  <si>
    <t>Накладка решетки радиатора "Ferrum Group" для Лада Веста (В цвет, Тайфун (серый, 616))</t>
  </si>
  <si>
    <t>Накладка решетки радиатора "Ferrum Group" для Лада Веста (В цвет, Уточнить у менеджера)</t>
  </si>
  <si>
    <t>Накладка решетки радиатора "Ferrum Group" для Лада Веста (В цвет, Фантом (темно-серо-голубой, 496))</t>
  </si>
  <si>
    <t>Накладка решетки радиатора "Ferrum Group" для Лада Веста (В цвет, Черная жемчужина (черный, 676))</t>
  </si>
  <si>
    <t>Ручка КПП "Ferrum Group" для Лада (Ларгус, XRAY), Renault (Logan, Sandero)</t>
  </si>
  <si>
    <t>Щиток комбинации приборов "Ferrum Group" (c отделкой из кожи) для Лада Калина 2, Гранта FL</t>
  </si>
  <si>
    <t>Электронная комбинация приборов "Ferrum Group" GF 826 N для Лада Нива Legend (с 2020 г. в.)</t>
  </si>
  <si>
    <t>Разн</t>
  </si>
  <si>
    <t>Рек</t>
  </si>
  <si>
    <t>%</t>
  </si>
  <si>
    <t>GF 826N Black</t>
  </si>
  <si>
    <t>Доп</t>
  </si>
  <si>
    <t>РРЦ &gt; 15% + FFA 7%</t>
  </si>
  <si>
    <t>https://motorring.ru/product/13254-organayzer-gamma-panely-lada-largus</t>
  </si>
  <si>
    <t>https://motorring.ru/product/34989-shilydik-serebryanyy-stoyki-dlya-lada-vesta</t>
  </si>
  <si>
    <t>https://motorring.ru/product/24833-ruchki-regulirovki-bloka-otopitelya-chrom-volkswagen-polo</t>
  </si>
  <si>
    <t>https://motorring.ru/product/24828-ruchki-regulirovki-bloka-otopitelya-serebo-daewoo-chevrolet</t>
  </si>
  <si>
    <t>https://motorring.ru/product/10486-ruchki-regulirovki-bloka-otopitelya-serebristoe-kolyco</t>
  </si>
  <si>
    <t>https://motorring.ru/product/13674-ruchki-regulirovki-bloka-otopitelya-chernoe-kolyco-shevrole</t>
  </si>
  <si>
    <t>https://motorring.ru/product/13675-ruchki-regulirovki-bloka-otopitelya-serebryanoe-kolyco</t>
  </si>
  <si>
    <t>https://motorring.ru/product/15226-ruchki-regulirovki-bloka-otopitelya-hrom-kolyco-lada-granta</t>
  </si>
  <si>
    <t>https://motorring.ru/product/3663-ruchki-regulirovki-bloka-otopitelya-chernoe-kolyco-lada</t>
  </si>
  <si>
    <t>https://motorring.ru/product/15554-ruchki-regulirovki-bloka-otopitelya-serebristoe-kolyco-lada</t>
  </si>
  <si>
    <t>https://motorring.ru/product/6186-ruchki-regulirovki-bloka-otopitelya-hrom-kolyco-lada-priora</t>
  </si>
  <si>
    <t>https://motorring.ru/product/1743</t>
  </si>
  <si>
    <t>https://motorring.ru/product/10487-programmator-gamma-910-dlya</t>
  </si>
  <si>
    <t>https://motorring.ru/product/24823-sumka-vkladysh-ferrum-bagaghnik-dlya-lada-kalina</t>
  </si>
  <si>
    <t>https://motorring.ru/product/24822-sumki-vkladyshi-ferrum-bagaghnik-lada-vesta</t>
  </si>
  <si>
    <t>https://motorring.ru/product/24825-sumki-organayzery-ferrum-bagaghnik-lada-niva-4h4</t>
  </si>
  <si>
    <t>https://motorring.ru/product/24826-sumki-vkladyshi-organayzery-derrum-bagaghnik-shevrole-niva</t>
  </si>
  <si>
    <t>https://motorring.ru/product/1729-perehodnik-gamma-921-dlya-kombinaciy-priborov-lada-priora</t>
  </si>
  <si>
    <t>https://motorring.ru/product/1394-bortovoy-kompyyuter-gamma-240-dlya-zaz-sens-chevrolet-lanos</t>
  </si>
  <si>
    <t>https://motorring.ru/product/34419-modelynaya-ruchka-kpp-ferrum-group-sport-dlya-lada-granta</t>
  </si>
  <si>
    <t>https://motorring.ru/product/34418-modelynaya-ruchka-kpp-black-club-bielastik-vaz-2107</t>
  </si>
  <si>
    <t>https://motorring.ru/product/24827-organayzer-spinku-kresla-ferrum-universalynyy</t>
  </si>
  <si>
    <t>https://motorring.ru/product/24845-nakladki-pedali-ferrum-amt-lada-vesta</t>
  </si>
  <si>
    <t>https://motorring.ru/product/24847-nakladki-pedali-ferrum-amt-1-6-lada-vesta</t>
  </si>
  <si>
    <t>https://motorring.ru/product/24837-nakladki-pedali-ferrum-amt-lada-iks-rey</t>
  </si>
  <si>
    <t>https://motorring.ru/product/24848-nakladki-pedali-ferrum-mkpp-lada-vesta</t>
  </si>
  <si>
    <t>https://motorring.ru/product/26111-modelynaya-ruchka-kpp-ferrum-sport-pylynikom-ekokoghi</t>
  </si>
  <si>
    <t>https://motorring.ru/product/14317-schitok-dlya-kombinacii-priborov-lada-granta</t>
  </si>
  <si>
    <t>https://motorring.ru/product/35089-schitok-otdelkoy-koghzama-dlya-kombinacii-priborov-lada-red</t>
  </si>
  <si>
    <t>https://motorring.ru/product/1398</t>
  </si>
  <si>
    <t>https://motorring.ru/product/1399</t>
  </si>
  <si>
    <t>https://motorring.ru/product/1406-bortovoy-kompyyuter-gamma-270-lada-priora</t>
  </si>
  <si>
    <t>https://motorring.ru/product/1404-bortovoy-kompyyuter-gamma-218t-lada-kalina</t>
  </si>
  <si>
    <t>https://motorring.ru/product/1411-bortovoy-kompyyuter-gamma-223-shevrole-niva</t>
  </si>
  <si>
    <t>https://motorring.ru/product/1416-parktronik-gamma-801-dlya-produkcii-gamma</t>
  </si>
  <si>
    <t>https://motorring.ru/product/1400-bortovoy-kompyyuter-gamma-412-vaz-2110-2112-staroy-panelyyu</t>
  </si>
  <si>
    <t>https://motorring.ru/product/1410-bortovoy-kompyyuter-gamma-241-dlya-lacetti-chevrolet-rezzo</t>
  </si>
  <si>
    <t>https://motorring.ru/product/21704-elektronnaya-kombinaciya-priborov-gamma-651-tonirovannaya</t>
  </si>
  <si>
    <t>https://motorring.ru/product/1738-elektronnaya-kombinaciya-priborov-gamma-619-lada-priora</t>
  </si>
  <si>
    <t>https://motorring.ru/product/1734-elektronnaya-kombinaciya-priborov-gamma-818-black-lada</t>
  </si>
  <si>
    <t>https://motorring.ru/product/1736-elektronnaya-kombinaciya-priborov-gamma-818-silver-lada</t>
  </si>
  <si>
    <t>https://motorring.ru/product/1732-elektronnaya-kombinaciya-priborov-gamma-819-black-lada</t>
  </si>
  <si>
    <t>https://motorring.ru/product/1703-elektronnaya-kombinaciya-priborov-gamma-616-vaz-2113-2115</t>
  </si>
  <si>
    <t>https://motorring.ru/product/1707-elektronnaya-kombinaciya-priborov-gamma-616-lada-niva-4h4</t>
  </si>
  <si>
    <t>https://motorring.ru/product/16163-elektronnaya-kombinaciya-priborov-gamma-616-shevrole-niva</t>
  </si>
  <si>
    <t>https://motorring.ru/product/1733-elektronnaya-kombinaciya-priborov-gamma-819-silver-lada</t>
  </si>
  <si>
    <t>https://motorring.ru/product/11514-elektronnaya-kombinaciya-priborov-gamma-825s-shevrole-niva</t>
  </si>
  <si>
    <t>https://motorring.ru/product/11463-elektronnaya-kombinaciya-priborov-gamma-825s-lada-niva-4h4</t>
  </si>
  <si>
    <t>https://motorring.ru/product/11464-elektronnaya-kombinaciya-priborov-gamma-825s-vaz-2113-2115</t>
  </si>
  <si>
    <t>https://motorring.ru/product/1709-elektronnaya-kombinaciya-priborov-gamma-607-vaz-2107</t>
  </si>
  <si>
    <t>https://motorring.ru/product/16426-elektronnaya-kombinaciya-priborov-gamma-821-lada-priora</t>
  </si>
  <si>
    <t>https://motorring.ru/product/16422-elektronnaya-kombinaciya-priborov-gamma-651s-lada-granta</t>
  </si>
  <si>
    <t>https://motorring.ru/product/13252-elektronnaya-kombinaciya-priborov-gamma-gf851l-lada-granta</t>
  </si>
  <si>
    <t>https://motorring.ru/product/1728-elektronnaya-kombinaciya-priborov-gamma-822-lada-priora</t>
  </si>
  <si>
    <t>https://motorring.ru/product/15479-elektronnaya-kombinaciya-priborov-gamma-822s-lada-priora</t>
  </si>
  <si>
    <t>https://motorring.ru/product/15555-elektronnaya-kombinaciya-priborov-gamma-826-vaz-2113-2115</t>
  </si>
  <si>
    <t>https://motorring.ru/product/19143-kombinaciya-priborov-gamma-940-light-edition-lada-vesta</t>
  </si>
  <si>
    <t>https://motorring.ru/product/13253-elektronnaya-kombinaciya-priborov-gamma-823-lada-priora</t>
  </si>
  <si>
    <t>https://motorring.ru/product/11462-elektronnaya-kombinaciya-priborov-gamma-851s-lada-granta</t>
  </si>
  <si>
    <t>https://motorring.ru/product/16421-elektronnaya-kombinaciya-priborov-gamma-841-shevrole</t>
  </si>
  <si>
    <t>https://motorring.ru/product/12425-elektronnaya-kombinaciya-priborov-gamma-841-shevrole</t>
  </si>
  <si>
    <t>https://motorring.ru/product/34954-kombinaciya-priborov-949-grand-premium-lada-vesta</t>
  </si>
  <si>
    <t>https://motorring.ru/product/19146-kombinaciya-priborov-gamma-940-premium-edition-lada-vesta</t>
  </si>
  <si>
    <t>https://motorring.ru/product/21693-elektronnaya-kombinaciya-priborov-gamma-851s-cross-lada</t>
  </si>
  <si>
    <t>https://motorring.ru/product/21697-kombinaciya-priborov-gamma-940-cross-serie-lada-vesta</t>
  </si>
  <si>
    <t>https://motorring.ru/product/19147-kombinaciya-priborov-gamma-940-sport-edition-lada-vesta</t>
  </si>
  <si>
    <t>https://motorring.ru/product/21696-kombinaciya-priborov-gamma-940-exclusive-edition-lada-vesta</t>
  </si>
  <si>
    <t>https://motorring.ru/product/39786-kombinaciya-priborov-gamma-940-limited-edition-lada-vesta</t>
  </si>
  <si>
    <t>https://motorring.ru/product/34992-kolpachki-stupic-stilizovannye-ferrumgroup-dlya-lada-vesta</t>
  </si>
  <si>
    <t>https://motorring.ru/product/36273-kombinaciya-priborov-949n-limited-turbo-schitkom-lada-vesta</t>
  </si>
  <si>
    <t>https://motorring.ru/product/34990-nakladki-porogi-ferrumgroup-dlya-lada-vesta</t>
  </si>
  <si>
    <t>https://motorring.ru/product/34950-kombinaciya-priborov-949n-turbo-schitkom-lada-vesta</t>
  </si>
  <si>
    <t>https://motorring.ru/product/34953-kombinaciya-priborov-949-grand-sport-lada-vesta</t>
  </si>
  <si>
    <t>https://motorring.ru/product/34955-kombinaciya-priborov-949-cross-serie-lada-vesta</t>
  </si>
  <si>
    <t>https://motorring.ru/product/34952-kombinaciya-priborov-949-exclusive-schitkom-oblicovki</t>
  </si>
  <si>
    <t>https://motorring.ru/product/40311-kombinaciya-priborov-826n-black-lada-4h4-niva-novoy-panel</t>
  </si>
  <si>
    <t>https://motorring.ru/product/16314-elektronnaya-kombinaciya-priborov-gamma-826-lada-niva-4h4</t>
  </si>
  <si>
    <t>https://motorring.ru/product/16412-elektronnaya-kombinaciya-priborov-gamma-826-hrom-vaz</t>
  </si>
  <si>
    <t>https://motorring.ru/product/16313-elektronnaya-kombinaciya-priborov-gamma-826-shevrole-niva</t>
  </si>
  <si>
    <t>https://motorring.ru/product/27172-elektronnaya-kombinaciya-priborov-gamma-826-travel-shevrole</t>
  </si>
  <si>
    <t>https://motorring.ru/product/13479-elektronnaya-kombinaciya-priborov-gamma-826-hrom-shevrole</t>
  </si>
  <si>
    <t>https://motorring.ru/product/21705-elektronnaya-kombinaciya-priborov-gamma-826-hrom-lada-niva</t>
  </si>
  <si>
    <t>Column1</t>
  </si>
  <si>
    <t>Column2</t>
  </si>
  <si>
    <t>//*[@id="e-curr-price"]/text()</t>
  </si>
  <si>
    <t>//*[@class="p_club_price pb5"]/text()</t>
  </si>
  <si>
    <t>//*[@class="price"]/text()</t>
  </si>
  <si>
    <t>Column9</t>
  </si>
  <si>
    <t>Column10</t>
  </si>
  <si>
    <t>Column11</t>
  </si>
  <si>
    <t>Column12</t>
  </si>
  <si>
    <t>Column13</t>
  </si>
  <si>
    <t>Column14</t>
  </si>
  <si>
    <t>Column15</t>
  </si>
  <si>
    <t>Column16</t>
  </si>
  <si>
    <t>Column17</t>
  </si>
  <si>
    <t>Column18</t>
  </si>
  <si>
    <t>Column19</t>
  </si>
  <si>
    <t>Ссылка</t>
  </si>
  <si>
    <t>Цена</t>
  </si>
  <si>
    <t>//*[@class="price discounted"]/text()</t>
  </si>
  <si>
    <t>Парс</t>
  </si>
  <si>
    <t>MR</t>
  </si>
  <si>
    <t>Ст З</t>
  </si>
  <si>
    <t>Ст Р</t>
  </si>
  <si>
    <t>Прайс  с 05.02.2024</t>
  </si>
  <si>
    <t>GF 890 X-RAY (Exclusive, Cross)</t>
  </si>
  <si>
    <t>GF 940 Black</t>
  </si>
  <si>
    <t>GF 949 Black</t>
  </si>
  <si>
    <t>Накладки на педали Х-RAY AMT</t>
  </si>
  <si>
    <t>https://motorring.ru/product/24807-sportivnyy-anatomicheskiy-ruly-ferrum-cross</t>
  </si>
  <si>
    <t>https://motorring.ru/product/24810-sportivnyy-anatomicheskiy-ruly-ferrum-cross-serie</t>
  </si>
  <si>
    <t>https://motorring.ru/product/24804-sportivnyy-anatomicheskiy-ruly-ferrum-sport</t>
  </si>
  <si>
    <t>https://motorring.ru/product/24815-sportivnyy-anatomicheskiy-ruly-ferrum-grand-sport</t>
  </si>
  <si>
    <t>https://motorring.ru/product/24817-sportivnyy-anatomicheskiy-ruly-ferrum-lite</t>
  </si>
  <si>
    <t>https://motorring.ru/product/24806-sportivnyy-anatomicheskiy-ruly-ferrum-premium</t>
  </si>
  <si>
    <t>https://motorring.ru/product/24808-sportivnyy-anatomicheskiy-ruly-ferrum-grand-premium</t>
  </si>
  <si>
    <t>https://motorring.ru/product/24809-sportivnyy-anatomicheskiy-ruly-ferrum-grand-premium-alkantara</t>
  </si>
  <si>
    <t>https://motorring.ru/product/24816-sportivnyy-anatomicheskiy-ruly-ferrum-grand-sport-alkantara</t>
  </si>
  <si>
    <t>https://motorring.ru/product/24813-sportivnyy-anatomicheskiy-ruly-ferrum-exclusive-alkantara</t>
  </si>
  <si>
    <t>https://motorring.ru/product/24812-sportivnyy-anatomicheskiy-ruly-ferrum-exclusive</t>
  </si>
  <si>
    <t>https://motorring.ru/product/36889-modelynaya-ruchka-cvt-ferrum-krasnaya-ekokoghi-vesta</t>
  </si>
  <si>
    <t>https://motorring.ru/product/24859-datchiki-davleniya-vozduha-shinah-tpms-ferrum-group-lada</t>
  </si>
  <si>
    <t>https://motorring.ru/product/34421-modelynaya-ruchka-kpp-ferrum-group-led-podsvetkoy-lada-vesta</t>
  </si>
  <si>
    <t>https://motorring.ru/product/24832-blok-upravleniya-otopitelem-ruchkami-ferrum-dlya-daewoo</t>
  </si>
  <si>
    <t>https://motorring.ru/product/29216-modelynaya-ruchka-kpp-pylynikom-ferrum-limited-edition2</t>
  </si>
  <si>
    <t>https://motorring.ru/product/26107-modelynaya-ruchka-kpp-ferrum-cross-serie-pylynikom-ekokoghi</t>
  </si>
  <si>
    <t>https://motorring.ru/product/26106-modelynaya-ruchka-kpp-ferrum-exclusive-pylynikom-ekokoghi</t>
  </si>
  <si>
    <t>https://motorring.ru/product/26108-modelynaya-ruchka-kpp-ferrum-grand-sport-pylynikom-ekokoghi</t>
  </si>
  <si>
    <t>https://motorring.ru/product/34417-modelynaya-ruchka-kpp-ferrum-group-bielastik-vaz-2107</t>
  </si>
  <si>
    <t>https://motorring.ru/product/29219-modelynaya-ruchka-kpp-ferrum-grand-sport2-pylynikom-ekokoghi</t>
  </si>
  <si>
    <t>https://motorring.ru/product/26109-modelynaya-ruchka-kpp-ferrum-grand-premium-pylynikom</t>
  </si>
  <si>
    <t>https://motorring.ru/product/27756-modelynaya-ruchka-kpp-ferrum-pylynikom-ekokoghi-dlya-lada</t>
  </si>
  <si>
    <t>https://motorring.ru/product/16240-elektronnaya-kombinaciya-priborov-gamma-890-serebro-largus</t>
  </si>
  <si>
    <t>https://motorring.ru/product/16239-elektronnaya-kombinaciya-priborov-gamma-890-hrom-largus</t>
  </si>
  <si>
    <t>https://motorring.ru/product/16358-elektronnaya-kombinaciya-priborov-gamma-890-chernye-kolyca</t>
  </si>
  <si>
    <t>https://motorring.ru/product/22274-elektronnaya-kombinaciya-priborov-gamma-890-exclusive-lada</t>
  </si>
  <si>
    <t>https://motorring.ru/product/21694-elektronnaya-kombinaciya-priborov-gamma-890-cross-lada</t>
  </si>
  <si>
    <t>https://motorring.ru/product/21695-elektronnaya-kombinaciya-priborov-gamma-890-x-ray-cross</t>
  </si>
  <si>
    <t>https://motorring.ru/product/21703-elektronnaya-kombinaciya-priborov-gamma-890-ph2-serebro</t>
  </si>
  <si>
    <t>https://motorring.ru/product/21701-elektronnaya-kombinaciya-priborov-gamma-890-ph2-chernye</t>
  </si>
  <si>
    <t>https://motorring.ru/product/21702-elektronnaya-kombinaciya-priborov-gamma-890-ph2-hrom-logan</t>
  </si>
  <si>
    <t>https://motorring.ru/product/34986-ruly-ferrum-hunter-anatomicheskiy-dlya-vaz-2107-lada-4h4</t>
  </si>
  <si>
    <t>https://motorring.ru/product/34982-ruly-ferrum-group-anatomicheskiy-dlya-vaz-2107-lada-niva</t>
  </si>
  <si>
    <t>https://motorring.ru/product/24811-sportivnyy-anatomicheskiy-ruly-ferrum-cross-serie-alkantara</t>
  </si>
  <si>
    <t>https://motorring.ru/product/27174-anatomicheskoe-rulevoe-koleso-ferrum-group-limited-carbon</t>
  </si>
  <si>
    <t>Из ГУГЛа</t>
  </si>
  <si>
    <t>Коэф.</t>
  </si>
  <si>
    <t>Column3</t>
  </si>
  <si>
    <t>Column4</t>
  </si>
  <si>
    <t>#VALUE!</t>
  </si>
  <si>
    <t>#VALUE!_1</t>
  </si>
  <si>
    <t>Column7</t>
  </si>
  <si>
    <t>Column8</t>
  </si>
  <si>
    <t>Column20</t>
  </si>
  <si>
    <t>Column21</t>
  </si>
  <si>
    <t>https://docs.google.com/spreadsheets/d/1f8_y-lcqVEuKpceVw_F97NEKzue5YmQtx8GIXUS_2B8/export?format=xlsx</t>
  </si>
  <si>
    <t/>
  </si>
  <si>
    <t>1990</t>
  </si>
  <si>
    <t>1849</t>
  </si>
  <si>
    <t>1890</t>
  </si>
  <si>
    <t>2190</t>
  </si>
  <si>
    <t>3190</t>
  </si>
  <si>
    <t>2690</t>
  </si>
  <si>
    <t>2890</t>
  </si>
  <si>
    <t>3790</t>
  </si>
  <si>
    <t>3290</t>
  </si>
  <si>
    <t>4290</t>
  </si>
  <si>
    <t>7290</t>
  </si>
  <si>
    <t>5090</t>
  </si>
  <si>
    <t>7890</t>
  </si>
  <si>
    <t>6790</t>
  </si>
  <si>
    <t>8790</t>
  </si>
  <si>
    <t>2590</t>
  </si>
  <si>
    <t>5890</t>
  </si>
  <si>
    <t>6490</t>
  </si>
  <si>
    <t>6890</t>
  </si>
  <si>
    <t>8590</t>
  </si>
  <si>
    <t>9690</t>
  </si>
  <si>
    <t>9190</t>
  </si>
  <si>
    <t>11190</t>
  </si>
  <si>
    <t>9890</t>
  </si>
  <si>
    <t>10290</t>
  </si>
  <si>
    <t>11290</t>
  </si>
  <si>
    <t>13490</t>
  </si>
  <si>
    <t>13590</t>
  </si>
  <si>
    <t>14090</t>
  </si>
  <si>
    <t>49390</t>
  </si>
  <si>
    <t>39990</t>
  </si>
  <si>
    <t>41190</t>
  </si>
  <si>
    <t>41490</t>
  </si>
  <si>
    <t>41790</t>
  </si>
  <si>
    <t>42290</t>
  </si>
  <si>
    <t>56790</t>
  </si>
  <si>
    <t>60590</t>
  </si>
  <si>
    <t>68190</t>
  </si>
  <si>
    <t>65190</t>
  </si>
  <si>
    <t>74390</t>
  </si>
  <si>
    <t>70790</t>
  </si>
  <si>
    <t>75190</t>
  </si>
  <si>
    <t>75790</t>
  </si>
  <si>
    <t>76190</t>
  </si>
  <si>
    <t>70190</t>
  </si>
  <si>
    <t>78690</t>
  </si>
  <si>
    <t>80790</t>
  </si>
  <si>
    <t>87390</t>
  </si>
  <si>
    <t>86390</t>
  </si>
  <si>
    <t>82990</t>
  </si>
  <si>
    <t>83890</t>
  </si>
  <si>
    <t>86190</t>
  </si>
  <si>
    <t>85190</t>
  </si>
  <si>
    <t>85890</t>
  </si>
  <si>
    <t>84590</t>
  </si>
  <si>
    <t>88190</t>
  </si>
  <si>
    <t>85790</t>
  </si>
  <si>
    <t>85990</t>
  </si>
  <si>
    <t>87490</t>
  </si>
  <si>
    <t>87590</t>
  </si>
  <si>
    <t>87690</t>
  </si>
  <si>
    <t>87890</t>
  </si>
  <si>
    <t>93590</t>
  </si>
  <si>
    <t>11990</t>
  </si>
  <si>
    <t>11790</t>
  </si>
  <si>
    <t>103690</t>
  </si>
  <si>
    <t>101190</t>
  </si>
  <si>
    <t>86990</t>
  </si>
  <si>
    <t>43790</t>
  </si>
  <si>
    <t>Элемент</t>
  </si>
  <si>
    <t>Наименование элемента</t>
  </si>
  <si>
    <t>Y / N</t>
  </si>
  <si>
    <t>Каталожный номер</t>
  </si>
  <si>
    <t>Артикул поставщика</t>
  </si>
  <si>
    <t>Ссылка на конкурентов</t>
  </si>
  <si>
    <t>Кол-во</t>
  </si>
  <si>
    <t>Склад</t>
  </si>
  <si>
    <t>(дубль) Ручки отопителя "Ferrum Group" (серебро) для Лада Приора (без кондиционера)</t>
  </si>
  <si>
    <t>N</t>
  </si>
  <si>
    <t>Y</t>
  </si>
  <si>
    <t>(дубль) Ручки отопителя "Ferrum Group" (серебряные кольца) для Лада Калина, Калина 2, Гранта</t>
  </si>
  <si>
    <t>(дубль) Ручки отопителя "Ferrum Group" (чёрные кольца) для Лада Калина, Калина 2, Гранта</t>
  </si>
  <si>
    <t>0</t>
  </si>
  <si>
    <t>Руль анатомический "Ferrum Group" FG ТRAVELER (со вставками из алькантары) для Шевроле Нива, Лада Нива Travel</t>
  </si>
  <si>
    <t>Руль анатомический "Ferrum" Grand Sport (со вставками из алькантары) для Лада Веста, XRAY</t>
  </si>
  <si>
    <t>Руль анатомический "Ferrum" Vesta Exclusive для Лада Веста, XRAY</t>
  </si>
  <si>
    <t>Руль анатомический "Ferrum" Vesta Grand Premium для Лада Веста, XRAY</t>
  </si>
  <si>
    <t>Руль анатомический "Ferrum" Vesta Lite для Лада Веста, XRAY</t>
  </si>
  <si>
    <t>Ручка КПП "Ferrum Group" Cross Serie для Лада Веста</t>
  </si>
  <si>
    <t>Ручка КПП "Ferrum Group" Exclusive для Лада Веста</t>
  </si>
  <si>
    <t>Ручка КПП "Ferrum Group" Grand Premium для Лада Веста</t>
  </si>
  <si>
    <t>Ручка КПП "Ferrum Group" Grand Sport для Лада Веста Спорт</t>
  </si>
  <si>
    <t>Ручка КПП "Ferrum Group" Premium для Лада Веста</t>
  </si>
  <si>
    <t>Ручка КПП "Ferrum Group" Sport для Лада Веста Спорт</t>
  </si>
  <si>
    <t>Электронная комбинация приборов "Ferrum Group" GF 610 для ВАЗ (2108-21099, 2110-2112 (панель с/о), 2113-2115), Лада Нива 4х4, Шевроле Нива</t>
  </si>
  <si>
    <t>Электронная комбинация приборов "Ferrum Group" GF 610SL для ВАЗ (2108-21099, 2110-2112 (панель с/о), 2113-2115), Лада Нива 4х4, Шевроле Нива</t>
  </si>
  <si>
    <t>Электронная комбинация приборов "Ferrum Group" GF 614 для Лада Нива 4х4 (инжекторный двигатель)</t>
  </si>
  <si>
    <t>Электронная комбинация приборов "Ferrum Group" GF 617 SL для ВАЗ 2110-12 (европанель), Лада (Калина, Приора)</t>
  </si>
  <si>
    <t>Электронная комбинация приборов "Ferrum Group" GF 617 для ВАЗ 2110-2112 (европанель), Лада (Калина, Приора)</t>
  </si>
  <si>
    <t>Электронная комбинация приборов "Ferrum Group" GF 625 black для ВАЗ 2110-2112, 2113-2115</t>
  </si>
  <si>
    <t>Электронная комбинация приборов "Ferrum Group" GF 625 silver для ВАЗ (2110-2112 (панель с/о), 2113-2115), Шевроле Нива</t>
  </si>
  <si>
    <t>Электронная комбинация приборов "Ferrum Group" GF 625 для Шевроле Нива</t>
  </si>
  <si>
    <t>Электронная комбинация приборов "Ferrum Group" GF 642 для ЗАЗ Sens, Chevrolet Lanos</t>
  </si>
  <si>
    <t>Электронная комбинация приборов "Ferrum Group" GF 643 для ЗАЗ Sens, Chevrolet Lanos</t>
  </si>
  <si>
    <t>Электронная комбинация приборов "Ferrum Group" GF 645 для Chevrolet Lacetti</t>
  </si>
  <si>
    <t>Электронная комбинация приборов "Ferrum Group" GF 690 для Лада Ларгус, Renault (Logan, Sandero)</t>
  </si>
  <si>
    <t>Электронная комбинация приборов "Ferrum Group" GF 818 для ВАЗ 2110-12 (европанель), Лада (Калина, Приора)</t>
  </si>
  <si>
    <t>Электронная комбинация приборов "Ferrum Group" GF 841 avtomat для Daewoo Gentra AT</t>
  </si>
  <si>
    <t>Электронная комбинация приборов "Ferrum Group" GF 841 для Chevrolet Lacetti</t>
  </si>
  <si>
    <t>Элемент каталога</t>
  </si>
  <si>
    <t>Код товара</t>
  </si>
  <si>
    <t>Ряд</t>
  </si>
  <si>
    <t>Анатомическое рулевое колесо (руль) "Ferrum Group" Arkana со вставками из алькантары для Renault Arkana</t>
  </si>
  <si>
    <t>Анатомическое рулевое колесо (руль) "Ferrum Group" Arkana со вставками из алькантары для Renault Arkana (Белая нить)</t>
  </si>
  <si>
    <t>Анатомическое рулевое колесо (руль) "Ferrum Group" Arkana со вставками из алькантары для Renault Arkana (Жёлтая нить)</t>
  </si>
  <si>
    <t>Анатомическое рулевое колесо (руль) "Ferrum Group" Arkana со вставками из алькантары для Renault Arkana (Зелёная нить)</t>
  </si>
  <si>
    <t>Анатомическое рулевое колесо (руль) "Ferrum Group" Arkana со вставками из алькантары для Renault Arkana (Коричневая нить)</t>
  </si>
  <si>
    <t>Анатомическое рулевое колесо (руль) "Ferrum Group" Arkana со вставками из алькантары для Renault Arkana (Красная нить)</t>
  </si>
  <si>
    <t>Анатомическое рулевое колесо (руль) "Ferrum Group" Arkana со вставками из алькантары для Renault Arkana (Оранжевая нить)</t>
  </si>
  <si>
    <t>Анатомическое рулевое колесо (руль) "Ferrum Group" Arkana со вставками из алькантары для Renault Arkana (Салатовая нить)</t>
  </si>
  <si>
    <t>Анатомическое рулевое колесо (руль) "Ferrum Group" Arkana со вставками из алькантары для Renault Arkana (Светло-серая нить)</t>
  </si>
  <si>
    <t>Анатомическое рулевое колесо (руль) "Ferrum Group" Arkana со вставками из алькантары для Renault Arkana (Сине-зелёная нить)</t>
  </si>
  <si>
    <t>Анатомическое рулевое колесо (руль) "Ferrum Group" Arkana со вставками из алькантары для Renault Arkana (Синяя нить)</t>
  </si>
  <si>
    <t>Анатомическое рулевое колесо (руль) "Ferrum Group" Arkana со вставками из алькантары для Renault Arkana (Тёмно-серая нить)</t>
  </si>
  <si>
    <t>Анатомическое рулевое колесо (руль) "Ferrum Group" Arkana со вставками из алькантары для Renault Arkana (Фиолетовая нить)</t>
  </si>
  <si>
    <t>Анатомическое рулевое колесо (руль) "Ferrum Group" Arkana со вставками из алькантары для Renault Arkana (Чёрная нить)</t>
  </si>
  <si>
    <t>Модельная ручка КПП "Ferrum Group" для Лада Веста (Белая R)</t>
  </si>
  <si>
    <t>Модельная ручка КПП "Ferrum Group" для Лада Веста (Красная R)</t>
  </si>
  <si>
    <t>Модельная ручка КПП "Ferrum Group" для Лада Веста (с вариатором) (Красный)</t>
  </si>
  <si>
    <t>Модельная ручка КПП "Ferrum Group" для Лада Веста (с вариатором) (Оранжевый)</t>
  </si>
  <si>
    <t>Модельная ручка КПП "Ferrum Group" для Лада Веста (с вариатором) (Синий)</t>
  </si>
  <si>
    <t>Модельная ручка КПП "Ferrum Group" для Лада Веста (с вариатором) (Чёрный)</t>
  </si>
  <si>
    <t>Руль "Ferrum Group" Black, анатомическое для ВАЗ 2101-2107</t>
  </si>
  <si>
    <t>Руль "Ferrum Group" Black, анатомическое для Лада Нива 4x4</t>
  </si>
  <si>
    <t>Руль "Ferrum Group" Hunter, анатомическое для Лада Нива 4x4, Нива 4x4 Урбан, Нива Legend</t>
  </si>
  <si>
    <t>Руль анатомический "Ferrum Group" (со вставками из алькантары) для Лада (Калина, Приора), Шевроле Нива</t>
  </si>
  <si>
    <t>Анатомическое рулевое колесо (руль) "Ferrum Group" (со вставками из алькантары) для Лада (Калина, Приора), Шевроле Нива (Жёлтая нить)</t>
  </si>
  <si>
    <t>Руль анатомический "Ferrum Group" Hunter для ВАЗ 2108-21099, 2113-2115</t>
  </si>
  <si>
    <t>Руль анатомический "Ferrum" Cross Serie (со вставками из алькантары) для Лада Веста, XRAY</t>
  </si>
  <si>
    <t>Руль анатомический "Ferrum" Cross Serie с обогревом (вставки из алькантары) для Лада Ларгус FL, Веста, XRAY</t>
  </si>
  <si>
    <t>Руль анатомический "Ferrum" Cross Serie с обогревом для Лада Ларгус FL, Веста, XRAY</t>
  </si>
  <si>
    <t>Руль анатомический "Ferrum" CROSS с обогревом для Лада Ларгус, Веста, XRAY</t>
  </si>
  <si>
    <t>Руль анатомический "Ferrum" Exclusive (со вставками из алькантары) для Лада Веста, XRAY</t>
  </si>
  <si>
    <t>Руль анатомический "Ferrum" Exclusive с обогревом (вставки из алькантары) для Лада Веста, Ларгус FL, XRAY</t>
  </si>
  <si>
    <t>Руль анатомический "Ferrum" Exclusive с обогревом для Лада Ларгус FL, Веста, XRAY</t>
  </si>
  <si>
    <t>Руль анатомический "Ferrum" Grand Premium (с обогревом) для Лада Ларгус FL, Веста, XRAY</t>
  </si>
  <si>
    <t>Руль анатомический "Ferrum" Grand Premium (со вставками из алькантары) для Лада Веста, XRAY</t>
  </si>
  <si>
    <t>Руль анатомический "Ferrum" Grand Premium с обогревом (вставки из алькантары) для Лада Ларгус FL, Веста, XRAY</t>
  </si>
  <si>
    <t>Руль анатомический "Ferrum" Grand Sport для Лада Веста, XRAY</t>
  </si>
  <si>
    <t>Руль анатомический "Ferrum" Grand Sport с обогревом (вставки из алькантары) для Лада Ларгус FL, Веста, XRAY</t>
  </si>
  <si>
    <t>Руль анатомический "Ferrum" Grand Sport с обогревом для Лада Ларгус FL, Веста, XRAY</t>
  </si>
  <si>
    <t>Руль анатомический "Ferrum" Limited Edition карбон, вставки алькантара для Лада Ларгус FL, Веста, XRAY</t>
  </si>
  <si>
    <t>Руль анатомический "Ferrum" Limited Edition с обогревом (карбон, вставки алькантара) для Лада Ларгус FL, Веста, XRAY</t>
  </si>
  <si>
    <t>Руль анатомический "Ferrum" Lite с обогревом для Лада Ларгус FL, Веста, XRAY</t>
  </si>
  <si>
    <t>Руль анатомический "Ferrum" Premium с обогревом для Лада Ларгус FL, Веста, XRAY</t>
  </si>
  <si>
    <t>Руль анатомический "Ferrum" SPORT с обогревом для Лада Ларгус FL, Веста, XRAY</t>
  </si>
  <si>
    <t>Руль анатомический "Ferrum" Vesta Cross для Лада Веста, XRAY</t>
  </si>
  <si>
    <t>Ручки отопителя "Ferrum Group" для Лада Калина, Калина 2, Гранта</t>
  </si>
  <si>
    <t>Ручки отопителя "Ferrum Group" для Лада Калина, Калина 2, Гранта (Серебро)</t>
  </si>
  <si>
    <t>Ручки отопителя "Ferrum Group" для Лада Калина, Калина 2, Гранта (Хром)</t>
  </si>
  <si>
    <t>Ручки отопителя "Ferrum Group" для Лада Калина, Калина 2, Гранта (Чёрный)</t>
  </si>
  <si>
    <t>Электронная комбинация приборов "Ferrum Group" GF 641 для Chevrolet Lacetti</t>
  </si>
  <si>
    <t>Электронная комбинация приборов "Ferrum Group" GF 890 PH2 (серебро) для Лада Ларгус FL, Nissan Terrano IV, Renault (Dokker, Duster (PH2), Duster Diesel (PH2), Logan II, Sandero II) (Без АБС, Оранжевая)</t>
  </si>
  <si>
    <t>Электронная комбинация приборов "Ferrum Group" GF 890 PH2 (серебро) для Лада Ларгус FL, Nissan Terrano IV, Renault (Dokker, Duster (PH2), Duster Diesel (PH2), Logan II, Sandero II) (Без АБС, Серо-голубая)</t>
  </si>
  <si>
    <t>Электронная комбинация приборов "Ferrum Group" GF 890 PH2 (серебро) для Лада Ларгус FL, Nissan Terrano IV, Renault (Dokker, Duster (PH2), Duster Diesel (PH2), Logan II, Sandero II) (С АБС, Оранжевая)</t>
  </si>
  <si>
    <t>Электронная комбинация приборов "Ferrum Group" GF 890 PH2 (серебро) для Лада Ларгус FL, Nissan Terrano IV, Renault (Dokker, Duster (PH2), Duster Diesel (PH2), Logan II, Sandero II) (С АБС, Серо-голубая)</t>
  </si>
  <si>
    <t>Электронная комбинация приборов "Ferrum Group" GF 890 PH2 (хром) для для Лада Ларгус FL, Nissan Terrano IV, Renault (Dokker, Duster (PH2), Duster Diesel (PH2), Logan II, Sandero II) (Без АБС, Оранжевая)</t>
  </si>
  <si>
    <t>Электронная комбинация приборов "Ferrum Group" GF 890 PH2 (хром) для для Лада Ларгус FL, Nissan Terrano IV, Renault (Dokker, Duster (PH2), Duster Diesel (PH2), Logan II, Sandero II) (Без АБС, Серо-голубая)</t>
  </si>
  <si>
    <t>Электронная комбинация приборов "Ferrum Group" GF 890 PH2 (хром) для для Лада Ларгус FL, Nissan Terrano IV, Renault (Dokker, Duster (PH2), Duster Diesel (PH2), Logan II, Sandero II) (С АБС, Оранжевая)</t>
  </si>
  <si>
    <t>Электронная комбинация приборов "Ferrum Group" GF 890 PH2 (хром) для для Лада Ларгус FL, Nissan Terrano IV, Renault (Dokker, Duster (PH2), Duster Diesel (PH2), Logan II, Sandero II) (С АБС, Серо-голубая)</t>
  </si>
  <si>
    <t>Электронная комбинация приборов "Ferrum Group" GF 890 PH2 (чёрные кольца) для Лада Ларгус FL, Nissan Terrano IV, Renault (Dokker, Duster (PH2), Duster Diesel (PH2), Logan II, Sandero II) (Без АБС, Оранжевая)</t>
  </si>
  <si>
    <t>Электронная комбинация приборов "Ferrum Group" GF 890 PH2 (чёрные кольца) для Лада Ларгус FL, Nissan Terrano IV, Renault (Dokker, Duster (PH2), Duster Diesel (PH2), Logan II, Sandero II) (Без АБС, Серо-голубая)</t>
  </si>
  <si>
    <t>Электронная комбинация приборов "Ferrum Group" GF 890 PH2 (чёрные кольца) для Лада Ларгус FL, Nissan Terrano IV, Renault (Dokker, Duster (PH2), Duster Diesel (PH2), Logan II, Sandero II) (С АБС, Оранжевая)</t>
  </si>
  <si>
    <t>Электронная комбинация приборов "Ferrum Group" GF 890 PH2 (чёрные кольца) для Лада Ларгус FL, Nissan Terrano IV, Renault (Dokker, Duster (PH2), Duster Diesel (PH2), Logan II, Sandero II) (С АБС, Серо-голубая)</t>
  </si>
  <si>
    <t>Электронная комбинация приборов "Ferrum Group" GF 940 Light Edition для Лада Веста (Алькантара, Белые стрелки)</t>
  </si>
  <si>
    <t>Электронная комбинация приборов "Ferrum Group" GF 940 Light Edition для Лада Веста (Алькантара, Красные стрелки)</t>
  </si>
  <si>
    <t>Электронная комбинация приборов "Ferrum Group" GF 940 Light Edition для Лада Веста (Пластик Soft-touch, Белые стрелки)</t>
  </si>
  <si>
    <t>Электронная комбинация приборов "Ferrum Group" GF 940 Light Edition для Лада Веста (Пластик Soft-touch, Красные стрелки)</t>
  </si>
  <si>
    <t>Электронная комбинация приборов "Ferrum Group" GF 940 Light Edition для Лада Веста (Экокожа, Белые стрелки)</t>
  </si>
  <si>
    <t>Электронная комбинация приборов "Ferrum Group" GF 940 Light Edition для Лада Веста (Экокожа, Красные стрелки)</t>
  </si>
  <si>
    <t>Электронная комбинация приборов "Ferrum Group" GF 940 PREMIUM Edition для Лада Веста</t>
  </si>
  <si>
    <t>Электронная комбинация приборов "Ferrum Group" GF 940 PREMIUM Edition для Лада Веста (Алькантара, Оранжевые шкалы)</t>
  </si>
  <si>
    <t>Электронная комбинация приборов "Ferrum Group" GF 940 PREMIUM Edition для Лада Веста (Алькантара, Серо-голубые шкалы)</t>
  </si>
  <si>
    <t>Электронная комбинация приборов "Ferrum Group" GF 940 PREMIUM Edition для Лада Веста (Пластик Soft-touch, Оранжевые шкалы)</t>
  </si>
  <si>
    <t>Электронная комбинация приборов "Ferrum Group" GF 940 PREMIUM Edition для Лада Веста (Пластик Soft-touch, Серо-голубые шкалы)</t>
  </si>
  <si>
    <t>Электронная комбинация приборов "Ferrum Group" GF 940 PREMIUM Edition для Лада Веста (Экокожа, Оранжевые шкалы)</t>
  </si>
  <si>
    <t>Электронная комбинация приборов "Ferrum Group" GF 940 PREMIUM Edition для Лада Веста (Экокожа, Серо-голубые шкалы)</t>
  </si>
  <si>
    <t>Электронная комбинация приборов "Ferrum Group" GF 940 SPORT Edition для Лада Веста (Алькантара, Белые шкалы)</t>
  </si>
  <si>
    <t>Электронная комбинация приборов "Ferrum Group" GF 940 SPORT Edition для Лада Веста (Алькантара, Красные шкалы)</t>
  </si>
  <si>
    <t>Электронная комбинация приборов "Ferrum Group" GF 940 SPORT Edition для Лада Веста (Пластик Soft-touch, Белые шкалы)</t>
  </si>
  <si>
    <t>Электронная комбинация приборов "Ferrum Group" GF 940 SPORT Edition для Лада Веста (Пластик Soft-touch, Красные шкалы)</t>
  </si>
  <si>
    <t>Электронная комбинация приборов "Ferrum Group" GF 940 SPORT Edition для Лада Веста (Экокожа, Белые шкалы)</t>
  </si>
  <si>
    <t>Электронная комбинация приборов "Ferrum Group" GF 940 SPORT Edition для Лада Веста (Экокожа, Красные шкалы)</t>
  </si>
  <si>
    <t>Электронная комбинация приборов "Ferrum Group" GF 949 CROSS Serie для Лада Веста (Алькантара)</t>
  </si>
  <si>
    <t>Электронная комбинация приборов "Ferrum Group" GF 949 CROSS Serie для Лада Веста (Пластик Soft-touch)</t>
  </si>
  <si>
    <t>Электронная комбинация приборов "Ferrum Group" GF 949 CROSS Serie для Лада Веста (Экокожа)</t>
  </si>
  <si>
    <t>Электронная комбинация приборов "Ferrum Group" GF 949 Exclusive для Лада Веста (Алькантара)</t>
  </si>
  <si>
    <t>Электронная комбинация приборов "Ferrum Group" GF 949 Exclusive для Лада Веста (Пластик Soft-touch)</t>
  </si>
  <si>
    <t>Электронная комбинация приборов "Ferrum Group" GF 949 Exclusive для Лада Веста (Экокожа)</t>
  </si>
  <si>
    <t>Электронная комбинация приборов "Ferrum Group" GF 949 GRAND Premium для Лада Веста (Алькантара)</t>
  </si>
  <si>
    <t>Электронная комбинация приборов "Ferrum Group" GF 949 GRAND Premium для Лада Веста (Пластик Soft-touch)</t>
  </si>
  <si>
    <t>Электронная комбинация приборов "Ferrum Group" GF 949 GRAND Premium для Лада Веста (Экокожа)</t>
  </si>
  <si>
    <t>Электронная комбинация приборов "Ferrum Group" GF 949 GRAND Sport для Лада Веста (Алькантара)</t>
  </si>
  <si>
    <t>Электронная комбинация приборов "Ferrum Group" GF 949 GRAND Sport для Лада Веста (Пластик Soft-touch)</t>
  </si>
  <si>
    <t>Электронная комбинация приборов "Ferrum Group" GF 949 GRAND Sport для Лада Веста (Экокожа)</t>
  </si>
  <si>
    <t>Арт</t>
  </si>
  <si>
    <t>Доп1</t>
  </si>
  <si>
    <t>Доп2</t>
  </si>
  <si>
    <t>https://motorring.ru/product/24839-nakladka-reshetka-radiatora-ferrum-lada-vesta</t>
  </si>
  <si>
    <t>https://motorring.ru/product/35160-schitok-kombinacii-koghzam-oranjevaya-strochka-granta-fl</t>
  </si>
  <si>
    <t>https://motorring.ru/product/35159-schitok-koghzam-krasnaya-strochka-kombinacii-priborov-granta-fl</t>
  </si>
  <si>
    <t>https://motorring.ru/product/27173-elektronnaya-kombinaciya-priborov-gamma-826n-lada-4h4-niva</t>
  </si>
  <si>
    <t>https://motorring.ru/product/34420-modelynaya-ruchka-mkpp-ferrum-group-pokrytiem-bielastika</t>
  </si>
  <si>
    <t>https://motorring.ru/product/40312-kombinaciya-priborov-890-black-dlya-lada-iks-rey</t>
  </si>
  <si>
    <t>https://motorring.ru/product/36886-modelynaya-ruchka-cvt-ferrum-orange-ekokoghi-vesta</t>
  </si>
  <si>
    <t>https://motorring.ru/product/36888-modelynaya-ruchka-cvt-ferrum-chernaya-ekokoghi-vesta</t>
  </si>
  <si>
    <t>https://motorring.ru/product/36887-modelynaya-ruchka-cvt-ferrum-seriy-ekokoghi-vesta</t>
  </si>
  <si>
    <t>не нашел</t>
  </si>
  <si>
    <t>Розн</t>
  </si>
  <si>
    <t>РРЦ с доп</t>
  </si>
  <si>
    <t>РРЦ с сайта</t>
  </si>
  <si>
    <t>К</t>
  </si>
  <si>
    <t>GF 851S</t>
  </si>
  <si>
    <t>GF 851S Cross</t>
  </si>
  <si>
    <t>GF 826</t>
  </si>
  <si>
    <t>кольца:- хром, серебро, черные</t>
  </si>
  <si>
    <t>Chevrolet Lacetti,Daewoo Gentra MT</t>
  </si>
  <si>
    <t>Daewoo Gentra AT</t>
  </si>
  <si>
    <t>GF 890 черная, хром, серебро, Cross</t>
  </si>
  <si>
    <t>GF 890PH2 черная, хром, серебро (шкалы оранжевый, голубой)</t>
  </si>
  <si>
    <t>GF 940N Limited2 TURBO</t>
  </si>
  <si>
    <t xml:space="preserve">GF 826 N </t>
  </si>
  <si>
    <t>Модельная ручка АКПП Mitsubishi Outlander, Lancer</t>
  </si>
  <si>
    <t>Модельная ручка АКПП Nissan Qashqai, Nissan X-trail</t>
  </si>
  <si>
    <t>Модельная ручка КПП Vesta NG</t>
  </si>
  <si>
    <t>Электронная комбинация приборов "Ferrum Group" GF 826 N "Black CLUB" для Лада Нива 4х4, Нива Legend</t>
  </si>
  <si>
    <t>Модельная ручка КПП "Ferrum Group" для Лада Веста (с вариатором) (Серый)</t>
  </si>
  <si>
    <t>Руль анатомический "Ferrum" Cross Serie (со вставками из алькантары) для Лада Веста, XRAY (Белая нить, Чёрный глянец)</t>
  </si>
  <si>
    <t>Руль анатомический "Ferrum" Cross Serie (со вставками из алькантары) для Лада Веста, XRAY (Белая нить, Чёрный мат)</t>
  </si>
  <si>
    <t>Руль анатомический "Ferrum" Cross Serie (со вставками из алькантары) для Лада Веста, XRAY (Жёлтая нить, Чёрный глянец)</t>
  </si>
  <si>
    <t>Руль анатомический "Ferrum" Cross Serie (со вставками из алькантары) для Лада Веста, XRAY (Жёлтая нить, Чёрный мат)</t>
  </si>
  <si>
    <t>Руль анатомический "Ferrum" Cross Serie (со вставками из алькантары) для Лада Веста, XRAY (Зелёная нить, Чёрный глянец)</t>
  </si>
  <si>
    <t>Руль анатомический "Ferrum" Cross Serie (со вставками из алькантары) для Лада Веста, XRAY (Зелёная нить, Чёрный мат)</t>
  </si>
  <si>
    <t>Руль анатомический "Ferrum" Cross Serie (со вставками из алькантары) для Лада Веста, XRAY (Коричневая нить, Чёрный мат)</t>
  </si>
  <si>
    <t>Руль анатомический "Ferrum" Cross Serie (со вставками из алькантары) для Лада Веста, XRAY (Красная нить, Чёрный глянец)</t>
  </si>
  <si>
    <t>Руль анатомический "Ferrum" Cross Serie (со вставками из алькантары) для Лада Веста, XRAY (Красная нить, Чёрный мат)</t>
  </si>
  <si>
    <t>Руль анатомический "Ferrum" Cross Serie (со вставками из алькантары) для Лада Веста, XRAY (Оранжевая нить, Чёрный глянец)</t>
  </si>
  <si>
    <t>Руль анатомический "Ferrum" Cross Serie (со вставками из алькантары) для Лада Веста, XRAY (Оранжевая нить, Чёрный мат)</t>
  </si>
  <si>
    <t>Руль анатомический "Ferrum" Cross Serie (со вставками из алькантары) для Лада Веста, XRAY (Салатовая нить, Чёрный глянец)</t>
  </si>
  <si>
    <t>Руль анатомический "Ferrum" Cross Serie (со вставками из алькантары) для Лада Веста, XRAY (Салатовая нить, Чёрный мат)</t>
  </si>
  <si>
    <t>Руль анатомический "Ferrum" Cross Serie (со вставками из алькантары) для Лада Веста, XRAY (Светло-серая нить, Чёрный глянец)</t>
  </si>
  <si>
    <t>Руль анатомический "Ferrum" Cross Serie (со вставками из алькантары) для Лада Веста, XRAY (Светло-серая нить, Чёрный мат)</t>
  </si>
  <si>
    <t>Руль анатомический "Ferrum" Cross Serie (со вставками из алькантары) для Лада Веста, XRAY (Сине-зелёная нить, Чёрный глянец)</t>
  </si>
  <si>
    <t>Руль анатомический "Ferrum" Cross Serie (со вставками из алькантары) для Лада Веста, XRAY (Сине-зелёная нить, Чёрный мат)</t>
  </si>
  <si>
    <t>Руль анатомический "Ferrum" Cross Serie (со вставками из алькантары) для Лада Веста, XRAY (Синяя нить, Чёрный мат)</t>
  </si>
  <si>
    <t>Руль анатомический "Ferrum" Cross Serie (со вставками из алькантары) для Лада Веста, XRAY (Тёмно-серая нить, Чёрный глянец)</t>
  </si>
  <si>
    <t>Руль анатомический "Ferrum" Cross Serie (со вставками из алькантары) для Лада Веста, XRAY (Тёмно-серая нить, Чёрный мат)</t>
  </si>
  <si>
    <t>Руль анатомический "Ferrum" Cross Serie (со вставками из алькантары) для Лада Веста, XRAY (Фиолетовая нить, Чёрный глянец)</t>
  </si>
  <si>
    <t>Руль анатомический "Ferrum" Cross Serie (со вставками из алькантары) для Лада Веста, XRAY (Фиолетовая нить, Чёрный мат)</t>
  </si>
  <si>
    <t>Руль анатомический "Ferrum" Cross Serie (со вставками из алькантары) для Лада Веста, XRAY (Чёрная нить, Чёрный глянец)</t>
  </si>
  <si>
    <t>Руль анатомический "Ferrum" Cross Serie (со вставками из алькантары) для Лада Веста, XRAY (Чёрная нить, Чёрный мат)</t>
  </si>
  <si>
    <t>Руль анатомический "Ferrum" Cross Serie(со вставками из алькантары) для Лада Веста, XRAY (Коричневая нить, Чёрный глянец)</t>
  </si>
  <si>
    <t>Руль анатомический "Ferrum" Cross Serie(со вставками из алькантары) для Лада Веста, XRAY (Синяя нить, Чёрный глянец)</t>
  </si>
  <si>
    <t>Руль анатомический "Ferrum" Cross Serie с обогревом (вставки из алькантары) для Лада Ларгус FL, Веста, XRAY (Белая нить, Чёрный глянец)</t>
  </si>
  <si>
    <t>Руль анатомический "Ferrum" Cross Serie с обогревом (вставки из алькантары) для Лада Ларгус FL, Веста, XRAY (Белая нить, Чёрный мат)</t>
  </si>
  <si>
    <t>Руль анатомический "Ferrum" Cross Serie с обогревом (вставки из алькантары) для Лада Ларгус FL, Веста, XRAY (Жёлтая нить, Чёрный глянец)</t>
  </si>
  <si>
    <t>Руль анатомический "Ferrum" Cross Serie с обогревом (вставки из алькантары) для Лада Ларгус FL, Веста, XRAY (Жёлтая нить, Чёрный мат)</t>
  </si>
  <si>
    <t>Руль анатомический "Ferrum" Cross Serie с обогревом (вставки из алькантары) для Лада Ларгус FL, Веста, XRAY (Зелёная нить, Чёрный глянец)</t>
  </si>
  <si>
    <t>Руль анатомический "Ferrum" Cross Serie с обогревом (вставки из алькантары) для Лада Ларгус FL, Веста, XRAY (Зелёная нить, Чёрный мат)</t>
  </si>
  <si>
    <t>Руль анатомический "Ferrum" Cross Serie с обогревом (вставки из алькантары) для Лада Ларгус FL, Веста, XRAY (Коричневая нить, Чёрный глянец)</t>
  </si>
  <si>
    <t>Руль анатомический "Ferrum" Cross Serie с обогревом (вставки из алькантары) для Лада Ларгус FL, Веста, XRAY (Коричневая нить, Чёрный мат)</t>
  </si>
  <si>
    <t>Руль анатомический "Ferrum" Cross Serie с обогревом (вставки из алькантары) для Лада Ларгус FL, Веста, XRAY (Красная нить, Чёрный глянец)</t>
  </si>
  <si>
    <t>Руль анатомический "Ferrum" Cross Serie с обогревом (вставки из алькантары) для Лада Ларгус FL, Веста, XRAY (Красная нить, Чёрный мат)</t>
  </si>
  <si>
    <t>Руль анатомический "Ferrum" Cross Serie с обогревом (вставки из алькантары) для Лада Ларгус FL, Веста, XRAY (Оранжевая нить, Чёрный глянец)</t>
  </si>
  <si>
    <t>Руль анатомический "Ferrum" Cross Serie с обогревом (вставки из алькантары) для Лада Ларгус FL, Веста, XRAY (Оранжевая нить, Чёрный мат)</t>
  </si>
  <si>
    <t>Руль анатомический "Ferrum" Cross Serie с обогревом (вставки из алькантары) для Лада Ларгус FL, Веста, XRAY (Салатовая нить, Чёрный глянец)</t>
  </si>
  <si>
    <t>Руль анатомический "Ferrum" Cross Serie с обогревом (вставки из алькантары) для Лада Ларгус FL, Веста, XRAY (Салатовая нить, Чёрный мат)</t>
  </si>
  <si>
    <t>Руль анатомический "Ferrum" Cross Serie с обогревом (вставки из алькантары) для Лада Ларгус FL, Веста, XRAY (Светло-серая нить, Чёрный глянец)</t>
  </si>
  <si>
    <t>Руль анатомический "Ferrum" Cross Serie с обогревом (вставки из алькантары) для Лада Ларгус FL, Веста, XRAY (Светло-серая нить, Чёрный мат)</t>
  </si>
  <si>
    <t>Руль анатомический "Ferrum" Cross Serie с обогревом (вставки из алькантары) для Лада Ларгус FL, Веста, XRAY (Сине-зелёная нить, Чёрный глянец)</t>
  </si>
  <si>
    <t>Руль анатомический "Ferrum" Cross Serie с обогревом (вставки из алькантары) для Лада Ларгус FL, Веста, XRAY (Сине-зелёная нить, Чёрный мат)</t>
  </si>
  <si>
    <t>Руль анатомический "Ferrum" Cross Serie с обогревом (вставки из алькантары) для Лада Ларгус FL, Веста, XRAY (Синяя нить, Чёрный глянец)</t>
  </si>
  <si>
    <t>Руль анатомический "Ferrum" Cross Serie с обогревом (вставки из алькантары) для Лада Ларгус FL, Веста, XRAY (Синяя нить, Чёрный мат)</t>
  </si>
  <si>
    <t>Руль анатомический "Ferrum" Cross Serie с обогревом (вставки из алькантары) для Лада Ларгус FL, Веста, XRAY (Тёмно-серая нить, Чёрный глянец)</t>
  </si>
  <si>
    <t>Руль анатомический "Ferrum" Cross Serie с обогревом (вставки из алькантары) для Лада Ларгус FL, Веста, XRAY (Тёмно-серая нить, Чёрный мат)</t>
  </si>
  <si>
    <t>Руль анатомический "Ferrum" Cross Serie с обогревом (вставки из алькантары) для Лада Ларгус FL, Веста, XRAY (Фиолетовая нить, Чёрный глянец)</t>
  </si>
  <si>
    <t>Руль анатомический "Ferrum" Cross Serie с обогревом (вставки из алькантары) для Лада Ларгус FL, Веста, XRAY (Фиолетовая нить, Чёрный мат)</t>
  </si>
  <si>
    <t>Руль анатомический "Ferrum" Cross Serie с обогревом (вставки из алькантары) для Лада Ларгус FL, Веста, XRAY (Чёрная нить, Чёрный глянец)</t>
  </si>
  <si>
    <t>Руль анатомический "Ferrum" Cross Serie с обогревом (вставки из алькантары) для Лада Ларгус FL, Веста, XRAY (Чёрная нить, Чёрный мат)</t>
  </si>
  <si>
    <t>Руль анатомический "Ferrum" Cross Serie с обогревом для Лада Ларгус FL, Веста, XRAY (Белая нить, Чёрный глянец)</t>
  </si>
  <si>
    <t>Руль анатомический "Ferrum" Cross Serie с обогревом для Лада Ларгус FL, Веста, XRAY (Белая нить, Чёрный мат)</t>
  </si>
  <si>
    <t>Руль анатомический "Ferrum" Cross Serie с обогревом для Лада Ларгус FL, Веста, XRAY (Жёлтая нить, Чёрный глянец)</t>
  </si>
  <si>
    <t>Руль анатомический "Ferrum" Cross Serie с обогревом для Лада Ларгус FL, Веста, XRAY (Жёлтая нить, Чёрный мат)</t>
  </si>
  <si>
    <t>Руль анатомический "Ferrum" Cross Serie с обогревом для Лада Ларгус FL, Веста, XRAY (Зелёная нить, Чёрный глянец)</t>
  </si>
  <si>
    <t>Руль анатомический "Ferrum" Cross Serie с обогревом для Лада Ларгус FL, Веста, XRAY (Зелёная нить, Чёрный мат)</t>
  </si>
  <si>
    <t>Руль анатомический "Ferrum" Cross Serie с обогревом для Лада Ларгус FL, Веста, XRAY (Коричневая нить, Чёрный глянец)</t>
  </si>
  <si>
    <t>Руль анатомический "Ferrum" Cross Serie с обогревом для Лада Ларгус FL, Веста, XRAY (Коричневая нить, Чёрный мат)</t>
  </si>
  <si>
    <t>Руль анатомический "Ferrum" Cross Serie с обогревом для Лада Ларгус FL, Веста, XRAY (Красная нить, Чёрный глянец)</t>
  </si>
  <si>
    <t>Руль анатомический "Ferrum" Cross Serie с обогревом для Лада Ларгус FL, Веста, XRAY (Красная нить, Чёрный мат)</t>
  </si>
  <si>
    <t>Руль анатомический "Ferrum" Cross Serie с обогревом для Лада Ларгус FL, Веста, XRAY (Оранжевая нить, Чёрный глянец)</t>
  </si>
  <si>
    <t>Руль анатомический "Ferrum" Cross Serie с обогревом для Лада Ларгус FL, Веста, XRAY (Оранжевая нить, Чёрный мат)</t>
  </si>
  <si>
    <t>Руль анатомический "Ferrum" Cross Serie с обогревом для Лада Ларгус FL, Веста, XRAY (Салатовая нить, Чёрный глянец)</t>
  </si>
  <si>
    <t>Руль анатомический "Ferrum" Cross Serie с обогревом для Лада Ларгус FL, Веста, XRAY (Салатовая нить, Чёрный мат)</t>
  </si>
  <si>
    <t>Руль анатомический "Ferrum" Cross Serie с обогревом для Лада Ларгус FL, Веста, XRAY (Светло-серая нить, Чёрный глянец)</t>
  </si>
  <si>
    <t>Руль анатомический "Ferrum" Cross Serie с обогревом для Лада Ларгус FL, Веста, XRAY (Светло-серая нить, Чёрный мат)</t>
  </si>
  <si>
    <t>Руль анатомический "Ferrum" Cross Serie с обогревом для Лада Ларгус FL, Веста, XRAY (Сине-зелёная нить, Чёрный глянец)</t>
  </si>
  <si>
    <t>Руль анатомический "Ferrum" Cross Serie с обогревом для Лада Ларгус FL, Веста, XRAY (Сине-зелёная нить, Чёрный мат)</t>
  </si>
  <si>
    <t>Руль анатомический "Ferrum" Cross Serie с обогревом для Лада Ларгус FL, Веста, XRAY (Синяя нить, Чёрный глянец)</t>
  </si>
  <si>
    <t>Руль анатомический "Ferrum" Cross Serie с обогревом для Лада Ларгус FL, Веста, XRAY (Синяя нить, Чёрный мат)</t>
  </si>
  <si>
    <t>Руль анатомический "Ferrum" Cross Serie с обогревом для Лада Ларгус FL, Веста, XRAY (Тёмно-серая нить, Чёрный глянец)</t>
  </si>
  <si>
    <t>Руль анатомический "Ferrum" Cross Serie с обогревом для Лада Ларгус FL, Веста, XRAY (Тёмно-серая нить, Чёрный мат)</t>
  </si>
  <si>
    <t>Руль анатомический "Ferrum" Cross Serie с обогревом для Лада Ларгус FL, Веста, XRAY (Фиолетовая нить, Чёрный глянец)</t>
  </si>
  <si>
    <t>Руль анатомический "Ferrum" Cross Serie с обогревом для Лада Ларгус FL, Веста, XRAY (Фиолетовая нить, Чёрный мат)</t>
  </si>
  <si>
    <t>Руль анатомический "Ferrum" Cross Serie с обогревом для Лада Ларгус FL, Веста, XRAY (Чёрная нить, Чёрный глянец)</t>
  </si>
  <si>
    <t>Руль анатомический "Ferrum" Cross Serie с обогревом для Лада Ларгус FL, Веста, XRAY (Чёрная нить, Чёрный мат)</t>
  </si>
  <si>
    <t>Руль анатомический "Ferrum" CROSS с обогревом для Лада Ларгус, Веста, XRAY (Белая нить, Чёрный глянец)</t>
  </si>
  <si>
    <t>Руль анатомический "Ferrum" CROSS с обогревом для Лада Ларгус, Веста, XRAY (Белая нить, Чёрный мат)</t>
  </si>
  <si>
    <t>Руль анатомический "Ferrum" CROSS с обогревом для Лада Ларгус, Веста, XRAY (Жёлтая нить, Чёрный глянец)</t>
  </si>
  <si>
    <t>Руль анатомический "Ferrum" CROSS с обогревом для Лада Ларгус, Веста, XRAY (Жёлтая нить, Чёрный мат)</t>
  </si>
  <si>
    <t>Руль анатомический "Ferrum" CROSS с обогревом для Лада Ларгус, Веста, XRAY (Зелёная нить, Чёрный глянец)</t>
  </si>
  <si>
    <t>Руль анатомический "Ferrum" CROSS с обогревом для Лада Ларгус, Веста, XRAY (Зелёная нить, Чёрный мат)</t>
  </si>
  <si>
    <t>Руль анатомический "Ferrum" CROSS с обогревом для Лада Ларгус, Веста, XRAY (Коричневая нить, Чёрный глянец)</t>
  </si>
  <si>
    <t>Руль анатомический "Ferrum" CROSS с обогревом для Лада Ларгус, Веста, XRAY (Коричневая нить, Чёрный мат)</t>
  </si>
  <si>
    <t>Руль анатомический "Ferrum" CROSS с обогревом для Лада Ларгус, Веста, XRAY (Красная нить, Чёрный глянец)</t>
  </si>
  <si>
    <t>Руль анатомический "Ferrum" CROSS с обогревом для Лада Ларгус, Веста, XRAY (Красная нить, Чёрный мат)</t>
  </si>
  <si>
    <t>Руль анатомический "Ferrum" CROSS с обогревом для Лада Ларгус, Веста, XRAY (Оранжевая нить, Чёрный глянец)</t>
  </si>
  <si>
    <t>Руль анатомический "Ferrum" CROSS с обогревом для Лада Ларгус, Веста, XRAY (Оранжевая нить, Чёрный мат)</t>
  </si>
  <si>
    <t>Руль анатомический "Ferrum" CROSS с обогревом для Лада Ларгус, Веста, XRAY (Салатовая нить, Чёрный глянец)</t>
  </si>
  <si>
    <t>Руль анатомический "Ferrum" CROSS с обогревом для Лада Ларгус, Веста, XRAY (Салатовая нить, Чёрный мат)</t>
  </si>
  <si>
    <t>Руль анатомический "Ferrum" CROSS с обогревом для Лада Ларгус, Веста, XRAY (Светло-серая нить, Чёрный глянец)</t>
  </si>
  <si>
    <t>Руль анатомический "Ferrum" CROSS с обогревом для Лада Ларгус, Веста, XRAY (Светло-серая нить, Чёрный мат)</t>
  </si>
  <si>
    <t>Руль анатомический "Ferrum" CROSS с обогревом для Лада Ларгус, Веста, XRAY (Сине-зелёная нить, Чёрный глянец)</t>
  </si>
  <si>
    <t>Руль анатомический "Ferrum" CROSS с обогревом для Лада Ларгус, Веста, XRAY (Сине-зелёная нить, Чёрный мат)</t>
  </si>
  <si>
    <t>Руль анатомический "Ferrum" CROSS с обогревом для Лада Ларгус, Веста, XRAY (Синяя нить, Чёрный глянец)</t>
  </si>
  <si>
    <t>Руль анатомический "Ferrum" CROSS с обогревом для Лада Ларгус, Веста, XRAY (Синяя нить, Чёрный мат)</t>
  </si>
  <si>
    <t>Руль анатомический "Ferrum" CROSS с обогревом для Лада Ларгус, Веста, XRAY (Тёмно-серая нить, Чёрный глянец)</t>
  </si>
  <si>
    <t>Руль анатомический "Ferrum" CROSS с обогревом для Лада Ларгус, Веста, XRAY (Тёмно-серая нить, Чёрный мат)</t>
  </si>
  <si>
    <t>Руль анатомический "Ferrum" CROSS с обогревом для Лада Ларгус, Веста, XRAY (Фиолетовая нить, Чёрный глянец)</t>
  </si>
  <si>
    <t>Руль анатомический "Ferrum" CROSS с обогревом для Лада Ларгус, Веста, XRAY (Фиолетовая нить, Чёрный мат)</t>
  </si>
  <si>
    <t>Руль анатомический "Ferrum" CROSS с обогревом для Лада Ларгус, Веста, XRAY (Чёрная нить, Чёрный глянец)</t>
  </si>
  <si>
    <t>Руль анатомический "Ferrum" CROSS с обогревом для Лада Ларгус, Веста, XRAY (Чёрная нить, Чёрный мат)</t>
  </si>
  <si>
    <t>Руль анатомический "Ferrum" Exclusive (со вставками из алькантары) для Лада Веста, XRAY (Белая нить, Чёрный глянец)</t>
  </si>
  <si>
    <t>Руль анатомический "Ferrum" Exclusive (со вставками из алькантары) для Лада Веста, XRAY (Белая нить, Чёрный мат)</t>
  </si>
  <si>
    <t>Руль анатомический "Ferrum" Exclusive (со вставками из алькантары) для Лада Веста, XRAY (Жёлтая нить, Чёрный глянец)</t>
  </si>
  <si>
    <t>Руль анатомический "Ferrum" Exclusive (со вставками из алькантары) для Лада Веста, XRAY (Жёлтая нить, Чёрный мат)</t>
  </si>
  <si>
    <t>Руль анатомический "Ferrum" Exclusive (со вставками из алькантары) для Лада Веста, XRAY (Зелёная нить, Чёрный глянец)</t>
  </si>
  <si>
    <t>Руль анатомический "Ferrum" Exclusive (со вставками из алькантары) для Лада Веста, XRAY (Зелёная нить, Чёрный мат)</t>
  </si>
  <si>
    <t>Руль анатомический "Ferrum" Exclusive (со вставками из алькантары) для Лада Веста, XRAY (Коричневая нить, Чёрный глянец)</t>
  </si>
  <si>
    <t>Руль анатомический "Ferrum" Exclusive (со вставками из алькантары) для Лада Веста, XRAY (Коричневая нить, Чёрный мат)</t>
  </si>
  <si>
    <t>Руль анатомический "Ferrum" Exclusive (со вставками из алькантары) для Лада Веста, XRAY (Красная нить, Чёрный глянец)</t>
  </si>
  <si>
    <t>Руль анатомический "Ferrum" Exclusive (со вставками из алькантары) для Лада Веста, XRAY (Красная нить, Чёрный мат)</t>
  </si>
  <si>
    <t>Руль анатомический "Ferrum" Exclusive (со вставками из алькантары) для Лада Веста, XRAY (Оранжевая нить, Чёрный глянец)</t>
  </si>
  <si>
    <t>Руль анатомический "Ferrum" Exclusive (со вставками из алькантары) для Лада Веста, XRAY (Оранжевая нить, Чёрный мат)</t>
  </si>
  <si>
    <t>Руль анатомический "Ferrum" Exclusive (со вставками из алькантары) для Лада Веста, XRAY (Салатовая нить, Чёрный глянец)</t>
  </si>
  <si>
    <t>Руль анатомический "Ferrum" Exclusive (со вставками из алькантары) для Лада Веста, XRAY (Салатовая нить, Чёрный мат)</t>
  </si>
  <si>
    <t>Руль анатомический "Ferrum" Exclusive (со вставками из алькантары) для Лада Веста, XRAY (Светло-серая нить, Чёрный глянец)</t>
  </si>
  <si>
    <t>Руль анатомический "Ferrum" Exclusive (со вставками из алькантары) для Лада Веста, XRAY (Светло-серая нить, Чёрный мат)</t>
  </si>
  <si>
    <t>Руль анатомический "Ferrum" Exclusive (со вставками из алькантары) для Лада Веста, XRAY (Сине-зелёная нить, Чёрный глянец)</t>
  </si>
  <si>
    <t>Руль анатомический "Ferrum" Exclusive (со вставками из алькантары) для Лада Веста, XRAY (Сине-зелёная нить, Чёрный мат)</t>
  </si>
  <si>
    <t>Руль анатомический "Ferrum" Exclusive (со вставками из алькантары) для Лада Веста, XRAY (Синяя нить, Чёрный глянец)</t>
  </si>
  <si>
    <t>Руль анатомический "Ferrum" Exclusive (со вставками из алькантары) для Лада Веста, XRAY (Синяя нить, Чёрный мат)</t>
  </si>
  <si>
    <t>Руль анатомический "Ferrum" Exclusive (со вставками из алькантары) для Лада Веста, XRAY (Тёмно-серая нить, Чёрный глянец)</t>
  </si>
  <si>
    <t>Руль анатомический "Ferrum" Exclusive (со вставками из алькантары) для Лада Веста, XRAY (Тёмно-серая нить, Чёрный мат)</t>
  </si>
  <si>
    <t>Руль анатомический "Ferrum" Exclusive (со вставками из алькантары) для Лада Веста, XRAY (Фиолетовая нить, Чёрный глянец)</t>
  </si>
  <si>
    <t>Руль анатомический "Ferrum" Exclusive (со вставками из алькантары) для Лада Веста, XRAY (Фиолетовая нить, Чёрный мат)</t>
  </si>
  <si>
    <t>Руль анатомический "Ferrum" Exclusive (со вставками из алькантары) для Лада Веста, XRAY (Чёрная нить, Черный глянец)</t>
  </si>
  <si>
    <t>Руль анатомический "Ferrum" Exclusive (со вставками из алькантары) для Лада Веста, XRAY (Чёрная нить, Чёрный мат)</t>
  </si>
  <si>
    <t>Руль анатомический "Ferrum" Exclusive с обогревом (вставки из алькантары) для Лада Веста, Ларгус FL, XRAY (Белая нить, Чёрный мат)</t>
  </si>
  <si>
    <t>Руль анатомический "Ferrum" Exclusive с обогревом (вставки из алькантары) для Лада Веста, Ларгус FL, XRAY (Жёлтая нить, Чёрный мат)</t>
  </si>
  <si>
    <t>Руль анатомический "Ferrum" Exclusive с обогревом (вставки из алькантары) для Лада Веста, Ларгус FL, XRAY (Зелёная нить, Чёрный мат)</t>
  </si>
  <si>
    <t>Руль анатомический "Ferrum" Exclusive с обогревом (вставки из алькантары) для Лада Веста, Ларгус FL, XRAY (Коричневая нить, Чёрный мат)</t>
  </si>
  <si>
    <t>Руль анатомический "Ferrum" Exclusive с обогревом (вставки из алькантары) для Лада Веста, Ларгус FL, XRAY (Красная нить, Чёрный мат)</t>
  </si>
  <si>
    <t>Руль анатомический "Ferrum" Exclusive с обогревом (вставки из алькантары) для Лада Веста, Ларгус FL, XRAY (Оранжевая нить, Чёрный мат)</t>
  </si>
  <si>
    <t>Руль анатомический "Ferrum" Exclusive с обогревом (вставки из алькантары) для Лада Веста, Ларгус FL, XRAY (Салатовая нить, Чёрный мат)</t>
  </si>
  <si>
    <t>Руль анатомический "Ferrum" Exclusive с обогревом (вставки из алькантары) для Лада Веста, Ларгус FL, XRAY (Светло-серая нить, Чёрный мат)</t>
  </si>
  <si>
    <t>Руль анатомический "Ferrum" Exclusive с обогревом (вставки из алькантары) для Лада Веста, Ларгус FL, XRAY (Сине-зелёная нить, Чёрный мат)</t>
  </si>
  <si>
    <t>Руль анатомический "Ferrum" Exclusive с обогревом (вставки из алькантары) для Лада Веста, Ларгус FL, XRAY (Синяя нить, Чёрный мат)</t>
  </si>
  <si>
    <t>Руль анатомический "Ferrum" Exclusive с обогревом (вставки из алькантары) для Лада Веста, Ларгус FL, XRAY (Тёмно-серая нить, Чёрный мат)</t>
  </si>
  <si>
    <t>Руль анатомический "Ferrum" Exclusive с обогревом (вставки из алькантары) для Лада Веста, Ларгус FL, XRAY (Фиолетовая нить, Чёрный мат)</t>
  </si>
  <si>
    <t>Руль анатомический "Ferrum" Exclusive с обогревом (вставки из алькантары) для Лада Веста, Ларгус FL, XRAY (Чёрная нить, Чёрный мат)</t>
  </si>
  <si>
    <t>Руль анатомический "Ferrum" Exclusive с обогревом (вставки из алькантары) для Лада Ларгус FL, Веста, XRAY (Белая нить, Чёрный глянец)</t>
  </si>
  <si>
    <t>Руль анатомический "Ferrum" Exclusive с обогревом (вставки из алькантары) для Лада Ларгус FL, Веста, XRAY (Жёлтая нить, Чёрный глянец)</t>
  </si>
  <si>
    <t>Руль анатомический "Ferrum" Exclusive с обогревом (вставки из алькантары) для Лада Ларгус FL, Веста, XRAY (Зелёная нить, Чёрный глянец)</t>
  </si>
  <si>
    <t>Руль анатомический "Ferrum" Exclusive с обогревом (вставки из алькантары) для Лада Ларгус FL, Веста, XRAY (Коричневая нить, Чёрный глянец)</t>
  </si>
  <si>
    <t>Руль анатомический "Ferrum" Exclusive с обогревом (вставки из алькантары) для Лада Ларгус FL, Веста, XRAY (Красная нить, Чёрный глянец)</t>
  </si>
  <si>
    <t>Руль анатомический "Ferrum" Exclusive с обогревом (вставки из алькантары) для Лада Ларгус FL, Веста, XRAY (Оранжевая нить, Чёрный глянец)</t>
  </si>
  <si>
    <t>Руль анатомический "Ferrum" Exclusive с обогревом (вставки из алькантары) для Лада Ларгус FL, Веста, XRAY (Салатовая нить, Чёрный глянец)</t>
  </si>
  <si>
    <t>Руль анатомический "Ferrum" Exclusive с обогревом (вставки из алькантары) для Лада Ларгус FL, Веста, XRAY (Светло-серая нить, Чёрный глянец)</t>
  </si>
  <si>
    <t>Руль анатомический "Ferrum" Exclusive с обогревом (вставки из алькантары) для Лада Ларгус FL, Веста, XRAY (Сине-зелёная нить, Чёрный глянец)</t>
  </si>
  <si>
    <t>Руль анатомический "Ferrum" Exclusive с обогревом (вставки из алькантары) для Лада Ларгус FL, Веста, XRAY (Синяя нить, Чёрный глянец)</t>
  </si>
  <si>
    <t>Руль анатомический "Ferrum" Exclusive с обогревом (вставки из алькантары) для Лада Ларгус FL, Веста, XRAY (Тёмно-серая нить, Чёрный глянец)</t>
  </si>
  <si>
    <t>Руль анатомический "Ferrum" Exclusive с обогревом (вставки из алькантары) для Лада Ларгус FL, Веста, XRAY (Фиолетовая нить, Чёрный глянец)</t>
  </si>
  <si>
    <t>Руль анатомический "Ferrum" Exclusive с обогревом (вставки из алькантары) для Лада Ларгус FL, Веста, XRAY (Чёрная нить, Чёрный глянец)</t>
  </si>
  <si>
    <t>Руль анатомический "Ferrum" Exclusive с обогревом для Лада Ларгус FL, Веста, XRAY (Белая нить, Чёрный глянец)</t>
  </si>
  <si>
    <t>Руль анатомический "Ferrum" Exclusive с обогревом для Лада Ларгус FL, Веста, XRAY (Белая нить, Чёрный мат)</t>
  </si>
  <si>
    <t>Руль анатомический "Ferrum" Exclusive с обогревом для Лада Ларгус FL, Веста, XRAY (Жёлтая нить, Чёрный глянец)</t>
  </si>
  <si>
    <t>Руль анатомический "Ferrum" Exclusive с обогревом для Лада Ларгус FL, Веста, XRAY (Жёлтая нить, Чёрный мат)</t>
  </si>
  <si>
    <t>Руль анатомический "Ferrum" Exclusive с обогревом для Лада Ларгус FL, Веста, XRAY (Зелёная нить, Чёрный глянец)</t>
  </si>
  <si>
    <t>Руль анатомический "Ferrum" Exclusive с обогревом для Лада Ларгус FL, Веста, XRAY (Зелёная нить, Чёрный мат)</t>
  </si>
  <si>
    <t>Руль анатомический "Ferrum" Exclusive с обогревом для Лада Ларгус FL, Веста, XRAY (Коричневая нить, Чёрный глянец)</t>
  </si>
  <si>
    <t>Руль анатомический "Ferrum" Exclusive с обогревом для Лада Ларгус FL, Веста, XRAY (Коричневая нить, Чёрный мат)</t>
  </si>
  <si>
    <t>Руль анатомический "Ferrum" Exclusive с обогревом для Лада Ларгус FL, Веста, XRAY (Красная нить, Чёрный глянец)</t>
  </si>
  <si>
    <t>Руль анатомический "Ferrum" Exclusive с обогревом для Лада Ларгус FL, Веста, XRAY (Красная нить, Чёрный мат)</t>
  </si>
  <si>
    <t>Руль анатомический "Ferrum" Exclusive с обогревом для Лада Ларгус FL, Веста, XRAY (Оранжевая нить, Чёрный глянец)</t>
  </si>
  <si>
    <t>Руль анатомический "Ferrum" Exclusive с обогревом для Лада Ларгус FL, Веста, XRAY (Оранжевая нить, Чёрный мат)</t>
  </si>
  <si>
    <t>Руль анатомический "Ferrum" Exclusive с обогревом для Лада Ларгус FL, Веста, XRAY (Салатовая нить, Чёрный глянец)</t>
  </si>
  <si>
    <t>Руль анатомический "Ferrum" Exclusive с обогревом для Лада Ларгус FL, Веста, XRAY (Салатовая нить, Чёрный мат)</t>
  </si>
  <si>
    <t>Руль анатомический "Ferrum" Exclusive с обогревом для Лада Ларгус FL, Веста, XRAY (Светло-серая нить, Чёрный глянец)</t>
  </si>
  <si>
    <t>Руль анатомический "Ferrum" Exclusive с обогревом для Лада Ларгус FL, Веста, XRAY (Светло-серая нить, Чёрный мат)</t>
  </si>
  <si>
    <t>Руль анатомический "Ferrum" Exclusive с обогревом для Лада Ларгус FL, Веста, XRAY (Сине-зелёная нить, Чёрный глянец)</t>
  </si>
  <si>
    <t>Руль анатомический "Ferrum" Exclusive с обогревом для Лада Ларгус FL, Веста, XRAY (Сине-зелёная нить, Чёрный мат)</t>
  </si>
  <si>
    <t>Руль анатомический "Ferrum" Exclusive с обогревом для Лада Ларгус FL, Веста, XRAY (Синяя нить, Чёрный глянец)</t>
  </si>
  <si>
    <t>Руль анатомический "Ferrum" Exclusive с обогревом для Лада Ларгус FL, Веста, XRAY (Синяя нить, Чёрный мат)</t>
  </si>
  <si>
    <t>Руль анатомический "Ferrum" Exclusive с обогревом для Лада Ларгус FL, Веста, XRAY (Тёмно-серая нить, Чёрный глянец)</t>
  </si>
  <si>
    <t>Руль анатомический "Ferrum" Exclusive с обогревом для Лада Ларгус FL, Веста, XRAY (Тёмно-серая нить, Чёрный мат)</t>
  </si>
  <si>
    <t>Руль анатомический "Ferrum" Exclusive с обогревом для Лада Ларгус FL, Веста, XRAY (Фиолетовая нить, Чёрный глянец)</t>
  </si>
  <si>
    <t>Руль анатомический "Ferrum" Exclusive с обогревом для Лада Ларгус FL, Веста, XRAY (Фиолетовая нить, Чёрный мат)</t>
  </si>
  <si>
    <t>Руль анатомический "Ferrum" Exclusive с обогревом для Лада Ларгус FL, Веста, XRAY (Чёрная нить, Чёрный глянец)</t>
  </si>
  <si>
    <t>Руль анатомический "Ferrum" Exclusive с обогревом для Лада Ларгус FL, Веста, XRAY (Чёрная нить, Чёрный мат)</t>
  </si>
  <si>
    <t>Руль анатомический "Ferrum" Grand Premium (с обогревом) для Лада Ларгус FL, Веста, XRAY (Белая нить, Чёрный мат)</t>
  </si>
  <si>
    <t>Руль анатомический "Ferrum" Grand Premium (с обогревом) для Лада Ларгус FL, Веста, XRAY (Жёлтая нить, Чёрный глянец)</t>
  </si>
  <si>
    <t>Руль анатомический "Ferrum" Grand Premium (с обогревом) для Лада Ларгус FL, Веста, XRAY (Жёлтая нить, Чёрный мат)</t>
  </si>
  <si>
    <t>Руль анатомический "Ferrum" Grand Premium (с обогревом) для Лада Ларгус FL, Веста, XRAY (Зелёная нить, Чёрный глянец)</t>
  </si>
  <si>
    <t>Руль анатомический "Ferrum" Grand Premium (с обогревом) для Лада Ларгус FL, Веста, XRAY (Зелёная нить, Чёрный мат)</t>
  </si>
  <si>
    <t>Руль анатомический "Ferrum" Grand Premium (с обогревом) для Лада Ларгус FL, Веста, XRAY (Коричневая нить, Чёрный глянец)</t>
  </si>
  <si>
    <t>Руль анатомический "Ferrum" Grand Premium (с обогревом) для Лада Ларгус FL, Веста, XRAY (Коричневая нить, Чёрный мат)</t>
  </si>
  <si>
    <t>Руль анатомический "Ferrum" Grand Premium (с обогревом) для Лада Ларгус FL, Веста, XRAY (Красная нить, Чёрный глянец)</t>
  </si>
  <si>
    <t>Руль анатомический "Ferrum" Grand Premium (с обогревом) для Лада Ларгус FL, Веста, XRAY (Красная нить, Чёрный мат)</t>
  </si>
  <si>
    <t>Руль анатомический "Ferrum" Grand Premium (с обогревом) для Лада Ларгус FL, Веста, XRAY (Оранжевая нить, Чёрный глянец)</t>
  </si>
  <si>
    <t>Руль анатомический "Ferrum" Grand Premium (с обогревом) для Лада Ларгус FL, Веста, XRAY (Оранжевая нить, Чёрный мат)</t>
  </si>
  <si>
    <t>Руль анатомический "Ferrum" Grand Premium (с обогревом) для Лада Ларгус FL, Веста, XRAY (Салатовая нить, Чёрный глянец)</t>
  </si>
  <si>
    <t>Руль анатомический "Ferrum" Grand Premium (с обогревом) для Лада Ларгус FL, Веста, XRAY (Салатовая нить, Чёрный мат)</t>
  </si>
  <si>
    <t>Руль анатомический "Ferrum" Grand Premium (с обогревом) для Лада Ларгус FL, Веста, XRAY (Светло-серая нить, Чёрный глянец)</t>
  </si>
  <si>
    <t>Руль анатомический "Ferrum" Grand Premium (с обогревом) для Лада Ларгус FL, Веста, XRAY (Светло-серая нить, Чёрный мат)</t>
  </si>
  <si>
    <t>Руль анатомический "Ferrum" Grand Premium (с обогревом) для Лада Ларгус FL, Веста, XRAY (Сине-зелёная нить, Чёрный глянец)</t>
  </si>
  <si>
    <t>Руль анатомический "Ferrum" Grand Premium (с обогревом) для Лада Ларгус FL, Веста, XRAY (Сине-зелёная нить, Чёрный мат)</t>
  </si>
  <si>
    <t>Руль анатомический "Ferrum" Grand Premium (с обогревом) для Лада Ларгус FL, Веста, XRAY (Синяя нить, Чёрный глянец)</t>
  </si>
  <si>
    <t>Руль анатомический "Ferrum" Grand Premium (с обогревом) для Лада Ларгус FL, Веста, XRAY (Синяя нить, Чёрный мат)</t>
  </si>
  <si>
    <t>Руль анатомический "Ferrum" Grand Premium (с обогревом) для Лада Ларгус FL, Веста, XRAY (Тёмно-серая нить, Чёрный глянец)</t>
  </si>
  <si>
    <t>Руль анатомический "Ferrum" Grand Premium (с обогревом) для Лада Ларгус FL, Веста, XRAY (Тёмно-серая нить, Чёрный мат)</t>
  </si>
  <si>
    <t>Руль анатомический "Ferrum" Grand Premium (с обогревом) для Лада Ларгус FL, Веста, XRAY (Фиолетовая нить, Чёрный глянец)</t>
  </si>
  <si>
    <t>Руль анатомический "Ferrum" Grand Premium (с обогревом) для Лада Ларгус FL, Веста, XRAY (Фиолетовая нить, Чёрный мат)</t>
  </si>
  <si>
    <t>Руль анатомический "Ferrum" Grand Premium (с обогревом) для Лада Ларгус FL, Веста, XRAY (Чёрная нить, Чёрный глянец)</t>
  </si>
  <si>
    <t>Руль анатомический "Ferrum" Grand Premium (с обогревом) для Лада Ларгус FL, Веста, XRAY (Чёрная нить, Чёрный мат)</t>
  </si>
  <si>
    <t>Руль анатомический) "Ferrum" Grand Premium (с обогревом) для Лада Ларгус FL, Веста, XRAY (Белая нить, Чёрный глянец)</t>
  </si>
  <si>
    <t>Руль анатомический "Ferrum" Grand Premium (со вставками из алькантары) для Лада Веста, XRAY (Белая нить, Чёрный глянец)</t>
  </si>
  <si>
    <t>Руль анатомический "Ferrum" Grand Premium (со вставками из алькантары) для Лада Веста, XRAY (Белая нить, Чёрный мат)</t>
  </si>
  <si>
    <t>Руль анатомический "Ferrum" Grand Premium (со вставками из алькантары) для Лада Веста, XRAY (Жёлтая нить, Чёрный глянец)</t>
  </si>
  <si>
    <t>Руль анатомический "Ferrum" Grand Premium (со вставками из алькантары) для Лада Веста, XRAY (Жёлтая нить, Чёрный мат)</t>
  </si>
  <si>
    <t>Руль анатомический "Ferrum" Grand Premium (со вставками из алькантары) для Лада Веста, XRAY (Зелёная нить, Чёрный глянец)</t>
  </si>
  <si>
    <t>Руль анатомический "Ferrum" Grand Premium (со вставками из алькантары) для Лада Веста, XRAY (Зелёная нить, Чёрный мат)</t>
  </si>
  <si>
    <t>Руль анатомический "Ferrum" Grand Premium (со вставками из алькантары) для Лада Веста, XRAY (Коричневая нить, Чёрный глянец)</t>
  </si>
  <si>
    <t>Руль анатомический "Ferrum" Grand Premium (со вставками из алькантары) для Лада Веста, XRAY (Коричневая нить, Чёрный мат)</t>
  </si>
  <si>
    <t>Руль анатомический "Ferrum" Grand Premium (со вставками из алькантары) для Лада Веста, XRAY (Красная нить, Чёрный глянец)</t>
  </si>
  <si>
    <t>Руль анатомический "Ferrum" Grand Premium (со вставками из алькантары) для Лада Веста, XRAY (Красная нить, Чёрный мат)</t>
  </si>
  <si>
    <t>Руль анатомический "Ferrum" Grand Premium (со вставками из алькантары) для Лада Веста, XRAY (Оранжевая нить, Чёрный глянец)</t>
  </si>
  <si>
    <t>Руль анатомический "Ferrum" Grand Premium (со вставками из алькантары) для Лада Веста, XRAY (Оранжевая нить, Чёрный мат)</t>
  </si>
  <si>
    <t>Руль анатомический "Ferrum" Grand Premium (со вставками из алькантары) для Лада Веста, XRAY (Салатовая нить, Чёрный глянец)</t>
  </si>
  <si>
    <t>Руль анатомический "Ferrum" Grand Premium (со вставками из алькантары) для Лада Веста, XRAY (Салатовая нить, Чёрный мат)</t>
  </si>
  <si>
    <t>Руль анатомический "Ferrum" Grand Premium (со вставками из алькантары) для Лада Веста, XRAY (Светло-серая нить, Чёрный глянец)</t>
  </si>
  <si>
    <t>Руль анатомический "Ferrum" Grand Premium (со вставками из алькантары) для Лада Веста, XRAY (Светло-серая нить, Чёрный мат)</t>
  </si>
  <si>
    <t>Руль анатомический "Ferrum" Grand Premium (со вставками из алькантары) для Лада Веста, XRAY (Сине-зелёная нить, Чёрный глянец)</t>
  </si>
  <si>
    <t>Руль анатомический "Ferrum" Grand Premium (со вставками из алькантары) для Лада Веста, XRAY (Сине-зелёная нить, Чёрный мат)</t>
  </si>
  <si>
    <t>Руль анатомический "Ferrum" Grand Premium (со вставками из алькантары) для Лада Веста, XRAY (Синяя нить, Чёрный глянец)</t>
  </si>
  <si>
    <t>Руль анатомический "Ferrum" Grand Premium (со вставками из алькантары) для Лада Веста, XRAY (Синяя нить, Чёрный мат)</t>
  </si>
  <si>
    <t>Руль анатомический "Ferrum" Grand Premium (со вставками из алькантары) для Лада Веста, XRAY (Тёмно-серая нить, Чёрный глянец)</t>
  </si>
  <si>
    <t>Руль анатомический "Ferrum" Grand Premium (со вставками из алькантары) для Лада Веста, XRAY (Тёмно-серая нить, Чёрный мат)</t>
  </si>
  <si>
    <t>Руль анатомический "Ferrum" Grand Premium (со вставками из алькантары) для Лада Веста, XRAY (Фиолетовая нить, Чёрный глянец)</t>
  </si>
  <si>
    <t>Руль анатомический "Ferrum" Grand Premium (со вставками из алькантары) для Лада Веста, XRAY (Фиолетовая нить, Чёрный мат)</t>
  </si>
  <si>
    <t>Руль анатомический "Ferrum" Grand Premium (со вставками из алькантары) для Лада Веста, XRAY (Чёрная нить, Чёрный глянец)</t>
  </si>
  <si>
    <t>Руль анатомический "Ferrum" Grand Premium (со вставками из алькантары) для Лада Веста, XRAY (Чёрная нить, Чёрный мат)</t>
  </si>
  <si>
    <t>Руль анатомический "Ferrum" Grand Premium с обогревом (вставки из алькантары) для Лада Ларгус FL, Веста, XRAY (Белая нить, Чёрный глянец)</t>
  </si>
  <si>
    <t>Руль анатомический "Ferrum" Grand Premium с обогревом (вставки из алькантары) для Лада Ларгус FL, Веста, XRAY (Белая нить, Чёрный мат)</t>
  </si>
  <si>
    <t>Руль анатомический "Ferrum" Grand Premium с обогревом (вставки из алькантары) для Лада Ларгус FL, Веста, XRAY (Жёлтая нить, Чёрный глянец)</t>
  </si>
  <si>
    <t>Руль анатомический "Ferrum" Grand Premium с обогревом (вставки из алькантары) для Лада Ларгус FL, Веста, XRAY (Жёлтая нить, Чёрный мат)</t>
  </si>
  <si>
    <t>Руль анатомический "Ferrum" Grand Premium с обогревом (вставки из алькантары) для Лада Ларгус FL, Веста, XRAY (Зелёная нить, Чёрный глянец)</t>
  </si>
  <si>
    <t>Руль анатомический "Ferrum" Grand Premium с обогревом (вставки из алькантары) для Лада Ларгус FL, Веста, XRAY (Зелёная нить, Чёрный мат)</t>
  </si>
  <si>
    <t>Руль анатомический "Ferrum" Grand Premium с обогревом (вставки из алькантары) для Лада Ларгус FL, Веста, XRAY (Коричневая нить, Чёрный глянец)</t>
  </si>
  <si>
    <t>Руль анатомический "Ferrum" Grand Premium с обогревом (вставки из алькантары) для Лада Ларгус FL, Веста, XRAY (Коричневая нить, Чёрный мат)</t>
  </si>
  <si>
    <t>Руль анатомический "Ferrum" Grand Premium с обогревом (вставки из алькантары) для Лада Ларгус FL, Веста, XRAY (Красная нить, Чёрный глянец)</t>
  </si>
  <si>
    <t>Руль анатомический "Ferrum" Grand Premium с обогревом (вставки из алькантары) для Лада Ларгус FL, Веста, XRAY (Красная нить, Чёрный мат)</t>
  </si>
  <si>
    <t>Руль анатомический "Ferrum" Grand Premium с обогревом (вставки из алькантары) для Лада Ларгус FL, Веста, XRAY (Оранжевая нить, Чёрный глянец)</t>
  </si>
  <si>
    <t>Руль анатомический "Ferrum" Grand Premium с обогревом (вставки из алькантары) для Лада Ларгус FL, Веста, XRAY (Оранжевая нить, Чёрный мат)</t>
  </si>
  <si>
    <t>Руль анатомический "Ferrum" Grand Premium с обогревом (вставки из алькантары) для Лада Ларгус FL, Веста, XRAY (Салатовая нить, Чёрный глянец)</t>
  </si>
  <si>
    <t>Руль анатомический "Ferrum" Grand Premium с обогревом (вставки из алькантары) для Лада Ларгус FL, Веста, XRAY (Салатовая нить, Чёрный мат)</t>
  </si>
  <si>
    <t>Руль анатомический "Ferrum" Grand Premium с обогревом (вставки из алькантары) для Лада Ларгус FL, Веста, XRAY (Светло-серая нить, Чёрный глянец)</t>
  </si>
  <si>
    <t>Руль анатомический "Ferrum" Grand Premium с обогревом (вставки из алькантары) для Лада Ларгус FL, Веста, XRAY (Светло-серая нить, Чёрный мат)</t>
  </si>
  <si>
    <t>Руль анатомический "Ferrum" Grand Premium с обогревом (вставки из алькантары) для Лада Ларгус FL, Веста, XRAY (Сине-зелёная нить, Чёрный глянец)</t>
  </si>
  <si>
    <t>Руль анатомический "Ferrum" Grand Premium с обогревом (вставки из алькантары) для Лада Ларгус FL, Веста, XRAY (Сине-зелёная нить, Чёрный мат)</t>
  </si>
  <si>
    <t>Руль анатомический "Ferrum" Grand Premium с обогревом (вставки из алькантары) для Лада Ларгус FL, Веста, XRAY (Синяя нить, Чёрный глянец)</t>
  </si>
  <si>
    <t>Руль анатомический "Ferrum" Grand Premium с обогревом (вставки из алькантары) для Лада Ларгус FL, Веста, XRAY (Синяя нить, Чёрный мат)</t>
  </si>
  <si>
    <t>Руль анатомический "Ferrum" Grand Premium с обогревом (вставки из алькантары) для Лада Ларгус FL, Веста, XRAY (Тёмно-серая нить, Чёрный глянец)</t>
  </si>
  <si>
    <t>Руль анатомический "Ferrum" Grand Premium с обогревом (вставки из алькантары) для Лада Ларгус FL, Веста, XRAY (Тёмно-серая нить, Чёрный мат)</t>
  </si>
  <si>
    <t>Руль анатомический "Ferrum" Grand Premium с обогревом (вставки из алькантары) для Лада Ларгус FL, Веста, XRAY (Фиолетовая нить, Чёрный глянец)</t>
  </si>
  <si>
    <t>Руль анатомический "Ferrum" Grand Premium с обогревом (вставки из алькантары) для Лада Ларгус FL, Веста, XRAY (Фиолетовая нить, Чёрный мат)</t>
  </si>
  <si>
    <t>Руль анатомический "Ferrum" Grand Premium с обогревом (вставки из алькантары) для Лада Ларгус FL, Веста, XRAY (Чёрная нить, Чёрный глянец)</t>
  </si>
  <si>
    <t>Руль анатомический "Ferrum" Grand Premium с обогревом (вставки из алькантары) для Лада Ларгус FL, Веста, XRAY (Чёрная нить, Чёрный мат)</t>
  </si>
  <si>
    <t>Руль анатомический "Ferrum" Grand Sport (со вставками из алькантары) для Лада Веста, XRAY (Белая нить, Чёрный глянец)</t>
  </si>
  <si>
    <t>Руль анатомический "Ferrum" Grand Sport (со вставками из алькантары) для Лада Веста, XRAY (Белая нить, Чёрный мат)</t>
  </si>
  <si>
    <t>Руль анатомический "Ferrum" Grand Sport (со вставками из алькантары) для Лада Веста, XRAY (Жёлтая нить, Чёрный глянец)</t>
  </si>
  <si>
    <t>Руль анатомический "Ferrum" Grand Sport (со вставками из алькантары) для Лада Веста, XRAY (Жёлтая нить, Чёрный мат)</t>
  </si>
  <si>
    <t>Руль анатомический "Ferrum" Grand Sport (со вставками из алькантары) для Лада Веста, XRAY (Зелёная нить, Чёрный глянец)</t>
  </si>
  <si>
    <t>Руль анатомический "Ferrum" Grand Sport (со вставками из алькантары) для Лада Веста, XRAY (Зелёная нить, Чёрный мат)</t>
  </si>
  <si>
    <t>Руль анатомический "Ferrum" Grand Sport (со вставками из алькантары) для Лада Веста, XRAY (Коричневая нить, Чёрный глянец)</t>
  </si>
  <si>
    <t>Руль анатомический "Ferrum" Grand Sport (со вставками из алькантары) для Лада Веста, XRAY (Коричневая нить, Чёрный мат)</t>
  </si>
  <si>
    <t>Руль анатомический "Ferrum" Grand Sport (со вставками из алькантары) для Лада Веста, XRAY (Красная нить, Чёрный глянец)</t>
  </si>
  <si>
    <t>Руль анатомический "Ferrum" Grand Sport (со вставками из алькантары) для Лада Веста, XRAY (Красная нить, Чёрный мат)</t>
  </si>
  <si>
    <t>Руль анатомический "Ferrum" Grand Sport (со вставками из алькантары) для Лада Веста, XRAY (Оранжевая нить, Чёрный глянец)</t>
  </si>
  <si>
    <t>Руль анатомический "Ferrum" Grand Sport (со вставками из алькантары) для Лада Веста, XRAY (Оранжевая нить, Чёрный мат)</t>
  </si>
  <si>
    <t>Руль анатомический "Ferrum" Grand Sport (со вставками из алькантары) для Лада Веста, XRAY (Салатовая нить, Чёрный глянец)</t>
  </si>
  <si>
    <t>Руль анатомический "Ferrum" Grand Sport (со вставками из алькантары) для Лада Веста, XRAY (Салатовая нить, Чёрный мат)</t>
  </si>
  <si>
    <t>Руль анатомический "Ferrum" Grand Sport (со вставками из алькантары) для Лада Веста, XRAY (Светло-серая нить, Чёрный глянец)</t>
  </si>
  <si>
    <t>Руль анатомический "Ferrum" Grand Sport (со вставками из алькантары) для Лада Веста, XRAY (Светло-серая нить, Чёрный мат)</t>
  </si>
  <si>
    <t>Руль анатомический "Ferrum" Grand Sport (со вставками из алькантары) для Лада Веста, XRAY (Сине-зелёная нить, Чёрный глянец)</t>
  </si>
  <si>
    <t>Руль анатомический "Ferrum" Grand Sport (со вставками из алькантары) для Лада Веста, XRAY (Сине-зелёная нить, Чёрный мат)</t>
  </si>
  <si>
    <t>Руль анатомический "Ferrum" Grand Sport (со вставками из алькантары) для Лада Веста, XRAY (Синяя нить, Чёрный глянец)</t>
  </si>
  <si>
    <t>Руль анатомический "Ferrum" Grand Sport (со вставками из алькантары) для Лада Веста, XRAY (Синяя нить, Чёрный мат)</t>
  </si>
  <si>
    <t>Руль анатомический "Ferrum" Grand Sport (со вставками из алькантары) для Лада Веста, XRAY (Тёмно-серая нить, Чёрный глянец)</t>
  </si>
  <si>
    <t>Руль анатомический "Ferrum" Grand Sport (со вставками из алькантары) для Лада Веста, XRAY (Тёмно-серая нить, Чёрный мат)</t>
  </si>
  <si>
    <t>Руль анатомический "Ferrum" Grand Sport (со вставками из алькантары) для Лада Веста, XRAY (Фиолетовая нить, Чёрный глянец)</t>
  </si>
  <si>
    <t>Руль анатомический "Ferrum" Grand Sport (со вставками из алькантары) для Лада Веста, XRAY (Фиолетовая нить, Чёрный мат)</t>
  </si>
  <si>
    <t>Руль анатомический "Ferrum" Grand Sport (со вставками из алькантары) для Лада Веста, XRAY (Чёрная нить, Чёрный глянец)</t>
  </si>
  <si>
    <t>Руль анатомический "Ferrum" Grand Sport (со вставками из алькантары) для Лада Веста, XRAY (Чёрная нить, Чёрный мат)</t>
  </si>
  <si>
    <t>Руль анатомический "Ferrum" Grand Sport для Лада Веста, XRAY (Белая нить, Чёрный глянец)</t>
  </si>
  <si>
    <t>Руль анатомический "Ferrum" Grand Sport для Лада Веста, XRAY (Белая нить, Чёрный мат)</t>
  </si>
  <si>
    <t>Руль анатомический "Ferrum" Grand Sport для Лада Веста, XRAY (Жёлтая нить, Чёрный глянец)</t>
  </si>
  <si>
    <t>Руль анатомический "Ferrum" Grand Sport для Лада Веста, XRAY (Жёлтая нить, Чёрный мат)</t>
  </si>
  <si>
    <t>Руль анатомический "Ferrum" Grand Sport для Лада Веста, XRAY (Зелёная нить, Чёрный глянец)</t>
  </si>
  <si>
    <t>Руль анатомический "Ferrum" Grand Sport для Лада Веста, XRAY (Зелёная нить, Чёрный мат)</t>
  </si>
  <si>
    <t>Руль анатомический "Ferrum" Grand Sport для Лада Веста, XRAY (Коричневая нить, Чёрный глянец)</t>
  </si>
  <si>
    <t>Руль анатомический "Ferrum" Grand Sport для Лада Веста, XRAY (Коричневая нить, Чёрный мат)</t>
  </si>
  <si>
    <t>Руль анатомический "Ferrum" Grand Sport для Лада Веста, XRAY (Красная нить, Чёрный глянец)</t>
  </si>
  <si>
    <t>Руль анатомический "Ferrum" Grand Sport для Лада Веста, XRAY (Красная нить, Чёрный мат)</t>
  </si>
  <si>
    <t>Руль анатомический "Ferrum" Grand Sport для Лада Веста, XRAY (Оранжевая нить, Чёрный глянец)</t>
  </si>
  <si>
    <t>Руль анатомический "Ferrum" Grand Sport для Лада Веста, XRAY (Оранжевая нить, Чёрный мат)</t>
  </si>
  <si>
    <t>Руль анатомический "Ferrum" Grand Sport для Лада Веста, XRAY (Салатовая нить, Чёрный глянец)</t>
  </si>
  <si>
    <t>Руль анатомический "Ferrum" Grand Sport для Лада Веста, XRAY (Салатовая нить, Чёрный мат)</t>
  </si>
  <si>
    <t>Руль анатомический "Ferrum" Grand Sport для Лада Веста, XRAY (Светло-серая нить, Чёрный глянец)</t>
  </si>
  <si>
    <t>Руль анатомический "Ferrum" Grand Sport для Лада Веста, XRAY (Светло-серая нить, Чёрный мат)</t>
  </si>
  <si>
    <t>Руль анатомический "Ferrum" Grand Sport для Лада Веста, XRAY (Сине-зелёная нить, Чёрный глянец)</t>
  </si>
  <si>
    <t>Руль анатомический "Ferrum" Grand Sport для Лада Веста, XRAY (Сине-зелёная нить, Чёрный мат)</t>
  </si>
  <si>
    <t>Руль анатомический "Ferrum" Grand Sport для Лада Веста, XRAY (Синяя нить, Чёрный глянец)</t>
  </si>
  <si>
    <t>Руль анатомический "Ferrum" Grand Sport для Лада Веста, XRAY (Синяя нить, Чёрный мат)</t>
  </si>
  <si>
    <t>Руль анатомический "Ferrum" Grand Sport для Лада Веста, XRAY (Тёмно-серая нить, Чёрный глянец)</t>
  </si>
  <si>
    <t>Руль анатомический "Ferrum" Grand Sport для Лада Веста, XRAY (Тёмно-серая нить, Чёрный мат)</t>
  </si>
  <si>
    <t>Руль анатомический "Ferrum" Grand Sport для Лада Веста, XRAY (Фиолетовая нить, Чёрный глянец)</t>
  </si>
  <si>
    <t>Руль анатомический "Ferrum" Grand Sport для Лада Веста, XRAY (Фиолетовая нить, Чёрный мат)</t>
  </si>
  <si>
    <t>Руль анатомический "Ferrum" Grand Sport для Лада Веста, XRAY (Чёрная нить, Чёрный глянец)</t>
  </si>
  <si>
    <t>Руль анатомический "Ferrum" Grand Sport для Лада Веста, XRAY (Чёрная нить, Чёрный мат)</t>
  </si>
  <si>
    <t>Руль анатомический "Ferrum" Grand Sport с обогревом (вставки из алькантары) для Лада Ларгус FL, Веста, XRAY (Белая нить, Чёрный глянец)</t>
  </si>
  <si>
    <t>Руль анатомический "Ferrum" Grand Sport с обогревом (вставки из алькантары) для Лада Ларгус FL, Веста, XRAY (Белая нить, Чёрный мат)</t>
  </si>
  <si>
    <t>Руль анатомический "Ferrum" Grand Sport с обогревом (вставки из алькантары) для Лада Ларгус FL, Веста, XRAY (Жёлтая нить, Чёрный глянец)</t>
  </si>
  <si>
    <t>Руль анатомический "Ferrum" Grand Sport с обогревом (вставки из алькантары) для Лада Ларгус FL, Веста, XRAY (Жёлтая нить, Чёрный мат)</t>
  </si>
  <si>
    <t>Руль анатомический "Ferrum" Grand Sport с обогревом (вставки из алькантары) для Лада Ларгус FL, Веста, XRAY (Зелёная нить, Чёрный глянец)</t>
  </si>
  <si>
    <t>Руль анатомический "Ferrum" Grand Sport с обогревом (вставки из алькантары) для Лада Ларгус FL, Веста, XRAY (Зелёная нить, Чёрный мат)</t>
  </si>
  <si>
    <t>Руль анатомический "Ferrum" Grand Sport с обогревом (вставки из алькантары) для Лада Ларгус FL, Веста, XRAY (Коричневая нить, Чёрный глянец)</t>
  </si>
  <si>
    <t>Руль анатомический "Ferrum" Grand Sport с обогревом (вставки из алькантары) для Лада Ларгус FL, Веста, XRAY (Коричневая нить, Чёрный мат)</t>
  </si>
  <si>
    <t>Руль анатомический "Ferrum" Grand Sport с обогревом (вставки из алькантары) для Лада Ларгус FL, Веста, XRAY (Красная нить, Чёрный глянец)</t>
  </si>
  <si>
    <t>Руль анатомический "Ferrum" Grand Sport с обогревом (вставки из алькантары) для Лада Ларгус FL, Веста, XRAY (Красная нить, Чёрный мат)</t>
  </si>
  <si>
    <t>Руль анатомический "Ferrum" Grand Sport с обогревом (вставки из алькантары) для Лада Ларгус FL, Веста, XRAY (Оранжевая нить, Чёрный глянец)</t>
  </si>
  <si>
    <t>Руль анатомический "Ferrum" Grand Sport с обогревом (вставки из алькантары) для Лада Ларгус FL, Веста, XRAY (Оранжевая нить, Чёрный мат)</t>
  </si>
  <si>
    <t>Руль анатомический "Ferrum" Grand Sport с обогревом (вставки из алькантары) для Лада Ларгус FL, Веста, XRAY (Салатовая нить, Чёрный глянец)</t>
  </si>
  <si>
    <t>Руль анатомический "Ferrum" Grand Sport с обогревом (вставки из алькантары) для Лада Ларгус FL, Веста, XRAY (Салатовая нить, Чёрный мат)</t>
  </si>
  <si>
    <t>Руль анатомический "Ferrum" Grand Sport с обогревом (вставки из алькантары) для Лада Ларгус FL, Веста, XRAY (Светло-серая нить, Чёрный глянец)</t>
  </si>
  <si>
    <t>Руль анатомический "Ferrum" Grand Sport с обогревом (вставки из алькантары) для Лада Ларгус FL, Веста, XRAY (Светло-серая нить, Чёрный мат)</t>
  </si>
  <si>
    <t>Руль анатомический "Ferrum" Grand Sport с обогревом (вставки из алькантары) для Лада Ларгус FL, Веста, XRAY (Сине-зелёная нить, Чёрный глянец)</t>
  </si>
  <si>
    <t>Руль анатомический "Ferrum" Grand Sport с обогревом (вставки из алькантары) для Лада Ларгус FL, Веста, XRAY (Сине-зелёная нить, Чёрный мат)</t>
  </si>
  <si>
    <t>Руль анатомический "Ferrum" Grand Sport с обогревом (вставки из алькантары) для Лада Ларгус FL, Веста, XRAY (Синяя нить, Чёрный глянец)</t>
  </si>
  <si>
    <t>Руль анатомический "Ferrum" Grand Sport с обогревом (вставки из алькантары) для Лада Ларгус FL, Веста, XRAY (Синяя нить, Чёрный мат)</t>
  </si>
  <si>
    <t>Руль анатомический "Ferrum" Grand Sport с обогревом (вставки из алькантары) для Лада Ларгус FL, Веста, XRAY (Тёмно-серая нить, Чёрный глянец)</t>
  </si>
  <si>
    <t>Руль анатомический "Ferrum" Grand Sport с обогревом (вставки из алькантары) для Лада Ларгус FL, Веста, XRAY (Тёмно-серая нить, Чёрный мат)</t>
  </si>
  <si>
    <t>Руль анатомический "Ferrum" Grand Sport с обогревом (вставки из алькантары) для Лада Ларгус FL, Веста, XRAY (Фиолетовая нить, Чёрный глянец)</t>
  </si>
  <si>
    <t>Руль анатомический "Ferrum" Grand Sport с обогревом (вставки из алькантары) для Лада Ларгус FL, Веста, XRAY (Фиолетовая нить, Чёрный мат)</t>
  </si>
  <si>
    <t>Руль анатомический "Ferrum" Grand Sport с обогревом (вставки из алькантары) для Лада Ларгус FL, Веста, XRAY (Чёрная нить, Чёрный глянец)</t>
  </si>
  <si>
    <t>Руль анатомический "Ferrum" Grand Sport с обогревом (вставки из алькантары) для Лада Ларгус FL, Веста, XRAY (Чёрная нить, Чёрный мат)</t>
  </si>
  <si>
    <t>Руль анатомический "Ferrum" Grand Sport с обогревом для Лада Ларгус FL, Веста, XRAY (Белая нить, Чёрный глянец)</t>
  </si>
  <si>
    <t>Руль анатомический "Ferrum" Grand Sport с обогревом для Лада Ларгус FL, Веста, XRAY (Белая нить, Чёрный мат)</t>
  </si>
  <si>
    <t>Руль анатомический "Ferrum" Grand Sport с обогревом для Лада Ларгус FL, Веста, XRAY (Жёлтая нить, Чёрный глянец)</t>
  </si>
  <si>
    <t>Руль анатомический "Ferrum" Grand Sport с обогревом для Лада Ларгус FL, Веста, XRAY (Жёлтая нить, Чёрный мат)</t>
  </si>
  <si>
    <t>Руль анатомический "Ferrum" Grand Sport с обогревом для Лада Ларгус FL, Веста, XRAY (Зелёная нить, Чёрный глянец)</t>
  </si>
  <si>
    <t>Руль анатомический "Ferrum" Grand Sport с обогревом для Лада Ларгус FL, Веста, XRAY (Зелёная нить, Чёрный мат)</t>
  </si>
  <si>
    <t>Руль анатомический "Ferrum" Grand Sport с обогревом для Лада Ларгус FL, Веста, XRAY (Коричневая нить, Чёрный глянец)</t>
  </si>
  <si>
    <t>Руль анатомический "Ferrum" Grand Sport с обогревом для Лада Ларгус FL, Веста, XRAY (Коричневая нить, Чёрный мат)</t>
  </si>
  <si>
    <t>Руль анатомический "Ferrum" Grand Sport с обогревом для Лада Ларгус FL, Веста, XRAY (Красная нить, Чёрный глянец)</t>
  </si>
  <si>
    <t>Руль анатомический "Ferrum" Grand Sport с обогревом для Лада Ларгус FL, Веста, XRAY (Красная нить, Чёрный мат)</t>
  </si>
  <si>
    <t>Руль анатомический "Ferrum" Grand Sport с обогревом для Лада Ларгус FL, Веста, XRAY (Оранжевая нить, Чёрный глянец)</t>
  </si>
  <si>
    <t>Руль анатомический "Ferrum" Grand Sport с обогревом для Лада Ларгус FL, Веста, XRAY (Оранжевая нить, Чёрный мат)</t>
  </si>
  <si>
    <t>Руль анатомический "Ferrum" Grand Sport с обогревом для Лада Ларгус FL, Веста, XRAY (Салатовая нить, Чёрный глянец)</t>
  </si>
  <si>
    <t>Руль анатомический "Ferrum" Grand Sport с обогревом для Лада Ларгус FL, Веста, XRAY (Салатовая нить, Чёрный мат)</t>
  </si>
  <si>
    <t>Руль анатомический "Ferrum" Grand Sport с обогревом для Лада Ларгус FL, Веста, XRAY (Светло-серая нить, Чёрный глянец)</t>
  </si>
  <si>
    <t>Руль анатомический "Ferrum" Grand Sport с обогревом для Лада Ларгус FL, Веста, XRAY (Светло-серая нить, Чёрный мат)</t>
  </si>
  <si>
    <t>Руль анатомический "Ferrum" Grand Sport с обогревом для Лада Ларгус FL, Веста, XRAY (Сине-зелёная нить, Чёрный глянец)</t>
  </si>
  <si>
    <t>Руль анатомический "Ferrum" Grand Sport с обогревом для Лада Ларгус FL, Веста, XRAY (Сине-зелёная нить, Чёрный мат)</t>
  </si>
  <si>
    <t>Руль анатомический "Ferrum" Grand Sport с обогревом для Лада Ларгус FL, Веста, XRAY (Синяя нить, Чёрный глянец)</t>
  </si>
  <si>
    <t>Руль анатомический "Ferrum" Grand Sport с обогревом для Лада Ларгус FL, Веста, XRAY (Синяя нить, Чёрный мат)</t>
  </si>
  <si>
    <t>Руль анатомический "Ferrum" Grand Sport с обогревом для Лада Ларгус FL, Веста, XRAY (Тёмно-серая нить, Чёрный глянец)</t>
  </si>
  <si>
    <t>Руль анатомический "Ferrum" Grand Sport с обогревом для Лада Ларгус FL, Веста, XRAY (Тёмно-серая нить, Чёрный мат)</t>
  </si>
  <si>
    <t>Руль анатомический "Ferrum" Grand Sport с обогревом для Лада Ларгус FL, Веста, XRAY (Фиолетовая нить, Чёрный глянец)</t>
  </si>
  <si>
    <t>Руль анатомический "Ferrum" Grand Sport с обогревом для Лада Ларгус FL, Веста, XRAY (Фиолетовая нить, Чёрный мат)</t>
  </si>
  <si>
    <t>Руль анатомический "Ferrum" Grand Sport с обогревом для Лада Ларгус FL, Веста, XRAY (Чёрная нить, Чёрный глянец)</t>
  </si>
  <si>
    <t>Руль анатомический "Ferrum" Grand Sport с обогревом для Лада Ларгус FL, Веста, XRAY (Чёрная нить, Чёрный мат)</t>
  </si>
  <si>
    <t>Руль анатомический "Ferrum" Limited Edition карбон, вставки алькантара для Лада Ларгус FL, Веста, XRAY (Белая нить, Чёрный мат)</t>
  </si>
  <si>
    <t>Руль анатомический "Ferrum" Limited Edition карбон, вставки алькантара для Лада Ларгус FL, Веста, XRAY (Жёлтая нить, Чёрный мат)</t>
  </si>
  <si>
    <t>Руль анатомический "Ferrum" Limited Edition карбон, вставки алькантара для Лада Ларгус FL, Веста, XRAY (Зелёная нить, Чёрный мат)</t>
  </si>
  <si>
    <t>Руль анатомический "Ferrum" Limited Edition карбон, вставки алькантара для Лада Ларгус FL, Веста, XRAY (Коричневая нить, Чёрный мат)</t>
  </si>
  <si>
    <t>Руль анатомический "Ferrum" Limited Edition карбон, вставки алькантара для Лада Ларгус FL, Веста, XRAY (Красная нить, Чёрный мат)</t>
  </si>
  <si>
    <t>Руль анатомический "Ferrum" Limited Edition карбон, вставки алькантара для Лада Ларгус FL, Веста, XRAY (Оранжевая нить, Чёрный мат)</t>
  </si>
  <si>
    <t>Руль анатомический "Ferrum" Limited Edition карбон, вставки алькантара для Лада Ларгус FL, Веста, XRAY (Салатовая нить, Чёрный мат)</t>
  </si>
  <si>
    <t>Руль анатомический "Ferrum" Limited Edition карбон, вставки алькантара для Лада Ларгус FL, Веста, XRAY (Светло-серая нить, Чёрный мат)</t>
  </si>
  <si>
    <t>Руль анатомический "Ferrum" Limited Edition карбон, вставки алькантара для Лада Ларгус FL, Веста, XRAY (Сине-зелёная нить, Чёрный мат)</t>
  </si>
  <si>
    <t>Руль анатомический "Ferrum" Limited Edition карбон, вставки алькантара для Лада Ларгус FL, Веста, XRAY (Синяя нить, Чёрный мат)</t>
  </si>
  <si>
    <t>Руль анатомический "Ferrum" Limited Edition карбон, вставки алькантара для Лада Ларгус FL, Веста, XRAY (Тёмно-серая нить, Чёрный мат)</t>
  </si>
  <si>
    <t>Руль анатомический "Ferrum" Limited Edition карбон, вставки алькантара для Лада Ларгус FL, Веста, XRAY (Фиолетовая нить, Чёрный мат)</t>
  </si>
  <si>
    <t>Руль анатомический "Ferrum" Limited Edition карбон, вставки алькантара для Лада Ларгус FL, Веста, XRAY (Чёрная нить, Чёрный мат)</t>
  </si>
  <si>
    <t>Руль анатомический "Ferrum" Limited Edition карбоновое (вставки из алькантары) для Лада Ларгус FL, Веста, XRAY (Белая нить, Чёрный глянец)</t>
  </si>
  <si>
    <t>Руль анатомический "Ferrum" Limited Edition карбоновое (вставки из алькантары) для Лада Ларгус FL, Веста, XRAY (Жёлтая нить, Чёрный глянец)</t>
  </si>
  <si>
    <t>Руль анатомический "Ferrum" Limited Edition карбоновое (вставки из алькантары) для Лада Ларгус FL, Веста, XRAY (Зелёная нить, Чёрный глянец)</t>
  </si>
  <si>
    <t>Руль анатомический "Ferrum" Limited Edition карбоновое (вставки из алькантары) для Лада Ларгус FL, Веста, XRAY (Коричневая нить, Чёрный глянец)</t>
  </si>
  <si>
    <t>Руль анатомический "Ferrum" Limited Edition карбоновое (вставки из алькантары) для Лада Ларгус FL, Веста, XRAY (Красная нить, Чёрный глянец)</t>
  </si>
  <si>
    <t>Руль анатомический "Ferrum" Limited Edition карбоновое (вставки из алькантары) для Лада Ларгус FL, Веста, XRAY (Оранжевая нить, Чёрный глянец)</t>
  </si>
  <si>
    <t>Руль анатомический "Ferrum" Limited Edition карбоновое (вставки из алькантары) для Лада Ларгус FL, Веста, XRAY (Салатовая нить, Чёрный глянец)</t>
  </si>
  <si>
    <t>Руль анатомический "Ferrum" Limited Edition карбоновое (вставки из алькантары) для Лада Ларгус FL, Веста, XRAY (Светло-серая нить, Чёрный глянец)</t>
  </si>
  <si>
    <t>Руль анатомический "Ferrum" Limited Edition карбоновое (вставки из алькантары) для Лада Ларгус FL, Веста, XRAY (Сине-зелёная нить, Чёрный глянец)</t>
  </si>
  <si>
    <t>Руль анатомический "Ferrum" Limited Edition карбоновое (вставки из алькантары) для Лада Ларгус FL, Веста, XRAY (Синяя нить, Чёрный глянец)</t>
  </si>
  <si>
    <t>Руль анатомический "Ferrum" Limited Edition карбоновое (вставки из алькантары) для Лада Ларгус FL, Веста, XRAY (Тёмно-серая нить, Чёрный глянец)</t>
  </si>
  <si>
    <t>Руль анатомический "Ferrum" Limited Edition карбоновое (вставки из алькантары) для Лада Ларгус FL, Веста, XRAY (Фиолетовая нить, Чёрный глянец)</t>
  </si>
  <si>
    <t>Руль анатомический "Ferrum" Limited Edition карбоновое (вставки из алькантары) для Лада Ларгус FL, Веста, XRAY (Чёрная нить, Чёрный глянец)</t>
  </si>
  <si>
    <t>Руль анатомический "Ferrum" Limited Edition с обогревом (карбон, вставки алькантара) для Лада Ларгус FL, Веста, XRAY (Белая нить, Чёрный мат)</t>
  </si>
  <si>
    <t>Руль анатомический "Ferrum" Limited Edition с обогревом (карбон, вставки алькантара) для Лада Ларгус FL, Веста, XRAY (Жёлтая нить, Чёрный мат)</t>
  </si>
  <si>
    <t>Руль анатомический "Ferrum" Limited Edition с обогревом (карбон, вставки алькантара) для Лада Ларгус FL, Веста, XRAY (Зелёная нить, Чёрный мат)</t>
  </si>
  <si>
    <t>Руль анатомический "Ferrum" Limited Edition с обогревом (карбон, вставки алькантара) для Лада Ларгус FL, Веста, XRAY (Коричневая нить, Чёрный мат)</t>
  </si>
  <si>
    <t>Руль анатомический "Ferrum" Limited Edition с обогревом (карбон, вставки алькантара) для Лада Ларгус FL, Веста, XRAY (Красная нить, Чёрный мат)</t>
  </si>
  <si>
    <t>Руль анатомический "Ferrum" Limited Edition с обогревом (карбон, вставки алькантара) для Лада Ларгус FL, Веста, XRAY (Оранжевая нить, Чёрный мат)</t>
  </si>
  <si>
    <t>Руль анатомический "Ferrum" Limited Edition с обогревом (карбон, вставки алькантара) для Лада Ларгус FL, Веста, XRAY (Салатовая нить, Чёрный мат)</t>
  </si>
  <si>
    <t>Руль анатомический "Ferrum" Limited Edition с обогревом (карбон, вставки алькантара) для Лада Ларгус FL, Веста, XRAY (Светло-серая нить, Чёрный мат)</t>
  </si>
  <si>
    <t>Руль анатомический "Ferrum" Limited Edition с обогревом (карбон, вставки алькантара) для Лада Ларгус FL, Веста, XRAY (Сине-зелёная нить, Чёрный мат)</t>
  </si>
  <si>
    <t>Руль анатомический "Ferrum" Limited Edition с обогревом (карбон, вставки алькантара) для Лада Ларгус FL, Веста, XRAY (Синяя нить, Чёрный мат)</t>
  </si>
  <si>
    <t>Руль анатомический "Ferrum" Limited Edition с обогревом (карбон, вставки алькантара) для Лада Ларгус FL, Веста, XRAY (Тёмно-серая нить, Чёрный мат)</t>
  </si>
  <si>
    <t>Руль анатомический "Ferrum" Limited Edition с обогревом (карбон, вставки алькантара) для Лада Ларгус FL, Веста, XRAY (Фиолетовая нить, Чёрный мат)</t>
  </si>
  <si>
    <t>Руль анатомический "Ferrum" Limited Edition с обогревом (карбон, вставки алькантара) для Лада Ларгус FL, Веста, XRAY (Чёрная нить, Чёрный мат)</t>
  </si>
  <si>
    <t>Руль анатомический "Ferrum" Limited Edition с обогревом (карбоновое, вставки из алькантары) для Лада Ларгус FL, Веста, XRAY (Белая нить, Чёрный глянец)</t>
  </si>
  <si>
    <t>Руль анатомический "Ferrum" Limited Edition с обогревом (карбоновое, вставки из алькантары) для Лада Ларгус FL, Веста, XRAY (Жёлтая нить, Чёрный глянец)</t>
  </si>
  <si>
    <t>Руль анатомический "Ferrum" Limited Edition с обогревом (карбоновое, вставки из алькантары) для Лада Ларгус FL, Веста, XRAY (Зелёная нить, Чёрный глянец)</t>
  </si>
  <si>
    <t>Руль анатомический "Ferrum" Limited Edition с обогревом (карбоновое, вставки из алькантары) для Лада Ларгус FL, Веста, XRAY (Коричневая нить, Чёрный глянец)</t>
  </si>
  <si>
    <t>Руль анатомический "Ferrum" Limited Edition с обогревом (карбоновое, вставки из алькантары) для Лада Ларгус FL, Веста, XRAY (Красная нить, Чёрный глянец)</t>
  </si>
  <si>
    <t>Руль анатомический "Ferrum" Limited Edition с обогревом (карбоновое, вставки из алькантары) для Лада Ларгус FL, Веста, XRAY (Оранжевая нить, Чёрный глянец)</t>
  </si>
  <si>
    <t>Руль анатомический "Ferrum" Limited Edition с обогревом (карбоновое, вставки из алькантары) для Лада Ларгус FL, Веста, XRAY (Салатовая нить, Чёрный глянец)</t>
  </si>
  <si>
    <t>Руль анатомический "Ferrum" Limited Edition с обогревом (карбоновое, вставки из алькантары) для Лада Ларгус FL, Веста, XRAY (Светло-серая нить, Чёрный глянец)</t>
  </si>
  <si>
    <t>Руль анатомический "Ferrum" Limited Edition с обогревом (карбоновое, вставки из алькантары) для Лада Ларгус FL, Веста, XRAY (Сине-зелёная нить, Чёрный глянец)</t>
  </si>
  <si>
    <t>Руль анатомический "Ferrum" Limited Edition с обогревом (карбоновое, вставки из алькантары) для Лада Ларгус FL, Веста, XRAY (Синяя нить, Чёрный глянец)</t>
  </si>
  <si>
    <t>Руль анатомический "Ferrum" Limited Edition с обогревом (карбоновое, вставки из алькантары) для Лада Ларгус FL, Веста, XRAY (Тёмно-серая нить, Чёрный глянец)</t>
  </si>
  <si>
    <t>Руль анатомический "Ferrum" Limited Edition с обогревом (карбоновое, вставки из алькантары) для Лада Ларгус FL, Веста, XRAY (Фиолетовая нить, Чёрный глянец)</t>
  </si>
  <si>
    <t>Руль анатомический "Ferrum" Limited Edition с обогревом (карбоновое, вставки из алькантары) для Лада Ларгус FL, Веста, XRAY (Чёрная нить, Чёрный глянец)</t>
  </si>
  <si>
    <t>Руль анатомический "Ferrum" Lite с обогревом для Лада Ларгус FL, Веста, XRAY (Белая нить, Чёрный глянец)</t>
  </si>
  <si>
    <t>Руль анатомический "Ferrum" Lite с обогревом для Лада Ларгус FL, Веста, XRAY (Белая нить, Чёрный мат)</t>
  </si>
  <si>
    <t>Руль анатомический "Ferrum" Lite с обогревом для Лада Ларгус FL, Веста, XRAY (Жёлтая нить, Чёрный глянец)</t>
  </si>
  <si>
    <t>Руль анатомический "Ferrum" Lite с обогревом для Лада Ларгус FL, Веста, XRAY (Жёлтая нить, Чёрный мат)</t>
  </si>
  <si>
    <t>Руль анатомический "Ferrum" Lite с обогревом для Лада Ларгус FL, Веста, XRAY (Зелёная нить, Чёрный глянец)</t>
  </si>
  <si>
    <t>Руль анатомический "Ferrum" Lite с обогревом для Лада Ларгус FL, Веста, XRAY (Зелёная нить, Чёрный мат)</t>
  </si>
  <si>
    <t>Руль анатомический "Ferrum" Lite с обогревом для Лада Ларгус FL, Веста, XRAY (Коричневая нить, Чёрный глянец)</t>
  </si>
  <si>
    <t>Руль анатомический "Ferrum" Lite с обогревом для Лада Ларгус FL, Веста, XRAY (Коричневая нить, Чёрный мат)</t>
  </si>
  <si>
    <t>Руль анатомический "Ferrum" Lite с обогревом для Лада Ларгус FL, Веста, XRAY (Красная нить, Чёрный глянец)</t>
  </si>
  <si>
    <t>Руль анатомический "Ferrum" Lite с обогревом для Лада Ларгус FL, Веста, XRAY (Красная нить, Чёрный мат)</t>
  </si>
  <si>
    <t>Руль анатомический "Ferrum" Lite с обогревом для Лада Ларгус FL, Веста, XRAY (Оранжевая нить, Чёрный глянец)</t>
  </si>
  <si>
    <t>Руль анатомический "Ferrum" Lite с обогревом для Лада Ларгус FL, Веста, XRAY (Оранжевая нить, Чёрный мат)</t>
  </si>
  <si>
    <t>Руль анатомический "Ferrum" Lite с обогревом для Лада Ларгус FL, Веста, XRAY (Салатовая нить, Чёрный глянец)</t>
  </si>
  <si>
    <t>Руль анатомический "Ferrum" Lite с обогревом для Лада Ларгус FL, Веста, XRAY (Салатовая нить, Чёрный мат)</t>
  </si>
  <si>
    <t>Руль анатомический "Ferrum" Lite с обогревом для Лада Ларгус FL, Веста, XRAY (Светло-серая нить, Чёрный глянец)</t>
  </si>
  <si>
    <t>Руль анатомический "Ferrum" Lite с обогревом для Лада Ларгус FL, Веста, XRAY (Светло-серая нить, Чёрный мат)</t>
  </si>
  <si>
    <t>Руль анатомический "Ferrum" Lite с обогревом для Лада Ларгус FL, Веста, XRAY (Сине-зелёная нить, Чёрный глянец)</t>
  </si>
  <si>
    <t>Руль анатомический "Ferrum" Lite с обогревом для Лада Ларгус FL, Веста, XRAY (Сине-зелёная нить, Чёрный мат)</t>
  </si>
  <si>
    <t>Руль анатомический "Ferrum" Lite с обогревом для Лада Ларгус FL, Веста, XRAY (Синяя нить, Чёрный глянец)</t>
  </si>
  <si>
    <t>Руль анатомический "Ferrum" Lite с обогревом для Лада Ларгус FL, Веста, XRAY (Синяя нить, Чёрный мат)</t>
  </si>
  <si>
    <t>Руль анатомический "Ferrum" Lite с обогревом для Лада Ларгус FL, Веста, XRAY (Тёмно-серая нить, Чёрный глянец)</t>
  </si>
  <si>
    <t>Руль анатомический "Ferrum" Lite с обогревом для Лада Ларгус FL, Веста, XRAY (Тёмно-серая нить, Чёрный мат)</t>
  </si>
  <si>
    <t>Руль анатомический "Ferrum" Lite с обогревом для Лада Ларгус FL, Веста, XRAY (Фиолетовая нить, Чёрный глянец)</t>
  </si>
  <si>
    <t>Руль анатомический "Ferrum" Lite с обогревом для Лада Ларгус FL, Веста, XRAY (Фиолетовая нить, Чёрный мат)</t>
  </si>
  <si>
    <t>Руль анатомический "Ferrum" Lite с обогревом для Лада Ларгус FL, Веста, XRAY (Чёрная нить, Чёрный глянец)</t>
  </si>
  <si>
    <t>Руль анатомический "Ferrum" Lite с обогревом для Лада Ларгус FL, Веста, XRAY (Чёрная нить, Чёрный мат)</t>
  </si>
  <si>
    <t>Руль анатомический "Ferrum Group" Premium с обогревом для Лада Ларгус FL, Веста, XRAY (Белая нить, Чёрный глянец)</t>
  </si>
  <si>
    <t>Руль анатомический "Ferrum Group" Premium с обогревом для Лада Ларгус FL, Веста, XRAY (Жёлтая нить, Чёрный глянец)</t>
  </si>
  <si>
    <t>Руль анатомический "Ferrum Group" Premium с обогревом для Лада Ларгус FL, Веста, XRAY (Зелёная нить, Чёрный глянец)</t>
  </si>
  <si>
    <t>Руль анатомический "Ferrum Group" Premium с обогревом для Лада Ларгус FL, Веста, XRAY (Коричневая нить, Чёрный глянец)</t>
  </si>
  <si>
    <t>Руль анатомический "Ferrum Group" Premium с обогревом для Лада Ларгус FL, Веста, XRAY (Красная нить, Чёрный глянец)</t>
  </si>
  <si>
    <t>Руль анатомический "Ferrum Group" Premium с обогревом для Лада Ларгус FL, Веста, XRAY (Оранжевая нить, Чёрный глянец)</t>
  </si>
  <si>
    <t>Руль анатомический "Ferrum" Premium с обогревом для Лада Ларгус FL, Веста, XRAY (Белая нить, Чёрный мат)</t>
  </si>
  <si>
    <t>Руль анатомический "Ferrum" Premium с обогревом для Лада Ларгус FL, Веста, XRAY (Жёлтая нить, Чёрный мат)</t>
  </si>
  <si>
    <t>Руль анатомический "Ferrum" Premium с обогревом для Лада Ларгус FL, Веста, XRAY (Зелёная нить, Чёрный мат)</t>
  </si>
  <si>
    <t>Руль анатомический "Ferrum" Premium с обогревом для Лада Ларгус FL, Веста, XRAY (Коричневая нить, Чёрный мат)</t>
  </si>
  <si>
    <t>Руль анатомический "Ferrum" Premium с обогревом для Лада Ларгус FL, Веста, XRAY (Красная нить, Чёрный мат)</t>
  </si>
  <si>
    <t>Руль анатомический "Ferrum" Premium с обогревом для Лада Ларгус FL, Веста, XRAY (Оранжевая нить, Чёрный мат)</t>
  </si>
  <si>
    <t>Руль анатомический "Ferrum" Premium с обогревом для Лада Ларгус FL, Веста, XRAY (Салатовая нить, Чёрный глянец)</t>
  </si>
  <si>
    <t>Руль анатомический "Ferrum" Premium с обогревом для Лада Ларгус FL, Веста, XRAY (Салатовая нить, Чёрный мат)</t>
  </si>
  <si>
    <t>Руль анатомический "Ferrum" Premium с обогревом для Лада Ларгус FL, Веста, XRAY (Светло-серая нить, Чёрный глянец)</t>
  </si>
  <si>
    <t>Руль анатомический "Ferrum" Premium с обогревом для Лада Ларгус FL, Веста, XRAY (Светло-серая нить, Чёрный мат)</t>
  </si>
  <si>
    <t>Руль анатомический "Ferrum" Premium с обогревом для Лада Ларгус FL, Веста, XRAY (Сине-зелёная нить, Чёрный глянец)</t>
  </si>
  <si>
    <t>Руль анатомический "Ferrum" Premium с обогревом для Лада Ларгус FL, Веста, XRAY (Сине-зелёная нить, Чёрный мат)</t>
  </si>
  <si>
    <t>Руль анатомический "Ferrum" Premium с обогревом для Лада Ларгус FL, Веста, XRAY (Синяя нить, Чёрный глянец)</t>
  </si>
  <si>
    <t>Руль анатомический "Ferrum" Premium с обогревом для Лада Ларгус FL, Веста, XRAY (Синяя нить, Чёрный мат)</t>
  </si>
  <si>
    <t>Руль анатомический "Ferrum" Premium с обогревом для Лада Ларгус FL, Веста, XRAY (Тёмно-серая нить, Чёрный глянец)</t>
  </si>
  <si>
    <t>Руль анатомический "Ferrum" Premium с обогревом для Лада Ларгус FL, Веста, XRAY (Тёмно-серая нить, Чёрный мат)</t>
  </si>
  <si>
    <t>Руль анатомический "Ferrum" Premium с обогревом для Лада Ларгус FL, Веста, XRAY (Фиолетовая нить, Чёрный глянец)</t>
  </si>
  <si>
    <t>Руль анатомический "Ferrum" Premium с обогревом для Лада Ларгус FL, Веста, XRAY (Фиолетовая нить, Чёрный мат)</t>
  </si>
  <si>
    <t>Руль анатомический "Ferrum" Premium с обогревом для Лада Ларгус FL, Веста, XRAY (Чёрная нить, Чёрный глянец)</t>
  </si>
  <si>
    <t>Руль анатомический "Ferrum" Premium с обогревом для Лада Ларгус FL, Веста, XRAY (Чёрная нить, Чёрный мат)</t>
  </si>
  <si>
    <t>Руль анатомический "Ferrum" SPORT с обогревом для Лада Ларгус FL, Веста, XRAY (Белая нить, Чёрный глянец)</t>
  </si>
  <si>
    <t>Руль анатомический "Ferrum" SPORT с обогревом для Лада Ларгус FL, Веста, XRAY (Белая нить, Чёрный мат)</t>
  </si>
  <si>
    <t>Руль анатомический "Ferrum" SPORT с обогревом для Лада Ларгус FL, Веста, XRAY (Жёлтая нить, Чёрный глянец)</t>
  </si>
  <si>
    <t>Руль анатомический "Ferrum" SPORT с обогревом для Лада Ларгус FL, Веста, XRAY (Жёлтая нить, Чёрный мат)</t>
  </si>
  <si>
    <t>Руль анатомический "Ferrum" SPORT с обогревом для Лада Ларгус FL, Веста, XRAY (Зелёная нить, Чёрный глянец)</t>
  </si>
  <si>
    <t>Руль анатомический "Ferrum" SPORT с обогревом для Лада Ларгус FL, Веста, XRAY (Зелёная нить, Чёрный мат)</t>
  </si>
  <si>
    <t>Руль анатомический "Ferrum" SPORT с обогревом для Лада Ларгус FL, Веста, XRAY (Коричневая нить, Чёрный глянец)</t>
  </si>
  <si>
    <t>Руль анатомический "Ferrum" SPORT с обогревом для Лада Ларгус FL, Веста, XRAY (Коричневая нить, Чёрный мат)</t>
  </si>
  <si>
    <t>Руль анатомический "Ferrum" SPORT с обогревом для Лада Ларгус FL, Веста, XRAY (Красная нить, Чёрный глянец)</t>
  </si>
  <si>
    <t>Руль анатомический "Ferrum" SPORT с обогревом для Лада Ларгус FL, Веста, XRAY (Красная нить, Чёрный мат)</t>
  </si>
  <si>
    <t>Руль анатомический "Ferrum" SPORT с обогревом для Лада Ларгус FL, Веста, XRAY (Оранжевая нить, Чёрный глянец)</t>
  </si>
  <si>
    <t>Руль анатомический "Ferrum" SPORT с обогревом для Лада Ларгус FL, Веста, XRAY (Оранжевая нить, Чёрный мат)</t>
  </si>
  <si>
    <t>Руль анатомический "Ferrum" SPORT с обогревом для Лада Ларгус FL, Веста, XRAY (Салатовая нить, Чёрный глянец)</t>
  </si>
  <si>
    <t>Руль анатомический "Ferrum" SPORT с обогревом для Лада Ларгус FL, Веста, XRAY (Салатовая нить, Чёрный мат)</t>
  </si>
  <si>
    <t>Руль анатомический "Ferrum" SPORT с обогревом для Лада Ларгус FL, Веста, XRAY (Светло-серая нить, Чёрный глянец)</t>
  </si>
  <si>
    <t>Руль анатомический "Ferrum" SPORT с обогревом для Лада Ларгус FL, Веста, XRAY (Светло-серая нить, Чёрный мат)</t>
  </si>
  <si>
    <t>Руль анатомический "Ferrum" SPORT с обогревом для Лада Ларгус FL, Веста, XRAY (Сине-зелёная нить, Чёрный глянец)</t>
  </si>
  <si>
    <t>Руль анатомический "Ferrum" SPORT с обогревом для Лада Ларгус FL, Веста, XRAY (Сине-зелёная нить, Чёрный мат)</t>
  </si>
  <si>
    <t>Руль анатомический "Ferrum" SPORT с обогревом для Лада Ларгус FL, Веста, XRAY (Синяя нить, Чёрный глянец)</t>
  </si>
  <si>
    <t>Руль анатомический "Ferrum" SPORT с обогревом для Лада Ларгус FL, Веста, XRAY (Синяя нить, Чёрный мат)</t>
  </si>
  <si>
    <t>Руль анатомический "Ferrum" SPORT с обогревом для Лада Ларгус FL, Веста, XRAY (Тёмно-серая нить, Чёрный глянец)</t>
  </si>
  <si>
    <t>Руль анатомический "Ferrum" SPORT с обогревом для Лада Ларгус FL, Веста, XRAY (Тёмно-серая нить, Чёрный мат)</t>
  </si>
  <si>
    <t>Руль анатомический "Ferrum" SPORT с обогревом для Лада Ларгус FL, Веста, XRAY (Фиолетовая нить, Чёрный глянец)</t>
  </si>
  <si>
    <t>Руль анатомический "Ferrum" SPORT с обогревом для Лада Ларгус FL, Веста, XRAY (Фиолетовая нить, Чёрный мат)</t>
  </si>
  <si>
    <t>Руль анатомический "Ferrum" SPORT с обогревом для Лада Ларгус FL, Веста, XRAY (Чёрная нить, Чёрный глянец)</t>
  </si>
  <si>
    <t>Руль анатомический "Ferrum" SPORT с обогревом для Лада Ларгус FL, Веста, XRAY (Чёрная нить, Чёрный мат)</t>
  </si>
  <si>
    <t>Руль анатомический "Ferrum" Vesta Cross Serie для Лада Веста, XRAY</t>
  </si>
  <si>
    <t>Руль анатомический "Ferrum" Vesta Cross Serie для Лада Веста, XRAY (Белая нить, Чёрный глянец)</t>
  </si>
  <si>
    <t>Руль анатомический "Ferrum" Vesta Cross Serie для Лада Веста, XRAY (Белая нить, Чёрный мат)</t>
  </si>
  <si>
    <t>Руль анатомический "Ferrum" Vesta Cross Serie для Лада Веста, XRAY (Жёлтая нить, Чёрный глянец)</t>
  </si>
  <si>
    <t>Руль анатомический "Ferrum" Vesta Cross Serie для Лада Веста, XRAY (Жёлтая нить, Чёрный мат)</t>
  </si>
  <si>
    <t>Руль анатомический "Ferrum" Vesta Cross Serie для Лада Веста, XRAY (Зелёная нить, Чёрный глянец)</t>
  </si>
  <si>
    <t>Руль анатомический "Ferrum" Vesta Cross Serie для Лада Веста, XRAY (Зелёная нить, Чёрный мат)</t>
  </si>
  <si>
    <t>Руль анатомический "Ferrum" Vesta Cross Serie для Лада Веста, XRAY (Коричневая нить, Чёрный глянец)</t>
  </si>
  <si>
    <t>Руль анатомический "Ferrum" Vesta Cross Serie для Лада Веста, XRAY (Коричневая нить, Чёрный мат)</t>
  </si>
  <si>
    <t>Руль анатомический "Ferrum" Vesta Cross Serie для Лада Веста, XRAY (Красная нить, Чёрный глянец)</t>
  </si>
  <si>
    <t>Руль анатомический "Ferrum" Vesta Cross Serie для Лада Веста, XRAY (Красная нить, Чёрный мат)</t>
  </si>
  <si>
    <t>Руль анатомический "Ferrum" Vesta Cross Serie для Лада Веста, XRAY (Оранжевая нить, Чёрный глянец)</t>
  </si>
  <si>
    <t>Руль анатомический "Ferrum" Vesta Cross Serie для Лада Веста, XRAY (Оранжевая нить, Чёрный мат)</t>
  </si>
  <si>
    <t>Руль анатомический "Ferrum" Vesta Cross Serie для Лада Веста, XRAY (Салатовая нить, Чёрный глянец)</t>
  </si>
  <si>
    <t>Руль анатомический "Ferrum" Vesta Cross Serie для Лада Веста, XRAY (Салатовая нить, Чёрный мат)</t>
  </si>
  <si>
    <t>Руль анатомический "Ferrum" Vesta Cross Serie для Лада Веста, XRAY (Светло-серая нить, Чёрный глянец)</t>
  </si>
  <si>
    <t>Руль анатомический "Ferrum" Vesta Cross Serie для Лада Веста, XRAY (Светло-серая нить, Чёрный мат)</t>
  </si>
  <si>
    <t>Руль анатомический "Ferrum" Vesta Cross Serie для Лада Веста, XRAY (Сине-зелёная нить, Чёрный глянец)</t>
  </si>
  <si>
    <t>Руль анатомический "Ferrum" Vesta Cross Serie для Лада Веста, XRAY (Сине-зелёная нить, Чёрный мат)</t>
  </si>
  <si>
    <t>Руль анатомический "Ferrum" Vesta Cross Serie для Лада Веста, XRAY (Синяя нить, Чёрный глянец)</t>
  </si>
  <si>
    <t>Руль анатомический "Ferrum" Vesta Cross Serie для Лада Веста, XRAY (Синяя нить, Чёрный мат)</t>
  </si>
  <si>
    <t>Руль анатомический "Ferrum" Vesta Cross Serie для Лада Веста, XRAY (Тёмно-серая нить, Чёрный глянец)</t>
  </si>
  <si>
    <t>Руль анатомический "Ferrum" Vesta Cross Serie для Лада Веста, XRAY (Тёмно-серая нить, Чёрный мат)</t>
  </si>
  <si>
    <t>Руль анатомический "Ferrum" Vesta Cross Serie для Лада Веста, XRAY (Фиолетовая нить, Чёрный глянец)</t>
  </si>
  <si>
    <t>Руль анатомический "Ferrum" Vesta Cross Serie для Лада Веста, XRAY (Фиолетовая нить, Чёрный мат)</t>
  </si>
  <si>
    <t>Руль анатомический "Ferrum" Vesta Cross Serie для Лада Веста, XRAY (Чёрная нить, Чёрный глянец)</t>
  </si>
  <si>
    <t>Руль анатомический "Ferrum" Vesta Cross Serie для Лада Веста, XRAY (Чёрная нить, Чёрный мат)</t>
  </si>
  <si>
    <t>Руль анатомический "Ferrum" Vesta Cross для Лада Веста, XRAY (Белая нить, Чёрный глянец)</t>
  </si>
  <si>
    <t>Руль анатомический "Ferrum" Vesta Cross для Лада Веста, XRAY (Белая нить, Чёрный мат)</t>
  </si>
  <si>
    <t>Руль анатомический "Ferrum" Vesta Cross для Лада Веста, XRAY (Жёлтая нить, Чёрный глянец)</t>
  </si>
  <si>
    <t>Руль анатомический "Ferrum" Vesta Cross для Лада Веста, XRAY (Жёлтая нить, Чёрный мат)</t>
  </si>
  <si>
    <t>Руль анатомический "Ferrum" Vesta Cross для Лада Веста, XRAY (Зелёная нить, Чёрный глянец)</t>
  </si>
  <si>
    <t>Руль анатомический "Ferrum" Vesta Cross для Лада Веста, XRAY (Зелёная нить, Чёрный мат)</t>
  </si>
  <si>
    <t>Руль анатомический "Ferrum" Vesta Cross для Лада Веста, XRAY (Коричневая нить, Чёрный глянец)</t>
  </si>
  <si>
    <t>Руль анатомический "Ferrum" Vesta Cross для Лада Веста, XRAY (Коричневая нить, Чёрный мат)</t>
  </si>
  <si>
    <t>Руль анатомический "Ferrum" Vesta Cross для Лада Веста, XRAY (Красная нить, Чёрный глянец)</t>
  </si>
  <si>
    <t>Руль анатомический "Ferrum" Vesta Cross для Лада Веста, XRAY (Красная нить, Чёрный мат)</t>
  </si>
  <si>
    <t>Руль анатомический "Ferrum" Vesta Cross для Лада Веста, XRAY (Оранжевая нить, Чёрный глянец)</t>
  </si>
  <si>
    <t>Руль анатомический "Ferrum" Vesta Cross для Лада Веста, XRAY (Оранжевая нить, Чёрный мат)</t>
  </si>
  <si>
    <t>Руль анатомический "Ferrum" Vesta Cross для Лада Веста, XRAY (Салатовая нить, Чёрный глянец)</t>
  </si>
  <si>
    <t>Руль анатомический "Ferrum" Vesta Cross для Лада Веста, XRAY (Салатовая нить, Чёрный мат)</t>
  </si>
  <si>
    <t>Руль анатомический "Ferrum" Vesta Cross для Лада Веста, XRAY (Светло-серая нить, Чёрный глянец)</t>
  </si>
  <si>
    <t>Руль анатомический "Ferrum" Vesta Cross для Лада Веста, XRAY (Светло-серая нить, Чёрный мат)</t>
  </si>
  <si>
    <t>Руль анатомический "Ferrum" Vesta Cross для Лада Веста, XRAY (Сине-зелёная нить, Чёрный глянец)</t>
  </si>
  <si>
    <t>Руль анатомический "Ferrum" Vesta Cross для Лада Веста, XRAY (Сине-зелёная нить, Чёрный мат)</t>
  </si>
  <si>
    <t>Руль анатомический "Ferrum" Vesta Cross для Лада Веста, XRAY (Синяя нить, Чёрный глянец)</t>
  </si>
  <si>
    <t>Руль анатомический "Ferrum" Vesta Cross для Лада Веста, XRAY (Синяя нить, Чёрный мат)</t>
  </si>
  <si>
    <t>Руль анатомический "Ferrum" Vesta Cross для Лада Веста, XRAY (Тёмно-серая нить, Чёрный глянец)</t>
  </si>
  <si>
    <t>Руль анатомический "Ferrum" Vesta Cross для Лада Веста, XRAY (Тёмно-серая нить, Чёрный мат)</t>
  </si>
  <si>
    <t>Руль анатомический "Ferrum" Vesta Cross для Лада Веста, XRAY (Фиолетовая нить, Чёрный глянец)</t>
  </si>
  <si>
    <t>Руль анатомический "Ferrum" Vesta Cross для Лада Веста, XRAY (Фиолетовая нить, Чёрный мат)</t>
  </si>
  <si>
    <t>Руль анатомический "Ferrum" Vesta Cross для Лада Веста, XRAY (Чёрная нить, Чёрный глянец)</t>
  </si>
  <si>
    <t>Руль анатомический "Ferrum" Vesta Cross для Лада Веста, XRAY (Чёрная нить, Чёрный мат)</t>
  </si>
  <si>
    <t>Руль анатомический "Ferrum" Vesta Exclusive для Лада Веста, XRAY (Белая нить, Чёрный глянец)</t>
  </si>
  <si>
    <t>Руль анатомический "Ferrum" Vesta Exclusive для Лада Веста, XRAY (Белая нить, Чёрный мат)</t>
  </si>
  <si>
    <t>Руль анатомический "Ferrum" Vesta Exclusive для Лада Веста, XRAY (Жёлтая нить, Чёрный глянец)</t>
  </si>
  <si>
    <t>Руль анатомический "Ferrum" Vesta Exclusive для Лада Веста, XRAY (Жёлтая нить, Чёрный мат)</t>
  </si>
  <si>
    <t>Руль анатомический "Ferrum" Vesta Exclusive для Лада Веста, XRAY (Зелёная нить, Чёрный глянец)</t>
  </si>
  <si>
    <t>Руль анатомический "Ferrum" Vesta Exclusive для Лада Веста, XRAY (Зелёная нить, Чёрный мат)</t>
  </si>
  <si>
    <t>Руль анатомический "Ferrum" Vesta Exclusive для Лада Веста, XRAY (Коричневая нить, Чёрный глянец)</t>
  </si>
  <si>
    <t>Руль анатомический "Ferrum" Vesta Exclusive для Лада Веста, XRAY (Коричневая нить, Чёрный мат)</t>
  </si>
  <si>
    <t>Руль анатомический "Ferrum" Vesta Exclusive для Лада Веста, XRAY (Красная нить, Чёрный глянец)</t>
  </si>
  <si>
    <t>Руль анатомический "Ferrum" Vesta Exclusive для Лада Веста, XRAY (Красная нить, Чёрный мат)</t>
  </si>
  <si>
    <t>Руль анатомический "Ferrum" Vesta Exclusive для Лада Веста, XRAY (Оранжевая нить, Чёрный глянец)</t>
  </si>
  <si>
    <t>Руль анатомический "Ferrum" Vesta Exclusive для Лада Веста, XRAY (Оранжевая нить, Чёрный мат)</t>
  </si>
  <si>
    <t>Руль анатомический "Ferrum" Vesta Exclusive для Лада Веста, XRAY (Салатовая нить, Чёрный глянец)</t>
  </si>
  <si>
    <t>Руль анатомический "Ferrum" Vesta Exclusive для Лада Веста, XRAY (Салатовая нить, Чёрный мат)</t>
  </si>
  <si>
    <t>Руль анатомический "Ferrum" Vesta Exclusive для Лада Веста, XRAY (Светло-серая нить, Чёрный глянец)</t>
  </si>
  <si>
    <t>Руль анатомический "Ferrum" Vesta Exclusive для Лада Веста, XRAY (Светло-серая нить, Чёрный мат)</t>
  </si>
  <si>
    <t>Руль анатомический "Ferrum" Vesta Exclusive для Лада Веста, XRAY (Сине-зелёная нить, Чёрный глянец)</t>
  </si>
  <si>
    <t>Руль анатомический "Ferrum" Vesta Exclusive для Лада Веста, XRAY (Сине-зелёная нить, Чёрный мат)</t>
  </si>
  <si>
    <t>Руль анатомический "Ferrum" Vesta Exclusive для Лада Веста, XRAY (Синяя нить, Чёрный глянец)</t>
  </si>
  <si>
    <t>Руль анатомический "Ferrum" Vesta Exclusive для Лада Веста, XRAY (Синяя нить, Чёрный мат)</t>
  </si>
  <si>
    <t>Руль анатомический "Ferrum" Vesta Exclusive для Лада Веста, XRAY (Тёмно-серая нить, Чёрный глянец)</t>
  </si>
  <si>
    <t>Руль анатомический "Ferrum" Vesta Exclusive для Лада Веста, XRAY (Тёмно-серая нить, Чёрный мат)</t>
  </si>
  <si>
    <t>Руль анатомический "Ferrum" Vesta Exclusive для Лада Веста, XRAY (Фиолетовая нить, Чёрный глянец)</t>
  </si>
  <si>
    <t>Руль анатомический "Ferrum" Vesta Exclusive для Лада Веста, XRAY (Фиолетовая нить, Чёрный мат)</t>
  </si>
  <si>
    <t>Руль анатомический "Ferrum" Vesta Exclusive для Лада Веста, XRAY (Чёрная нить, Чёрный глянец)</t>
  </si>
  <si>
    <t>Руль анатомический "Ferrum" Vesta Exclusive для Лада Веста, XRAY (Чёрная нить, Чёрный мат)</t>
  </si>
  <si>
    <t>Руль анатомический "Ferrum" Vesta Grand Premium для Лада Веста, XRAY (Белая нить, Чёрный глянец)</t>
  </si>
  <si>
    <t>Руль анатомический "Ferrum" Vesta Grand Premium для Лада Веста, XRAY (Белая нить, Чёрный мат)</t>
  </si>
  <si>
    <t>Руль анатомический "Ferrum" Vesta Grand Premium для Лада Веста, XRAY (Жёлтая нить, Чёрный глянец)</t>
  </si>
  <si>
    <t>Руль анатомический "Ferrum" Vesta Grand Premium для Лада Веста, XRAY (Жёлтая нить, Чёрный мат)</t>
  </si>
  <si>
    <t>Руль анатомический "Ferrum" Vesta Grand Premium для Лада Веста, XRAY (Зелёная нить, Чёрный глянец)</t>
  </si>
  <si>
    <t>Руль анатомический "Ferrum" Vesta Grand Premium для Лада Веста, XRAY (Зелёная нить, Чёрный мат)</t>
  </si>
  <si>
    <t>Руль анатомический "Ferrum" Vesta Grand Premium для Лада Веста, XRAY (Коричневая нить, Чёрный глянец)</t>
  </si>
  <si>
    <t>Руль анатомический "Ferrum" Vesta Grand Premium для Лада Веста, XRAY (Коричневая нить, Чёрный мат)</t>
  </si>
  <si>
    <t>Руль анатомический "Ferrum" Vesta Grand Premium для Лада Веста, XRAY (Красная нить, Чёрный глянец)</t>
  </si>
  <si>
    <t>Руль анатомический "Ferrum" Vesta Grand Premium для Лада Веста, XRAY (Красная нить, Чёрный мат)</t>
  </si>
  <si>
    <t>Руль анатомический "Ferrum" Vesta Grand Premium для Лада Веста, XRAY (Оранжевая нить, Чёрный глянец)</t>
  </si>
  <si>
    <t>Руль анатомический "Ferrum" Vesta Grand Premium для Лада Веста, XRAY (Оранжевая нить, Чёрный мат)</t>
  </si>
  <si>
    <t>Руль анатомический "Ferrum" Vesta Grand Premium для Лада Веста, XRAY (Салатовая нить, Чёрный глянец)</t>
  </si>
  <si>
    <t>Руль анатомический "Ferrum" Vesta Grand Premium для Лада Веста, XRAY (Салатовая нить, Чёрный мат)</t>
  </si>
  <si>
    <t>Руль анатомический "Ferrum" Vesta Grand Premium для Лада Веста, XRAY (Светло-серая нить, Чёрный глянец)</t>
  </si>
  <si>
    <t>Руль анатомический "Ferrum" Vesta Grand Premium для Лада Веста, XRAY (Светло-серая нить, Чёрный мат)</t>
  </si>
  <si>
    <t>Руль анатомический "Ferrum" Vesta Grand Premium для Лада Веста, XRAY (Сине-зелёная нить, Чёрный глянец)</t>
  </si>
  <si>
    <t>Руль анатомический "Ferrum" Vesta Grand Premium для Лада Веста, XRAY (Сине-зелёная нить, Чёрный мат)</t>
  </si>
  <si>
    <t>Руль анатомический "Ferrum" Vesta Grand Premium для Лада Веста, XRAY (Синяя нить, Чёрный глянец)</t>
  </si>
  <si>
    <t>Руль анатомический "Ferrum" Vesta Grand Premium для Лада Веста, XRAY (Синяя нить, Чёрный мат)</t>
  </si>
  <si>
    <t>Руль анатомический "Ferrum" Vesta Grand Premium для Лада Веста, XRAY (Тёмно-серая нить, Чёрный глянец)</t>
  </si>
  <si>
    <t>Руль анатомический "Ferrum" Vesta Grand Premium для Лада Веста, XRAY (Тёмно-серая нить, Чёрный мат)</t>
  </si>
  <si>
    <t>Руль анатомический "Ferrum" Vesta Grand Premium для Лада Веста, XRAY (Фиолетовая нить, Чёрный глянец)</t>
  </si>
  <si>
    <t>Руль анатомический "Ferrum" Vesta Grand Premium для Лада Веста, XRAY (Фиолетовая нить, Чёрный мат)</t>
  </si>
  <si>
    <t>Руль анатомический "Ferrum" Vesta Grand Premium для Лада Веста, XRAY (Чёрная нить, Чёрный глянец)</t>
  </si>
  <si>
    <t>Руль анатомический "Ferrum" Vesta Grand Premium для Лада Веста, XRAY (Чёрная нить, Чёрный мат)</t>
  </si>
  <si>
    <t>Руль анатомический "Ferrum" Vesta Lite для Лада Веста, XRAY (Белая нить, Чёрный глянец)</t>
  </si>
  <si>
    <t>Руль анатомический "Ferrum" Vesta Lite для Лада Веста, XRAY (Белая нить, Чёрный мат)</t>
  </si>
  <si>
    <t>Руль анатомический "Ferrum" Vesta Lite для Лада Веста, XRAY (Жёлтая нить, Чёрный глянец)</t>
  </si>
  <si>
    <t>Руль анатомический "Ferrum" Vesta Lite для Лада Веста, XRAY (Жёлтая нить, Чёрный мат)</t>
  </si>
  <si>
    <t>Руль анатомический "Ferrum" Vesta Lite для Лада Веста, XRAY (Зелёная нить, Чёрный глянец)</t>
  </si>
  <si>
    <t>Руль анатомический "Ferrum" Vesta Lite для Лада Веста, XRAY (Зелёная нить, Чёрный мат)</t>
  </si>
  <si>
    <t>Руль анатомический "Ferrum" Vesta Lite для Лада Веста, XRAY (Коричневая нить, Чёрный глянец)</t>
  </si>
  <si>
    <t>Руль анатомический "Ferrum" Vesta Lite для Лада Веста, XRAY (Коричневая нить, Чёрный мат)</t>
  </si>
  <si>
    <t>Руль анатомический "Ferrum" Vesta Lite для Лада Веста, XRAY (Красная нить, Чёрный глянец)</t>
  </si>
  <si>
    <t>Руль анатомический "Ferrum" Vesta Lite для Лада Веста, XRAY (Красная нить, Чёрный мат)</t>
  </si>
  <si>
    <t>Руль анатомический "Ferrum" Vesta Lite для Лада Веста, XRAY (Оранжевая нить, Чёрный глянец)</t>
  </si>
  <si>
    <t>Руль анатомический "Ferrum" Vesta Lite для Лада Веста, XRAY (Оранжевая нить, Чёрный мат)</t>
  </si>
  <si>
    <t>Руль анатомический "Ferrum" Vesta Lite для Лада Веста, XRAY (Салатовая нить, Чёрный глянец)</t>
  </si>
  <si>
    <t>Руль анатомический "Ferrum" Vesta Lite для Лада Веста, XRAY (Салатовая нить, Чёрный мат)</t>
  </si>
  <si>
    <t>Руль анатомический "Ferrum" Vesta Lite для Лада Веста, XRAY (Светло-серая нить, Чёрный глянец)</t>
  </si>
  <si>
    <t>Руль анатомический "Ferrum" Vesta Lite для Лада Веста, XRAY (Светло-серая нить, Чёрный мат)</t>
  </si>
  <si>
    <t>Руль анатомический "Ferrum" Vesta Lite для Лада Веста, XRAY (Сине-зелёная нить, Чёрный глянец)</t>
  </si>
  <si>
    <t>Руль анатомический "Ferrum" Vesta Lite для Лада Веста, XRAY (Сине-зелёная нить, Чёрный мат)</t>
  </si>
  <si>
    <t>Руль анатомический "Ferrum" Vesta Lite для Лада Веста, XRAY (Синяя нить, Чёрный глянец)</t>
  </si>
  <si>
    <t>Руль анатомический "Ferrum" Vesta Lite для Лада Веста, XRAY (Синяя нить, Чёрный мат)</t>
  </si>
  <si>
    <t>Руль анатомический "Ferrum" Vesta Lite для Лада Веста, XRAY (Тёмно-серая нить, Чёрный глянец)</t>
  </si>
  <si>
    <t>Руль анатомический "Ferrum" Vesta Lite для Лада Веста, XRAY (Тёмно-серая нить, Чёрный мат)</t>
  </si>
  <si>
    <t>Руль анатомический "Ferrum" Vesta Lite для Лада Веста, XRAY (Фиолетовая нить, Чёрный глянец)</t>
  </si>
  <si>
    <t>Руль анатомический "Ferrum" Vesta Lite для Лада Веста, XRAY (Фиолетовая нить, Чёрный мат)</t>
  </si>
  <si>
    <t>Руль анатомический "Ferrum" Vesta Lite для Лада Веста, XRAY (Чёрная нить, Чёрный глянец)</t>
  </si>
  <si>
    <t>Руль анатомический "Ferrum" Vesta Lite для Лада Веста, XRAY (Чёрная нить, Чёрный мат)</t>
  </si>
  <si>
    <t>Руль анатомический "Ferrum" Vesta Premium для Лада Веста, XRAY</t>
  </si>
  <si>
    <t>Руль анатомический "Ferrum Group" Vesta Cross для Лада Веста, XRAY (Белая нить, Чёрный глянец)</t>
  </si>
  <si>
    <t>Руль анатомический "Ferrum Group" Vesta Cross для Лада Веста, XRAY (Жёлтая нить, Чёрный глянец)</t>
  </si>
  <si>
    <t>Руль анатомический "Ferrum Group" Vesta Cross для Лада Веста, XRAY (Зелёная нить, Чёрный глянец)</t>
  </si>
  <si>
    <t>Руль анатомический "Ferrum Group" Vesta Cross для Лада Веста, XRAY (Коричневая нить, Чёрный глянец)</t>
  </si>
  <si>
    <t>Руль анатомический "Ferrum Group" Vesta Cross для Лада Веста, XRAY (Красная нить, Чёрный глянец)</t>
  </si>
  <si>
    <t>Руль анатомический "Ferrum Group" Vesta Cross для Лада Веста, XRAY (Оранжевая нить, Чёрный глянец)</t>
  </si>
  <si>
    <t>Руль анатомический "Ferrum Group" Vesta Cross для Лада Веста, XRAY (Салатовая нить, Чёрный глянец)</t>
  </si>
  <si>
    <t>Руль анатомический "Ferrum Group" Vesta Cross для Лада Веста, XRAY (Светло-серая нить, Чёрный глянец)</t>
  </si>
  <si>
    <t>Руль анатомический "Ferrum Group" Vesta Cross для Лада Веста, XRAY (Сине-зелёная нить, Чёрный глянец)</t>
  </si>
  <si>
    <t>Руль анатомический "Ferrum Group" Vesta Cross для Лада Веста, XRAY (Синяя нить, Чёрный глянец)</t>
  </si>
  <si>
    <t>Руль анатомический "Ferrum Group" Vesta Cross для Лада Веста, XRAY (Тёмно-серая нить, Чёрный глянец)</t>
  </si>
  <si>
    <t>Руль анатомический "Ferrum Group" Vesta Cross для Лада Веста, XRAY (Фиолетовая нить, Чёрный глянец)</t>
  </si>
  <si>
    <t>Руль анатомический "Ferrum Group" Vesta Cross для Лада Веста, XRAY (Чёрная нить, Чёрный глянец)</t>
  </si>
  <si>
    <t>Руль анатомический "Ferrum" Vesta Premium для Лада Веста, XRAY (Белая нить, Чёрный мат)</t>
  </si>
  <si>
    <t>Руль анатомический "Ferrum" Vesta Premium для Лада Веста, XRAY (Жёлтая нить, Чёрный мат)</t>
  </si>
  <si>
    <t>Руль анатомический "Ferrum" Vesta Premium для Лада Веста, XRAY (Зелёная нить, Чёрный мат)</t>
  </si>
  <si>
    <t>Руль анатомический "Ferrum" Vesta Premium для Лада Веста, XRAY (Коричневая нить, Чёрный мат)</t>
  </si>
  <si>
    <t>Руль анатомический "Ferrum" Vesta Premium для Лада Веста, XRAY (Красная нить, Чёрный мат)</t>
  </si>
  <si>
    <t>Руль анатомический "Ferrum" Vesta Premium для Лада Веста, XRAY (Оранжевая нить, Чёрный мат)</t>
  </si>
  <si>
    <t>Руль анатомический "Ferrum" Vesta Premium для Лада Веста, XRAY (Салатовая нить, Чёрный мат)</t>
  </si>
  <si>
    <t>Руль анатомический "Ferrum" Vesta Premium для Лада Веста, XRAY (Светло-серая нить, Чёрный мат)</t>
  </si>
  <si>
    <t>Руль анатомический "Ferrum" Vesta Premium для Лада Веста, XRAY (Сине-зелёная нить, Чёрный мат)</t>
  </si>
  <si>
    <t>Руль анатомический "Ferrum" Vesta Premium для Лада Веста, XRAY (Синяя нить, Чёрный мат)</t>
  </si>
  <si>
    <t>Руль анатомический "Ferrum" Vesta Premium для Лада Веста, XRAY (Тёмно-серая нить, Чёрный мат)</t>
  </si>
  <si>
    <t>Руль анатомический "Ferrum" Vesta Premium для Лада Веста, XRAY (Фиолетовая нить, Чёрный мат)</t>
  </si>
  <si>
    <t>Руль анатомический "Ferrum" Vesta Premium для Лада Веста, XRAY (Чёрная нить, Чёрный мат)</t>
  </si>
  <si>
    <t>Руль анатомический "Ferrum" Vesta Sport для Лада Веста, XRAY</t>
  </si>
  <si>
    <t>Руль анатомический "Ferrum" Vesta Sport для Лада Веста, XRAY (Белая нить, Чёрный мат)</t>
  </si>
  <si>
    <t>Руль анатомический "Ferrum" Vesta Sport для Лада Веста, XRAY (Жёлтая нить, Чёрный мат)</t>
  </si>
  <si>
    <t>Руль анатомический "Ferrum" Vesta Sport для Лада Веста, XRAY (Зелёная нить, Чёрный мат)</t>
  </si>
  <si>
    <t>Руль анатомический "Ferrum" Vesta Sport для Лада Веста, XRAY (Коричневая нить, Чёрный мат)</t>
  </si>
  <si>
    <t>Руль анатомический "Ferrum" Vesta Sport для Лада Веста, XRAY (Красная нить, Чёрный мат)</t>
  </si>
  <si>
    <t>Руль анатомический "Ferrum" Vesta Sport для Лада Веста, XRAY (Оранжевая нить, Чёрный мат)</t>
  </si>
  <si>
    <t>Руль анатомический "Ferrum" Vesta Sport для Лада Веста, XRAY (Салатовая нить, Чёрный мат)</t>
  </si>
  <si>
    <t>Руль анатомический "Ferrum" Vesta Sport для Лада Веста, XRAY (Светло-серая нить, Чёрный мат)</t>
  </si>
  <si>
    <t>Руль анатомический "Ferrum" Vesta Sport для Лада Веста, XRAY (Сине-зелёная нить, Чёрный мат)</t>
  </si>
  <si>
    <t>Руль анатомический "Ferrum" Vesta Sport для Лада Веста, XRAY (Синяя нить, Чёрный мат)</t>
  </si>
  <si>
    <t>Руль анатомический "Ferrum" Vesta Sport для Лада Веста, XRAY (Тёмно-серая нить, Чёрный мат)</t>
  </si>
  <si>
    <t>Руль анатомический "Ferrum" Vesta Sport для Лада Веста, XRAY (Фиолетовая нить, Чёрный мат)</t>
  </si>
  <si>
    <t>Руль анатомический "Ferrum" Vesta Sport для Лада Веста, XRAY (Чёрная нить, Чёрный мат)</t>
  </si>
  <si>
    <t>Ручки отопителя "Ferrum Group" для Лада Приора (без кондиционера) (Серебро)</t>
  </si>
  <si>
    <t>Ручки отопителя "Ferrum Group" для Лада Приора (без кондиционера) (Хром)</t>
  </si>
  <si>
    <t>СВОД</t>
  </si>
  <si>
    <t>Данные</t>
  </si>
  <si>
    <t>9090</t>
  </si>
  <si>
    <t>83190</t>
  </si>
  <si>
    <t>Накладки на педали Х-RAY MT</t>
  </si>
  <si>
    <t>GF 851S cross</t>
  </si>
  <si>
    <t>https://ferrum.group/products/336</t>
  </si>
  <si>
    <t>https://ferrum.group/products/266</t>
  </si>
  <si>
    <t>https://ferrum.group/products/268</t>
  </si>
  <si>
    <t>(дубль) Электронная комбинация приборов "Ferrum Group" GF 826 (хром) для ВАЗ 2110-2112, 2113-2115</t>
  </si>
  <si>
    <t>(дубль) Электронная комбинация приборов "Ferrum Group" GF 826 (хром) для Лада Нива 4x4, Нива 4x4 Урбан</t>
  </si>
  <si>
    <t>(дубль) Электронная комбинация приборов "Ferrum Group" GF 890 Cross для Лада XRAY</t>
  </si>
  <si>
    <t>(дубль) Электронная комбинация приборов "Ferrum Group" GF 890 Exclusive для Лада XRAY</t>
  </si>
  <si>
    <t>Электронная комбинация приборов "Ferrum Group" GF 819 Black для ВАЗ 2110-2112 (европанель), Лада (Калина, Приора) (Чёрный)</t>
  </si>
  <si>
    <t>Электронная комбинация приборов "Ferrum Group" GF 819 для ВАЗ 2110-2112 (европанель), Лада (Калина, Приора) (Серебро)</t>
  </si>
  <si>
    <t>Электронная комбинация приборов "Ferrum Group" GF 826 для ВАЗ 2110-2112, 2113-2115 (Индикация оранжевая, Кольца хром)</t>
  </si>
  <si>
    <t>Электронная комбинация приборов "Ferrum Group" GF 826 для ВАЗ 2110-2112, 2113-2115 (Индикация оранжевая, Кольца чёрные)</t>
  </si>
  <si>
    <t>Электронная комбинация приборов "Ferrum Group" GF 826 для ВАЗ 2110-2112, 2113-2115 (Индикация серо-голубая, Кольца хром)</t>
  </si>
  <si>
    <t>Электронная комбинация приборов "Ferrum Group" GF 826 для ВАЗ 2110-2112, 2113-2115 (Индикация серо-голубая, Кольца чёрные)</t>
  </si>
  <si>
    <t>Электронная комбинация приборов "Ferrum Group" GF 826 для Лада Нива 4x4, Нива 4x4 Урбан (Индикация оранжевая, Кольца хром)</t>
  </si>
  <si>
    <t>Электронная комбинация приборов "Ferrum Group" GF 826 для Лада Нива 4x4, Нива 4x4 Урбан (Индикация оранжевая, Кольца чёрные)</t>
  </si>
  <si>
    <t>Электронная комбинация приборов "Ferrum Group" GF 826 для Лада Нива 4x4, Нива 4x4 Урбан (Индикация серо-голубая, Кольца хром)</t>
  </si>
  <si>
    <t>Электронная комбинация приборов "Ferrum Group" GF 826 для Лада Нива 4x4, Нива 4x4 Урбан (Индикация серо-голубая, Кольца чёрные)</t>
  </si>
  <si>
    <t>Электронная комбинация приборов "Ferrum Group" GF 826 для Шевроле Нива (Индикация оранжевая, Кольца хром)</t>
  </si>
  <si>
    <t>Электронная комбинация приборов "Ferrum Group" GF 826 для Шевроле Нива (Индикация оранжевая, Кольца чёрные)</t>
  </si>
  <si>
    <t>Электронная комбинация приборов "Ferrum Group" GF 826 для Шевроле Нива (Индикация серо-голубая, Кольца хром)</t>
  </si>
  <si>
    <t>Электронная комбинация приборов "Ferrum Group" GF 826 для Шевроле Нива (Индикация серо-голубая, Кольца чёрные)</t>
  </si>
  <si>
    <t>Электронная комбинация приборов "Ferrum Group" GF 890 для Лада XRAY (Индикация оранжевая, Кольца Hot Fire)</t>
  </si>
  <si>
    <t>Электронная комбинация приборов "Ferrum Group" GF 890 для Лада XRAY (Индикация оранжевая, Кольца тёмный хром)</t>
  </si>
  <si>
    <t>Электронная комбинация приборов "Ferrum Group" GF 890 для Лада XRAY (Индикация оранжевая, Кольца титан)</t>
  </si>
  <si>
    <t>Электронная комбинация приборов "Ferrum Group" GF 890 для Лада XRAY (Индикация серо-голубая, Кольца Hot Fire)</t>
  </si>
  <si>
    <t>Электронная комбинация приборов "Ferrum Group" GF 890 для Лада XRAY (Индикация серо-голубая, Кольца тёмный хром)</t>
  </si>
  <si>
    <t>Электронная комбинация приборов "Ferrum Group" GF 890 для Лада XRAY (Индикация серо-голубая, Кольца титан)</t>
  </si>
  <si>
    <t>(дубль) Электронная комбинация приборов "Ferrum Group" GF 826 Travel для Шевроле Нива, Лада Нива Travel</t>
  </si>
  <si>
    <t>(дубль) Электронная комбинация приборов "Ferrum Group" GF 826 для Шевроле Нива</t>
  </si>
  <si>
    <t>Электронная комбинация приборов "Ferrum Group" Travel GF 826 для Лада Нива Travel, Шевроле Нива</t>
  </si>
  <si>
    <t>Электронная комбинация приборов "Ferrum Group" Travel GF 826 для Лада Нива Travel, Шевроле Нива (Индикация оранжевая, Кольца хром)</t>
  </si>
  <si>
    <t>Электронная комбинация приборов "Ferrum Group" Travel GF 826 для Лада Нива Travel, Шевроле Нива (Индикация оранжевая, Кольца чёрные)</t>
  </si>
  <si>
    <t>Электронная комбинация приборов "Ferrum Group" Travel GF 826 для Лада Нива Travel, Шевроле Нива (Индикация серо-голубая, Кольца хром)</t>
  </si>
  <si>
    <t>Электронная комбинация приборов "Ferrum Group" Travel GF 826 для Лада Нива Travel, Шевроле Нива (Индикация серо-голубая, Кольца чёрные)</t>
  </si>
  <si>
    <t>РРЦ &gt; 20% + FFA 7%</t>
  </si>
  <si>
    <t>Электронная комбинация приборов "Ferrum Group" GF 940 Black CLUB для Лада Веста</t>
  </si>
  <si>
    <t>Электронная комбинация приборов "Ferrum Group" GF 949 Black CLUB для Лада Веста</t>
  </si>
  <si>
    <t>https://motorring.ru/product/40315-kombinaciya-priborov-gf949-black-vesta</t>
  </si>
  <si>
    <t>Модельная ручка "Ferrum Group" для Лада Веста, Веста NG</t>
  </si>
  <si>
    <t>Модельная ручка "Ferrum Group" для Лада Веста, Веста NG (Без подсветки)</t>
  </si>
  <si>
    <t>https://ferrum.group/products/336#</t>
  </si>
  <si>
    <t>Модельная ручка "Ferrum Group" для Лада Веста, Веста NG (С подсветкой, Белый)</t>
  </si>
  <si>
    <t>Модельная ручка "Ferrum Group" для Лада Веста, Веста NG (С подсветкой, Красный)</t>
  </si>
  <si>
    <t>Модельная ручка "Ferrum Group" для Лада Веста, Веста NG (С подсветкой, Оранжевый)</t>
  </si>
  <si>
    <t>Модельная ручка "Ferrum Group" для Лада Веста, Веста NG (С подсветкой, Синий)</t>
  </si>
  <si>
    <t>Ручка КПП "Ferrum Group" (с подсветкой) для Лада Веста (Подсветка белая)</t>
  </si>
  <si>
    <t>Ручка КПП "Ferrum Group" (с подсветкой) для Лада Веста (Подсветка красная)</t>
  </si>
  <si>
    <t>Ручка КПП "Ferrum Group" (с подсветкой) для Лада Веста (Подсветка оранжевая)</t>
  </si>
  <si>
    <t>Ручка КПП "Ferrum Group" (с подсветкой) для Лада Веста (Подсветка синяя)</t>
  </si>
  <si>
    <t>(дубль) Электронная комбинация приборов "Ferrum Group" GF 890 (серебро) для Лада Ларгус, Nissan (Almera, Terrano III), Renault (Duster (PH1), Duster Diesel (PH1), Logan I, Sandero I, Sandero Stepway I)</t>
  </si>
  <si>
    <t>(дубль) Электронная комбинация приборов "Ferrum Group" GF 890 (хром) для Лада Ларгус, Nissan (Almera, Terrano III), Renault (Duster (PH1), Duster Diesel (PH1), Logan I, Sandero I, Sandero Stepway I)</t>
  </si>
  <si>
    <t>(дубль) Электронная комбинация приборов "Ferrum Group" GF 890 (чёрные кольца) для Лада Ларгус, Nissan (Almera, Terrano III), Renault (Duster (PH1), Duster Diesel (PH1), Logan I, Sandero I, Sandero Stepway I)</t>
  </si>
  <si>
    <t>Модельная ручка КПП "Ferrum Group" с кожухом для Лада Калина 2, Приора 2, Гранта, Гранта FL (тросовая КПП)</t>
  </si>
  <si>
    <t>Ручка КПП "Ferrum Group" Sport с кожухом для Лада Гранта, Веста</t>
  </si>
  <si>
    <t>Ручка КПП "Ferrum Group" Sport с кожухом для Лада Калина 2, Гранта, Гранта FL (тросовая КПП)</t>
  </si>
  <si>
    <t>Электронная комбинация приборов "Ferrum Group" GF 890 для Лада Ларгус, Nissan (Almera, Terrano III), Renault (Duster (PH1), Duster Diesel (PH1), Logan I, Sandero I, Sandero Stepway I)</t>
  </si>
  <si>
    <t>Электронная комбинация приборов "Ferrum Group" GF 890 для Лада Ларгус, Nissan (Almera, Terrano III), Renault (Duster (PH1), Duster Diesel (PH1), Logan I, Sandero I, Sandero Stepway I) (Кольца Hot Fire)</t>
  </si>
  <si>
    <t>Электронная комбинация приборов "Ferrum Group" GF 890 для Лада Ларгус, Nissan (Almera, Terrano III), Renault (Duster (PH1), Duster Diesel (PH1), Logan I, Sandero I, Sandero Stepway I) (Кольца серебро)</t>
  </si>
  <si>
    <t>Электронная комбинация приборов "Ferrum Group" GF 890 для Лада Ларгус, Nissan (Almera, Terrano III), Renault (Duster (PH1), Duster Diesel (PH1), Logan I, Sandero I, Sandero Stepway I) (Кольца хром)</t>
  </si>
  <si>
    <t>Электронная комбинация приборов "Ferrum Group" GF 890 для Лада Ларгус, Nissan (Almera, Terrano III), Renault (Duster (PH1), Duster Diesel (PH1), Logan I, Sandero I, Sandero Stepway I) (Кольца черные)</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</si>
</sst>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_ ;\-#,##0\ "/>
    <numFmt numFmtId="165" formatCode="_-* #,##0.00\ _₽_-;\-* #,##0.00\ _₽_-;_-* \-??\ _₽_-;_-@_-"/>
  </numFmts>
  <fonts count="52">
    <font>
      <sz val="11"/>
      <color theme="1"/>
      <name val="Calibri"/>
      <family val="2"/>
      <scheme val="minor"/>
    </font>
    <font>
      <sz val="10"/>
      <color theme="1"/>
      <name val="Calibri"/>
      <family val="2"/>
      <charset val="204"/>
    </font>
    <font>
      <sz val="11"/>
      <color theme="1"/>
      <name val="Calibri"/>
      <family val="2"/>
      <charset val="204"/>
      <scheme val="minor"/>
    </font>
    <font>
      <sz val="18"/>
      <color theme="3"/>
      <name val="Calibri Light"/>
      <family val="2"/>
      <charset val="204"/>
      <scheme val="major"/>
    </font>
    <font>
      <u/>
      <sz val="11"/>
      <color theme="10"/>
      <name val="Calibri"/>
      <family val="2"/>
      <charset val="204"/>
      <scheme val="minor"/>
    </font>
    <font>
      <b/>
      <sz val="10"/>
      <color theme="1"/>
      <name val="Calibri"/>
      <family val="2"/>
      <charset val="204"/>
      <scheme val="minor"/>
    </font>
    <font>
      <sz val="10"/>
      <color theme="1"/>
      <name val="Calibri"/>
      <family val="2"/>
      <charset val="204"/>
      <scheme val="minor"/>
    </font>
    <font>
      <u/>
      <sz val="10"/>
      <color theme="10"/>
      <name val="Calibri"/>
      <family val="2"/>
      <charset val="204"/>
      <scheme val="minor"/>
    </font>
    <font>
      <b/>
      <u/>
      <sz val="12"/>
      <color indexed="12"/>
      <name val="Arial1"/>
      <charset val="204"/>
    </font>
    <font>
      <sz val="10"/>
      <color indexed="8"/>
      <name val="Arial1"/>
      <charset val="204"/>
    </font>
    <font>
      <b/>
      <sz val="10"/>
      <color indexed="8"/>
      <name val="Times New Roman"/>
      <family val="1"/>
      <charset val="204"/>
    </font>
    <font>
      <b/>
      <sz val="10"/>
      <color indexed="8"/>
      <name val="Arial1"/>
      <charset val="204"/>
    </font>
    <font>
      <b/>
      <sz val="10"/>
      <color indexed="8"/>
      <name val="Arial"/>
      <family val="2"/>
      <charset val="204"/>
    </font>
    <font>
      <b/>
      <sz val="11"/>
      <color indexed="8"/>
      <name val="Arial"/>
      <family val="2"/>
      <charset val="204"/>
    </font>
    <font>
      <b/>
      <sz val="10"/>
      <color theme="1"/>
      <name val="Arial"/>
      <family val="2"/>
      <charset val="204"/>
    </font>
    <font>
      <b/>
      <sz val="15"/>
      <color theme="3"/>
      <name val="Calibri"/>
      <family val="2"/>
      <charset val="204"/>
    </font>
    <font>
      <b/>
      <sz val="13"/>
      <color theme="3"/>
      <name val="Calibri"/>
      <family val="2"/>
      <charset val="204"/>
    </font>
    <font>
      <b/>
      <sz val="11"/>
      <color theme="3"/>
      <name val="Calibri"/>
      <family val="2"/>
      <charset val="204"/>
    </font>
    <font>
      <sz val="10"/>
      <color theme="1"/>
      <name val="Arial Unicode MS"/>
    </font>
    <font>
      <sz val="10"/>
      <color rgb="FF006100"/>
      <name val="Calibri"/>
      <family val="2"/>
      <charset val="204"/>
    </font>
    <font>
      <sz val="10"/>
      <color rgb="FF9C0006"/>
      <name val="Calibri"/>
      <family val="2"/>
      <charset val="204"/>
    </font>
    <font>
      <sz val="10"/>
      <color rgb="FF9C5700"/>
      <name val="Calibri"/>
      <family val="2"/>
      <charset val="204"/>
    </font>
    <font>
      <sz val="10"/>
      <color rgb="FF3F3F76"/>
      <name val="Calibri"/>
      <family val="2"/>
      <charset val="204"/>
    </font>
    <font>
      <b/>
      <sz val="10"/>
      <color rgb="FF3F3F3F"/>
      <name val="Calibri"/>
      <family val="2"/>
      <charset val="204"/>
    </font>
    <font>
      <b/>
      <sz val="10"/>
      <color rgb="FFFA7D00"/>
      <name val="Calibri"/>
      <family val="2"/>
      <charset val="204"/>
    </font>
    <font>
      <sz val="10"/>
      <color rgb="FFFA7D00"/>
      <name val="Calibri"/>
      <family val="2"/>
      <charset val="204"/>
    </font>
    <font>
      <b/>
      <sz val="10"/>
      <color theme="0"/>
      <name val="Calibri"/>
      <family val="2"/>
      <charset val="204"/>
    </font>
    <font>
      <sz val="10"/>
      <color rgb="FFFF0000"/>
      <name val="Calibri"/>
      <family val="2"/>
      <charset val="204"/>
    </font>
    <font>
      <i/>
      <sz val="10"/>
      <color rgb="FF7F7F7F"/>
      <name val="Calibri"/>
      <family val="2"/>
      <charset val="204"/>
    </font>
    <font>
      <b/>
      <sz val="10"/>
      <color theme="1"/>
      <name val="Calibri"/>
      <family val="2"/>
      <charset val="204"/>
    </font>
    <font>
      <sz val="10"/>
      <color theme="0"/>
      <name val="Calibri"/>
      <family val="2"/>
      <charset val="204"/>
    </font>
    <font>
      <sz val="11"/>
      <color indexed="8"/>
      <name val="Times New Roman"/>
      <family val="1"/>
      <charset val="204"/>
    </font>
    <font>
      <b/>
      <sz val="11"/>
      <color indexed="8"/>
      <name val="Calibri"/>
      <family val="2"/>
      <charset val="204"/>
    </font>
    <font>
      <b/>
      <sz val="14"/>
      <color indexed="8"/>
      <name val="Times New Roman"/>
      <family val="1"/>
      <charset val="204"/>
    </font>
    <font>
      <b/>
      <sz val="12"/>
      <color indexed="8"/>
      <name val="Times New Roman"/>
      <family val="1"/>
      <charset val="204"/>
    </font>
    <font>
      <b/>
      <sz val="10"/>
      <name val="Arial"/>
      <family val="2"/>
      <charset val="204"/>
    </font>
    <font>
      <b/>
      <sz val="10"/>
      <name val="Times New Roman"/>
      <family val="1"/>
      <charset val="204"/>
    </font>
    <font>
      <sz val="8"/>
      <name val="Calibri"/>
      <family val="2"/>
      <charset val="204"/>
      <scheme val="minor"/>
    </font>
    <font>
      <b/>
      <sz val="11"/>
      <color theme="1"/>
      <name val="Calibri"/>
      <family val="1"/>
      <charset val="204"/>
    </font>
    <font>
      <sz val="11"/>
      <name val="Calibri1"/>
      <charset val="204"/>
    </font>
    <font>
      <sz val="10"/>
      <color rgb="FFC00000"/>
      <name val="Calibri"/>
      <family val="2"/>
      <charset val="204"/>
    </font>
    <font>
      <sz val="10"/>
      <color rgb="FF7030A0"/>
      <name val="Calibri"/>
      <family val="2"/>
      <charset val="204"/>
    </font>
    <font>
      <sz val="10"/>
      <color theme="5" tint="-0.24994659260841701"/>
      <name val="Calibri"/>
      <family val="2"/>
      <charset val="204"/>
    </font>
    <font>
      <sz val="10"/>
      <name val="Calibri"/>
      <family val="2"/>
      <charset val="204"/>
    </font>
    <font>
      <sz val="11"/>
      <color indexed="8"/>
      <name val="Arial"/>
      <family val="2"/>
      <charset val="204"/>
    </font>
    <font>
      <sz val="11"/>
      <color indexed="8"/>
      <name val="Calibri"/>
      <family val="2"/>
      <charset val="204"/>
    </font>
    <font>
      <sz val="11"/>
      <color indexed="8"/>
      <name val="Calibri1"/>
      <charset val="204"/>
    </font>
    <font>
      <sz val="10"/>
      <name val="Arial"/>
      <family val="2"/>
      <charset val="204"/>
    </font>
    <font>
      <sz val="11"/>
      <name val="Calibri"/>
      <family val="2"/>
      <charset val="204"/>
      <scheme val="minor"/>
    </font>
    <font>
      <sz val="11"/>
      <color rgb="FFFF0000"/>
      <name val="Calibri"/>
      <family val="2"/>
      <charset val="204"/>
      <scheme val="minor"/>
    </font>
    <font>
      <b/>
      <sz val="10"/>
      <color indexed="8"/>
      <name val="Calibri"/>
      <family val="2"/>
      <charset val="204"/>
      <scheme val="minor"/>
    </font>
    <font>
      <b/>
      <sz val="10"/>
      <name val="Calibri"/>
      <family val="2"/>
      <charset val="204"/>
      <scheme val="minor"/>
    </font>
  </fonts>
  <fills count="5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39997558519241921"/>
        <bgColor indexed="64"/>
      </patternFill>
    </fill>
    <fill>
      <patternFill patternType="solid">
        <fgColor rgb="FFFFFF00"/>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9" tint="0.79998168889431442"/>
        <bgColor indexed="64"/>
      </patternFill>
    </fill>
    <fill>
      <patternFill patternType="solid">
        <fgColor indexed="9"/>
        <bgColor indexed="26"/>
      </patternFill>
    </fill>
    <fill>
      <patternFill patternType="solid">
        <fgColor rgb="FFFFFF00"/>
        <bgColor indexed="26"/>
      </patternFill>
    </fill>
    <fill>
      <patternFill patternType="solid">
        <fgColor rgb="FF92D050"/>
        <bgColor indexed="26"/>
      </patternFill>
    </fill>
    <fill>
      <patternFill patternType="solid">
        <fgColor rgb="FF92D050"/>
        <bgColor indexed="64"/>
      </patternFill>
    </fill>
    <fill>
      <patternFill patternType="solid">
        <fgColor rgb="FF0070C0"/>
        <bgColor indexed="26"/>
      </patternFill>
    </fill>
    <fill>
      <patternFill patternType="solid">
        <fgColor rgb="FF0070C0"/>
        <bgColor indexed="64"/>
      </patternFill>
    </fill>
    <fill>
      <patternFill patternType="solid">
        <fgColor rgb="FF00B0F0"/>
        <bgColor indexed="64"/>
      </patternFill>
    </fill>
    <fill>
      <patternFill patternType="solid">
        <fgColor rgb="FF00B050"/>
        <bgColor indexed="64"/>
      </patternFill>
    </fill>
    <fill>
      <patternFill patternType="solid">
        <fgColor theme="5" tint="-0.249977111117893"/>
        <bgColor indexed="64"/>
      </patternFill>
    </fill>
    <fill>
      <patternFill patternType="solid">
        <fgColor rgb="FFFFC000"/>
        <bgColor indexed="64"/>
      </patternFill>
    </fill>
    <fill>
      <patternFill patternType="solid">
        <fgColor rgb="FFFF0000"/>
        <bgColor indexed="64"/>
      </patternFill>
    </fill>
    <fill>
      <patternFill patternType="solid">
        <fgColor theme="0" tint="-0.14996795556505021"/>
        <bgColor indexed="64"/>
      </patternFill>
    </fill>
    <fill>
      <patternFill patternType="solid">
        <fgColor rgb="FF002060"/>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7" tint="-0.249977111117893"/>
        <bgColor indexed="64"/>
      </patternFill>
    </fill>
    <fill>
      <patternFill patternType="solid">
        <fgColor theme="5" tint="-0.499984740745262"/>
        <bgColor indexed="64"/>
      </patternFill>
    </fill>
    <fill>
      <patternFill patternType="solid">
        <fgColor theme="3" tint="0.39997558519241921"/>
        <bgColor indexed="64"/>
      </patternFill>
    </fill>
    <fill>
      <patternFill patternType="solid">
        <fgColor theme="4" tint="0.59999389629810485"/>
        <bgColor indexed="64"/>
      </patternFill>
    </fill>
    <fill>
      <patternFill patternType="solid">
        <fgColor theme="4" tint="0.79998168889431442"/>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hair">
        <color indexed="8"/>
      </left>
      <right style="hair">
        <color indexed="8"/>
      </right>
      <top style="hair">
        <color indexed="8"/>
      </top>
      <bottom style="hair">
        <color indexed="8"/>
      </bottom>
      <diagonal/>
    </border>
    <border>
      <left style="thin">
        <color indexed="8"/>
      </left>
      <right style="thin">
        <color indexed="8"/>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right style="double">
        <color rgb="FFFF0000"/>
      </right>
      <top/>
      <bottom style="double">
        <color rgb="FFFF0000"/>
      </bottom>
      <diagonal/>
    </border>
    <border>
      <left/>
      <right style="double">
        <color rgb="FF7030A0"/>
      </right>
      <top/>
      <bottom style="double">
        <color rgb="FF7030A0"/>
      </bottom>
      <diagonal/>
    </border>
    <border>
      <left/>
      <right style="double">
        <color theme="5" tint="-0.24994659260841701"/>
      </right>
      <top/>
      <bottom style="double">
        <color theme="5" tint="-0.24994659260841701"/>
      </bottom>
      <diagonal/>
    </border>
    <border diagonalUp="1" diagonalDown="1">
      <left/>
      <right/>
      <top/>
      <bottom/>
      <diagonal style="double">
        <color rgb="FFC00000"/>
      </diagonal>
    </border>
    <border>
      <left/>
      <right style="double">
        <color theme="0"/>
      </right>
      <top/>
      <bottom style="double">
        <color theme="0"/>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hair">
        <color indexed="8"/>
      </left>
      <right/>
      <top style="hair">
        <color indexed="8"/>
      </top>
      <bottom style="hair">
        <color indexed="8"/>
      </bottom>
      <diagonal/>
    </border>
    <border>
      <left style="thin">
        <color indexed="8"/>
      </left>
      <right/>
      <top style="thin">
        <color indexed="8"/>
      </top>
      <bottom style="thin">
        <color indexed="8"/>
      </bottom>
      <diagonal/>
    </border>
  </borders>
  <cellStyleXfs count="50">
    <xf numFmtId="0" fontId="0" fillId="0" borderId="0"/>
    <xf numFmtId="0" fontId="3" fillId="0" borderId="0" applyNumberFormat="0" applyFill="0" applyBorder="0" applyAlignment="0" applyProtection="0"/>
    <xf numFmtId="0" fontId="15" fillId="39" borderId="1" applyNumberFormat="0" applyFont="0" applyBorder="0" applyAlignment="0" applyProtection="0"/>
    <xf numFmtId="0" fontId="16" fillId="28" borderId="2" applyNumberFormat="0" applyFont="0" applyBorder="0" applyAlignment="0" applyProtection="0"/>
    <xf numFmtId="0" fontId="17" fillId="43" borderId="3" applyNumberFormat="0" applyFont="0" applyBorder="0" applyAlignment="0" applyProtection="0"/>
    <xf numFmtId="0" fontId="17" fillId="0" borderId="10" applyNumberFormat="0" applyFont="0" applyFill="0" applyAlignment="0" applyProtection="0"/>
    <xf numFmtId="0" fontId="19" fillId="2" borderId="0" applyNumberFormat="0" applyBorder="0" applyAlignment="0" applyProtection="0"/>
    <xf numFmtId="0" fontId="20" fillId="3" borderId="0" applyNumberFormat="0" applyBorder="0" applyAlignment="0" applyProtection="0"/>
    <xf numFmtId="0" fontId="21" fillId="4" borderId="0" applyNumberFormat="0" applyBorder="0" applyAlignment="0" applyProtection="0"/>
    <xf numFmtId="0" fontId="22" fillId="5" borderId="4" applyNumberFormat="0" applyAlignment="0" applyProtection="0"/>
    <xf numFmtId="0" fontId="23" fillId="6" borderId="5" applyNumberFormat="0" applyAlignment="0" applyProtection="0"/>
    <xf numFmtId="0" fontId="24" fillId="6" borderId="4" applyNumberFormat="0" applyAlignment="0" applyProtection="0"/>
    <xf numFmtId="0" fontId="25" fillId="0" borderId="6" applyNumberFormat="0" applyFill="0" applyAlignment="0" applyProtection="0"/>
    <xf numFmtId="0" fontId="26" fillId="7" borderId="7" applyNumberFormat="0" applyAlignment="0" applyProtection="0"/>
    <xf numFmtId="0" fontId="27" fillId="0" borderId="0" applyNumberFormat="0" applyFill="0" applyBorder="0" applyAlignment="0" applyProtection="0"/>
    <xf numFmtId="0" fontId="2" fillId="8" borderId="8" applyNumberFormat="0" applyFont="0" applyAlignment="0" applyProtection="0"/>
    <xf numFmtId="0" fontId="28" fillId="0" borderId="0" applyNumberFormat="0" applyFill="0" applyBorder="0" applyAlignment="0" applyProtection="0"/>
    <xf numFmtId="0" fontId="29" fillId="0" borderId="9" applyNumberFormat="0" applyFill="0" applyAlignment="0" applyProtection="0"/>
    <xf numFmtId="0" fontId="40" fillId="0" borderId="15" applyNumberFormat="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41" fillId="0" borderId="16" applyNumberFormat="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42" fillId="0" borderId="17" applyNumberFormat="0" applyAlignment="0" applyProtection="0"/>
    <xf numFmtId="0" fontId="1"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40" fillId="44" borderId="18" applyNumberFormat="0" applyProtection="0">
      <alignment horizontal="center" vertical="center"/>
    </xf>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30" fillId="45" borderId="19" applyNumberFormat="0" applyAlignment="0" applyProtection="0"/>
    <xf numFmtId="0" fontId="1"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43" fillId="36"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4" fillId="0" borderId="0" applyNumberFormat="0" applyFill="0" applyBorder="0" applyAlignment="0" applyProtection="0"/>
    <xf numFmtId="9" fontId="2" fillId="0" borderId="0" applyFont="0" applyFill="0" applyBorder="0" applyAlignment="0" applyProtection="0"/>
    <xf numFmtId="0" fontId="44" fillId="0" borderId="0"/>
    <xf numFmtId="0" fontId="46" fillId="0" borderId="0" applyBorder="0" applyProtection="0"/>
    <xf numFmtId="0" fontId="45" fillId="0" borderId="0" applyBorder="0" applyProtection="0"/>
    <xf numFmtId="0" fontId="46" fillId="0" borderId="0" applyBorder="0" applyProtection="0"/>
    <xf numFmtId="165" fontId="47" fillId="0" borderId="0" applyFill="0" applyBorder="0" applyAlignment="0" applyProtection="0"/>
    <xf numFmtId="0" fontId="49" fillId="0" borderId="15" applyFill="0" applyAlignment="0" applyProtection="0"/>
  </cellStyleXfs>
  <cellXfs count="240">
    <xf numFmtId="0" fontId="0" fillId="0" borderId="0" xfId="0"/>
    <xf numFmtId="9" fontId="5" fillId="31" borderId="10" xfId="0" applyNumberFormat="1" applyFont="1" applyFill="1" applyBorder="1" applyAlignment="1">
      <alignment horizontal="center" vertical="center"/>
    </xf>
    <xf numFmtId="1" fontId="40" fillId="0" borderId="15" xfId="18" applyNumberFormat="1" applyAlignment="1">
      <alignment horizontal="center" vertical="center"/>
    </xf>
    <xf numFmtId="49" fontId="5" fillId="0" borderId="10" xfId="0" applyNumberFormat="1" applyFont="1" applyBorder="1" applyAlignment="1">
      <alignment horizontal="center" vertical="center" wrapText="1"/>
    </xf>
    <xf numFmtId="0" fontId="5" fillId="0" borderId="10" xfId="0" applyFont="1" applyBorder="1" applyAlignment="1">
      <alignment horizontal="center" vertical="center" wrapText="1"/>
    </xf>
    <xf numFmtId="1" fontId="5" fillId="28" borderId="10" xfId="0" applyNumberFormat="1" applyFont="1" applyFill="1" applyBorder="1" applyAlignment="1">
      <alignment horizontal="center" vertical="center" wrapText="1"/>
    </xf>
    <xf numFmtId="4" fontId="5" fillId="0" borderId="10" xfId="0" applyNumberFormat="1" applyFont="1" applyBorder="1" applyAlignment="1">
      <alignment horizontal="center" vertical="center" wrapText="1"/>
    </xf>
    <xf numFmtId="0" fontId="6" fillId="0" borderId="0" xfId="0" applyFont="1" applyAlignment="1">
      <alignment horizontal="center" vertical="center"/>
    </xf>
    <xf numFmtId="0" fontId="7" fillId="0" borderId="10" xfId="42" applyFont="1" applyFill="1" applyBorder="1" applyAlignment="1">
      <alignment horizontal="center" vertical="center" wrapText="1"/>
    </xf>
    <xf numFmtId="0" fontId="6" fillId="0" borderId="10" xfId="0" applyFont="1" applyBorder="1" applyAlignment="1">
      <alignment horizontal="center" vertical="center" wrapText="1"/>
    </xf>
    <xf numFmtId="1" fontId="6" fillId="28" borderId="10" xfId="0" applyNumberFormat="1" applyFont="1" applyFill="1" applyBorder="1" applyAlignment="1">
      <alignment horizontal="center" vertical="center" wrapText="1"/>
    </xf>
    <xf numFmtId="4" fontId="6" fillId="0" borderId="10" xfId="0" applyNumberFormat="1" applyFont="1" applyBorder="1" applyAlignment="1">
      <alignment horizontal="center" vertical="center" wrapText="1"/>
    </xf>
    <xf numFmtId="0" fontId="6" fillId="27" borderId="10" xfId="0" applyFont="1" applyFill="1" applyBorder="1" applyAlignment="1">
      <alignment horizontal="center" vertical="center" wrapText="1"/>
    </xf>
    <xf numFmtId="0" fontId="7" fillId="0" borderId="10" xfId="42" applyFont="1" applyBorder="1" applyAlignment="1">
      <alignment horizontal="center" vertical="center" wrapText="1"/>
    </xf>
    <xf numFmtId="49" fontId="7" fillId="0" borderId="10" xfId="42" applyNumberFormat="1" applyFont="1" applyBorder="1" applyAlignment="1">
      <alignment horizontal="center" vertical="center" wrapText="1"/>
    </xf>
    <xf numFmtId="1" fontId="6" fillId="0" borderId="0" xfId="0" applyNumberFormat="1" applyFont="1" applyAlignment="1">
      <alignment horizontal="center" vertical="center"/>
    </xf>
    <xf numFmtId="4" fontId="6" fillId="0" borderId="0" xfId="0" applyNumberFormat="1" applyFont="1" applyAlignment="1">
      <alignment horizontal="center" vertical="center"/>
    </xf>
    <xf numFmtId="0" fontId="4" fillId="0" borderId="10" xfId="42" applyFill="1" applyBorder="1" applyAlignment="1">
      <alignment horizontal="center" vertical="center" wrapText="1"/>
    </xf>
    <xf numFmtId="0" fontId="4" fillId="0" borderId="10" xfId="42" applyBorder="1" applyAlignment="1">
      <alignment horizontal="center" vertical="center" wrapText="1"/>
    </xf>
    <xf numFmtId="0" fontId="6" fillId="0" borderId="0" xfId="0" applyFont="1" applyAlignment="1">
      <alignment horizontal="center" vertical="center" wrapText="1"/>
    </xf>
    <xf numFmtId="0" fontId="6" fillId="31" borderId="10" xfId="0" applyFont="1" applyFill="1" applyBorder="1"/>
    <xf numFmtId="1" fontId="6" fillId="32" borderId="10" xfId="0" applyNumberFormat="1" applyFont="1" applyFill="1" applyBorder="1" applyAlignment="1">
      <alignment horizontal="center" vertical="center" wrapText="1"/>
    </xf>
    <xf numFmtId="0" fontId="4" fillId="0" borderId="10" xfId="42" applyBorder="1" applyAlignment="1">
      <alignment wrapText="1"/>
    </xf>
    <xf numFmtId="0" fontId="4" fillId="0" borderId="0" xfId="42" applyAlignment="1">
      <alignment horizontal="center" vertical="center" wrapText="1"/>
    </xf>
    <xf numFmtId="1" fontId="5" fillId="32" borderId="10" xfId="0" applyNumberFormat="1" applyFont="1" applyFill="1" applyBorder="1" applyAlignment="1">
      <alignment horizontal="center" vertical="center" wrapText="1"/>
    </xf>
    <xf numFmtId="0" fontId="0" fillId="0" borderId="0" xfId="0" applyBorder="1" applyProtection="1"/>
    <xf numFmtId="1" fontId="6" fillId="36" borderId="10" xfId="0" applyNumberFormat="1" applyFont="1" applyFill="1" applyBorder="1" applyAlignment="1">
      <alignment horizontal="center" vertical="center" wrapText="1"/>
    </xf>
    <xf numFmtId="0" fontId="14" fillId="36" borderId="0" xfId="42" applyFont="1" applyFill="1" applyAlignment="1">
      <alignment wrapText="1"/>
    </xf>
    <xf numFmtId="0" fontId="8" fillId="0" borderId="0" xfId="0" applyFont="1" applyBorder="1" applyProtection="1"/>
    <xf numFmtId="0" fontId="0" fillId="0" borderId="0" xfId="0" applyBorder="1" applyProtection="1"/>
    <xf numFmtId="0" fontId="9" fillId="0" borderId="0" xfId="0" applyFont="1" applyBorder="1" applyProtection="1"/>
    <xf numFmtId="0" fontId="11" fillId="0" borderId="0" xfId="0" applyFont="1" applyBorder="1" applyProtection="1"/>
    <xf numFmtId="1" fontId="6" fillId="38" borderId="10" xfId="0" applyNumberFormat="1" applyFont="1" applyFill="1" applyBorder="1" applyAlignment="1">
      <alignment horizontal="center" vertical="center" wrapText="1"/>
    </xf>
    <xf numFmtId="0" fontId="0" fillId="36" borderId="13" xfId="0" applyFill="1" applyBorder="1" applyProtection="1"/>
    <xf numFmtId="0" fontId="5" fillId="38" borderId="10" xfId="0" applyFont="1" applyFill="1" applyBorder="1" applyAlignment="1">
      <alignment horizontal="center" vertical="center" wrapText="1"/>
    </xf>
    <xf numFmtId="1" fontId="6" fillId="27" borderId="10" xfId="0" applyNumberFormat="1" applyFont="1" applyFill="1" applyBorder="1" applyAlignment="1">
      <alignment horizontal="center" vertical="center" wrapText="1"/>
    </xf>
    <xf numFmtId="0" fontId="0" fillId="0" borderId="0" xfId="0"/>
    <xf numFmtId="0" fontId="39" fillId="39" borderId="13" xfId="0" applyFont="1" applyFill="1" applyBorder="1" applyProtection="1"/>
    <xf numFmtId="1" fontId="6" fillId="40" borderId="10" xfId="0" applyNumberFormat="1" applyFont="1" applyFill="1" applyBorder="1" applyAlignment="1">
      <alignment horizontal="center" vertical="center" wrapText="1"/>
    </xf>
    <xf numFmtId="1" fontId="20" fillId="3" borderId="10" xfId="7" applyNumberFormat="1" applyBorder="1" applyAlignment="1">
      <alignment horizontal="center" vertical="center" wrapText="1"/>
    </xf>
    <xf numFmtId="1" fontId="0" fillId="0" borderId="13" xfId="0" applyNumberFormat="1" applyBorder="1" applyAlignment="1" applyProtection="1">
      <alignment horizontal="left" vertical="top" wrapText="1"/>
    </xf>
    <xf numFmtId="1" fontId="18" fillId="0" borderId="13" xfId="0" applyNumberFormat="1" applyFont="1" applyBorder="1" applyAlignment="1">
      <alignment horizontal="right" wrapText="1"/>
    </xf>
    <xf numFmtId="1" fontId="0" fillId="0" borderId="14" xfId="0" applyNumberFormat="1" applyBorder="1" applyAlignment="1" applyProtection="1">
      <alignment horizontal="left" vertical="top" wrapText="1"/>
    </xf>
    <xf numFmtId="0" fontId="0" fillId="0" borderId="0" xfId="0" applyAlignment="1"/>
    <xf numFmtId="0" fontId="4" fillId="0" borderId="14" xfId="42" applyBorder="1" applyAlignment="1" applyProtection="1">
      <alignment horizontal="left" vertical="top" wrapText="1"/>
    </xf>
    <xf numFmtId="2" fontId="2" fillId="28" borderId="0" xfId="0" applyNumberFormat="1" applyFont="1" applyFill="1" applyBorder="1"/>
    <xf numFmtId="2" fontId="6" fillId="0" borderId="0" xfId="0" applyNumberFormat="1" applyFont="1" applyAlignment="1">
      <alignment horizontal="center" vertical="center"/>
    </xf>
    <xf numFmtId="1" fontId="6" fillId="0" borderId="10" xfId="43" applyNumberFormat="1" applyFont="1" applyBorder="1" applyAlignment="1">
      <alignment horizontal="center" vertical="center"/>
    </xf>
    <xf numFmtId="0" fontId="40" fillId="0" borderId="15" xfId="18" applyAlignment="1">
      <alignment horizontal="center" vertical="center" wrapText="1"/>
    </xf>
    <xf numFmtId="164" fontId="35" fillId="33" borderId="12" xfId="48" applyNumberFormat="1" applyFont="1" applyFill="1" applyBorder="1" applyAlignment="1" applyProtection="1">
      <alignment horizontal="center" vertical="center" wrapText="1"/>
    </xf>
    <xf numFmtId="164" fontId="35" fillId="0" borderId="12" xfId="48" applyNumberFormat="1" applyFont="1" applyFill="1" applyBorder="1" applyAlignment="1" applyProtection="1">
      <alignment horizontal="center" vertical="center"/>
    </xf>
    <xf numFmtId="0" fontId="10" fillId="33" borderId="12" xfId="46" applyFont="1" applyFill="1" applyBorder="1" applyAlignment="1" applyProtection="1">
      <alignment horizontal="left" vertical="center" wrapText="1"/>
    </xf>
    <xf numFmtId="0" fontId="10" fillId="33" borderId="12" xfId="46" applyFont="1" applyFill="1" applyBorder="1" applyAlignment="1" applyProtection="1">
      <alignment horizontal="center" vertical="center" wrapText="1"/>
    </xf>
    <xf numFmtId="0" fontId="46" fillId="0" borderId="0" xfId="45" applyBorder="1" applyProtection="1"/>
    <xf numFmtId="0" fontId="10" fillId="33" borderId="12" xfId="46" applyFont="1" applyFill="1" applyBorder="1" applyAlignment="1" applyProtection="1">
      <alignment horizontal="left" vertical="center"/>
    </xf>
    <xf numFmtId="0" fontId="10" fillId="33" borderId="12" xfId="46" applyFont="1" applyFill="1" applyBorder="1" applyAlignment="1" applyProtection="1">
      <alignment horizontal="center" vertical="center"/>
    </xf>
    <xf numFmtId="0" fontId="10" fillId="0" borderId="12" xfId="46" applyFont="1" applyBorder="1" applyAlignment="1" applyProtection="1">
      <alignment horizontal="left" vertical="center" wrapText="1"/>
    </xf>
    <xf numFmtId="0" fontId="10" fillId="0" borderId="12" xfId="46" applyFont="1" applyBorder="1" applyAlignment="1" applyProtection="1">
      <alignment horizontal="center" vertical="center"/>
    </xf>
    <xf numFmtId="0" fontId="10" fillId="0" borderId="12" xfId="46" applyFont="1" applyBorder="1" applyAlignment="1" applyProtection="1">
      <alignment horizontal="center" vertical="center" wrapText="1"/>
    </xf>
    <xf numFmtId="0" fontId="10" fillId="0" borderId="12" xfId="46" applyFont="1" applyBorder="1" applyAlignment="1" applyProtection="1">
      <alignment horizontal="left" vertical="center" shrinkToFit="1"/>
    </xf>
    <xf numFmtId="0" fontId="0" fillId="28" borderId="0" xfId="0" applyFill="1" applyBorder="1" applyProtection="1"/>
    <xf numFmtId="0" fontId="9" fillId="28" borderId="0" xfId="0" applyFont="1" applyFill="1" applyBorder="1" applyProtection="1"/>
    <xf numFmtId="0" fontId="11" fillId="28" borderId="0" xfId="0" applyFont="1" applyFill="1" applyBorder="1" applyProtection="1"/>
    <xf numFmtId="0" fontId="32" fillId="28" borderId="0" xfId="0" applyFont="1" applyFill="1" applyBorder="1" applyProtection="1"/>
    <xf numFmtId="164" fontId="35" fillId="34" borderId="12" xfId="48" applyNumberFormat="1" applyFont="1" applyFill="1" applyBorder="1" applyAlignment="1" applyProtection="1">
      <alignment horizontal="center" vertical="center" wrapText="1"/>
    </xf>
    <xf numFmtId="0" fontId="34" fillId="28" borderId="12" xfId="46" applyFont="1" applyFill="1" applyBorder="1" applyAlignment="1" applyProtection="1">
      <alignment horizontal="center" vertical="center" wrapText="1"/>
    </xf>
    <xf numFmtId="164" fontId="35" fillId="28" borderId="12" xfId="48" applyNumberFormat="1" applyFont="1" applyFill="1" applyBorder="1" applyAlignment="1" applyProtection="1">
      <alignment horizontal="center" vertical="center"/>
    </xf>
    <xf numFmtId="0" fontId="12" fillId="35" borderId="0" xfId="0" applyFont="1" applyFill="1" applyBorder="1" applyAlignment="1" applyProtection="1">
      <alignment wrapText="1"/>
    </xf>
    <xf numFmtId="0" fontId="10" fillId="38" borderId="0" xfId="0" applyFont="1" applyFill="1" applyBorder="1" applyAlignment="1" applyProtection="1">
      <alignment horizontal="center" vertical="center"/>
    </xf>
    <xf numFmtId="0" fontId="13" fillId="35" borderId="0" xfId="0" applyFont="1" applyFill="1" applyBorder="1" applyAlignment="1" applyProtection="1">
      <alignment wrapText="1"/>
    </xf>
    <xf numFmtId="0" fontId="36" fillId="37" borderId="0" xfId="0" applyFont="1" applyFill="1" applyBorder="1" applyAlignment="1" applyProtection="1">
      <alignment horizontal="center" vertical="center" wrapText="1"/>
    </xf>
    <xf numFmtId="0" fontId="10" fillId="38" borderId="0" xfId="0" applyFont="1" applyFill="1" applyBorder="1" applyAlignment="1" applyProtection="1">
      <alignment horizontal="center" vertical="center" wrapText="1"/>
    </xf>
    <xf numFmtId="0" fontId="10" fillId="37" borderId="0" xfId="0" applyFont="1" applyFill="1" applyBorder="1" applyAlignment="1" applyProtection="1">
      <alignment horizontal="center" vertical="center"/>
    </xf>
    <xf numFmtId="0" fontId="10" fillId="37" borderId="0" xfId="0" applyFont="1" applyFill="1" applyBorder="1" applyAlignment="1" applyProtection="1">
      <alignment horizontal="center" vertical="center" wrapText="1"/>
    </xf>
    <xf numFmtId="0" fontId="0" fillId="0" borderId="0" xfId="0" applyNumberFormat="1"/>
    <xf numFmtId="2" fontId="6" fillId="46" borderId="10" xfId="43" applyNumberFormat="1" applyFont="1" applyFill="1" applyBorder="1" applyAlignment="1">
      <alignment horizontal="center" vertical="center"/>
    </xf>
    <xf numFmtId="0" fontId="48" fillId="46" borderId="14" xfId="0" applyFont="1" applyFill="1" applyBorder="1" applyAlignment="1">
      <alignment horizontal="left" vertical="center"/>
    </xf>
    <xf numFmtId="9" fontId="6" fillId="0" borderId="0" xfId="43" applyFont="1" applyAlignment="1">
      <alignment horizontal="center" vertical="center" wrapText="1"/>
    </xf>
    <xf numFmtId="1" fontId="4" fillId="0" borderId="10" xfId="42" applyNumberFormat="1" applyBorder="1" applyAlignment="1">
      <alignment horizontal="center" vertical="center"/>
    </xf>
    <xf numFmtId="9" fontId="0" fillId="28" borderId="20" xfId="0" applyNumberFormat="1" applyFill="1" applyBorder="1"/>
    <xf numFmtId="2" fontId="0" fillId="28" borderId="0" xfId="0" applyNumberFormat="1" applyFill="1"/>
    <xf numFmtId="0" fontId="5" fillId="0" borderId="20" xfId="0" applyFont="1" applyBorder="1" applyAlignment="1">
      <alignment horizontal="center" vertical="center" wrapText="1"/>
    </xf>
    <xf numFmtId="2" fontId="5" fillId="0" borderId="20" xfId="0" applyNumberFormat="1" applyFont="1" applyBorder="1" applyAlignment="1">
      <alignment horizontal="center" vertical="center" wrapText="1"/>
    </xf>
    <xf numFmtId="9" fontId="2" fillId="0" borderId="20" xfId="43" applyFont="1" applyBorder="1" applyAlignment="1">
      <alignment wrapText="1"/>
    </xf>
    <xf numFmtId="0" fontId="0" fillId="0" borderId="0" xfId="0" applyAlignment="1">
      <alignment wrapText="1"/>
    </xf>
    <xf numFmtId="0" fontId="38" fillId="50" borderId="20" xfId="0" applyFont="1" applyFill="1" applyBorder="1" applyAlignment="1">
      <alignment horizontal="left" vertical="top" wrapText="1"/>
    </xf>
    <xf numFmtId="0" fontId="0" fillId="0" borderId="20" xfId="0" applyBorder="1" applyAlignment="1">
      <alignment wrapText="1"/>
    </xf>
    <xf numFmtId="0" fontId="0" fillId="0" borderId="20" xfId="0" applyBorder="1"/>
    <xf numFmtId="0" fontId="0" fillId="30" borderId="20" xfId="0" applyFill="1" applyBorder="1"/>
    <xf numFmtId="0" fontId="33" fillId="0" borderId="0" xfId="46" applyFont="1" applyBorder="1" applyProtection="1"/>
    <xf numFmtId="0" fontId="33" fillId="28" borderId="0" xfId="46" applyFont="1" applyFill="1" applyBorder="1" applyProtection="1"/>
    <xf numFmtId="9" fontId="48" fillId="46" borderId="20" xfId="0" applyNumberFormat="1" applyFont="1" applyFill="1" applyBorder="1" applyAlignment="1">
      <alignment horizontal="left" vertical="center"/>
    </xf>
    <xf numFmtId="0" fontId="38" fillId="0" borderId="20" xfId="0" applyFont="1" applyBorder="1" applyAlignment="1">
      <alignment horizontal="left" vertical="top" wrapText="1"/>
    </xf>
    <xf numFmtId="1" fontId="0" fillId="0" borderId="0" xfId="0" applyNumberFormat="1"/>
    <xf numFmtId="1" fontId="38" fillId="29" borderId="20" xfId="0" applyNumberFormat="1" applyFont="1" applyFill="1" applyBorder="1" applyAlignment="1">
      <alignment horizontal="left" vertical="top" wrapText="1"/>
    </xf>
    <xf numFmtId="49" fontId="5" fillId="0" borderId="10" xfId="0" applyNumberFormat="1" applyFont="1" applyBorder="1" applyAlignment="1">
      <alignment horizontal="left" vertical="center" wrapText="1"/>
    </xf>
    <xf numFmtId="0" fontId="5" fillId="38" borderId="10" xfId="0" applyFont="1" applyFill="1" applyBorder="1"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xf>
    <xf numFmtId="0" fontId="0" fillId="0" borderId="0" xfId="0" applyAlignment="1">
      <alignment horizontal="left" wrapText="1"/>
    </xf>
    <xf numFmtId="0" fontId="50" fillId="35" borderId="11" xfId="0" applyFont="1" applyFill="1" applyBorder="1" applyAlignment="1" applyProtection="1">
      <alignment wrapText="1"/>
    </xf>
    <xf numFmtId="0" fontId="50" fillId="38" borderId="12" xfId="0" applyFont="1" applyFill="1" applyBorder="1" applyAlignment="1" applyProtection="1">
      <alignment horizontal="left" vertical="center" wrapText="1"/>
    </xf>
    <xf numFmtId="0" fontId="51" fillId="37" borderId="12" xfId="0" applyFont="1" applyFill="1" applyBorder="1" applyAlignment="1" applyProtection="1">
      <alignment horizontal="left" vertical="center" wrapText="1"/>
    </xf>
    <xf numFmtId="0" fontId="50" fillId="37" borderId="12" xfId="0" applyFont="1" applyFill="1" applyBorder="1" applyAlignment="1" applyProtection="1">
      <alignment horizontal="left" vertical="center" wrapText="1"/>
    </xf>
    <xf numFmtId="0" fontId="5" fillId="36" borderId="0" xfId="42" applyFont="1" applyFill="1" applyAlignment="1">
      <alignment wrapText="1"/>
    </xf>
    <xf numFmtId="0" fontId="6" fillId="0" borderId="0" xfId="0" applyFont="1" applyAlignment="1">
      <alignment horizontal="left" wrapText="1"/>
    </xf>
    <xf numFmtId="1" fontId="48" fillId="28" borderId="14" xfId="0" applyNumberFormat="1" applyFont="1" applyFill="1" applyBorder="1" applyAlignment="1">
      <alignment horizontal="left" vertical="center"/>
    </xf>
    <xf numFmtId="4" fontId="6" fillId="0" borderId="10" xfId="0" applyNumberFormat="1" applyFont="1" applyBorder="1" applyAlignment="1">
      <alignment horizontal="left" vertical="center" wrapText="1"/>
    </xf>
    <xf numFmtId="1" fontId="0" fillId="0" borderId="0" xfId="0" applyNumberFormat="1" applyAlignment="1">
      <alignment horizontal="left"/>
    </xf>
    <xf numFmtId="2" fontId="2" fillId="28" borderId="0" xfId="0" applyNumberFormat="1" applyFont="1" applyFill="1" applyBorder="1" applyAlignment="1">
      <alignment horizontal="left"/>
    </xf>
    <xf numFmtId="9" fontId="0" fillId="28" borderId="20" xfId="0" applyNumberFormat="1" applyFill="1" applyBorder="1" applyAlignment="1">
      <alignment horizontal="left"/>
    </xf>
    <xf numFmtId="2" fontId="0" fillId="28" borderId="0" xfId="0" applyNumberFormat="1" applyFill="1" applyAlignment="1">
      <alignment horizontal="left"/>
    </xf>
    <xf numFmtId="49" fontId="5" fillId="0" borderId="13" xfId="0" applyNumberFormat="1" applyFont="1" applyBorder="1" applyAlignment="1">
      <alignment horizontal="left" vertical="center" wrapText="1"/>
    </xf>
    <xf numFmtId="0" fontId="5" fillId="0" borderId="13" xfId="0" applyFont="1" applyBorder="1" applyAlignment="1">
      <alignment horizontal="left" vertical="center" wrapText="1"/>
    </xf>
    <xf numFmtId="1" fontId="5" fillId="30" borderId="13" xfId="0" applyNumberFormat="1" applyFont="1" applyFill="1" applyBorder="1" applyAlignment="1">
      <alignment horizontal="left" vertical="center" wrapText="1"/>
    </xf>
    <xf numFmtId="1" fontId="5" fillId="30" borderId="20" xfId="0" applyNumberFormat="1" applyFont="1" applyFill="1" applyBorder="1" applyAlignment="1">
      <alignment horizontal="left" vertical="center" wrapText="1"/>
    </xf>
    <xf numFmtId="1" fontId="5" fillId="28" borderId="13" xfId="0" applyNumberFormat="1" applyFont="1" applyFill="1" applyBorder="1" applyAlignment="1">
      <alignment horizontal="left" vertical="center" wrapText="1"/>
    </xf>
    <xf numFmtId="1" fontId="5" fillId="32" borderId="13" xfId="0" applyNumberFormat="1" applyFont="1" applyFill="1" applyBorder="1" applyAlignment="1">
      <alignment horizontal="left" vertical="center" wrapText="1"/>
    </xf>
    <xf numFmtId="4" fontId="5" fillId="0" borderId="13" xfId="0" applyNumberFormat="1" applyFont="1" applyBorder="1" applyAlignment="1">
      <alignment horizontal="left" vertical="center" wrapText="1"/>
    </xf>
    <xf numFmtId="9" fontId="6" fillId="31" borderId="13" xfId="0" applyNumberFormat="1" applyFont="1" applyFill="1" applyBorder="1" applyAlignment="1">
      <alignment horizontal="left"/>
    </xf>
    <xf numFmtId="2" fontId="5" fillId="46" borderId="14" xfId="0" applyNumberFormat="1" applyFont="1" applyFill="1" applyBorder="1" applyAlignment="1">
      <alignment horizontal="left" vertical="center"/>
    </xf>
    <xf numFmtId="2" fontId="5" fillId="46" borderId="10" xfId="0" applyNumberFormat="1" applyFont="1" applyFill="1" applyBorder="1" applyAlignment="1">
      <alignment horizontal="left" vertical="center"/>
    </xf>
    <xf numFmtId="2" fontId="5" fillId="46" borderId="20" xfId="0" applyNumberFormat="1" applyFont="1" applyFill="1" applyBorder="1" applyAlignment="1">
      <alignment horizontal="left" vertical="center"/>
    </xf>
    <xf numFmtId="0" fontId="5" fillId="0" borderId="20" xfId="0" applyFont="1" applyBorder="1" applyAlignment="1">
      <alignment horizontal="left" vertical="center" wrapText="1"/>
    </xf>
    <xf numFmtId="2" fontId="5" fillId="0" borderId="20" xfId="0" applyNumberFormat="1" applyFont="1" applyBorder="1" applyAlignment="1">
      <alignment horizontal="left" vertical="center" wrapText="1"/>
    </xf>
    <xf numFmtId="0" fontId="0" fillId="0" borderId="20" xfId="0" applyBorder="1" applyAlignment="1">
      <alignment horizontal="left" wrapText="1"/>
    </xf>
    <xf numFmtId="1" fontId="18" fillId="0" borderId="13" xfId="0" applyNumberFormat="1" applyFont="1" applyBorder="1" applyAlignment="1">
      <alignment horizontal="left" wrapText="1"/>
    </xf>
    <xf numFmtId="0" fontId="0" fillId="0" borderId="20" xfId="0" applyBorder="1" applyAlignment="1">
      <alignment horizontal="left"/>
    </xf>
    <xf numFmtId="0" fontId="7" fillId="0" borderId="13" xfId="42" applyFont="1" applyBorder="1" applyAlignment="1">
      <alignment horizontal="left" vertical="center" wrapText="1"/>
    </xf>
    <xf numFmtId="1" fontId="6" fillId="0" borderId="13" xfId="0" applyNumberFormat="1" applyFont="1" applyBorder="1" applyAlignment="1">
      <alignment horizontal="left" vertical="center" wrapText="1"/>
    </xf>
    <xf numFmtId="1" fontId="6" fillId="27" borderId="13" xfId="0" applyNumberFormat="1" applyFont="1" applyFill="1" applyBorder="1" applyAlignment="1">
      <alignment horizontal="left" vertical="center" wrapText="1"/>
    </xf>
    <xf numFmtId="1" fontId="6" fillId="32" borderId="13" xfId="0" applyNumberFormat="1" applyFont="1" applyFill="1" applyBorder="1" applyAlignment="1">
      <alignment horizontal="left" vertical="center" wrapText="1"/>
    </xf>
    <xf numFmtId="4" fontId="6" fillId="0" borderId="13" xfId="0" applyNumberFormat="1" applyFont="1" applyBorder="1" applyAlignment="1">
      <alignment horizontal="left" vertical="center" wrapText="1"/>
    </xf>
    <xf numFmtId="2" fontId="6" fillId="46" borderId="10" xfId="43" applyNumberFormat="1" applyFont="1" applyFill="1" applyBorder="1" applyAlignment="1">
      <alignment horizontal="left" vertical="center"/>
    </xf>
    <xf numFmtId="2" fontId="6" fillId="46" borderId="20" xfId="43" applyNumberFormat="1" applyFont="1" applyFill="1" applyBorder="1" applyAlignment="1">
      <alignment horizontal="left" vertical="center"/>
    </xf>
    <xf numFmtId="9" fontId="2" fillId="0" borderId="20" xfId="43" applyFont="1" applyBorder="1" applyAlignment="1">
      <alignment horizontal="left" wrapText="1"/>
    </xf>
    <xf numFmtId="0" fontId="0" fillId="0" borderId="0" xfId="0" applyFill="1" applyAlignment="1">
      <alignment horizontal="left"/>
    </xf>
    <xf numFmtId="1" fontId="40" fillId="0" borderId="15" xfId="18" applyNumberFormat="1" applyAlignment="1">
      <alignment horizontal="left" vertical="center"/>
    </xf>
    <xf numFmtId="1" fontId="6" fillId="36" borderId="13" xfId="0" applyNumberFormat="1" applyFont="1" applyFill="1" applyBorder="1" applyAlignment="1">
      <alignment horizontal="left" vertical="center" wrapText="1"/>
    </xf>
    <xf numFmtId="0" fontId="4" fillId="0" borderId="13" xfId="42" applyBorder="1" applyAlignment="1">
      <alignment horizontal="left" vertical="center" wrapText="1"/>
    </xf>
    <xf numFmtId="1" fontId="6" fillId="38" borderId="13" xfId="0" applyNumberFormat="1" applyFont="1" applyFill="1" applyBorder="1" applyAlignment="1">
      <alignment horizontal="left" vertical="center" wrapText="1"/>
    </xf>
    <xf numFmtId="1" fontId="6" fillId="42" borderId="13" xfId="0" applyNumberFormat="1" applyFont="1" applyFill="1" applyBorder="1" applyAlignment="1">
      <alignment horizontal="left" vertical="center" wrapText="1"/>
    </xf>
    <xf numFmtId="0" fontId="4" fillId="0" borderId="10" xfId="42" applyBorder="1" applyAlignment="1">
      <alignment horizontal="left" vertical="center" wrapText="1"/>
    </xf>
    <xf numFmtId="3" fontId="6" fillId="0" borderId="10" xfId="0" applyNumberFormat="1" applyFont="1" applyBorder="1" applyAlignment="1">
      <alignment horizontal="left" vertical="center" wrapText="1"/>
    </xf>
    <xf numFmtId="3" fontId="6" fillId="28" borderId="10" xfId="0" applyNumberFormat="1" applyFont="1" applyFill="1" applyBorder="1" applyAlignment="1">
      <alignment horizontal="left" vertical="center"/>
    </xf>
    <xf numFmtId="3" fontId="5" fillId="0" borderId="13" xfId="0" applyNumberFormat="1" applyFont="1" applyBorder="1" applyAlignment="1">
      <alignment horizontal="left" vertical="center" wrapText="1"/>
    </xf>
    <xf numFmtId="3" fontId="5" fillId="28" borderId="13" xfId="0" applyNumberFormat="1" applyFont="1" applyFill="1" applyBorder="1" applyAlignment="1">
      <alignment horizontal="left" vertical="center"/>
    </xf>
    <xf numFmtId="3" fontId="6" fillId="0" borderId="13" xfId="0" applyNumberFormat="1" applyFont="1" applyBorder="1" applyAlignment="1">
      <alignment horizontal="left" vertical="center" wrapText="1"/>
    </xf>
    <xf numFmtId="3" fontId="6" fillId="28" borderId="13" xfId="0" applyNumberFormat="1" applyFont="1" applyFill="1" applyBorder="1" applyAlignment="1">
      <alignment horizontal="left" vertical="center"/>
    </xf>
    <xf numFmtId="3" fontId="6" fillId="51" borderId="14" xfId="0" applyNumberFormat="1" applyFont="1" applyFill="1" applyBorder="1" applyAlignment="1">
      <alignment horizontal="left" vertical="center"/>
    </xf>
    <xf numFmtId="3" fontId="6" fillId="52" borderId="14" xfId="0" applyNumberFormat="1" applyFont="1" applyFill="1" applyBorder="1" applyAlignment="1">
      <alignment horizontal="left" vertical="center"/>
    </xf>
    <xf numFmtId="3" fontId="6" fillId="42" borderId="13" xfId="0" applyNumberFormat="1" applyFont="1" applyFill="1" applyBorder="1" applyAlignment="1">
      <alignment horizontal="left" vertical="center" wrapText="1"/>
    </xf>
    <xf numFmtId="3" fontId="0" fillId="0" borderId="0" xfId="0" applyNumberFormat="1" applyAlignment="1">
      <alignment horizontal="left"/>
    </xf>
    <xf numFmtId="1" fontId="6" fillId="31" borderId="13" xfId="0" applyNumberFormat="1" applyFont="1" applyFill="1" applyBorder="1" applyAlignment="1">
      <alignment horizontal="left"/>
    </xf>
    <xf numFmtId="1" fontId="6" fillId="0" borderId="21" xfId="0" applyNumberFormat="1" applyFont="1" applyBorder="1" applyAlignment="1">
      <alignment horizontal="left" vertical="center" wrapText="1"/>
    </xf>
    <xf numFmtId="0" fontId="12" fillId="35" borderId="21" xfId="0" applyFont="1" applyFill="1" applyBorder="1" applyAlignment="1" applyProtection="1">
      <alignment horizontal="left" wrapText="1"/>
    </xf>
    <xf numFmtId="1" fontId="6" fillId="31" borderId="21" xfId="0" applyNumberFormat="1" applyFont="1" applyFill="1" applyBorder="1" applyAlignment="1">
      <alignment horizontal="left" vertical="center" wrapText="1"/>
    </xf>
    <xf numFmtId="0" fontId="10" fillId="38" borderId="21" xfId="0" applyFont="1" applyFill="1" applyBorder="1" applyAlignment="1" applyProtection="1">
      <alignment horizontal="left" vertical="center" wrapText="1"/>
    </xf>
    <xf numFmtId="0" fontId="12" fillId="35" borderId="22" xfId="0" applyFont="1" applyFill="1" applyBorder="1" applyAlignment="1" applyProtection="1">
      <alignment horizontal="left" wrapText="1"/>
    </xf>
    <xf numFmtId="0" fontId="10" fillId="38" borderId="23" xfId="0" applyFont="1" applyFill="1" applyBorder="1" applyAlignment="1" applyProtection="1">
      <alignment horizontal="left" vertical="center" wrapText="1"/>
    </xf>
    <xf numFmtId="1" fontId="6" fillId="0" borderId="10" xfId="0" applyNumberFormat="1" applyFont="1" applyFill="1" applyBorder="1" applyAlignment="1">
      <alignment horizontal="left" vertical="center" wrapText="1"/>
    </xf>
    <xf numFmtId="0" fontId="6" fillId="0" borderId="10" xfId="0" applyFont="1" applyFill="1" applyBorder="1" applyAlignment="1">
      <alignment horizontal="left" vertical="center" wrapText="1"/>
    </xf>
    <xf numFmtId="0" fontId="0" fillId="0" borderId="10" xfId="0" applyFill="1" applyBorder="1" applyAlignment="1">
      <alignment horizontal="left"/>
    </xf>
    <xf numFmtId="0" fontId="34" fillId="0" borderId="12" xfId="46" applyFont="1" applyBorder="1" applyAlignment="1" applyProtection="1">
      <alignment horizontal="center" vertical="center" wrapText="1"/>
    </xf>
    <xf numFmtId="0" fontId="34" fillId="0" borderId="10" xfId="46" applyFont="1" applyBorder="1" applyAlignment="1" applyProtection="1">
      <alignment horizontal="center" vertical="center"/>
    </xf>
    <xf numFmtId="0" fontId="34" fillId="28" borderId="10" xfId="46" applyFont="1" applyFill="1" applyBorder="1" applyAlignment="1" applyProtection="1">
      <alignment horizontal="center" vertical="center"/>
    </xf>
    <xf numFmtId="0" fontId="10" fillId="33" borderId="10" xfId="46" applyFont="1" applyFill="1" applyBorder="1" applyAlignment="1" applyProtection="1">
      <alignment horizontal="left" vertical="center" wrapText="1"/>
    </xf>
    <xf numFmtId="0" fontId="10" fillId="0" borderId="10" xfId="46" applyFont="1" applyBorder="1" applyAlignment="1" applyProtection="1">
      <alignment horizontal="center" vertical="center" wrapText="1"/>
    </xf>
    <xf numFmtId="164" fontId="35" fillId="33" borderId="10" xfId="48" applyNumberFormat="1" applyFont="1" applyFill="1" applyBorder="1" applyAlignment="1" applyProtection="1">
      <alignment horizontal="center" vertical="center" wrapText="1"/>
    </xf>
    <xf numFmtId="164" fontId="35" fillId="34" borderId="10" xfId="48" applyNumberFormat="1" applyFont="1" applyFill="1" applyBorder="1" applyAlignment="1" applyProtection="1">
      <alignment horizontal="center" vertical="center" wrapText="1"/>
    </xf>
    <xf numFmtId="0" fontId="10" fillId="0" borderId="10" xfId="46" applyFont="1" applyBorder="1" applyAlignment="1" applyProtection="1">
      <alignment horizontal="left" vertical="center" wrapText="1"/>
    </xf>
    <xf numFmtId="0" fontId="10" fillId="0" borderId="10" xfId="46" applyFont="1" applyBorder="1" applyAlignment="1" applyProtection="1">
      <alignment horizontal="left" vertical="center"/>
    </xf>
    <xf numFmtId="0" fontId="10" fillId="0" borderId="10" xfId="46" applyFont="1" applyBorder="1" applyAlignment="1" applyProtection="1">
      <alignment horizontal="center" vertical="center"/>
    </xf>
    <xf numFmtId="0" fontId="10" fillId="0" borderId="10" xfId="46" applyFont="1" applyBorder="1" applyAlignment="1" applyProtection="1">
      <alignment horizontal="left" vertical="top" wrapText="1"/>
    </xf>
    <xf numFmtId="0" fontId="10" fillId="0" borderId="10" xfId="46" applyFont="1" applyBorder="1" applyAlignment="1" applyProtection="1">
      <alignment horizontal="left" vertical="center" shrinkToFit="1"/>
    </xf>
    <xf numFmtId="0" fontId="34" fillId="0" borderId="12" xfId="46" applyFont="1" applyBorder="1" applyAlignment="1" applyProtection="1">
      <alignment vertical="center" wrapText="1"/>
    </xf>
    <xf numFmtId="0" fontId="0" fillId="0" borderId="10" xfId="0" applyBorder="1" applyAlignment="1">
      <alignment horizontal="left" wrapText="1"/>
    </xf>
    <xf numFmtId="1" fontId="0" fillId="0" borderId="10" xfId="0" applyNumberFormat="1" applyBorder="1" applyAlignment="1" applyProtection="1">
      <alignment horizontal="left" vertical="top" wrapText="1"/>
    </xf>
    <xf numFmtId="1" fontId="18" fillId="0" borderId="10" xfId="0" applyNumberFormat="1" applyFont="1" applyBorder="1" applyAlignment="1">
      <alignment horizontal="left" wrapText="1"/>
    </xf>
    <xf numFmtId="0" fontId="0" fillId="0" borderId="10" xfId="0" applyBorder="1" applyAlignment="1">
      <alignment horizontal="left"/>
    </xf>
    <xf numFmtId="1" fontId="6" fillId="27" borderId="10" xfId="0" applyNumberFormat="1" applyFont="1" applyFill="1" applyBorder="1" applyAlignment="1">
      <alignment horizontal="left" vertical="center" wrapText="1"/>
    </xf>
    <xf numFmtId="1" fontId="38" fillId="29" borderId="10" xfId="0" applyNumberFormat="1" applyFont="1" applyFill="1" applyBorder="1" applyAlignment="1">
      <alignment horizontal="left" vertical="top" wrapText="1"/>
    </xf>
    <xf numFmtId="1" fontId="6" fillId="31" borderId="10" xfId="0" applyNumberFormat="1" applyFont="1" applyFill="1" applyBorder="1" applyAlignment="1">
      <alignment horizontal="left"/>
    </xf>
    <xf numFmtId="0" fontId="48" fillId="46" borderId="10" xfId="0" applyFont="1" applyFill="1" applyBorder="1" applyAlignment="1">
      <alignment horizontal="left" vertical="center"/>
    </xf>
    <xf numFmtId="9" fontId="2" fillId="0" borderId="10" xfId="43" applyFont="1" applyBorder="1" applyAlignment="1">
      <alignment horizontal="left" wrapText="1"/>
    </xf>
    <xf numFmtId="1" fontId="6" fillId="38" borderId="10" xfId="0" applyNumberFormat="1" applyFont="1" applyFill="1" applyBorder="1" applyAlignment="1">
      <alignment horizontal="left" vertical="center" wrapText="1"/>
    </xf>
    <xf numFmtId="0" fontId="4" fillId="0" borderId="10" xfId="42" applyBorder="1" applyAlignment="1" applyProtection="1">
      <alignment horizontal="left" vertical="top" wrapText="1"/>
    </xf>
    <xf numFmtId="0" fontId="12" fillId="35" borderId="0" xfId="0" applyFont="1" applyFill="1" applyBorder="1" applyAlignment="1" applyProtection="1">
      <alignment horizontal="left" wrapText="1"/>
    </xf>
    <xf numFmtId="1" fontId="6" fillId="36" borderId="10" xfId="0" applyNumberFormat="1" applyFont="1" applyFill="1" applyBorder="1" applyAlignment="1">
      <alignment horizontal="left" vertical="center" wrapText="1"/>
    </xf>
    <xf numFmtId="0" fontId="7" fillId="0" borderId="10" xfId="42" applyFont="1" applyBorder="1" applyAlignment="1">
      <alignment horizontal="left" vertical="center" wrapText="1"/>
    </xf>
    <xf numFmtId="1" fontId="6" fillId="28" borderId="10" xfId="0" applyNumberFormat="1" applyFont="1" applyFill="1" applyBorder="1" applyAlignment="1">
      <alignment horizontal="center" vertical="center"/>
    </xf>
    <xf numFmtId="1" fontId="5" fillId="28" borderId="10" xfId="0" applyNumberFormat="1" applyFont="1" applyFill="1" applyBorder="1" applyAlignment="1">
      <alignment horizontal="center" vertical="center"/>
    </xf>
    <xf numFmtId="3" fontId="6" fillId="0" borderId="10" xfId="0" applyNumberFormat="1" applyFont="1" applyBorder="1" applyAlignment="1">
      <alignment horizontal="center" vertical="center" wrapText="1"/>
    </xf>
    <xf numFmtId="3" fontId="5" fillId="0" borderId="10" xfId="0" applyNumberFormat="1" applyFont="1" applyBorder="1" applyAlignment="1">
      <alignment horizontal="center" vertical="center" wrapText="1"/>
    </xf>
    <xf numFmtId="3" fontId="6" fillId="31" borderId="14" xfId="0" applyNumberFormat="1" applyFont="1" applyFill="1" applyBorder="1" applyAlignment="1">
      <alignment horizontal="center" vertical="center"/>
    </xf>
    <xf numFmtId="3" fontId="6" fillId="48" borderId="14" xfId="0" applyNumberFormat="1" applyFont="1" applyFill="1" applyBorder="1" applyAlignment="1">
      <alignment horizontal="center" vertical="center"/>
    </xf>
    <xf numFmtId="3" fontId="6" fillId="47" borderId="14" xfId="0" applyNumberFormat="1" applyFont="1" applyFill="1" applyBorder="1" applyAlignment="1">
      <alignment horizontal="center" vertical="center"/>
    </xf>
    <xf numFmtId="3" fontId="6" fillId="49" borderId="14" xfId="0" applyNumberFormat="1" applyFont="1" applyFill="1" applyBorder="1" applyAlignment="1">
      <alignment horizontal="center" vertical="center"/>
    </xf>
    <xf numFmtId="3" fontId="20" fillId="3" borderId="10" xfId="7" applyNumberFormat="1" applyBorder="1" applyAlignment="1">
      <alignment horizontal="center" vertical="center" wrapText="1"/>
    </xf>
    <xf numFmtId="3" fontId="6" fillId="0" borderId="0" xfId="0" applyNumberFormat="1" applyFont="1" applyAlignment="1">
      <alignment horizontal="center" vertical="center"/>
    </xf>
    <xf numFmtId="3" fontId="6" fillId="41" borderId="14" xfId="0" applyNumberFormat="1" applyFont="1" applyFill="1" applyBorder="1" applyAlignment="1">
      <alignment horizontal="center" vertical="center"/>
    </xf>
    <xf numFmtId="3" fontId="0" fillId="0" borderId="0" xfId="0" applyNumberFormat="1"/>
    <xf numFmtId="1" fontId="18" fillId="0" borderId="20" xfId="0" applyNumberFormat="1" applyFont="1" applyBorder="1" applyAlignment="1">
      <alignment horizontal="right" wrapText="1"/>
    </xf>
    <xf numFmtId="0" fontId="4" fillId="0" borderId="20" xfId="42" applyBorder="1" applyAlignment="1">
      <alignment horizontal="center" vertical="center" wrapText="1"/>
    </xf>
    <xf numFmtId="0" fontId="0" fillId="0" borderId="10" xfId="0" applyBorder="1"/>
    <xf numFmtId="9" fontId="2" fillId="0" borderId="10" xfId="43" applyFont="1" applyBorder="1" applyAlignment="1">
      <alignment wrapText="1"/>
    </xf>
    <xf numFmtId="1" fontId="18" fillId="0" borderId="10" xfId="0" applyNumberFormat="1" applyFont="1" applyBorder="1" applyAlignment="1">
      <alignment horizontal="right" wrapText="1"/>
    </xf>
    <xf numFmtId="0" fontId="0" fillId="0" borderId="10" xfId="0" applyBorder="1" applyAlignment="1">
      <alignment wrapText="1"/>
    </xf>
    <xf numFmtId="1" fontId="2" fillId="28" borderId="0" xfId="0" applyNumberFormat="1" applyFont="1" applyFill="1" applyBorder="1"/>
    <xf numFmtId="1" fontId="48" fillId="46" borderId="20" xfId="0" applyNumberFormat="1" applyFont="1" applyFill="1" applyBorder="1" applyAlignment="1">
      <alignment horizontal="left" vertical="center"/>
    </xf>
    <xf numFmtId="0" fontId="50" fillId="35" borderId="0" xfId="0" applyFont="1" applyFill="1" applyBorder="1" applyAlignment="1" applyProtection="1">
      <alignment wrapText="1"/>
    </xf>
    <xf numFmtId="4" fontId="6" fillId="0" borderId="20" xfId="0" applyNumberFormat="1" applyFont="1" applyBorder="1" applyAlignment="1">
      <alignment horizontal="center" vertical="center" wrapText="1"/>
    </xf>
    <xf numFmtId="1" fontId="6" fillId="28" borderId="20" xfId="0" applyNumberFormat="1" applyFont="1" applyFill="1" applyBorder="1" applyAlignment="1">
      <alignment horizontal="center" vertical="center"/>
    </xf>
    <xf numFmtId="0" fontId="6" fillId="31" borderId="20" xfId="0" applyFont="1" applyFill="1" applyBorder="1"/>
    <xf numFmtId="2" fontId="6" fillId="46" borderId="20" xfId="43" applyNumberFormat="1" applyFont="1" applyFill="1" applyBorder="1" applyAlignment="1">
      <alignment horizontal="center" vertical="center"/>
    </xf>
    <xf numFmtId="3" fontId="6" fillId="0" borderId="20" xfId="0" applyNumberFormat="1" applyFont="1" applyBorder="1" applyAlignment="1">
      <alignment horizontal="center" vertical="center" wrapText="1"/>
    </xf>
    <xf numFmtId="0" fontId="50" fillId="38" borderId="0" xfId="0" applyFont="1" applyFill="1" applyBorder="1" applyAlignment="1" applyProtection="1">
      <alignment horizontal="left" vertical="center" wrapText="1"/>
    </xf>
    <xf numFmtId="1" fontId="6" fillId="38" borderId="20" xfId="0" applyNumberFormat="1" applyFont="1" applyFill="1" applyBorder="1" applyAlignment="1">
      <alignment horizontal="center" vertical="center" wrapText="1"/>
    </xf>
    <xf numFmtId="1" fontId="48" fillId="46" borderId="10" xfId="0" applyNumberFormat="1" applyFont="1" applyFill="1" applyBorder="1" applyAlignment="1">
      <alignment horizontal="left" vertical="center"/>
    </xf>
    <xf numFmtId="0" fontId="0" fillId="0" borderId="10" xfId="0" applyFill="1" applyBorder="1" applyAlignment="1">
      <alignment wrapText="1"/>
    </xf>
    <xf numFmtId="2" fontId="48" fillId="42" borderId="10" xfId="0" applyNumberFormat="1" applyFont="1" applyFill="1" applyBorder="1" applyAlignment="1">
      <alignment horizontal="left" vertical="center"/>
    </xf>
    <xf numFmtId="0" fontId="40" fillId="0" borderId="15" xfId="18" applyAlignment="1">
      <alignment horizontal="left"/>
    </xf>
    <xf numFmtId="2" fontId="40" fillId="0" borderId="15" xfId="18" applyNumberFormat="1" applyAlignment="1">
      <alignment horizontal="left"/>
    </xf>
    <xf numFmtId="1" fontId="40" fillId="0" borderId="15" xfId="18" applyNumberFormat="1" applyAlignment="1">
      <alignment horizontal="left"/>
    </xf>
    <xf numFmtId="1" fontId="40" fillId="0" borderId="15" xfId="18" applyNumberFormat="1" applyAlignment="1">
      <alignment horizontal="left" vertical="center" wrapText="1"/>
    </xf>
    <xf numFmtId="1" fontId="2" fillId="28" borderId="0" xfId="0" applyNumberFormat="1" applyFont="1" applyFill="1" applyBorder="1" applyAlignment="1">
      <alignment horizontal="left"/>
    </xf>
    <xf numFmtId="9" fontId="0" fillId="0" borderId="0" xfId="43" applyFont="1" applyAlignment="1">
      <alignment horizontal="left"/>
    </xf>
    <xf numFmtId="3" fontId="6" fillId="52" borderId="10" xfId="0" applyNumberFormat="1" applyFont="1" applyFill="1" applyBorder="1" applyAlignment="1">
      <alignment horizontal="left" vertical="center"/>
    </xf>
    <xf numFmtId="0" fontId="34" fillId="0" borderId="10" xfId="46" applyFont="1" applyBorder="1" applyAlignment="1" applyProtection="1">
      <alignment horizontal="center" vertical="center" wrapText="1"/>
    </xf>
    <xf numFmtId="0" fontId="34" fillId="0" borderId="12" xfId="46" applyFont="1" applyBorder="1" applyAlignment="1" applyProtection="1">
      <alignment horizontal="center" vertical="center" wrapText="1"/>
    </xf>
    <xf numFmtId="0" fontId="31" fillId="0" borderId="0" xfId="0" applyFont="1"/>
    <xf numFmtId="0" fontId="34" fillId="0" borderId="10" xfId="46" applyFont="1" applyBorder="1" applyAlignment="1" applyProtection="1">
      <alignment horizontal="center" vertical="center"/>
    </xf>
    <xf numFmtId="0" fontId="38" fillId="0" borderId="20" xfId="0" applyFont="1" applyBorder="1" applyAlignment="1" applyProtection="1">
      <alignment horizontal="left" vertical="top" wrapText="1"/>
    </xf>
    <xf numFmtId="1" fontId="0" fillId="0" borderId="20" xfId="0" applyNumberFormat="1" applyBorder="1" applyAlignment="1" applyProtection="1">
      <alignment horizontal="left" vertical="top" wrapText="1"/>
    </xf>
    <xf numFmtId="0" fontId="0" fillId="0" borderId="20" xfId="0" applyBorder="1" applyAlignment="1" applyProtection="1">
      <alignment horizontal="left" vertical="top" wrapText="1"/>
    </xf>
    <xf numFmtId="1" fontId="38" fillId="28" borderId="20" xfId="0" applyNumberFormat="1" applyFont="1" applyFill="1" applyBorder="1" applyAlignment="1" applyProtection="1">
      <alignment horizontal="left" vertical="top" wrapText="1"/>
    </xf>
    <xf numFmtId="0" fontId="38" fillId="0" borderId="20" xfId="0" applyFont="1" applyBorder="1" applyAlignment="1" applyProtection="1">
      <alignment horizontal="left" vertical="top" wrapText="1"/>
    </xf>
    <xf numFmtId="1" fontId="0" fillId="0" borderId="20" xfId="0" applyNumberFormat="1" applyBorder="1" applyAlignment="1" applyProtection="1">
      <alignment horizontal="left" vertical="top" wrapText="1"/>
    </xf>
    <xf numFmtId="0" fontId="0" fillId="0" borderId="20" xfId="0" applyBorder="1" applyAlignment="1" applyProtection="1">
      <alignment horizontal="left" vertical="top" wrapText="1"/>
    </xf>
    <xf numFmtId="1" fontId="38" fillId="28" borderId="20" xfId="0" applyNumberFormat="1" applyFont="1" applyFill="1" applyBorder="1" applyAlignment="1" applyProtection="1">
      <alignment horizontal="left" vertical="top" wrapText="1"/>
    </xf>
  </cellXfs>
  <cellStyles count="50">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Normal" xfId="45" xr:uid="{784A1A97-CF81-4934-9C99-DED0EC76DE13}"/>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Моторринг" xfId="49" xr:uid="{82018A93-80DC-4905-B2E9-36D13D9BD275}"/>
    <cellStyle name="Название" xfId="1" builtinId="15" customBuiltin="1"/>
    <cellStyle name="Нейтральный" xfId="8" builtinId="28" customBuiltin="1"/>
    <cellStyle name="Обычный" xfId="0" builtinId="0" customBuiltin="1"/>
    <cellStyle name="Обычный 2" xfId="46" xr:uid="{8D232E2B-6CB1-4A40-91D2-22D9145F7C3C}"/>
    <cellStyle name="Обычный 3" xfId="47" xr:uid="{1C9BB72D-DEA7-4B24-A2DF-2B793E337AEA}"/>
    <cellStyle name="Обычный 4" xfId="44" xr:uid="{5160C251-EAAF-4E8D-B7DA-9FD97D6D4DD3}"/>
    <cellStyle name="Плохой" xfId="7" builtinId="27" customBuiltin="1"/>
    <cellStyle name="Пояснение" xfId="16" builtinId="53" customBuiltin="1"/>
    <cellStyle name="Примечание" xfId="15" builtinId="10" customBuiltin="1"/>
    <cellStyle name="Процентный" xfId="43" builtinId="5"/>
    <cellStyle name="Связанная ячейка" xfId="12" builtinId="24" customBuiltin="1"/>
    <cellStyle name="Текст предупреждения" xfId="14" builtinId="11" customBuiltin="1"/>
    <cellStyle name="Финансовый 2" xfId="48" xr:uid="{7FDDA695-545B-46F7-A93C-FE42C44493FA}"/>
    <cellStyle name="Хороший" xfId="6" builtinId="26" customBuiltin="1"/>
  </cellStyles>
  <dxfs count="31">
    <dxf>
      <font>
        <color rgb="FF9C0006"/>
      </font>
      <fill>
        <patternFill>
          <bgColor rgb="FFFFC7CE"/>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ont>
        <color rgb="FF9C0006"/>
      </font>
      <fill>
        <patternFill>
          <bgColor rgb="FFFFC7CE"/>
        </patternFill>
      </fill>
    </dxf>
    <dxf>
      <font>
        <color rgb="FF9C0006"/>
      </font>
      <fill>
        <patternFill>
          <bgColor rgb="FFFFC7CE"/>
        </patternFill>
      </fill>
    </dxf>
    <dxf>
      <fill>
        <patternFill patternType="lightDown">
          <fgColor rgb="FFFF0000"/>
        </patternFill>
      </fill>
    </dxf>
    <dxf>
      <fill>
        <patternFill>
          <bgColor theme="3" tint="0.59996337778862885"/>
        </patternFill>
      </fill>
    </dxf>
    <dxf>
      <fill>
        <patternFill patternType="lightDown">
          <fgColor rgb="FFFF0000"/>
        </patternFill>
      </fill>
    </dxf>
    <dxf>
      <font>
        <color rgb="FF9C0006"/>
      </font>
      <fill>
        <patternFill>
          <bgColor rgb="FFFFC7CE"/>
        </patternFill>
      </fill>
    </dxf>
    <dxf>
      <fill>
        <patternFill patternType="lightDown">
          <fgColor rgb="FFFF0000"/>
        </patternFill>
      </fill>
    </dxf>
    <dxf>
      <fill>
        <patternFill>
          <bgColor theme="3" tint="0.59996337778862885"/>
        </patternFill>
      </fill>
    </dxf>
    <dxf>
      <fill>
        <patternFill patternType="lightDown">
          <fgColor rgb="FFFF0000"/>
        </patternFill>
      </fill>
    </dxf>
    <dxf>
      <font>
        <color rgb="FF9C0006"/>
      </font>
      <fill>
        <patternFill>
          <bgColor rgb="FFFFC7CE"/>
        </patternFill>
      </fill>
    </dxf>
    <dxf>
      <font>
        <color rgb="FF9C0006"/>
      </font>
      <fill>
        <patternFill>
          <bgColor rgb="FFFFC7CE"/>
        </patternFill>
      </fill>
    </dxf>
    <dxf>
      <fill>
        <patternFill patternType="lightDown">
          <fgColor rgb="FFFF0000"/>
        </patternFill>
      </fill>
    </dxf>
    <dxf>
      <fill>
        <patternFill>
          <bgColor theme="3" tint="0.59996337778862885"/>
        </patternFill>
      </fill>
    </dxf>
    <dxf>
      <fill>
        <patternFill patternType="lightDown">
          <f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581025</xdr:colOff>
          <xdr:row>1</xdr:row>
          <xdr:rowOff>123825</xdr:rowOff>
        </xdr:from>
        <xdr:to>
          <xdr:col>9</xdr:col>
          <xdr:colOff>276225</xdr:colOff>
          <xdr:row>3</xdr:row>
          <xdr:rowOff>38100</xdr:rowOff>
        </xdr:to>
        <xdr:sp macro="" textlink="">
          <xdr:nvSpPr>
            <xdr:cNvPr id="6145" name="CommandButton1" hidden="1">
              <a:extLst>
                <a:ext uri="{63B3BB69-23CF-44E3-9099-C40C66FF867C}">
                  <a14:compatExt spid="_x0000_s6145"/>
                </a:ext>
                <a:ext uri="{FF2B5EF4-FFF2-40B4-BE49-F238E27FC236}">
                  <a16:creationId xmlns:a16="http://schemas.microsoft.com/office/drawing/2014/main" id="{00000000-0008-0000-05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B9D1EFC4-8399-4620-AAFA-FC02107E6360}" autoFormatId="16" applyNumberFormats="0" applyBorderFormats="0" applyFontFormats="0" applyPatternFormats="0" applyAlignmentFormats="0" applyWidthHeightFormats="0">
  <queryTableRefresh nextId="22">
    <queryTableFields count="21">
      <queryTableField id="1" name="Column1" tableColumnId="1"/>
      <queryTableField id="2" name="Column2" tableColumnId="2"/>
      <queryTableField id="3" name="Column3" tableColumnId="3"/>
      <queryTableField id="4" name="Column4" tableColumnId="4"/>
      <queryTableField id="5" name="#VALUE!" tableColumnId="5"/>
      <queryTableField id="6" name="#VALUE!_1"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 id="21" name="Column21" tableColumnId="2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59FE34-CE4A-4AFB-8B14-211CCE666DAB}" name="Gamma" displayName="Gamma" ref="A1:U1004" tableType="queryTable" totalsRowShown="0">
  <autoFilter ref="A1:U1004" xr:uid="{518BF495-4161-4CF0-A89F-95D45130B5FA}"/>
  <tableColumns count="21">
    <tableColumn id="1" xr3:uid="{B3F05FC4-792C-4B95-A9B0-935ADB22D65E}" uniqueName="1" name="Column1" queryTableFieldId="1" dataDxfId="30"/>
    <tableColumn id="2" xr3:uid="{B8A957F4-8159-4BC0-BFB3-8975004EFDD0}" uniqueName="2" name="Column2" queryTableFieldId="2"/>
    <tableColumn id="3" xr3:uid="{15FB7506-E194-4DBF-AA92-32C6C107C6B5}" uniqueName="3" name="Column3" queryTableFieldId="3" dataDxfId="29"/>
    <tableColumn id="4" xr3:uid="{4EF505AD-71C0-4678-A105-F17A8A148F92}" uniqueName="4" name="Column4" queryTableFieldId="4" dataDxfId="28"/>
    <tableColumn id="5" xr3:uid="{87E44BFE-F16F-4815-AA0E-34D35D3FCC18}" uniqueName="5" name="#VALUE!" queryTableFieldId="5" dataDxfId="27"/>
    <tableColumn id="6" xr3:uid="{8D1F4FFD-C6E5-4F85-968F-F35553E10DC8}" uniqueName="6" name="#VALUE!_1" queryTableFieldId="6" dataDxfId="26"/>
    <tableColumn id="7" xr3:uid="{973C7AB2-FA34-43F1-B25A-B3CE8FD5B859}" uniqueName="7" name="Column7" queryTableFieldId="7" dataDxfId="25"/>
    <tableColumn id="8" xr3:uid="{719DE47A-3D5D-4F49-9DC4-CC4E6A208E69}" uniqueName="8" name="Column8" queryTableFieldId="8"/>
    <tableColumn id="9" xr3:uid="{E2B07E32-7B2E-4D46-837F-B1EA8E857069}" uniqueName="9" name="Column9" queryTableFieldId="9"/>
    <tableColumn id="10" xr3:uid="{ACB4681C-126D-493A-8585-0892F656902C}" uniqueName="10" name="Column10" queryTableFieldId="10"/>
    <tableColumn id="11" xr3:uid="{E70D8BE5-08B2-4F31-8025-F6396EC9AEED}" uniqueName="11" name="Column11" queryTableFieldId="11"/>
    <tableColumn id="12" xr3:uid="{A5BBD8C6-68EA-4EE8-B98C-C2919D0A94B6}" uniqueName="12" name="Column12" queryTableFieldId="12"/>
    <tableColumn id="13" xr3:uid="{CC050917-50AB-4129-BA80-51226913FA77}" uniqueName="13" name="Column13" queryTableFieldId="13"/>
    <tableColumn id="14" xr3:uid="{5CBC7E29-2018-4DE8-AC3D-A72FE9CF6780}" uniqueName="14" name="Column14" queryTableFieldId="14"/>
    <tableColumn id="15" xr3:uid="{6B235E9E-999F-4FA5-8ED6-3F7B0E75AF5A}" uniqueName="15" name="Column15" queryTableFieldId="15"/>
    <tableColumn id="16" xr3:uid="{F3E9D845-ECCE-4238-BB5B-EF41E71CD8B1}" uniqueName="16" name="Column16" queryTableFieldId="16"/>
    <tableColumn id="17" xr3:uid="{A044D1BF-527A-4A74-BFF8-DC12BB273D07}" uniqueName="17" name="Column17" queryTableFieldId="17"/>
    <tableColumn id="18" xr3:uid="{A7EBEEB1-D9A7-473A-87D5-65EC4A8E1827}" uniqueName="18" name="Column18" queryTableFieldId="18"/>
    <tableColumn id="19" xr3:uid="{27C4B2D6-12BD-483B-848E-7176D075FE94}" uniqueName="19" name="Column19" queryTableFieldId="19"/>
    <tableColumn id="20" xr3:uid="{36F4F550-150F-42FA-9F95-5B29A6F89996}" uniqueName="20" name="Column20" queryTableFieldId="20"/>
    <tableColumn id="21" xr3:uid="{2B7346AB-2868-4D6C-BA0F-49587571E23D}" uniqueName="21" name="Column21" queryTableFieldId="21"/>
  </tableColumns>
  <tableStyleInfo name="TableStyleMedium7" showFirstColumn="0" showLastColumn="0" showRowStripes="1" showColumnStripes="0"/>
</table>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motorring.ru/product/24827-organayzer-spinku-kresla-ferrum-universalynyy" TargetMode="External"/><Relationship Id="rId21" Type="http://schemas.openxmlformats.org/officeDocument/2006/relationships/hyperlink" Target="https://ferrum.group/products/298" TargetMode="External"/><Relationship Id="rId42" Type="http://schemas.openxmlformats.org/officeDocument/2006/relationships/hyperlink" Target="https://ferrum.group/products/245" TargetMode="External"/><Relationship Id="rId63" Type="http://schemas.openxmlformats.org/officeDocument/2006/relationships/hyperlink" Target="https://ferrum.group/products/28" TargetMode="External"/><Relationship Id="rId84" Type="http://schemas.openxmlformats.org/officeDocument/2006/relationships/hyperlink" Target="https://ferrum.group/products/151" TargetMode="External"/><Relationship Id="rId138" Type="http://schemas.openxmlformats.org/officeDocument/2006/relationships/hyperlink" Target="https://motorring.ru/product/1707-elektronnaya-kombinaciya-priborov-gamma-616-lada-niva-4h4" TargetMode="External"/><Relationship Id="rId159" Type="http://schemas.openxmlformats.org/officeDocument/2006/relationships/hyperlink" Target="https://motorring.ru/product/34990-nakladki-porogi-ferrumgroup-dlya-lada-vesta" TargetMode="External"/><Relationship Id="rId170" Type="http://schemas.openxmlformats.org/officeDocument/2006/relationships/hyperlink" Target="https://motorring.ru/product/29219-modelynaya-ruchka-kpp-ferrum-grand-sport2-pylynikom-ekokoghi" TargetMode="External"/><Relationship Id="rId107" Type="http://schemas.openxmlformats.org/officeDocument/2006/relationships/hyperlink" Target="https://motorring.ru/product/10487-programmator-gamma-910-dlya" TargetMode="External"/><Relationship Id="rId11" Type="http://schemas.openxmlformats.org/officeDocument/2006/relationships/hyperlink" Target="https://ferrum.group/products/185" TargetMode="External"/><Relationship Id="rId32" Type="http://schemas.openxmlformats.org/officeDocument/2006/relationships/hyperlink" Target="https://ferrum.group/products/61" TargetMode="External"/><Relationship Id="rId53" Type="http://schemas.openxmlformats.org/officeDocument/2006/relationships/hyperlink" Target="https://ferrum.group/products/213" TargetMode="External"/><Relationship Id="rId74" Type="http://schemas.openxmlformats.org/officeDocument/2006/relationships/hyperlink" Target="https://ferrum.group/products/36" TargetMode="External"/><Relationship Id="rId128" Type="http://schemas.openxmlformats.org/officeDocument/2006/relationships/hyperlink" Target="https://motorring.ru/product/1404-bortovoy-kompyyuter-gamma-218t-lada-kalina" TargetMode="External"/><Relationship Id="rId149" Type="http://schemas.openxmlformats.org/officeDocument/2006/relationships/hyperlink" Target="https://motorring.ru/product/13253-elektronnaya-kombinaciya-priborov-gamma-823-lada-priora" TargetMode="External"/><Relationship Id="rId5" Type="http://schemas.openxmlformats.org/officeDocument/2006/relationships/hyperlink" Target="https://ferrum.group/products/218" TargetMode="External"/><Relationship Id="rId95" Type="http://schemas.openxmlformats.org/officeDocument/2006/relationships/hyperlink" Target="https://ferrum.group/products/108" TargetMode="External"/><Relationship Id="rId160" Type="http://schemas.openxmlformats.org/officeDocument/2006/relationships/hyperlink" Target="https://motorring.ru/product/34950-kombinaciya-priborov-949n-turbo-schitkom-lada-vesta" TargetMode="External"/><Relationship Id="rId181" Type="http://schemas.openxmlformats.org/officeDocument/2006/relationships/printerSettings" Target="../printerSettings/printerSettings1.bin"/><Relationship Id="rId22" Type="http://schemas.openxmlformats.org/officeDocument/2006/relationships/hyperlink" Target="https://ferrum.group/products/299" TargetMode="External"/><Relationship Id="rId43" Type="http://schemas.openxmlformats.org/officeDocument/2006/relationships/hyperlink" Target="https://ferrum.group/products/245" TargetMode="External"/><Relationship Id="rId64" Type="http://schemas.openxmlformats.org/officeDocument/2006/relationships/hyperlink" Target="https://ferrum.group/products/69" TargetMode="External"/><Relationship Id="rId118" Type="http://schemas.openxmlformats.org/officeDocument/2006/relationships/hyperlink" Target="https://motorring.ru/product/24845-nakladki-pedali-ferrum-amt-lada-vesta" TargetMode="External"/><Relationship Id="rId139" Type="http://schemas.openxmlformats.org/officeDocument/2006/relationships/hyperlink" Target="https://motorring.ru/product/16163-elektronnaya-kombinaciya-priborov-gamma-616-shevrole-niva" TargetMode="External"/><Relationship Id="rId85" Type="http://schemas.openxmlformats.org/officeDocument/2006/relationships/hyperlink" Target="https://ferrum.group/products/90" TargetMode="External"/><Relationship Id="rId150" Type="http://schemas.openxmlformats.org/officeDocument/2006/relationships/hyperlink" Target="https://motorring.ru/product/11462-elektronnaya-kombinaciya-priborov-gamma-851s-lada-granta" TargetMode="External"/><Relationship Id="rId171" Type="http://schemas.openxmlformats.org/officeDocument/2006/relationships/hyperlink" Target="https://motorring.ru/product/26109-modelynaya-ruchka-kpp-ferrum-grand-premium-pylynikom" TargetMode="External"/><Relationship Id="rId12" Type="http://schemas.openxmlformats.org/officeDocument/2006/relationships/hyperlink" Target="https://ferrum.group/products/182" TargetMode="External"/><Relationship Id="rId33" Type="http://schemas.openxmlformats.org/officeDocument/2006/relationships/hyperlink" Target="https://ferrum.group/products/77" TargetMode="External"/><Relationship Id="rId108" Type="http://schemas.openxmlformats.org/officeDocument/2006/relationships/hyperlink" Target="https://motorring.ru/product/24823-sumka-vkladysh-ferrum-bagaghnik-dlya-lada-kalina" TargetMode="External"/><Relationship Id="rId129" Type="http://schemas.openxmlformats.org/officeDocument/2006/relationships/hyperlink" Target="https://motorring.ru/product/1411-bortovoy-kompyyuter-gamma-223-shevrole-niva" TargetMode="External"/><Relationship Id="rId54" Type="http://schemas.openxmlformats.org/officeDocument/2006/relationships/hyperlink" Target="https://ferrum.group/products/148" TargetMode="External"/><Relationship Id="rId75" Type="http://schemas.openxmlformats.org/officeDocument/2006/relationships/hyperlink" Target="https://ferrum.group/products/123" TargetMode="External"/><Relationship Id="rId96" Type="http://schemas.openxmlformats.org/officeDocument/2006/relationships/hyperlink" Target="https://ferrum.group/products/309" TargetMode="External"/><Relationship Id="rId140" Type="http://schemas.openxmlformats.org/officeDocument/2006/relationships/hyperlink" Target="https://motorring.ru/product/11514-elektronnaya-kombinaciya-priborov-gamma-825s-shevrole-niva" TargetMode="External"/><Relationship Id="rId161" Type="http://schemas.openxmlformats.org/officeDocument/2006/relationships/hyperlink" Target="https://motorring.ru/product/40311-kombinaciya-priborov-826n-black-lada-4h4-niva-novoy-panel" TargetMode="External"/><Relationship Id="rId6" Type="http://schemas.openxmlformats.org/officeDocument/2006/relationships/hyperlink" Target="https://ferrum.group/products/220" TargetMode="External"/><Relationship Id="rId23" Type="http://schemas.openxmlformats.org/officeDocument/2006/relationships/hyperlink" Target="https://ferrum.group/products/301" TargetMode="External"/><Relationship Id="rId119" Type="http://schemas.openxmlformats.org/officeDocument/2006/relationships/hyperlink" Target="https://motorring.ru/product/24847-nakladki-pedali-ferrum-amt-1-6-lada-vesta" TargetMode="External"/><Relationship Id="rId44" Type="http://schemas.openxmlformats.org/officeDocument/2006/relationships/hyperlink" Target="https://ferrum.group/products/116" TargetMode="External"/><Relationship Id="rId60" Type="http://schemas.openxmlformats.org/officeDocument/2006/relationships/hyperlink" Target="https://ferrum.group/products/101" TargetMode="External"/><Relationship Id="rId65" Type="http://schemas.openxmlformats.org/officeDocument/2006/relationships/hyperlink" Target="https://ferrum.group/products/317" TargetMode="External"/><Relationship Id="rId81" Type="http://schemas.openxmlformats.org/officeDocument/2006/relationships/hyperlink" Target="https://ferrum.group/products/112" TargetMode="External"/><Relationship Id="rId86" Type="http://schemas.openxmlformats.org/officeDocument/2006/relationships/hyperlink" Target="https://ferrum.group/products/326" TargetMode="External"/><Relationship Id="rId130" Type="http://schemas.openxmlformats.org/officeDocument/2006/relationships/hyperlink" Target="https://motorring.ru/product/1416-parktronik-gamma-801-dlya-produkcii-gamma" TargetMode="External"/><Relationship Id="rId135" Type="http://schemas.openxmlformats.org/officeDocument/2006/relationships/hyperlink" Target="https://motorring.ru/product/1734-elektronnaya-kombinaciya-priborov-gamma-818-black-lada" TargetMode="External"/><Relationship Id="rId151" Type="http://schemas.openxmlformats.org/officeDocument/2006/relationships/hyperlink" Target="https://motorring.ru/product/16421-elektronnaya-kombinaciya-priborov-gamma-841-shevrole" TargetMode="External"/><Relationship Id="rId156" Type="http://schemas.openxmlformats.org/officeDocument/2006/relationships/hyperlink" Target="https://motorring.ru/product/39786-kombinaciya-priborov-gamma-940-limited-edition-lada-vesta" TargetMode="External"/><Relationship Id="rId177" Type="http://schemas.openxmlformats.org/officeDocument/2006/relationships/hyperlink" Target="https://motorring.ru/product/13254-organayzer-gamma-panely-lada-largus" TargetMode="External"/><Relationship Id="rId172" Type="http://schemas.openxmlformats.org/officeDocument/2006/relationships/hyperlink" Target="https://motorring.ru/product/27756-modelynaya-ruchka-kpp-ferrum-pylynikom-ekokoghi-dlya-lada" TargetMode="External"/><Relationship Id="rId13" Type="http://schemas.openxmlformats.org/officeDocument/2006/relationships/hyperlink" Target="https://ferrum.group/products/221" TargetMode="External"/><Relationship Id="rId18" Type="http://schemas.openxmlformats.org/officeDocument/2006/relationships/hyperlink" Target="https://ferrum.group/products/312" TargetMode="External"/><Relationship Id="rId39" Type="http://schemas.openxmlformats.org/officeDocument/2006/relationships/hyperlink" Target="https://ferrum.group/products/125" TargetMode="External"/><Relationship Id="rId109" Type="http://schemas.openxmlformats.org/officeDocument/2006/relationships/hyperlink" Target="https://motorring.ru/product/24822-sumki-vkladyshi-ferrum-bagaghnik-lada-vesta" TargetMode="External"/><Relationship Id="rId34" Type="http://schemas.openxmlformats.org/officeDocument/2006/relationships/hyperlink" Target="https://ferrum.group/products/62" TargetMode="External"/><Relationship Id="rId50" Type="http://schemas.openxmlformats.org/officeDocument/2006/relationships/hyperlink" Target="https://ferrum.group/products/271" TargetMode="External"/><Relationship Id="rId55" Type="http://schemas.openxmlformats.org/officeDocument/2006/relationships/hyperlink" Target="https://ferrum.group/products/131" TargetMode="External"/><Relationship Id="rId76" Type="http://schemas.openxmlformats.org/officeDocument/2006/relationships/hyperlink" Target="https://ferrum.group/products/91" TargetMode="External"/><Relationship Id="rId97" Type="http://schemas.openxmlformats.org/officeDocument/2006/relationships/hyperlink" Target="https://ferrum.group/products/320" TargetMode="External"/><Relationship Id="rId104" Type="http://schemas.openxmlformats.org/officeDocument/2006/relationships/hyperlink" Target="https://motorring.ru/product/13674-ruchki-regulirovki-bloka-otopitelya-chernoe-kolyco-shevrole" TargetMode="External"/><Relationship Id="rId120" Type="http://schemas.openxmlformats.org/officeDocument/2006/relationships/hyperlink" Target="https://motorring.ru/product/24837-nakladki-pedali-ferrum-amt-lada-iks-rey" TargetMode="External"/><Relationship Id="rId125" Type="http://schemas.openxmlformats.org/officeDocument/2006/relationships/hyperlink" Target="https://motorring.ru/product/1398" TargetMode="External"/><Relationship Id="rId141" Type="http://schemas.openxmlformats.org/officeDocument/2006/relationships/hyperlink" Target="https://motorring.ru/product/11463-elektronnaya-kombinaciya-priborov-gamma-825s-lada-niva-4h4" TargetMode="External"/><Relationship Id="rId146" Type="http://schemas.openxmlformats.org/officeDocument/2006/relationships/hyperlink" Target="https://motorring.ru/product/13252-elektronnaya-kombinaciya-priborov-gamma-gf851l-lada-granta" TargetMode="External"/><Relationship Id="rId167" Type="http://schemas.openxmlformats.org/officeDocument/2006/relationships/hyperlink" Target="https://motorring.ru/product/26108-modelynaya-ruchka-kpp-ferrum-grand-sport-pylynikom-ekokoghi" TargetMode="External"/><Relationship Id="rId7" Type="http://schemas.openxmlformats.org/officeDocument/2006/relationships/hyperlink" Target="https://ferrum.group/products/216" TargetMode="External"/><Relationship Id="rId71" Type="http://schemas.openxmlformats.org/officeDocument/2006/relationships/hyperlink" Target="https://ferrum.group/products/41" TargetMode="External"/><Relationship Id="rId92" Type="http://schemas.openxmlformats.org/officeDocument/2006/relationships/hyperlink" Target="https://ferrum.group/products/135" TargetMode="External"/><Relationship Id="rId162" Type="http://schemas.openxmlformats.org/officeDocument/2006/relationships/hyperlink" Target="https://motorring.ru/product/24859-datchiki-davleniya-vozduha-shinah-tpms-ferrum-group-lada" TargetMode="External"/><Relationship Id="rId2" Type="http://schemas.openxmlformats.org/officeDocument/2006/relationships/hyperlink" Target="https://ferrum.group/products/225" TargetMode="External"/><Relationship Id="rId29" Type="http://schemas.openxmlformats.org/officeDocument/2006/relationships/hyperlink" Target="https://ferrum.group/products/57" TargetMode="External"/><Relationship Id="rId24" Type="http://schemas.openxmlformats.org/officeDocument/2006/relationships/hyperlink" Target="https://ferrum.group/products/297" TargetMode="External"/><Relationship Id="rId40" Type="http://schemas.openxmlformats.org/officeDocument/2006/relationships/hyperlink" Target="https://ferrum.group/products/127" TargetMode="External"/><Relationship Id="rId45" Type="http://schemas.openxmlformats.org/officeDocument/2006/relationships/hyperlink" Target="https://ferrum.group/products/134" TargetMode="External"/><Relationship Id="rId66" Type="http://schemas.openxmlformats.org/officeDocument/2006/relationships/hyperlink" Target="https://ferrum.group/products/40" TargetMode="External"/><Relationship Id="rId87" Type="http://schemas.openxmlformats.org/officeDocument/2006/relationships/hyperlink" Target="https://ferrum.group/products/304" TargetMode="External"/><Relationship Id="rId110" Type="http://schemas.openxmlformats.org/officeDocument/2006/relationships/hyperlink" Target="https://motorring.ru/product/24825-sumki-organayzery-ferrum-bagaghnik-lada-niva-4h4" TargetMode="External"/><Relationship Id="rId115" Type="http://schemas.openxmlformats.org/officeDocument/2006/relationships/hyperlink" Target="https://motorring.ru/product/34418-modelynaya-ruchka-kpp-black-club-bielastik-vaz-2107" TargetMode="External"/><Relationship Id="rId131" Type="http://schemas.openxmlformats.org/officeDocument/2006/relationships/hyperlink" Target="https://motorring.ru/product/1400-bortovoy-kompyyuter-gamma-412-vaz-2110-2112-staroy-panelyyu" TargetMode="External"/><Relationship Id="rId136" Type="http://schemas.openxmlformats.org/officeDocument/2006/relationships/hyperlink" Target="https://motorring.ru/product/1736-elektronnaya-kombinaciya-priborov-gamma-818-silver-lada" TargetMode="External"/><Relationship Id="rId157" Type="http://schemas.openxmlformats.org/officeDocument/2006/relationships/hyperlink" Target="https://motorring.ru/product/34992-kolpachki-stupic-stilizovannye-ferrumgroup-dlya-lada-vesta" TargetMode="External"/><Relationship Id="rId178" Type="http://schemas.openxmlformats.org/officeDocument/2006/relationships/hyperlink" Target="https://motorring.ru/product/34989-shilydik-serebryanyy-stoyki-dlya-lada-vesta" TargetMode="External"/><Relationship Id="rId61" Type="http://schemas.openxmlformats.org/officeDocument/2006/relationships/hyperlink" Target="https://ferrum.group/products/117" TargetMode="External"/><Relationship Id="rId82" Type="http://schemas.openxmlformats.org/officeDocument/2006/relationships/hyperlink" Target="https://ferrum.group/products/64" TargetMode="External"/><Relationship Id="rId152" Type="http://schemas.openxmlformats.org/officeDocument/2006/relationships/hyperlink" Target="https://motorring.ru/product/12425-elektronnaya-kombinaciya-priborov-gamma-841-shevrole" TargetMode="External"/><Relationship Id="rId173" Type="http://schemas.openxmlformats.org/officeDocument/2006/relationships/hyperlink" Target="https://motorring.ru/product/16240-elektronnaya-kombinaciya-priborov-gamma-890-serebro-largus" TargetMode="External"/><Relationship Id="rId19" Type="http://schemas.openxmlformats.org/officeDocument/2006/relationships/hyperlink" Target="https://ferrum.group/products/312" TargetMode="External"/><Relationship Id="rId14" Type="http://schemas.openxmlformats.org/officeDocument/2006/relationships/hyperlink" Target="https://ferrum.group/products/136" TargetMode="External"/><Relationship Id="rId30" Type="http://schemas.openxmlformats.org/officeDocument/2006/relationships/hyperlink" Target="https://ferrum.group/products/100" TargetMode="External"/><Relationship Id="rId35" Type="http://schemas.openxmlformats.org/officeDocument/2006/relationships/hyperlink" Target="https://ferrum.group/products/86" TargetMode="External"/><Relationship Id="rId56" Type="http://schemas.openxmlformats.org/officeDocument/2006/relationships/hyperlink" Target="https://ferrum.group/products/98" TargetMode="External"/><Relationship Id="rId77" Type="http://schemas.openxmlformats.org/officeDocument/2006/relationships/hyperlink" Target="https://ferrum.group/products/130" TargetMode="External"/><Relationship Id="rId100" Type="http://schemas.openxmlformats.org/officeDocument/2006/relationships/hyperlink" Target="https://ferrum.group/products/272" TargetMode="External"/><Relationship Id="rId105" Type="http://schemas.openxmlformats.org/officeDocument/2006/relationships/hyperlink" Target="https://motorring.ru/product/13675-ruchki-regulirovki-bloka-otopitelya-serebryanoe-kolyco" TargetMode="External"/><Relationship Id="rId126" Type="http://schemas.openxmlformats.org/officeDocument/2006/relationships/hyperlink" Target="https://motorring.ru/product/1399" TargetMode="External"/><Relationship Id="rId147" Type="http://schemas.openxmlformats.org/officeDocument/2006/relationships/hyperlink" Target="https://motorring.ru/product/1728-elektronnaya-kombinaciya-priborov-gamma-822-lada-priora" TargetMode="External"/><Relationship Id="rId168" Type="http://schemas.openxmlformats.org/officeDocument/2006/relationships/hyperlink" Target="https://motorring.ru/product/34417-modelynaya-ruchka-kpp-ferrum-group-bielastik-vaz-2107" TargetMode="External"/><Relationship Id="rId8" Type="http://schemas.openxmlformats.org/officeDocument/2006/relationships/hyperlink" Target="https://ferrum.group/products/217" TargetMode="External"/><Relationship Id="rId51" Type="http://schemas.openxmlformats.org/officeDocument/2006/relationships/hyperlink" Target="https://ferrum.group/products/164" TargetMode="External"/><Relationship Id="rId72" Type="http://schemas.openxmlformats.org/officeDocument/2006/relationships/hyperlink" Target="https://ferrum.group/products/38" TargetMode="External"/><Relationship Id="rId93" Type="http://schemas.openxmlformats.org/officeDocument/2006/relationships/hyperlink" Target="https://ferrum.group/products/327" TargetMode="External"/><Relationship Id="rId98" Type="http://schemas.openxmlformats.org/officeDocument/2006/relationships/hyperlink" Target="https://ferrum.group/products/245" TargetMode="External"/><Relationship Id="rId121" Type="http://schemas.openxmlformats.org/officeDocument/2006/relationships/hyperlink" Target="https://motorring.ru/product/24848-nakladki-pedali-ferrum-mkpp-lada-vesta" TargetMode="External"/><Relationship Id="rId142" Type="http://schemas.openxmlformats.org/officeDocument/2006/relationships/hyperlink" Target="https://motorring.ru/product/11464-elektronnaya-kombinaciya-priborov-gamma-825s-vaz-2113-2115" TargetMode="External"/><Relationship Id="rId163" Type="http://schemas.openxmlformats.org/officeDocument/2006/relationships/hyperlink" Target="https://motorring.ru/product/24832-blok-upravleniya-otopitelem-ruchkami-ferrum-dlya-daewoo" TargetMode="External"/><Relationship Id="rId3" Type="http://schemas.openxmlformats.org/officeDocument/2006/relationships/hyperlink" Target="https://ferrum.group/products/224" TargetMode="External"/><Relationship Id="rId25" Type="http://schemas.openxmlformats.org/officeDocument/2006/relationships/hyperlink" Target="https://ferrum.group/products/53" TargetMode="External"/><Relationship Id="rId46" Type="http://schemas.openxmlformats.org/officeDocument/2006/relationships/hyperlink" Target="https://ferrum.group/products/167" TargetMode="External"/><Relationship Id="rId67" Type="http://schemas.openxmlformats.org/officeDocument/2006/relationships/hyperlink" Target="https://ferrum.group/products/47" TargetMode="External"/><Relationship Id="rId116" Type="http://schemas.openxmlformats.org/officeDocument/2006/relationships/hyperlink" Target="https://motorring.ru/product/34419-modelynaya-ruchka-kpp-ferrum-group-sport-dlya-lada-granta" TargetMode="External"/><Relationship Id="rId137" Type="http://schemas.openxmlformats.org/officeDocument/2006/relationships/hyperlink" Target="https://motorring.ru/product/1703-elektronnaya-kombinaciya-priborov-gamma-616-vaz-2113-2115" TargetMode="External"/><Relationship Id="rId158" Type="http://schemas.openxmlformats.org/officeDocument/2006/relationships/hyperlink" Target="https://motorring.ru/product/36273-kombinaciya-priborov-949n-limited-turbo-schitkom-lada-vesta" TargetMode="External"/><Relationship Id="rId20" Type="http://schemas.openxmlformats.org/officeDocument/2006/relationships/hyperlink" Target="https://ferrum.group/products/300" TargetMode="External"/><Relationship Id="rId41" Type="http://schemas.openxmlformats.org/officeDocument/2006/relationships/hyperlink" Target="https://ferrum.group/products/126" TargetMode="External"/><Relationship Id="rId62" Type="http://schemas.openxmlformats.org/officeDocument/2006/relationships/hyperlink" Target="https://ferrum.group/products/158" TargetMode="External"/><Relationship Id="rId83" Type="http://schemas.openxmlformats.org/officeDocument/2006/relationships/hyperlink" Target="https://ferrum.group/products/115" TargetMode="External"/><Relationship Id="rId88" Type="http://schemas.openxmlformats.org/officeDocument/2006/relationships/hyperlink" Target="https://ferrum.group/products/177" TargetMode="External"/><Relationship Id="rId111" Type="http://schemas.openxmlformats.org/officeDocument/2006/relationships/hyperlink" Target="https://motorring.ru/product/24826-sumki-vkladyshi-organayzery-derrum-bagaghnik-shevrole-niva" TargetMode="External"/><Relationship Id="rId132" Type="http://schemas.openxmlformats.org/officeDocument/2006/relationships/hyperlink" Target="https://motorring.ru/product/1410-bortovoy-kompyyuter-gamma-241-dlya-lacetti-chevrolet-rezzo" TargetMode="External"/><Relationship Id="rId153" Type="http://schemas.openxmlformats.org/officeDocument/2006/relationships/hyperlink" Target="https://motorring.ru/product/21693-elektronnaya-kombinaciya-priborov-gamma-851s-cross-lada" TargetMode="External"/><Relationship Id="rId174" Type="http://schemas.openxmlformats.org/officeDocument/2006/relationships/hyperlink" Target="https://motorring.ru/product/16239-elektronnaya-kombinaciya-priborov-gamma-890-hrom-largus" TargetMode="External"/><Relationship Id="rId179" Type="http://schemas.openxmlformats.org/officeDocument/2006/relationships/hyperlink" Target="https://ferrum.group/products/266" TargetMode="External"/><Relationship Id="rId15" Type="http://schemas.openxmlformats.org/officeDocument/2006/relationships/hyperlink" Target="https://ferrum.group/products/156" TargetMode="External"/><Relationship Id="rId36" Type="http://schemas.openxmlformats.org/officeDocument/2006/relationships/hyperlink" Target="https://ferrum.group/products/89" TargetMode="External"/><Relationship Id="rId57" Type="http://schemas.openxmlformats.org/officeDocument/2006/relationships/hyperlink" Target="https://ferrum.group/products/142" TargetMode="External"/><Relationship Id="rId106" Type="http://schemas.openxmlformats.org/officeDocument/2006/relationships/hyperlink" Target="https://motorring.ru/product/1743" TargetMode="External"/><Relationship Id="rId127" Type="http://schemas.openxmlformats.org/officeDocument/2006/relationships/hyperlink" Target="https://motorring.ru/product/1406-bortovoy-kompyyuter-gamma-270-lada-priora" TargetMode="External"/><Relationship Id="rId10" Type="http://schemas.openxmlformats.org/officeDocument/2006/relationships/hyperlink" Target="https://ferrum.group/products/194" TargetMode="External"/><Relationship Id="rId31" Type="http://schemas.openxmlformats.org/officeDocument/2006/relationships/hyperlink" Target="https://ferrum.group/products/118" TargetMode="External"/><Relationship Id="rId52" Type="http://schemas.openxmlformats.org/officeDocument/2006/relationships/hyperlink" Target="https://ferrum.group/products/161/" TargetMode="External"/><Relationship Id="rId73" Type="http://schemas.openxmlformats.org/officeDocument/2006/relationships/hyperlink" Target="https://ferrum.group/products/37" TargetMode="External"/><Relationship Id="rId78" Type="http://schemas.openxmlformats.org/officeDocument/2006/relationships/hyperlink" Target="https://ferrum.group/products/143" TargetMode="External"/><Relationship Id="rId94" Type="http://schemas.openxmlformats.org/officeDocument/2006/relationships/hyperlink" Target="https://ferrum.group/products/305" TargetMode="External"/><Relationship Id="rId99" Type="http://schemas.openxmlformats.org/officeDocument/2006/relationships/hyperlink" Target="https://ferrum.group/products/245" TargetMode="External"/><Relationship Id="rId101" Type="http://schemas.openxmlformats.org/officeDocument/2006/relationships/hyperlink" Target="https://motorring.ru/product/24833-ruchki-regulirovki-bloka-otopitelya-chrom-volkswagen-polo" TargetMode="External"/><Relationship Id="rId122" Type="http://schemas.openxmlformats.org/officeDocument/2006/relationships/hyperlink" Target="https://motorring.ru/product/26111-modelynaya-ruchka-kpp-ferrum-sport-pylynikom-ekokoghi" TargetMode="External"/><Relationship Id="rId143" Type="http://schemas.openxmlformats.org/officeDocument/2006/relationships/hyperlink" Target="https://motorring.ru/product/1709-elektronnaya-kombinaciya-priborov-gamma-607-vaz-2107" TargetMode="External"/><Relationship Id="rId148" Type="http://schemas.openxmlformats.org/officeDocument/2006/relationships/hyperlink" Target="https://motorring.ru/product/15479-elektronnaya-kombinaciya-priborov-gamma-822s-lada-priora" TargetMode="External"/><Relationship Id="rId164" Type="http://schemas.openxmlformats.org/officeDocument/2006/relationships/hyperlink" Target="https://motorring.ru/product/29216-modelynaya-ruchka-kpp-pylynikom-ferrum-limited-edition2" TargetMode="External"/><Relationship Id="rId169" Type="http://schemas.openxmlformats.org/officeDocument/2006/relationships/hyperlink" Target="https://motorring.ru/product/29216-modelynaya-ruchka-kpp-pylynikom-ferrum-limited-edition2" TargetMode="External"/><Relationship Id="rId4" Type="http://schemas.openxmlformats.org/officeDocument/2006/relationships/hyperlink" Target="https://ferrum.group/products/219" TargetMode="External"/><Relationship Id="rId9" Type="http://schemas.openxmlformats.org/officeDocument/2006/relationships/hyperlink" Target="https://ferrum.group/products/240" TargetMode="External"/><Relationship Id="rId180" Type="http://schemas.openxmlformats.org/officeDocument/2006/relationships/hyperlink" Target="https://ferrum.group/products/268" TargetMode="External"/><Relationship Id="rId26" Type="http://schemas.openxmlformats.org/officeDocument/2006/relationships/hyperlink" Target="https://ferrum.group/products/66" TargetMode="External"/><Relationship Id="rId47" Type="http://schemas.openxmlformats.org/officeDocument/2006/relationships/hyperlink" Target="https://ferrum.group/products/124" TargetMode="External"/><Relationship Id="rId68" Type="http://schemas.openxmlformats.org/officeDocument/2006/relationships/hyperlink" Target="https://ferrum.group/products/33" TargetMode="External"/><Relationship Id="rId89" Type="http://schemas.openxmlformats.org/officeDocument/2006/relationships/hyperlink" Target="https://ferrum.group/products/138" TargetMode="External"/><Relationship Id="rId112" Type="http://schemas.openxmlformats.org/officeDocument/2006/relationships/hyperlink" Target="https://motorring.ru/product/1729-perehodnik-gamma-921-dlya-kombinaciy-priborov-lada-priora" TargetMode="External"/><Relationship Id="rId133" Type="http://schemas.openxmlformats.org/officeDocument/2006/relationships/hyperlink" Target="https://motorring.ru/product/21704-elektronnaya-kombinaciya-priborov-gamma-651-tonirovannaya" TargetMode="External"/><Relationship Id="rId154" Type="http://schemas.openxmlformats.org/officeDocument/2006/relationships/hyperlink" Target="https://motorring.ru/product/21697-kombinaciya-priborov-gamma-940-cross-serie-lada-vesta" TargetMode="External"/><Relationship Id="rId175" Type="http://schemas.openxmlformats.org/officeDocument/2006/relationships/hyperlink" Target="https://motorring.ru/product/16358-elektronnaya-kombinaciya-priborov-gamma-890-chernye-kolyca" TargetMode="External"/><Relationship Id="rId16" Type="http://schemas.openxmlformats.org/officeDocument/2006/relationships/hyperlink" Target="https://ferrum.group/products/129" TargetMode="External"/><Relationship Id="rId37" Type="http://schemas.openxmlformats.org/officeDocument/2006/relationships/hyperlink" Target="https://ferrum.group/products/99" TargetMode="External"/><Relationship Id="rId58" Type="http://schemas.openxmlformats.org/officeDocument/2006/relationships/hyperlink" Target="https://ferrum.group/products/117" TargetMode="External"/><Relationship Id="rId79" Type="http://schemas.openxmlformats.org/officeDocument/2006/relationships/hyperlink" Target="https://ferrum.group/products/152" TargetMode="External"/><Relationship Id="rId102" Type="http://schemas.openxmlformats.org/officeDocument/2006/relationships/hyperlink" Target="https://motorring.ru/product/24828-ruchki-regulirovki-bloka-otopitelya-serebo-daewoo-chevrolet" TargetMode="External"/><Relationship Id="rId123" Type="http://schemas.openxmlformats.org/officeDocument/2006/relationships/hyperlink" Target="https://motorring.ru/product/14317-schitok-dlya-kombinacii-priborov-lada-granta" TargetMode="External"/><Relationship Id="rId144" Type="http://schemas.openxmlformats.org/officeDocument/2006/relationships/hyperlink" Target="https://motorring.ru/product/16426-elektronnaya-kombinaciya-priborov-gamma-821-lada-priora" TargetMode="External"/><Relationship Id="rId90" Type="http://schemas.openxmlformats.org/officeDocument/2006/relationships/hyperlink" Target="https://ferrum.group/products/153" TargetMode="External"/><Relationship Id="rId165" Type="http://schemas.openxmlformats.org/officeDocument/2006/relationships/hyperlink" Target="https://motorring.ru/product/26107-modelynaya-ruchka-kpp-ferrum-cross-serie-pylynikom-ekokoghi" TargetMode="External"/><Relationship Id="rId27" Type="http://schemas.openxmlformats.org/officeDocument/2006/relationships/hyperlink" Target="https://ferrum.group/products/66" TargetMode="External"/><Relationship Id="rId48" Type="http://schemas.openxmlformats.org/officeDocument/2006/relationships/hyperlink" Target="https://ferrum.group/products/110" TargetMode="External"/><Relationship Id="rId69" Type="http://schemas.openxmlformats.org/officeDocument/2006/relationships/hyperlink" Target="https://ferrum.group/products/317" TargetMode="External"/><Relationship Id="rId113" Type="http://schemas.openxmlformats.org/officeDocument/2006/relationships/hyperlink" Target="https://motorring.ru/product/1394-bortovoy-kompyyuter-gamma-240-dlya-zaz-sens-chevrolet-lanos" TargetMode="External"/><Relationship Id="rId134" Type="http://schemas.openxmlformats.org/officeDocument/2006/relationships/hyperlink" Target="https://motorring.ru/product/1738-elektronnaya-kombinaciya-priborov-gamma-619-lada-priora" TargetMode="External"/><Relationship Id="rId80" Type="http://schemas.openxmlformats.org/officeDocument/2006/relationships/hyperlink" Target="https://ferrum.group/products/113" TargetMode="External"/><Relationship Id="rId155" Type="http://schemas.openxmlformats.org/officeDocument/2006/relationships/hyperlink" Target="https://motorring.ru/product/21696-kombinaciya-priborov-gamma-940-exclusive-edition-lada-vesta" TargetMode="External"/><Relationship Id="rId176" Type="http://schemas.openxmlformats.org/officeDocument/2006/relationships/hyperlink" Target="https://motorring.ru/product/1416-parktronik-gamma-801-dlya-produkcii-gamma" TargetMode="External"/><Relationship Id="rId17" Type="http://schemas.openxmlformats.org/officeDocument/2006/relationships/hyperlink" Target="https://ferrum.group/products/172" TargetMode="External"/><Relationship Id="rId38" Type="http://schemas.openxmlformats.org/officeDocument/2006/relationships/hyperlink" Target="https://ferrum.group/products/133" TargetMode="External"/><Relationship Id="rId59" Type="http://schemas.openxmlformats.org/officeDocument/2006/relationships/hyperlink" Target="https://ferrum.group/products/101" TargetMode="External"/><Relationship Id="rId103" Type="http://schemas.openxmlformats.org/officeDocument/2006/relationships/hyperlink" Target="https://motorring.ru/product/10486-ruchki-regulirovki-bloka-otopitelya-serebristoe-kolyco" TargetMode="External"/><Relationship Id="rId124" Type="http://schemas.openxmlformats.org/officeDocument/2006/relationships/hyperlink" Target="https://motorring.ru/product/35089-schitok-otdelkoy-koghzama-dlya-kombinacii-priborov-lada-red" TargetMode="External"/><Relationship Id="rId70" Type="http://schemas.openxmlformats.org/officeDocument/2006/relationships/hyperlink" Target="https://ferrum.group/products/43" TargetMode="External"/><Relationship Id="rId91" Type="http://schemas.openxmlformats.org/officeDocument/2006/relationships/hyperlink" Target="https://ferrum.group/products/162" TargetMode="External"/><Relationship Id="rId145" Type="http://schemas.openxmlformats.org/officeDocument/2006/relationships/hyperlink" Target="https://motorring.ru/product/16422-elektronnaya-kombinaciya-priborov-gamma-651s-lada-granta" TargetMode="External"/><Relationship Id="rId166" Type="http://schemas.openxmlformats.org/officeDocument/2006/relationships/hyperlink" Target="https://motorring.ru/product/26106-modelynaya-ruchka-kpp-ferrum-exclusive-pylynikom-ekokoghi" TargetMode="External"/><Relationship Id="rId1" Type="http://schemas.openxmlformats.org/officeDocument/2006/relationships/hyperlink" Target="https://ferrum.group/products/222" TargetMode="External"/><Relationship Id="rId28" Type="http://schemas.openxmlformats.org/officeDocument/2006/relationships/hyperlink" Target="https://ferrum.group/products/66" TargetMode="External"/><Relationship Id="rId49" Type="http://schemas.openxmlformats.org/officeDocument/2006/relationships/hyperlink" Target="https://ferrum.group/products/166" TargetMode="External"/><Relationship Id="rId114" Type="http://schemas.openxmlformats.org/officeDocument/2006/relationships/hyperlink" Target="https://motorring.ru/product/34419-modelynaya-ruchka-kpp-ferrum-group-sport-dlya-lada-granta" TargetMode="External"/></Relationships>
</file>

<file path=xl/worksheets/_rels/sheet2.xml.rels><?xml version="1.0" encoding="UTF-8" standalone="yes"?>
<Relationships xmlns="http://schemas.openxmlformats.org/package/2006/relationships"><Relationship Id="rId13" Type="http://schemas.openxmlformats.org/officeDocument/2006/relationships/hyperlink" Target="https://ferrum.group/products/228" TargetMode="External"/><Relationship Id="rId18" Type="http://schemas.openxmlformats.org/officeDocument/2006/relationships/hyperlink" Target="https://ferrum.group/products/235" TargetMode="External"/><Relationship Id="rId26" Type="http://schemas.openxmlformats.org/officeDocument/2006/relationships/hyperlink" Target="https://ferrum.group/products/314" TargetMode="External"/><Relationship Id="rId39" Type="http://schemas.openxmlformats.org/officeDocument/2006/relationships/hyperlink" Target="https://ferrum.group/products/242" TargetMode="External"/><Relationship Id="rId21" Type="http://schemas.openxmlformats.org/officeDocument/2006/relationships/hyperlink" Target="https://ferrum.group/products/236" TargetMode="External"/><Relationship Id="rId34" Type="http://schemas.openxmlformats.org/officeDocument/2006/relationships/hyperlink" Target="https://ferrum.group/products/212" TargetMode="External"/><Relationship Id="rId42" Type="http://schemas.openxmlformats.org/officeDocument/2006/relationships/hyperlink" Target="https://ferrum.group/products/307" TargetMode="External"/><Relationship Id="rId47" Type="http://schemas.openxmlformats.org/officeDocument/2006/relationships/hyperlink" Target="https://ferrum.group/products/171" TargetMode="External"/><Relationship Id="rId50" Type="http://schemas.openxmlformats.org/officeDocument/2006/relationships/hyperlink" Target="https://ferrum.group/products/211" TargetMode="External"/><Relationship Id="rId55" Type="http://schemas.openxmlformats.org/officeDocument/2006/relationships/hyperlink" Target="https://ferrum.group/products/175" TargetMode="External"/><Relationship Id="rId63" Type="http://schemas.openxmlformats.org/officeDocument/2006/relationships/hyperlink" Target="https://ferrum.group/products/336" TargetMode="External"/><Relationship Id="rId7" Type="http://schemas.openxmlformats.org/officeDocument/2006/relationships/hyperlink" Target="https://ferrum.group/products/255" TargetMode="External"/><Relationship Id="rId2" Type="http://schemas.openxmlformats.org/officeDocument/2006/relationships/hyperlink" Target="https://ferrum.group/products/267" TargetMode="External"/><Relationship Id="rId16" Type="http://schemas.openxmlformats.org/officeDocument/2006/relationships/hyperlink" Target="https://ferrum.group/products/233" TargetMode="External"/><Relationship Id="rId29" Type="http://schemas.openxmlformats.org/officeDocument/2006/relationships/hyperlink" Target="https://ferrum.group/products/232" TargetMode="External"/><Relationship Id="rId11" Type="http://schemas.openxmlformats.org/officeDocument/2006/relationships/hyperlink" Target="https://ferrum.group/products/310" TargetMode="External"/><Relationship Id="rId24" Type="http://schemas.openxmlformats.org/officeDocument/2006/relationships/hyperlink" Target="https://ferrum.group/products/244" TargetMode="External"/><Relationship Id="rId32" Type="http://schemas.openxmlformats.org/officeDocument/2006/relationships/hyperlink" Target="https://ferrum.group/products/140" TargetMode="External"/><Relationship Id="rId37" Type="http://schemas.openxmlformats.org/officeDocument/2006/relationships/hyperlink" Target="https://ferrum.group/products/241" TargetMode="External"/><Relationship Id="rId40" Type="http://schemas.openxmlformats.org/officeDocument/2006/relationships/hyperlink" Target="https://ferrum.group/products/137" TargetMode="External"/><Relationship Id="rId45" Type="http://schemas.openxmlformats.org/officeDocument/2006/relationships/hyperlink" Target="https://ferrum.group/products/214" TargetMode="External"/><Relationship Id="rId53" Type="http://schemas.openxmlformats.org/officeDocument/2006/relationships/hyperlink" Target="https://ferrum.group/products/210" TargetMode="External"/><Relationship Id="rId58" Type="http://schemas.openxmlformats.org/officeDocument/2006/relationships/hyperlink" Target="https://ferrum.group/products/78" TargetMode="External"/><Relationship Id="rId5" Type="http://schemas.openxmlformats.org/officeDocument/2006/relationships/hyperlink" Target="https://ferrum.group/products/195" TargetMode="External"/><Relationship Id="rId61" Type="http://schemas.openxmlformats.org/officeDocument/2006/relationships/hyperlink" Target="https://ferrum.group/products/336" TargetMode="External"/><Relationship Id="rId19" Type="http://schemas.openxmlformats.org/officeDocument/2006/relationships/hyperlink" Target="https://ferrum.group/products/234" TargetMode="External"/><Relationship Id="rId14" Type="http://schemas.openxmlformats.org/officeDocument/2006/relationships/hyperlink" Target="https://ferrum.group/products/227" TargetMode="External"/><Relationship Id="rId22" Type="http://schemas.openxmlformats.org/officeDocument/2006/relationships/hyperlink" Target="https://ferrum.group/products/238" TargetMode="External"/><Relationship Id="rId27" Type="http://schemas.openxmlformats.org/officeDocument/2006/relationships/hyperlink" Target="https://ferrum.group/products/314" TargetMode="External"/><Relationship Id="rId30" Type="http://schemas.openxmlformats.org/officeDocument/2006/relationships/hyperlink" Target="https://ferrum.group/products/226" TargetMode="External"/><Relationship Id="rId35" Type="http://schemas.openxmlformats.org/officeDocument/2006/relationships/hyperlink" Target="https://ferrum.group/products/247" TargetMode="External"/><Relationship Id="rId43" Type="http://schemas.openxmlformats.org/officeDocument/2006/relationships/hyperlink" Target="https://ferrum.group/products/243" TargetMode="External"/><Relationship Id="rId48" Type="http://schemas.openxmlformats.org/officeDocument/2006/relationships/hyperlink" Target="https://ferrum.group/products/170" TargetMode="External"/><Relationship Id="rId56" Type="http://schemas.openxmlformats.org/officeDocument/2006/relationships/hyperlink" Target="https://ferrum.group/products/178" TargetMode="External"/><Relationship Id="rId64" Type="http://schemas.openxmlformats.org/officeDocument/2006/relationships/printerSettings" Target="../printerSettings/printerSettings2.bin"/><Relationship Id="rId8" Type="http://schemas.openxmlformats.org/officeDocument/2006/relationships/hyperlink" Target="https://ferrum.group/products/267" TargetMode="External"/><Relationship Id="rId51" Type="http://schemas.openxmlformats.org/officeDocument/2006/relationships/hyperlink" Target="https://ferrum.group/products/176" TargetMode="External"/><Relationship Id="rId3" Type="http://schemas.openxmlformats.org/officeDocument/2006/relationships/hyperlink" Target="https://ferrum.group/products/267" TargetMode="External"/><Relationship Id="rId12" Type="http://schemas.openxmlformats.org/officeDocument/2006/relationships/hyperlink" Target="https://ferrum.group/products/228" TargetMode="External"/><Relationship Id="rId17" Type="http://schemas.openxmlformats.org/officeDocument/2006/relationships/hyperlink" Target="https://ferrum.group/products/229" TargetMode="External"/><Relationship Id="rId25" Type="http://schemas.openxmlformats.org/officeDocument/2006/relationships/hyperlink" Target="https://ferrum.group/products/244" TargetMode="External"/><Relationship Id="rId33" Type="http://schemas.openxmlformats.org/officeDocument/2006/relationships/hyperlink" Target="https://ferrum.group/products/212" TargetMode="External"/><Relationship Id="rId38" Type="http://schemas.openxmlformats.org/officeDocument/2006/relationships/hyperlink" Target="https://ferrum.group/products/149" TargetMode="External"/><Relationship Id="rId46" Type="http://schemas.openxmlformats.org/officeDocument/2006/relationships/hyperlink" Target="https://ferrum.group/products/173" TargetMode="External"/><Relationship Id="rId59" Type="http://schemas.openxmlformats.org/officeDocument/2006/relationships/hyperlink" Target="https://ferrum.group/products/336" TargetMode="External"/><Relationship Id="rId20" Type="http://schemas.openxmlformats.org/officeDocument/2006/relationships/hyperlink" Target="https://ferrum.group/products/237" TargetMode="External"/><Relationship Id="rId41" Type="http://schemas.openxmlformats.org/officeDocument/2006/relationships/hyperlink" Target="https://ferrum.group/products/148" TargetMode="External"/><Relationship Id="rId54" Type="http://schemas.openxmlformats.org/officeDocument/2006/relationships/hyperlink" Target="https://ferrum.group/products/168" TargetMode="External"/><Relationship Id="rId62" Type="http://schemas.openxmlformats.org/officeDocument/2006/relationships/hyperlink" Target="https://ferrum.group/products/336" TargetMode="External"/><Relationship Id="rId1" Type="http://schemas.openxmlformats.org/officeDocument/2006/relationships/hyperlink" Target="https://ferrum.group/products/311" TargetMode="External"/><Relationship Id="rId6" Type="http://schemas.openxmlformats.org/officeDocument/2006/relationships/hyperlink" Target="https://ferrum.group/products/255" TargetMode="External"/><Relationship Id="rId15" Type="http://schemas.openxmlformats.org/officeDocument/2006/relationships/hyperlink" Target="https://ferrum.group/products/231" TargetMode="External"/><Relationship Id="rId23" Type="http://schemas.openxmlformats.org/officeDocument/2006/relationships/hyperlink" Target="https://ferrum.group/products/244" TargetMode="External"/><Relationship Id="rId28" Type="http://schemas.openxmlformats.org/officeDocument/2006/relationships/hyperlink" Target="https://ferrum.group/products/230" TargetMode="External"/><Relationship Id="rId36" Type="http://schemas.openxmlformats.org/officeDocument/2006/relationships/hyperlink" Target="https://ferrum.group/products/239" TargetMode="External"/><Relationship Id="rId49" Type="http://schemas.openxmlformats.org/officeDocument/2006/relationships/hyperlink" Target="https://ferrum.group/products/180" TargetMode="External"/><Relationship Id="rId57" Type="http://schemas.openxmlformats.org/officeDocument/2006/relationships/hyperlink" Target="https://ferrum.group/products/62" TargetMode="External"/><Relationship Id="rId10" Type="http://schemas.openxmlformats.org/officeDocument/2006/relationships/hyperlink" Target="https://ferrum.group/products/267" TargetMode="External"/><Relationship Id="rId31" Type="http://schemas.openxmlformats.org/officeDocument/2006/relationships/hyperlink" Target="https://ferrum.group/products/140" TargetMode="External"/><Relationship Id="rId44" Type="http://schemas.openxmlformats.org/officeDocument/2006/relationships/hyperlink" Target="https://ferrum.group/products/147" TargetMode="External"/><Relationship Id="rId52" Type="http://schemas.openxmlformats.org/officeDocument/2006/relationships/hyperlink" Target="https://ferrum.group/products/169" TargetMode="External"/><Relationship Id="rId60" Type="http://schemas.openxmlformats.org/officeDocument/2006/relationships/hyperlink" Target="https://ferrum.group/products/336" TargetMode="External"/><Relationship Id="rId4" Type="http://schemas.openxmlformats.org/officeDocument/2006/relationships/hyperlink" Target="https://ferrum.group/products/195" TargetMode="External"/><Relationship Id="rId9" Type="http://schemas.openxmlformats.org/officeDocument/2006/relationships/hyperlink" Target="https://ferrum.group/products/267"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http://www.ferrum-group.ru/"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6" Type="http://schemas.openxmlformats.org/officeDocument/2006/relationships/hyperlink" Target="https://motorring.ru/product/1399" TargetMode="External"/><Relationship Id="rId21" Type="http://schemas.openxmlformats.org/officeDocument/2006/relationships/hyperlink" Target="https://motorring.ru/product/24848-nakladki-pedali-ferrum-mkpp-lada-vesta" TargetMode="External"/><Relationship Id="rId42" Type="http://schemas.openxmlformats.org/officeDocument/2006/relationships/hyperlink" Target="https://motorring.ru/product/11464-elektronnaya-kombinaciya-priborov-gamma-825s-vaz-2113-2115" TargetMode="External"/><Relationship Id="rId47" Type="http://schemas.openxmlformats.org/officeDocument/2006/relationships/hyperlink" Target="https://motorring.ru/product/1728-elektronnaya-kombinaciya-priborov-gamma-822-lada-priora" TargetMode="External"/><Relationship Id="rId63" Type="http://schemas.openxmlformats.org/officeDocument/2006/relationships/hyperlink" Target="https://motorring.ru/product/24832-blok-upravleniya-otopitelem-ruchkami-ferrum-dlya-daewoo" TargetMode="External"/><Relationship Id="rId68" Type="http://schemas.openxmlformats.org/officeDocument/2006/relationships/hyperlink" Target="https://motorring.ru/product/34417-modelynaya-ruchka-kpp-ferrum-group-bielastik-vaz-2107" TargetMode="External"/><Relationship Id="rId16" Type="http://schemas.openxmlformats.org/officeDocument/2006/relationships/hyperlink" Target="https://motorring.ru/product/34419-modelynaya-ruchka-kpp-ferrum-group-sport-dlya-lada-granta" TargetMode="External"/><Relationship Id="rId11" Type="http://schemas.openxmlformats.org/officeDocument/2006/relationships/hyperlink" Target="https://motorring.ru/product/24826-sumki-vkladyshi-organayzery-derrum-bagaghnik-shevrole-niva" TargetMode="External"/><Relationship Id="rId32" Type="http://schemas.openxmlformats.org/officeDocument/2006/relationships/hyperlink" Target="https://motorring.ru/product/1410-bortovoy-kompyyuter-gamma-241-dlya-lacetti-chevrolet-rezzo" TargetMode="External"/><Relationship Id="rId37" Type="http://schemas.openxmlformats.org/officeDocument/2006/relationships/hyperlink" Target="https://motorring.ru/product/1703-elektronnaya-kombinaciya-priborov-gamma-616-vaz-2113-2115" TargetMode="External"/><Relationship Id="rId53" Type="http://schemas.openxmlformats.org/officeDocument/2006/relationships/hyperlink" Target="https://motorring.ru/product/21693-elektronnaya-kombinaciya-priborov-gamma-851s-cross-lada" TargetMode="External"/><Relationship Id="rId58" Type="http://schemas.openxmlformats.org/officeDocument/2006/relationships/hyperlink" Target="https://motorring.ru/product/36273-kombinaciya-priborov-949n-limited-turbo-schitkom-lada-vesta" TargetMode="External"/><Relationship Id="rId74" Type="http://schemas.openxmlformats.org/officeDocument/2006/relationships/hyperlink" Target="https://motorring.ru/product/16239-elektronnaya-kombinaciya-priborov-gamma-890-hrom-largus" TargetMode="External"/><Relationship Id="rId79" Type="http://schemas.openxmlformats.org/officeDocument/2006/relationships/printerSettings" Target="../printerSettings/printerSettings4.bin"/><Relationship Id="rId5" Type="http://schemas.openxmlformats.org/officeDocument/2006/relationships/hyperlink" Target="https://motorring.ru/product/13675-ruchki-regulirovki-bloka-otopitelya-serebryanoe-kolyco" TargetMode="External"/><Relationship Id="rId61" Type="http://schemas.openxmlformats.org/officeDocument/2006/relationships/hyperlink" Target="https://motorring.ru/product/40311-kombinaciya-priborov-826n-black-lada-4h4-niva-novoy-panel" TargetMode="External"/><Relationship Id="rId82" Type="http://schemas.openxmlformats.org/officeDocument/2006/relationships/control" Target="../activeX/activeX1.xml"/><Relationship Id="rId19" Type="http://schemas.openxmlformats.org/officeDocument/2006/relationships/hyperlink" Target="https://motorring.ru/product/24847-nakladki-pedali-ferrum-amt-1-6-lada-vesta" TargetMode="External"/><Relationship Id="rId14" Type="http://schemas.openxmlformats.org/officeDocument/2006/relationships/hyperlink" Target="https://motorring.ru/product/34419-modelynaya-ruchka-kpp-ferrum-group-sport-dlya-lada-granta" TargetMode="External"/><Relationship Id="rId22" Type="http://schemas.openxmlformats.org/officeDocument/2006/relationships/hyperlink" Target="https://motorring.ru/product/26111-modelynaya-ruchka-kpp-ferrum-sport-pylynikom-ekokoghi" TargetMode="External"/><Relationship Id="rId27" Type="http://schemas.openxmlformats.org/officeDocument/2006/relationships/hyperlink" Target="https://motorring.ru/product/1406-bortovoy-kompyyuter-gamma-270-lada-priora" TargetMode="External"/><Relationship Id="rId30" Type="http://schemas.openxmlformats.org/officeDocument/2006/relationships/hyperlink" Target="https://motorring.ru/product/1416-parktronik-gamma-801-dlya-produkcii-gamma" TargetMode="External"/><Relationship Id="rId35" Type="http://schemas.openxmlformats.org/officeDocument/2006/relationships/hyperlink" Target="https://motorring.ru/product/1734-elektronnaya-kombinaciya-priborov-gamma-818-black-lada" TargetMode="External"/><Relationship Id="rId43" Type="http://schemas.openxmlformats.org/officeDocument/2006/relationships/hyperlink" Target="https://motorring.ru/product/1709-elektronnaya-kombinaciya-priborov-gamma-607-vaz-2107" TargetMode="External"/><Relationship Id="rId48" Type="http://schemas.openxmlformats.org/officeDocument/2006/relationships/hyperlink" Target="https://motorring.ru/product/15479-elektronnaya-kombinaciya-priborov-gamma-822s-lada-priora" TargetMode="External"/><Relationship Id="rId56" Type="http://schemas.openxmlformats.org/officeDocument/2006/relationships/hyperlink" Target="https://motorring.ru/product/39786-kombinaciya-priborov-gamma-940-limited-edition-lada-vesta" TargetMode="External"/><Relationship Id="rId64" Type="http://schemas.openxmlformats.org/officeDocument/2006/relationships/hyperlink" Target="https://motorring.ru/product/29216-modelynaya-ruchka-kpp-pylynikom-ferrum-limited-edition2" TargetMode="External"/><Relationship Id="rId69" Type="http://schemas.openxmlformats.org/officeDocument/2006/relationships/hyperlink" Target="https://motorring.ru/product/29216-modelynaya-ruchka-kpp-pylynikom-ferrum-limited-edition2" TargetMode="External"/><Relationship Id="rId77" Type="http://schemas.openxmlformats.org/officeDocument/2006/relationships/hyperlink" Target="https://motorring.ru/product/13254-organayzer-gamma-panely-lada-largus" TargetMode="External"/><Relationship Id="rId8" Type="http://schemas.openxmlformats.org/officeDocument/2006/relationships/hyperlink" Target="https://motorring.ru/product/24823-sumka-vkladysh-ferrum-bagaghnik-dlya-lada-kalina" TargetMode="External"/><Relationship Id="rId51" Type="http://schemas.openxmlformats.org/officeDocument/2006/relationships/hyperlink" Target="https://motorring.ru/product/16421-elektronnaya-kombinaciya-priborov-gamma-841-shevrole" TargetMode="External"/><Relationship Id="rId72" Type="http://schemas.openxmlformats.org/officeDocument/2006/relationships/hyperlink" Target="https://motorring.ru/product/27756-modelynaya-ruchka-kpp-ferrum-pylynikom-ekokoghi-dlya-lada" TargetMode="External"/><Relationship Id="rId80" Type="http://schemas.openxmlformats.org/officeDocument/2006/relationships/drawing" Target="../drawings/drawing1.xml"/><Relationship Id="rId3" Type="http://schemas.openxmlformats.org/officeDocument/2006/relationships/hyperlink" Target="https://motorring.ru/product/10486-ruchki-regulirovki-bloka-otopitelya-serebristoe-kolyco" TargetMode="External"/><Relationship Id="rId12" Type="http://schemas.openxmlformats.org/officeDocument/2006/relationships/hyperlink" Target="https://motorring.ru/product/1729-perehodnik-gamma-921-dlya-kombinaciy-priborov-lada-priora" TargetMode="External"/><Relationship Id="rId17" Type="http://schemas.openxmlformats.org/officeDocument/2006/relationships/hyperlink" Target="https://motorring.ru/product/24827-organayzer-spinku-kresla-ferrum-universalynyy" TargetMode="External"/><Relationship Id="rId25" Type="http://schemas.openxmlformats.org/officeDocument/2006/relationships/hyperlink" Target="https://motorring.ru/product/1398" TargetMode="External"/><Relationship Id="rId33" Type="http://schemas.openxmlformats.org/officeDocument/2006/relationships/hyperlink" Target="https://motorring.ru/product/21704-elektronnaya-kombinaciya-priborov-gamma-651-tonirovannaya" TargetMode="External"/><Relationship Id="rId38" Type="http://schemas.openxmlformats.org/officeDocument/2006/relationships/hyperlink" Target="https://motorring.ru/product/1707-elektronnaya-kombinaciya-priborov-gamma-616-lada-niva-4h4" TargetMode="External"/><Relationship Id="rId46" Type="http://schemas.openxmlformats.org/officeDocument/2006/relationships/hyperlink" Target="https://motorring.ru/product/13252-elektronnaya-kombinaciya-priborov-gamma-gf851l-lada-granta" TargetMode="External"/><Relationship Id="rId59" Type="http://schemas.openxmlformats.org/officeDocument/2006/relationships/hyperlink" Target="https://motorring.ru/product/34990-nakladki-porogi-ferrumgroup-dlya-lada-vesta" TargetMode="External"/><Relationship Id="rId67" Type="http://schemas.openxmlformats.org/officeDocument/2006/relationships/hyperlink" Target="https://motorring.ru/product/26108-modelynaya-ruchka-kpp-ferrum-grand-sport-pylynikom-ekokoghi" TargetMode="External"/><Relationship Id="rId20" Type="http://schemas.openxmlformats.org/officeDocument/2006/relationships/hyperlink" Target="https://motorring.ru/product/24837-nakladki-pedali-ferrum-amt-lada-iks-rey" TargetMode="External"/><Relationship Id="rId41" Type="http://schemas.openxmlformats.org/officeDocument/2006/relationships/hyperlink" Target="https://motorring.ru/product/11463-elektronnaya-kombinaciya-priborov-gamma-825s-lada-niva-4h4" TargetMode="External"/><Relationship Id="rId54" Type="http://schemas.openxmlformats.org/officeDocument/2006/relationships/hyperlink" Target="https://motorring.ru/product/21697-kombinaciya-priborov-gamma-940-cross-serie-lada-vesta" TargetMode="External"/><Relationship Id="rId62" Type="http://schemas.openxmlformats.org/officeDocument/2006/relationships/hyperlink" Target="https://motorring.ru/product/24859-datchiki-davleniya-vozduha-shinah-tpms-ferrum-group-lada" TargetMode="External"/><Relationship Id="rId70" Type="http://schemas.openxmlformats.org/officeDocument/2006/relationships/hyperlink" Target="https://motorring.ru/product/29219-modelynaya-ruchka-kpp-ferrum-grand-sport2-pylynikom-ekokoghi" TargetMode="External"/><Relationship Id="rId75" Type="http://schemas.openxmlformats.org/officeDocument/2006/relationships/hyperlink" Target="https://motorring.ru/product/16358-elektronnaya-kombinaciya-priborov-gamma-890-chernye-kolyca" TargetMode="External"/><Relationship Id="rId83" Type="http://schemas.openxmlformats.org/officeDocument/2006/relationships/image" Target="../media/image1.emf"/><Relationship Id="rId1" Type="http://schemas.openxmlformats.org/officeDocument/2006/relationships/hyperlink" Target="https://motorring.ru/product/24833-ruchki-regulirovki-bloka-otopitelya-chrom-volkswagen-polo" TargetMode="External"/><Relationship Id="rId6" Type="http://schemas.openxmlformats.org/officeDocument/2006/relationships/hyperlink" Target="https://motorring.ru/product/1743" TargetMode="External"/><Relationship Id="rId15" Type="http://schemas.openxmlformats.org/officeDocument/2006/relationships/hyperlink" Target="https://motorring.ru/product/34418-modelynaya-ruchka-kpp-black-club-bielastik-vaz-2107" TargetMode="External"/><Relationship Id="rId23" Type="http://schemas.openxmlformats.org/officeDocument/2006/relationships/hyperlink" Target="https://motorring.ru/product/14317-schitok-dlya-kombinacii-priborov-lada-granta" TargetMode="External"/><Relationship Id="rId28" Type="http://schemas.openxmlformats.org/officeDocument/2006/relationships/hyperlink" Target="https://motorring.ru/product/1404-bortovoy-kompyyuter-gamma-218t-lada-kalina" TargetMode="External"/><Relationship Id="rId36" Type="http://schemas.openxmlformats.org/officeDocument/2006/relationships/hyperlink" Target="https://motorring.ru/product/1736-elektronnaya-kombinaciya-priborov-gamma-818-silver-lada" TargetMode="External"/><Relationship Id="rId49" Type="http://schemas.openxmlformats.org/officeDocument/2006/relationships/hyperlink" Target="https://motorring.ru/product/13253-elektronnaya-kombinaciya-priborov-gamma-823-lada-priora" TargetMode="External"/><Relationship Id="rId57" Type="http://schemas.openxmlformats.org/officeDocument/2006/relationships/hyperlink" Target="https://motorring.ru/product/34992-kolpachki-stupic-stilizovannye-ferrumgroup-dlya-lada-vesta" TargetMode="External"/><Relationship Id="rId10" Type="http://schemas.openxmlformats.org/officeDocument/2006/relationships/hyperlink" Target="https://motorring.ru/product/24825-sumki-organayzery-ferrum-bagaghnik-lada-niva-4h4" TargetMode="External"/><Relationship Id="rId31" Type="http://schemas.openxmlformats.org/officeDocument/2006/relationships/hyperlink" Target="https://motorring.ru/product/1400-bortovoy-kompyyuter-gamma-412-vaz-2110-2112-staroy-panelyyu" TargetMode="External"/><Relationship Id="rId44" Type="http://schemas.openxmlformats.org/officeDocument/2006/relationships/hyperlink" Target="https://motorring.ru/product/16426-elektronnaya-kombinaciya-priborov-gamma-821-lada-priora" TargetMode="External"/><Relationship Id="rId52" Type="http://schemas.openxmlformats.org/officeDocument/2006/relationships/hyperlink" Target="https://motorring.ru/product/12425-elektronnaya-kombinaciya-priborov-gamma-841-shevrole" TargetMode="External"/><Relationship Id="rId60" Type="http://schemas.openxmlformats.org/officeDocument/2006/relationships/hyperlink" Target="https://motorring.ru/product/34950-kombinaciya-priborov-949n-turbo-schitkom-lada-vesta" TargetMode="External"/><Relationship Id="rId65" Type="http://schemas.openxmlformats.org/officeDocument/2006/relationships/hyperlink" Target="https://motorring.ru/product/26107-modelynaya-ruchka-kpp-ferrum-cross-serie-pylynikom-ekokoghi" TargetMode="External"/><Relationship Id="rId73" Type="http://schemas.openxmlformats.org/officeDocument/2006/relationships/hyperlink" Target="https://motorring.ru/product/16240-elektronnaya-kombinaciya-priborov-gamma-890-serebro-largus" TargetMode="External"/><Relationship Id="rId78" Type="http://schemas.openxmlformats.org/officeDocument/2006/relationships/hyperlink" Target="https://motorring.ru/product/34989-shilydik-serebryanyy-stoyki-dlya-lada-vesta" TargetMode="External"/><Relationship Id="rId81" Type="http://schemas.openxmlformats.org/officeDocument/2006/relationships/vmlDrawing" Target="../drawings/vmlDrawing1.vml"/><Relationship Id="rId4" Type="http://schemas.openxmlformats.org/officeDocument/2006/relationships/hyperlink" Target="https://motorring.ru/product/13674-ruchki-regulirovki-bloka-otopitelya-chernoe-kolyco-shevrole" TargetMode="External"/><Relationship Id="rId9" Type="http://schemas.openxmlformats.org/officeDocument/2006/relationships/hyperlink" Target="https://motorring.ru/product/24822-sumki-vkladyshi-ferrum-bagaghnik-lada-vesta" TargetMode="External"/><Relationship Id="rId13" Type="http://schemas.openxmlformats.org/officeDocument/2006/relationships/hyperlink" Target="https://motorring.ru/product/1394-bortovoy-kompyyuter-gamma-240-dlya-zaz-sens-chevrolet-lanos" TargetMode="External"/><Relationship Id="rId18" Type="http://schemas.openxmlformats.org/officeDocument/2006/relationships/hyperlink" Target="https://motorring.ru/product/24845-nakladki-pedali-ferrum-amt-lada-vesta" TargetMode="External"/><Relationship Id="rId39" Type="http://schemas.openxmlformats.org/officeDocument/2006/relationships/hyperlink" Target="https://motorring.ru/product/16163-elektronnaya-kombinaciya-priborov-gamma-616-shevrole-niva" TargetMode="External"/><Relationship Id="rId34" Type="http://schemas.openxmlformats.org/officeDocument/2006/relationships/hyperlink" Target="https://motorring.ru/product/1738-elektronnaya-kombinaciya-priborov-gamma-619-lada-priora" TargetMode="External"/><Relationship Id="rId50" Type="http://schemas.openxmlformats.org/officeDocument/2006/relationships/hyperlink" Target="https://motorring.ru/product/11462-elektronnaya-kombinaciya-priborov-gamma-851s-lada-granta" TargetMode="External"/><Relationship Id="rId55" Type="http://schemas.openxmlformats.org/officeDocument/2006/relationships/hyperlink" Target="https://motorring.ru/product/21696-kombinaciya-priborov-gamma-940-exclusive-edition-lada-vesta" TargetMode="External"/><Relationship Id="rId76" Type="http://schemas.openxmlformats.org/officeDocument/2006/relationships/hyperlink" Target="https://motorring.ru/product/1416-parktronik-gamma-801-dlya-produkcii-gamma" TargetMode="External"/><Relationship Id="rId7" Type="http://schemas.openxmlformats.org/officeDocument/2006/relationships/hyperlink" Target="https://motorring.ru/product/10487-programmator-gamma-910-dlya" TargetMode="External"/><Relationship Id="rId71" Type="http://schemas.openxmlformats.org/officeDocument/2006/relationships/hyperlink" Target="https://motorring.ru/product/26109-modelynaya-ruchka-kpp-ferrum-grand-premium-pylynikom" TargetMode="External"/><Relationship Id="rId2" Type="http://schemas.openxmlformats.org/officeDocument/2006/relationships/hyperlink" Target="https://motorring.ru/product/24828-ruchki-regulirovki-bloka-otopitelya-serebo-daewoo-chevrolet" TargetMode="External"/><Relationship Id="rId29" Type="http://schemas.openxmlformats.org/officeDocument/2006/relationships/hyperlink" Target="https://motorring.ru/product/1411-bortovoy-kompyyuter-gamma-223-shevrole-niva" TargetMode="External"/><Relationship Id="rId24" Type="http://schemas.openxmlformats.org/officeDocument/2006/relationships/hyperlink" Target="https://motorring.ru/product/35089-schitok-otdelkoy-koghzama-dlya-kombinacii-priborov-lada-red" TargetMode="External"/><Relationship Id="rId40" Type="http://schemas.openxmlformats.org/officeDocument/2006/relationships/hyperlink" Target="https://motorring.ru/product/11514-elektronnaya-kombinaciya-priborov-gamma-825s-shevrole-niva" TargetMode="External"/><Relationship Id="rId45" Type="http://schemas.openxmlformats.org/officeDocument/2006/relationships/hyperlink" Target="https://motorring.ru/product/16422-elektronnaya-kombinaciya-priborov-gamma-651s-lada-granta" TargetMode="External"/><Relationship Id="rId66" Type="http://schemas.openxmlformats.org/officeDocument/2006/relationships/hyperlink" Target="https://motorring.ru/product/26106-modelynaya-ruchka-kpp-ferrum-exclusive-pylynikom-ekokoghi" TargetMode="Externa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
  <dimension ref="A1:AA154"/>
  <sheetViews>
    <sheetView workbookViewId="0">
      <pane xSplit="1" ySplit="2" topLeftCell="E137" activePane="bottomRight" state="frozen"/>
      <selection pane="topRight" activeCell="B1" sqref="B1"/>
      <selection pane="bottomLeft" activeCell="A2" sqref="A2"/>
      <selection pane="bottomRight" activeCell="Z148" sqref="Z2:AA148"/>
    </sheetView>
  </sheetViews>
  <sheetFormatPr defaultRowHeight="15" outlineLevelCol="1"/>
  <cols>
    <col min="1" max="1" width="7.42578125" customWidth="1"/>
    <col min="2" max="2" width="7.42578125" style="36" customWidth="1"/>
    <col min="3" max="3" width="16.42578125" customWidth="1"/>
    <col min="4" max="4" width="45.5703125" customWidth="1"/>
    <col min="5" max="5" width="5.5703125" customWidth="1" outlineLevel="1"/>
    <col min="6" max="6" width="9.85546875" customWidth="1" outlineLevel="1"/>
    <col min="7" max="7" width="15.85546875" style="105" customWidth="1" outlineLevel="1"/>
    <col min="8" max="8" width="8.85546875" customWidth="1" outlineLevel="1"/>
    <col min="9" max="9" width="10.7109375" customWidth="1"/>
    <col min="10" max="11" width="10.42578125" customWidth="1"/>
    <col min="12" max="13" width="8.7109375" customWidth="1"/>
    <col min="14" max="14" width="7.42578125" style="201" customWidth="1"/>
    <col min="15" max="15" width="7.42578125" style="93" customWidth="1"/>
    <col min="16" max="16" width="6.7109375" bestFit="1" customWidth="1" outlineLevel="1"/>
    <col min="17" max="17" width="7" bestFit="1" customWidth="1" outlineLevel="1"/>
    <col min="18" max="19" width="7.42578125" bestFit="1" customWidth="1" outlineLevel="1"/>
    <col min="20" max="20" width="8" bestFit="1" customWidth="1"/>
    <col min="21" max="21" width="11.140625" style="93" bestFit="1" customWidth="1"/>
    <col min="22" max="22" width="5.140625" customWidth="1"/>
    <col min="23" max="23" width="9.42578125" bestFit="1" customWidth="1"/>
    <col min="24" max="24" width="9.42578125" customWidth="1"/>
    <col min="25" max="25" width="6.7109375" customWidth="1"/>
    <col min="26" max="26" width="7.140625" bestFit="1" customWidth="1"/>
    <col min="27" max="27" width="16.42578125" style="36" customWidth="1"/>
    <col min="28" max="32" width="6.5703125" bestFit="1" customWidth="1"/>
    <col min="33" max="33" width="8.42578125" bestFit="1" customWidth="1"/>
    <col min="34" max="34" width="9.42578125" bestFit="1" customWidth="1"/>
    <col min="35" max="35" width="8.5703125" bestFit="1" customWidth="1"/>
    <col min="36" max="36" width="8.28515625" bestFit="1" customWidth="1"/>
  </cols>
  <sheetData>
    <row r="1" spans="1:27">
      <c r="A1" s="7"/>
      <c r="B1" s="84">
        <v>2</v>
      </c>
      <c r="D1" s="84">
        <v>3</v>
      </c>
      <c r="E1" s="36">
        <v>4</v>
      </c>
      <c r="F1" s="36">
        <v>14</v>
      </c>
      <c r="G1" s="97" t="s">
        <v>605</v>
      </c>
      <c r="H1" s="77">
        <f>COUNT(Кат!Z:Z,Торг!$AE:$AE)/COUNT(Кат!A:A,Торг!B:B)</f>
        <v>0.88472906403940887</v>
      </c>
      <c r="I1" s="15"/>
      <c r="J1" s="15"/>
      <c r="K1" s="15"/>
      <c r="L1" s="11" t="e">
        <f>K1/I1</f>
        <v>#DIV/0!</v>
      </c>
      <c r="M1" s="132">
        <v>1.1499999999999999</v>
      </c>
      <c r="N1" s="192">
        <f t="shared" ref="N1" si="0">I1*M1*100/93</f>
        <v>0</v>
      </c>
      <c r="O1" s="190">
        <f>IF(N1&lt;=1000,(ROUNDUP(N1,-2)-1),(ROUNDUP(N1,-2)-10))</f>
        <v>-1</v>
      </c>
      <c r="P1" s="36">
        <v>8</v>
      </c>
      <c r="Q1" s="36">
        <v>9</v>
      </c>
      <c r="R1" s="93"/>
      <c r="S1" s="93"/>
      <c r="T1" s="7"/>
      <c r="U1" s="208"/>
      <c r="V1" s="45"/>
      <c r="W1" s="79" t="str">
        <f>_xlfn.CONCAT(ROUND(MIN(W3:W8959)*100,0),"-",ROUND(MAX(W3:W8959)*100,0),"%")</f>
        <v>15-60%</v>
      </c>
      <c r="X1" s="79" t="str">
        <f>_xlfn.CONCAT(ROUND(SUBTOTAL(5,X3:X8959)*100,0)," - ",ROUND(SUBTOTAL(4,X3:X8959)*100,0),"%")</f>
        <v>-22 - 8%</v>
      </c>
      <c r="Y1" s="79" t="str">
        <f>_xlfn.CONCAT(ROUND(SUBTOTAL(5,Y3:Y89959)*100,0)," - ",ROUND(SUBTOTAL(4,Y3:Y89959)*100,0),"%")</f>
        <v>-6 - 48%</v>
      </c>
      <c r="Z1" s="80"/>
    </row>
    <row r="2" spans="1:27" ht="38.25">
      <c r="A2" s="3" t="s">
        <v>0</v>
      </c>
      <c r="B2" s="85" t="s">
        <v>475</v>
      </c>
      <c r="C2" s="4" t="s">
        <v>98</v>
      </c>
      <c r="D2" s="85" t="s">
        <v>394</v>
      </c>
      <c r="E2" s="85"/>
      <c r="F2" s="85"/>
      <c r="G2" s="95" t="s">
        <v>98</v>
      </c>
      <c r="H2" s="3" t="s">
        <v>502</v>
      </c>
      <c r="I2" s="5" t="s">
        <v>160</v>
      </c>
      <c r="J2" s="24" t="s">
        <v>161</v>
      </c>
      <c r="K2" s="24"/>
      <c r="L2" s="6" t="s">
        <v>163</v>
      </c>
      <c r="M2" s="118" t="s">
        <v>162</v>
      </c>
      <c r="N2" s="193" t="s">
        <v>503</v>
      </c>
      <c r="O2" s="191" t="s">
        <v>270</v>
      </c>
      <c r="P2" s="85" t="s">
        <v>607</v>
      </c>
      <c r="Q2" s="85" t="s">
        <v>608</v>
      </c>
      <c r="R2" s="94" t="s">
        <v>498</v>
      </c>
      <c r="S2" s="94" t="s">
        <v>498</v>
      </c>
      <c r="T2" s="1">
        <v>7.0000000000000007E-2</v>
      </c>
      <c r="U2" s="209" t="s">
        <v>650</v>
      </c>
      <c r="V2" s="91" t="s">
        <v>651</v>
      </c>
      <c r="W2" s="81" t="s">
        <v>287</v>
      </c>
      <c r="X2" s="81" t="s">
        <v>500</v>
      </c>
      <c r="Y2" s="81" t="s">
        <v>499</v>
      </c>
      <c r="Z2" s="82" t="s">
        <v>606</v>
      </c>
    </row>
    <row r="3" spans="1:27" ht="26.25" thickBot="1">
      <c r="A3" s="41">
        <v>225793</v>
      </c>
      <c r="B3" s="87">
        <f>VLOOKUP($A3,'Выгр Кат'!$A:$R,B$1,0)</f>
        <v>23748</v>
      </c>
      <c r="C3" s="8" t="s">
        <v>156</v>
      </c>
      <c r="D3" s="86" t="str">
        <f>VLOOKUP($A3,'Выгр Кат'!$A:$R,D$1,0)</f>
        <v>Шильд FG "Ferrum Group" для Лада Веста</v>
      </c>
      <c r="E3" s="87" t="str">
        <f>VLOOKUP($A3,'Выгр Кат'!$A:$R,E$1,0)</f>
        <v>Y</v>
      </c>
      <c r="F3" s="87" t="str">
        <f>VLOOKUP($A3,'Выгр Кат'!$A:$R,F$1,0)</f>
        <v>1</v>
      </c>
      <c r="G3" s="100" t="s">
        <v>331</v>
      </c>
      <c r="H3" s="67"/>
      <c r="I3" s="26">
        <f>VLOOKUP(G3,'Прайс Gamma'!$A:$F,4,0)</f>
        <v>1450</v>
      </c>
      <c r="J3" s="26">
        <f>K3+H3</f>
        <v>1750</v>
      </c>
      <c r="K3" s="26">
        <f>VLOOKUP(G3,'Прайс Gamma'!$A:$F,5,0)</f>
        <v>1750</v>
      </c>
      <c r="L3" s="11">
        <f>J3/I3</f>
        <v>1.2068965517241379</v>
      </c>
      <c r="M3" s="132">
        <f>IF(L3&lt;=$M$1,$M$1,L3)</f>
        <v>1.2068965517241379</v>
      </c>
      <c r="N3" s="194">
        <f>Z3*1.03</f>
        <v>2049.7000000000003</v>
      </c>
      <c r="O3" s="190">
        <f>IF(N3&lt;=1000,(ROUNDUP(N3,-1)-1),(ROUNDUP(N3,-2)-10))</f>
        <v>2090</v>
      </c>
      <c r="P3" s="87">
        <f>VLOOKUP($A3,'Выгр Кат'!$A:$R,P$1,0)</f>
        <v>1450</v>
      </c>
      <c r="Q3" s="87">
        <f>VLOOKUP($A3,'Выгр Кат'!$A:$R,Q$1,0)</f>
        <v>2090</v>
      </c>
      <c r="R3" s="94">
        <f>P3-I3</f>
        <v>0</v>
      </c>
      <c r="S3" s="94">
        <f>Q3-O3</f>
        <v>0</v>
      </c>
      <c r="T3" s="20">
        <f t="shared" ref="T3:T47" si="1">O3*(1-$T$2)</f>
        <v>1943.6999999999998</v>
      </c>
      <c r="U3" s="209">
        <f>IFERROR(VLOOKUP($A3,'Из ГУГЛа'!$B:$G,6,0)*V3,VLOOKUP($A3,'Из ГУГЛа'!$B:$G,6,0))</f>
        <v>1990</v>
      </c>
      <c r="V3" s="75">
        <v>1</v>
      </c>
      <c r="W3" s="83">
        <f>IFERROR(T3/I3-1,"")</f>
        <v>0.34048275862068955</v>
      </c>
      <c r="X3" s="83">
        <f>IFERROR((Z3-T3)/Z3,"")</f>
        <v>2.3266331658291547E-2</v>
      </c>
      <c r="Y3" s="83">
        <f>IFERROR(IF(Z3="","",Z3/I3-1),"")</f>
        <v>0.37241379310344835</v>
      </c>
      <c r="Z3" s="48">
        <v>1990</v>
      </c>
      <c r="AA3" s="36" t="s">
        <v>505</v>
      </c>
    </row>
    <row r="4" spans="1:27" ht="31.5" thickTop="1" thickBot="1">
      <c r="A4" s="41">
        <v>181920</v>
      </c>
      <c r="B4" s="87">
        <f>VLOOKUP($A4,'Выгр Кат'!$A:$R,B$1,0)</f>
        <v>12621</v>
      </c>
      <c r="C4" s="18" t="s">
        <v>234</v>
      </c>
      <c r="D4" s="86" t="str">
        <f>VLOOKUP($A4,'Выгр Кат'!$A:$R,D$1,0)</f>
        <v>Органайзер "Ferrum Group" на панель для Лада Ларгус</v>
      </c>
      <c r="E4" s="87" t="str">
        <f>VLOOKUP($A4,'Выгр Кат'!$A:$R,E$1,0)</f>
        <v>Y</v>
      </c>
      <c r="F4" s="87" t="str">
        <f>VLOOKUP($A4,'Выгр Кат'!$A:$R,F$1,0)</f>
        <v>1</v>
      </c>
      <c r="G4" s="100" t="s">
        <v>339</v>
      </c>
      <c r="H4" s="67"/>
      <c r="I4" s="26">
        <f>VLOOKUP(G4,'Прайс Gamma'!$A:$F,4,0)</f>
        <v>1250</v>
      </c>
      <c r="J4" s="26">
        <f t="shared" ref="J4:J23" si="2">K4+H4</f>
        <v>1850</v>
      </c>
      <c r="K4" s="26">
        <f>VLOOKUP(G4,'Прайс Gamma'!$A:$F,5,0)</f>
        <v>1850</v>
      </c>
      <c r="L4" s="11">
        <f t="shared" ref="L4:L58" si="3">J4/I4</f>
        <v>1.48</v>
      </c>
      <c r="M4" s="132">
        <f t="shared" ref="M4:M67" si="4">IF(L4&lt;=$M$1,$M$1,L4)</f>
        <v>1.48</v>
      </c>
      <c r="N4" s="194">
        <f>Z4</f>
        <v>1849</v>
      </c>
      <c r="O4" s="190">
        <f t="shared" ref="O4:O58" si="5">IF(N4&lt;=1000,(ROUNDUP(N4,-1)-1),(ROUNDUP(N4,-2)-10))</f>
        <v>1890</v>
      </c>
      <c r="P4" s="87">
        <f>VLOOKUP($A4,'Выгр Кат'!$A:$R,P$1,0)</f>
        <v>1250</v>
      </c>
      <c r="Q4" s="87">
        <f>VLOOKUP($A4,'Выгр Кат'!$A:$R,Q$1,0)</f>
        <v>1890</v>
      </c>
      <c r="R4" s="94">
        <f t="shared" ref="R4:R62" si="6">P4-I4</f>
        <v>0</v>
      </c>
      <c r="S4" s="94">
        <f t="shared" ref="S4:S62" si="7">Q4-O4</f>
        <v>0</v>
      </c>
      <c r="T4" s="20">
        <f t="shared" si="1"/>
        <v>1757.6999999999998</v>
      </c>
      <c r="U4" s="209">
        <f>IFERROR(VLOOKUP($A4,'Из ГУГЛа'!$B:$G,6,0)*V4,VLOOKUP($A4,'Из ГУГЛа'!$B:$G,6,0))</f>
        <v>1849</v>
      </c>
      <c r="V4" s="75">
        <v>1</v>
      </c>
      <c r="W4" s="83">
        <f t="shared" ref="W4:W58" si="8">IFERROR(T4/I4-1,"")</f>
        <v>0.40615999999999985</v>
      </c>
      <c r="X4" s="83">
        <f t="shared" ref="X4:X58" si="9">IFERROR((Z4-T4)/Z4,"")</f>
        <v>4.9378042184964943E-2</v>
      </c>
      <c r="Y4" s="83">
        <f t="shared" ref="Y4:Y58" si="10">IFERROR(IF(Z4="","",Z4/I4-1),"")</f>
        <v>0.47920000000000007</v>
      </c>
      <c r="Z4" s="2">
        <v>1849</v>
      </c>
      <c r="AA4" s="36" t="s">
        <v>504</v>
      </c>
    </row>
    <row r="5" spans="1:27" ht="46.5" thickTop="1" thickBot="1">
      <c r="A5" s="41">
        <v>201301</v>
      </c>
      <c r="B5" s="87">
        <f>VLOOKUP($A5,'Выгр Кат'!$A:$R,B$1,0)</f>
        <v>7103</v>
      </c>
      <c r="C5" s="18" t="s">
        <v>236</v>
      </c>
      <c r="D5" s="86" t="str">
        <f>VLOOKUP($A5,'Выгр Кат'!$A:$R,D$1,0)</f>
        <v>Программатор "Ferrum Group" GF 910 для комбинаций приборов "Ferrum Group"</v>
      </c>
      <c r="E5" s="87" t="str">
        <f>VLOOKUP($A5,'Выгр Кат'!$A:$R,E$1,0)</f>
        <v>Y</v>
      </c>
      <c r="F5" s="87" t="str">
        <f>VLOOKUP($A5,'Выгр Кат'!$A:$R,F$1,0)</f>
        <v>1</v>
      </c>
      <c r="G5" s="100" t="s">
        <v>323</v>
      </c>
      <c r="H5" s="67"/>
      <c r="I5" s="26">
        <f>VLOOKUP(G5,'Прайс Gamma'!$A:$F,4,0)</f>
        <v>1400</v>
      </c>
      <c r="J5" s="26">
        <f t="shared" si="2"/>
        <v>2000</v>
      </c>
      <c r="K5" s="26">
        <f>VLOOKUP(G5,'Прайс Gamma'!$A:$F,5,0)</f>
        <v>2000</v>
      </c>
      <c r="L5" s="11">
        <f t="shared" si="3"/>
        <v>1.4285714285714286</v>
      </c>
      <c r="M5" s="132">
        <f t="shared" si="4"/>
        <v>1.4285714285714286</v>
      </c>
      <c r="N5" s="195">
        <f t="shared" ref="N5" si="11">Z5*1.05</f>
        <v>1984.5</v>
      </c>
      <c r="O5" s="190">
        <f t="shared" si="5"/>
        <v>1990</v>
      </c>
      <c r="P5" s="87">
        <f>VLOOKUP($A5,'Выгр Кат'!$A:$R,P$1,0)</f>
        <v>1400</v>
      </c>
      <c r="Q5" s="87">
        <f>VLOOKUP($A5,'Выгр Кат'!$A:$R,Q$1,0)</f>
        <v>1990</v>
      </c>
      <c r="R5" s="94">
        <f t="shared" si="6"/>
        <v>0</v>
      </c>
      <c r="S5" s="94">
        <f t="shared" si="7"/>
        <v>0</v>
      </c>
      <c r="T5" s="20">
        <f t="shared" si="1"/>
        <v>1850.6999999999998</v>
      </c>
      <c r="U5" s="209">
        <f>IFERROR(VLOOKUP($A5,'Из ГУГЛа'!$B:$G,6,0)*V5,VLOOKUP($A5,'Из ГУГЛа'!$B:$G,6,0))</f>
        <v>1890</v>
      </c>
      <c r="V5" s="75">
        <v>1</v>
      </c>
      <c r="W5" s="83">
        <f t="shared" si="8"/>
        <v>0.32192857142857134</v>
      </c>
      <c r="X5" s="83">
        <f t="shared" si="9"/>
        <v>2.0793650793650888E-2</v>
      </c>
      <c r="Y5" s="83">
        <f t="shared" si="10"/>
        <v>0.35000000000000009</v>
      </c>
      <c r="Z5" s="2">
        <v>1890</v>
      </c>
      <c r="AA5" s="36" t="s">
        <v>516</v>
      </c>
    </row>
    <row r="6" spans="1:27" ht="31.5" thickTop="1" thickBot="1">
      <c r="A6" s="41">
        <v>201302</v>
      </c>
      <c r="B6" s="87">
        <f>VLOOKUP($A6,'Выгр Кат'!$A:$R,B$1,0)</f>
        <v>7100</v>
      </c>
      <c r="C6" s="18" t="s">
        <v>237</v>
      </c>
      <c r="D6" s="86" t="str">
        <f>VLOOKUP($A6,'Выгр Кат'!$A:$R,D$1,0)</f>
        <v>Программатор "Ferrum Group" GF 911</v>
      </c>
      <c r="E6" s="87" t="str">
        <f>VLOOKUP($A6,'Выгр Кат'!$A:$R,E$1,0)</f>
        <v>Y</v>
      </c>
      <c r="F6" s="87" t="str">
        <f>VLOOKUP($A6,'Выгр Кат'!$A:$R,F$1,0)</f>
        <v>1</v>
      </c>
      <c r="G6" s="100" t="s">
        <v>321</v>
      </c>
      <c r="H6" s="67"/>
      <c r="I6" s="26">
        <f>VLOOKUP(G6,'Прайс Gamma'!$A:$F,4,0)</f>
        <v>1600</v>
      </c>
      <c r="J6" s="26">
        <f t="shared" si="2"/>
        <v>2120</v>
      </c>
      <c r="K6" s="26">
        <f>VLOOKUP(G6,'Прайс Gamma'!$A:$F,5,0)</f>
        <v>2120</v>
      </c>
      <c r="L6" s="11">
        <f t="shared" si="3"/>
        <v>1.325</v>
      </c>
      <c r="M6" s="132">
        <f t="shared" si="4"/>
        <v>1.325</v>
      </c>
      <c r="N6" s="192">
        <f t="shared" ref="N6:N58" si="12">I6*M6*100/93</f>
        <v>2279.5698924731182</v>
      </c>
      <c r="O6" s="190">
        <f t="shared" si="5"/>
        <v>2290</v>
      </c>
      <c r="P6" s="87">
        <f>VLOOKUP($A6,'Выгр Кат'!$A:$R,P$1,0)</f>
        <v>1600</v>
      </c>
      <c r="Q6" s="87">
        <f>VLOOKUP($A6,'Выгр Кат'!$A:$R,Q$1,0)</f>
        <v>2290</v>
      </c>
      <c r="R6" s="94">
        <f t="shared" si="6"/>
        <v>0</v>
      </c>
      <c r="S6" s="94">
        <f t="shared" si="7"/>
        <v>0</v>
      </c>
      <c r="T6" s="20">
        <f t="shared" si="1"/>
        <v>2129.6999999999998</v>
      </c>
      <c r="U6" s="209">
        <f>IFERROR(VLOOKUP($A6,'Из ГУГЛа'!$B:$G,6,0)*V6,VLOOKUP($A6,'Из ГУГЛа'!$B:$G,6,0))</f>
        <v>2190</v>
      </c>
      <c r="V6" s="75">
        <v>1</v>
      </c>
      <c r="W6" s="83">
        <f t="shared" si="8"/>
        <v>0.33106249999999982</v>
      </c>
      <c r="X6" s="83">
        <f t="shared" si="9"/>
        <v>2.753424657534255E-2</v>
      </c>
      <c r="Y6" s="83">
        <f t="shared" si="10"/>
        <v>0.36874999999999991</v>
      </c>
      <c r="Z6" s="2">
        <v>2190</v>
      </c>
      <c r="AA6" s="36" t="s">
        <v>515</v>
      </c>
    </row>
    <row r="7" spans="1:27" ht="46.5" thickTop="1" thickBot="1">
      <c r="A7" s="41">
        <v>212893</v>
      </c>
      <c r="B7" s="87">
        <f>VLOOKUP($A7,'Выгр Кат'!$A:$R,B$1,0)</f>
        <v>23735</v>
      </c>
      <c r="C7" s="18" t="s">
        <v>213</v>
      </c>
      <c r="D7" s="86" t="str">
        <f>VLOOKUP($A7,'Выгр Кат'!$A:$R,D$1,0)</f>
        <v>Ручки отопителя "Ferrum Group" для Volkswagen Polo Sedan</v>
      </c>
      <c r="E7" s="87" t="str">
        <f>VLOOKUP($A7,'Выгр Кат'!$A:$R,E$1,0)</f>
        <v>Y</v>
      </c>
      <c r="F7" s="87" t="str">
        <f>VLOOKUP($A7,'Выгр Кат'!$A:$R,F$1,0)</f>
        <v>1</v>
      </c>
      <c r="G7" s="100" t="s">
        <v>338</v>
      </c>
      <c r="H7" s="67"/>
      <c r="I7" s="26">
        <f>VLOOKUP(G7,'Прайс Gamma'!$A:$F,4,0)</f>
        <v>2450</v>
      </c>
      <c r="J7" s="26">
        <f t="shared" si="2"/>
        <v>2900</v>
      </c>
      <c r="K7" s="26">
        <f>VLOOKUP(G7,'Прайс Gamma'!$A:$F,5,0)</f>
        <v>2900</v>
      </c>
      <c r="L7" s="11">
        <f t="shared" si="3"/>
        <v>1.1836734693877551</v>
      </c>
      <c r="M7" s="132">
        <f t="shared" si="4"/>
        <v>1.1836734693877551</v>
      </c>
      <c r="N7" s="194">
        <f>Z7*1.03</f>
        <v>3285.7000000000003</v>
      </c>
      <c r="O7" s="190">
        <f t="shared" si="5"/>
        <v>3290</v>
      </c>
      <c r="P7" s="87">
        <f>VLOOKUP($A7,'Выгр Кат'!$A:$R,P$1,0)</f>
        <v>2450</v>
      </c>
      <c r="Q7" s="87">
        <f>VLOOKUP($A7,'Выгр Кат'!$A:$R,Q$1,0)</f>
        <v>3290</v>
      </c>
      <c r="R7" s="94">
        <f t="shared" si="6"/>
        <v>0</v>
      </c>
      <c r="S7" s="94">
        <f t="shared" si="7"/>
        <v>0</v>
      </c>
      <c r="T7" s="20">
        <f t="shared" si="1"/>
        <v>3059.7</v>
      </c>
      <c r="U7" s="209">
        <f>IFERROR(VLOOKUP($A7,'Из ГУГЛа'!$B:$G,6,0)*V7,VLOOKUP($A7,'Из ГУГЛа'!$B:$G,6,0))</f>
        <v>3190</v>
      </c>
      <c r="V7" s="75">
        <v>1</v>
      </c>
      <c r="W7" s="83">
        <f t="shared" si="8"/>
        <v>0.24885714285714289</v>
      </c>
      <c r="X7" s="83">
        <f t="shared" si="9"/>
        <v>4.0846394984326073E-2</v>
      </c>
      <c r="Y7" s="83">
        <f t="shared" si="10"/>
        <v>0.30204081632653068</v>
      </c>
      <c r="Z7" s="2">
        <v>3190</v>
      </c>
      <c r="AA7" s="36" t="s">
        <v>506</v>
      </c>
    </row>
    <row r="8" spans="1:27" ht="46.5" thickTop="1" thickBot="1">
      <c r="A8" s="41">
        <v>212885</v>
      </c>
      <c r="B8" s="87">
        <f>VLOOKUP($A8,'Выгр Кат'!$A:$R,B$1,0)</f>
        <v>23733</v>
      </c>
      <c r="C8" s="18" t="s">
        <v>238</v>
      </c>
      <c r="D8" s="86" t="str">
        <f>VLOOKUP($A8,'Выгр Кат'!$A:$R,D$1,0)</f>
        <v>Ручки отопителя "Ferrum Group" (матовые) для Hyundai Solaris</v>
      </c>
      <c r="E8" s="87" t="str">
        <f>VLOOKUP($A8,'Выгр Кат'!$A:$R,E$1,0)</f>
        <v>Y</v>
      </c>
      <c r="F8" s="87" t="str">
        <f>VLOOKUP($A8,'Выгр Кат'!$A:$R,F$1,0)</f>
        <v>0</v>
      </c>
      <c r="G8" s="100" t="s">
        <v>378</v>
      </c>
      <c r="H8" s="67"/>
      <c r="I8" s="26">
        <f>VLOOKUP(G8,'Прайс Gamma'!$A:$F,4,0)</f>
        <v>2200</v>
      </c>
      <c r="J8" s="26">
        <f t="shared" si="2"/>
        <v>3500</v>
      </c>
      <c r="K8" s="26">
        <f>VLOOKUP(G8,'Прайс Gamma'!$A:$F,5,0)</f>
        <v>3500</v>
      </c>
      <c r="L8" s="11">
        <f t="shared" si="3"/>
        <v>1.5909090909090908</v>
      </c>
      <c r="M8" s="132">
        <f t="shared" si="4"/>
        <v>1.5909090909090908</v>
      </c>
      <c r="N8" s="195">
        <f t="shared" ref="N8" si="13">Z8*1.05</f>
        <v>3034.5</v>
      </c>
      <c r="O8" s="190">
        <f t="shared" si="5"/>
        <v>3090</v>
      </c>
      <c r="P8" s="87">
        <f>VLOOKUP($A8,'Выгр Кат'!$A:$R,P$1,0)</f>
        <v>2200</v>
      </c>
      <c r="Q8" s="87">
        <f>VLOOKUP($A8,'Выгр Кат'!$A:$R,Q$1,0)</f>
        <v>3090</v>
      </c>
      <c r="R8" s="94">
        <f t="shared" si="6"/>
        <v>0</v>
      </c>
      <c r="S8" s="94">
        <f t="shared" si="7"/>
        <v>0</v>
      </c>
      <c r="T8" s="20">
        <f t="shared" si="1"/>
        <v>2873.7</v>
      </c>
      <c r="U8" s="209">
        <f>IFERROR(VLOOKUP($A8,'Из ГУГЛа'!$B:$G,6,0)*V8,VLOOKUP($A8,'Из ГУГЛа'!$B:$G,6,0))</f>
        <v>2890</v>
      </c>
      <c r="V8" s="75">
        <v>1</v>
      </c>
      <c r="W8" s="83">
        <f t="shared" si="8"/>
        <v>0.30622727272727257</v>
      </c>
      <c r="X8" s="83">
        <f t="shared" si="9"/>
        <v>5.6401384083045614E-3</v>
      </c>
      <c r="Y8" s="83">
        <f t="shared" si="10"/>
        <v>0.31363636363636371</v>
      </c>
      <c r="Z8" s="2">
        <v>2890</v>
      </c>
      <c r="AA8" s="36" t="s">
        <v>508</v>
      </c>
    </row>
    <row r="9" spans="1:27" ht="45.75" thickTop="1">
      <c r="A9" s="41">
        <v>212884</v>
      </c>
      <c r="B9" s="87">
        <f>VLOOKUP($A9,'Выгр Кат'!$A:$R,B$1,0)</f>
        <v>23734</v>
      </c>
      <c r="C9" s="18" t="s">
        <v>267</v>
      </c>
      <c r="D9" s="86" t="str">
        <f>VLOOKUP($A9,'Выгр Кат'!$A:$R,D$1,0)</f>
        <v>Ручки отопителя "Ferrum Group" (глянцевые) для Hyundai Solaris 2</v>
      </c>
      <c r="E9" s="87" t="str">
        <f>VLOOKUP($A9,'Выгр Кат'!$A:$R,E$1,0)</f>
        <v>Y</v>
      </c>
      <c r="F9" s="87" t="str">
        <f>VLOOKUP($A9,'Выгр Кат'!$A:$R,F$1,0)</f>
        <v>0</v>
      </c>
      <c r="G9" s="100" t="s">
        <v>379</v>
      </c>
      <c r="H9" s="67"/>
      <c r="I9" s="26">
        <f>VLOOKUP(G9,'Прайс Gamma'!$A:$F,4,0)</f>
        <v>2200</v>
      </c>
      <c r="J9" s="26">
        <f t="shared" si="2"/>
        <v>3500</v>
      </c>
      <c r="K9" s="26">
        <f>VLOOKUP(G9,'Прайс Gamma'!$A:$F,5,0)</f>
        <v>3500</v>
      </c>
      <c r="L9" s="11">
        <f t="shared" si="3"/>
        <v>1.5909090909090908</v>
      </c>
      <c r="M9" s="132">
        <f t="shared" si="4"/>
        <v>1.5909090909090908</v>
      </c>
      <c r="N9" s="192">
        <f t="shared" si="12"/>
        <v>3763.4408602150538</v>
      </c>
      <c r="O9" s="190">
        <f t="shared" si="5"/>
        <v>3790</v>
      </c>
      <c r="P9" s="87">
        <f>VLOOKUP($A9,'Выгр Кат'!$A:$R,P$1,0)</f>
        <v>2200</v>
      </c>
      <c r="Q9" s="87">
        <f>VLOOKUP($A9,'Выгр Кат'!$A:$R,Q$1,0)</f>
        <v>3790</v>
      </c>
      <c r="R9" s="94">
        <f t="shared" si="6"/>
        <v>0</v>
      </c>
      <c r="S9" s="94">
        <f t="shared" si="7"/>
        <v>0</v>
      </c>
      <c r="T9" s="20">
        <f t="shared" si="1"/>
        <v>3524.7</v>
      </c>
      <c r="U9" s="209" t="str">
        <f>IFERROR(VLOOKUP($A9,'Из ГУГЛа'!$B:$G,6,0)*V9,VLOOKUP($A9,'Из ГУГЛа'!$B:$G,6,0))</f>
        <v/>
      </c>
      <c r="V9" s="75">
        <v>1</v>
      </c>
      <c r="W9" s="83">
        <f t="shared" si="8"/>
        <v>0.60213636363636347</v>
      </c>
      <c r="X9" s="83" t="str">
        <f t="shared" si="9"/>
        <v/>
      </c>
      <c r="Y9" s="83" t="str">
        <f t="shared" si="10"/>
        <v/>
      </c>
      <c r="Z9" s="47"/>
    </row>
    <row r="10" spans="1:27" ht="52.5" thickBot="1">
      <c r="A10" s="41">
        <v>212892</v>
      </c>
      <c r="B10" s="87">
        <f>VLOOKUP($A10,'Выгр Кат'!$A:$R,B$1,0)</f>
        <v>23736</v>
      </c>
      <c r="C10" s="18" t="s">
        <v>239</v>
      </c>
      <c r="D10" s="86" t="str">
        <f>VLOOKUP($A10,'Выгр Кат'!$A:$R,D$1,0)</f>
        <v>Ручки отопителя "Ferrum Group" для Chevrolet Lacetti, Daewoo Gentra</v>
      </c>
      <c r="E10" s="87" t="str">
        <f>VLOOKUP($A10,'Выгр Кат'!$A:$R,E$1,0)</f>
        <v>Y</v>
      </c>
      <c r="F10" s="87" t="str">
        <f>VLOOKUP($A10,'Выгр Кат'!$A:$R,F$1,0)</f>
        <v>1</v>
      </c>
      <c r="G10" s="100" t="s">
        <v>335</v>
      </c>
      <c r="H10" s="67"/>
      <c r="I10" s="26">
        <f>VLOOKUP(G10,'Прайс Gamma'!$A:$F,4,0)</f>
        <v>2900</v>
      </c>
      <c r="J10" s="26">
        <f t="shared" si="2"/>
        <v>3500</v>
      </c>
      <c r="K10" s="26">
        <f>VLOOKUP(G10,'Прайс Gamma'!$A:$F,5,0)</f>
        <v>3500</v>
      </c>
      <c r="L10" s="11">
        <f t="shared" si="3"/>
        <v>1.2068965517241379</v>
      </c>
      <c r="M10" s="132">
        <f t="shared" si="4"/>
        <v>1.2068965517241379</v>
      </c>
      <c r="N10" s="194">
        <f>Z10*1.03</f>
        <v>3903.7000000000003</v>
      </c>
      <c r="O10" s="190">
        <f t="shared" si="5"/>
        <v>3990</v>
      </c>
      <c r="P10" s="87">
        <f>VLOOKUP($A10,'Выгр Кат'!$A:$R,P$1,0)</f>
        <v>2900</v>
      </c>
      <c r="Q10" s="87">
        <f>VLOOKUP($A10,'Выгр Кат'!$A:$R,Q$1,0)</f>
        <v>3990</v>
      </c>
      <c r="R10" s="94">
        <f t="shared" si="6"/>
        <v>0</v>
      </c>
      <c r="S10" s="94">
        <f t="shared" si="7"/>
        <v>0</v>
      </c>
      <c r="T10" s="20">
        <f t="shared" si="1"/>
        <v>3710.7</v>
      </c>
      <c r="U10" s="209">
        <f>IFERROR(VLOOKUP($A10,'Из ГУГЛа'!$B:$G,6,0)*V10,VLOOKUP($A10,'Из ГУГЛа'!$B:$G,6,0))</f>
        <v>3790</v>
      </c>
      <c r="V10" s="75">
        <v>1</v>
      </c>
      <c r="W10" s="83">
        <f t="shared" si="8"/>
        <v>0.27955172413793106</v>
      </c>
      <c r="X10" s="83">
        <f t="shared" si="9"/>
        <v>2.0923482849604269E-2</v>
      </c>
      <c r="Y10" s="83">
        <f t="shared" si="10"/>
        <v>0.30689655172413799</v>
      </c>
      <c r="Z10" s="2">
        <v>3790</v>
      </c>
      <c r="AA10" s="36" t="s">
        <v>507</v>
      </c>
    </row>
    <row r="11" spans="1:27" ht="46.5" thickTop="1" thickBot="1">
      <c r="A11" s="41">
        <v>212887</v>
      </c>
      <c r="B11" s="87">
        <f>VLOOKUP($A11,'Выгр Кат'!$A:$R,B$1,0)</f>
        <v>13841</v>
      </c>
      <c r="C11" s="18" t="s">
        <v>211</v>
      </c>
      <c r="D11" s="86" t="str">
        <f>VLOOKUP($A11,'Выгр Кат'!$A:$R,D$1,0)</f>
        <v>Ручки отопителя "Ferrum Group" (серебро) для Шевроле Нива</v>
      </c>
      <c r="E11" s="87" t="str">
        <f>VLOOKUP($A11,'Выгр Кат'!$A:$R,E$1,0)</f>
        <v>Y</v>
      </c>
      <c r="F11" s="87" t="str">
        <f>VLOOKUP($A11,'Выгр Кат'!$A:$R,F$1,0)</f>
        <v>1</v>
      </c>
      <c r="G11" s="100" t="s">
        <v>330</v>
      </c>
      <c r="H11" s="67"/>
      <c r="I11" s="26">
        <f>VLOOKUP(G11,'Прайс Gamma'!$A:$F,4,0)</f>
        <v>2500</v>
      </c>
      <c r="J11" s="26">
        <f t="shared" si="2"/>
        <v>3500</v>
      </c>
      <c r="K11" s="26">
        <f>VLOOKUP(G11,'Прайс Gamma'!$A:$F,5,0)</f>
        <v>3500</v>
      </c>
      <c r="L11" s="11">
        <f t="shared" si="3"/>
        <v>1.4</v>
      </c>
      <c r="M11" s="132">
        <f t="shared" si="4"/>
        <v>1.4</v>
      </c>
      <c r="N11" s="195">
        <f t="shared" ref="N11:N12" si="14">Z11*1.05</f>
        <v>3454.5</v>
      </c>
      <c r="O11" s="190">
        <f t="shared" si="5"/>
        <v>3490</v>
      </c>
      <c r="P11" s="87">
        <f>VLOOKUP($A11,'Выгр Кат'!$A:$R,P$1,0)</f>
        <v>2500</v>
      </c>
      <c r="Q11" s="87">
        <f>VLOOKUP($A11,'Выгр Кат'!$A:$R,Q$1,0)</f>
        <v>3490</v>
      </c>
      <c r="R11" s="94">
        <f t="shared" si="6"/>
        <v>0</v>
      </c>
      <c r="S11" s="94">
        <f t="shared" si="7"/>
        <v>0</v>
      </c>
      <c r="T11" s="20">
        <f t="shared" si="1"/>
        <v>3245.7</v>
      </c>
      <c r="U11" s="209">
        <f>IFERROR(VLOOKUP($A11,'Из ГУГЛа'!$B:$G,6,0)*V11,VLOOKUP($A11,'Из ГУГЛа'!$B:$G,6,0))</f>
        <v>3290</v>
      </c>
      <c r="V11" s="75">
        <v>1</v>
      </c>
      <c r="W11" s="83">
        <f t="shared" si="8"/>
        <v>0.29827999999999988</v>
      </c>
      <c r="X11" s="83">
        <f t="shared" si="9"/>
        <v>1.3465045592705222E-2</v>
      </c>
      <c r="Y11" s="83">
        <f t="shared" si="10"/>
        <v>0.31600000000000006</v>
      </c>
      <c r="Z11" s="2">
        <v>3290</v>
      </c>
      <c r="AA11" s="36" t="s">
        <v>510</v>
      </c>
    </row>
    <row r="12" spans="1:27" ht="46.5" thickTop="1" thickBot="1">
      <c r="A12" s="41">
        <v>212891</v>
      </c>
      <c r="B12" s="87">
        <f>VLOOKUP($A12,'Выгр Кат'!$A:$R,B$1,0)</f>
        <v>23730</v>
      </c>
      <c r="C12" s="18" t="s">
        <v>211</v>
      </c>
      <c r="D12" s="86" t="str">
        <f>VLOOKUP($A12,'Выгр Кат'!$A:$R,D$1,0)</f>
        <v>Ручки отопителя "Ferrum Group" (чёрный глянец) для Шевроле Нива</v>
      </c>
      <c r="E12" s="87" t="str">
        <f>VLOOKUP($A12,'Выгр Кат'!$A:$R,E$1,0)</f>
        <v>Y</v>
      </c>
      <c r="F12" s="87" t="str">
        <f>VLOOKUP($A12,'Выгр Кат'!$A:$R,F$1,0)</f>
        <v>1</v>
      </c>
      <c r="G12" s="100" t="s">
        <v>330</v>
      </c>
      <c r="H12" s="67"/>
      <c r="I12" s="26">
        <f>VLOOKUP(G12,'Прайс Gamma'!$A:$F,4,0)</f>
        <v>2500</v>
      </c>
      <c r="J12" s="26">
        <f t="shared" si="2"/>
        <v>3500</v>
      </c>
      <c r="K12" s="26">
        <f>VLOOKUP(G12,'Прайс Gamma'!$A:$F,5,0)</f>
        <v>3500</v>
      </c>
      <c r="L12" s="11">
        <f t="shared" si="3"/>
        <v>1.4</v>
      </c>
      <c r="M12" s="132">
        <f t="shared" si="4"/>
        <v>1.4</v>
      </c>
      <c r="N12" s="195">
        <f t="shared" si="14"/>
        <v>3454.5</v>
      </c>
      <c r="O12" s="190">
        <f t="shared" si="5"/>
        <v>3490</v>
      </c>
      <c r="P12" s="87">
        <f>VLOOKUP($A12,'Выгр Кат'!$A:$R,P$1,0)</f>
        <v>2500</v>
      </c>
      <c r="Q12" s="87">
        <f>VLOOKUP($A12,'Выгр Кат'!$A:$R,Q$1,0)</f>
        <v>3490</v>
      </c>
      <c r="R12" s="94">
        <f t="shared" si="6"/>
        <v>0</v>
      </c>
      <c r="S12" s="94">
        <f t="shared" si="7"/>
        <v>0</v>
      </c>
      <c r="T12" s="20">
        <f t="shared" si="1"/>
        <v>3245.7</v>
      </c>
      <c r="U12" s="209">
        <f>IFERROR(VLOOKUP($A12,'Из ГУГЛа'!$B:$G,6,0)*V12,VLOOKUP($A12,'Из ГУГЛа'!$B:$G,6,0))</f>
        <v>3290</v>
      </c>
      <c r="V12" s="75">
        <v>1</v>
      </c>
      <c r="W12" s="83">
        <f t="shared" si="8"/>
        <v>0.29827999999999988</v>
      </c>
      <c r="X12" s="83">
        <f t="shared" si="9"/>
        <v>1.3465045592705222E-2</v>
      </c>
      <c r="Y12" s="83">
        <f t="shared" si="10"/>
        <v>0.31600000000000006</v>
      </c>
      <c r="Z12" s="2">
        <v>3290</v>
      </c>
      <c r="AA12" s="36" t="s">
        <v>509</v>
      </c>
    </row>
    <row r="13" spans="1:27" ht="53.25" thickTop="1" thickBot="1">
      <c r="A13" s="41">
        <v>158824</v>
      </c>
      <c r="B13" s="87">
        <f>VLOOKUP($A13,'Выгр Кат'!$A:$R,B$1,0)</f>
        <v>23740</v>
      </c>
      <c r="C13" s="18" t="s">
        <v>223</v>
      </c>
      <c r="D13" s="86" t="str">
        <f>VLOOKUP($A13,'Выгр Кат'!$A:$R,D$1,0)</f>
        <v>Комплект органайзеров "Ferrum Group" в багажник для Лада Калина, Калина 2</v>
      </c>
      <c r="E13" s="87" t="str">
        <f>VLOOKUP($A13,'Выгр Кат'!$A:$R,E$1,0)</f>
        <v>Y</v>
      </c>
      <c r="F13" s="87" t="str">
        <f>VLOOKUP($A13,'Выгр Кат'!$A:$R,F$1,0)</f>
        <v>1</v>
      </c>
      <c r="G13" s="100" t="s">
        <v>376</v>
      </c>
      <c r="H13" s="67"/>
      <c r="I13" s="26">
        <f>VLOOKUP(G13,'Прайс Gamma'!$A:$F,4,0)</f>
        <v>3300</v>
      </c>
      <c r="J13" s="26">
        <f t="shared" si="2"/>
        <v>4200</v>
      </c>
      <c r="K13" s="26">
        <f>VLOOKUP(G13,'Прайс Gamma'!$A:$F,5,0)</f>
        <v>4200</v>
      </c>
      <c r="L13" s="11">
        <f t="shared" si="3"/>
        <v>1.2727272727272727</v>
      </c>
      <c r="M13" s="132">
        <f t="shared" si="4"/>
        <v>1.2727272727272727</v>
      </c>
      <c r="N13" s="196">
        <f t="shared" ref="N13:N16" si="15">Z13*1.04</f>
        <v>4461.6000000000004</v>
      </c>
      <c r="O13" s="190">
        <f t="shared" si="5"/>
        <v>4490</v>
      </c>
      <c r="P13" s="87">
        <f>VLOOKUP($A13,'Выгр Кат'!$A:$R,P$1,0)</f>
        <v>3300</v>
      </c>
      <c r="Q13" s="87">
        <f>VLOOKUP($A13,'Выгр Кат'!$A:$R,Q$1,0)</f>
        <v>4490</v>
      </c>
      <c r="R13" s="94">
        <f t="shared" si="6"/>
        <v>0</v>
      </c>
      <c r="S13" s="94">
        <f t="shared" si="7"/>
        <v>0</v>
      </c>
      <c r="T13" s="20">
        <f t="shared" si="1"/>
        <v>4175.7</v>
      </c>
      <c r="U13" s="209">
        <f>IFERROR(VLOOKUP($A13,'Из ГУГЛа'!$B:$G,6,0)*V13,VLOOKUP($A13,'Из ГУГЛа'!$B:$G,6,0))</f>
        <v>4290</v>
      </c>
      <c r="V13" s="75">
        <v>1</v>
      </c>
      <c r="W13" s="83">
        <f t="shared" si="8"/>
        <v>0.26536363636363625</v>
      </c>
      <c r="X13" s="83">
        <f t="shared" si="9"/>
        <v>2.6643356643356687E-2</v>
      </c>
      <c r="Y13" s="83">
        <f t="shared" si="10"/>
        <v>0.30000000000000004</v>
      </c>
      <c r="Z13" s="48">
        <v>4290</v>
      </c>
      <c r="AA13" s="36" t="s">
        <v>517</v>
      </c>
    </row>
    <row r="14" spans="1:27" ht="66" thickTop="1" thickBot="1">
      <c r="A14" s="41">
        <v>158823</v>
      </c>
      <c r="B14" s="87">
        <f>VLOOKUP($A14,'Выгр Кат'!$A:$R,B$1,0)</f>
        <v>23738</v>
      </c>
      <c r="C14" s="8" t="s">
        <v>153</v>
      </c>
      <c r="D14" s="86" t="str">
        <f>VLOOKUP($A14,'Выгр Кат'!$A:$R,D$1,0)</f>
        <v>Комплект органайзеров "Ferrum Group" в багажник для Лада Веста</v>
      </c>
      <c r="E14" s="87" t="str">
        <f>VLOOKUP($A14,'Выгр Кат'!$A:$R,E$1,0)</f>
        <v>Y</v>
      </c>
      <c r="F14" s="87" t="str">
        <f>VLOOKUP($A14,'Выгр Кат'!$A:$R,F$1,0)</f>
        <v>1</v>
      </c>
      <c r="G14" s="100" t="s">
        <v>377</v>
      </c>
      <c r="H14" s="67"/>
      <c r="I14" s="26">
        <f>VLOOKUP(G14,'Прайс Gamma'!$A:$F,4,0)</f>
        <v>3300</v>
      </c>
      <c r="J14" s="26">
        <f t="shared" si="2"/>
        <v>4200</v>
      </c>
      <c r="K14" s="26">
        <f>VLOOKUP(G14,'Прайс Gamma'!$A:$F,5,0)</f>
        <v>4200</v>
      </c>
      <c r="L14" s="11">
        <f t="shared" si="3"/>
        <v>1.2727272727272727</v>
      </c>
      <c r="M14" s="132">
        <f t="shared" si="4"/>
        <v>1.2727272727272727</v>
      </c>
      <c r="N14" s="196">
        <f t="shared" si="15"/>
        <v>4461.6000000000004</v>
      </c>
      <c r="O14" s="190">
        <f t="shared" si="5"/>
        <v>4490</v>
      </c>
      <c r="P14" s="87">
        <f>VLOOKUP($A14,'Выгр Кат'!$A:$R,P$1,0)</f>
        <v>3300</v>
      </c>
      <c r="Q14" s="87">
        <f>VLOOKUP($A14,'Выгр Кат'!$A:$R,Q$1,0)</f>
        <v>4490</v>
      </c>
      <c r="R14" s="94">
        <f t="shared" si="6"/>
        <v>0</v>
      </c>
      <c r="S14" s="94">
        <f t="shared" si="7"/>
        <v>0</v>
      </c>
      <c r="T14" s="20">
        <f t="shared" si="1"/>
        <v>4175.7</v>
      </c>
      <c r="U14" s="209">
        <f>IFERROR(VLOOKUP($A14,'Из ГУГЛа'!$B:$G,6,0)*V14,VLOOKUP($A14,'Из ГУГЛа'!$B:$G,6,0))</f>
        <v>4290</v>
      </c>
      <c r="V14" s="75">
        <v>1</v>
      </c>
      <c r="W14" s="83">
        <f t="shared" si="8"/>
        <v>0.26536363636363625</v>
      </c>
      <c r="X14" s="83">
        <f t="shared" si="9"/>
        <v>2.6643356643356687E-2</v>
      </c>
      <c r="Y14" s="83">
        <f t="shared" si="10"/>
        <v>0.30000000000000004</v>
      </c>
      <c r="Z14" s="2">
        <v>4290</v>
      </c>
      <c r="AA14" s="36" t="s">
        <v>518</v>
      </c>
    </row>
    <row r="15" spans="1:27" ht="53.25" thickTop="1" thickBot="1">
      <c r="A15" s="41">
        <v>158825</v>
      </c>
      <c r="B15" s="87">
        <f>VLOOKUP($A15,'Выгр Кат'!$A:$R,B$1,0)</f>
        <v>23741</v>
      </c>
      <c r="C15" s="8" t="s">
        <v>154</v>
      </c>
      <c r="D15" s="86" t="str">
        <f>VLOOKUP($A15,'Выгр Кат'!$A:$R,D$1,0)</f>
        <v>Комплект органайзеров "Ferrum Group" в багажник для Лада Нива 4x4, Нива 4x4 Урбан</v>
      </c>
      <c r="E15" s="87" t="str">
        <f>VLOOKUP($A15,'Выгр Кат'!$A:$R,E$1,0)</f>
        <v>Y</v>
      </c>
      <c r="F15" s="87" t="str">
        <f>VLOOKUP($A15,'Выгр Кат'!$A:$R,F$1,0)</f>
        <v>1</v>
      </c>
      <c r="G15" s="100" t="s">
        <v>375</v>
      </c>
      <c r="H15" s="67"/>
      <c r="I15" s="26">
        <f>VLOOKUP(G15,'Прайс Gamma'!$A:$F,4,0)</f>
        <v>3300</v>
      </c>
      <c r="J15" s="26">
        <f t="shared" si="2"/>
        <v>4200</v>
      </c>
      <c r="K15" s="26">
        <f>VLOOKUP(G15,'Прайс Gamma'!$A:$F,5,0)</f>
        <v>4200</v>
      </c>
      <c r="L15" s="11">
        <f t="shared" si="3"/>
        <v>1.2727272727272727</v>
      </c>
      <c r="M15" s="132">
        <f t="shared" si="4"/>
        <v>1.2727272727272727</v>
      </c>
      <c r="N15" s="196">
        <f t="shared" si="15"/>
        <v>4461.6000000000004</v>
      </c>
      <c r="O15" s="190">
        <f t="shared" si="5"/>
        <v>4490</v>
      </c>
      <c r="P15" s="87">
        <f>VLOOKUP($A15,'Выгр Кат'!$A:$R,P$1,0)</f>
        <v>3300</v>
      </c>
      <c r="Q15" s="87">
        <f>VLOOKUP($A15,'Выгр Кат'!$A:$R,Q$1,0)</f>
        <v>4490</v>
      </c>
      <c r="R15" s="94">
        <f t="shared" si="6"/>
        <v>0</v>
      </c>
      <c r="S15" s="94">
        <f t="shared" si="7"/>
        <v>0</v>
      </c>
      <c r="T15" s="20">
        <f t="shared" si="1"/>
        <v>4175.7</v>
      </c>
      <c r="U15" s="209">
        <f>IFERROR(VLOOKUP($A15,'Из ГУГЛа'!$B:$G,6,0)*V15,VLOOKUP($A15,'Из ГУГЛа'!$B:$G,6,0))</f>
        <v>4290</v>
      </c>
      <c r="V15" s="75">
        <v>1</v>
      </c>
      <c r="W15" s="83">
        <f t="shared" si="8"/>
        <v>0.26536363636363625</v>
      </c>
      <c r="X15" s="83">
        <f t="shared" si="9"/>
        <v>2.6643356643356687E-2</v>
      </c>
      <c r="Y15" s="83">
        <f t="shared" si="10"/>
        <v>0.30000000000000004</v>
      </c>
      <c r="Z15" s="2">
        <v>4290</v>
      </c>
      <c r="AA15" s="36" t="s">
        <v>519</v>
      </c>
    </row>
    <row r="16" spans="1:27" ht="53.25" thickTop="1" thickBot="1">
      <c r="A16" s="41">
        <v>158826</v>
      </c>
      <c r="B16" s="87">
        <f>VLOOKUP($A16,'Выгр Кат'!$A:$R,B$1,0)</f>
        <v>23739</v>
      </c>
      <c r="C16" s="18" t="s">
        <v>224</v>
      </c>
      <c r="D16" s="86" t="str">
        <f>VLOOKUP($A16,'Выгр Кат'!$A:$R,D$1,0)</f>
        <v>Комплект органайзеров "Ferrum Group" в багажник для Шевроле Нива</v>
      </c>
      <c r="E16" s="87" t="str">
        <f>VLOOKUP($A16,'Выгр Кат'!$A:$R,E$1,0)</f>
        <v>Y</v>
      </c>
      <c r="F16" s="87" t="str">
        <f>VLOOKUP($A16,'Выгр Кат'!$A:$R,F$1,0)</f>
        <v>1</v>
      </c>
      <c r="G16" s="100" t="s">
        <v>333</v>
      </c>
      <c r="H16" s="67"/>
      <c r="I16" s="26">
        <f>VLOOKUP(G16,'Прайс Gamma'!$A:$F,4,0)</f>
        <v>3300</v>
      </c>
      <c r="J16" s="26">
        <f t="shared" si="2"/>
        <v>4200</v>
      </c>
      <c r="K16" s="26">
        <f>VLOOKUP(G16,'Прайс Gamma'!$A:$F,5,0)</f>
        <v>4200</v>
      </c>
      <c r="L16" s="11">
        <f t="shared" si="3"/>
        <v>1.2727272727272727</v>
      </c>
      <c r="M16" s="132">
        <f t="shared" si="4"/>
        <v>1.2727272727272727</v>
      </c>
      <c r="N16" s="196">
        <f t="shared" si="15"/>
        <v>4461.6000000000004</v>
      </c>
      <c r="O16" s="190">
        <f t="shared" si="5"/>
        <v>4490</v>
      </c>
      <c r="P16" s="87">
        <f>VLOOKUP($A16,'Выгр Кат'!$A:$R,P$1,0)</f>
        <v>3300</v>
      </c>
      <c r="Q16" s="87">
        <f>VLOOKUP($A16,'Выгр Кат'!$A:$R,Q$1,0)</f>
        <v>4490</v>
      </c>
      <c r="R16" s="94">
        <f t="shared" si="6"/>
        <v>0</v>
      </c>
      <c r="S16" s="94">
        <f t="shared" si="7"/>
        <v>0</v>
      </c>
      <c r="T16" s="20">
        <f t="shared" si="1"/>
        <v>4175.7</v>
      </c>
      <c r="U16" s="209">
        <f>IFERROR(VLOOKUP($A16,'Из ГУГЛа'!$B:$G,6,0)*V16,VLOOKUP($A16,'Из ГУГЛа'!$B:$G,6,0))</f>
        <v>4290</v>
      </c>
      <c r="V16" s="75">
        <v>1</v>
      </c>
      <c r="W16" s="83">
        <f t="shared" si="8"/>
        <v>0.26536363636363625</v>
      </c>
      <c r="X16" s="83">
        <f t="shared" si="9"/>
        <v>2.6643356643356687E-2</v>
      </c>
      <c r="Y16" s="83">
        <f t="shared" si="10"/>
        <v>0.30000000000000004</v>
      </c>
      <c r="Z16" s="2">
        <v>4290</v>
      </c>
      <c r="AA16" s="36" t="s">
        <v>520</v>
      </c>
    </row>
    <row r="17" spans="1:27" ht="46.5" thickTop="1" thickBot="1">
      <c r="A17" s="41">
        <v>163999</v>
      </c>
      <c r="B17" s="87">
        <f>VLOOKUP($A17,'Выгр Кат'!$A:$R,B$1,0)</f>
        <v>24865</v>
      </c>
      <c r="C17" s="8" t="s">
        <v>146</v>
      </c>
      <c r="D17" s="86" t="str">
        <f>VLOOKUP($A17,'Выгр Кат'!$A:$R,D$1,0)</f>
        <v>Модельная ручка КПП "Ferrum Group" с кожухом для Лада Калина 2, Приора 2, Гранта, Гранта FL (тросовая КПП)</v>
      </c>
      <c r="E17" s="87" t="str">
        <f>VLOOKUP($A17,'Выгр Кат'!$A:$R,E$1,0)</f>
        <v>Y</v>
      </c>
      <c r="F17" s="87" t="str">
        <f>VLOOKUP($A17,'Выгр Кат'!$A:$R,F$1,0)</f>
        <v>1</v>
      </c>
      <c r="G17" s="100" t="s">
        <v>385</v>
      </c>
      <c r="H17" s="67"/>
      <c r="I17" s="26">
        <f>VLOOKUP(G17,'Прайс Gamma'!$A:$F,4,0)</f>
        <v>5650</v>
      </c>
      <c r="J17" s="26">
        <f t="shared" si="2"/>
        <v>5950</v>
      </c>
      <c r="K17" s="26">
        <f>VLOOKUP(G17,'Прайс Gamma'!$A:$F,5,0)</f>
        <v>5950</v>
      </c>
      <c r="L17" s="11">
        <f t="shared" si="3"/>
        <v>1.0530973451327434</v>
      </c>
      <c r="M17" s="132">
        <f t="shared" si="4"/>
        <v>1.1499999999999999</v>
      </c>
      <c r="N17" s="194">
        <f>Z17*1.03</f>
        <v>7508.7</v>
      </c>
      <c r="O17" s="190">
        <f t="shared" si="5"/>
        <v>7590</v>
      </c>
      <c r="P17" s="87">
        <f>VLOOKUP($A17,'Выгр Кат'!$A:$R,P$1,0)</f>
        <v>5650</v>
      </c>
      <c r="Q17" s="87">
        <f>VLOOKUP($A17,'Выгр Кат'!$A:$R,Q$1,0)</f>
        <v>7590</v>
      </c>
      <c r="R17" s="94">
        <f t="shared" si="6"/>
        <v>0</v>
      </c>
      <c r="S17" s="94">
        <f t="shared" si="7"/>
        <v>0</v>
      </c>
      <c r="T17" s="20">
        <f t="shared" si="1"/>
        <v>7058.7</v>
      </c>
      <c r="U17" s="209">
        <f>IFERROR(VLOOKUP($A17,'Из ГУГЛа'!$B:$G,6,0)*V17,VLOOKUP($A17,'Из ГУГЛа'!$B:$G,6,0))</f>
        <v>7290</v>
      </c>
      <c r="V17" s="75">
        <v>1</v>
      </c>
      <c r="W17" s="83">
        <f t="shared" si="8"/>
        <v>0.24932743362831866</v>
      </c>
      <c r="X17" s="83">
        <f t="shared" si="9"/>
        <v>3.1728395061728421E-2</v>
      </c>
      <c r="Y17" s="83">
        <f t="shared" si="10"/>
        <v>0.29026548672566377</v>
      </c>
      <c r="Z17" s="2">
        <v>7290</v>
      </c>
      <c r="AA17" s="36" t="s">
        <v>636</v>
      </c>
    </row>
    <row r="18" spans="1:27" ht="26.25" customHeight="1" thickTop="1" thickBot="1">
      <c r="A18" s="41">
        <v>193593</v>
      </c>
      <c r="B18" s="87">
        <f>VLOOKUP($A18,'Выгр Кат'!$A:$R,B$1,0)</f>
        <v>7099</v>
      </c>
      <c r="C18" s="18" t="s">
        <v>235</v>
      </c>
      <c r="D18" s="86" t="str">
        <f>VLOOKUP($A18,'Выгр Кат'!$A:$R,D$1,0)</f>
        <v>Переходник "Ferrum Group" GF 921 для комбинаций приборов "Ferrum Group"</v>
      </c>
      <c r="E18" s="87" t="str">
        <f>VLOOKUP($A18,'Выгр Кат'!$A:$R,E$1,0)</f>
        <v>Y</v>
      </c>
      <c r="F18" s="87" t="str">
        <f>VLOOKUP($A18,'Выгр Кат'!$A:$R,F$1,0)</f>
        <v>1</v>
      </c>
      <c r="G18" s="100" t="s">
        <v>372</v>
      </c>
      <c r="H18" s="67"/>
      <c r="I18" s="26">
        <f>VLOOKUP(G18,'Прайс Gamma'!$A:$F,4,0)</f>
        <v>3900</v>
      </c>
      <c r="J18" s="26">
        <f t="shared" si="2"/>
        <v>4900</v>
      </c>
      <c r="K18" s="26">
        <f>VLOOKUP(G18,'Прайс Gamma'!$A:$F,5,0)</f>
        <v>4900</v>
      </c>
      <c r="L18" s="11">
        <f t="shared" si="3"/>
        <v>1.2564102564102564</v>
      </c>
      <c r="M18" s="132">
        <f t="shared" si="4"/>
        <v>1.2564102564102564</v>
      </c>
      <c r="N18" s="192">
        <f t="shared" si="12"/>
        <v>5268.8172043010754</v>
      </c>
      <c r="O18" s="190">
        <f t="shared" si="5"/>
        <v>5290</v>
      </c>
      <c r="P18" s="87">
        <f>VLOOKUP($A18,'Выгр Кат'!$A:$R,P$1,0)</f>
        <v>3900</v>
      </c>
      <c r="Q18" s="87">
        <f>VLOOKUP($A18,'Выгр Кат'!$A:$R,Q$1,0)</f>
        <v>5290</v>
      </c>
      <c r="R18" s="94">
        <f t="shared" si="6"/>
        <v>0</v>
      </c>
      <c r="S18" s="94">
        <f t="shared" si="7"/>
        <v>0</v>
      </c>
      <c r="T18" s="20">
        <f t="shared" si="1"/>
        <v>4919.7</v>
      </c>
      <c r="U18" s="209">
        <f>IFERROR(VLOOKUP($A18,'Из ГУГЛа'!$B:$G,6,0)*V18,VLOOKUP($A18,'Из ГУГЛа'!$B:$G,6,0))</f>
        <v>5090</v>
      </c>
      <c r="V18" s="75">
        <v>1</v>
      </c>
      <c r="W18" s="83">
        <f t="shared" si="8"/>
        <v>0.26146153846153841</v>
      </c>
      <c r="X18" s="83">
        <f t="shared" si="9"/>
        <v>3.3457760314341882E-2</v>
      </c>
      <c r="Y18" s="83">
        <f t="shared" si="10"/>
        <v>0.30512820512820515</v>
      </c>
      <c r="Z18" s="2">
        <v>5090</v>
      </c>
      <c r="AA18" s="36" t="s">
        <v>521</v>
      </c>
    </row>
    <row r="19" spans="1:27" ht="52.5" thickTop="1">
      <c r="A19" s="41">
        <v>163986</v>
      </c>
      <c r="B19" s="87">
        <f>VLOOKUP($A19,'Выгр Кат'!$A:$R,B$1,0)</f>
        <v>31696</v>
      </c>
      <c r="C19" s="14" t="s">
        <v>165</v>
      </c>
      <c r="D19" s="86" t="str">
        <f>VLOOKUP($A19,'Выгр Кат'!$A:$R,D$1,0)</f>
        <v>Модельная ручка КПП "Ferrum Group" Exclusive (в коже с алькантарой) для Лада Веста</v>
      </c>
      <c r="E19" s="87" t="str">
        <f>VLOOKUP($A19,'Выгр Кат'!$A:$R,E$1,0)</f>
        <v>Y</v>
      </c>
      <c r="F19" s="87" t="str">
        <f>VLOOKUP($A19,'Выгр Кат'!$A:$R,F$1,0)</f>
        <v>1</v>
      </c>
      <c r="G19" s="100" t="s">
        <v>383</v>
      </c>
      <c r="H19" s="67"/>
      <c r="I19" s="26">
        <f>VLOOKUP(G19,'Прайс Gamma'!$A:$F,4,0)</f>
        <v>6065</v>
      </c>
      <c r="J19" s="26">
        <f t="shared" si="2"/>
        <v>6365</v>
      </c>
      <c r="K19" s="26">
        <f>VLOOKUP(G19,'Прайс Gamma'!$A:$F,5,0)</f>
        <v>6365</v>
      </c>
      <c r="L19" s="11">
        <f t="shared" si="3"/>
        <v>1.0494641384995878</v>
      </c>
      <c r="M19" s="132">
        <f t="shared" si="4"/>
        <v>1.1499999999999999</v>
      </c>
      <c r="N19" s="192">
        <f t="shared" si="12"/>
        <v>7499.7311827956974</v>
      </c>
      <c r="O19" s="190">
        <f t="shared" si="5"/>
        <v>7490</v>
      </c>
      <c r="P19" s="87">
        <f>VLOOKUP($A19,'Выгр Кат'!$A:$R,P$1,0)</f>
        <v>6065</v>
      </c>
      <c r="Q19" s="87">
        <f>VLOOKUP($A19,'Выгр Кат'!$A:$R,Q$1,0)</f>
        <v>7490</v>
      </c>
      <c r="R19" s="94">
        <f t="shared" si="6"/>
        <v>0</v>
      </c>
      <c r="S19" s="94">
        <f t="shared" si="7"/>
        <v>0</v>
      </c>
      <c r="T19" s="20">
        <f t="shared" si="1"/>
        <v>6965.7</v>
      </c>
      <c r="U19" s="209" t="str">
        <f>IFERROR(VLOOKUP($A19,'Из ГУГЛа'!$B:$G,6,0)*V19,VLOOKUP($A19,'Из ГУГЛа'!$B:$G,6,0))</f>
        <v/>
      </c>
      <c r="V19" s="75">
        <v>1</v>
      </c>
      <c r="W19" s="83">
        <f t="shared" si="8"/>
        <v>0.14850783182192906</v>
      </c>
      <c r="X19" s="83" t="str">
        <f t="shared" si="9"/>
        <v/>
      </c>
      <c r="Y19" s="83" t="str">
        <f t="shared" si="10"/>
        <v/>
      </c>
      <c r="Z19" s="47"/>
    </row>
    <row r="20" spans="1:27" ht="51.75">
      <c r="A20" s="41">
        <v>163983</v>
      </c>
      <c r="B20" s="87">
        <f>VLOOKUP($A20,'Выгр Кат'!$A:$R,B$1,0)</f>
        <v>31695</v>
      </c>
      <c r="C20" s="14" t="s">
        <v>142</v>
      </c>
      <c r="D20" s="86" t="str">
        <f>VLOOKUP($A20,'Выгр Кат'!$A:$R,D$1,0)</f>
        <v>Модельная ручка КПП "Ferrum Group" Cross Serie (в коже с алькантарой) для Лада Веста</v>
      </c>
      <c r="E20" s="87" t="str">
        <f>VLOOKUP($A20,'Выгр Кат'!$A:$R,E$1,0)</f>
        <v>Y</v>
      </c>
      <c r="F20" s="87" t="str">
        <f>VLOOKUP($A20,'Выгр Кат'!$A:$R,F$1,0)</f>
        <v>1</v>
      </c>
      <c r="G20" s="100" t="s">
        <v>383</v>
      </c>
      <c r="H20" s="67"/>
      <c r="I20" s="26">
        <f>VLOOKUP(G20,'Прайс Gamma'!$A:$F,4,0)</f>
        <v>6065</v>
      </c>
      <c r="J20" s="26">
        <f t="shared" si="2"/>
        <v>6365</v>
      </c>
      <c r="K20" s="26">
        <f>VLOOKUP(G20,'Прайс Gamma'!$A:$F,5,0)</f>
        <v>6365</v>
      </c>
      <c r="L20" s="11">
        <f t="shared" si="3"/>
        <v>1.0494641384995878</v>
      </c>
      <c r="M20" s="132">
        <f t="shared" si="4"/>
        <v>1.1499999999999999</v>
      </c>
      <c r="N20" s="192">
        <f t="shared" si="12"/>
        <v>7499.7311827956974</v>
      </c>
      <c r="O20" s="190">
        <f t="shared" si="5"/>
        <v>7490</v>
      </c>
      <c r="P20" s="87">
        <f>VLOOKUP($A20,'Выгр Кат'!$A:$R,P$1,0)</f>
        <v>6065</v>
      </c>
      <c r="Q20" s="87">
        <f>VLOOKUP($A20,'Выгр Кат'!$A:$R,Q$1,0)</f>
        <v>7490</v>
      </c>
      <c r="R20" s="94">
        <f t="shared" si="6"/>
        <v>0</v>
      </c>
      <c r="S20" s="94">
        <f t="shared" si="7"/>
        <v>0</v>
      </c>
      <c r="T20" s="20">
        <f t="shared" si="1"/>
        <v>6965.7</v>
      </c>
      <c r="U20" s="209" t="str">
        <f>IFERROR(VLOOKUP($A20,'Из ГУГЛа'!$B:$G,6,0)*V20,VLOOKUP($A20,'Из ГУГЛа'!$B:$G,6,0))</f>
        <v/>
      </c>
      <c r="V20" s="75">
        <v>1</v>
      </c>
      <c r="W20" s="83">
        <f t="shared" si="8"/>
        <v>0.14850783182192906</v>
      </c>
      <c r="X20" s="83" t="str">
        <f t="shared" si="9"/>
        <v/>
      </c>
      <c r="Y20" s="83" t="str">
        <f t="shared" si="10"/>
        <v/>
      </c>
      <c r="Z20" s="47"/>
    </row>
    <row r="21" spans="1:27" ht="52.5" thickBot="1">
      <c r="A21" s="41">
        <v>163989</v>
      </c>
      <c r="B21" s="87">
        <f>VLOOKUP($A21,'Выгр Кат'!$A:$R,B$1,0)</f>
        <v>31690</v>
      </c>
      <c r="C21" s="14" t="s">
        <v>143</v>
      </c>
      <c r="D21" s="86" t="str">
        <f>VLOOKUP($A21,'Выгр Кат'!$A:$R,D$1,0)</f>
        <v>Модельная ручка КПП "Ferrum Group" Grand Premium (в коже с алькантарой) для Лада Веста</v>
      </c>
      <c r="E21" s="87" t="str">
        <f>VLOOKUP($A21,'Выгр Кат'!$A:$R,E$1,0)</f>
        <v>Y</v>
      </c>
      <c r="F21" s="87" t="str">
        <f>VLOOKUP($A21,'Выгр Кат'!$A:$R,F$1,0)</f>
        <v>1</v>
      </c>
      <c r="G21" s="100" t="s">
        <v>383</v>
      </c>
      <c r="H21" s="67"/>
      <c r="I21" s="26">
        <f>VLOOKUP(G21,'Прайс Gamma'!$A:$F,4,0)</f>
        <v>6065</v>
      </c>
      <c r="J21" s="26">
        <f t="shared" si="2"/>
        <v>6365</v>
      </c>
      <c r="K21" s="26">
        <f>VLOOKUP(G21,'Прайс Gamma'!$A:$F,5,0)</f>
        <v>6365</v>
      </c>
      <c r="L21" s="11">
        <f t="shared" si="3"/>
        <v>1.0494641384995878</v>
      </c>
      <c r="M21" s="132">
        <f t="shared" si="4"/>
        <v>1.1499999999999999</v>
      </c>
      <c r="N21" s="194">
        <f t="shared" ref="N21:N28" si="16">Z21*1.03</f>
        <v>8126.7</v>
      </c>
      <c r="O21" s="190">
        <f t="shared" si="5"/>
        <v>8190</v>
      </c>
      <c r="P21" s="87">
        <f>VLOOKUP($A21,'Выгр Кат'!$A:$R,P$1,0)</f>
        <v>6065</v>
      </c>
      <c r="Q21" s="87">
        <f>VLOOKUP($A21,'Выгр Кат'!$A:$R,Q$1,0)</f>
        <v>8190</v>
      </c>
      <c r="R21" s="94">
        <f t="shared" si="6"/>
        <v>0</v>
      </c>
      <c r="S21" s="94">
        <f t="shared" si="7"/>
        <v>0</v>
      </c>
      <c r="T21" s="20">
        <f t="shared" si="1"/>
        <v>7616.7</v>
      </c>
      <c r="U21" s="209">
        <f>IFERROR(VLOOKUP($A21,'Из ГУГЛа'!$B:$G,6,0)*V21,VLOOKUP($A21,'Из ГУГЛа'!$B:$G,6,0))</f>
        <v>7890</v>
      </c>
      <c r="V21" s="75">
        <v>1</v>
      </c>
      <c r="W21" s="83">
        <f t="shared" si="8"/>
        <v>0.25584501236603452</v>
      </c>
      <c r="X21" s="83">
        <f t="shared" si="9"/>
        <v>3.4638783269962004E-2</v>
      </c>
      <c r="Y21" s="83">
        <f t="shared" si="10"/>
        <v>0.300906842539159</v>
      </c>
      <c r="Z21" s="2">
        <v>7890</v>
      </c>
      <c r="AA21" s="36" t="s">
        <v>635</v>
      </c>
    </row>
    <row r="22" spans="1:27" ht="53.25" thickTop="1" thickBot="1">
      <c r="A22" s="41">
        <v>163991</v>
      </c>
      <c r="B22" s="87">
        <f>VLOOKUP($A22,'Выгр Кат'!$A:$R,B$1,0)</f>
        <v>31694</v>
      </c>
      <c r="C22" s="14" t="s">
        <v>141</v>
      </c>
      <c r="D22" s="86" t="str">
        <f>VLOOKUP($A22,'Выгр Кат'!$A:$R,D$1,0)</f>
        <v>Модельная ручка КПП "Ferrum Group" Grand Sport (в коже с алькантарой) для Лада Веста</v>
      </c>
      <c r="E22" s="87" t="str">
        <f>VLOOKUP($A22,'Выгр Кат'!$A:$R,E$1,0)</f>
        <v>Y</v>
      </c>
      <c r="F22" s="87" t="str">
        <f>VLOOKUP($A22,'Выгр Кат'!$A:$R,F$1,0)</f>
        <v>1</v>
      </c>
      <c r="G22" s="100" t="s">
        <v>383</v>
      </c>
      <c r="H22" s="67"/>
      <c r="I22" s="26">
        <f>VLOOKUP(G22,'Прайс Gamma'!$A:$F,4,0)</f>
        <v>6065</v>
      </c>
      <c r="J22" s="26">
        <f t="shared" si="2"/>
        <v>6365</v>
      </c>
      <c r="K22" s="26">
        <f>VLOOKUP(G22,'Прайс Gamma'!$A:$F,5,0)</f>
        <v>6365</v>
      </c>
      <c r="L22" s="11">
        <f t="shared" si="3"/>
        <v>1.0494641384995878</v>
      </c>
      <c r="M22" s="132">
        <f t="shared" si="4"/>
        <v>1.1499999999999999</v>
      </c>
      <c r="N22" s="194">
        <f t="shared" si="16"/>
        <v>8126.7</v>
      </c>
      <c r="O22" s="190">
        <f t="shared" si="5"/>
        <v>8190</v>
      </c>
      <c r="P22" s="87">
        <f>VLOOKUP($A22,'Выгр Кат'!$A:$R,P$1,0)</f>
        <v>6065</v>
      </c>
      <c r="Q22" s="87">
        <f>VLOOKUP($A22,'Выгр Кат'!$A:$R,Q$1,0)</f>
        <v>8190</v>
      </c>
      <c r="R22" s="94">
        <f t="shared" si="6"/>
        <v>0</v>
      </c>
      <c r="S22" s="94">
        <f t="shared" si="7"/>
        <v>0</v>
      </c>
      <c r="T22" s="20">
        <f t="shared" si="1"/>
        <v>7616.7</v>
      </c>
      <c r="U22" s="209">
        <f>IFERROR(VLOOKUP($A22,'Из ГУГЛа'!$B:$G,6,0)*V22,VLOOKUP($A22,'Из ГУГЛа'!$B:$G,6,0))</f>
        <v>7890</v>
      </c>
      <c r="V22" s="75">
        <v>1</v>
      </c>
      <c r="W22" s="83">
        <f t="shared" si="8"/>
        <v>0.25584501236603452</v>
      </c>
      <c r="X22" s="83">
        <f t="shared" si="9"/>
        <v>3.4638783269962004E-2</v>
      </c>
      <c r="Y22" s="83">
        <f t="shared" si="10"/>
        <v>0.300906842539159</v>
      </c>
      <c r="Z22" s="2">
        <v>7890</v>
      </c>
      <c r="AA22" s="36" t="s">
        <v>634</v>
      </c>
    </row>
    <row r="23" spans="1:27" ht="53.25" thickTop="1" thickBot="1">
      <c r="A23" s="41">
        <v>163993</v>
      </c>
      <c r="B23" s="87">
        <f>VLOOKUP($A23,'Выгр Кат'!$A:$R,B$1,0)</f>
        <v>31697</v>
      </c>
      <c r="C23" s="14" t="s">
        <v>145</v>
      </c>
      <c r="D23" s="86" t="str">
        <f>VLOOKUP($A23,'Выгр Кат'!$A:$R,D$1,0)</f>
        <v>Модельная ручка КПП "Ferrum Group" Limited Edition (в коже с алькантарой) для Лада Веста</v>
      </c>
      <c r="E23" s="87" t="str">
        <f>VLOOKUP($A23,'Выгр Кат'!$A:$R,E$1,0)</f>
        <v>Y</v>
      </c>
      <c r="F23" s="87" t="str">
        <f>VLOOKUP($A23,'Выгр Кат'!$A:$R,F$1,0)</f>
        <v>1</v>
      </c>
      <c r="G23" s="100" t="s">
        <v>383</v>
      </c>
      <c r="H23" s="67"/>
      <c r="I23" s="26">
        <f>VLOOKUP(G23,'Прайс Gamma'!$A:$F,4,0)</f>
        <v>6065</v>
      </c>
      <c r="J23" s="26">
        <f t="shared" si="2"/>
        <v>6365</v>
      </c>
      <c r="K23" s="26">
        <f>VLOOKUP(G23,'Прайс Gamma'!$A:$F,5,0)</f>
        <v>6365</v>
      </c>
      <c r="L23" s="11">
        <f t="shared" si="3"/>
        <v>1.0494641384995878</v>
      </c>
      <c r="M23" s="132">
        <f t="shared" si="4"/>
        <v>1.1499999999999999</v>
      </c>
      <c r="N23" s="194">
        <f t="shared" si="16"/>
        <v>8126.7</v>
      </c>
      <c r="O23" s="190">
        <f t="shared" si="5"/>
        <v>8190</v>
      </c>
      <c r="P23" s="87">
        <f>VLOOKUP($A23,'Выгр Кат'!$A:$R,P$1,0)</f>
        <v>6065</v>
      </c>
      <c r="Q23" s="87">
        <f>VLOOKUP($A23,'Выгр Кат'!$A:$R,Q$1,0)</f>
        <v>8190</v>
      </c>
      <c r="R23" s="94">
        <f t="shared" si="6"/>
        <v>0</v>
      </c>
      <c r="S23" s="94">
        <f t="shared" si="7"/>
        <v>0</v>
      </c>
      <c r="T23" s="20">
        <f t="shared" si="1"/>
        <v>7616.7</v>
      </c>
      <c r="U23" s="209">
        <f>IFERROR(VLOOKUP($A23,'Из ГУГЛа'!$B:$G,6,0)*V23,VLOOKUP($A23,'Из ГУГЛа'!$B:$G,6,0))</f>
        <v>7890</v>
      </c>
      <c r="V23" s="75">
        <v>1</v>
      </c>
      <c r="W23" s="83">
        <f t="shared" si="8"/>
        <v>0.25584501236603452</v>
      </c>
      <c r="X23" s="83">
        <f t="shared" si="9"/>
        <v>3.4638783269962004E-2</v>
      </c>
      <c r="Y23" s="83">
        <f t="shared" si="10"/>
        <v>0.300906842539159</v>
      </c>
      <c r="Z23" s="2">
        <v>7890</v>
      </c>
      <c r="AA23" s="36" t="s">
        <v>629</v>
      </c>
    </row>
    <row r="24" spans="1:27" ht="31.5" thickTop="1" thickBot="1">
      <c r="A24" s="41">
        <v>138626</v>
      </c>
      <c r="B24" s="87">
        <f>VLOOKUP($A24,'Выгр Кат'!$A:$R,B$1,0)</f>
        <v>7088</v>
      </c>
      <c r="C24" s="18" t="s">
        <v>226</v>
      </c>
      <c r="D24" s="86" t="str">
        <f>VLOOKUP($A24,'Выгр Кат'!$A:$R,D$1,0)</f>
        <v>Бортовой компьютер "Ferrum Group" GF 240 для Chevrolet Lanos, ZAZ Sens</v>
      </c>
      <c r="E24" s="87" t="str">
        <f>VLOOKUP($A24,'Выгр Кат'!$A:$R,E$1,0)</f>
        <v>Y</v>
      </c>
      <c r="F24" s="87" t="str">
        <f>VLOOKUP($A24,'Выгр Кат'!$A:$R,F$1,0)</f>
        <v>1</v>
      </c>
      <c r="G24" s="101" t="s">
        <v>100</v>
      </c>
      <c r="H24" s="68"/>
      <c r="I24" s="32">
        <f>VLOOKUP(G24,'Прайс Gamma'!$B:$F,3,0)</f>
        <v>5225</v>
      </c>
      <c r="J24" s="32">
        <f t="shared" ref="J24:J54" si="17">K24+H24</f>
        <v>5225</v>
      </c>
      <c r="K24" s="32">
        <f>VLOOKUP(G24,'Прайс Gamma'!$B:$F,4,0)</f>
        <v>5225</v>
      </c>
      <c r="L24" s="11">
        <f t="shared" si="3"/>
        <v>1</v>
      </c>
      <c r="M24" s="132">
        <f t="shared" si="4"/>
        <v>1.1499999999999999</v>
      </c>
      <c r="N24" s="194">
        <f t="shared" si="16"/>
        <v>6993.7</v>
      </c>
      <c r="O24" s="190">
        <f t="shared" si="5"/>
        <v>6990</v>
      </c>
      <c r="P24" s="87">
        <f>VLOOKUP($A24,'Выгр Кат'!$A:$R,P$1,0)</f>
        <v>5225</v>
      </c>
      <c r="Q24" s="87">
        <f>VLOOKUP($A24,'Выгр Кат'!$A:$R,Q$1,0)</f>
        <v>6990</v>
      </c>
      <c r="R24" s="94">
        <f t="shared" si="6"/>
        <v>0</v>
      </c>
      <c r="S24" s="94">
        <f t="shared" si="7"/>
        <v>0</v>
      </c>
      <c r="T24" s="20">
        <f t="shared" si="1"/>
        <v>6500.7</v>
      </c>
      <c r="U24" s="209">
        <f>IFERROR(VLOOKUP($A24,'Из ГУГЛа'!$B:$G,6,0)*V24,VLOOKUP($A24,'Из ГУГЛа'!$B:$G,6,0))</f>
        <v>6790</v>
      </c>
      <c r="V24" s="75">
        <v>1</v>
      </c>
      <c r="W24" s="83">
        <f t="shared" si="8"/>
        <v>0.2441531100478469</v>
      </c>
      <c r="X24" s="83">
        <f t="shared" si="9"/>
        <v>4.2606774668630366E-2</v>
      </c>
      <c r="Y24" s="83">
        <f t="shared" si="10"/>
        <v>0.29952153110047841</v>
      </c>
      <c r="Z24" s="2">
        <v>6790</v>
      </c>
      <c r="AA24" s="36" t="s">
        <v>522</v>
      </c>
    </row>
    <row r="25" spans="1:27" ht="53.25" thickTop="1" thickBot="1">
      <c r="A25" s="41">
        <v>212269</v>
      </c>
      <c r="B25" s="87">
        <f>VLOOKUP($A25,'Выгр Кат'!$A:$R,B$1,0)</f>
        <v>34596</v>
      </c>
      <c r="C25" s="18" t="s">
        <v>241</v>
      </c>
      <c r="D25" s="86" t="str">
        <f>VLOOKUP($A25,'Выгр Кат'!$A:$R,D$1,0)</f>
        <v>Ручка КПП "Ferrum Group" Sport с кожухом для Лада Гранта, Веста</v>
      </c>
      <c r="E25" s="87" t="str">
        <f>VLOOKUP($A25,'Выгр Кат'!$A:$R,E$1,0)</f>
        <v>Y</v>
      </c>
      <c r="F25" s="87" t="str">
        <f>VLOOKUP($A25,'Выгр Кат'!$A:$R,F$1,0)</f>
        <v>1</v>
      </c>
      <c r="G25" s="100" t="s">
        <v>386</v>
      </c>
      <c r="H25" s="67"/>
      <c r="I25" s="26">
        <f>VLOOKUP(G25,'Прайс Gamma'!$A:$F,4,0)</f>
        <v>6750</v>
      </c>
      <c r="J25" s="26">
        <f t="shared" si="17"/>
        <v>7050</v>
      </c>
      <c r="K25" s="26">
        <f>VLOOKUP(G25,'Прайс Gamma'!$A:$F,5,0)</f>
        <v>7050</v>
      </c>
      <c r="L25" s="11">
        <f t="shared" si="3"/>
        <v>1.0444444444444445</v>
      </c>
      <c r="M25" s="132">
        <f t="shared" si="4"/>
        <v>1.1499999999999999</v>
      </c>
      <c r="N25" s="194">
        <f t="shared" si="16"/>
        <v>9053.7000000000007</v>
      </c>
      <c r="O25" s="190">
        <f t="shared" si="5"/>
        <v>9090</v>
      </c>
      <c r="P25" s="87">
        <f>VLOOKUP($A25,'Выгр Кат'!$A:$R,P$1,0)</f>
        <v>6750</v>
      </c>
      <c r="Q25" s="87">
        <f>VLOOKUP($A25,'Выгр Кат'!$A:$R,Q$1,0)</f>
        <v>9090</v>
      </c>
      <c r="R25" s="94">
        <f t="shared" si="6"/>
        <v>0</v>
      </c>
      <c r="S25" s="94">
        <f t="shared" si="7"/>
        <v>0</v>
      </c>
      <c r="T25" s="20">
        <f t="shared" si="1"/>
        <v>8453.6999999999989</v>
      </c>
      <c r="U25" s="209">
        <f>IFERROR(VLOOKUP($A25,'Из ГУГЛа'!$B:$G,6,0)*V25,VLOOKUP($A25,'Из ГУГЛа'!$B:$G,6,0))</f>
        <v>8790</v>
      </c>
      <c r="V25" s="75">
        <v>1</v>
      </c>
      <c r="W25" s="83">
        <f t="shared" si="8"/>
        <v>0.25239999999999974</v>
      </c>
      <c r="X25" s="83">
        <f t="shared" si="9"/>
        <v>3.8259385665529132E-2</v>
      </c>
      <c r="Y25" s="83">
        <f t="shared" si="10"/>
        <v>0.30222222222222217</v>
      </c>
      <c r="Z25" s="48">
        <v>8790</v>
      </c>
      <c r="AA25" s="36" t="s">
        <v>523</v>
      </c>
    </row>
    <row r="26" spans="1:27" ht="40.5" thickTop="1" thickBot="1">
      <c r="A26" s="41">
        <v>212268</v>
      </c>
      <c r="B26" s="87">
        <f>VLOOKUP($A26,'Выгр Кат'!$A:$R,B$1,0)</f>
        <v>31334</v>
      </c>
      <c r="C26" s="8" t="s">
        <v>158</v>
      </c>
      <c r="D26" s="86" t="str">
        <f>VLOOKUP($A26,'Выгр Кат'!$A:$R,D$1,0)</f>
        <v>Ручка КПП "Ferrum Group" BLACK CLUB (модельная) для ВАЗ 2101-2107, Лада Нива 4x4</v>
      </c>
      <c r="E26" s="87" t="str">
        <f>VLOOKUP($A26,'Выгр Кат'!$A:$R,E$1,0)</f>
        <v>Y</v>
      </c>
      <c r="F26" s="87" t="str">
        <f>VLOOKUP($A26,'Выгр Кат'!$A:$R,F$1,0)</f>
        <v>1</v>
      </c>
      <c r="G26" s="100" t="s">
        <v>389</v>
      </c>
      <c r="H26" s="67"/>
      <c r="I26" s="26">
        <f>VLOOKUP(G26,'Прайс Gamma'!$A:$F,4,0)</f>
        <v>6750</v>
      </c>
      <c r="J26" s="26">
        <f t="shared" si="17"/>
        <v>7050</v>
      </c>
      <c r="K26" s="26">
        <f>VLOOKUP(G26,'Прайс Gamma'!$A:$F,5,0)</f>
        <v>7050</v>
      </c>
      <c r="L26" s="11">
        <f t="shared" si="3"/>
        <v>1.0444444444444445</v>
      </c>
      <c r="M26" s="132">
        <f t="shared" si="4"/>
        <v>1.1499999999999999</v>
      </c>
      <c r="N26" s="194">
        <f t="shared" si="16"/>
        <v>9053.7000000000007</v>
      </c>
      <c r="O26" s="190">
        <f t="shared" si="5"/>
        <v>9090</v>
      </c>
      <c r="P26" s="87">
        <f>VLOOKUP($A26,'Выгр Кат'!$A:$R,P$1,0)</f>
        <v>6750</v>
      </c>
      <c r="Q26" s="87">
        <f>VLOOKUP($A26,'Выгр Кат'!$A:$R,Q$1,0)</f>
        <v>9090</v>
      </c>
      <c r="R26" s="94">
        <f t="shared" si="6"/>
        <v>0</v>
      </c>
      <c r="S26" s="94">
        <f t="shared" si="7"/>
        <v>0</v>
      </c>
      <c r="T26" s="20">
        <f t="shared" si="1"/>
        <v>8453.6999999999989</v>
      </c>
      <c r="U26" s="209">
        <f>IFERROR(VLOOKUP($A26,'Из ГУГЛа'!$B:$G,6,0)*V26,VLOOKUP($A26,'Из ГУГЛа'!$B:$G,6,0))</f>
        <v>8790</v>
      </c>
      <c r="V26" s="75">
        <v>1</v>
      </c>
      <c r="W26" s="83">
        <f t="shared" si="8"/>
        <v>0.25239999999999974</v>
      </c>
      <c r="X26" s="83">
        <f t="shared" si="9"/>
        <v>3.8259385665529132E-2</v>
      </c>
      <c r="Y26" s="83">
        <f t="shared" si="10"/>
        <v>0.30222222222222217</v>
      </c>
      <c r="Z26" s="2">
        <v>8790</v>
      </c>
      <c r="AA26" s="36" t="s">
        <v>524</v>
      </c>
    </row>
    <row r="27" spans="1:27" ht="46.5" thickTop="1" thickBot="1">
      <c r="A27" s="41">
        <v>212274</v>
      </c>
      <c r="B27" s="87">
        <f>VLOOKUP($A27,'Выгр Кат'!$A:$R,B$1,0)</f>
        <v>31374</v>
      </c>
      <c r="C27" s="17" t="s">
        <v>158</v>
      </c>
      <c r="D27" s="86" t="str">
        <f>VLOOKUP($A27,'Выгр Кат'!$A:$R,D$1,0)</f>
        <v>Ручка КПП "Ferrum Group" модельная для ВАЗ 2101-2107, Лада Нива 4x4</v>
      </c>
      <c r="E27" s="87" t="str">
        <f>VLOOKUP($A27,'Выгр Кат'!$A:$R,E$1,0)</f>
        <v>Y</v>
      </c>
      <c r="F27" s="87" t="str">
        <f>VLOOKUP($A27,'Выгр Кат'!$A:$R,F$1,0)</f>
        <v>1</v>
      </c>
      <c r="G27" s="100" t="s">
        <v>389</v>
      </c>
      <c r="H27" s="67"/>
      <c r="I27" s="26">
        <f>VLOOKUP(G27,'Прайс Gamma'!$A:$F,4,0)</f>
        <v>6750</v>
      </c>
      <c r="J27" s="26">
        <f t="shared" si="17"/>
        <v>7050</v>
      </c>
      <c r="K27" s="26">
        <f>VLOOKUP(G27,'Прайс Gamma'!$A:$F,5,0)</f>
        <v>7050</v>
      </c>
      <c r="L27" s="11">
        <f t="shared" si="3"/>
        <v>1.0444444444444445</v>
      </c>
      <c r="M27" s="132">
        <f t="shared" si="4"/>
        <v>1.1499999999999999</v>
      </c>
      <c r="N27" s="194">
        <f t="shared" si="16"/>
        <v>9053.7000000000007</v>
      </c>
      <c r="O27" s="190">
        <f t="shared" si="5"/>
        <v>9090</v>
      </c>
      <c r="P27" s="87">
        <f>VLOOKUP($A27,'Выгр Кат'!$A:$R,P$1,0)</f>
        <v>6750</v>
      </c>
      <c r="Q27" s="87">
        <f>VLOOKUP($A27,'Выгр Кат'!$A:$R,Q$1,0)</f>
        <v>9090</v>
      </c>
      <c r="R27" s="94">
        <f t="shared" si="6"/>
        <v>0</v>
      </c>
      <c r="S27" s="94">
        <f t="shared" si="7"/>
        <v>0</v>
      </c>
      <c r="T27" s="20">
        <f t="shared" si="1"/>
        <v>8453.6999999999989</v>
      </c>
      <c r="U27" s="209">
        <f>IFERROR(VLOOKUP($A27,'Из ГУГЛа'!$B:$G,6,0)*V27,VLOOKUP($A27,'Из ГУГЛа'!$B:$G,6,0))</f>
        <v>8790</v>
      </c>
      <c r="V27" s="75">
        <v>1</v>
      </c>
      <c r="W27" s="83">
        <f t="shared" si="8"/>
        <v>0.25239999999999974</v>
      </c>
      <c r="X27" s="83">
        <f t="shared" si="9"/>
        <v>3.8259385665529132E-2</v>
      </c>
      <c r="Y27" s="83">
        <f t="shared" si="10"/>
        <v>0.30222222222222217</v>
      </c>
      <c r="Z27" s="2">
        <v>8790</v>
      </c>
      <c r="AA27" s="36" t="s">
        <v>633</v>
      </c>
    </row>
    <row r="28" spans="1:27" ht="53.25" thickTop="1" thickBot="1">
      <c r="A28" s="41">
        <v>212270</v>
      </c>
      <c r="B28" s="87">
        <f>VLOOKUP($A28,'Выгр Кат'!$A:$R,B$1,0)</f>
        <v>36700</v>
      </c>
      <c r="C28" s="17" t="s">
        <v>241</v>
      </c>
      <c r="D28" s="86" t="str">
        <f>VLOOKUP($A28,'Выгр Кат'!$A:$R,D$1,0)</f>
        <v>Ручка КПП "Ferrum Group" Sport с кожухом для Лада Калина 2, Гранта, Гранта FL (тросовая КПП)</v>
      </c>
      <c r="E28" s="87" t="str">
        <f>VLOOKUP($A28,'Выгр Кат'!$A:$R,E$1,0)</f>
        <v>Y</v>
      </c>
      <c r="F28" s="87" t="str">
        <f>VLOOKUP($A28,'Выгр Кат'!$A:$R,F$1,0)</f>
        <v>1</v>
      </c>
      <c r="G28" s="100" t="s">
        <v>386</v>
      </c>
      <c r="H28" s="67"/>
      <c r="I28" s="26">
        <f>VLOOKUP(G28,'Прайс Gamma'!$A:$F,4,0)</f>
        <v>6750</v>
      </c>
      <c r="J28" s="26">
        <f t="shared" si="17"/>
        <v>7050</v>
      </c>
      <c r="K28" s="26">
        <f>VLOOKUP(G28,'Прайс Gamma'!$A:$F,5,0)</f>
        <v>7050</v>
      </c>
      <c r="L28" s="11">
        <f t="shared" si="3"/>
        <v>1.0444444444444445</v>
      </c>
      <c r="M28" s="132">
        <f t="shared" si="4"/>
        <v>1.1499999999999999</v>
      </c>
      <c r="N28" s="194">
        <f t="shared" si="16"/>
        <v>9053.7000000000007</v>
      </c>
      <c r="O28" s="190">
        <f t="shared" si="5"/>
        <v>9090</v>
      </c>
      <c r="P28" s="87">
        <f>VLOOKUP($A28,'Выгр Кат'!$A:$R,P$1,0)</f>
        <v>6750</v>
      </c>
      <c r="Q28" s="87">
        <f>VLOOKUP($A28,'Выгр Кат'!$A:$R,Q$1,0)</f>
        <v>9090</v>
      </c>
      <c r="R28" s="94">
        <f t="shared" si="6"/>
        <v>0</v>
      </c>
      <c r="S28" s="94">
        <f t="shared" si="7"/>
        <v>0</v>
      </c>
      <c r="T28" s="20">
        <f t="shared" si="1"/>
        <v>8453.6999999999989</v>
      </c>
      <c r="U28" s="209">
        <f>IFERROR(VLOOKUP($A28,'Из ГУГЛа'!$B:$G,6,0)*V28,VLOOKUP($A28,'Из ГУГЛа'!$B:$G,6,0))</f>
        <v>8790</v>
      </c>
      <c r="V28" s="75">
        <v>1</v>
      </c>
      <c r="W28" s="83">
        <f t="shared" si="8"/>
        <v>0.25239999999999974</v>
      </c>
      <c r="X28" s="83">
        <f t="shared" si="9"/>
        <v>3.8259385665529132E-2</v>
      </c>
      <c r="Y28" s="83">
        <f t="shared" si="10"/>
        <v>0.30222222222222217</v>
      </c>
      <c r="Z28" s="48">
        <v>8790</v>
      </c>
      <c r="AA28" s="36" t="s">
        <v>523</v>
      </c>
    </row>
    <row r="29" spans="1:27" ht="46.5" thickTop="1" thickBot="1">
      <c r="A29" s="41">
        <v>158827</v>
      </c>
      <c r="B29" s="87">
        <f>VLOOKUP($A29,'Выгр Кат'!$A:$R,B$1,0)</f>
        <v>23743</v>
      </c>
      <c r="C29" s="8" t="s">
        <v>155</v>
      </c>
      <c r="D29" s="86" t="str">
        <f>VLOOKUP($A29,'Выгр Кат'!$A:$R,D$1,0)</f>
        <v>Комплект органайзеров "Ferrum Group" на спинки сидений для Лада Калина, Калина 2, Гранта, Приора, Веста, XRAY</v>
      </c>
      <c r="E29" s="87" t="str">
        <f>VLOOKUP($A29,'Выгр Кат'!$A:$R,E$1,0)</f>
        <v>Y</v>
      </c>
      <c r="F29" s="87" t="str">
        <f>VLOOKUP($A29,'Выгр Кат'!$A:$R,F$1,0)</f>
        <v>1</v>
      </c>
      <c r="G29" s="100" t="s">
        <v>334</v>
      </c>
      <c r="H29" s="67"/>
      <c r="I29" s="38">
        <f>VLOOKUP(G29,'Прайс Gamma'!$A:$F,4,0)*2</f>
        <v>3800</v>
      </c>
      <c r="J29" s="38">
        <f t="shared" si="17"/>
        <v>5200</v>
      </c>
      <c r="K29" s="38">
        <f>VLOOKUP(G29,'Прайс Gamma'!$A:$F,5,0)*2</f>
        <v>5200</v>
      </c>
      <c r="L29" s="11">
        <f t="shared" si="3"/>
        <v>1.368421052631579</v>
      </c>
      <c r="M29" s="132">
        <f t="shared" si="4"/>
        <v>1.368421052631579</v>
      </c>
      <c r="N29" s="195">
        <f t="shared" ref="N29" si="18">Z29*1.05</f>
        <v>5439</v>
      </c>
      <c r="O29" s="190">
        <f t="shared" si="5"/>
        <v>5490</v>
      </c>
      <c r="P29" s="87">
        <f>VLOOKUP($A29,'Выгр Кат'!$A:$R,P$1,0)</f>
        <v>3800</v>
      </c>
      <c r="Q29" s="87">
        <f>VLOOKUP($A29,'Выгр Кат'!$A:$R,Q$1,0)</f>
        <v>5490</v>
      </c>
      <c r="R29" s="94">
        <f t="shared" si="6"/>
        <v>0</v>
      </c>
      <c r="S29" s="94">
        <f t="shared" si="7"/>
        <v>0</v>
      </c>
      <c r="T29" s="20">
        <f t="shared" si="1"/>
        <v>5105.7</v>
      </c>
      <c r="U29" s="209">
        <f>IFERROR(VLOOKUP($A29,'Из ГУГЛа'!$B:$G,6,0)*V29,VLOOKUP($A29,'Из ГУГЛа'!$B:$G,6,0))</f>
        <v>5180</v>
      </c>
      <c r="V29" s="75">
        <v>2</v>
      </c>
      <c r="W29" s="83">
        <f t="shared" si="8"/>
        <v>0.34360526315789475</v>
      </c>
      <c r="X29" s="83">
        <f t="shared" si="9"/>
        <v>1.4343629343629379E-2</v>
      </c>
      <c r="Y29" s="83">
        <f t="shared" si="10"/>
        <v>0.36315789473684212</v>
      </c>
      <c r="Z29" s="2">
        <f>2590*2</f>
        <v>5180</v>
      </c>
      <c r="AA29" s="36" t="s">
        <v>525</v>
      </c>
    </row>
    <row r="30" spans="1:27" ht="46.5" thickTop="1" thickBot="1">
      <c r="A30" s="41">
        <v>169735</v>
      </c>
      <c r="B30" s="87">
        <f>VLOOKUP($A30,'Выгр Кат'!$A:$R,B$1,0)</f>
        <v>23720</v>
      </c>
      <c r="C30" s="18" t="s">
        <v>233</v>
      </c>
      <c r="D30" s="86" t="str">
        <f>VLOOKUP($A30,'Выгр Кат'!$A:$R,D$1,0)</f>
        <v>Накладки на педали "Ferrum Group" для Лада Веста (AMT, 1.6L)</v>
      </c>
      <c r="E30" s="87" t="str">
        <f>VLOOKUP($A30,'Выгр Кат'!$A:$R,E$1,0)</f>
        <v>Y</v>
      </c>
      <c r="F30" s="87" t="str">
        <f>VLOOKUP($A30,'Выгр Кат'!$A:$R,F$1,0)</f>
        <v>1</v>
      </c>
      <c r="G30" s="100" t="s">
        <v>473</v>
      </c>
      <c r="H30" s="67"/>
      <c r="I30" s="26">
        <f>VLOOKUP(G30,'Прайс Gamma'!$A:$F,4,0)</f>
        <v>5000</v>
      </c>
      <c r="J30" s="26">
        <f t="shared" si="17"/>
        <v>6000</v>
      </c>
      <c r="K30" s="26">
        <f>VLOOKUP(G30,'Прайс Gamma'!$A:$F,5,0)</f>
        <v>6000</v>
      </c>
      <c r="L30" s="11">
        <f t="shared" si="3"/>
        <v>1.2</v>
      </c>
      <c r="M30" s="132">
        <f t="shared" si="4"/>
        <v>1.2</v>
      </c>
      <c r="N30" s="192">
        <f t="shared" ref="N30" si="19">I30*M30*100/93</f>
        <v>6451.6129032258068</v>
      </c>
      <c r="O30" s="190">
        <f t="shared" si="5"/>
        <v>6490</v>
      </c>
      <c r="P30" s="87">
        <f>VLOOKUP($A30,'Выгр Кат'!$A:$R,P$1,0)</f>
        <v>5000</v>
      </c>
      <c r="Q30" s="87">
        <f>VLOOKUP($A30,'Выгр Кат'!$A:$R,Q$1,0)</f>
        <v>6490</v>
      </c>
      <c r="R30" s="94">
        <f t="shared" si="6"/>
        <v>0</v>
      </c>
      <c r="S30" s="94">
        <f t="shared" si="7"/>
        <v>0</v>
      </c>
      <c r="T30" s="20">
        <f t="shared" si="1"/>
        <v>6035.7</v>
      </c>
      <c r="U30" s="209">
        <f>IFERROR(VLOOKUP($A30,'Из ГУГЛа'!$B:$G,6,0)*V30,VLOOKUP($A30,'Из ГУГЛа'!$B:$G,6,0))</f>
        <v>5890</v>
      </c>
      <c r="V30" s="75">
        <v>1</v>
      </c>
      <c r="W30" s="83">
        <f t="shared" si="8"/>
        <v>0.20713999999999988</v>
      </c>
      <c r="X30" s="83">
        <f t="shared" si="9"/>
        <v>-2.4736842105263127E-2</v>
      </c>
      <c r="Y30" s="83">
        <f t="shared" si="10"/>
        <v>0.17799999999999994</v>
      </c>
      <c r="Z30" s="2">
        <v>5890</v>
      </c>
      <c r="AA30" s="36" t="s">
        <v>527</v>
      </c>
    </row>
    <row r="31" spans="1:27" ht="40.5" thickTop="1" thickBot="1">
      <c r="A31" s="41">
        <v>169736</v>
      </c>
      <c r="B31" s="87">
        <f>VLOOKUP($A31,'Выгр Кат'!$A:$R,B$1,0)</f>
        <v>23719</v>
      </c>
      <c r="C31" s="8" t="s">
        <v>151</v>
      </c>
      <c r="D31" s="86" t="str">
        <f>VLOOKUP($A31,'Выгр Кат'!$A:$R,D$1,0)</f>
        <v>Накладки на педали "Ferrum Group" для Лада Веста (AMT, 1.8L)</v>
      </c>
      <c r="E31" s="87" t="str">
        <f>VLOOKUP($A31,'Выгр Кат'!$A:$R,E$1,0)</f>
        <v>Y</v>
      </c>
      <c r="F31" s="87" t="str">
        <f>VLOOKUP($A31,'Выгр Кат'!$A:$R,F$1,0)</f>
        <v>1</v>
      </c>
      <c r="G31" s="100" t="s">
        <v>473</v>
      </c>
      <c r="H31" s="67"/>
      <c r="I31" s="26">
        <f>VLOOKUP(G31,'Прайс Gamma'!$A:$F,4,0)</f>
        <v>5000</v>
      </c>
      <c r="J31" s="26">
        <f t="shared" si="17"/>
        <v>6000</v>
      </c>
      <c r="K31" s="26">
        <f>VLOOKUP(G31,'Прайс Gamma'!$A:$F,5,0)</f>
        <v>6000</v>
      </c>
      <c r="L31" s="11">
        <f t="shared" si="3"/>
        <v>1.2</v>
      </c>
      <c r="M31" s="132">
        <f t="shared" si="4"/>
        <v>1.2</v>
      </c>
      <c r="N31" s="194">
        <f>Z31*1.03</f>
        <v>6684.7</v>
      </c>
      <c r="O31" s="190">
        <f t="shared" si="5"/>
        <v>6690</v>
      </c>
      <c r="P31" s="87">
        <f>VLOOKUP($A31,'Выгр Кат'!$A:$R,P$1,0)</f>
        <v>5000</v>
      </c>
      <c r="Q31" s="87">
        <f>VLOOKUP($A31,'Выгр Кат'!$A:$R,Q$1,0)</f>
        <v>6690</v>
      </c>
      <c r="R31" s="94">
        <f t="shared" si="6"/>
        <v>0</v>
      </c>
      <c r="S31" s="94">
        <f t="shared" si="7"/>
        <v>0</v>
      </c>
      <c r="T31" s="20">
        <f t="shared" si="1"/>
        <v>6221.7</v>
      </c>
      <c r="U31" s="209">
        <f>IFERROR(VLOOKUP($A31,'Из ГУГЛа'!$B:$G,6,0)*V31,VLOOKUP($A31,'Из ГУГЛа'!$B:$G,6,0))</f>
        <v>6490</v>
      </c>
      <c r="V31" s="75">
        <v>1</v>
      </c>
      <c r="W31" s="83">
        <f t="shared" si="8"/>
        <v>0.24434</v>
      </c>
      <c r="X31" s="83">
        <f t="shared" si="9"/>
        <v>4.1340523882896794E-2</v>
      </c>
      <c r="Y31" s="83">
        <f t="shared" si="10"/>
        <v>0.29800000000000004</v>
      </c>
      <c r="Z31" s="2">
        <v>6490</v>
      </c>
      <c r="AA31" s="36" t="s">
        <v>526</v>
      </c>
    </row>
    <row r="32" spans="1:27" ht="46.5" thickTop="1" thickBot="1">
      <c r="A32" s="41">
        <v>169732</v>
      </c>
      <c r="B32" s="87">
        <f>VLOOKUP($A32,'Выгр Кат'!$A:$R,B$1,0)</f>
        <v>23722</v>
      </c>
      <c r="C32" s="18" t="s">
        <v>230</v>
      </c>
      <c r="D32" s="86" t="str">
        <f>VLOOKUP($A32,'Выгр Кат'!$A:$R,D$1,0)</f>
        <v>Накладки на педали "Ferrum Group" для Лада XRAY (AMT)</v>
      </c>
      <c r="E32" s="87" t="str">
        <f>VLOOKUP($A32,'Выгр Кат'!$A:$R,E$1,0)</f>
        <v>Y</v>
      </c>
      <c r="F32" s="87" t="str">
        <f>VLOOKUP($A32,'Выгр Кат'!$A:$R,F$1,0)</f>
        <v>1</v>
      </c>
      <c r="G32" s="100" t="s">
        <v>613</v>
      </c>
      <c r="H32" s="67"/>
      <c r="I32" s="26">
        <f>VLOOKUP(G32,'Прайс Gamma'!$A:$F,4,0)</f>
        <v>5000</v>
      </c>
      <c r="J32" s="26">
        <f t="shared" si="17"/>
        <v>6000</v>
      </c>
      <c r="K32" s="26">
        <f>VLOOKUP(G32,'Прайс Gamma'!$A:$F,5,0)</f>
        <v>6000</v>
      </c>
      <c r="L32" s="11">
        <f t="shared" si="3"/>
        <v>1.2</v>
      </c>
      <c r="M32" s="132">
        <f t="shared" si="4"/>
        <v>1.2</v>
      </c>
      <c r="N32" s="194">
        <f>Z32*1.03</f>
        <v>6684.7</v>
      </c>
      <c r="O32" s="190">
        <f t="shared" si="5"/>
        <v>6690</v>
      </c>
      <c r="P32" s="87">
        <f>VLOOKUP($A32,'Выгр Кат'!$A:$R,P$1,0)</f>
        <v>5000</v>
      </c>
      <c r="Q32" s="87">
        <f>VLOOKUP($A32,'Выгр Кат'!$A:$R,Q$1,0)</f>
        <v>6690</v>
      </c>
      <c r="R32" s="94">
        <f t="shared" si="6"/>
        <v>0</v>
      </c>
      <c r="S32" s="94">
        <f t="shared" si="7"/>
        <v>0</v>
      </c>
      <c r="T32" s="20">
        <f t="shared" si="1"/>
        <v>6221.7</v>
      </c>
      <c r="U32" s="209">
        <f>IFERROR(VLOOKUP($A32,'Из ГУГЛа'!$B:$G,6,0)*V32,VLOOKUP($A32,'Из ГУГЛа'!$B:$G,6,0))</f>
        <v>6490</v>
      </c>
      <c r="V32" s="75">
        <v>1</v>
      </c>
      <c r="W32" s="83">
        <f t="shared" si="8"/>
        <v>0.24434</v>
      </c>
      <c r="X32" s="83">
        <f t="shared" si="9"/>
        <v>4.1340523882896794E-2</v>
      </c>
      <c r="Y32" s="83">
        <f t="shared" si="10"/>
        <v>0.29800000000000004</v>
      </c>
      <c r="Z32" s="2">
        <v>6490</v>
      </c>
      <c r="AA32" s="36" t="s">
        <v>528</v>
      </c>
    </row>
    <row r="33" spans="1:27" ht="46.5" thickTop="1" thickBot="1">
      <c r="A33" s="41">
        <v>226780</v>
      </c>
      <c r="B33" s="87">
        <f>VLOOKUP($A33,'Выгр Кат'!$A:$R,B$1,0)</f>
        <v>23724</v>
      </c>
      <c r="C33" s="18" t="s">
        <v>215</v>
      </c>
      <c r="D33" s="86" t="str">
        <f>VLOOKUP($A33,'Выгр Кат'!$A:$R,D$1,0)</f>
        <v>Щиток комбинации приборов "Ferrum Group" (c отделкой из кожи) для Лада Гранта</v>
      </c>
      <c r="E33" s="87" t="str">
        <f>VLOOKUP($A33,'Выгр Кат'!$A:$R,E$1,0)</f>
        <v>Y</v>
      </c>
      <c r="F33" s="87" t="str">
        <f>VLOOKUP($A33,'Выгр Кат'!$A:$R,F$1,0)</f>
        <v>1</v>
      </c>
      <c r="G33" s="100" t="s">
        <v>328</v>
      </c>
      <c r="H33" s="67"/>
      <c r="I33" s="26">
        <f>VLOOKUP(G33,'Прайс Gamma'!$A:$F,4,0)</f>
        <v>5000</v>
      </c>
      <c r="J33" s="26">
        <f t="shared" si="17"/>
        <v>6000</v>
      </c>
      <c r="K33" s="26">
        <f>VLOOKUP(G33,'Прайс Gamma'!$A:$F,5,0)</f>
        <v>6000</v>
      </c>
      <c r="L33" s="11">
        <f t="shared" si="3"/>
        <v>1.2</v>
      </c>
      <c r="M33" s="132">
        <f t="shared" si="4"/>
        <v>1.2</v>
      </c>
      <c r="N33" s="194">
        <f>Z33*1.03</f>
        <v>6684.7</v>
      </c>
      <c r="O33" s="190">
        <f t="shared" si="5"/>
        <v>6690</v>
      </c>
      <c r="P33" s="87">
        <f>VLOOKUP($A33,'Выгр Кат'!$A:$R,P$1,0)</f>
        <v>5000</v>
      </c>
      <c r="Q33" s="87">
        <f>VLOOKUP($A33,'Выгр Кат'!$A:$R,Q$1,0)</f>
        <v>6690</v>
      </c>
      <c r="R33" s="94">
        <f t="shared" si="6"/>
        <v>0</v>
      </c>
      <c r="S33" s="94">
        <f t="shared" si="7"/>
        <v>0</v>
      </c>
      <c r="T33" s="20">
        <f t="shared" si="1"/>
        <v>6221.7</v>
      </c>
      <c r="U33" s="209">
        <f>IFERROR(VLOOKUP($A33,'Из ГУГЛа'!$B:$G,6,0)*V33,VLOOKUP($A33,'Из ГУГЛа'!$B:$G,6,0))</f>
        <v>6490</v>
      </c>
      <c r="V33" s="75">
        <v>1</v>
      </c>
      <c r="W33" s="83">
        <f t="shared" si="8"/>
        <v>0.24434</v>
      </c>
      <c r="X33" s="83">
        <f t="shared" si="9"/>
        <v>4.1340523882896794E-2</v>
      </c>
      <c r="Y33" s="83">
        <f t="shared" si="10"/>
        <v>0.29800000000000004</v>
      </c>
      <c r="Z33" s="2">
        <v>6490</v>
      </c>
      <c r="AA33" s="36" t="s">
        <v>532</v>
      </c>
    </row>
    <row r="34" spans="1:27" ht="31.5" thickTop="1" thickBot="1">
      <c r="A34" s="41">
        <v>226787</v>
      </c>
      <c r="B34" s="87">
        <f>VLOOKUP($A34,'Выгр Кат'!$A:$R,B$1,0)</f>
        <v>23725</v>
      </c>
      <c r="C34" s="18" t="s">
        <v>216</v>
      </c>
      <c r="D34" s="86" t="str">
        <f>VLOOKUP($A34,'Выгр Кат'!$A:$R,D$1,0)</f>
        <v>Щиток комбинации приборов "Ferrum Group" для Лада Гранта</v>
      </c>
      <c r="E34" s="87" t="str">
        <f>VLOOKUP($A34,'Выгр Кат'!$A:$R,E$1,0)</f>
        <v>Y</v>
      </c>
      <c r="F34" s="87" t="str">
        <f>VLOOKUP($A34,'Выгр Кат'!$A:$R,F$1,0)</f>
        <v>1</v>
      </c>
      <c r="G34" s="100" t="s">
        <v>328</v>
      </c>
      <c r="H34" s="67"/>
      <c r="I34" s="26">
        <f>VLOOKUP(G34,'Прайс Gamma'!$A:$F,4,0)</f>
        <v>5000</v>
      </c>
      <c r="J34" s="26">
        <f t="shared" si="17"/>
        <v>6000</v>
      </c>
      <c r="K34" s="26">
        <f>VLOOKUP(G34,'Прайс Gamma'!$A:$F,5,0)</f>
        <v>6000</v>
      </c>
      <c r="L34" s="11">
        <f t="shared" si="3"/>
        <v>1.2</v>
      </c>
      <c r="M34" s="132">
        <f t="shared" si="4"/>
        <v>1.2</v>
      </c>
      <c r="N34" s="194">
        <f>Z34*1.03</f>
        <v>6684.7</v>
      </c>
      <c r="O34" s="190">
        <f t="shared" si="5"/>
        <v>6690</v>
      </c>
      <c r="P34" s="87">
        <f>VLOOKUP($A34,'Выгр Кат'!$A:$R,P$1,0)</f>
        <v>5000</v>
      </c>
      <c r="Q34" s="87">
        <f>VLOOKUP($A34,'Выгр Кат'!$A:$R,Q$1,0)</f>
        <v>6690</v>
      </c>
      <c r="R34" s="94">
        <f t="shared" si="6"/>
        <v>0</v>
      </c>
      <c r="S34" s="94">
        <f t="shared" si="7"/>
        <v>0</v>
      </c>
      <c r="T34" s="20">
        <f t="shared" si="1"/>
        <v>6221.7</v>
      </c>
      <c r="U34" s="209">
        <f>IFERROR(VLOOKUP($A34,'Из ГУГЛа'!$B:$G,6,0)*V34,VLOOKUP($A34,'Из ГУГЛа'!$B:$G,6,0))</f>
        <v>6490</v>
      </c>
      <c r="V34" s="75">
        <v>1</v>
      </c>
      <c r="W34" s="83">
        <f t="shared" si="8"/>
        <v>0.24434</v>
      </c>
      <c r="X34" s="83">
        <f t="shared" si="9"/>
        <v>4.1340523882896794E-2</v>
      </c>
      <c r="Y34" s="83">
        <f t="shared" si="10"/>
        <v>0.29800000000000004</v>
      </c>
      <c r="Z34" s="2">
        <v>6490</v>
      </c>
      <c r="AA34" s="36" t="s">
        <v>531</v>
      </c>
    </row>
    <row r="35" spans="1:27" ht="46.5" thickTop="1" thickBot="1">
      <c r="A35" s="41">
        <v>169734</v>
      </c>
      <c r="B35" s="87">
        <f>VLOOKUP($A35,'Выгр Кат'!$A:$R,B$1,0)</f>
        <v>23721</v>
      </c>
      <c r="C35" s="18" t="s">
        <v>232</v>
      </c>
      <c r="D35" s="86" t="str">
        <f>VLOOKUP($A35,'Выгр Кат'!$A:$R,D$1,0)</f>
        <v>Накладки на педали "Ferrum Group" для Лада Веста</v>
      </c>
      <c r="E35" s="87" t="str">
        <f>VLOOKUP($A35,'Выгр Кат'!$A:$R,E$1,0)</f>
        <v>Y</v>
      </c>
      <c r="F35" s="87" t="str">
        <f>VLOOKUP($A35,'Выгр Кат'!$A:$R,F$1,0)</f>
        <v>1</v>
      </c>
      <c r="G35" s="100" t="s">
        <v>474</v>
      </c>
      <c r="H35" s="67"/>
      <c r="I35" s="26">
        <f>VLOOKUP(G35,'Прайс Gamma'!$A:$F,4,0)</f>
        <v>5300</v>
      </c>
      <c r="J35" s="26">
        <f t="shared" si="17"/>
        <v>6300</v>
      </c>
      <c r="K35" s="26">
        <f>VLOOKUP(G35,'Прайс Gamma'!$A:$F,5,0)</f>
        <v>6300</v>
      </c>
      <c r="L35" s="11">
        <f t="shared" si="3"/>
        <v>1.1886792452830188</v>
      </c>
      <c r="M35" s="132">
        <f t="shared" si="4"/>
        <v>1.1886792452830188</v>
      </c>
      <c r="N35" s="194">
        <f>Z35*1.03</f>
        <v>7096.7</v>
      </c>
      <c r="O35" s="190">
        <f t="shared" si="5"/>
        <v>7090</v>
      </c>
      <c r="P35" s="87">
        <f>VLOOKUP($A35,'Выгр Кат'!$A:$R,P$1,0)</f>
        <v>5300</v>
      </c>
      <c r="Q35" s="87">
        <f>VLOOKUP($A35,'Выгр Кат'!$A:$R,Q$1,0)</f>
        <v>7090</v>
      </c>
      <c r="R35" s="94">
        <f t="shared" si="6"/>
        <v>0</v>
      </c>
      <c r="S35" s="94">
        <f t="shared" si="7"/>
        <v>0</v>
      </c>
      <c r="T35" s="20">
        <f t="shared" si="1"/>
        <v>6593.7</v>
      </c>
      <c r="U35" s="209">
        <f>IFERROR(VLOOKUP($A35,'Из ГУГЛа'!$B:$G,6,0)*V35,VLOOKUP($A35,'Из ГУГЛа'!$B:$G,6,0))</f>
        <v>6890</v>
      </c>
      <c r="V35" s="75">
        <v>1</v>
      </c>
      <c r="W35" s="83">
        <f t="shared" si="8"/>
        <v>0.24409433962264138</v>
      </c>
      <c r="X35" s="83">
        <f t="shared" si="9"/>
        <v>4.3004354136429633E-2</v>
      </c>
      <c r="Y35" s="83">
        <f t="shared" si="10"/>
        <v>0.30000000000000004</v>
      </c>
      <c r="Z35" s="2">
        <v>6890</v>
      </c>
      <c r="AA35" s="36" t="s">
        <v>529</v>
      </c>
    </row>
    <row r="36" spans="1:27" ht="39" thickTop="1">
      <c r="A36" s="41">
        <v>169731</v>
      </c>
      <c r="B36" s="87">
        <f>VLOOKUP($A36,'Выгр Кат'!$A:$R,B$1,0)</f>
        <v>23714</v>
      </c>
      <c r="C36" s="8" t="s">
        <v>150</v>
      </c>
      <c r="D36" s="86" t="str">
        <f>VLOOKUP($A36,'Выгр Кат'!$A:$R,D$1,0)</f>
        <v>Накладки на педали "Ferrum Group" для Renault Arkana</v>
      </c>
      <c r="E36" s="87" t="str">
        <f>VLOOKUP($A36,'Выгр Кат'!$A:$R,E$1,0)</f>
        <v>Y</v>
      </c>
      <c r="F36" s="87" t="str">
        <f>VLOOKUP($A36,'Выгр Кат'!$A:$R,F$1,0)</f>
        <v>1</v>
      </c>
      <c r="G36" s="9" t="s">
        <v>268</v>
      </c>
      <c r="H36" s="9"/>
      <c r="I36" s="39">
        <v>5385</v>
      </c>
      <c r="J36" s="21">
        <f t="shared" si="17"/>
        <v>6385</v>
      </c>
      <c r="K36" s="21">
        <v>6385</v>
      </c>
      <c r="L36" s="11">
        <f t="shared" si="3"/>
        <v>1.1857010213556174</v>
      </c>
      <c r="M36" s="132">
        <f t="shared" si="4"/>
        <v>1.1857010213556174</v>
      </c>
      <c r="N36" s="192">
        <f t="shared" si="12"/>
        <v>6865.5913978494627</v>
      </c>
      <c r="O36" s="190">
        <f t="shared" si="5"/>
        <v>6890</v>
      </c>
      <c r="P36" s="87">
        <f>VLOOKUP($A36,'Выгр Кат'!$A:$R,P$1,0)</f>
        <v>5385</v>
      </c>
      <c r="Q36" s="87">
        <f>VLOOKUP($A36,'Выгр Кат'!$A:$R,Q$1,0)</f>
        <v>6890</v>
      </c>
      <c r="R36" s="94">
        <f t="shared" si="6"/>
        <v>0</v>
      </c>
      <c r="S36" s="94">
        <f t="shared" si="7"/>
        <v>0</v>
      </c>
      <c r="T36" s="20">
        <f t="shared" si="1"/>
        <v>6407.7</v>
      </c>
      <c r="U36" s="209" t="str">
        <f>IFERROR(VLOOKUP($A36,'Из ГУГЛа'!$B:$G,6,0)*V36,VLOOKUP($A36,'Из ГУГЛа'!$B:$G,6,0))</f>
        <v/>
      </c>
      <c r="V36" s="75">
        <v>1</v>
      </c>
      <c r="W36" s="83">
        <f t="shared" si="8"/>
        <v>0.18991643454038987</v>
      </c>
      <c r="X36" s="83" t="str">
        <f t="shared" si="9"/>
        <v/>
      </c>
      <c r="Y36" s="83" t="str">
        <f t="shared" si="10"/>
        <v/>
      </c>
      <c r="Z36" s="47"/>
    </row>
    <row r="37" spans="1:27" ht="30.75" thickBot="1">
      <c r="A37" s="41">
        <v>138622</v>
      </c>
      <c r="B37" s="87">
        <f>VLOOKUP($A37,'Выгр Кат'!$A:$R,B$1,0)</f>
        <v>7078</v>
      </c>
      <c r="C37" s="18" t="s">
        <v>217</v>
      </c>
      <c r="D37" s="86" t="str">
        <f>VLOOKUP($A37,'Выгр Кат'!$A:$R,D$1,0)</f>
        <v>Бортовой компьютер "Ferrum Group" GF 207 для ВАЗ 2105, 2107</v>
      </c>
      <c r="E37" s="87" t="str">
        <f>VLOOKUP($A37,'Выгр Кат'!$A:$R,E$1,0)</f>
        <v>Y</v>
      </c>
      <c r="F37" s="87" t="str">
        <f>VLOOKUP($A37,'Выгр Кат'!$A:$R,F$1,0)</f>
        <v>1</v>
      </c>
      <c r="G37" s="96" t="s">
        <v>272</v>
      </c>
      <c r="H37" s="34"/>
      <c r="I37" s="32">
        <f>VLOOKUP(G37,'Прайс Gamma'!$B:$F,3,0)</f>
        <v>6600</v>
      </c>
      <c r="J37" s="32">
        <f t="shared" ref="J37:J38" si="20">K37+H37</f>
        <v>7600</v>
      </c>
      <c r="K37" s="32">
        <f>VLOOKUP(G37,'Прайс Gamma'!$B:$F,4,0)</f>
        <v>7600</v>
      </c>
      <c r="L37" s="11">
        <f t="shared" si="3"/>
        <v>1.1515151515151516</v>
      </c>
      <c r="M37" s="132">
        <f t="shared" si="4"/>
        <v>1.1515151515151516</v>
      </c>
      <c r="N37" s="194">
        <f t="shared" ref="N37:N38" si="21">Z37*1.03</f>
        <v>8847.7000000000007</v>
      </c>
      <c r="O37" s="190">
        <f t="shared" si="5"/>
        <v>8890</v>
      </c>
      <c r="P37" s="87">
        <f>VLOOKUP($A37,'Выгр Кат'!$A:$R,P$1,0)</f>
        <v>6600</v>
      </c>
      <c r="Q37" s="87">
        <f>VLOOKUP($A37,'Выгр Кат'!$A:$R,Q$1,0)</f>
        <v>8890</v>
      </c>
      <c r="R37" s="94">
        <f t="shared" si="6"/>
        <v>0</v>
      </c>
      <c r="S37" s="94">
        <f t="shared" si="7"/>
        <v>0</v>
      </c>
      <c r="T37" s="20">
        <f t="shared" si="1"/>
        <v>8267.6999999999989</v>
      </c>
      <c r="U37" s="209">
        <f>IFERROR(VLOOKUP($A37,'Из ГУГЛа'!$B:$G,6,0)*V37,VLOOKUP($A37,'Из ГУГЛа'!$B:$G,6,0))</f>
        <v>8590</v>
      </c>
      <c r="V37" s="75">
        <v>1</v>
      </c>
      <c r="W37" s="83">
        <f t="shared" si="8"/>
        <v>0.25268181818181801</v>
      </c>
      <c r="X37" s="83">
        <f t="shared" si="9"/>
        <v>3.7520372526193377E-2</v>
      </c>
      <c r="Y37" s="83">
        <f t="shared" si="10"/>
        <v>0.30151515151515151</v>
      </c>
      <c r="Z37" s="2">
        <v>8590</v>
      </c>
      <c r="AA37" s="36" t="s">
        <v>534</v>
      </c>
    </row>
    <row r="38" spans="1:27" ht="31.5" thickTop="1" thickBot="1">
      <c r="A38" s="41">
        <v>138623</v>
      </c>
      <c r="B38" s="87">
        <f>VLOOKUP($A38,'Выгр Кат'!$A:$R,B$1,0)</f>
        <v>7054</v>
      </c>
      <c r="C38" s="18" t="s">
        <v>218</v>
      </c>
      <c r="D38" s="86" t="str">
        <f>VLOOKUP($A38,'Выгр Кат'!$A:$R,D$1,0)</f>
        <v>Бортовой компьютер "Ferrum Group" GF 215T для ВАЗ 2108-21099, 2113-2115</v>
      </c>
      <c r="E38" s="87" t="str">
        <f>VLOOKUP($A38,'Выгр Кат'!$A:$R,E$1,0)</f>
        <v>Y</v>
      </c>
      <c r="F38" s="87" t="str">
        <f>VLOOKUP($A38,'Выгр Кат'!$A:$R,F$1,0)</f>
        <v>1</v>
      </c>
      <c r="G38" s="96" t="s">
        <v>271</v>
      </c>
      <c r="H38" s="34"/>
      <c r="I38" s="32">
        <f>VLOOKUP(G38,'Прайс Gamma'!$B:$F,3,0)</f>
        <v>6600</v>
      </c>
      <c r="J38" s="32">
        <f t="shared" si="20"/>
        <v>7600</v>
      </c>
      <c r="K38" s="32">
        <f>VLOOKUP(G38,'Прайс Gamma'!$B:$F,4,0)</f>
        <v>7600</v>
      </c>
      <c r="L38" s="11">
        <f t="shared" si="3"/>
        <v>1.1515151515151516</v>
      </c>
      <c r="M38" s="132">
        <f t="shared" si="4"/>
        <v>1.1515151515151516</v>
      </c>
      <c r="N38" s="194">
        <f t="shared" si="21"/>
        <v>8847.7000000000007</v>
      </c>
      <c r="O38" s="190">
        <f t="shared" si="5"/>
        <v>8890</v>
      </c>
      <c r="P38" s="87">
        <f>VLOOKUP($A38,'Выгр Кат'!$A:$R,P$1,0)</f>
        <v>6200</v>
      </c>
      <c r="Q38" s="87">
        <f>VLOOKUP($A38,'Выгр Кат'!$A:$R,Q$1,0)</f>
        <v>8890</v>
      </c>
      <c r="R38" s="94">
        <f t="shared" si="6"/>
        <v>-400</v>
      </c>
      <c r="S38" s="94">
        <f t="shared" si="7"/>
        <v>0</v>
      </c>
      <c r="T38" s="20">
        <f t="shared" si="1"/>
        <v>8267.6999999999989</v>
      </c>
      <c r="U38" s="209">
        <f>IFERROR(VLOOKUP($A38,'Из ГУГЛа'!$B:$G,6,0)*V38,VLOOKUP($A38,'Из ГУГЛа'!$B:$G,6,0))</f>
        <v>8590</v>
      </c>
      <c r="V38" s="75">
        <v>1</v>
      </c>
      <c r="W38" s="83">
        <f t="shared" si="8"/>
        <v>0.25268181818181801</v>
      </c>
      <c r="X38" s="83">
        <f t="shared" si="9"/>
        <v>3.7520372526193377E-2</v>
      </c>
      <c r="Y38" s="83">
        <f t="shared" si="10"/>
        <v>0.30151515151515151</v>
      </c>
      <c r="Z38" s="2">
        <v>8590</v>
      </c>
      <c r="AA38" s="36" t="s">
        <v>533</v>
      </c>
    </row>
    <row r="39" spans="1:27" ht="53.25" thickTop="1" thickBot="1">
      <c r="A39" s="41">
        <v>163996</v>
      </c>
      <c r="B39" s="87">
        <f>VLOOKUP($A39,'Выгр Кат'!$A:$R,B$1,0)</f>
        <v>24856</v>
      </c>
      <c r="C39" s="8" t="s">
        <v>137</v>
      </c>
      <c r="D39" s="86" t="str">
        <f>VLOOKUP($A39,'Выгр Кат'!$A:$R,D$1,0)</f>
        <v>Модельная ручка КПП "Ferrum Group" Sport для Лада Веста</v>
      </c>
      <c r="E39" s="87" t="str">
        <f>VLOOKUP($A39,'Выгр Кат'!$A:$R,E$1,0)</f>
        <v>Y</v>
      </c>
      <c r="F39" s="87" t="str">
        <f>VLOOKUP($A39,'Выгр Кат'!$A:$R,F$1,0)</f>
        <v>1</v>
      </c>
      <c r="G39" s="100" t="s">
        <v>382</v>
      </c>
      <c r="H39" s="67"/>
      <c r="I39" s="26">
        <f>VLOOKUP(G39,'Прайс Gamma'!$A:$F,4,0)</f>
        <v>7720</v>
      </c>
      <c r="J39" s="26">
        <f t="shared" si="17"/>
        <v>8020</v>
      </c>
      <c r="K39" s="26">
        <f>VLOOKUP(G39,'Прайс Gamma'!$A:$F,5,0)</f>
        <v>8020</v>
      </c>
      <c r="L39" s="11">
        <f t="shared" si="3"/>
        <v>1.0388601036269429</v>
      </c>
      <c r="M39" s="132">
        <f t="shared" si="4"/>
        <v>1.1499999999999999</v>
      </c>
      <c r="N39" s="192">
        <f t="shared" si="12"/>
        <v>9546.2365591397847</v>
      </c>
      <c r="O39" s="190">
        <f t="shared" si="5"/>
        <v>9590</v>
      </c>
      <c r="P39" s="87">
        <f>VLOOKUP($A39,'Выгр Кат'!$A:$R,P$1,0)</f>
        <v>7720</v>
      </c>
      <c r="Q39" s="87">
        <f>VLOOKUP($A39,'Выгр Кат'!$A:$R,Q$1,0)</f>
        <v>9590</v>
      </c>
      <c r="R39" s="94">
        <f t="shared" si="6"/>
        <v>0</v>
      </c>
      <c r="S39" s="94">
        <f t="shared" si="7"/>
        <v>0</v>
      </c>
      <c r="T39" s="20">
        <f t="shared" si="1"/>
        <v>8918.6999999999989</v>
      </c>
      <c r="U39" s="209">
        <f>IFERROR(VLOOKUP($A39,'Из ГУГЛа'!$B:$G,6,0)*V39,VLOOKUP($A39,'Из ГУГЛа'!$B:$G,6,0))</f>
        <v>7290</v>
      </c>
      <c r="V39" s="75">
        <v>1</v>
      </c>
      <c r="W39" s="83">
        <f t="shared" si="8"/>
        <v>0.15527202072538837</v>
      </c>
      <c r="X39" s="83">
        <f t="shared" si="9"/>
        <v>-0.22341563786008214</v>
      </c>
      <c r="Y39" s="83">
        <f t="shared" si="10"/>
        <v>-5.569948186528495E-2</v>
      </c>
      <c r="Z39" s="48">
        <v>7290</v>
      </c>
      <c r="AA39" s="36" t="s">
        <v>530</v>
      </c>
    </row>
    <row r="40" spans="1:27" ht="53.25" thickTop="1" thickBot="1">
      <c r="A40" s="41">
        <v>163984</v>
      </c>
      <c r="B40" s="87">
        <f>VLOOKUP($A40,'Выгр Кат'!$A:$R,B$1,0)</f>
        <v>24861</v>
      </c>
      <c r="C40" s="17" t="s">
        <v>207</v>
      </c>
      <c r="D40" s="86" t="str">
        <f>VLOOKUP($A40,'Выгр Кат'!$A:$R,D$1,0)</f>
        <v>Модельная ручка КПП "Ferrum Group" Cross Serie (с алькантарой) для Лада Веста</v>
      </c>
      <c r="E40" s="87" t="str">
        <f>VLOOKUP($A40,'Выгр Кат'!$A:$R,E$1,0)</f>
        <v>Y</v>
      </c>
      <c r="F40" s="87" t="str">
        <f>VLOOKUP($A40,'Выгр Кат'!$A:$R,F$1,0)</f>
        <v>1</v>
      </c>
      <c r="G40" s="100" t="s">
        <v>382</v>
      </c>
      <c r="H40" s="67"/>
      <c r="I40" s="26">
        <f>VLOOKUP(G40,'Прайс Gamma'!$A:$F,4,0)</f>
        <v>7720</v>
      </c>
      <c r="J40" s="26">
        <f t="shared" si="17"/>
        <v>8020</v>
      </c>
      <c r="K40" s="26">
        <f>VLOOKUP(G40,'Прайс Gamma'!$A:$F,5,0)</f>
        <v>8020</v>
      </c>
      <c r="L40" s="11">
        <f t="shared" si="3"/>
        <v>1.0388601036269429</v>
      </c>
      <c r="M40" s="132">
        <f t="shared" si="4"/>
        <v>1.1499999999999999</v>
      </c>
      <c r="N40" s="194">
        <f>Z40*1.03</f>
        <v>9980.7000000000007</v>
      </c>
      <c r="O40" s="190">
        <f t="shared" si="5"/>
        <v>9990</v>
      </c>
      <c r="P40" s="87">
        <f>VLOOKUP($A40,'Выгр Кат'!$A:$R,P$1,0)</f>
        <v>7720</v>
      </c>
      <c r="Q40" s="87">
        <f>VLOOKUP($A40,'Выгр Кат'!$A:$R,Q$1,0)</f>
        <v>9990</v>
      </c>
      <c r="R40" s="94">
        <f t="shared" si="6"/>
        <v>0</v>
      </c>
      <c r="S40" s="94">
        <f t="shared" si="7"/>
        <v>0</v>
      </c>
      <c r="T40" s="20">
        <f t="shared" si="1"/>
        <v>9290.6999999999989</v>
      </c>
      <c r="U40" s="209">
        <f>IFERROR(VLOOKUP($A40,'Из ГУГЛа'!$B:$G,6,0)*V40,VLOOKUP($A40,'Из ГУГЛа'!$B:$G,6,0))</f>
        <v>9690</v>
      </c>
      <c r="V40" s="75">
        <v>1</v>
      </c>
      <c r="W40" s="83">
        <f t="shared" si="8"/>
        <v>0.20345854922279782</v>
      </c>
      <c r="X40" s="83">
        <f t="shared" si="9"/>
        <v>4.1207430340557391E-2</v>
      </c>
      <c r="Y40" s="83">
        <f t="shared" si="10"/>
        <v>0.25518134715025909</v>
      </c>
      <c r="Z40" s="2">
        <v>9690</v>
      </c>
      <c r="AA40" s="36" t="s">
        <v>630</v>
      </c>
    </row>
    <row r="41" spans="1:27" ht="52.5" thickTop="1">
      <c r="A41" s="41">
        <v>163985</v>
      </c>
      <c r="B41" s="87">
        <f>VLOOKUP($A41,'Выгр Кат'!$A:$R,B$1,0)</f>
        <v>24857</v>
      </c>
      <c r="C41" s="8" t="s">
        <v>138</v>
      </c>
      <c r="D41" s="86" t="str">
        <f>VLOOKUP($A41,'Выгр Кат'!$A:$R,D$1,0)</f>
        <v>Модельная ручка КПП "Ferrum Group" Cross для Лада Веста</v>
      </c>
      <c r="E41" s="87" t="str">
        <f>VLOOKUP($A41,'Выгр Кат'!$A:$R,E$1,0)</f>
        <v>Y</v>
      </c>
      <c r="F41" s="87" t="str">
        <f>VLOOKUP($A41,'Выгр Кат'!$A:$R,F$1,0)</f>
        <v>1</v>
      </c>
      <c r="G41" s="100" t="s">
        <v>382</v>
      </c>
      <c r="H41" s="67"/>
      <c r="I41" s="26">
        <f>VLOOKUP(G41,'Прайс Gamma'!$A:$F,4,0)</f>
        <v>7720</v>
      </c>
      <c r="J41" s="26">
        <f t="shared" si="17"/>
        <v>8020</v>
      </c>
      <c r="K41" s="26">
        <f>VLOOKUP(G41,'Прайс Gamma'!$A:$F,5,0)</f>
        <v>8020</v>
      </c>
      <c r="L41" s="11">
        <f t="shared" si="3"/>
        <v>1.0388601036269429</v>
      </c>
      <c r="M41" s="132">
        <f t="shared" si="4"/>
        <v>1.1499999999999999</v>
      </c>
      <c r="N41" s="192">
        <f t="shared" si="12"/>
        <v>9546.2365591397847</v>
      </c>
      <c r="O41" s="190">
        <f t="shared" si="5"/>
        <v>9590</v>
      </c>
      <c r="P41" s="87">
        <f>VLOOKUP($A41,'Выгр Кат'!$A:$R,P$1,0)</f>
        <v>7720</v>
      </c>
      <c r="Q41" s="87">
        <f>VLOOKUP($A41,'Выгр Кат'!$A:$R,Q$1,0)</f>
        <v>9590</v>
      </c>
      <c r="R41" s="94">
        <f t="shared" si="6"/>
        <v>0</v>
      </c>
      <c r="S41" s="94">
        <f t="shared" si="7"/>
        <v>0</v>
      </c>
      <c r="T41" s="20">
        <f t="shared" si="1"/>
        <v>8918.6999999999989</v>
      </c>
      <c r="U41" s="209" t="str">
        <f>IFERROR(VLOOKUP($A41,'Из ГУГЛа'!$B:$G,6,0)*V41,VLOOKUP($A41,'Из ГУГЛа'!$B:$G,6,0))</f>
        <v/>
      </c>
      <c r="V41" s="75">
        <v>1</v>
      </c>
      <c r="W41" s="83">
        <f t="shared" si="8"/>
        <v>0.15527202072538837</v>
      </c>
      <c r="X41" s="83" t="str">
        <f t="shared" si="9"/>
        <v/>
      </c>
      <c r="Y41" s="83" t="str">
        <f t="shared" si="10"/>
        <v/>
      </c>
      <c r="Z41" s="47"/>
    </row>
    <row r="42" spans="1:27" ht="52.5" thickBot="1">
      <c r="A42" s="41">
        <v>163987</v>
      </c>
      <c r="B42" s="87">
        <f>VLOOKUP($A42,'Выгр Кат'!$A:$R,B$1,0)</f>
        <v>24863</v>
      </c>
      <c r="C42" s="8" t="s">
        <v>144</v>
      </c>
      <c r="D42" s="86" t="str">
        <f>VLOOKUP($A42,'Выгр Кат'!$A:$R,D$1,0)</f>
        <v>Модельная ручка КПП "Ferrum Group" Exclusive (с алькантарой) для Лада Веста</v>
      </c>
      <c r="E42" s="87" t="str">
        <f>VLOOKUP($A42,'Выгр Кат'!$A:$R,E$1,0)</f>
        <v>Y</v>
      </c>
      <c r="F42" s="87" t="str">
        <f>VLOOKUP($A42,'Выгр Кат'!$A:$R,F$1,0)</f>
        <v>1</v>
      </c>
      <c r="G42" s="100" t="s">
        <v>382</v>
      </c>
      <c r="H42" s="67"/>
      <c r="I42" s="26">
        <f>VLOOKUP(G42,'Прайс Gamma'!$A:$F,4,0)</f>
        <v>7720</v>
      </c>
      <c r="J42" s="26">
        <f t="shared" si="17"/>
        <v>8020</v>
      </c>
      <c r="K42" s="26">
        <f>VLOOKUP(G42,'Прайс Gamma'!$A:$F,5,0)</f>
        <v>8020</v>
      </c>
      <c r="L42" s="11">
        <f t="shared" si="3"/>
        <v>1.0388601036269429</v>
      </c>
      <c r="M42" s="132">
        <f t="shared" si="4"/>
        <v>1.1499999999999999</v>
      </c>
      <c r="N42" s="194">
        <f>Z42*1.03</f>
        <v>9980.7000000000007</v>
      </c>
      <c r="O42" s="190">
        <f t="shared" si="5"/>
        <v>9990</v>
      </c>
      <c r="P42" s="87">
        <f>VLOOKUP($A42,'Выгр Кат'!$A:$R,P$1,0)</f>
        <v>7720</v>
      </c>
      <c r="Q42" s="87">
        <f>VLOOKUP($A42,'Выгр Кат'!$A:$R,Q$1,0)</f>
        <v>9990</v>
      </c>
      <c r="R42" s="94">
        <f t="shared" si="6"/>
        <v>0</v>
      </c>
      <c r="S42" s="94">
        <f t="shared" si="7"/>
        <v>0</v>
      </c>
      <c r="T42" s="20">
        <f t="shared" si="1"/>
        <v>9290.6999999999989</v>
      </c>
      <c r="U42" s="209">
        <f>IFERROR(VLOOKUP($A42,'Из ГУГЛа'!$B:$G,6,0)*V42,VLOOKUP($A42,'Из ГУГЛа'!$B:$G,6,0))</f>
        <v>9690</v>
      </c>
      <c r="V42" s="75">
        <v>1</v>
      </c>
      <c r="W42" s="83">
        <f t="shared" si="8"/>
        <v>0.20345854922279782</v>
      </c>
      <c r="X42" s="83">
        <f t="shared" si="9"/>
        <v>4.1207430340557391E-2</v>
      </c>
      <c r="Y42" s="83">
        <f t="shared" si="10"/>
        <v>0.25518134715025909</v>
      </c>
      <c r="Z42" s="2">
        <v>9690</v>
      </c>
      <c r="AA42" s="36" t="s">
        <v>631</v>
      </c>
    </row>
    <row r="43" spans="1:27" ht="52.5" thickTop="1">
      <c r="A43" s="41">
        <v>163988</v>
      </c>
      <c r="B43" s="87">
        <f>VLOOKUP($A43,'Выгр Кат'!$A:$R,B$1,0)</f>
        <v>24858</v>
      </c>
      <c r="C43" s="8" t="s">
        <v>139</v>
      </c>
      <c r="D43" s="86" t="str">
        <f>VLOOKUP($A43,'Выгр Кат'!$A:$R,D$1,0)</f>
        <v>Модельная ручка КПП "Ferrum Group" Exclusive для Лада Веста</v>
      </c>
      <c r="E43" s="87" t="str">
        <f>VLOOKUP($A43,'Выгр Кат'!$A:$R,E$1,0)</f>
        <v>Y</v>
      </c>
      <c r="F43" s="87" t="str">
        <f>VLOOKUP($A43,'Выгр Кат'!$A:$R,F$1,0)</f>
        <v>1</v>
      </c>
      <c r="G43" s="100" t="s">
        <v>382</v>
      </c>
      <c r="H43" s="67"/>
      <c r="I43" s="26">
        <f>VLOOKUP(G43,'Прайс Gamma'!$A:$F,4,0)</f>
        <v>7720</v>
      </c>
      <c r="J43" s="26">
        <f t="shared" si="17"/>
        <v>8020</v>
      </c>
      <c r="K43" s="26">
        <f>VLOOKUP(G43,'Прайс Gamma'!$A:$F,5,0)</f>
        <v>8020</v>
      </c>
      <c r="L43" s="11">
        <f t="shared" si="3"/>
        <v>1.0388601036269429</v>
      </c>
      <c r="M43" s="132">
        <f t="shared" si="4"/>
        <v>1.1499999999999999</v>
      </c>
      <c r="N43" s="192">
        <f t="shared" si="12"/>
        <v>9546.2365591397847</v>
      </c>
      <c r="O43" s="190">
        <f t="shared" si="5"/>
        <v>9590</v>
      </c>
      <c r="P43" s="87">
        <f>VLOOKUP($A43,'Выгр Кат'!$A:$R,P$1,0)</f>
        <v>7720</v>
      </c>
      <c r="Q43" s="87">
        <f>VLOOKUP($A43,'Выгр Кат'!$A:$R,Q$1,0)</f>
        <v>9590</v>
      </c>
      <c r="R43" s="94">
        <f t="shared" si="6"/>
        <v>0</v>
      </c>
      <c r="S43" s="94">
        <f t="shared" si="7"/>
        <v>0</v>
      </c>
      <c r="T43" s="20">
        <f t="shared" si="1"/>
        <v>8918.6999999999989</v>
      </c>
      <c r="U43" s="209" t="str">
        <f>IFERROR(VLOOKUP($A43,'Из ГУГЛа'!$B:$G,6,0)*V43,VLOOKUP($A43,'Из ГУГЛа'!$B:$G,6,0))</f>
        <v/>
      </c>
      <c r="V43" s="75">
        <v>1</v>
      </c>
      <c r="W43" s="83">
        <f t="shared" si="8"/>
        <v>0.15527202072538837</v>
      </c>
      <c r="X43" s="83" t="str">
        <f t="shared" si="9"/>
        <v/>
      </c>
      <c r="Y43" s="83" t="str">
        <f t="shared" si="10"/>
        <v/>
      </c>
      <c r="Z43" s="47"/>
    </row>
    <row r="44" spans="1:27" ht="51.75">
      <c r="A44" s="41">
        <v>163990</v>
      </c>
      <c r="B44" s="87">
        <f>VLOOKUP($A44,'Выгр Кат'!$A:$R,B$1,0)</f>
        <v>24862</v>
      </c>
      <c r="C44" s="17" t="s">
        <v>206</v>
      </c>
      <c r="D44" s="86" t="str">
        <f>VLOOKUP($A44,'Выгр Кат'!$A:$R,D$1,0)</f>
        <v>Модельная ручка КПП "Ferrum Group" Grand Premium (с алькантарой) для Лада Веста</v>
      </c>
      <c r="E44" s="87" t="str">
        <f>VLOOKUP($A44,'Выгр Кат'!$A:$R,E$1,0)</f>
        <v>Y</v>
      </c>
      <c r="F44" s="87" t="str">
        <f>VLOOKUP($A44,'Выгр Кат'!$A:$R,F$1,0)</f>
        <v>1</v>
      </c>
      <c r="G44" s="100" t="s">
        <v>382</v>
      </c>
      <c r="H44" s="67"/>
      <c r="I44" s="26">
        <f>VLOOKUP(G44,'Прайс Gamma'!$A:$F,4,0)</f>
        <v>7720</v>
      </c>
      <c r="J44" s="26">
        <f t="shared" si="17"/>
        <v>8020</v>
      </c>
      <c r="K44" s="26">
        <f>VLOOKUP(G44,'Прайс Gamma'!$A:$F,5,0)</f>
        <v>8020</v>
      </c>
      <c r="L44" s="11">
        <f t="shared" si="3"/>
        <v>1.0388601036269429</v>
      </c>
      <c r="M44" s="132">
        <f t="shared" si="4"/>
        <v>1.1499999999999999</v>
      </c>
      <c r="N44" s="192">
        <f t="shared" si="12"/>
        <v>9546.2365591397847</v>
      </c>
      <c r="O44" s="190">
        <f t="shared" si="5"/>
        <v>9590</v>
      </c>
      <c r="P44" s="87">
        <f>VLOOKUP($A44,'Выгр Кат'!$A:$R,P$1,0)</f>
        <v>7720</v>
      </c>
      <c r="Q44" s="87">
        <f>VLOOKUP($A44,'Выгр Кат'!$A:$R,Q$1,0)</f>
        <v>9590</v>
      </c>
      <c r="R44" s="94">
        <f t="shared" si="6"/>
        <v>0</v>
      </c>
      <c r="S44" s="94">
        <f t="shared" si="7"/>
        <v>0</v>
      </c>
      <c r="T44" s="20">
        <f t="shared" si="1"/>
        <v>8918.6999999999989</v>
      </c>
      <c r="U44" s="209" t="str">
        <f>IFERROR(VLOOKUP($A44,'Из ГУГЛа'!$B:$G,6,0)*V44,VLOOKUP($A44,'Из ГУГЛа'!$B:$G,6,0))</f>
        <v/>
      </c>
      <c r="V44" s="75">
        <v>1</v>
      </c>
      <c r="W44" s="83">
        <f t="shared" si="8"/>
        <v>0.15527202072538837</v>
      </c>
      <c r="X44" s="83" t="str">
        <f t="shared" si="9"/>
        <v/>
      </c>
      <c r="Y44" s="83" t="str">
        <f t="shared" si="10"/>
        <v/>
      </c>
      <c r="Z44" s="78"/>
    </row>
    <row r="45" spans="1:27" ht="52.5" thickBot="1">
      <c r="A45" s="41">
        <v>163992</v>
      </c>
      <c r="B45" s="87">
        <f>VLOOKUP($A45,'Выгр Кат'!$A:$R,B$1,0)</f>
        <v>24860</v>
      </c>
      <c r="C45" s="17" t="s">
        <v>208</v>
      </c>
      <c r="D45" s="86" t="str">
        <f>VLOOKUP($A45,'Выгр Кат'!$A:$R,D$1,0)</f>
        <v>Модельная ручка КПП "Ferrum Group" Grand Sport (с алькантарой) для Лада Веста</v>
      </c>
      <c r="E45" s="87" t="str">
        <f>VLOOKUP($A45,'Выгр Кат'!$A:$R,E$1,0)</f>
        <v>Y</v>
      </c>
      <c r="F45" s="87" t="str">
        <f>VLOOKUP($A45,'Выгр Кат'!$A:$R,F$1,0)</f>
        <v>1</v>
      </c>
      <c r="G45" s="100" t="s">
        <v>382</v>
      </c>
      <c r="H45" s="67"/>
      <c r="I45" s="26">
        <f>VLOOKUP(G45,'Прайс Gamma'!$A:$F,4,0)</f>
        <v>7720</v>
      </c>
      <c r="J45" s="26">
        <f t="shared" si="17"/>
        <v>8020</v>
      </c>
      <c r="K45" s="26">
        <f>VLOOKUP(G45,'Прайс Gamma'!$A:$F,5,0)</f>
        <v>8020</v>
      </c>
      <c r="L45" s="11">
        <f t="shared" si="3"/>
        <v>1.0388601036269429</v>
      </c>
      <c r="M45" s="132">
        <f t="shared" si="4"/>
        <v>1.1499999999999999</v>
      </c>
      <c r="N45" s="194">
        <f>Z45*1.03</f>
        <v>9980.7000000000007</v>
      </c>
      <c r="O45" s="190">
        <f t="shared" si="5"/>
        <v>9990</v>
      </c>
      <c r="P45" s="87">
        <f>VLOOKUP($A45,'Выгр Кат'!$A:$R,P$1,0)</f>
        <v>7720</v>
      </c>
      <c r="Q45" s="87">
        <f>VLOOKUP($A45,'Выгр Кат'!$A:$R,Q$1,0)</f>
        <v>9990</v>
      </c>
      <c r="R45" s="94">
        <f t="shared" si="6"/>
        <v>0</v>
      </c>
      <c r="S45" s="94">
        <f t="shared" si="7"/>
        <v>0</v>
      </c>
      <c r="T45" s="20">
        <f t="shared" si="1"/>
        <v>9290.6999999999989</v>
      </c>
      <c r="U45" s="209">
        <f>IFERROR(VLOOKUP($A45,'Из ГУГЛа'!$B:$G,6,0)*V45,VLOOKUP($A45,'Из ГУГЛа'!$B:$G,6,0))</f>
        <v>9690</v>
      </c>
      <c r="V45" s="75">
        <v>1</v>
      </c>
      <c r="W45" s="83">
        <f t="shared" si="8"/>
        <v>0.20345854922279782</v>
      </c>
      <c r="X45" s="83">
        <f t="shared" si="9"/>
        <v>4.1207430340557391E-2</v>
      </c>
      <c r="Y45" s="83">
        <f t="shared" si="10"/>
        <v>0.25518134715025909</v>
      </c>
      <c r="Z45" s="2">
        <v>9690</v>
      </c>
      <c r="AA45" s="36" t="s">
        <v>632</v>
      </c>
    </row>
    <row r="46" spans="1:27" ht="52.5" thickTop="1">
      <c r="A46" s="41">
        <v>163995</v>
      </c>
      <c r="B46" s="87">
        <f>VLOOKUP($A46,'Выгр Кат'!$A:$R,B$1,0)</f>
        <v>24859</v>
      </c>
      <c r="C46" s="8" t="s">
        <v>140</v>
      </c>
      <c r="D46" s="86" t="str">
        <f>VLOOKUP($A46,'Выгр Кат'!$A:$R,D$1,0)</f>
        <v>Модельная ручка КПП "Ferrum Group" Premium для Лада Веста</v>
      </c>
      <c r="E46" s="87" t="str">
        <f>VLOOKUP($A46,'Выгр Кат'!$A:$R,E$1,0)</f>
        <v>Y</v>
      </c>
      <c r="F46" s="87" t="str">
        <f>VLOOKUP($A46,'Выгр Кат'!$A:$R,F$1,0)</f>
        <v>1</v>
      </c>
      <c r="G46" s="100" t="s">
        <v>382</v>
      </c>
      <c r="H46" s="67"/>
      <c r="I46" s="26">
        <f>VLOOKUP(G46,'Прайс Gamma'!$A:$F,4,0)</f>
        <v>7720</v>
      </c>
      <c r="J46" s="26">
        <f t="shared" si="17"/>
        <v>8020</v>
      </c>
      <c r="K46" s="26">
        <f>VLOOKUP(G46,'Прайс Gamma'!$A:$F,5,0)</f>
        <v>8020</v>
      </c>
      <c r="L46" s="11">
        <f t="shared" si="3"/>
        <v>1.0388601036269429</v>
      </c>
      <c r="M46" s="132">
        <f t="shared" si="4"/>
        <v>1.1499999999999999</v>
      </c>
      <c r="N46" s="192">
        <f t="shared" si="12"/>
        <v>9546.2365591397847</v>
      </c>
      <c r="O46" s="190">
        <f t="shared" si="5"/>
        <v>9590</v>
      </c>
      <c r="P46" s="87">
        <f>VLOOKUP($A46,'Выгр Кат'!$A:$R,P$1,0)</f>
        <v>7720</v>
      </c>
      <c r="Q46" s="87">
        <f>VLOOKUP($A46,'Выгр Кат'!$A:$R,Q$1,0)</f>
        <v>9590</v>
      </c>
      <c r="R46" s="94">
        <f t="shared" si="6"/>
        <v>0</v>
      </c>
      <c r="S46" s="94">
        <f t="shared" si="7"/>
        <v>0</v>
      </c>
      <c r="T46" s="20">
        <f t="shared" si="1"/>
        <v>8918.6999999999989</v>
      </c>
      <c r="U46" s="209" t="str">
        <f>IFERROR(VLOOKUP($A46,'Из ГУГЛа'!$B:$G,6,0)*V46,VLOOKUP($A46,'Из ГУГЛа'!$B:$G,6,0))</f>
        <v/>
      </c>
      <c r="V46" s="75">
        <v>1</v>
      </c>
      <c r="W46" s="83">
        <f t="shared" si="8"/>
        <v>0.15527202072538837</v>
      </c>
      <c r="X46" s="83" t="str">
        <f t="shared" si="9"/>
        <v/>
      </c>
      <c r="Y46" s="83" t="str">
        <f t="shared" si="10"/>
        <v/>
      </c>
      <c r="Z46" s="47"/>
    </row>
    <row r="47" spans="1:27" ht="52.5" thickBot="1">
      <c r="A47" s="41">
        <v>163994</v>
      </c>
      <c r="B47" s="87">
        <f>VLOOKUP($A47,'Выгр Кат'!$A:$R,B$1,0)</f>
        <v>24864</v>
      </c>
      <c r="C47" s="17" t="s">
        <v>209</v>
      </c>
      <c r="D47" s="86" t="str">
        <f>VLOOKUP($A47,'Выгр Кат'!$A:$R,D$1,0)</f>
        <v>Модельная ручка КПП "Ferrum Group" Limited Edition (с алькантарой) для Лада Веста</v>
      </c>
      <c r="E47" s="87" t="str">
        <f>VLOOKUP($A47,'Выгр Кат'!$A:$R,E$1,0)</f>
        <v>Y</v>
      </c>
      <c r="F47" s="87" t="str">
        <f>VLOOKUP($A47,'Выгр Кат'!$A:$R,F$1,0)</f>
        <v>1</v>
      </c>
      <c r="G47" s="100" t="s">
        <v>382</v>
      </c>
      <c r="H47" s="67"/>
      <c r="I47" s="26">
        <f>VLOOKUP(G47,'Прайс Gamma'!$A:$F,4,0)</f>
        <v>7720</v>
      </c>
      <c r="J47" s="26">
        <f t="shared" si="17"/>
        <v>8020</v>
      </c>
      <c r="K47" s="26">
        <f>VLOOKUP(G47,'Прайс Gamma'!$A:$F,5,0)</f>
        <v>8020</v>
      </c>
      <c r="L47" s="11">
        <f t="shared" si="3"/>
        <v>1.0388601036269429</v>
      </c>
      <c r="M47" s="132">
        <f t="shared" si="4"/>
        <v>1.1499999999999999</v>
      </c>
      <c r="N47" s="192">
        <f t="shared" si="12"/>
        <v>9546.2365591397847</v>
      </c>
      <c r="O47" s="190">
        <f t="shared" si="5"/>
        <v>9590</v>
      </c>
      <c r="P47" s="87">
        <f>VLOOKUP($A47,'Выгр Кат'!$A:$R,P$1,0)</f>
        <v>7720</v>
      </c>
      <c r="Q47" s="87">
        <f>VLOOKUP($A47,'Выгр Кат'!$A:$R,Q$1,0)</f>
        <v>9590</v>
      </c>
      <c r="R47" s="94">
        <f t="shared" si="6"/>
        <v>0</v>
      </c>
      <c r="S47" s="94">
        <f t="shared" si="7"/>
        <v>0</v>
      </c>
      <c r="T47" s="20">
        <f t="shared" si="1"/>
        <v>8918.6999999999989</v>
      </c>
      <c r="U47" s="209">
        <f>IFERROR(VLOOKUP($A47,'Из ГУГЛа'!$B:$G,6,0)*V47,VLOOKUP($A47,'Из ГУГЛа'!$B:$G,6,0))</f>
        <v>7890</v>
      </c>
      <c r="V47" s="75">
        <v>1</v>
      </c>
      <c r="W47" s="83">
        <f t="shared" si="8"/>
        <v>0.15527202072538837</v>
      </c>
      <c r="X47" s="83">
        <f t="shared" si="9"/>
        <v>-0.13038022813688199</v>
      </c>
      <c r="Y47" s="83">
        <f t="shared" si="10"/>
        <v>2.2020725388601115E-2</v>
      </c>
      <c r="Z47" s="2">
        <v>7890</v>
      </c>
      <c r="AA47" s="36" t="s">
        <v>629</v>
      </c>
    </row>
    <row r="48" spans="1:27" ht="46.5" thickTop="1" thickBot="1">
      <c r="A48" s="41">
        <v>136922</v>
      </c>
      <c r="B48" s="87">
        <f>VLOOKUP($A48,'Выгр Кат'!$A:$R,B$1,0)</f>
        <v>23737</v>
      </c>
      <c r="C48" s="8" t="s">
        <v>152</v>
      </c>
      <c r="D48" s="86" t="str">
        <f>VLOOKUP($A48,'Выгр Кат'!$A:$R,D$1,0)</f>
        <v>Блок управления отопителем с ручками "Ferrum Group" для Chevrolet Lacetti, Daewoo Gentra</v>
      </c>
      <c r="E48" s="87" t="str">
        <f>VLOOKUP($A48,'Выгр Кат'!$A:$R,E$1,0)</f>
        <v>Y</v>
      </c>
      <c r="F48" s="87" t="str">
        <f>VLOOKUP($A48,'Выгр Кат'!$A:$R,F$1,0)</f>
        <v>1</v>
      </c>
      <c r="G48" s="100" t="s">
        <v>345</v>
      </c>
      <c r="H48" s="67"/>
      <c r="I48" s="26">
        <f>VLOOKUP(G48,'Прайс Gamma'!$A:$F,4,0)</f>
        <v>7000</v>
      </c>
      <c r="J48" s="26">
        <f t="shared" si="17"/>
        <v>8000</v>
      </c>
      <c r="K48" s="26">
        <f>VLOOKUP(G48,'Прайс Gamma'!$A:$F,5,0)</f>
        <v>8000</v>
      </c>
      <c r="L48" s="11">
        <f t="shared" si="3"/>
        <v>1.1428571428571428</v>
      </c>
      <c r="M48" s="132">
        <f t="shared" si="4"/>
        <v>1.1499999999999999</v>
      </c>
      <c r="N48" s="194">
        <f t="shared" ref="N48:N51" si="22">Z48*1.03</f>
        <v>9465.7000000000007</v>
      </c>
      <c r="O48" s="190">
        <f t="shared" si="5"/>
        <v>9490</v>
      </c>
      <c r="P48" s="87">
        <f>VLOOKUP($A48,'Выгр Кат'!$A:$R,P$1,0)</f>
        <v>7000</v>
      </c>
      <c r="Q48" s="87">
        <f>VLOOKUP($A48,'Выгр Кат'!$A:$R,Q$1,0)</f>
        <v>9490</v>
      </c>
      <c r="R48" s="94">
        <f t="shared" si="6"/>
        <v>0</v>
      </c>
      <c r="S48" s="94">
        <f t="shared" si="7"/>
        <v>0</v>
      </c>
      <c r="T48" s="20">
        <f t="shared" ref="T48:T73" si="23">O48*(1-$T$2)</f>
        <v>8825.6999999999989</v>
      </c>
      <c r="U48" s="209">
        <f>IFERROR(VLOOKUP($A48,'Из ГУГЛа'!$B:$G,6,0)*V48,VLOOKUP($A48,'Из ГУГЛа'!$B:$G,6,0))</f>
        <v>9190</v>
      </c>
      <c r="V48" s="75">
        <v>1</v>
      </c>
      <c r="W48" s="83">
        <f t="shared" si="8"/>
        <v>0.26081428571428567</v>
      </c>
      <c r="X48" s="83">
        <f t="shared" si="9"/>
        <v>3.9640914036996856E-2</v>
      </c>
      <c r="Y48" s="83">
        <f t="shared" si="10"/>
        <v>0.31285714285714294</v>
      </c>
      <c r="Z48" s="2">
        <v>9190</v>
      </c>
      <c r="AA48" s="36" t="s">
        <v>628</v>
      </c>
    </row>
    <row r="49" spans="1:27" ht="31.5" thickTop="1" thickBot="1">
      <c r="A49" s="41">
        <v>138649</v>
      </c>
      <c r="B49" s="87">
        <f>VLOOKUP($A49,'Выгр Кат'!$A:$R,B$1,0)</f>
        <v>7023</v>
      </c>
      <c r="C49" s="18" t="s">
        <v>221</v>
      </c>
      <c r="D49" s="86" t="str">
        <f>VLOOKUP($A49,'Выгр Кат'!$A:$R,D$1,0)</f>
        <v>Бортовой компьютер Gamma GF 270 на Lada Priora</v>
      </c>
      <c r="E49" s="87" t="str">
        <f>VLOOKUP($A49,'Выгр Кат'!$A:$R,E$1,0)</f>
        <v>Y</v>
      </c>
      <c r="F49" s="87" t="str">
        <f>VLOOKUP($A49,'Выгр Кат'!$A:$R,F$1,0)</f>
        <v>1</v>
      </c>
      <c r="G49" s="96" t="s">
        <v>273</v>
      </c>
      <c r="H49" s="34"/>
      <c r="I49" s="32">
        <f>VLOOKUP(G49,'Прайс Gamma'!$B:$F,3,0)</f>
        <v>7900</v>
      </c>
      <c r="J49" s="32">
        <f t="shared" ref="J49:J51" si="24">K49+H49</f>
        <v>8900</v>
      </c>
      <c r="K49" s="32">
        <f>VLOOKUP(G49,'Прайс Gamma'!$B:$F,4,0)</f>
        <v>8900</v>
      </c>
      <c r="L49" s="11">
        <f t="shared" si="3"/>
        <v>1.1265822784810127</v>
      </c>
      <c r="M49" s="132">
        <f t="shared" si="4"/>
        <v>1.1499999999999999</v>
      </c>
      <c r="N49" s="192">
        <f t="shared" ref="N49" si="25">I49*M49*100/93</f>
        <v>9768.8172043010745</v>
      </c>
      <c r="O49" s="190">
        <f t="shared" si="5"/>
        <v>9790</v>
      </c>
      <c r="P49" s="87">
        <f>VLOOKUP($A49,'Выгр Кат'!$A:$R,P$1,0)</f>
        <v>7900</v>
      </c>
      <c r="Q49" s="87">
        <f>VLOOKUP($A49,'Выгр Кат'!$A:$R,Q$1,0)</f>
        <v>9790</v>
      </c>
      <c r="R49" s="94">
        <f t="shared" si="6"/>
        <v>0</v>
      </c>
      <c r="S49" s="94">
        <f t="shared" si="7"/>
        <v>0</v>
      </c>
      <c r="T49" s="20">
        <f t="shared" si="23"/>
        <v>9104.6999999999989</v>
      </c>
      <c r="U49" s="209">
        <f>IFERROR(VLOOKUP($A49,'Из ГУГЛа'!$B:$G,6,0)*V49,VLOOKUP($A49,'Из ГУГЛа'!$B:$G,6,0))</f>
        <v>9890</v>
      </c>
      <c r="V49" s="75">
        <v>1</v>
      </c>
      <c r="W49" s="83">
        <f t="shared" si="8"/>
        <v>0.15249367088607579</v>
      </c>
      <c r="X49" s="83">
        <f t="shared" si="9"/>
        <v>7.940343781597585E-2</v>
      </c>
      <c r="Y49" s="83">
        <f t="shared" si="10"/>
        <v>0.2518987341772152</v>
      </c>
      <c r="Z49" s="2">
        <v>9890</v>
      </c>
      <c r="AA49" s="36" t="s">
        <v>535</v>
      </c>
    </row>
    <row r="50" spans="1:27" ht="31.5" thickTop="1" thickBot="1">
      <c r="A50" s="41">
        <v>138624</v>
      </c>
      <c r="B50" s="87">
        <f>VLOOKUP($A50,'Выгр Кат'!$A:$R,B$1,0)</f>
        <v>7035</v>
      </c>
      <c r="C50" s="18" t="s">
        <v>219</v>
      </c>
      <c r="D50" s="86" t="str">
        <f>VLOOKUP($A50,'Выгр Кат'!$A:$R,D$1,0)</f>
        <v>Бортовой компьютер "Ferrum Group" GF 218T для Лада Калина</v>
      </c>
      <c r="E50" s="87" t="str">
        <f>VLOOKUP($A50,'Выгр Кат'!$A:$R,E$1,0)</f>
        <v>Y</v>
      </c>
      <c r="F50" s="87" t="str">
        <f>VLOOKUP($A50,'Выгр Кат'!$A:$R,F$1,0)</f>
        <v>1</v>
      </c>
      <c r="G50" s="96" t="s">
        <v>277</v>
      </c>
      <c r="H50" s="34"/>
      <c r="I50" s="32">
        <f>VLOOKUP(G50,'Прайс Gamma'!$B:$F,3,0)</f>
        <v>8200</v>
      </c>
      <c r="J50" s="32">
        <f t="shared" si="24"/>
        <v>9200</v>
      </c>
      <c r="K50" s="32">
        <f>VLOOKUP(G50,'Прайс Gamma'!$B:$F,4,0)</f>
        <v>9200</v>
      </c>
      <c r="L50" s="11">
        <f t="shared" si="3"/>
        <v>1.1219512195121952</v>
      </c>
      <c r="M50" s="132">
        <f t="shared" si="4"/>
        <v>1.1499999999999999</v>
      </c>
      <c r="N50" s="194">
        <f t="shared" si="22"/>
        <v>10598.7</v>
      </c>
      <c r="O50" s="190">
        <f t="shared" si="5"/>
        <v>10590</v>
      </c>
      <c r="P50" s="87">
        <f>VLOOKUP($A50,'Выгр Кат'!$A:$R,P$1,0)</f>
        <v>8200</v>
      </c>
      <c r="Q50" s="87">
        <f>VLOOKUP($A50,'Выгр Кат'!$A:$R,Q$1,0)</f>
        <v>10590</v>
      </c>
      <c r="R50" s="94">
        <f t="shared" si="6"/>
        <v>0</v>
      </c>
      <c r="S50" s="94">
        <f t="shared" si="7"/>
        <v>0</v>
      </c>
      <c r="T50" s="20">
        <f t="shared" si="23"/>
        <v>9848.6999999999989</v>
      </c>
      <c r="U50" s="209">
        <f>IFERROR(VLOOKUP($A50,'Из ГУГЛа'!$B:$G,6,0)*V50,VLOOKUP($A50,'Из ГУГЛа'!$B:$G,6,0))</f>
        <v>10290</v>
      </c>
      <c r="V50" s="75">
        <v>1</v>
      </c>
      <c r="W50" s="83">
        <f t="shared" si="8"/>
        <v>0.20106097560975589</v>
      </c>
      <c r="X50" s="83">
        <f t="shared" si="9"/>
        <v>4.2886297376093403E-2</v>
      </c>
      <c r="Y50" s="83">
        <f t="shared" si="10"/>
        <v>0.25487804878048781</v>
      </c>
      <c r="Z50" s="2">
        <v>10290</v>
      </c>
      <c r="AA50" s="36" t="s">
        <v>536</v>
      </c>
    </row>
    <row r="51" spans="1:27" ht="31.5" thickTop="1" thickBot="1">
      <c r="A51" s="41">
        <v>138625</v>
      </c>
      <c r="B51" s="87">
        <f>VLOOKUP($A51,'Выгр Кат'!$A:$R,B$1,0)</f>
        <v>7075</v>
      </c>
      <c r="C51" s="18" t="s">
        <v>220</v>
      </c>
      <c r="D51" s="86" t="str">
        <f>VLOOKUP($A51,'Выгр Кат'!$A:$R,D$1,0)</f>
        <v>Бортовой компьютер "Ferrum Group" GF 223 для Шевроле Нива</v>
      </c>
      <c r="E51" s="87" t="str">
        <f>VLOOKUP($A51,'Выгр Кат'!$A:$R,E$1,0)</f>
        <v>Y</v>
      </c>
      <c r="F51" s="87" t="str">
        <f>VLOOKUP($A51,'Выгр Кат'!$A:$R,F$1,0)</f>
        <v>1</v>
      </c>
      <c r="G51" s="96" t="s">
        <v>276</v>
      </c>
      <c r="H51" s="34"/>
      <c r="I51" s="32">
        <f>VLOOKUP(G51,'Прайс Gamma'!$B:$F,3,0)</f>
        <v>8200</v>
      </c>
      <c r="J51" s="32">
        <f t="shared" si="24"/>
        <v>9200</v>
      </c>
      <c r="K51" s="32">
        <f>VLOOKUP(G51,'Прайс Gamma'!$B:$F,4,0)</f>
        <v>9200</v>
      </c>
      <c r="L51" s="11">
        <f t="shared" si="3"/>
        <v>1.1219512195121952</v>
      </c>
      <c r="M51" s="132">
        <f t="shared" si="4"/>
        <v>1.1499999999999999</v>
      </c>
      <c r="N51" s="194">
        <f t="shared" si="22"/>
        <v>10598.7</v>
      </c>
      <c r="O51" s="190">
        <f t="shared" si="5"/>
        <v>10590</v>
      </c>
      <c r="P51" s="87">
        <f>VLOOKUP($A51,'Выгр Кат'!$A:$R,P$1,0)</f>
        <v>8200</v>
      </c>
      <c r="Q51" s="87">
        <f>VLOOKUP($A51,'Выгр Кат'!$A:$R,Q$1,0)</f>
        <v>10590</v>
      </c>
      <c r="R51" s="94">
        <f t="shared" si="6"/>
        <v>0</v>
      </c>
      <c r="S51" s="94">
        <f t="shared" si="7"/>
        <v>0</v>
      </c>
      <c r="T51" s="20">
        <f t="shared" si="23"/>
        <v>9848.6999999999989</v>
      </c>
      <c r="U51" s="209">
        <f>IFERROR(VLOOKUP($A51,'Из ГУГЛа'!$B:$G,6,0)*V51,VLOOKUP($A51,'Из ГУГЛа'!$B:$G,6,0))</f>
        <v>10290</v>
      </c>
      <c r="V51" s="75">
        <v>1</v>
      </c>
      <c r="W51" s="83">
        <f t="shared" si="8"/>
        <v>0.20106097560975589</v>
      </c>
      <c r="X51" s="83">
        <f t="shared" si="9"/>
        <v>4.2886297376093403E-2</v>
      </c>
      <c r="Y51" s="83">
        <f t="shared" si="10"/>
        <v>0.25487804878048781</v>
      </c>
      <c r="Z51" s="2">
        <v>10290</v>
      </c>
      <c r="AA51" s="36" t="s">
        <v>537</v>
      </c>
    </row>
    <row r="52" spans="1:27" ht="31.5" thickTop="1" thickBot="1">
      <c r="A52" s="41">
        <v>186323</v>
      </c>
      <c r="B52" s="87">
        <f>VLOOKUP($A52,'Выгр Кат'!$A:$R,B$1,0)</f>
        <v>7168</v>
      </c>
      <c r="C52" s="18" t="s">
        <v>240</v>
      </c>
      <c r="D52" s="86" t="str">
        <f>VLOOKUP($A52,'Выгр Кат'!$A:$R,D$1,0)</f>
        <v>Парктроники "Ferrum Group" GF 801 для продукции "Ferrum Group" серии "Gamma"</v>
      </c>
      <c r="E52" s="87" t="str">
        <f>VLOOKUP($A52,'Выгр Кат'!$A:$R,E$1,0)</f>
        <v>Y</v>
      </c>
      <c r="F52" s="87" t="str">
        <f>VLOOKUP($A52,'Выгр Кат'!$A:$R,F$1,0)</f>
        <v>1ск6</v>
      </c>
      <c r="G52" s="100" t="s">
        <v>370</v>
      </c>
      <c r="H52" s="67"/>
      <c r="I52" s="26">
        <f>VLOOKUP(G52,'Прайс Gamma'!$A:$F,4,0)</f>
        <v>9050</v>
      </c>
      <c r="J52" s="26">
        <f t="shared" si="17"/>
        <v>10050</v>
      </c>
      <c r="K52" s="26">
        <f>VLOOKUP(G52,'Прайс Gamma'!$A:$F,5,0)</f>
        <v>10050</v>
      </c>
      <c r="L52" s="11">
        <f t="shared" si="3"/>
        <v>1.1104972375690607</v>
      </c>
      <c r="M52" s="132">
        <f t="shared" si="4"/>
        <v>1.1499999999999999</v>
      </c>
      <c r="N52" s="194">
        <f>Z52*1.03</f>
        <v>11628.7</v>
      </c>
      <c r="O52" s="190">
        <f t="shared" si="5"/>
        <v>11690</v>
      </c>
      <c r="P52" s="87">
        <f>VLOOKUP($A52,'Выгр Кат'!$A:$R,P$1,0)</f>
        <v>9050</v>
      </c>
      <c r="Q52" s="87">
        <f>VLOOKUP($A52,'Выгр Кат'!$A:$R,Q$1,0)</f>
        <v>11690</v>
      </c>
      <c r="R52" s="94">
        <f t="shared" si="6"/>
        <v>0</v>
      </c>
      <c r="S52" s="94">
        <f t="shared" si="7"/>
        <v>0</v>
      </c>
      <c r="T52" s="20">
        <f t="shared" si="23"/>
        <v>10871.699999999999</v>
      </c>
      <c r="U52" s="209">
        <f>IFERROR(VLOOKUP($A52,'Из ГУГЛа'!$B:$G,6,0)*V52,VLOOKUP($A52,'Из ГУГЛа'!$B:$G,6,0))</f>
        <v>11290</v>
      </c>
      <c r="V52" s="75">
        <v>1</v>
      </c>
      <c r="W52" s="83">
        <f t="shared" si="8"/>
        <v>0.20129281767955787</v>
      </c>
      <c r="X52" s="83">
        <f t="shared" si="9"/>
        <v>3.7050487156776002E-2</v>
      </c>
      <c r="Y52" s="83">
        <f t="shared" si="10"/>
        <v>0.24751381215469603</v>
      </c>
      <c r="Z52" s="2">
        <v>11290</v>
      </c>
      <c r="AA52" s="36" t="s">
        <v>538</v>
      </c>
    </row>
    <row r="53" spans="1:27" ht="45.75" thickTop="1">
      <c r="A53" s="41">
        <v>193349</v>
      </c>
      <c r="B53" s="87">
        <f>VLOOKUP($A53,'Выгр Кат'!$A:$R,B$1,0)</f>
        <v>23718</v>
      </c>
      <c r="C53" s="18" t="s">
        <v>228</v>
      </c>
      <c r="D53" s="86" t="str">
        <f>VLOOKUP($A53,'Выгр Кат'!$A:$R,D$1,0)</f>
        <v>Передний парктроник "Ferrum Group" (для GF 890 XRAY и GF 890 PH2) для Лада XRAY</v>
      </c>
      <c r="E53" s="87" t="str">
        <f>VLOOKUP($A53,'Выгр Кат'!$A:$R,E$1,0)</f>
        <v>Y</v>
      </c>
      <c r="F53" s="87" t="str">
        <f>VLOOKUP($A53,'Выгр Кат'!$A:$R,F$1,0)</f>
        <v>1</v>
      </c>
      <c r="G53" s="100" t="s">
        <v>368</v>
      </c>
      <c r="H53" s="69"/>
      <c r="I53" s="26">
        <f>VLOOKUP(G53,'Прайс Gamma'!$A:$F,4,0)</f>
        <v>11200</v>
      </c>
      <c r="J53" s="26">
        <f t="shared" si="17"/>
        <v>12200</v>
      </c>
      <c r="K53" s="26">
        <f>VLOOKUP(G53,'Прайс Gamma'!$A:$F,5,0)</f>
        <v>12200</v>
      </c>
      <c r="L53" s="11">
        <f t="shared" si="3"/>
        <v>1.0892857142857142</v>
      </c>
      <c r="M53" s="132">
        <f t="shared" si="4"/>
        <v>1.1499999999999999</v>
      </c>
      <c r="N53" s="192">
        <f t="shared" si="12"/>
        <v>13849.462365591395</v>
      </c>
      <c r="O53" s="190">
        <f t="shared" si="5"/>
        <v>13890</v>
      </c>
      <c r="P53" s="87">
        <f>VLOOKUP($A53,'Выгр Кат'!$A:$R,P$1,0)</f>
        <v>11200</v>
      </c>
      <c r="Q53" s="87">
        <f>VLOOKUP($A53,'Выгр Кат'!$A:$R,Q$1,0)</f>
        <v>13890</v>
      </c>
      <c r="R53" s="94">
        <f t="shared" si="6"/>
        <v>0</v>
      </c>
      <c r="S53" s="94">
        <f t="shared" si="7"/>
        <v>0</v>
      </c>
      <c r="T53" s="20">
        <f t="shared" si="23"/>
        <v>12917.699999999999</v>
      </c>
      <c r="U53" s="209" t="str">
        <f>IFERROR(VLOOKUP($A53,'Из ГУГЛа'!$B:$G,6,0)*V53,VLOOKUP($A53,'Из ГУГЛа'!$B:$G,6,0))</f>
        <v/>
      </c>
      <c r="V53" s="75">
        <v>1</v>
      </c>
      <c r="W53" s="83">
        <f t="shared" si="8"/>
        <v>0.15336607142857139</v>
      </c>
      <c r="X53" s="83" t="str">
        <f t="shared" si="9"/>
        <v/>
      </c>
      <c r="Y53" s="83" t="str">
        <f t="shared" si="10"/>
        <v/>
      </c>
      <c r="Z53" s="47"/>
    </row>
    <row r="54" spans="1:27" ht="45.75" thickBot="1">
      <c r="A54" s="41">
        <v>193350</v>
      </c>
      <c r="B54" s="87">
        <f>VLOOKUP($A54,'Выгр Кат'!$A:$R,B$1,0)</f>
        <v>23717</v>
      </c>
      <c r="C54" s="18" t="s">
        <v>229</v>
      </c>
      <c r="D54" s="86" t="str">
        <f>VLOOKUP($A54,'Выгр Кат'!$A:$R,D$1,0)</f>
        <v>Передний парктроник "Ferrum Group" (для GF 940 и GF 940) для Лада Веста</v>
      </c>
      <c r="E54" s="87" t="str">
        <f>VLOOKUP($A54,'Выгр Кат'!$A:$R,E$1,0)</f>
        <v>Y</v>
      </c>
      <c r="F54" s="87" t="str">
        <f>VLOOKUP($A54,'Выгр Кат'!$A:$R,F$1,0)</f>
        <v>1</v>
      </c>
      <c r="G54" s="100" t="s">
        <v>368</v>
      </c>
      <c r="H54" s="69"/>
      <c r="I54" s="26">
        <f>VLOOKUP(G54,'Прайс Gamma'!$A:$F,4,0)</f>
        <v>11200</v>
      </c>
      <c r="J54" s="26">
        <f t="shared" si="17"/>
        <v>12200</v>
      </c>
      <c r="K54" s="26">
        <f>VLOOKUP(G54,'Прайс Gamma'!$A:$F,5,0)</f>
        <v>12200</v>
      </c>
      <c r="L54" s="11">
        <f t="shared" si="3"/>
        <v>1.0892857142857142</v>
      </c>
      <c r="M54" s="132">
        <f t="shared" si="4"/>
        <v>1.1499999999999999</v>
      </c>
      <c r="N54" s="192">
        <f t="shared" si="12"/>
        <v>13849.462365591395</v>
      </c>
      <c r="O54" s="190">
        <f t="shared" si="5"/>
        <v>13890</v>
      </c>
      <c r="P54" s="87">
        <f>VLOOKUP($A54,'Выгр Кат'!$A:$R,P$1,0)</f>
        <v>11200</v>
      </c>
      <c r="Q54" s="87">
        <f>VLOOKUP($A54,'Выгр Кат'!$A:$R,Q$1,0)</f>
        <v>13890</v>
      </c>
      <c r="R54" s="94">
        <f t="shared" si="6"/>
        <v>0</v>
      </c>
      <c r="S54" s="94">
        <f t="shared" si="7"/>
        <v>0</v>
      </c>
      <c r="T54" s="20">
        <f t="shared" si="23"/>
        <v>12917.699999999999</v>
      </c>
      <c r="U54" s="209">
        <f>IFERROR(VLOOKUP($A54,'Из ГУГЛа'!$B:$G,6,0)*V54,VLOOKUP($A54,'Из ГУГЛа'!$B:$G,6,0))</f>
        <v>11290</v>
      </c>
      <c r="V54" s="75">
        <v>1</v>
      </c>
      <c r="W54" s="83">
        <f t="shared" si="8"/>
        <v>0.15336607142857139</v>
      </c>
      <c r="X54" s="83">
        <f t="shared" si="9"/>
        <v>-0.1441718334809565</v>
      </c>
      <c r="Y54" s="83">
        <f t="shared" si="10"/>
        <v>8.0357142857143682E-3</v>
      </c>
      <c r="Z54" s="2">
        <v>11290</v>
      </c>
      <c r="AA54" s="36" t="s">
        <v>538</v>
      </c>
    </row>
    <row r="55" spans="1:27" ht="46.5" thickTop="1" thickBot="1">
      <c r="A55" s="41">
        <v>138629</v>
      </c>
      <c r="B55" s="87">
        <f>VLOOKUP($A55,'Выгр Кат'!$A:$R,B$1,0)</f>
        <v>7063</v>
      </c>
      <c r="C55" s="18" t="s">
        <v>222</v>
      </c>
      <c r="D55" s="86" t="str">
        <f>VLOOKUP($A55,'Выгр Кат'!$A:$R,D$1,0)</f>
        <v>Бортовой компьютер "Ferrum Group" GF 412 (с электронным блоком отопителя) для ВАЗ 2110-2112 (старая панель)</v>
      </c>
      <c r="E55" s="87" t="str">
        <f>VLOOKUP($A55,'Выгр Кат'!$A:$R,E$1,0)</f>
        <v>Y</v>
      </c>
      <c r="F55" s="87" t="str">
        <f>VLOOKUP($A55,'Выгр Кат'!$A:$R,F$1,0)</f>
        <v>1</v>
      </c>
      <c r="G55" s="96" t="s">
        <v>274</v>
      </c>
      <c r="H55" s="34"/>
      <c r="I55" s="32">
        <f>VLOOKUP(G55,'Прайс Gamma'!$B:$F,3,0)</f>
        <v>10800</v>
      </c>
      <c r="J55" s="32">
        <f t="shared" ref="J55:J56" si="26">K55+H55</f>
        <v>11800</v>
      </c>
      <c r="K55" s="32">
        <f>VLOOKUP(G55,'Прайс Gamma'!$B:$F,4,0)</f>
        <v>11800</v>
      </c>
      <c r="L55" s="11">
        <f t="shared" si="3"/>
        <v>1.0925925925925926</v>
      </c>
      <c r="M55" s="132">
        <f t="shared" si="4"/>
        <v>1.1499999999999999</v>
      </c>
      <c r="N55" s="192">
        <f t="shared" si="12"/>
        <v>13354.838709677417</v>
      </c>
      <c r="O55" s="190">
        <f t="shared" si="5"/>
        <v>13390</v>
      </c>
      <c r="P55" s="87">
        <f>VLOOKUP($A55,'Выгр Кат'!$A:$R,P$1,0)</f>
        <v>10800</v>
      </c>
      <c r="Q55" s="87">
        <f>VLOOKUP($A55,'Выгр Кат'!$A:$R,Q$1,0)</f>
        <v>13390</v>
      </c>
      <c r="R55" s="94">
        <f t="shared" si="6"/>
        <v>0</v>
      </c>
      <c r="S55" s="94">
        <f t="shared" si="7"/>
        <v>0</v>
      </c>
      <c r="T55" s="20">
        <f t="shared" si="23"/>
        <v>12452.699999999999</v>
      </c>
      <c r="U55" s="209">
        <f>IFERROR(VLOOKUP($A55,'Из ГУГЛа'!$B:$G,6,0)*V55,VLOOKUP($A55,'Из ГУГЛа'!$B:$G,6,0))</f>
        <v>13490</v>
      </c>
      <c r="V55" s="75">
        <v>1</v>
      </c>
      <c r="W55" s="83">
        <f t="shared" si="8"/>
        <v>0.15302777777777776</v>
      </c>
      <c r="X55" s="83">
        <f t="shared" si="9"/>
        <v>7.6893995552261021E-2</v>
      </c>
      <c r="Y55" s="83">
        <f t="shared" si="10"/>
        <v>0.249074074074074</v>
      </c>
      <c r="Z55" s="2">
        <v>13490</v>
      </c>
      <c r="AA55" s="36" t="s">
        <v>539</v>
      </c>
    </row>
    <row r="56" spans="1:27" ht="31.5" thickTop="1" thickBot="1">
      <c r="A56" s="41">
        <v>138627</v>
      </c>
      <c r="B56" s="87">
        <f>VLOOKUP($A56,'Выгр Кат'!$A:$R,B$1,0)</f>
        <v>7089</v>
      </c>
      <c r="C56" s="18" t="s">
        <v>225</v>
      </c>
      <c r="D56" s="86" t="str">
        <f>VLOOKUP($A56,'Выгр Кат'!$A:$R,D$1,0)</f>
        <v>Бортовой компьютер "Ferrum Group" GF 241 для Chevrolet Aveo, Lacetti, Rezzo</v>
      </c>
      <c r="E56" s="87" t="str">
        <f>VLOOKUP($A56,'Выгр Кат'!$A:$R,E$1,0)</f>
        <v>Y</v>
      </c>
      <c r="F56" s="87" t="str">
        <f>VLOOKUP($A56,'Выгр Кат'!$A:$R,F$1,0)</f>
        <v>1</v>
      </c>
      <c r="G56" s="96" t="s">
        <v>275</v>
      </c>
      <c r="H56" s="34"/>
      <c r="I56" s="32">
        <f>VLOOKUP(G56,'Прайс Gamma'!$B:$F,3,0)</f>
        <v>10900</v>
      </c>
      <c r="J56" s="32">
        <f t="shared" si="26"/>
        <v>11900</v>
      </c>
      <c r="K56" s="32">
        <f>VLOOKUP(G56,'Прайс Gamma'!$B:$F,4,0)</f>
        <v>11900</v>
      </c>
      <c r="L56" s="11">
        <f t="shared" si="3"/>
        <v>1.0917431192660549</v>
      </c>
      <c r="M56" s="132">
        <f t="shared" si="4"/>
        <v>1.1499999999999999</v>
      </c>
      <c r="N56" s="192">
        <f t="shared" ref="N56" si="27">I56*M56*100/93</f>
        <v>13478.494623655912</v>
      </c>
      <c r="O56" s="190">
        <f t="shared" si="5"/>
        <v>13490</v>
      </c>
      <c r="P56" s="87">
        <f>VLOOKUP($A56,'Выгр Кат'!$A:$R,P$1,0)</f>
        <v>10900</v>
      </c>
      <c r="Q56" s="87">
        <f>VLOOKUP($A56,'Выгр Кат'!$A:$R,Q$1,0)</f>
        <v>13490</v>
      </c>
      <c r="R56" s="94">
        <f t="shared" si="6"/>
        <v>0</v>
      </c>
      <c r="S56" s="94">
        <f t="shared" si="7"/>
        <v>0</v>
      </c>
      <c r="T56" s="20">
        <f t="shared" si="23"/>
        <v>12545.699999999999</v>
      </c>
      <c r="U56" s="209">
        <f>IFERROR(VLOOKUP($A56,'Из ГУГЛа'!$B:$G,6,0)*V56,VLOOKUP($A56,'Из ГУГЛа'!$B:$G,6,0))</f>
        <v>13590</v>
      </c>
      <c r="V56" s="75">
        <v>1</v>
      </c>
      <c r="W56" s="83">
        <f t="shared" si="8"/>
        <v>0.15098165137614661</v>
      </c>
      <c r="X56" s="83">
        <f t="shared" si="9"/>
        <v>7.6843267108167856E-2</v>
      </c>
      <c r="Y56" s="83">
        <f t="shared" si="10"/>
        <v>0.24678899082568817</v>
      </c>
      <c r="Z56" s="2">
        <v>13590</v>
      </c>
      <c r="AA56" s="36" t="s">
        <v>540</v>
      </c>
    </row>
    <row r="57" spans="1:27" ht="46.5" thickTop="1" thickBot="1">
      <c r="A57" s="41">
        <v>142192</v>
      </c>
      <c r="B57" s="87">
        <f>VLOOKUP($A57,'Выгр Кат'!$A:$R,B$1,0)</f>
        <v>23715</v>
      </c>
      <c r="C57" s="18" t="s">
        <v>227</v>
      </c>
      <c r="D57" s="86" t="str">
        <f>VLOOKUP($A57,'Выгр Кат'!$A:$R,D$1,0)</f>
        <v>Датчики давления воздуха в шинах (TPMS) "Ferrum Group" для Лада Веста, XRAY</v>
      </c>
      <c r="E57" s="87" t="str">
        <f>VLOOKUP($A57,'Выгр Кат'!$A:$R,E$1,0)</f>
        <v>Y</v>
      </c>
      <c r="F57" s="87" t="str">
        <f>VLOOKUP($A57,'Выгр Кат'!$A:$R,F$1,0)</f>
        <v>1</v>
      </c>
      <c r="G57" s="100" t="s">
        <v>380</v>
      </c>
      <c r="H57" s="67"/>
      <c r="I57" s="26">
        <f>VLOOKUP(G57,'Прайс Gamma'!$A:$F,4,0)</f>
        <v>10700</v>
      </c>
      <c r="J57" s="26">
        <f>K57+H57</f>
        <v>14100</v>
      </c>
      <c r="K57" s="26">
        <f>VLOOKUP(G57,'Прайс Gamma'!$A:$F,5,0)</f>
        <v>14100</v>
      </c>
      <c r="L57" s="11">
        <f t="shared" si="3"/>
        <v>1.3177570093457944</v>
      </c>
      <c r="M57" s="132">
        <f t="shared" si="4"/>
        <v>1.3177570093457944</v>
      </c>
      <c r="N57" s="195">
        <f>Z57*1.05</f>
        <v>14794.5</v>
      </c>
      <c r="O57" s="190">
        <f t="shared" si="5"/>
        <v>14790</v>
      </c>
      <c r="P57" s="87">
        <f>VLOOKUP($A57,'Выгр Кат'!$A:$R,P$1,0)</f>
        <v>10700</v>
      </c>
      <c r="Q57" s="87">
        <f>VLOOKUP($A57,'Выгр Кат'!$A:$R,Q$1,0)</f>
        <v>14790</v>
      </c>
      <c r="R57" s="94">
        <f t="shared" si="6"/>
        <v>0</v>
      </c>
      <c r="S57" s="94">
        <f t="shared" si="7"/>
        <v>0</v>
      </c>
      <c r="T57" s="20">
        <f t="shared" si="23"/>
        <v>13754.699999999999</v>
      </c>
      <c r="U57" s="209">
        <f>IFERROR(VLOOKUP($A57,'Из ГУГЛа'!$B:$G,6,0)*V57,VLOOKUP($A57,'Из ГУГЛа'!$B:$G,6,0))</f>
        <v>14090</v>
      </c>
      <c r="V57" s="75">
        <v>1</v>
      </c>
      <c r="W57" s="83">
        <f t="shared" si="8"/>
        <v>0.28548598130841119</v>
      </c>
      <c r="X57" s="83">
        <f t="shared" si="9"/>
        <v>2.3797019162526693E-2</v>
      </c>
      <c r="Y57" s="83">
        <f t="shared" si="10"/>
        <v>0.31682242990654208</v>
      </c>
      <c r="Z57" s="2">
        <v>14090</v>
      </c>
      <c r="AA57" s="36" t="s">
        <v>626</v>
      </c>
    </row>
    <row r="58" spans="1:27" ht="46.5" thickTop="1" thickBot="1">
      <c r="A58" s="41">
        <v>226926</v>
      </c>
      <c r="B58" s="87">
        <f>VLOOKUP($A58,'Выгр Кат'!$A:$R,B$1,0)</f>
        <v>7143</v>
      </c>
      <c r="C58" s="18" t="s">
        <v>170</v>
      </c>
      <c r="D58" s="86" t="str">
        <f>VLOOKUP($A58,'Выгр Кат'!$A:$R,D$1,0)</f>
        <v>Электронная комбинация приборов "Ferrum Group" GF 651 для Лада Гранта (до 2015 г. в.)</v>
      </c>
      <c r="E58" s="87" t="str">
        <f>VLOOKUP($A58,'Выгр Кат'!$A:$R,E$1,0)</f>
        <v>Y</v>
      </c>
      <c r="F58" s="87" t="str">
        <f>VLOOKUP($A58,'Выгр Кат'!$A:$R,F$1,0)</f>
        <v>1</v>
      </c>
      <c r="G58" s="102" t="s">
        <v>104</v>
      </c>
      <c r="H58" s="70"/>
      <c r="I58" s="32">
        <f>VLOOKUP(G58,'Прайс Gamma'!$B:$F,3,0)</f>
        <v>39375</v>
      </c>
      <c r="J58" s="32">
        <f t="shared" ref="J58" si="28">K58+H58</f>
        <v>42375</v>
      </c>
      <c r="K58" s="32">
        <f>VLOOKUP(G58,'Прайс Gamma'!$B:$F,4,0)</f>
        <v>42375</v>
      </c>
      <c r="L58" s="11">
        <f t="shared" si="3"/>
        <v>1.0761904761904761</v>
      </c>
      <c r="M58" s="132">
        <f t="shared" si="4"/>
        <v>1.1499999999999999</v>
      </c>
      <c r="N58" s="192">
        <f t="shared" si="12"/>
        <v>48689.516129032258</v>
      </c>
      <c r="O58" s="190">
        <f t="shared" si="5"/>
        <v>48690</v>
      </c>
      <c r="P58" s="87">
        <f>VLOOKUP($A58,'Выгр Кат'!$A:$R,P$1,0)</f>
        <v>39375</v>
      </c>
      <c r="Q58" s="87">
        <f>VLOOKUP($A58,'Выгр Кат'!$A:$R,Q$1,0)</f>
        <v>48690</v>
      </c>
      <c r="R58" s="94">
        <f t="shared" si="6"/>
        <v>0</v>
      </c>
      <c r="S58" s="94">
        <f t="shared" si="7"/>
        <v>0</v>
      </c>
      <c r="T58" s="20">
        <f t="shared" si="23"/>
        <v>45281.7</v>
      </c>
      <c r="U58" s="209">
        <f>IFERROR(VLOOKUP($A58,'Из ГУГЛа'!$B:$G,6,0)*V58,VLOOKUP($A58,'Из ГУГЛа'!$B:$G,6,0))</f>
        <v>49390</v>
      </c>
      <c r="V58" s="75">
        <v>1</v>
      </c>
      <c r="W58" s="83">
        <f t="shared" si="8"/>
        <v>0.15001142857142846</v>
      </c>
      <c r="X58" s="83">
        <f t="shared" si="9"/>
        <v>8.3180805831139959E-2</v>
      </c>
      <c r="Y58" s="83">
        <f t="shared" si="10"/>
        <v>0.25434920634920632</v>
      </c>
      <c r="Z58" s="2">
        <v>49390</v>
      </c>
      <c r="AA58" s="36" t="s">
        <v>541</v>
      </c>
    </row>
    <row r="59" spans="1:27" ht="45.75" thickTop="1">
      <c r="A59" s="41">
        <v>132588</v>
      </c>
      <c r="B59" s="87">
        <f>VLOOKUP($A59,'Выгр Кат'!$A:$R,B$1,0)</f>
        <v>39105</v>
      </c>
      <c r="C59" s="23" t="s">
        <v>247</v>
      </c>
      <c r="D59" s="86" t="str">
        <f>VLOOKUP($A59,'Выгр Кат'!$A:$R,D$1,0)</f>
        <v>Руль анатомический "Ferrum Group" FG ТRAVELER (со вставками из алькантары) для Шевроле Нива, Лада Нива Travel</v>
      </c>
      <c r="E59" s="87" t="str">
        <f>VLOOKUP($A59,'Выгр Кат'!$A:$R,E$1,0)</f>
        <v>Y</v>
      </c>
      <c r="F59" s="87" t="str">
        <f>VLOOKUP($A59,'Выгр Кат'!$A:$R,F$1,0)</f>
        <v>1</v>
      </c>
      <c r="G59" s="12"/>
      <c r="H59" s="12">
        <v>7500</v>
      </c>
      <c r="I59" s="35">
        <f>J59-1000</f>
        <v>45700</v>
      </c>
      <c r="J59" s="21">
        <f>K59+H59</f>
        <v>46700</v>
      </c>
      <c r="K59" s="21">
        <v>39200</v>
      </c>
      <c r="L59" s="11">
        <f>J59/I59</f>
        <v>1.0218818380743981</v>
      </c>
      <c r="M59" s="132">
        <f t="shared" si="4"/>
        <v>1.1499999999999999</v>
      </c>
      <c r="N59" s="192">
        <f>I59*M59*100/93</f>
        <v>56510.752688172033</v>
      </c>
      <c r="O59" s="190">
        <f>IF(N59&lt;=1000,(ROUNDUP(N59,-1)-1),(ROUNDUP(N59,-2)-10))</f>
        <v>56590</v>
      </c>
      <c r="P59" s="87">
        <f>VLOOKUP($A59,'Выгр Кат'!$A:$R,P$1,0)</f>
        <v>45700</v>
      </c>
      <c r="Q59" s="87">
        <f>VLOOKUP($A59,'Выгр Кат'!$A:$R,Q$1,0)</f>
        <v>56590</v>
      </c>
      <c r="R59" s="94">
        <f t="shared" si="6"/>
        <v>0</v>
      </c>
      <c r="S59" s="94">
        <f t="shared" si="7"/>
        <v>0</v>
      </c>
      <c r="T59" s="20">
        <f>O59*(1-$T$2)</f>
        <v>52628.7</v>
      </c>
      <c r="U59" s="209" t="str">
        <f>IFERROR(VLOOKUP($A59,'Из ГУГЛа'!$B:$G,6,0)*V59,VLOOKUP($A59,'Из ГУГЛа'!$B:$G,6,0))</f>
        <v/>
      </c>
      <c r="V59" s="75">
        <v>1</v>
      </c>
      <c r="W59" s="83">
        <f>IFERROR(T59/I59-1,"")</f>
        <v>0.15161269146608314</v>
      </c>
      <c r="X59" s="83" t="str">
        <f>IFERROR((Z59-T59)/Z59,"")</f>
        <v/>
      </c>
      <c r="Y59" s="83" t="str">
        <f>IFERROR(IF(Z59="","",Z59/I59-1),"")</f>
        <v/>
      </c>
      <c r="Z59" s="47"/>
    </row>
    <row r="60" spans="1:27" ht="45.75" thickBot="1">
      <c r="A60" s="41">
        <v>226925</v>
      </c>
      <c r="B60" s="87">
        <f>VLOOKUP($A60,'Выгр Кат'!$A:$R,B$1,0)</f>
        <v>7109</v>
      </c>
      <c r="C60" s="18" t="s">
        <v>169</v>
      </c>
      <c r="D60" s="86" t="str">
        <f>VLOOKUP($A60,'Выгр Кат'!$A:$R,D$1,0)</f>
        <v>Электронная комбинация приборов "Ferrum Group" GF 619 для ВАЗ 2110-2112 (европанель), Лада (Калина, Приора)</v>
      </c>
      <c r="E60" s="87" t="str">
        <f>VLOOKUP($A60,'Выгр Кат'!$A:$R,E$1,0)</f>
        <v>Y</v>
      </c>
      <c r="F60" s="87" t="str">
        <f>VLOOKUP($A60,'Выгр Кат'!$A:$R,F$1,0)</f>
        <v>1</v>
      </c>
      <c r="G60" s="101" t="s">
        <v>101</v>
      </c>
      <c r="H60" s="68"/>
      <c r="I60" s="32">
        <f>VLOOKUP(G60,'Прайс Gamma'!$B:$F,3,0)</f>
        <v>46750</v>
      </c>
      <c r="J60" s="32">
        <f t="shared" ref="J60:J82" si="29">K60+H60</f>
        <v>49750</v>
      </c>
      <c r="K60" s="32">
        <f>VLOOKUP(G60,'Прайс Gamma'!$B:$F,4,0)</f>
        <v>49750</v>
      </c>
      <c r="L60" s="11">
        <f t="shared" ref="L60:L84" si="30">J60/I60</f>
        <v>1.0641711229946524</v>
      </c>
      <c r="M60" s="132">
        <f t="shared" si="4"/>
        <v>1.1499999999999999</v>
      </c>
      <c r="N60" s="192">
        <f t="shared" ref="N60:N84" si="31">I60*M60*100/93</f>
        <v>57809.13978494623</v>
      </c>
      <c r="O60" s="190">
        <f t="shared" ref="O60:O84" si="32">IF(N60&lt;=1000,(ROUNDUP(N60,-1)-1),(ROUNDUP(N60,-2)-10))</f>
        <v>57890</v>
      </c>
      <c r="P60" s="87">
        <f>VLOOKUP($A60,'Выгр Кат'!$A:$R,P$1,0)</f>
        <v>46750</v>
      </c>
      <c r="Q60" s="87">
        <f>VLOOKUP($A60,'Выгр Кат'!$A:$R,Q$1,0)</f>
        <v>57890</v>
      </c>
      <c r="R60" s="94">
        <f t="shared" si="6"/>
        <v>0</v>
      </c>
      <c r="S60" s="94">
        <f t="shared" si="7"/>
        <v>0</v>
      </c>
      <c r="T60" s="20">
        <f t="shared" si="23"/>
        <v>53837.7</v>
      </c>
      <c r="U60" s="209">
        <f>IFERROR(VLOOKUP($A60,'Из ГУГЛа'!$B:$G,6,0)*V60,VLOOKUP($A60,'Из ГУГЛа'!$B:$G,6,0))</f>
        <v>56790</v>
      </c>
      <c r="V60" s="75">
        <v>1</v>
      </c>
      <c r="W60" s="83">
        <f t="shared" ref="W60:W84" si="33">IFERROR(T60/I60-1,"")</f>
        <v>0.15160855614973245</v>
      </c>
      <c r="X60" s="83">
        <f t="shared" ref="X60:X84" si="34">IFERROR((Z60-T60)/Z60,"")</f>
        <v>5.1986265187533069E-2</v>
      </c>
      <c r="Y60" s="83">
        <f t="shared" ref="Y60:Y84" si="35">IFERROR(IF(Z60="","",Z60/I60-1),"")</f>
        <v>0.21475935828877013</v>
      </c>
      <c r="Z60" s="2">
        <v>56790</v>
      </c>
      <c r="AA60" s="36" t="s">
        <v>542</v>
      </c>
    </row>
    <row r="61" spans="1:27" ht="46.5" thickTop="1" thickBot="1">
      <c r="A61" s="41">
        <v>226996</v>
      </c>
      <c r="B61" s="87">
        <f>VLOOKUP($A61,'Выгр Кат'!$A:$R,B$1,0)</f>
        <v>7108</v>
      </c>
      <c r="C61" s="18" t="s">
        <v>172</v>
      </c>
      <c r="D61" s="86" t="str">
        <f>VLOOKUP($A61,'Выгр Кат'!$A:$R,D$1,0)</f>
        <v>Электронная комбинация приборов "Ferrum Group" GF 818 для ВАЗ 2110-12 (европанель), Лада (Калина, Приора)</v>
      </c>
      <c r="E61" s="87" t="str">
        <f>VLOOKUP($A61,'Выгр Кат'!$A:$R,E$1,0)</f>
        <v>Y</v>
      </c>
      <c r="F61" s="87" t="str">
        <f>VLOOKUP($A61,'Выгр Кат'!$A:$R,F$1,0)</f>
        <v>1</v>
      </c>
      <c r="G61" s="101" t="s">
        <v>357</v>
      </c>
      <c r="H61" s="71"/>
      <c r="I61" s="32">
        <f>VLOOKUP(G61,'Прайс Gamma'!$B:$F,3,0)</f>
        <v>50609</v>
      </c>
      <c r="J61" s="32">
        <f t="shared" si="29"/>
        <v>53609</v>
      </c>
      <c r="K61" s="32">
        <f>VLOOKUP(G61,'Прайс Gamma'!$B:$F,4,0)</f>
        <v>53609</v>
      </c>
      <c r="L61" s="11">
        <f t="shared" si="30"/>
        <v>1.059277994032682</v>
      </c>
      <c r="M61" s="132">
        <f t="shared" si="4"/>
        <v>1.1499999999999999</v>
      </c>
      <c r="N61" s="192">
        <f t="shared" si="31"/>
        <v>62581.021505376346</v>
      </c>
      <c r="O61" s="190">
        <f t="shared" si="32"/>
        <v>62590</v>
      </c>
      <c r="P61" s="87">
        <f>VLOOKUP($A61,'Выгр Кат'!$A:$R,P$1,0)</f>
        <v>50609</v>
      </c>
      <c r="Q61" s="87">
        <f>VLOOKUP($A61,'Выгр Кат'!$A:$R,Q$1,0)</f>
        <v>62590</v>
      </c>
      <c r="R61" s="94">
        <f t="shared" si="6"/>
        <v>0</v>
      </c>
      <c r="S61" s="94">
        <f t="shared" si="7"/>
        <v>0</v>
      </c>
      <c r="T61" s="20">
        <f t="shared" si="23"/>
        <v>58208.7</v>
      </c>
      <c r="U61" s="209">
        <f>IFERROR(VLOOKUP($A61,'Из ГУГЛа'!$B:$G,6,0)*V61,VLOOKUP($A61,'Из ГУГЛа'!$B:$G,6,0))</f>
        <v>60590</v>
      </c>
      <c r="V61" s="75">
        <v>1</v>
      </c>
      <c r="W61" s="83">
        <f t="shared" si="33"/>
        <v>0.15016499041672415</v>
      </c>
      <c r="X61" s="83">
        <f t="shared" si="34"/>
        <v>3.9301864994223515E-2</v>
      </c>
      <c r="Y61" s="83">
        <f t="shared" si="35"/>
        <v>0.19721788614673286</v>
      </c>
      <c r="Z61" s="2">
        <v>60590</v>
      </c>
      <c r="AA61" s="36" t="s">
        <v>544</v>
      </c>
    </row>
    <row r="62" spans="1:27" ht="46.5" thickTop="1" thickBot="1">
      <c r="A62" s="41">
        <v>226929</v>
      </c>
      <c r="B62" s="87">
        <f>VLOOKUP($A62,'Выгр Кат'!$A:$R,B$1,0)</f>
        <v>7107</v>
      </c>
      <c r="C62" s="18" t="s">
        <v>173</v>
      </c>
      <c r="D62" s="86" t="str">
        <f>VLOOKUP($A62,'Выгр Кат'!$A:$R,D$1,0)</f>
        <v>Электронная комбинация приборов "Ferrum Group" GF 818 Black для ВАЗ 2110-2112 (европанель), Лада (Калина, Приора)</v>
      </c>
      <c r="E62" s="87" t="str">
        <f>VLOOKUP($A62,'Выгр Кат'!$A:$R,E$1,0)</f>
        <v>Y</v>
      </c>
      <c r="F62" s="87" t="str">
        <f>VLOOKUP($A62,'Выгр Кат'!$A:$R,F$1,0)</f>
        <v>1</v>
      </c>
      <c r="G62" s="101" t="s">
        <v>357</v>
      </c>
      <c r="H62" s="71"/>
      <c r="I62" s="32">
        <f>VLOOKUP(G62,'Прайс Gamma'!$B:$F,3,0)</f>
        <v>50609</v>
      </c>
      <c r="J62" s="32">
        <f t="shared" si="29"/>
        <v>53609</v>
      </c>
      <c r="K62" s="32">
        <f>VLOOKUP(G62,'Прайс Gamma'!$B:$F,4,0)</f>
        <v>53609</v>
      </c>
      <c r="L62" s="11">
        <f t="shared" si="30"/>
        <v>1.059277994032682</v>
      </c>
      <c r="M62" s="132">
        <f t="shared" si="4"/>
        <v>1.1499999999999999</v>
      </c>
      <c r="N62" s="192">
        <f t="shared" si="31"/>
        <v>62581.021505376346</v>
      </c>
      <c r="O62" s="190">
        <f t="shared" si="32"/>
        <v>62590</v>
      </c>
      <c r="P62" s="87">
        <f>VLOOKUP($A62,'Выгр Кат'!$A:$R,P$1,0)</f>
        <v>50609</v>
      </c>
      <c r="Q62" s="87">
        <f>VLOOKUP($A62,'Выгр Кат'!$A:$R,Q$1,0)</f>
        <v>62590</v>
      </c>
      <c r="R62" s="94">
        <f t="shared" si="6"/>
        <v>0</v>
      </c>
      <c r="S62" s="94">
        <f t="shared" si="7"/>
        <v>0</v>
      </c>
      <c r="T62" s="20">
        <f t="shared" si="23"/>
        <v>58208.7</v>
      </c>
      <c r="U62" s="209">
        <f>IFERROR(VLOOKUP($A62,'Из ГУГЛа'!$B:$G,6,0)*V62,VLOOKUP($A62,'Из ГУГЛа'!$B:$G,6,0))</f>
        <v>60590</v>
      </c>
      <c r="V62" s="75">
        <v>1</v>
      </c>
      <c r="W62" s="83">
        <f t="shared" si="33"/>
        <v>0.15016499041672415</v>
      </c>
      <c r="X62" s="83">
        <f t="shared" si="34"/>
        <v>3.9301864994223515E-2</v>
      </c>
      <c r="Y62" s="83">
        <f t="shared" si="35"/>
        <v>0.19721788614673286</v>
      </c>
      <c r="Z62" s="2">
        <v>60590</v>
      </c>
      <c r="AA62" s="36" t="s">
        <v>543</v>
      </c>
    </row>
    <row r="63" spans="1:27" ht="31.5" thickTop="1" thickBot="1">
      <c r="A63" s="41">
        <v>226922</v>
      </c>
      <c r="B63" s="87">
        <f>VLOOKUP($A63,'Выгр Кат'!$A:$R,B$1,0)</f>
        <v>7129</v>
      </c>
      <c r="C63" s="18" t="s">
        <v>168</v>
      </c>
      <c r="D63" s="86" t="str">
        <f>VLOOKUP($A63,'Выгр Кат'!$A:$R,D$1,0)</f>
        <v>Электронная комбинация приборов "Ferrum Group" GF 616 для ВАЗ 2110-2112, 2113-2115</v>
      </c>
      <c r="E63" s="87" t="str">
        <f>VLOOKUP($A63,'Выгр Кат'!$A:$R,E$1,0)</f>
        <v>Y</v>
      </c>
      <c r="F63" s="87" t="str">
        <f>VLOOKUP($A63,'Выгр Кат'!$A:$R,F$1,0)</f>
        <v>1</v>
      </c>
      <c r="G63" s="103" t="s">
        <v>103</v>
      </c>
      <c r="H63" s="72"/>
      <c r="I63" s="32">
        <f>VLOOKUP(G63,'Прайс Gamma'!$B:$F,3,0)</f>
        <v>55060</v>
      </c>
      <c r="J63" s="32">
        <f t="shared" si="29"/>
        <v>58060</v>
      </c>
      <c r="K63" s="32">
        <f>VLOOKUP(G63,'Прайс Gamma'!$B:$F,4,0)</f>
        <v>58060</v>
      </c>
      <c r="L63" s="11">
        <f t="shared" si="30"/>
        <v>1.0544860152560842</v>
      </c>
      <c r="M63" s="132">
        <f t="shared" si="4"/>
        <v>1.1499999999999999</v>
      </c>
      <c r="N63" s="192">
        <f t="shared" si="31"/>
        <v>68084.946236559132</v>
      </c>
      <c r="O63" s="190">
        <f t="shared" si="32"/>
        <v>68090</v>
      </c>
      <c r="P63" s="87">
        <f>VLOOKUP($A63,'Выгр Кат'!$A:$R,P$1,0)</f>
        <v>55060</v>
      </c>
      <c r="Q63" s="87">
        <f>VLOOKUP($A63,'Выгр Кат'!$A:$R,Q$1,0)</f>
        <v>68090</v>
      </c>
      <c r="R63" s="94">
        <f t="shared" ref="R63:R126" si="36">P63-I63</f>
        <v>0</v>
      </c>
      <c r="S63" s="94">
        <f t="shared" ref="S63:S126" si="37">Q63-O63</f>
        <v>0</v>
      </c>
      <c r="T63" s="20">
        <f t="shared" si="23"/>
        <v>63323.7</v>
      </c>
      <c r="U63" s="209">
        <f>IFERROR(VLOOKUP($A63,'Из ГУГЛа'!$B:$G,6,0)*V63,VLOOKUP($A63,'Из ГУГЛа'!$B:$G,6,0))</f>
        <v>65190</v>
      </c>
      <c r="V63" s="75">
        <v>1</v>
      </c>
      <c r="W63" s="83">
        <f t="shared" si="33"/>
        <v>0.15008536142390105</v>
      </c>
      <c r="X63" s="83">
        <f t="shared" si="34"/>
        <v>2.8628624022089322E-2</v>
      </c>
      <c r="Y63" s="83">
        <f t="shared" si="35"/>
        <v>0.18398111151471119</v>
      </c>
      <c r="Z63" s="2">
        <v>65190</v>
      </c>
      <c r="AA63" s="36" t="s">
        <v>546</v>
      </c>
    </row>
    <row r="64" spans="1:27" ht="46.5" thickTop="1" thickBot="1">
      <c r="A64" s="41">
        <v>226923</v>
      </c>
      <c r="B64" s="87">
        <f>VLOOKUP($A64,'Выгр Кат'!$A:$R,B$1,0)</f>
        <v>7149</v>
      </c>
      <c r="C64" s="18" t="s">
        <v>168</v>
      </c>
      <c r="D64" s="86" t="str">
        <f>VLOOKUP($A64,'Выгр Кат'!$A:$R,D$1,0)</f>
        <v>Электронная комбинация приборов "Ferrum Group" GF 616 для Лада Нива 4x4, Нива 4x4 Урбан (инжекторный двигатель)</v>
      </c>
      <c r="E64" s="87" t="str">
        <f>VLOOKUP($A64,'Выгр Кат'!$A:$R,E$1,0)</f>
        <v>Y</v>
      </c>
      <c r="F64" s="87" t="str">
        <f>VLOOKUP($A64,'Выгр Кат'!$A:$R,F$1,0)</f>
        <v>1</v>
      </c>
      <c r="G64" s="103" t="s">
        <v>103</v>
      </c>
      <c r="H64" s="72"/>
      <c r="I64" s="32">
        <f>VLOOKUP(G64,'Прайс Gamma'!$B:$F,3,0)</f>
        <v>55060</v>
      </c>
      <c r="J64" s="32">
        <f t="shared" si="29"/>
        <v>58060</v>
      </c>
      <c r="K64" s="32">
        <f>VLOOKUP(G64,'Прайс Gamma'!$B:$F,4,0)</f>
        <v>58060</v>
      </c>
      <c r="L64" s="11">
        <f t="shared" si="30"/>
        <v>1.0544860152560842</v>
      </c>
      <c r="M64" s="132">
        <f t="shared" si="4"/>
        <v>1.1499999999999999</v>
      </c>
      <c r="N64" s="192">
        <f t="shared" si="31"/>
        <v>68084.946236559132</v>
      </c>
      <c r="O64" s="190">
        <f t="shared" si="32"/>
        <v>68090</v>
      </c>
      <c r="P64" s="87">
        <f>VLOOKUP($A64,'Выгр Кат'!$A:$R,P$1,0)</f>
        <v>55060</v>
      </c>
      <c r="Q64" s="87">
        <f>VLOOKUP($A64,'Выгр Кат'!$A:$R,Q$1,0)</f>
        <v>68090</v>
      </c>
      <c r="R64" s="94">
        <f t="shared" si="36"/>
        <v>0</v>
      </c>
      <c r="S64" s="94">
        <f t="shared" si="37"/>
        <v>0</v>
      </c>
      <c r="T64" s="20">
        <f t="shared" si="23"/>
        <v>63323.7</v>
      </c>
      <c r="U64" s="209">
        <f>IFERROR(VLOOKUP($A64,'Из ГУГЛа'!$B:$G,6,0)*V64,VLOOKUP($A64,'Из ГУГЛа'!$B:$G,6,0))</f>
        <v>65190</v>
      </c>
      <c r="V64" s="75">
        <v>1</v>
      </c>
      <c r="W64" s="83">
        <f t="shared" si="33"/>
        <v>0.15008536142390105</v>
      </c>
      <c r="X64" s="83">
        <f t="shared" si="34"/>
        <v>2.8628624022089322E-2</v>
      </c>
      <c r="Y64" s="83">
        <f t="shared" si="35"/>
        <v>0.18398111151471119</v>
      </c>
      <c r="Z64" s="2">
        <v>65190</v>
      </c>
      <c r="AA64" s="36" t="s">
        <v>547</v>
      </c>
    </row>
    <row r="65" spans="1:27" ht="31.5" thickTop="1" thickBot="1">
      <c r="A65" s="41">
        <v>226924</v>
      </c>
      <c r="B65" s="87">
        <f>VLOOKUP($A65,'Выгр Кат'!$A:$R,B$1,0)</f>
        <v>7146</v>
      </c>
      <c r="C65" s="18" t="s">
        <v>168</v>
      </c>
      <c r="D65" s="86" t="str">
        <f>VLOOKUP($A65,'Выгр Кат'!$A:$R,D$1,0)</f>
        <v>Электронная комбинация приборов "Ferrum Group" GF 616 для Шевроле Нива</v>
      </c>
      <c r="E65" s="87" t="str">
        <f>VLOOKUP($A65,'Выгр Кат'!$A:$R,E$1,0)</f>
        <v>Y</v>
      </c>
      <c r="F65" s="87" t="str">
        <f>VLOOKUP($A65,'Выгр Кат'!$A:$R,F$1,0)</f>
        <v>1</v>
      </c>
      <c r="G65" s="103" t="s">
        <v>103</v>
      </c>
      <c r="H65" s="72"/>
      <c r="I65" s="32">
        <f>VLOOKUP(G65,'Прайс Gamma'!$B:$F,3,0)</f>
        <v>55060</v>
      </c>
      <c r="J65" s="32">
        <f t="shared" si="29"/>
        <v>58060</v>
      </c>
      <c r="K65" s="32">
        <f>VLOOKUP(G65,'Прайс Gamma'!$B:$F,4,0)</f>
        <v>58060</v>
      </c>
      <c r="L65" s="11">
        <f t="shared" si="30"/>
        <v>1.0544860152560842</v>
      </c>
      <c r="M65" s="132">
        <f t="shared" si="4"/>
        <v>1.1499999999999999</v>
      </c>
      <c r="N65" s="192">
        <f t="shared" si="31"/>
        <v>68084.946236559132</v>
      </c>
      <c r="O65" s="190">
        <f t="shared" si="32"/>
        <v>68090</v>
      </c>
      <c r="P65" s="87">
        <f>VLOOKUP($A65,'Выгр Кат'!$A:$R,P$1,0)</f>
        <v>55060</v>
      </c>
      <c r="Q65" s="87">
        <f>VLOOKUP($A65,'Выгр Кат'!$A:$R,Q$1,0)</f>
        <v>68090</v>
      </c>
      <c r="R65" s="94">
        <f t="shared" si="36"/>
        <v>0</v>
      </c>
      <c r="S65" s="94">
        <f t="shared" si="37"/>
        <v>0</v>
      </c>
      <c r="T65" s="20">
        <f t="shared" si="23"/>
        <v>63323.7</v>
      </c>
      <c r="U65" s="209">
        <f>IFERROR(VLOOKUP($A65,'Из ГУГЛа'!$B:$G,6,0)*V65,VLOOKUP($A65,'Из ГУГЛа'!$B:$G,6,0))</f>
        <v>65190</v>
      </c>
      <c r="V65" s="75">
        <v>1</v>
      </c>
      <c r="W65" s="83">
        <f t="shared" si="33"/>
        <v>0.15008536142390105</v>
      </c>
      <c r="X65" s="83">
        <f t="shared" si="34"/>
        <v>2.8628624022089322E-2</v>
      </c>
      <c r="Y65" s="83">
        <f t="shared" si="35"/>
        <v>0.18398111151471119</v>
      </c>
      <c r="Z65" s="2">
        <v>65190</v>
      </c>
      <c r="AA65" s="36" t="s">
        <v>548</v>
      </c>
    </row>
    <row r="66" spans="1:27" ht="46.5" thickTop="1" thickBot="1">
      <c r="A66" s="41">
        <v>226936</v>
      </c>
      <c r="B66" s="87">
        <f>VLOOKUP($A66,'Выгр Кат'!$A:$R,B$1,0)</f>
        <v>7126</v>
      </c>
      <c r="C66" s="18" t="s">
        <v>180</v>
      </c>
      <c r="D66" s="86" t="str">
        <f>VLOOKUP($A66,'Выгр Кат'!$A:$R,D$1,0)</f>
        <v>Электронная комбинация приборов "Ferrum Group" GF 825S для ВАЗ 2110-2112, 2113-2115</v>
      </c>
      <c r="E66" s="87" t="str">
        <f>VLOOKUP($A66,'Выгр Кат'!$A:$R,E$1,0)</f>
        <v>Y</v>
      </c>
      <c r="F66" s="87" t="str">
        <f>VLOOKUP($A66,'Выгр Кат'!$A:$R,F$1,0)</f>
        <v>1</v>
      </c>
      <c r="G66" s="101" t="s">
        <v>205</v>
      </c>
      <c r="H66" s="68"/>
      <c r="I66" s="32">
        <f>VLOOKUP(G66,'Прайс Gamma'!$B:$F,3,0)</f>
        <v>64413</v>
      </c>
      <c r="J66" s="32">
        <f t="shared" si="29"/>
        <v>67413</v>
      </c>
      <c r="K66" s="32">
        <f>VLOOKUP(G66,'Прайс Gamma'!$B:$F,4,0)</f>
        <v>67413</v>
      </c>
      <c r="L66" s="11">
        <f t="shared" si="30"/>
        <v>1.0465744492571376</v>
      </c>
      <c r="M66" s="132">
        <f t="shared" si="4"/>
        <v>1.1499999999999999</v>
      </c>
      <c r="N66" s="192">
        <f t="shared" si="31"/>
        <v>79650.483870967742</v>
      </c>
      <c r="O66" s="190">
        <f t="shared" si="32"/>
        <v>79690</v>
      </c>
      <c r="P66" s="87">
        <f>VLOOKUP($A66,'Выгр Кат'!$A:$R,P$1,0)</f>
        <v>64413</v>
      </c>
      <c r="Q66" s="87">
        <f>VLOOKUP($A66,'Выгр Кат'!$A:$R,Q$1,0)</f>
        <v>79690</v>
      </c>
      <c r="R66" s="94">
        <f t="shared" si="36"/>
        <v>0</v>
      </c>
      <c r="S66" s="94">
        <f t="shared" si="37"/>
        <v>0</v>
      </c>
      <c r="T66" s="20">
        <f t="shared" si="23"/>
        <v>74111.7</v>
      </c>
      <c r="U66" s="209">
        <f>IFERROR(VLOOKUP($A66,'Из ГУГЛа'!$B:$G,6,0)*V66,VLOOKUP($A66,'Из ГУГЛа'!$B:$G,6,0))</f>
        <v>74390</v>
      </c>
      <c r="V66" s="75">
        <v>1</v>
      </c>
      <c r="W66" s="83">
        <f t="shared" si="33"/>
        <v>0.15057053700339984</v>
      </c>
      <c r="X66" s="83">
        <f t="shared" si="34"/>
        <v>3.7410942330958854E-3</v>
      </c>
      <c r="Y66" s="83">
        <f t="shared" si="35"/>
        <v>0.15489109341282048</v>
      </c>
      <c r="Z66" s="2">
        <v>74390</v>
      </c>
      <c r="AA66" s="36" t="s">
        <v>552</v>
      </c>
    </row>
    <row r="67" spans="1:27" ht="46.5" thickTop="1" thickBot="1">
      <c r="A67" s="41">
        <v>226921</v>
      </c>
      <c r="B67" s="87">
        <f>VLOOKUP($A67,'Выгр Кат'!$A:$R,B$1,0)</f>
        <v>7153</v>
      </c>
      <c r="C67" s="18" t="s">
        <v>167</v>
      </c>
      <c r="D67" s="86" t="str">
        <f>VLOOKUP($A67,'Выгр Кат'!$A:$R,D$1,0)</f>
        <v>Электронная комбинация приборов "Ferrum Group" GF 607 для ВАЗ 2107 (инжекторный двигатель)</v>
      </c>
      <c r="E67" s="87" t="str">
        <f>VLOOKUP($A67,'Выгр Кат'!$A:$R,E$1,0)</f>
        <v>Y</v>
      </c>
      <c r="F67" s="87" t="str">
        <f>VLOOKUP($A67,'Выгр Кат'!$A:$R,F$1,0)</f>
        <v>1</v>
      </c>
      <c r="G67" s="101" t="s">
        <v>105</v>
      </c>
      <c r="H67" s="68"/>
      <c r="I67" s="32">
        <f>VLOOKUP(G67,'Прайс Gamma'!$B:$F,3,0)</f>
        <v>60765</v>
      </c>
      <c r="J67" s="32">
        <f t="shared" si="29"/>
        <v>63765</v>
      </c>
      <c r="K67" s="32">
        <f>VLOOKUP(G67,'Прайс Gamma'!$B:$F,4,0)</f>
        <v>63765</v>
      </c>
      <c r="L67" s="11">
        <f t="shared" si="30"/>
        <v>1.0493705257960997</v>
      </c>
      <c r="M67" s="132">
        <f t="shared" si="4"/>
        <v>1.1499999999999999</v>
      </c>
      <c r="N67" s="192">
        <f t="shared" si="31"/>
        <v>75139.516129032258</v>
      </c>
      <c r="O67" s="190">
        <f t="shared" si="32"/>
        <v>75190</v>
      </c>
      <c r="P67" s="87">
        <f>VLOOKUP($A67,'Выгр Кат'!$A:$R,P$1,0)</f>
        <v>60765</v>
      </c>
      <c r="Q67" s="87">
        <f>VLOOKUP($A67,'Выгр Кат'!$A:$R,Q$1,0)</f>
        <v>75190</v>
      </c>
      <c r="R67" s="94">
        <f t="shared" si="36"/>
        <v>0</v>
      </c>
      <c r="S67" s="94">
        <f t="shared" si="37"/>
        <v>0</v>
      </c>
      <c r="T67" s="20">
        <f t="shared" si="23"/>
        <v>69926.7</v>
      </c>
      <c r="U67" s="209">
        <f>IFERROR(VLOOKUP($A67,'Из ГУГЛа'!$B:$G,6,0)*V67,VLOOKUP($A67,'Из ГУГЛа'!$B:$G,6,0))</f>
        <v>70790</v>
      </c>
      <c r="V67" s="75">
        <v>1</v>
      </c>
      <c r="W67" s="83">
        <f t="shared" si="33"/>
        <v>0.15077264872870888</v>
      </c>
      <c r="X67" s="83">
        <f t="shared" si="34"/>
        <v>1.2195225314309973E-2</v>
      </c>
      <c r="Y67" s="83">
        <f t="shared" si="35"/>
        <v>0.16497984036863333</v>
      </c>
      <c r="Z67" s="2">
        <v>70790</v>
      </c>
      <c r="AA67" s="36" t="s">
        <v>553</v>
      </c>
    </row>
    <row r="68" spans="1:27" ht="46.5" thickTop="1" thickBot="1">
      <c r="A68" s="41">
        <v>226938</v>
      </c>
      <c r="B68" s="87">
        <f>VLOOKUP($A68,'Выгр Кат'!$A:$R,B$1,0)</f>
        <v>7144</v>
      </c>
      <c r="C68" s="18" t="s">
        <v>182</v>
      </c>
      <c r="D68" s="86" t="str">
        <f>VLOOKUP($A68,'Выгр Кат'!$A:$R,D$1,0)</f>
        <v>Электронная комбинация приборов "Ferrum Group" GF 825S для Шевроле Нива</v>
      </c>
      <c r="E68" s="87" t="str">
        <f>VLOOKUP($A68,'Выгр Кат'!$A:$R,E$1,0)</f>
        <v>Y</v>
      </c>
      <c r="F68" s="87" t="str">
        <f>VLOOKUP($A68,'Выгр Кат'!$A:$R,F$1,0)</f>
        <v>1</v>
      </c>
      <c r="G68" s="101" t="s">
        <v>205</v>
      </c>
      <c r="H68" s="68"/>
      <c r="I68" s="32">
        <f>VLOOKUP(G68,'Прайс Gamma'!$B:$F,3,0)</f>
        <v>64413</v>
      </c>
      <c r="J68" s="32">
        <f t="shared" si="29"/>
        <v>67413</v>
      </c>
      <c r="K68" s="32">
        <f>VLOOKUP(G68,'Прайс Gamma'!$B:$F,4,0)</f>
        <v>67413</v>
      </c>
      <c r="L68" s="11">
        <f t="shared" si="30"/>
        <v>1.0465744492571376</v>
      </c>
      <c r="M68" s="132">
        <f t="shared" ref="M68:M130" si="38">IF(L68&lt;=$M$1,$M$1,L68)</f>
        <v>1.1499999999999999</v>
      </c>
      <c r="N68" s="192">
        <f t="shared" si="31"/>
        <v>79650.483870967742</v>
      </c>
      <c r="O68" s="190">
        <f t="shared" si="32"/>
        <v>79690</v>
      </c>
      <c r="P68" s="87">
        <f>VLOOKUP($A68,'Выгр Кат'!$A:$R,P$1,0)</f>
        <v>64413</v>
      </c>
      <c r="Q68" s="87">
        <f>VLOOKUP($A68,'Выгр Кат'!$A:$R,Q$1,0)</f>
        <v>79690</v>
      </c>
      <c r="R68" s="94">
        <f t="shared" si="36"/>
        <v>0</v>
      </c>
      <c r="S68" s="94">
        <f t="shared" si="37"/>
        <v>0</v>
      </c>
      <c r="T68" s="20">
        <f t="shared" si="23"/>
        <v>74111.7</v>
      </c>
      <c r="U68" s="209">
        <f>IFERROR(VLOOKUP($A68,'Из ГУГЛа'!$B:$G,6,0)*V68,VLOOKUP($A68,'Из ГУГЛа'!$B:$G,6,0))</f>
        <v>75190</v>
      </c>
      <c r="V68" s="75">
        <v>1</v>
      </c>
      <c r="W68" s="83">
        <f t="shared" si="33"/>
        <v>0.15057053700339984</v>
      </c>
      <c r="X68" s="83">
        <f t="shared" si="34"/>
        <v>1.4341002792924629E-2</v>
      </c>
      <c r="Y68" s="83">
        <f t="shared" si="35"/>
        <v>0.16731094654805712</v>
      </c>
      <c r="Z68" s="2">
        <v>75190</v>
      </c>
      <c r="AA68" s="36" t="s">
        <v>550</v>
      </c>
    </row>
    <row r="69" spans="1:27" ht="46.5" thickTop="1" thickBot="1">
      <c r="A69" s="41">
        <v>226932</v>
      </c>
      <c r="B69" s="87">
        <f>VLOOKUP($A69,'Выгр Кат'!$A:$R,B$1,0)</f>
        <v>7112</v>
      </c>
      <c r="C69" s="18" t="s">
        <v>176</v>
      </c>
      <c r="D69" s="86" t="str">
        <f>VLOOKUP($A69,'Выгр Кат'!$A:$R,D$1,0)</f>
        <v>Электронная комбинация приборов "Ferrum Group" GF 821 для ВАЗ 2110-2112 (европанель), Лада (Калина, Приора)</v>
      </c>
      <c r="E69" s="87" t="str">
        <f>VLOOKUP($A69,'Выгр Кат'!$A:$R,E$1,0)</f>
        <v>Y</v>
      </c>
      <c r="F69" s="87" t="str">
        <f>VLOOKUP($A69,'Выгр Кат'!$A:$R,F$1,0)</f>
        <v>1</v>
      </c>
      <c r="G69" s="101" t="s">
        <v>102</v>
      </c>
      <c r="H69" s="68"/>
      <c r="I69" s="32">
        <f>VLOOKUP(G69,'Прайс Gamma'!$B:$F,3,0)</f>
        <v>65830</v>
      </c>
      <c r="J69" s="32">
        <f t="shared" si="29"/>
        <v>68830</v>
      </c>
      <c r="K69" s="32">
        <f>VLOOKUP(G69,'Прайс Gamma'!$B:$F,4,0)</f>
        <v>68830</v>
      </c>
      <c r="L69" s="11">
        <f t="shared" si="30"/>
        <v>1.0455719276925415</v>
      </c>
      <c r="M69" s="132">
        <f t="shared" si="38"/>
        <v>1.1499999999999999</v>
      </c>
      <c r="N69" s="192">
        <f t="shared" si="31"/>
        <v>81402.68817204301</v>
      </c>
      <c r="O69" s="190">
        <f t="shared" si="32"/>
        <v>81490</v>
      </c>
      <c r="P69" s="87">
        <f>VLOOKUP($A69,'Выгр Кат'!$A:$R,P$1,0)</f>
        <v>65830</v>
      </c>
      <c r="Q69" s="87">
        <f>VLOOKUP($A69,'Выгр Кат'!$A:$R,Q$1,0)</f>
        <v>81490</v>
      </c>
      <c r="R69" s="94">
        <f t="shared" si="36"/>
        <v>0</v>
      </c>
      <c r="S69" s="94">
        <f t="shared" si="37"/>
        <v>0</v>
      </c>
      <c r="T69" s="20">
        <f t="shared" si="23"/>
        <v>75785.7</v>
      </c>
      <c r="U69" s="209">
        <f>IFERROR(VLOOKUP($A69,'Из ГУГЛа'!$B:$G,6,0)*V69,VLOOKUP($A69,'Из ГУГЛа'!$B:$G,6,0))</f>
        <v>75790</v>
      </c>
      <c r="V69" s="75">
        <v>1</v>
      </c>
      <c r="W69" s="83">
        <f t="shared" si="33"/>
        <v>0.15123348017621141</v>
      </c>
      <c r="X69" s="83">
        <f t="shared" si="34"/>
        <v>5.6735717113114006E-5</v>
      </c>
      <c r="Y69" s="83">
        <f t="shared" si="35"/>
        <v>0.15129879993923745</v>
      </c>
      <c r="Z69" s="2">
        <v>75790</v>
      </c>
      <c r="AA69" s="36" t="s">
        <v>554</v>
      </c>
    </row>
    <row r="70" spans="1:27" ht="46.5" thickTop="1" thickBot="1">
      <c r="A70" s="41">
        <v>226937</v>
      </c>
      <c r="B70" s="87">
        <f>VLOOKUP($A70,'Выгр Кат'!$A:$R,B$1,0)</f>
        <v>7148</v>
      </c>
      <c r="C70" s="18" t="s">
        <v>181</v>
      </c>
      <c r="D70" s="86" t="str">
        <f>VLOOKUP($A70,'Выгр Кат'!$A:$R,D$1,0)</f>
        <v>Электронная комбинация приборов "Ferrum Group" GF 825S для Лада Нива 4x4, Нива 4x4 Урбан</v>
      </c>
      <c r="E70" s="87" t="str">
        <f>VLOOKUP($A70,'Выгр Кат'!$A:$R,E$1,0)</f>
        <v>Y</v>
      </c>
      <c r="F70" s="87" t="str">
        <f>VLOOKUP($A70,'Выгр Кат'!$A:$R,F$1,0)</f>
        <v>1</v>
      </c>
      <c r="G70" s="101" t="s">
        <v>205</v>
      </c>
      <c r="H70" s="68"/>
      <c r="I70" s="32">
        <f>VLOOKUP(G70,'Прайс Gamma'!$B:$F,3,0)</f>
        <v>64413</v>
      </c>
      <c r="J70" s="32">
        <f t="shared" si="29"/>
        <v>67413</v>
      </c>
      <c r="K70" s="32">
        <f>VLOOKUP(G70,'Прайс Gamma'!$B:$F,4,0)</f>
        <v>67413</v>
      </c>
      <c r="L70" s="11">
        <f t="shared" si="30"/>
        <v>1.0465744492571376</v>
      </c>
      <c r="M70" s="132">
        <f t="shared" si="38"/>
        <v>1.1499999999999999</v>
      </c>
      <c r="N70" s="192">
        <f t="shared" si="31"/>
        <v>79650.483870967742</v>
      </c>
      <c r="O70" s="190">
        <f t="shared" si="32"/>
        <v>79690</v>
      </c>
      <c r="P70" s="87">
        <f>VLOOKUP($A70,'Выгр Кат'!$A:$R,P$1,0)</f>
        <v>64413</v>
      </c>
      <c r="Q70" s="87">
        <f>VLOOKUP($A70,'Выгр Кат'!$A:$R,Q$1,0)</f>
        <v>79690</v>
      </c>
      <c r="R70" s="94">
        <f t="shared" si="36"/>
        <v>0</v>
      </c>
      <c r="S70" s="94">
        <f t="shared" si="37"/>
        <v>0</v>
      </c>
      <c r="T70" s="20">
        <f t="shared" si="23"/>
        <v>74111.7</v>
      </c>
      <c r="U70" s="209">
        <f>IFERROR(VLOOKUP($A70,'Из ГУГЛа'!$B:$G,6,0)*V70,VLOOKUP($A70,'Из ГУГЛа'!$B:$G,6,0))</f>
        <v>76190</v>
      </c>
      <c r="V70" s="75">
        <v>1</v>
      </c>
      <c r="W70" s="83">
        <f t="shared" si="33"/>
        <v>0.15057053700339984</v>
      </c>
      <c r="X70" s="83">
        <f t="shared" si="34"/>
        <v>2.7277857986612454E-2</v>
      </c>
      <c r="Y70" s="83">
        <f t="shared" si="35"/>
        <v>0.18283576296710291</v>
      </c>
      <c r="Z70" s="2">
        <v>76190</v>
      </c>
      <c r="AA70" s="36" t="s">
        <v>551</v>
      </c>
    </row>
    <row r="71" spans="1:27" ht="46.5" thickTop="1" thickBot="1">
      <c r="A71" s="41">
        <v>226927</v>
      </c>
      <c r="B71" s="87">
        <f>VLOOKUP($A71,'Выгр Кат'!$A:$R,B$1,0)</f>
        <v>7142</v>
      </c>
      <c r="C71" s="18" t="s">
        <v>171</v>
      </c>
      <c r="D71" s="86" t="str">
        <f>VLOOKUP($A71,'Выгр Кат'!$A:$R,D$1,0)</f>
        <v>Электронная комбинация приборов "Ferrum Group" GF 651S для Лада (Гранта, Гранта FL, Калина 2), Датсун (mi-DO, on-DO)</v>
      </c>
      <c r="E71" s="87" t="str">
        <f>VLOOKUP($A71,'Выгр Кат'!$A:$R,E$1,0)</f>
        <v>Y</v>
      </c>
      <c r="F71" s="87" t="str">
        <f>VLOOKUP($A71,'Выгр Кат'!$A:$R,F$1,0)</f>
        <v>1</v>
      </c>
      <c r="G71" s="103" t="s">
        <v>295</v>
      </c>
      <c r="H71" s="73"/>
      <c r="I71" s="32">
        <f>VLOOKUP(G71,'Прайс Gamma'!$B:$F,3,0)</f>
        <v>60100</v>
      </c>
      <c r="J71" s="32">
        <f t="shared" si="29"/>
        <v>63100</v>
      </c>
      <c r="K71" s="32">
        <f>VLOOKUP(G71,'Прайс Gamma'!$B:$F,4,0)</f>
        <v>63100</v>
      </c>
      <c r="L71" s="11">
        <f t="shared" si="30"/>
        <v>1.0499168053244592</v>
      </c>
      <c r="M71" s="132">
        <f t="shared" si="38"/>
        <v>1.1499999999999999</v>
      </c>
      <c r="N71" s="192">
        <f t="shared" si="31"/>
        <v>74317.204301075268</v>
      </c>
      <c r="O71" s="190">
        <f t="shared" si="32"/>
        <v>74390</v>
      </c>
      <c r="P71" s="87">
        <f>VLOOKUP($A71,'Выгр Кат'!$A:$R,P$1,0)</f>
        <v>60100</v>
      </c>
      <c r="Q71" s="87">
        <f>VLOOKUP($A71,'Выгр Кат'!$A:$R,Q$1,0)</f>
        <v>74390</v>
      </c>
      <c r="R71" s="94">
        <f t="shared" si="36"/>
        <v>0</v>
      </c>
      <c r="S71" s="94">
        <f t="shared" si="37"/>
        <v>0</v>
      </c>
      <c r="T71" s="20">
        <f t="shared" si="23"/>
        <v>69182.7</v>
      </c>
      <c r="U71" s="209">
        <f>IFERROR(VLOOKUP($A71,'Из ГУГЛа'!$B:$G,6,0)*V71,VLOOKUP($A71,'Из ГУГЛа'!$B:$G,6,0))</f>
        <v>70190</v>
      </c>
      <c r="V71" s="75">
        <v>1</v>
      </c>
      <c r="W71" s="83">
        <f t="shared" si="33"/>
        <v>0.15112645590682194</v>
      </c>
      <c r="X71" s="83">
        <f t="shared" si="34"/>
        <v>1.4351047157714816E-2</v>
      </c>
      <c r="Y71" s="83">
        <f t="shared" si="35"/>
        <v>0.16788685524126445</v>
      </c>
      <c r="Z71" s="2">
        <v>70190</v>
      </c>
      <c r="AA71" s="36" t="s">
        <v>555</v>
      </c>
    </row>
    <row r="72" spans="1:27" ht="46.5" thickTop="1" thickBot="1">
      <c r="A72" s="41">
        <v>226946</v>
      </c>
      <c r="B72" s="87">
        <f>VLOOKUP($A72,'Выгр Кат'!$A:$R,B$1,0)</f>
        <v>7141</v>
      </c>
      <c r="C72" s="18" t="s">
        <v>188</v>
      </c>
      <c r="D72" s="86" t="str">
        <f>VLOOKUP($A72,'Выгр Кат'!$A:$R,D$1,0)</f>
        <v>Электронная комбинация приборов "Ferrum Group" GF 851L 3.2" для Лада (Гранта, Гранта FL, Калина 2), Датсун (mi-DO, on-DO)</v>
      </c>
      <c r="E72" s="87" t="str">
        <f>VLOOKUP($A72,'Выгр Кат'!$A:$R,E$1,0)</f>
        <v>Y</v>
      </c>
      <c r="F72" s="87" t="str">
        <f>VLOOKUP($A72,'Выгр Кат'!$A:$R,F$1,0)</f>
        <v>1</v>
      </c>
      <c r="G72" s="103" t="s">
        <v>293</v>
      </c>
      <c r="H72" s="73"/>
      <c r="I72" s="32">
        <f>VLOOKUP(G72,'Прайс Gamma'!$B:$F,3,0)</f>
        <v>68665</v>
      </c>
      <c r="J72" s="32">
        <f t="shared" si="29"/>
        <v>71665</v>
      </c>
      <c r="K72" s="32">
        <f>VLOOKUP(G72,'Прайс Gamma'!$B:$F,4,0)</f>
        <v>71665</v>
      </c>
      <c r="L72" s="11">
        <f t="shared" si="30"/>
        <v>1.0436903808344862</v>
      </c>
      <c r="M72" s="132">
        <f t="shared" si="38"/>
        <v>1.1499999999999999</v>
      </c>
      <c r="N72" s="192">
        <f t="shared" si="31"/>
        <v>84908.333333333328</v>
      </c>
      <c r="O72" s="190">
        <f t="shared" si="32"/>
        <v>84990</v>
      </c>
      <c r="P72" s="87">
        <f>VLOOKUP($A72,'Выгр Кат'!$A:$R,P$1,0)</f>
        <v>68665</v>
      </c>
      <c r="Q72" s="87">
        <f>VLOOKUP($A72,'Выгр Кат'!$A:$R,Q$1,0)</f>
        <v>84990</v>
      </c>
      <c r="R72" s="94">
        <f t="shared" si="36"/>
        <v>0</v>
      </c>
      <c r="S72" s="94">
        <f t="shared" si="37"/>
        <v>0</v>
      </c>
      <c r="T72" s="20">
        <f t="shared" si="23"/>
        <v>79040.7</v>
      </c>
      <c r="U72" s="209">
        <f>IFERROR(VLOOKUP($A72,'Из ГУГЛа'!$B:$G,6,0)*V72,VLOOKUP($A72,'Из ГУГЛа'!$B:$G,6,0))</f>
        <v>78690</v>
      </c>
      <c r="V72" s="75">
        <v>1</v>
      </c>
      <c r="W72" s="83">
        <f t="shared" si="33"/>
        <v>0.15110609480812642</v>
      </c>
      <c r="X72" s="83">
        <f t="shared" si="34"/>
        <v>-4.4567289363324067E-3</v>
      </c>
      <c r="Y72" s="83">
        <f t="shared" si="35"/>
        <v>0.14599868928857496</v>
      </c>
      <c r="Z72" s="2">
        <v>78690</v>
      </c>
      <c r="AA72" s="36" t="s">
        <v>556</v>
      </c>
    </row>
    <row r="73" spans="1:27" ht="46.5" thickTop="1" thickBot="1">
      <c r="A73" s="41">
        <v>226933</v>
      </c>
      <c r="B73" s="87">
        <f>VLOOKUP($A73,'Выгр Кат'!$A:$R,B$1,0)</f>
        <v>7106</v>
      </c>
      <c r="C73" s="18" t="s">
        <v>177</v>
      </c>
      <c r="D73" s="86" t="str">
        <f>VLOOKUP($A73,'Выгр Кат'!$A:$R,D$1,0)</f>
        <v>Электронная комбинация приборов "Ferrum Group" GF 822 для ВАЗ 2110-2112 (европанель), Лада (Калина, Приора)</v>
      </c>
      <c r="E73" s="87" t="str">
        <f>VLOOKUP($A73,'Выгр Кат'!$A:$R,E$1,0)</f>
        <v>Y</v>
      </c>
      <c r="F73" s="87" t="str">
        <f>VLOOKUP($A73,'Выгр Кат'!$A:$R,F$1,0)</f>
        <v>1</v>
      </c>
      <c r="G73" s="101" t="s">
        <v>269</v>
      </c>
      <c r="H73" s="68"/>
      <c r="I73" s="32">
        <f>VLOOKUP(G73,'Прайс Gamma'!$B:$F,3,0)</f>
        <v>70834</v>
      </c>
      <c r="J73" s="32">
        <f t="shared" si="29"/>
        <v>73834</v>
      </c>
      <c r="K73" s="32">
        <f>VLOOKUP(G73,'Прайс Gamma'!$B:$F,4,0)</f>
        <v>73834</v>
      </c>
      <c r="L73" s="11">
        <f t="shared" si="30"/>
        <v>1.0423525425643052</v>
      </c>
      <c r="M73" s="132">
        <f t="shared" si="38"/>
        <v>1.1499999999999999</v>
      </c>
      <c r="N73" s="192">
        <f t="shared" si="31"/>
        <v>87590.430107526874</v>
      </c>
      <c r="O73" s="190">
        <f t="shared" si="32"/>
        <v>87590</v>
      </c>
      <c r="P73" s="87">
        <f>VLOOKUP($A73,'Выгр Кат'!$A:$R,P$1,0)</f>
        <v>70834</v>
      </c>
      <c r="Q73" s="87">
        <f>VLOOKUP($A73,'Выгр Кат'!$A:$R,Q$1,0)</f>
        <v>87590</v>
      </c>
      <c r="R73" s="94">
        <f t="shared" si="36"/>
        <v>0</v>
      </c>
      <c r="S73" s="94">
        <f t="shared" si="37"/>
        <v>0</v>
      </c>
      <c r="T73" s="20">
        <f t="shared" si="23"/>
        <v>81458.7</v>
      </c>
      <c r="U73" s="209">
        <f>IFERROR(VLOOKUP($A73,'Из ГУГЛа'!$B:$G,6,0)*V73,VLOOKUP($A73,'Из ГУГЛа'!$B:$G,6,0))</f>
        <v>80790</v>
      </c>
      <c r="V73" s="75">
        <v>1</v>
      </c>
      <c r="W73" s="83">
        <f t="shared" si="33"/>
        <v>0.14999435299432462</v>
      </c>
      <c r="X73" s="83">
        <f t="shared" si="34"/>
        <v>-8.2770144819903097E-3</v>
      </c>
      <c r="Y73" s="83">
        <f t="shared" si="35"/>
        <v>0.14055397125674118</v>
      </c>
      <c r="Z73" s="2">
        <v>80790</v>
      </c>
      <c r="AA73" s="36" t="s">
        <v>557</v>
      </c>
    </row>
    <row r="74" spans="1:27" ht="46.5" thickTop="1" thickBot="1">
      <c r="A74" s="41">
        <v>226934</v>
      </c>
      <c r="B74" s="87">
        <f>VLOOKUP($A74,'Выгр Кат'!$A:$R,B$1,0)</f>
        <v>7113</v>
      </c>
      <c r="C74" s="18" t="s">
        <v>178</v>
      </c>
      <c r="D74" s="86" t="str">
        <f>VLOOKUP($A74,'Выгр Кат'!$A:$R,D$1,0)</f>
        <v>Электронная комбинация приборов "Ferrum Group" GF 822S для ВАЗ 2110-2112 (европанель), Лада (Калина, Приора)</v>
      </c>
      <c r="E74" s="87" t="str">
        <f>VLOOKUP($A74,'Выгр Кат'!$A:$R,E$1,0)</f>
        <v>Y</v>
      </c>
      <c r="F74" s="87" t="str">
        <f>VLOOKUP($A74,'Выгр Кат'!$A:$R,F$1,0)</f>
        <v>1</v>
      </c>
      <c r="G74" s="101" t="s">
        <v>297</v>
      </c>
      <c r="H74" s="68"/>
      <c r="I74" s="32">
        <f>VLOOKUP(G74,'Прайс Gamma'!$B:$F,3,0)</f>
        <v>73863</v>
      </c>
      <c r="J74" s="32">
        <f t="shared" si="29"/>
        <v>76863</v>
      </c>
      <c r="K74" s="32">
        <f>VLOOKUP(G74,'Прайс Gamma'!$B:$F,4,0)</f>
        <v>76863</v>
      </c>
      <c r="L74" s="11">
        <f t="shared" si="30"/>
        <v>1.0406157345355591</v>
      </c>
      <c r="M74" s="132">
        <f t="shared" si="38"/>
        <v>1.1499999999999999</v>
      </c>
      <c r="N74" s="192">
        <f t="shared" si="31"/>
        <v>91335.967741935485</v>
      </c>
      <c r="O74" s="190">
        <f t="shared" si="32"/>
        <v>91390</v>
      </c>
      <c r="P74" s="87">
        <f>VLOOKUP($A74,'Выгр Кат'!$A:$R,P$1,0)</f>
        <v>73863</v>
      </c>
      <c r="Q74" s="87">
        <f>VLOOKUP($A74,'Выгр Кат'!$A:$R,Q$1,0)</f>
        <v>91390</v>
      </c>
      <c r="R74" s="94">
        <f t="shared" si="36"/>
        <v>0</v>
      </c>
      <c r="S74" s="94">
        <f t="shared" si="37"/>
        <v>0</v>
      </c>
      <c r="T74" s="20">
        <f t="shared" ref="T74:T82" si="39">O74*(1-$T$2)</f>
        <v>84992.7</v>
      </c>
      <c r="U74" s="209">
        <f>IFERROR(VLOOKUP($A74,'Из ГУГЛа'!$B:$G,6,0)*V74,VLOOKUP($A74,'Из ГУГЛа'!$B:$G,6,0))</f>
        <v>83890</v>
      </c>
      <c r="V74" s="75">
        <v>1</v>
      </c>
      <c r="W74" s="83">
        <f t="shared" si="33"/>
        <v>0.15068031355347067</v>
      </c>
      <c r="X74" s="83">
        <f t="shared" si="34"/>
        <v>-1.314459411133624E-2</v>
      </c>
      <c r="Y74" s="83">
        <f t="shared" si="35"/>
        <v>0.13575132339601703</v>
      </c>
      <c r="Z74" s="2">
        <v>83890</v>
      </c>
      <c r="AA74" s="36" t="s">
        <v>558</v>
      </c>
    </row>
    <row r="75" spans="1:27" ht="46.5" thickTop="1" thickBot="1">
      <c r="A75" s="41">
        <v>226935</v>
      </c>
      <c r="B75" s="87">
        <f>VLOOKUP($A75,'Выгр Кат'!$A:$R,B$1,0)</f>
        <v>13559</v>
      </c>
      <c r="C75" s="18" t="s">
        <v>179</v>
      </c>
      <c r="D75" s="86" t="str">
        <f>VLOOKUP($A75,'Выгр Кат'!$A:$R,D$1,0)</f>
        <v>Электронная комбинация приборов "Ferrum Group" GF 823 для Лада Приора 2</v>
      </c>
      <c r="E75" s="87" t="str">
        <f>VLOOKUP($A75,'Выгр Кат'!$A:$R,E$1,0)</f>
        <v>Y</v>
      </c>
      <c r="F75" s="87" t="str">
        <f>VLOOKUP($A75,'Выгр Кат'!$A:$R,F$1,0)</f>
        <v>1</v>
      </c>
      <c r="G75" s="101" t="s">
        <v>106</v>
      </c>
      <c r="H75" s="68"/>
      <c r="I75" s="32">
        <f>VLOOKUP(G75,'Прайс Gamma'!$B:$F,3,0)</f>
        <v>73113</v>
      </c>
      <c r="J75" s="32">
        <f t="shared" si="29"/>
        <v>76113</v>
      </c>
      <c r="K75" s="32">
        <f>VLOOKUP(G75,'Прайс Gamma'!$B:$F,4,0)</f>
        <v>76113</v>
      </c>
      <c r="L75" s="11">
        <f t="shared" si="30"/>
        <v>1.0410323745435148</v>
      </c>
      <c r="M75" s="132">
        <f t="shared" si="38"/>
        <v>1.1499999999999999</v>
      </c>
      <c r="N75" s="192">
        <f t="shared" si="31"/>
        <v>90408.548387096773</v>
      </c>
      <c r="O75" s="190">
        <f t="shared" si="32"/>
        <v>90490</v>
      </c>
      <c r="P75" s="87">
        <f>VLOOKUP($A75,'Выгр Кат'!$A:$R,P$1,0)</f>
        <v>73113</v>
      </c>
      <c r="Q75" s="87">
        <f>VLOOKUP($A75,'Выгр Кат'!$A:$R,Q$1,0)</f>
        <v>90490</v>
      </c>
      <c r="R75" s="94">
        <f t="shared" si="36"/>
        <v>0</v>
      </c>
      <c r="S75" s="94">
        <f t="shared" si="37"/>
        <v>0</v>
      </c>
      <c r="T75" s="20">
        <f t="shared" si="39"/>
        <v>84155.7</v>
      </c>
      <c r="U75" s="209">
        <f>IFERROR(VLOOKUP($A75,'Из ГУГЛа'!$B:$G,6,0)*V75,VLOOKUP($A75,'Из ГУГЛа'!$B:$G,6,0))</f>
        <v>86190</v>
      </c>
      <c r="V75" s="75">
        <v>1</v>
      </c>
      <c r="W75" s="83">
        <f t="shared" si="33"/>
        <v>0.15103606745722375</v>
      </c>
      <c r="X75" s="83">
        <f t="shared" si="34"/>
        <v>2.3602506091193909E-2</v>
      </c>
      <c r="Y75" s="83">
        <f t="shared" si="35"/>
        <v>0.1788601206351812</v>
      </c>
      <c r="Z75" s="2">
        <v>86190</v>
      </c>
      <c r="AA75" s="36" t="s">
        <v>561</v>
      </c>
    </row>
    <row r="76" spans="1:27" ht="46.5" thickTop="1" thickBot="1">
      <c r="A76" s="41">
        <v>226948</v>
      </c>
      <c r="B76" s="87">
        <f>VLOOKUP($A76,'Выгр Кат'!$A:$R,B$1,0)</f>
        <v>13735</v>
      </c>
      <c r="C76" s="18" t="s">
        <v>189</v>
      </c>
      <c r="D76" s="86" t="str">
        <f>VLOOKUP($A76,'Выгр Кат'!$A:$R,D$1,0)</f>
        <v>Электронная комбинация приборов "Ferrum Group" GF 851S для Лада (Гранта, Гранта FL, Калина 2), Датсун (mi-DO, on-DO)</v>
      </c>
      <c r="E76" s="87" t="str">
        <f>VLOOKUP($A76,'Выгр Кат'!$A:$R,E$1,0)</f>
        <v>Y</v>
      </c>
      <c r="F76" s="87" t="str">
        <f>VLOOKUP($A76,'Выгр Кат'!$A:$R,F$1,0)</f>
        <v>1</v>
      </c>
      <c r="G76" s="103" t="s">
        <v>884</v>
      </c>
      <c r="H76" s="73"/>
      <c r="I76" s="32">
        <f>VLOOKUP(G76,'Прайс Gamma'!$B:$F,3,0)</f>
        <v>74619</v>
      </c>
      <c r="J76" s="32">
        <f t="shared" si="29"/>
        <v>77619</v>
      </c>
      <c r="K76" s="32">
        <f>VLOOKUP(G76,'Прайс Gamma'!$B:$F,4,0)</f>
        <v>77619</v>
      </c>
      <c r="L76" s="11">
        <f t="shared" si="30"/>
        <v>1.0402042375266354</v>
      </c>
      <c r="M76" s="132">
        <f t="shared" si="38"/>
        <v>1.1499999999999999</v>
      </c>
      <c r="N76" s="192">
        <f t="shared" si="31"/>
        <v>92270.806451612909</v>
      </c>
      <c r="O76" s="190">
        <f t="shared" si="32"/>
        <v>92290</v>
      </c>
      <c r="P76" s="87">
        <f>VLOOKUP($A76,'Выгр Кат'!$A:$R,P$1,0)</f>
        <v>74619</v>
      </c>
      <c r="Q76" s="87">
        <f>VLOOKUP($A76,'Выгр Кат'!$A:$R,Q$1,0)</f>
        <v>92290</v>
      </c>
      <c r="R76" s="94">
        <f t="shared" si="36"/>
        <v>0</v>
      </c>
      <c r="S76" s="94">
        <f t="shared" si="37"/>
        <v>0</v>
      </c>
      <c r="T76" s="20">
        <f t="shared" si="39"/>
        <v>85829.7</v>
      </c>
      <c r="U76" s="209">
        <f>IFERROR(VLOOKUP($A76,'Из ГУГЛа'!$B:$G,6,0)*V76,VLOOKUP($A76,'Из ГУГЛа'!$B:$G,6,0))</f>
        <v>84590</v>
      </c>
      <c r="V76" s="75">
        <v>1</v>
      </c>
      <c r="W76" s="83">
        <f t="shared" si="33"/>
        <v>0.15023921521328343</v>
      </c>
      <c r="X76" s="83">
        <f t="shared" si="34"/>
        <v>-1.4655396618985661E-2</v>
      </c>
      <c r="Y76" s="83">
        <f t="shared" si="35"/>
        <v>0.13362548412602693</v>
      </c>
      <c r="Z76" s="2">
        <v>84590</v>
      </c>
      <c r="AA76" s="36" t="s">
        <v>562</v>
      </c>
    </row>
    <row r="77" spans="1:27" ht="46.5" thickTop="1" thickBot="1">
      <c r="A77" s="41">
        <v>226997</v>
      </c>
      <c r="B77" s="87">
        <f>VLOOKUP($A77,'Выгр Кат'!$A:$R,B$1,0)</f>
        <v>7162</v>
      </c>
      <c r="C77" s="18" t="s">
        <v>186</v>
      </c>
      <c r="D77" s="86" t="str">
        <f>VLOOKUP($A77,'Выгр Кат'!$A:$R,D$1,0)</f>
        <v>Электронная комбинация приборов "Ferrum Group" GF 841 для Chevrolet Lacetti</v>
      </c>
      <c r="E77" s="87" t="str">
        <f>VLOOKUP($A77,'Выгр Кат'!$A:$R,E$1,0)</f>
        <v>Y</v>
      </c>
      <c r="F77" s="87" t="str">
        <f>VLOOKUP($A77,'Выгр Кат'!$A:$R,F$1,0)</f>
        <v>1</v>
      </c>
      <c r="G77" s="101" t="s">
        <v>99</v>
      </c>
      <c r="H77" s="68"/>
      <c r="I77" s="32">
        <f>VLOOKUP(G77,'Прайс Gamma'!$B:$F,3,0)</f>
        <v>75800</v>
      </c>
      <c r="J77" s="32">
        <f t="shared" si="29"/>
        <v>78800</v>
      </c>
      <c r="K77" s="32">
        <f>VLOOKUP(G77,'Прайс Gamma'!$B:$F,4,0)</f>
        <v>78800</v>
      </c>
      <c r="L77" s="11">
        <f t="shared" si="30"/>
        <v>1.0395778364116095</v>
      </c>
      <c r="M77" s="132">
        <f t="shared" si="38"/>
        <v>1.1499999999999999</v>
      </c>
      <c r="N77" s="192">
        <f t="shared" si="31"/>
        <v>93731.182795698929</v>
      </c>
      <c r="O77" s="190">
        <f t="shared" si="32"/>
        <v>93790</v>
      </c>
      <c r="P77" s="87">
        <f>VLOOKUP($A77,'Выгр Кат'!$A:$R,P$1,0)</f>
        <v>75800</v>
      </c>
      <c r="Q77" s="87">
        <f>VLOOKUP($A77,'Выгр Кат'!$A:$R,Q$1,0)</f>
        <v>93790</v>
      </c>
      <c r="R77" s="94">
        <f t="shared" si="36"/>
        <v>0</v>
      </c>
      <c r="S77" s="94">
        <f t="shared" si="37"/>
        <v>0</v>
      </c>
      <c r="T77" s="20">
        <f t="shared" si="39"/>
        <v>87224.7</v>
      </c>
      <c r="U77" s="209">
        <f>IFERROR(VLOOKUP($A77,'Из ГУГЛа'!$B:$G,6,0)*V77,VLOOKUP($A77,'Из ГУГЛа'!$B:$G,6,0))</f>
        <v>85790</v>
      </c>
      <c r="V77" s="75">
        <v>1</v>
      </c>
      <c r="W77" s="83">
        <f t="shared" si="33"/>
        <v>0.15072163588390497</v>
      </c>
      <c r="X77" s="83">
        <f t="shared" si="34"/>
        <v>-1.6723394335004044E-2</v>
      </c>
      <c r="Y77" s="83">
        <f t="shared" si="35"/>
        <v>0.13179419525065961</v>
      </c>
      <c r="Z77" s="2">
        <v>85790</v>
      </c>
      <c r="AA77" s="36" t="s">
        <v>563</v>
      </c>
    </row>
    <row r="78" spans="1:27" ht="46.5" thickTop="1" thickBot="1">
      <c r="A78" s="41">
        <v>226998</v>
      </c>
      <c r="B78" s="87">
        <f>VLOOKUP($A78,'Выгр Кат'!$A:$R,B$1,0)</f>
        <v>15568</v>
      </c>
      <c r="C78" s="18" t="s">
        <v>187</v>
      </c>
      <c r="D78" s="86" t="str">
        <f>VLOOKUP($A78,'Выгр Кат'!$A:$R,D$1,0)</f>
        <v>Электронная комбинация приборов "Ferrum Group" GF 841 avtomat для Daewoo Gentra AT</v>
      </c>
      <c r="E78" s="87" t="str">
        <f>VLOOKUP($A78,'Выгр Кат'!$A:$R,E$1,0)</f>
        <v>Y</v>
      </c>
      <c r="F78" s="87" t="str">
        <f>VLOOKUP($A78,'Выгр Кат'!$A:$R,F$1,0)</f>
        <v>1</v>
      </c>
      <c r="G78" s="101" t="s">
        <v>99</v>
      </c>
      <c r="H78" s="68"/>
      <c r="I78" s="32">
        <f>VLOOKUP(G78,'Прайс Gamma'!$B:$F,3,0)</f>
        <v>75800</v>
      </c>
      <c r="J78" s="32">
        <f t="shared" si="29"/>
        <v>78800</v>
      </c>
      <c r="K78" s="32">
        <f>VLOOKUP(G78,'Прайс Gamma'!$B:$F,4,0)</f>
        <v>78800</v>
      </c>
      <c r="L78" s="11">
        <f t="shared" si="30"/>
        <v>1.0395778364116095</v>
      </c>
      <c r="M78" s="132">
        <f t="shared" si="38"/>
        <v>1.1499999999999999</v>
      </c>
      <c r="N78" s="192">
        <f t="shared" si="31"/>
        <v>93731.182795698929</v>
      </c>
      <c r="O78" s="190">
        <f t="shared" si="32"/>
        <v>93790</v>
      </c>
      <c r="P78" s="87">
        <f>VLOOKUP($A78,'Выгр Кат'!$A:$R,P$1,0)</f>
        <v>75800</v>
      </c>
      <c r="Q78" s="87">
        <f>VLOOKUP($A78,'Выгр Кат'!$A:$R,Q$1,0)</f>
        <v>93790</v>
      </c>
      <c r="R78" s="94">
        <f t="shared" si="36"/>
        <v>0</v>
      </c>
      <c r="S78" s="94">
        <f t="shared" si="37"/>
        <v>0</v>
      </c>
      <c r="T78" s="20">
        <f t="shared" si="39"/>
        <v>87224.7</v>
      </c>
      <c r="U78" s="209">
        <f>IFERROR(VLOOKUP($A78,'Из ГУГЛа'!$B:$G,6,0)*V78,VLOOKUP($A78,'Из ГУГЛа'!$B:$G,6,0))</f>
        <v>85790</v>
      </c>
      <c r="V78" s="75">
        <v>1</v>
      </c>
      <c r="W78" s="83">
        <f t="shared" si="33"/>
        <v>0.15072163588390497</v>
      </c>
      <c r="X78" s="83">
        <f t="shared" si="34"/>
        <v>-1.6723394335004044E-2</v>
      </c>
      <c r="Y78" s="83">
        <f t="shared" si="35"/>
        <v>0.13179419525065961</v>
      </c>
      <c r="Z78" s="2">
        <v>85790</v>
      </c>
      <c r="AA78" s="36" t="s">
        <v>564</v>
      </c>
    </row>
    <row r="79" spans="1:27" ht="46.5" thickTop="1" thickBot="1">
      <c r="A79" s="41">
        <v>226947</v>
      </c>
      <c r="B79" s="87">
        <f>VLOOKUP($A79,'Выгр Кат'!$A:$R,B$1,0)</f>
        <v>23799</v>
      </c>
      <c r="C79" s="18" t="s">
        <v>190</v>
      </c>
      <c r="D79" s="86" t="str">
        <f>VLOOKUP($A79,'Выгр Кат'!$A:$R,D$1,0)</f>
        <v>Электронная комбинация приборов "Ferrum Group" GF 851S Cross для Лада (Гранта, Гранта FL, Калина 2), Датсун (mi-DO, on-DO)</v>
      </c>
      <c r="E79" s="87" t="str">
        <f>VLOOKUP($A79,'Выгр Кат'!$A:$R,E$1,0)</f>
        <v>Y</v>
      </c>
      <c r="F79" s="87" t="str">
        <f>VLOOKUP($A79,'Выгр Кат'!$A:$R,F$1,0)</f>
        <v>1</v>
      </c>
      <c r="G79" s="103" t="s">
        <v>1572</v>
      </c>
      <c r="H79" s="73"/>
      <c r="I79" s="32">
        <f>VLOOKUP(G79,'Прайс Gamma'!$B:$F,3,0)</f>
        <v>74619</v>
      </c>
      <c r="J79" s="32">
        <f t="shared" si="29"/>
        <v>77619</v>
      </c>
      <c r="K79" s="32">
        <f>VLOOKUP(G79,'Прайс Gamma'!$B:$F,4,0)</f>
        <v>77619</v>
      </c>
      <c r="L79" s="11">
        <f t="shared" si="30"/>
        <v>1.0402042375266354</v>
      </c>
      <c r="M79" s="132">
        <f t="shared" si="38"/>
        <v>1.1499999999999999</v>
      </c>
      <c r="N79" s="192">
        <f t="shared" si="31"/>
        <v>92270.806451612909</v>
      </c>
      <c r="O79" s="190">
        <f t="shared" si="32"/>
        <v>92290</v>
      </c>
      <c r="P79" s="87">
        <f>VLOOKUP($A79,'Выгр Кат'!$A:$R,P$1,0)</f>
        <v>74619</v>
      </c>
      <c r="Q79" s="87">
        <f>VLOOKUP($A79,'Выгр Кат'!$A:$R,Q$1,0)</f>
        <v>92290</v>
      </c>
      <c r="R79" s="94">
        <f t="shared" si="36"/>
        <v>0</v>
      </c>
      <c r="S79" s="94">
        <f t="shared" si="37"/>
        <v>0</v>
      </c>
      <c r="T79" s="20">
        <f t="shared" si="39"/>
        <v>85829.7</v>
      </c>
      <c r="U79" s="209">
        <f>IFERROR(VLOOKUP($A79,'Из ГУГЛа'!$B:$G,6,0)*V79,VLOOKUP($A79,'Из ГУГЛа'!$B:$G,6,0))</f>
        <v>84590</v>
      </c>
      <c r="V79" s="75">
        <v>1</v>
      </c>
      <c r="W79" s="83">
        <f t="shared" si="33"/>
        <v>0.15023921521328343</v>
      </c>
      <c r="X79" s="83">
        <f t="shared" si="34"/>
        <v>-1.4655396618985661E-2</v>
      </c>
      <c r="Y79" s="83">
        <f t="shared" si="35"/>
        <v>0.13362548412602693</v>
      </c>
      <c r="Z79" s="2">
        <v>84590</v>
      </c>
      <c r="AA79" s="36" t="s">
        <v>567</v>
      </c>
    </row>
    <row r="80" spans="1:27" ht="46.5" thickTop="1" thickBot="1">
      <c r="A80" s="41">
        <v>226959</v>
      </c>
      <c r="B80" s="87">
        <f>VLOOKUP($A80,'Выгр Кат'!$A:$R,B$1,0)</f>
        <v>23810</v>
      </c>
      <c r="C80" s="18" t="s">
        <v>197</v>
      </c>
      <c r="D80" s="86" t="str">
        <f>VLOOKUP($A80,'Выгр Кат'!$A:$R,D$1,0)</f>
        <v>Электронная комбинация приборов "Ferrum Group" GF 940 Cross Serie для Лада Веста</v>
      </c>
      <c r="E80" s="87" t="str">
        <f>VLOOKUP($A80,'Выгр Кат'!$A:$R,E$1,0)</f>
        <v>Y</v>
      </c>
      <c r="F80" s="87" t="str">
        <f>VLOOKUP($A80,'Выгр Кат'!$A:$R,F$1,0)</f>
        <v>1</v>
      </c>
      <c r="G80" s="101" t="s">
        <v>309</v>
      </c>
      <c r="H80" s="71"/>
      <c r="I80" s="32">
        <f>VLOOKUP(G80,'Прайс Gamma'!$B:$F,3,0)</f>
        <v>77665</v>
      </c>
      <c r="J80" s="32">
        <f t="shared" si="29"/>
        <v>80665</v>
      </c>
      <c r="K80" s="32">
        <f>VLOOKUP(G80,'Прайс Gamma'!$B:$F,4,0)</f>
        <v>80665</v>
      </c>
      <c r="L80" s="11">
        <f t="shared" si="30"/>
        <v>1.0386274383570462</v>
      </c>
      <c r="M80" s="132">
        <f t="shared" si="38"/>
        <v>1.1499999999999999</v>
      </c>
      <c r="N80" s="192">
        <f t="shared" si="31"/>
        <v>96037.365591397844</v>
      </c>
      <c r="O80" s="190">
        <f t="shared" si="32"/>
        <v>96090</v>
      </c>
      <c r="P80" s="87">
        <f>VLOOKUP($A80,'Выгр Кат'!$A:$R,P$1,0)</f>
        <v>77665</v>
      </c>
      <c r="Q80" s="87">
        <f>VLOOKUP($A80,'Выгр Кат'!$A:$R,Q$1,0)</f>
        <v>96090</v>
      </c>
      <c r="R80" s="94">
        <f t="shared" si="36"/>
        <v>0</v>
      </c>
      <c r="S80" s="94">
        <f t="shared" si="37"/>
        <v>0</v>
      </c>
      <c r="T80" s="20">
        <f t="shared" si="39"/>
        <v>89363.7</v>
      </c>
      <c r="U80" s="209">
        <f>IFERROR(VLOOKUP($A80,'Из ГУГЛа'!$B:$G,6,0)*V80,VLOOKUP($A80,'Из ГУГЛа'!$B:$G,6,0))</f>
        <v>87490</v>
      </c>
      <c r="V80" s="75">
        <v>1</v>
      </c>
      <c r="W80" s="83">
        <f t="shared" si="33"/>
        <v>0.15063027103585913</v>
      </c>
      <c r="X80" s="83">
        <f t="shared" si="34"/>
        <v>-2.1416161847068203E-2</v>
      </c>
      <c r="Y80" s="83">
        <f t="shared" si="35"/>
        <v>0.12650486061932664</v>
      </c>
      <c r="Z80" s="2">
        <v>87490</v>
      </c>
      <c r="AA80" s="36" t="s">
        <v>568</v>
      </c>
    </row>
    <row r="81" spans="1:27" ht="46.5" thickTop="1" thickBot="1">
      <c r="A81" s="41">
        <v>226960</v>
      </c>
      <c r="B81" s="87">
        <f>VLOOKUP($A81,'Выгр Кат'!$A:$R,B$1,0)</f>
        <v>23807</v>
      </c>
      <c r="C81" s="18" t="s">
        <v>202</v>
      </c>
      <c r="D81" s="86" t="str">
        <f>VLOOKUP($A81,'Выгр Кат'!$A:$R,D$1,0)</f>
        <v>Электронная комбинация приборов "Ferrum Group" GF 940 Exclusive Edition для Лада Веста</v>
      </c>
      <c r="E81" s="87" t="str">
        <f>VLOOKUP($A81,'Выгр Кат'!$A:$R,E$1,0)</f>
        <v>Y</v>
      </c>
      <c r="F81" s="87" t="str">
        <f>VLOOKUP($A81,'Выгр Кат'!$A:$R,F$1,0)</f>
        <v>1</v>
      </c>
      <c r="G81" s="101" t="s">
        <v>114</v>
      </c>
      <c r="H81" s="71"/>
      <c r="I81" s="32">
        <f>VLOOKUP(G81,'Прайс Gamma'!$B:$F,3,0)</f>
        <v>77737</v>
      </c>
      <c r="J81" s="32">
        <f t="shared" si="29"/>
        <v>80737</v>
      </c>
      <c r="K81" s="32">
        <f>VLOOKUP(G81,'Прайс Gamma'!$B:$F,4,0)</f>
        <v>80737</v>
      </c>
      <c r="L81" s="11">
        <f t="shared" si="30"/>
        <v>1.0385916616283108</v>
      </c>
      <c r="M81" s="132">
        <f t="shared" si="38"/>
        <v>1.1499999999999999</v>
      </c>
      <c r="N81" s="192">
        <f t="shared" si="31"/>
        <v>96126.397849462344</v>
      </c>
      <c r="O81" s="190">
        <f t="shared" si="32"/>
        <v>96190</v>
      </c>
      <c r="P81" s="87">
        <f>VLOOKUP($A81,'Выгр Кат'!$A:$R,P$1,0)</f>
        <v>77737</v>
      </c>
      <c r="Q81" s="87">
        <f>VLOOKUP($A81,'Выгр Кат'!$A:$R,Q$1,0)</f>
        <v>96190</v>
      </c>
      <c r="R81" s="94">
        <f t="shared" si="36"/>
        <v>0</v>
      </c>
      <c r="S81" s="94">
        <f t="shared" si="37"/>
        <v>0</v>
      </c>
      <c r="T81" s="20">
        <f t="shared" si="39"/>
        <v>89456.7</v>
      </c>
      <c r="U81" s="209">
        <f>IFERROR(VLOOKUP($A81,'Из ГУГЛа'!$B:$G,6,0)*V81,VLOOKUP($A81,'Из ГУГЛа'!$B:$G,6,0))</f>
        <v>87690</v>
      </c>
      <c r="V81" s="75">
        <v>1</v>
      </c>
      <c r="W81" s="83">
        <f t="shared" si="33"/>
        <v>0.15076089892843814</v>
      </c>
      <c r="X81" s="83">
        <f t="shared" si="34"/>
        <v>-2.0147109134450874E-2</v>
      </c>
      <c r="Y81" s="83">
        <f t="shared" si="35"/>
        <v>0.12803426939552587</v>
      </c>
      <c r="Z81" s="2">
        <v>87690</v>
      </c>
      <c r="AA81" s="36" t="s">
        <v>570</v>
      </c>
    </row>
    <row r="82" spans="1:27" ht="46.5" thickTop="1" thickBot="1">
      <c r="A82" s="41">
        <v>226962</v>
      </c>
      <c r="B82" s="87">
        <f>VLOOKUP($A82,'Выгр Кат'!$A:$R,B$1,0)</f>
        <v>24834</v>
      </c>
      <c r="C82" s="18" t="s">
        <v>119</v>
      </c>
      <c r="D82" s="86" t="str">
        <f>VLOOKUP($A82,'Выгр Кат'!$A:$R,D$1,0)</f>
        <v>Электронная комбинация приборов "Ferrum Group" GF 940 LIMITED Edition для Лада Веста</v>
      </c>
      <c r="E82" s="87" t="str">
        <f>VLOOKUP($A82,'Выгр Кат'!$A:$R,E$1,0)</f>
        <v>Y</v>
      </c>
      <c r="F82" s="87" t="str">
        <f>VLOOKUP($A82,'Выгр Кат'!$A:$R,F$1,0)</f>
        <v>1</v>
      </c>
      <c r="G82" s="101" t="s">
        <v>393</v>
      </c>
      <c r="H82" s="71"/>
      <c r="I82" s="32">
        <f>VLOOKUP(G82,'Прайс Gamma'!$B:$F,3,0)</f>
        <v>83633</v>
      </c>
      <c r="J82" s="32">
        <f t="shared" si="29"/>
        <v>86633</v>
      </c>
      <c r="K82" s="32">
        <f>VLOOKUP(G82,'Прайс Gamma'!$B:$F,4,0)</f>
        <v>86633</v>
      </c>
      <c r="L82" s="11">
        <f t="shared" si="30"/>
        <v>1.0358710078557507</v>
      </c>
      <c r="M82" s="132">
        <f t="shared" si="38"/>
        <v>1.1499999999999999</v>
      </c>
      <c r="N82" s="192">
        <f t="shared" si="31"/>
        <v>103417.15053763441</v>
      </c>
      <c r="O82" s="190">
        <f t="shared" si="32"/>
        <v>103490</v>
      </c>
      <c r="P82" s="87">
        <f>VLOOKUP($A82,'Выгр Кат'!$A:$R,P$1,0)</f>
        <v>83633</v>
      </c>
      <c r="Q82" s="87">
        <f>VLOOKUP($A82,'Выгр Кат'!$A:$R,Q$1,0)</f>
        <v>103490</v>
      </c>
      <c r="R82" s="94">
        <f t="shared" si="36"/>
        <v>0</v>
      </c>
      <c r="S82" s="94">
        <f t="shared" si="37"/>
        <v>0</v>
      </c>
      <c r="T82" s="20">
        <f t="shared" si="39"/>
        <v>96245.7</v>
      </c>
      <c r="U82" s="209">
        <f>IFERROR(VLOOKUP($A82,'Из ГУГЛа'!$B:$G,6,0)*V82,VLOOKUP($A82,'Из ГУГЛа'!$B:$G,6,0))</f>
        <v>93590</v>
      </c>
      <c r="V82" s="75">
        <v>1</v>
      </c>
      <c r="W82" s="83">
        <f t="shared" si="33"/>
        <v>0.15081008692740894</v>
      </c>
      <c r="X82" s="83">
        <f t="shared" si="34"/>
        <v>-2.8375894860561995E-2</v>
      </c>
      <c r="Y82" s="83">
        <f t="shared" si="35"/>
        <v>0.11905587507323667</v>
      </c>
      <c r="Z82" s="2">
        <v>93590</v>
      </c>
      <c r="AA82" s="36" t="s">
        <v>571</v>
      </c>
    </row>
    <row r="83" spans="1:27" ht="46.5" thickTop="1" thickBot="1">
      <c r="A83" s="41">
        <v>217600</v>
      </c>
      <c r="B83" s="87">
        <f>VLOOKUP($A83,'Выгр Кат'!$A:$R,B$1,0)</f>
        <v>37235</v>
      </c>
      <c r="C83" s="18" t="s">
        <v>249</v>
      </c>
      <c r="D83" s="86" t="str">
        <f>VLOOKUP($A83,'Выгр Кат'!$A:$R,D$1,0)</f>
        <v>Стилизованные колпачки ступиц "Ferrum Group" для Лада Веста</v>
      </c>
      <c r="E83" s="87" t="str">
        <f>VLOOKUP($A83,'Выгр Кат'!$A:$R,E$1,0)</f>
        <v>Y</v>
      </c>
      <c r="F83" s="87" t="str">
        <f>VLOOKUP($A83,'Выгр Кат'!$A:$R,F$1,0)</f>
        <v>1</v>
      </c>
      <c r="G83" s="104" t="s">
        <v>344</v>
      </c>
      <c r="H83" s="27"/>
      <c r="I83" s="26">
        <f>VLOOKUP(G83,'Прайс Gamma'!$A:$F,4,0)</f>
        <v>9650</v>
      </c>
      <c r="J83" s="26">
        <f t="shared" ref="J83:J84" si="40">K83+H83</f>
        <v>10650</v>
      </c>
      <c r="K83" s="26">
        <f>VLOOKUP(G83,'Прайс Gamma'!$A:$F,5,0)</f>
        <v>10650</v>
      </c>
      <c r="L83" s="11">
        <f t="shared" si="30"/>
        <v>1.1036269430051813</v>
      </c>
      <c r="M83" s="132">
        <f t="shared" si="38"/>
        <v>1.1499999999999999</v>
      </c>
      <c r="N83" s="192">
        <f t="shared" si="31"/>
        <v>11932.79569892473</v>
      </c>
      <c r="O83" s="190">
        <f t="shared" si="32"/>
        <v>11990</v>
      </c>
      <c r="P83" s="87">
        <f>VLOOKUP($A83,'Выгр Кат'!$A:$R,P$1,0)</f>
        <v>9650</v>
      </c>
      <c r="Q83" s="87">
        <f>VLOOKUP($A83,'Выгр Кат'!$A:$R,Q$1,0)</f>
        <v>11990</v>
      </c>
      <c r="R83" s="94">
        <f t="shared" si="36"/>
        <v>0</v>
      </c>
      <c r="S83" s="94">
        <f t="shared" si="37"/>
        <v>0</v>
      </c>
      <c r="T83" s="20">
        <f t="shared" ref="T83:T87" si="41">O83*(1-$T$2)</f>
        <v>11150.699999999999</v>
      </c>
      <c r="U83" s="209">
        <f>IFERROR(VLOOKUP($A83,'Из ГУГЛа'!$B:$G,6,0)*V83,VLOOKUP($A83,'Из ГУГЛа'!$B:$G,6,0))</f>
        <v>11990</v>
      </c>
      <c r="V83" s="75">
        <v>1</v>
      </c>
      <c r="W83" s="83">
        <f t="shared" si="33"/>
        <v>0.15551295336787563</v>
      </c>
      <c r="X83" s="83">
        <f t="shared" si="34"/>
        <v>7.000000000000009E-2</v>
      </c>
      <c r="Y83" s="83">
        <f t="shared" si="35"/>
        <v>0.24248704663212428</v>
      </c>
      <c r="Z83" s="2">
        <v>11990</v>
      </c>
      <c r="AA83" s="36" t="s">
        <v>572</v>
      </c>
    </row>
    <row r="84" spans="1:27" ht="45.75" thickTop="1">
      <c r="A84" s="41">
        <v>163982</v>
      </c>
      <c r="B84" s="87">
        <f>VLOOKUP($A84,'Выгр Кат'!$A:$R,B$1,0)</f>
        <v>37299</v>
      </c>
      <c r="C84" s="23" t="s">
        <v>248</v>
      </c>
      <c r="D84" s="86" t="str">
        <f>VLOOKUP($A84,'Выгр Кат'!$A:$R,D$1,0)</f>
        <v>Модельная ручка КПП "Ferrum Group" Black club для Лада Веста</v>
      </c>
      <c r="E84" s="87" t="str">
        <f>VLOOKUP($A84,'Выгр Кат'!$A:$R,E$1,0)</f>
        <v>Y</v>
      </c>
      <c r="F84" s="87" t="str">
        <f>VLOOKUP($A84,'Выгр Кат'!$A:$R,F$1,0)</f>
        <v>1</v>
      </c>
      <c r="G84" s="9"/>
      <c r="H84" s="9"/>
      <c r="I84" s="10">
        <f>J84-300</f>
        <v>8200</v>
      </c>
      <c r="J84" s="21">
        <f t="shared" si="40"/>
        <v>8500</v>
      </c>
      <c r="K84" s="21">
        <v>8500</v>
      </c>
      <c r="L84" s="11">
        <f t="shared" si="30"/>
        <v>1.0365853658536586</v>
      </c>
      <c r="M84" s="132">
        <f t="shared" si="38"/>
        <v>1.1499999999999999</v>
      </c>
      <c r="N84" s="192">
        <f t="shared" si="31"/>
        <v>10139.784946236559</v>
      </c>
      <c r="O84" s="190">
        <f t="shared" si="32"/>
        <v>10190</v>
      </c>
      <c r="P84" s="87">
        <f>VLOOKUP($A84,'Выгр Кат'!$A:$R,P$1,0)</f>
        <v>8200</v>
      </c>
      <c r="Q84" s="87">
        <f>VLOOKUP($A84,'Выгр Кат'!$A:$R,Q$1,0)</f>
        <v>10190</v>
      </c>
      <c r="R84" s="94">
        <f t="shared" si="36"/>
        <v>0</v>
      </c>
      <c r="S84" s="94">
        <f t="shared" si="37"/>
        <v>0</v>
      </c>
      <c r="T84" s="20">
        <f t="shared" si="41"/>
        <v>9476.6999999999989</v>
      </c>
      <c r="U84" s="209" t="str">
        <f>IFERROR(VLOOKUP($A84,'Из ГУГЛа'!$B:$G,6,0)*V84,VLOOKUP($A84,'Из ГУГЛа'!$B:$G,6,0))</f>
        <v/>
      </c>
      <c r="V84" s="75">
        <v>1</v>
      </c>
      <c r="W84" s="83">
        <f t="shared" si="33"/>
        <v>0.15569512195121948</v>
      </c>
      <c r="X84" s="83" t="str">
        <f t="shared" si="34"/>
        <v/>
      </c>
      <c r="Y84" s="83" t="str">
        <f t="shared" si="35"/>
        <v/>
      </c>
      <c r="Z84" s="47"/>
    </row>
    <row r="85" spans="1:27" ht="45.75" thickBot="1">
      <c r="A85" s="41">
        <v>226965</v>
      </c>
      <c r="B85" s="87">
        <f>VLOOKUP($A85,'Выгр Кат'!$A:$R,B$1,0)</f>
        <v>37928</v>
      </c>
      <c r="C85" s="23" t="s">
        <v>280</v>
      </c>
      <c r="D85" s="86" t="str">
        <f>VLOOKUP($A85,'Выгр Кат'!$A:$R,D$1,0)</f>
        <v>Электронная комбинация приборов "Ferrum Group" GF 940N Turbo LIMITED2 для Лада Веста</v>
      </c>
      <c r="E85" s="87" t="str">
        <f>VLOOKUP($A85,'Выгр Кат'!$A:$R,E$1,0)</f>
        <v>Y</v>
      </c>
      <c r="F85" s="87" t="str">
        <f>VLOOKUP($A85,'Выгр Кат'!$A:$R,F$1,0)</f>
        <v>1</v>
      </c>
      <c r="G85" s="101" t="s">
        <v>892</v>
      </c>
      <c r="H85" s="71"/>
      <c r="I85" s="32">
        <f>VLOOKUP(G85,'Прайс Gamma'!$B:$F,3,0)</f>
        <v>104111</v>
      </c>
      <c r="J85" s="32">
        <f t="shared" ref="J85:J86" si="42">K85+H85</f>
        <v>107111</v>
      </c>
      <c r="K85" s="32">
        <f>VLOOKUP(G85,'Прайс Gamma'!$B:$F,4,0)</f>
        <v>107111</v>
      </c>
      <c r="L85" s="11">
        <f t="shared" ref="L85:L148" si="43">J85/I85</f>
        <v>1.0288153989491984</v>
      </c>
      <c r="M85" s="132">
        <f t="shared" si="38"/>
        <v>1.1499999999999999</v>
      </c>
      <c r="N85" s="192">
        <f t="shared" ref="N85:N88" si="44">I85*M85*100/93</f>
        <v>128739.40860215054</v>
      </c>
      <c r="O85" s="190">
        <f t="shared" ref="O85:O121" si="45">IF(N85&lt;=1000,(ROUNDUP(N85,-1)-1),(ROUNDUP(N85,-2)-10))</f>
        <v>128790</v>
      </c>
      <c r="P85" s="87">
        <f>VLOOKUP($A85,'Выгр Кат'!$A:$R,P$1,0)</f>
        <v>104111</v>
      </c>
      <c r="Q85" s="87">
        <f>VLOOKUP($A85,'Выгр Кат'!$A:$R,Q$1,0)</f>
        <v>128790</v>
      </c>
      <c r="R85" s="94">
        <f t="shared" si="36"/>
        <v>0</v>
      </c>
      <c r="S85" s="94">
        <f t="shared" si="37"/>
        <v>0</v>
      </c>
      <c r="T85" s="20">
        <f t="shared" si="41"/>
        <v>119774.7</v>
      </c>
      <c r="U85" s="209">
        <f>IFERROR(VLOOKUP($A85,'Из ГУГЛа'!$B:$G,6,0)*V85,VLOOKUP($A85,'Из ГУГЛа'!$B:$G,6,0))</f>
        <v>103690</v>
      </c>
      <c r="V85" s="75">
        <v>1</v>
      </c>
      <c r="W85" s="83">
        <f t="shared" ref="W85:W148" si="46">IFERROR(T85/I85-1,"")</f>
        <v>0.15045192150685316</v>
      </c>
      <c r="X85" s="83">
        <f t="shared" ref="X85:X148" si="47">IFERROR((Z85-T85)/Z85,"")</f>
        <v>-0.1551229626772109</v>
      </c>
      <c r="Y85" s="83">
        <f t="shared" ref="Y85:Y148" si="48">IFERROR(IF(Z85="","",Z85/I85-1),"")</f>
        <v>-4.0437609858708923E-3</v>
      </c>
      <c r="Z85" s="2">
        <v>103690</v>
      </c>
      <c r="AA85" s="36" t="s">
        <v>573</v>
      </c>
    </row>
    <row r="86" spans="1:27" ht="46.5" thickTop="1" thickBot="1">
      <c r="A86" s="41">
        <v>226970</v>
      </c>
      <c r="B86" s="87">
        <f>VLOOKUP($A86,'Выгр Кат'!$A:$R,B$1,0)</f>
        <v>37929</v>
      </c>
      <c r="C86" s="23" t="s">
        <v>266</v>
      </c>
      <c r="D86" s="86" t="str">
        <f>VLOOKUP($A86,'Выгр Кат'!$A:$R,D$1,0)</f>
        <v>Электронная комбинация приборов "Ferrum Group" GF 949N TURBO для Лада Веста</v>
      </c>
      <c r="E86" s="87" t="str">
        <f>VLOOKUP($A86,'Выгр Кат'!$A:$R,E$1,0)</f>
        <v>Y</v>
      </c>
      <c r="F86" s="87" t="str">
        <f>VLOOKUP($A86,'Выгр Кат'!$A:$R,F$1,0)</f>
        <v>1</v>
      </c>
      <c r="G86" s="101" t="s">
        <v>362</v>
      </c>
      <c r="H86" s="71"/>
      <c r="I86" s="32">
        <f>VLOOKUP(G86,'Прайс Gamma'!$B:$F,3,0)</f>
        <v>91200</v>
      </c>
      <c r="J86" s="32">
        <f t="shared" si="42"/>
        <v>94200</v>
      </c>
      <c r="K86" s="32">
        <f>VLOOKUP(G86,'Прайс Gamma'!$B:$F,4,0)</f>
        <v>94200</v>
      </c>
      <c r="L86" s="11">
        <f t="shared" si="43"/>
        <v>1.0328947368421053</v>
      </c>
      <c r="M86" s="132">
        <f t="shared" si="38"/>
        <v>1.1499999999999999</v>
      </c>
      <c r="N86" s="192">
        <f t="shared" si="44"/>
        <v>112774.19354838708</v>
      </c>
      <c r="O86" s="190">
        <f t="shared" si="45"/>
        <v>112790</v>
      </c>
      <c r="P86" s="87">
        <f>VLOOKUP($A86,'Выгр Кат'!$A:$R,P$1,0)</f>
        <v>91200</v>
      </c>
      <c r="Q86" s="87">
        <f>VLOOKUP($A86,'Выгр Кат'!$A:$R,Q$1,0)</f>
        <v>112790</v>
      </c>
      <c r="R86" s="94">
        <f t="shared" si="36"/>
        <v>0</v>
      </c>
      <c r="S86" s="94">
        <f t="shared" si="37"/>
        <v>0</v>
      </c>
      <c r="T86" s="20">
        <f t="shared" si="41"/>
        <v>104894.7</v>
      </c>
      <c r="U86" s="209">
        <f>IFERROR(VLOOKUP($A86,'Из ГУГЛа'!$B:$G,6,0)*V86,VLOOKUP($A86,'Из ГУГЛа'!$B:$G,6,0))</f>
        <v>101190</v>
      </c>
      <c r="V86" s="75">
        <v>1</v>
      </c>
      <c r="W86" s="83">
        <f t="shared" si="46"/>
        <v>0.15016118421052638</v>
      </c>
      <c r="X86" s="83">
        <f t="shared" si="47"/>
        <v>-3.6611325229765755E-2</v>
      </c>
      <c r="Y86" s="83">
        <f t="shared" si="48"/>
        <v>0.10953947368421058</v>
      </c>
      <c r="Z86" s="2">
        <v>101190</v>
      </c>
      <c r="AA86" s="36" t="s">
        <v>575</v>
      </c>
    </row>
    <row r="87" spans="1:27" ht="46.5" thickTop="1" thickBot="1">
      <c r="A87" s="41">
        <v>169887</v>
      </c>
      <c r="B87" s="87">
        <f>VLOOKUP($A87,'Выгр Кат'!$A:$R,B$1,0)</f>
        <v>39108</v>
      </c>
      <c r="C87" s="23" t="s">
        <v>246</v>
      </c>
      <c r="D87" s="86" t="str">
        <f>VLOOKUP($A87,'Выгр Кат'!$A:$R,D$1,0)</f>
        <v>Накладки на пороги "Ferrum Group" для Лада Веста</v>
      </c>
      <c r="E87" s="87" t="str">
        <f>VLOOKUP($A87,'Выгр Кат'!$A:$R,E$1,0)</f>
        <v>Y</v>
      </c>
      <c r="F87" s="87" t="str">
        <f>VLOOKUP($A87,'Выгр Кат'!$A:$R,F$1,0)</f>
        <v>1</v>
      </c>
      <c r="G87" s="100" t="s">
        <v>390</v>
      </c>
      <c r="H87" s="67"/>
      <c r="I87" s="26">
        <f>VLOOKUP(G87,'Прайс Gamma'!$A:$F,4,0)</f>
        <v>5300</v>
      </c>
      <c r="J87" s="26">
        <f>K87+H87</f>
        <v>6300</v>
      </c>
      <c r="K87" s="26">
        <f>VLOOKUP(G87,'Прайс Gamma'!$A:$F,5,0)</f>
        <v>6300</v>
      </c>
      <c r="L87" s="11">
        <f t="shared" si="43"/>
        <v>1.1886792452830188</v>
      </c>
      <c r="M87" s="132">
        <f t="shared" si="38"/>
        <v>1.1886792452830188</v>
      </c>
      <c r="N87" s="194">
        <f>Z87*1.03</f>
        <v>7096.7</v>
      </c>
      <c r="O87" s="190">
        <f t="shared" si="45"/>
        <v>7090</v>
      </c>
      <c r="P87" s="87">
        <f>VLOOKUP($A87,'Выгр Кат'!$A:$R,P$1,0)</f>
        <v>5300</v>
      </c>
      <c r="Q87" s="87">
        <f>VLOOKUP($A87,'Выгр Кат'!$A:$R,Q$1,0)</f>
        <v>7090</v>
      </c>
      <c r="R87" s="94">
        <f t="shared" si="36"/>
        <v>0</v>
      </c>
      <c r="S87" s="94">
        <f t="shared" si="37"/>
        <v>0</v>
      </c>
      <c r="T87" s="20">
        <f t="shared" si="41"/>
        <v>6593.7</v>
      </c>
      <c r="U87" s="209">
        <f>IFERROR(VLOOKUP($A87,'Из ГУГЛа'!$B:$G,6,0)*V87,VLOOKUP($A87,'Из ГУГЛа'!$B:$G,6,0))</f>
        <v>6890</v>
      </c>
      <c r="V87" s="75">
        <v>1</v>
      </c>
      <c r="W87" s="83">
        <f t="shared" si="46"/>
        <v>0.24409433962264138</v>
      </c>
      <c r="X87" s="83">
        <f t="shared" si="47"/>
        <v>4.3004354136429633E-2</v>
      </c>
      <c r="Y87" s="83">
        <f t="shared" si="48"/>
        <v>0.30000000000000004</v>
      </c>
      <c r="Z87" s="2">
        <v>6890</v>
      </c>
      <c r="AA87" s="36" t="s">
        <v>574</v>
      </c>
    </row>
    <row r="88" spans="1:27" ht="46.5" thickTop="1" thickBot="1">
      <c r="A88" s="41">
        <v>256867</v>
      </c>
      <c r="B88" s="87">
        <f>VLOOKUP($A88,'Выгр Кат'!$A:$R,B$1,0)</f>
        <v>178480</v>
      </c>
      <c r="C88" s="18" t="s">
        <v>465</v>
      </c>
      <c r="D88" s="86" t="str">
        <f>VLOOKUP($A88,'Выгр Кат'!$A:$R,D$1,0)</f>
        <v>Электронная комбинация приборов "Ferrum Group" GF 826 N "Black CLUB" для Лада Нива 4х4, Нива Legend</v>
      </c>
      <c r="E88" s="87" t="str">
        <f>VLOOKUP($A88,'Выгр Кат'!$A:$R,E$1,0)</f>
        <v>Y</v>
      </c>
      <c r="F88" s="87" t="str">
        <f>VLOOKUP($A88,'Выгр Кат'!$A:$R,F$1,0)</f>
        <v>1</v>
      </c>
      <c r="G88" s="101" t="s">
        <v>501</v>
      </c>
      <c r="H88" s="71"/>
      <c r="I88" s="32">
        <f>VLOOKUP(G88,'Прайс Gamma'!$B:$F,3,0)</f>
        <v>75701</v>
      </c>
      <c r="J88" s="32">
        <f t="shared" ref="J88" si="49">K88+H88</f>
        <v>78701</v>
      </c>
      <c r="K88" s="32">
        <f>VLOOKUP(G88,'Прайс Gamma'!$B:$F,4,0)</f>
        <v>78701</v>
      </c>
      <c r="L88" s="11">
        <f t="shared" si="43"/>
        <v>1.0396295953818311</v>
      </c>
      <c r="M88" s="132">
        <f t="shared" si="38"/>
        <v>1.1499999999999999</v>
      </c>
      <c r="N88" s="192">
        <f t="shared" si="44"/>
        <v>93608.763440860217</v>
      </c>
      <c r="O88" s="190">
        <f t="shared" si="45"/>
        <v>93690</v>
      </c>
      <c r="P88" s="87">
        <f>VLOOKUP($A88,'Выгр Кат'!$A:$R,P$1,0)</f>
        <v>75701</v>
      </c>
      <c r="Q88" s="87">
        <f>VLOOKUP($A88,'Выгр Кат'!$A:$R,Q$1,0)</f>
        <v>93690</v>
      </c>
      <c r="R88" s="94">
        <f t="shared" si="36"/>
        <v>0</v>
      </c>
      <c r="S88" s="94">
        <f t="shared" si="37"/>
        <v>0</v>
      </c>
      <c r="T88" s="20">
        <f t="shared" ref="T88" si="50">O88*(1-$T$2)</f>
        <v>87131.7</v>
      </c>
      <c r="U88" s="209">
        <f>IFERROR(VLOOKUP($A88,'Из ГУГЛа'!$B:$G,6,0)*V88,VLOOKUP($A88,'Из ГУГЛа'!$B:$G,6,0))</f>
        <v>86990</v>
      </c>
      <c r="V88" s="75">
        <v>1</v>
      </c>
      <c r="W88" s="83">
        <f t="shared" si="46"/>
        <v>0.15099800531036567</v>
      </c>
      <c r="X88" s="83">
        <f t="shared" si="47"/>
        <v>-1.6289228646970582E-3</v>
      </c>
      <c r="Y88" s="83">
        <f t="shared" si="48"/>
        <v>0.14912616742183071</v>
      </c>
      <c r="Z88" s="2">
        <v>86990</v>
      </c>
      <c r="AA88" s="36" t="s">
        <v>579</v>
      </c>
    </row>
    <row r="89" spans="1:27" s="36" customFormat="1" ht="46.5" thickTop="1" thickBot="1">
      <c r="A89" s="202">
        <v>364090</v>
      </c>
      <c r="B89" s="87">
        <f>VLOOKUP($A89,'Выгр Кат'!$A:$R,B$1,0)</f>
        <v>364090</v>
      </c>
      <c r="C89" s="203" t="s">
        <v>1574</v>
      </c>
      <c r="D89" s="86" t="str">
        <f>VLOOKUP($A89,'Выгр Кат'!$A:$R,D$1,0)</f>
        <v>Электронная комбинация приборов "Ferrum Group" GF 949 Black CLUB для Лада Веста</v>
      </c>
      <c r="E89" s="87" t="str">
        <f>VLOOKUP($A89,'Выгр Кат'!$A:$R,E$1,0)</f>
        <v>Y</v>
      </c>
      <c r="F89" s="87" t="str">
        <f>VLOOKUP($A89,'Выгр Кат'!$A:$R,F$1,0)</f>
        <v>1</v>
      </c>
      <c r="G89" s="216" t="s">
        <v>612</v>
      </c>
      <c r="H89" s="71"/>
      <c r="I89" s="217">
        <f>VLOOKUP(G89,'Прайс Gamma'!$B:$F,3,0)</f>
        <v>73676</v>
      </c>
      <c r="J89" s="217">
        <f t="shared" ref="J89:J90" si="51">K89+H89</f>
        <v>76676</v>
      </c>
      <c r="K89" s="217">
        <f>VLOOKUP(G89,'Прайс Gamma'!$B:$F,4,0)</f>
        <v>76676</v>
      </c>
      <c r="L89" s="211">
        <f t="shared" ref="L89:L104" si="52">J89/I89</f>
        <v>1.0407188229545579</v>
      </c>
      <c r="M89" s="132">
        <f t="shared" si="38"/>
        <v>1.1499999999999999</v>
      </c>
      <c r="N89" s="215">
        <f t="shared" ref="N89:N95" si="53">I89*M89*100/93</f>
        <v>91104.731182795702</v>
      </c>
      <c r="O89" s="212">
        <f t="shared" ref="O89:O104" si="54">IF(N89&lt;=1000,(ROUNDUP(N89,-1)-1),(ROUNDUP(N89,-2)-10))</f>
        <v>91190</v>
      </c>
      <c r="P89" s="87">
        <f>VLOOKUP($A89,'Выгр Кат'!$A:$R,P$1,0)</f>
        <v>73676</v>
      </c>
      <c r="Q89" s="87">
        <f>VLOOKUP($A89,'Выгр Кат'!$A:$R,Q$1,0)</f>
        <v>91190</v>
      </c>
      <c r="R89" s="94">
        <f t="shared" ref="R89:R90" si="55">P89-I89</f>
        <v>0</v>
      </c>
      <c r="S89" s="94">
        <f t="shared" ref="S89:S90" si="56">Q89-O89</f>
        <v>0</v>
      </c>
      <c r="T89" s="213">
        <f t="shared" ref="T89:T90" si="57">O89*(1-$T$2)</f>
        <v>84806.7</v>
      </c>
      <c r="U89" s="209" t="e">
        <f>IFERROR(VLOOKUP($A89,'Из ГУГЛа'!$B:$G,6,0)*V89,VLOOKUP($A89,'Из ГУГЛа'!$B:$G,6,0))</f>
        <v>#N/A</v>
      </c>
      <c r="V89" s="214">
        <v>1</v>
      </c>
      <c r="W89" s="83">
        <f t="shared" ref="W89:W90" si="58">IFERROR(T89/I89-1,"")</f>
        <v>0.1510763342200987</v>
      </c>
      <c r="X89" s="83" t="str">
        <f t="shared" ref="X89:X90" si="59">IFERROR((Z89-T89)/Z89,"")</f>
        <v/>
      </c>
      <c r="Y89" s="83" t="str">
        <f t="shared" ref="Y89:Y90" si="60">IFERROR(IF(Z89="","",Z89/I89-1),"")</f>
        <v/>
      </c>
      <c r="Z89" s="2"/>
    </row>
    <row r="90" spans="1:27" s="36" customFormat="1" ht="46.5" thickTop="1" thickBot="1">
      <c r="A90" s="202">
        <v>364263</v>
      </c>
      <c r="B90" s="87">
        <f>VLOOKUP($A90,'Выгр Кат'!$A:$R,B$1,0)</f>
        <v>364263</v>
      </c>
      <c r="C90" s="203" t="s">
        <v>1575</v>
      </c>
      <c r="D90" s="86" t="str">
        <f>VLOOKUP($A90,'Выгр Кат'!$A:$R,D$1,0)</f>
        <v>Электронная комбинация приборов "Ferrum Group" GF 940 Black CLUB для Лада Веста</v>
      </c>
      <c r="E90" s="87" t="str">
        <f>VLOOKUP($A90,'Выгр Кат'!$A:$R,E$1,0)</f>
        <v>Y</v>
      </c>
      <c r="F90" s="87" t="str">
        <f>VLOOKUP($A90,'Выгр Кат'!$A:$R,F$1,0)</f>
        <v>1</v>
      </c>
      <c r="G90" s="216" t="s">
        <v>611</v>
      </c>
      <c r="H90" s="71"/>
      <c r="I90" s="217">
        <f>VLOOKUP(G90,'Прайс Gamma'!$B:$F,3,0)</f>
        <v>73487</v>
      </c>
      <c r="J90" s="217">
        <f t="shared" si="51"/>
        <v>76487</v>
      </c>
      <c r="K90" s="217">
        <f>VLOOKUP(G90,'Прайс Gamma'!$B:$F,4,0)</f>
        <v>76487</v>
      </c>
      <c r="L90" s="211">
        <f t="shared" si="52"/>
        <v>1.0408235470219223</v>
      </c>
      <c r="M90" s="132">
        <f t="shared" si="38"/>
        <v>1.1499999999999999</v>
      </c>
      <c r="N90" s="215">
        <f t="shared" si="53"/>
        <v>90871.021505376324</v>
      </c>
      <c r="O90" s="212">
        <f t="shared" si="54"/>
        <v>90890</v>
      </c>
      <c r="P90" s="87">
        <f>VLOOKUP($A90,'Выгр Кат'!$A:$R,P$1,0)</f>
        <v>73487</v>
      </c>
      <c r="Q90" s="87">
        <f>VLOOKUP($A90,'Выгр Кат'!$A:$R,Q$1,0)</f>
        <v>90890</v>
      </c>
      <c r="R90" s="94">
        <f t="shared" si="55"/>
        <v>0</v>
      </c>
      <c r="S90" s="94">
        <f t="shared" si="56"/>
        <v>0</v>
      </c>
      <c r="T90" s="213">
        <f t="shared" si="57"/>
        <v>84527.7</v>
      </c>
      <c r="U90" s="209" t="e">
        <f>IFERROR(VLOOKUP($A90,'Из ГУГЛа'!$B:$G,6,0)*V90,VLOOKUP($A90,'Из ГУГЛа'!$B:$G,6,0))</f>
        <v>#N/A</v>
      </c>
      <c r="V90" s="214">
        <v>1</v>
      </c>
      <c r="W90" s="83">
        <f t="shared" si="58"/>
        <v>0.15024017853497895</v>
      </c>
      <c r="X90" s="83" t="str">
        <f t="shared" si="59"/>
        <v/>
      </c>
      <c r="Y90" s="83" t="str">
        <f t="shared" si="60"/>
        <v/>
      </c>
      <c r="Z90" s="2"/>
    </row>
    <row r="91" spans="1:27" ht="76.5" thickTop="1" thickBot="1">
      <c r="A91" s="41">
        <v>226951</v>
      </c>
      <c r="B91" s="87">
        <f>VLOOKUP($A91,'Выгр Кат'!$A:$R,B$1,0)</f>
        <v>7161</v>
      </c>
      <c r="C91" s="22" t="s">
        <v>196</v>
      </c>
      <c r="D91" s="86" t="str">
        <f>VLOOKUP($A91,'Выгр Кат'!$A:$R,D$1,0)</f>
        <v>(дубль) Электронная комбинация приборов "Ferrum Group" GF 890 (чёрные кольца) для Лада Ларгус, Nissan (Almera, Terrano III), Renault (Duster (PH1), Duster Diesel (PH1), Logan I, Sandero I, Sandero Stepway I)</v>
      </c>
      <c r="E91" s="87" t="str">
        <f>VLOOKUP($A91,'Выгр Кат'!$A:$R,E$1,0)</f>
        <v>N</v>
      </c>
      <c r="F91" s="87" t="str">
        <f>VLOOKUP($A91,'Выгр Кат'!$A:$R,F$1,0)</f>
        <v>1</v>
      </c>
      <c r="G91" s="9"/>
      <c r="H91" s="9"/>
      <c r="I91" s="39">
        <f t="shared" ref="I91:I93" si="61">P91</f>
        <v>75186</v>
      </c>
      <c r="J91" s="21"/>
      <c r="K91" s="21"/>
      <c r="L91" s="11">
        <f t="shared" si="52"/>
        <v>0</v>
      </c>
      <c r="M91" s="132">
        <f t="shared" ref="M91:M93" si="62">IF(L91&lt;=$M$1,$M$1,L91)</f>
        <v>1.1499999999999999</v>
      </c>
      <c r="N91" s="192">
        <f t="shared" ref="N91:N93" si="63">I91*M91*100/93</f>
        <v>92971.93548387097</v>
      </c>
      <c r="O91" s="190">
        <f t="shared" si="54"/>
        <v>92990</v>
      </c>
      <c r="P91" s="87">
        <f>VLOOKUP($A91,'Выгр Кат'!$A:$R,P$1,0)</f>
        <v>75186</v>
      </c>
      <c r="Q91" s="87">
        <f>VLOOKUP($A91,'Выгр Кат'!$A:$R,Q$1,0)</f>
        <v>92990</v>
      </c>
      <c r="R91" s="94">
        <f>P91-I91</f>
        <v>0</v>
      </c>
      <c r="S91" s="94">
        <f>Q91-O91</f>
        <v>0</v>
      </c>
      <c r="T91" s="20">
        <f>O91*(1-$T$2)</f>
        <v>86480.7</v>
      </c>
      <c r="U91" s="209">
        <f>IFERROR(VLOOKUP($A91,'Из ГУГЛа'!$B:$G,6,0)*V91,VLOOKUP($A91,'Из ГУГЛа'!$B:$G,6,0))</f>
        <v>85190</v>
      </c>
      <c r="V91" s="75">
        <v>1</v>
      </c>
      <c r="W91" s="83">
        <f>IFERROR(T91/I91-1,"")</f>
        <v>0.15022344585428127</v>
      </c>
      <c r="X91" s="83">
        <f>IFERROR((Z91-T91)/Z91,"")</f>
        <v>-1.5150839300387336E-2</v>
      </c>
      <c r="Y91" s="83">
        <f>IFERROR(IF(Z91="","",Z91/I91-1),"")</f>
        <v>0.1330566860851754</v>
      </c>
      <c r="Z91" s="2">
        <v>85190</v>
      </c>
      <c r="AA91" s="36" t="s">
        <v>639</v>
      </c>
    </row>
    <row r="92" spans="1:27" ht="76.5" thickTop="1" thickBot="1">
      <c r="A92" s="41">
        <v>226949</v>
      </c>
      <c r="B92" s="87">
        <f>VLOOKUP($A92,'Выгр Кат'!$A:$R,B$1,0)</f>
        <v>7160</v>
      </c>
      <c r="C92" s="22" t="s">
        <v>194</v>
      </c>
      <c r="D92" s="86" t="str">
        <f>VLOOKUP($A92,'Выгр Кат'!$A:$R,D$1,0)</f>
        <v>(дубль) Электронная комбинация приборов "Ferrum Group" GF 890 (серебро) для Лада Ларгус, Nissan (Almera, Terrano III), Renault (Duster (PH1), Duster Diesel (PH1), Logan I, Sandero I, Sandero Stepway I)</v>
      </c>
      <c r="E92" s="87" t="str">
        <f>VLOOKUP($A92,'Выгр Кат'!$A:$R,E$1,0)</f>
        <v>N</v>
      </c>
      <c r="F92" s="87" t="str">
        <f>VLOOKUP($A92,'Выгр Кат'!$A:$R,F$1,0)</f>
        <v>1</v>
      </c>
      <c r="G92" s="9"/>
      <c r="H92" s="9"/>
      <c r="I92" s="39">
        <f t="shared" si="61"/>
        <v>75186</v>
      </c>
      <c r="J92" s="21"/>
      <c r="K92" s="21"/>
      <c r="L92" s="11">
        <f t="shared" si="52"/>
        <v>0</v>
      </c>
      <c r="M92" s="132">
        <f t="shared" si="62"/>
        <v>1.1499999999999999</v>
      </c>
      <c r="N92" s="192">
        <f t="shared" si="63"/>
        <v>92971.93548387097</v>
      </c>
      <c r="O92" s="190">
        <f t="shared" si="54"/>
        <v>92990</v>
      </c>
      <c r="P92" s="87">
        <f>VLOOKUP($A92,'Выгр Кат'!$A:$R,P$1,0)</f>
        <v>75186</v>
      </c>
      <c r="Q92" s="87">
        <f>VLOOKUP($A92,'Выгр Кат'!$A:$R,Q$1,0)</f>
        <v>92990</v>
      </c>
      <c r="R92" s="94">
        <f>P92-I92</f>
        <v>0</v>
      </c>
      <c r="S92" s="94">
        <f>Q92-O92</f>
        <v>0</v>
      </c>
      <c r="T92" s="20">
        <f>O92*(1-$T$2)</f>
        <v>86480.7</v>
      </c>
      <c r="U92" s="209">
        <f>IFERROR(VLOOKUP($A92,'Из ГУГЛа'!$B:$G,6,0)*V92,VLOOKUP($A92,'Из ГУГЛа'!$B:$G,6,0))</f>
        <v>85190</v>
      </c>
      <c r="V92" s="75">
        <v>1</v>
      </c>
      <c r="W92" s="83">
        <f>IFERROR(T92/I92-1,"")</f>
        <v>0.15022344585428127</v>
      </c>
      <c r="X92" s="83">
        <f>IFERROR((Z92-T92)/Z92,"")</f>
        <v>-1.5150839300387336E-2</v>
      </c>
      <c r="Y92" s="83">
        <f>IFERROR(IF(Z92="","",Z92/I92-1),"")</f>
        <v>0.1330566860851754</v>
      </c>
      <c r="Z92" s="2">
        <v>85190</v>
      </c>
      <c r="AA92" s="36" t="s">
        <v>637</v>
      </c>
    </row>
    <row r="93" spans="1:27" ht="76.5" thickTop="1" thickBot="1">
      <c r="A93" s="41">
        <v>226950</v>
      </c>
      <c r="B93" s="87">
        <f>VLOOKUP($A93,'Выгр Кат'!$A:$R,B$1,0)</f>
        <v>7159</v>
      </c>
      <c r="C93" s="18" t="s">
        <v>195</v>
      </c>
      <c r="D93" s="86" t="str">
        <f>VLOOKUP($A93,'Выгр Кат'!$A:$R,D$1,0)</f>
        <v>(дубль) Электронная комбинация приборов "Ferrum Group" GF 890 (хром) для Лада Ларгус, Nissan (Almera, Terrano III), Renault (Duster (PH1), Duster Diesel (PH1), Logan I, Sandero I, Sandero Stepway I)</v>
      </c>
      <c r="E93" s="87" t="str">
        <f>VLOOKUP($A93,'Выгр Кат'!$A:$R,E$1,0)</f>
        <v>N</v>
      </c>
      <c r="F93" s="87" t="str">
        <f>VLOOKUP($A93,'Выгр Кат'!$A:$R,F$1,0)</f>
        <v>1</v>
      </c>
      <c r="G93" s="9"/>
      <c r="H93" s="9"/>
      <c r="I93" s="39">
        <f t="shared" si="61"/>
        <v>75186</v>
      </c>
      <c r="J93" s="21"/>
      <c r="K93" s="21"/>
      <c r="L93" s="11">
        <f t="shared" si="52"/>
        <v>0</v>
      </c>
      <c r="M93" s="132">
        <f t="shared" si="62"/>
        <v>1.1499999999999999</v>
      </c>
      <c r="N93" s="192">
        <f t="shared" si="63"/>
        <v>92971.93548387097</v>
      </c>
      <c r="O93" s="190">
        <f t="shared" si="54"/>
        <v>92990</v>
      </c>
      <c r="P93" s="87">
        <f>VLOOKUP($A93,'Выгр Кат'!$A:$R,P$1,0)</f>
        <v>75186</v>
      </c>
      <c r="Q93" s="87">
        <f>VLOOKUP($A93,'Выгр Кат'!$A:$R,Q$1,0)</f>
        <v>92990</v>
      </c>
      <c r="R93" s="94">
        <f>P93-I93</f>
        <v>0</v>
      </c>
      <c r="S93" s="94">
        <f>Q93-O93</f>
        <v>0</v>
      </c>
      <c r="T93" s="20">
        <f>O93*(1-$T$2)</f>
        <v>86480.7</v>
      </c>
      <c r="U93" s="209">
        <f>IFERROR(VLOOKUP($A93,'Из ГУГЛа'!$B:$G,6,0)*V93,VLOOKUP($A93,'Из ГУГЛа'!$B:$G,6,0))</f>
        <v>85190</v>
      </c>
      <c r="V93" s="75">
        <v>1</v>
      </c>
      <c r="W93" s="83">
        <f>IFERROR(T93/I93-1,"")</f>
        <v>0.15022344585428127</v>
      </c>
      <c r="X93" s="83">
        <f>IFERROR((Z93-T93)/Z93,"")</f>
        <v>-1.5150839300387336E-2</v>
      </c>
      <c r="Y93" s="83">
        <f>IFERROR(IF(Z93="","",Z93/I93-1),"")</f>
        <v>0.1330566860851754</v>
      </c>
      <c r="Z93" s="2">
        <v>85190</v>
      </c>
      <c r="AA93" s="36" t="s">
        <v>638</v>
      </c>
    </row>
    <row r="94" spans="1:27" ht="46.5" thickTop="1" thickBot="1">
      <c r="A94" s="41">
        <v>226945</v>
      </c>
      <c r="B94" s="87">
        <f>VLOOKUP($A94,'Выгр Кат'!$A:$R,B$1,0)</f>
        <v>7145</v>
      </c>
      <c r="C94" s="18" t="s">
        <v>464</v>
      </c>
      <c r="D94" s="86" t="str">
        <f>VLOOKUP($A94,'Выгр Кат'!$A:$R,D$1,0)</f>
        <v>(дубль) Электронная комбинация приборов "Ferrum Group" GF 826 для Шевроле Нива</v>
      </c>
      <c r="E94" s="87" t="str">
        <f>VLOOKUP($A94,'Выгр Кат'!$A:$R,E$1,0)</f>
        <v>N</v>
      </c>
      <c r="F94" s="87" t="str">
        <f>VLOOKUP($A94,'Выгр Кат'!$A:$R,F$1,0)</f>
        <v>1</v>
      </c>
      <c r="G94" s="9"/>
      <c r="H94" s="9"/>
      <c r="I94" s="39">
        <f t="shared" ref="I94" si="64">P94</f>
        <v>77430</v>
      </c>
      <c r="J94" s="21"/>
      <c r="K94" s="21"/>
      <c r="L94" s="11">
        <f t="shared" ref="L94" si="65">J94/I94</f>
        <v>0</v>
      </c>
      <c r="M94" s="132">
        <f t="shared" si="38"/>
        <v>1.1499999999999999</v>
      </c>
      <c r="N94" s="192">
        <f t="shared" si="53"/>
        <v>95746.774193548394</v>
      </c>
      <c r="O94" s="190">
        <f t="shared" ref="O94" si="66">IF(N94&lt;=1000,(ROUNDUP(N94,-1)-1),(ROUNDUP(N94,-2)-10))</f>
        <v>95790</v>
      </c>
      <c r="P94" s="87">
        <f>VLOOKUP($A94,'Выгр Кат'!$A:$R,P$1,0)</f>
        <v>77430</v>
      </c>
      <c r="Q94" s="87">
        <f>VLOOKUP($A94,'Выгр Кат'!$A:$R,Q$1,0)</f>
        <v>95790</v>
      </c>
      <c r="R94" s="94">
        <f t="shared" ref="R94:R104" si="67">P94-I94</f>
        <v>0</v>
      </c>
      <c r="S94" s="94">
        <f t="shared" ref="S94:S104" si="68">Q94-O94</f>
        <v>0</v>
      </c>
      <c r="T94" s="20">
        <f t="shared" ref="T94:T104" si="69">O94*(1-$T$2)</f>
        <v>89084.7</v>
      </c>
      <c r="U94" s="209">
        <f>IFERROR(VLOOKUP($A94,'Из ГУГЛа'!$B:$G,6,0)*V94,VLOOKUP($A94,'Из ГУГЛа'!$B:$G,6,0))</f>
        <v>87390</v>
      </c>
      <c r="V94" s="75">
        <v>1</v>
      </c>
      <c r="W94" s="83">
        <f t="shared" ref="W94:W104" si="70">IFERROR(T94/I94-1,"")</f>
        <v>0.15051917861294073</v>
      </c>
      <c r="X94" s="83" t="str">
        <f t="shared" ref="X94:X104" si="71">IFERROR((Z94-T94)/Z94,"")</f>
        <v/>
      </c>
      <c r="Y94" s="83" t="str">
        <f t="shared" ref="Y94:Y104" si="72">IFERROR(IF(Z94="","",Z94/I94-1),"")</f>
        <v/>
      </c>
      <c r="Z94" s="2"/>
    </row>
    <row r="95" spans="1:27" ht="46.5" thickTop="1" thickBot="1">
      <c r="A95" s="41">
        <v>256871</v>
      </c>
      <c r="B95" s="87">
        <f>VLOOKUP($A95,'Выгр Кат'!$A:$R,B$1,0)</f>
        <v>178536</v>
      </c>
      <c r="C95" s="18" t="s">
        <v>464</v>
      </c>
      <c r="D95" s="86" t="str">
        <f>VLOOKUP($A95,'Выгр Кат'!$A:$R,D$1,0)</f>
        <v>(дубль) Электронная комбинация приборов "Ferrum Group" GF 826 Travel для Шевроле Нива, Лада Нива Travel</v>
      </c>
      <c r="E95" s="87" t="str">
        <f>VLOOKUP($A95,'Выгр Кат'!$A:$R,E$1,0)</f>
        <v>N</v>
      </c>
      <c r="F95" s="87" t="str">
        <f>VLOOKUP($A95,'Выгр Кат'!$A:$R,F$1,0)</f>
        <v>1</v>
      </c>
      <c r="G95" s="9"/>
      <c r="H95" s="9"/>
      <c r="I95" s="39">
        <f t="shared" ref="I95" si="73">P95</f>
        <v>77430</v>
      </c>
      <c r="J95" s="21"/>
      <c r="K95" s="21"/>
      <c r="L95" s="11">
        <f t="shared" ref="L95" si="74">J95/I95</f>
        <v>0</v>
      </c>
      <c r="M95" s="132">
        <f t="shared" si="38"/>
        <v>1.1499999999999999</v>
      </c>
      <c r="N95" s="192">
        <f t="shared" si="53"/>
        <v>95746.774193548394</v>
      </c>
      <c r="O95" s="190">
        <f t="shared" ref="O95" si="75">IF(N95&lt;=1000,(ROUNDUP(N95,-1)-1),(ROUNDUP(N95,-2)-10))</f>
        <v>95790</v>
      </c>
      <c r="P95" s="87">
        <f>VLOOKUP($A95,'Выгр Кат'!$A:$R,P$1,0)</f>
        <v>77430</v>
      </c>
      <c r="Q95" s="87">
        <f>VLOOKUP($A95,'Выгр Кат'!$A:$R,Q$1,0)</f>
        <v>95790</v>
      </c>
      <c r="R95" s="94">
        <f t="shared" si="67"/>
        <v>0</v>
      </c>
      <c r="S95" s="94">
        <f t="shared" si="68"/>
        <v>0</v>
      </c>
      <c r="T95" s="20">
        <f t="shared" si="69"/>
        <v>89084.7</v>
      </c>
      <c r="U95" s="209">
        <f>IFERROR(VLOOKUP($A95,'Из ГУГЛа'!$B:$G,6,0)*V95,VLOOKUP($A95,'Из ГУГЛа'!$B:$G,6,0))</f>
        <v>86390</v>
      </c>
      <c r="V95" s="75">
        <v>1</v>
      </c>
      <c r="W95" s="83">
        <f t="shared" si="70"/>
        <v>0.15051917861294073</v>
      </c>
      <c r="X95" s="83" t="str">
        <f t="shared" si="71"/>
        <v/>
      </c>
      <c r="Y95" s="83" t="str">
        <f t="shared" si="72"/>
        <v/>
      </c>
      <c r="Z95" s="2"/>
    </row>
    <row r="96" spans="1:27" ht="46.5" thickTop="1" thickBot="1">
      <c r="A96" s="41">
        <v>212888</v>
      </c>
      <c r="B96" s="87">
        <f>VLOOKUP($A96,'Выгр Кат'!$A:$R,B$1,0)</f>
        <v>6369</v>
      </c>
      <c r="C96" s="18" t="s">
        <v>212</v>
      </c>
      <c r="D96" s="86" t="str">
        <f>VLOOKUP($A96,'Выгр Кат'!$A:$R,D$1,0)</f>
        <v>(дубль) Ручки отопителя "Ferrum Group" (серебряные кольца) для Лада Калина, Калина 2, Гранта</v>
      </c>
      <c r="E96" s="87" t="str">
        <f>VLOOKUP($A96,'Выгр Кат'!$A:$R,E$1,0)</f>
        <v>N</v>
      </c>
      <c r="F96" s="87" t="str">
        <f>VLOOKUP($A96,'Выгр Кат'!$A:$R,F$1,0)</f>
        <v>1</v>
      </c>
      <c r="G96" s="9"/>
      <c r="H96" s="9"/>
      <c r="I96" s="39">
        <f t="shared" ref="I96:I104" si="76">P96</f>
        <v>2100</v>
      </c>
      <c r="J96" s="21"/>
      <c r="K96" s="21"/>
      <c r="L96" s="11">
        <f t="shared" si="52"/>
        <v>0</v>
      </c>
      <c r="M96" s="132">
        <f t="shared" si="38"/>
        <v>1.1499999999999999</v>
      </c>
      <c r="N96" s="198">
        <f t="shared" ref="N96:N98" si="77">Q96</f>
        <v>2790</v>
      </c>
      <c r="O96" s="190">
        <f t="shared" si="54"/>
        <v>2790</v>
      </c>
      <c r="P96" s="87">
        <f>VLOOKUP($A96,'Выгр Кат'!$A:$R,P$1,0)</f>
        <v>2100</v>
      </c>
      <c r="Q96" s="87">
        <f>VLOOKUP($A96,'Выгр Кат'!$A:$R,Q$1,0)</f>
        <v>2790</v>
      </c>
      <c r="R96" s="94">
        <f t="shared" si="67"/>
        <v>0</v>
      </c>
      <c r="S96" s="94">
        <f t="shared" si="68"/>
        <v>0</v>
      </c>
      <c r="T96" s="20">
        <f t="shared" si="69"/>
        <v>2594.6999999999998</v>
      </c>
      <c r="U96" s="209">
        <f>IFERROR(VLOOKUP($A96,'Из ГУГЛа'!$B:$G,6,0)*V96,VLOOKUP($A96,'Из ГУГЛа'!$B:$G,6,0))</f>
        <v>2690</v>
      </c>
      <c r="V96" s="75">
        <v>1</v>
      </c>
      <c r="W96" s="83">
        <f t="shared" si="70"/>
        <v>0.23557142857142854</v>
      </c>
      <c r="X96" s="83" t="str">
        <f t="shared" si="71"/>
        <v/>
      </c>
      <c r="Y96" s="83" t="str">
        <f t="shared" si="72"/>
        <v/>
      </c>
      <c r="Z96" s="2"/>
    </row>
    <row r="97" spans="1:26" ht="46.5" thickTop="1" thickBot="1">
      <c r="A97" s="41">
        <v>212890</v>
      </c>
      <c r="B97" s="87">
        <f>VLOOKUP($A97,'Выгр Кат'!$A:$R,B$1,0)</f>
        <v>23731</v>
      </c>
      <c r="C97" s="18" t="s">
        <v>212</v>
      </c>
      <c r="D97" s="86" t="str">
        <f>VLOOKUP($A97,'Выгр Кат'!$A:$R,D$1,0)</f>
        <v>(дубль) Ручки отопителя "Ferrum Group" (чёрные кольца) для Лада Калина, Калина 2, Гранта</v>
      </c>
      <c r="E97" s="87" t="str">
        <f>VLOOKUP($A97,'Выгр Кат'!$A:$R,E$1,0)</f>
        <v>N</v>
      </c>
      <c r="F97" s="87" t="str">
        <f>VLOOKUP($A97,'Выгр Кат'!$A:$R,F$1,0)</f>
        <v>1</v>
      </c>
      <c r="G97" s="9"/>
      <c r="H97" s="9"/>
      <c r="I97" s="39">
        <f t="shared" si="76"/>
        <v>2100</v>
      </c>
      <c r="J97" s="21"/>
      <c r="K97" s="21"/>
      <c r="L97" s="11">
        <f t="shared" si="52"/>
        <v>0</v>
      </c>
      <c r="M97" s="132">
        <f t="shared" si="38"/>
        <v>1.1499999999999999</v>
      </c>
      <c r="N97" s="198">
        <f t="shared" si="77"/>
        <v>2790</v>
      </c>
      <c r="O97" s="190">
        <f t="shared" si="54"/>
        <v>2790</v>
      </c>
      <c r="P97" s="87">
        <f>VLOOKUP($A97,'Выгр Кат'!$A:$R,P$1,0)</f>
        <v>2100</v>
      </c>
      <c r="Q97" s="87">
        <f>VLOOKUP($A97,'Выгр Кат'!$A:$R,Q$1,0)</f>
        <v>2790</v>
      </c>
      <c r="R97" s="94">
        <f t="shared" si="67"/>
        <v>0</v>
      </c>
      <c r="S97" s="94">
        <f t="shared" si="68"/>
        <v>0</v>
      </c>
      <c r="T97" s="20">
        <f t="shared" si="69"/>
        <v>2594.6999999999998</v>
      </c>
      <c r="U97" s="209">
        <f>IFERROR(VLOOKUP($A97,'Из ГУГЛа'!$B:$G,6,0)*V97,VLOOKUP($A97,'Из ГУГЛа'!$B:$G,6,0))</f>
        <v>2690</v>
      </c>
      <c r="V97" s="75">
        <v>1</v>
      </c>
      <c r="W97" s="83">
        <f t="shared" si="70"/>
        <v>0.23557142857142854</v>
      </c>
      <c r="X97" s="83" t="str">
        <f t="shared" si="71"/>
        <v/>
      </c>
      <c r="Y97" s="83" t="str">
        <f t="shared" si="72"/>
        <v/>
      </c>
      <c r="Z97" s="2"/>
    </row>
    <row r="98" spans="1:26" ht="46.5" thickTop="1" thickBot="1">
      <c r="A98" s="41">
        <v>212886</v>
      </c>
      <c r="B98" s="87">
        <f>VLOOKUP($A98,'Выгр Кат'!$A:$R,B$1,0)</f>
        <v>23732</v>
      </c>
      <c r="C98" s="18" t="s">
        <v>214</v>
      </c>
      <c r="D98" s="86" t="str">
        <f>VLOOKUP($A98,'Выгр Кат'!$A:$R,D$1,0)</f>
        <v>(дубль) Ручки отопителя "Ferrum Group" (серебро) для Лада Приора (без кондиционера)</v>
      </c>
      <c r="E98" s="87" t="str">
        <f>VLOOKUP($A98,'Выгр Кат'!$A:$R,E$1,0)</f>
        <v>N</v>
      </c>
      <c r="F98" s="87" t="str">
        <f>VLOOKUP($A98,'Выгр Кат'!$A:$R,F$1,0)</f>
        <v>1</v>
      </c>
      <c r="G98" s="9"/>
      <c r="H98" s="9"/>
      <c r="I98" s="39">
        <f t="shared" si="76"/>
        <v>2100</v>
      </c>
      <c r="J98" s="21"/>
      <c r="K98" s="21"/>
      <c r="L98" s="11">
        <f t="shared" si="52"/>
        <v>0</v>
      </c>
      <c r="M98" s="132">
        <f t="shared" si="38"/>
        <v>1.1499999999999999</v>
      </c>
      <c r="N98" s="198">
        <f t="shared" si="77"/>
        <v>2790</v>
      </c>
      <c r="O98" s="190">
        <f t="shared" si="54"/>
        <v>2790</v>
      </c>
      <c r="P98" s="87">
        <f>VLOOKUP($A98,'Выгр Кат'!$A:$R,P$1,0)</f>
        <v>2100</v>
      </c>
      <c r="Q98" s="87">
        <f>VLOOKUP($A98,'Выгр Кат'!$A:$R,Q$1,0)</f>
        <v>2790</v>
      </c>
      <c r="R98" s="94">
        <f t="shared" si="67"/>
        <v>0</v>
      </c>
      <c r="S98" s="94">
        <f t="shared" si="68"/>
        <v>0</v>
      </c>
      <c r="T98" s="20">
        <f t="shared" si="69"/>
        <v>2594.6999999999998</v>
      </c>
      <c r="U98" s="209">
        <f>IFERROR(VLOOKUP($A98,'Из ГУГЛа'!$B:$G,6,0)*V98,VLOOKUP($A98,'Из ГУГЛа'!$B:$G,6,0))</f>
        <v>2690</v>
      </c>
      <c r="V98" s="75">
        <v>1</v>
      </c>
      <c r="W98" s="83">
        <f t="shared" si="70"/>
        <v>0.23557142857142854</v>
      </c>
      <c r="X98" s="83" t="str">
        <f t="shared" si="71"/>
        <v/>
      </c>
      <c r="Y98" s="83" t="str">
        <f t="shared" si="72"/>
        <v/>
      </c>
      <c r="Z98" s="2"/>
    </row>
    <row r="99" spans="1:26" ht="46.5" thickTop="1" thickBot="1">
      <c r="A99" s="41">
        <v>226939</v>
      </c>
      <c r="B99" s="87">
        <f>VLOOKUP($A99,'Выгр Кат'!$A:$R,B$1,0)</f>
        <v>7135</v>
      </c>
      <c r="C99" s="18" t="s">
        <v>464</v>
      </c>
      <c r="D99" s="86" t="str">
        <f>VLOOKUP($A99,'Выгр Кат'!$A:$R,D$1,0)</f>
        <v>(дубль) Электронная комбинация приборов "Ferrum Group" GF 826 (хром) для ВАЗ 2110-2112, 2113-2115</v>
      </c>
      <c r="E99" s="87" t="str">
        <f>VLOOKUP($A99,'Выгр Кат'!$A:$R,E$1,0)</f>
        <v>N</v>
      </c>
      <c r="F99" s="87" t="str">
        <f>VLOOKUP($A99,'Выгр Кат'!$A:$R,F$1,0)</f>
        <v>1</v>
      </c>
      <c r="G99" s="9"/>
      <c r="H99" s="9"/>
      <c r="I99" s="39">
        <f t="shared" si="76"/>
        <v>77430</v>
      </c>
      <c r="J99" s="21"/>
      <c r="K99" s="21"/>
      <c r="L99" s="11">
        <f t="shared" si="52"/>
        <v>0</v>
      </c>
      <c r="M99" s="132">
        <f t="shared" si="38"/>
        <v>1.1499999999999999</v>
      </c>
      <c r="N99" s="192">
        <f t="shared" ref="N99:N117" si="78">I99*M99*100/93</f>
        <v>95746.774193548394</v>
      </c>
      <c r="O99" s="190">
        <f t="shared" si="54"/>
        <v>95790</v>
      </c>
      <c r="P99" s="87">
        <f>VLOOKUP($A99,'Выгр Кат'!$A:$R,P$1,0)</f>
        <v>77430</v>
      </c>
      <c r="Q99" s="87">
        <f>VLOOKUP($A99,'Выгр Кат'!$A:$R,Q$1,0)</f>
        <v>95790</v>
      </c>
      <c r="R99" s="94">
        <f t="shared" si="67"/>
        <v>0</v>
      </c>
      <c r="S99" s="94">
        <f t="shared" si="68"/>
        <v>0</v>
      </c>
      <c r="T99" s="20">
        <f t="shared" si="69"/>
        <v>89084.7</v>
      </c>
      <c r="U99" s="209">
        <f>IFERROR(VLOOKUP($A99,'Из ГУГЛа'!$B:$G,6,0)*V99,VLOOKUP($A99,'Из ГУГЛа'!$B:$G,6,0))</f>
        <v>87390</v>
      </c>
      <c r="V99" s="75">
        <v>1</v>
      </c>
      <c r="W99" s="83">
        <f t="shared" si="70"/>
        <v>0.15051917861294073</v>
      </c>
      <c r="X99" s="83" t="str">
        <f t="shared" si="71"/>
        <v/>
      </c>
      <c r="Y99" s="83" t="str">
        <f t="shared" si="72"/>
        <v/>
      </c>
      <c r="Z99" s="2"/>
    </row>
    <row r="100" spans="1:26" ht="46.5" thickTop="1" thickBot="1">
      <c r="A100" s="41">
        <v>226940</v>
      </c>
      <c r="B100" s="87">
        <f>VLOOKUP($A100,'Выгр Кат'!$A:$R,B$1,0)</f>
        <v>23811</v>
      </c>
      <c r="C100" s="18" t="s">
        <v>464</v>
      </c>
      <c r="D100" s="86" t="str">
        <f>VLOOKUP($A100,'Выгр Кат'!$A:$R,D$1,0)</f>
        <v>(дубль) Электронная комбинация приборов "Ferrum Group" GF 826 (хром) для Лада Нива 4x4, Нива 4x4 Урбан</v>
      </c>
      <c r="E100" s="87" t="str">
        <f>VLOOKUP($A100,'Выгр Кат'!$A:$R,E$1,0)</f>
        <v>N</v>
      </c>
      <c r="F100" s="87" t="str">
        <f>VLOOKUP($A100,'Выгр Кат'!$A:$R,F$1,0)</f>
        <v>1</v>
      </c>
      <c r="G100" s="9"/>
      <c r="H100" s="9"/>
      <c r="I100" s="39">
        <f t="shared" si="76"/>
        <v>77430</v>
      </c>
      <c r="J100" s="21"/>
      <c r="K100" s="21"/>
      <c r="L100" s="11">
        <f t="shared" si="52"/>
        <v>0</v>
      </c>
      <c r="M100" s="132">
        <f t="shared" si="38"/>
        <v>1.1499999999999999</v>
      </c>
      <c r="N100" s="192">
        <f t="shared" si="78"/>
        <v>95746.774193548394</v>
      </c>
      <c r="O100" s="190">
        <f t="shared" si="54"/>
        <v>95790</v>
      </c>
      <c r="P100" s="87">
        <f>VLOOKUP($A100,'Выгр Кат'!$A:$R,P$1,0)</f>
        <v>77430</v>
      </c>
      <c r="Q100" s="87">
        <f>VLOOKUP($A100,'Выгр Кат'!$A:$R,Q$1,0)</f>
        <v>95790</v>
      </c>
      <c r="R100" s="94">
        <f t="shared" si="67"/>
        <v>0</v>
      </c>
      <c r="S100" s="94">
        <f t="shared" si="68"/>
        <v>0</v>
      </c>
      <c r="T100" s="20">
        <f t="shared" si="69"/>
        <v>89084.7</v>
      </c>
      <c r="U100" s="209">
        <f>IFERROR(VLOOKUP($A100,'Из ГУГЛа'!$B:$G,6,0)*V100,VLOOKUP($A100,'Из ГУГЛа'!$B:$G,6,0))</f>
        <v>87390</v>
      </c>
      <c r="V100" s="75">
        <v>1</v>
      </c>
      <c r="W100" s="83">
        <f t="shared" si="70"/>
        <v>0.15051917861294073</v>
      </c>
      <c r="X100" s="83" t="str">
        <f t="shared" si="71"/>
        <v/>
      </c>
      <c r="Y100" s="83" t="str">
        <f t="shared" si="72"/>
        <v/>
      </c>
      <c r="Z100" s="2"/>
    </row>
    <row r="101" spans="1:26" ht="46.5" thickTop="1" thickBot="1">
      <c r="A101" s="41">
        <v>226954</v>
      </c>
      <c r="B101" s="87">
        <f>VLOOKUP($A101,'Выгр Кат'!$A:$R,B$1,0)</f>
        <v>23806</v>
      </c>
      <c r="C101" s="18" t="s">
        <v>203</v>
      </c>
      <c r="D101" s="86" t="str">
        <f>VLOOKUP($A101,'Выгр Кат'!$A:$R,D$1,0)</f>
        <v>(дубль) Электронная комбинация приборов "Ferrum Group" GF 890 Exclusive для Лада XRAY</v>
      </c>
      <c r="E101" s="87" t="str">
        <f>VLOOKUP($A101,'Выгр Кат'!$A:$R,E$1,0)</f>
        <v>N</v>
      </c>
      <c r="F101" s="87" t="str">
        <f>VLOOKUP($A101,'Выгр Кат'!$A:$R,F$1,0)</f>
        <v>1</v>
      </c>
      <c r="G101" s="9"/>
      <c r="H101" s="9"/>
      <c r="I101" s="39">
        <f t="shared" si="76"/>
        <v>78210</v>
      </c>
      <c r="J101" s="21"/>
      <c r="K101" s="21"/>
      <c r="L101" s="11">
        <f t="shared" si="52"/>
        <v>0</v>
      </c>
      <c r="M101" s="132">
        <f t="shared" si="38"/>
        <v>1.1499999999999999</v>
      </c>
      <c r="N101" s="192">
        <f t="shared" si="78"/>
        <v>96711.290322580651</v>
      </c>
      <c r="O101" s="190">
        <f t="shared" si="54"/>
        <v>96790</v>
      </c>
      <c r="P101" s="87">
        <f>VLOOKUP($A101,'Выгр Кат'!$A:$R,P$1,0)</f>
        <v>78210</v>
      </c>
      <c r="Q101" s="87">
        <f>VLOOKUP($A101,'Выгр Кат'!$A:$R,Q$1,0)</f>
        <v>96790</v>
      </c>
      <c r="R101" s="94">
        <f t="shared" si="67"/>
        <v>0</v>
      </c>
      <c r="S101" s="94">
        <f t="shared" si="68"/>
        <v>0</v>
      </c>
      <c r="T101" s="20">
        <f t="shared" si="69"/>
        <v>90014.7</v>
      </c>
      <c r="U101" s="209">
        <f>IFERROR(VLOOKUP($A101,'Из ГУГЛа'!$B:$G,6,0)*V101,VLOOKUP($A101,'Из ГУГЛа'!$B:$G,6,0))</f>
        <v>88190</v>
      </c>
      <c r="V101" s="75">
        <v>1</v>
      </c>
      <c r="W101" s="83">
        <f t="shared" si="70"/>
        <v>0.15093594169543523</v>
      </c>
      <c r="X101" s="83" t="str">
        <f t="shared" si="71"/>
        <v/>
      </c>
      <c r="Y101" s="83" t="str">
        <f t="shared" si="72"/>
        <v/>
      </c>
      <c r="Z101" s="2"/>
    </row>
    <row r="102" spans="1:26" ht="46.5" thickTop="1" thickBot="1">
      <c r="A102" s="41">
        <v>226963</v>
      </c>
      <c r="B102" s="87">
        <f>VLOOKUP($A102,'Выгр Кат'!$A:$R,B$1,0)</f>
        <v>15564</v>
      </c>
      <c r="C102" s="18" t="s">
        <v>199</v>
      </c>
      <c r="D102" s="86" t="str">
        <f>VLOOKUP($A102,'Выгр Кат'!$A:$R,D$1,0)</f>
        <v>Электронная комбинация приборов "Ferrum Group" GF 940 Premium Edition (голубая подсветка) для Лада Веста</v>
      </c>
      <c r="E102" s="87" t="str">
        <f>VLOOKUP($A102,'Выгр Кат'!$A:$R,E$1,0)</f>
        <v>N</v>
      </c>
      <c r="F102" s="87" t="str">
        <f>VLOOKUP($A102,'Выгр Кат'!$A:$R,F$1,0)</f>
        <v>1</v>
      </c>
      <c r="G102" s="9"/>
      <c r="H102" s="9"/>
      <c r="I102" s="39">
        <f t="shared" si="76"/>
        <v>76036</v>
      </c>
      <c r="J102" s="21"/>
      <c r="K102" s="21"/>
      <c r="L102" s="11">
        <f t="shared" si="52"/>
        <v>0</v>
      </c>
      <c r="M102" s="132">
        <f t="shared" si="38"/>
        <v>1.1499999999999999</v>
      </c>
      <c r="N102" s="192">
        <f t="shared" si="78"/>
        <v>94023.010752688177</v>
      </c>
      <c r="O102" s="190">
        <f t="shared" si="54"/>
        <v>94090</v>
      </c>
      <c r="P102" s="87">
        <f>VLOOKUP($A102,'Выгр Кат'!$A:$R,P$1,0)</f>
        <v>76036</v>
      </c>
      <c r="Q102" s="87">
        <f>VLOOKUP($A102,'Выгр Кат'!$A:$R,Q$1,0)</f>
        <v>94090</v>
      </c>
      <c r="R102" s="94">
        <f t="shared" si="67"/>
        <v>0</v>
      </c>
      <c r="S102" s="94">
        <f t="shared" si="68"/>
        <v>0</v>
      </c>
      <c r="T102" s="20">
        <f t="shared" si="69"/>
        <v>87503.7</v>
      </c>
      <c r="U102" s="209">
        <f>IFERROR(VLOOKUP($A102,'Из ГУГЛа'!$B:$G,6,0)*V102,VLOOKUP($A102,'Из ГУГЛа'!$B:$G,6,0))</f>
        <v>85990</v>
      </c>
      <c r="V102" s="75">
        <v>1</v>
      </c>
      <c r="W102" s="83">
        <f t="shared" si="70"/>
        <v>0.15081934872954905</v>
      </c>
      <c r="X102" s="83" t="str">
        <f t="shared" si="71"/>
        <v/>
      </c>
      <c r="Y102" s="83" t="str">
        <f t="shared" si="72"/>
        <v/>
      </c>
      <c r="Z102" s="2"/>
    </row>
    <row r="103" spans="1:26" ht="46.5" thickTop="1" thickBot="1">
      <c r="A103" s="41">
        <v>226952</v>
      </c>
      <c r="B103" s="87">
        <f>VLOOKUP($A103,'Выгр Кат'!$A:$R,B$1,0)</f>
        <v>23805</v>
      </c>
      <c r="C103" s="18" t="s">
        <v>193</v>
      </c>
      <c r="D103" s="86" t="str">
        <f>VLOOKUP($A103,'Выгр Кат'!$A:$R,D$1,0)</f>
        <v>(дубль) Электронная комбинация приборов "Ferrum Group" GF 890 Cross для Лада XRAY</v>
      </c>
      <c r="E103" s="87" t="str">
        <f>VLOOKUP($A103,'Выгр Кат'!$A:$R,E$1,0)</f>
        <v>N</v>
      </c>
      <c r="F103" s="87" t="str">
        <f>VLOOKUP($A103,'Выгр Кат'!$A:$R,F$1,0)</f>
        <v>1</v>
      </c>
      <c r="G103" s="9"/>
      <c r="H103" s="9"/>
      <c r="I103" s="39">
        <f t="shared" si="76"/>
        <v>78210</v>
      </c>
      <c r="J103" s="21"/>
      <c r="K103" s="21"/>
      <c r="L103" s="11">
        <f t="shared" si="52"/>
        <v>0</v>
      </c>
      <c r="M103" s="132">
        <f t="shared" si="38"/>
        <v>1.1499999999999999</v>
      </c>
      <c r="N103" s="192">
        <f t="shared" si="78"/>
        <v>96711.290322580651</v>
      </c>
      <c r="O103" s="190">
        <f t="shared" si="54"/>
        <v>96790</v>
      </c>
      <c r="P103" s="87">
        <f>VLOOKUP($A103,'Выгр Кат'!$A:$R,P$1,0)</f>
        <v>78210</v>
      </c>
      <c r="Q103" s="87">
        <f>VLOOKUP($A103,'Выгр Кат'!$A:$R,Q$1,0)</f>
        <v>96790</v>
      </c>
      <c r="R103" s="94">
        <f t="shared" si="67"/>
        <v>0</v>
      </c>
      <c r="S103" s="94">
        <f t="shared" si="68"/>
        <v>0</v>
      </c>
      <c r="T103" s="20">
        <f t="shared" si="69"/>
        <v>90014.7</v>
      </c>
      <c r="U103" s="209">
        <f>IFERROR(VLOOKUP($A103,'Из ГУГЛа'!$B:$G,6,0)*V103,VLOOKUP($A103,'Из ГУГЛа'!$B:$G,6,0))</f>
        <v>88190</v>
      </c>
      <c r="V103" s="75">
        <v>1</v>
      </c>
      <c r="W103" s="83">
        <f t="shared" si="70"/>
        <v>0.15093594169543523</v>
      </c>
      <c r="X103" s="83" t="str">
        <f t="shared" si="71"/>
        <v/>
      </c>
      <c r="Y103" s="83" t="str">
        <f t="shared" si="72"/>
        <v/>
      </c>
      <c r="Z103" s="2"/>
    </row>
    <row r="104" spans="1:26" ht="46.5" thickTop="1" thickBot="1">
      <c r="A104" s="41">
        <v>226931</v>
      </c>
      <c r="B104" s="87">
        <f>VLOOKUP($A104,'Выгр Кат'!$A:$R,B$1,0)</f>
        <v>7105</v>
      </c>
      <c r="C104" s="18" t="s">
        <v>174</v>
      </c>
      <c r="D104" s="86" t="str">
        <f>VLOOKUP($A104,'Выгр Кат'!$A:$R,D$1,0)</f>
        <v>Электронная комбинация приборов "Ferrum Group" GF 819 для ВАЗ 2110-2112 (европанель), Лада (Калина, Приора)</v>
      </c>
      <c r="E104" s="87" t="str">
        <f>VLOOKUP($A104,'Выгр Кат'!$A:$R,E$1,0)</f>
        <v>N</v>
      </c>
      <c r="F104" s="87" t="str">
        <f>VLOOKUP($A104,'Выгр Кат'!$A:$R,F$1,0)</f>
        <v>1</v>
      </c>
      <c r="G104" s="9"/>
      <c r="H104" s="9"/>
      <c r="I104" s="39">
        <f t="shared" si="76"/>
        <v>58236</v>
      </c>
      <c r="J104" s="21"/>
      <c r="K104" s="21"/>
      <c r="L104" s="11">
        <f t="shared" si="52"/>
        <v>0</v>
      </c>
      <c r="M104" s="132">
        <f t="shared" si="38"/>
        <v>1.1499999999999999</v>
      </c>
      <c r="N104" s="192">
        <f t="shared" si="78"/>
        <v>72012.258064516122</v>
      </c>
      <c r="O104" s="190">
        <f t="shared" si="54"/>
        <v>72090</v>
      </c>
      <c r="P104" s="87">
        <f>VLOOKUP($A104,'Выгр Кат'!$A:$R,P$1,0)</f>
        <v>58236</v>
      </c>
      <c r="Q104" s="87">
        <f>VLOOKUP($A104,'Выгр Кат'!$A:$R,Q$1,0)</f>
        <v>72090</v>
      </c>
      <c r="R104" s="94">
        <f t="shared" si="67"/>
        <v>0</v>
      </c>
      <c r="S104" s="94">
        <f t="shared" si="68"/>
        <v>0</v>
      </c>
      <c r="T104" s="20">
        <f t="shared" si="69"/>
        <v>67043.7</v>
      </c>
      <c r="U104" s="209">
        <f>IFERROR(VLOOKUP($A104,'Из ГУГЛа'!$B:$G,6,0)*V104,VLOOKUP($A104,'Из ГУГЛа'!$B:$G,6,0))</f>
        <v>68190</v>
      </c>
      <c r="V104" s="75">
        <v>1</v>
      </c>
      <c r="W104" s="83">
        <f t="shared" si="70"/>
        <v>0.15124150010302895</v>
      </c>
      <c r="X104" s="83" t="str">
        <f t="shared" si="71"/>
        <v/>
      </c>
      <c r="Y104" s="83" t="str">
        <f t="shared" si="72"/>
        <v/>
      </c>
      <c r="Z104" s="2"/>
    </row>
    <row r="105" spans="1:26" ht="30.75" thickTop="1">
      <c r="A105" s="41">
        <v>169733</v>
      </c>
      <c r="B105" s="87">
        <f>VLOOKUP($A105,'Выгр Кат'!$A:$R,B$1,0)</f>
        <v>23723</v>
      </c>
      <c r="C105" s="18"/>
      <c r="D105" s="86" t="str">
        <f>VLOOKUP($A105,'Выгр Кат'!$A:$R,D$1,0)</f>
        <v>Накладки на педали "Ferrum Group" для Лада XRAY, Renault (Duster (Diesel), Logan 2)</v>
      </c>
      <c r="E105" s="87" t="str">
        <f>VLOOKUP($A105,'Выгр Кат'!$A:$R,E$1,0)</f>
        <v>Y</v>
      </c>
      <c r="F105" s="87" t="str">
        <f>VLOOKUP($A105,'Выгр Кат'!$A:$R,F$1,0)</f>
        <v>0</v>
      </c>
      <c r="G105" s="9"/>
      <c r="H105" s="9"/>
      <c r="I105" s="39">
        <f t="shared" ref="I105" si="79">P105</f>
        <v>5800</v>
      </c>
      <c r="J105" s="21"/>
      <c r="K105" s="21"/>
      <c r="L105" s="11">
        <f t="shared" si="43"/>
        <v>0</v>
      </c>
      <c r="M105" s="132">
        <f t="shared" si="38"/>
        <v>1.1499999999999999</v>
      </c>
      <c r="N105" s="192">
        <f t="shared" si="78"/>
        <v>7172.0430107526872</v>
      </c>
      <c r="O105" s="190">
        <f t="shared" si="45"/>
        <v>7190</v>
      </c>
      <c r="P105" s="87">
        <f>VLOOKUP($A105,'Выгр Кат'!$A:$R,P$1,0)</f>
        <v>5800</v>
      </c>
      <c r="Q105" s="87">
        <f>VLOOKUP($A105,'Выгр Кат'!$A:$R,Q$1,0)</f>
        <v>7190</v>
      </c>
      <c r="R105" s="94">
        <f t="shared" si="36"/>
        <v>0</v>
      </c>
      <c r="S105" s="94">
        <f t="shared" si="37"/>
        <v>0</v>
      </c>
      <c r="T105" s="20">
        <f t="shared" ref="T105:T129" si="80">O105*(1-$T$2)</f>
        <v>6686.7</v>
      </c>
      <c r="U105" s="209" t="str">
        <f>IFERROR(VLOOKUP($A105,'Из ГУГЛа'!$B:$G,6,0)*V105,VLOOKUP($A105,'Из ГУГЛа'!$B:$G,6,0))</f>
        <v/>
      </c>
      <c r="V105" s="75">
        <v>1</v>
      </c>
      <c r="W105" s="83">
        <f t="shared" si="46"/>
        <v>0.1528793103448276</v>
      </c>
      <c r="X105" s="83" t="str">
        <f t="shared" si="47"/>
        <v/>
      </c>
      <c r="Y105" s="83" t="str">
        <f t="shared" si="48"/>
        <v/>
      </c>
      <c r="Z105" s="47"/>
    </row>
    <row r="106" spans="1:26" ht="30">
      <c r="A106" s="41">
        <v>158689</v>
      </c>
      <c r="B106" s="87">
        <f>VLOOKUP($A106,'Выгр Кат'!$A:$R,B$1,0)</f>
        <v>31335</v>
      </c>
      <c r="C106" s="8"/>
      <c r="D106" s="86" t="str">
        <f>VLOOKUP($A106,'Выгр Кат'!$A:$R,D$1,0)</f>
        <v>Комплект модельных ручек КПП "Ferrum Group" для Лада Нива 4x4</v>
      </c>
      <c r="E106" s="87" t="str">
        <f>VLOOKUP($A106,'Выгр Кат'!$A:$R,E$1,0)</f>
        <v>Y</v>
      </c>
      <c r="F106" s="87" t="str">
        <f>VLOOKUP($A106,'Выгр Кат'!$A:$R,F$1,0)</f>
        <v>0</v>
      </c>
      <c r="G106" s="9"/>
      <c r="H106" s="9"/>
      <c r="I106" s="39">
        <f t="shared" ref="I106" si="81">P106</f>
        <v>5500</v>
      </c>
      <c r="J106" s="21"/>
      <c r="K106" s="21"/>
      <c r="L106" s="11">
        <f t="shared" si="43"/>
        <v>0</v>
      </c>
      <c r="M106" s="132">
        <f t="shared" si="38"/>
        <v>1.1499999999999999</v>
      </c>
      <c r="N106" s="192">
        <f t="shared" si="78"/>
        <v>6801.0752688172033</v>
      </c>
      <c r="O106" s="190">
        <f t="shared" si="45"/>
        <v>6890</v>
      </c>
      <c r="P106" s="87">
        <f>VLOOKUP($A106,'Выгр Кат'!$A:$R,P$1,0)</f>
        <v>5500</v>
      </c>
      <c r="Q106" s="87">
        <f>VLOOKUP($A106,'Выгр Кат'!$A:$R,Q$1,0)</f>
        <v>6890</v>
      </c>
      <c r="R106" s="94">
        <f t="shared" si="36"/>
        <v>0</v>
      </c>
      <c r="S106" s="94">
        <f t="shared" si="37"/>
        <v>0</v>
      </c>
      <c r="T106" s="20">
        <f t="shared" si="80"/>
        <v>6407.7</v>
      </c>
      <c r="U106" s="209" t="str">
        <f>IFERROR(VLOOKUP($A106,'Из ГУГЛа'!$B:$G,6,0)*V106,VLOOKUP($A106,'Из ГУГЛа'!$B:$G,6,0))</f>
        <v/>
      </c>
      <c r="V106" s="75">
        <v>1</v>
      </c>
      <c r="W106" s="83">
        <f t="shared" si="46"/>
        <v>0.16503636363636365</v>
      </c>
      <c r="X106" s="83" t="str">
        <f t="shared" si="47"/>
        <v/>
      </c>
      <c r="Y106" s="83" t="str">
        <f t="shared" si="48"/>
        <v/>
      </c>
      <c r="Z106" s="47"/>
    </row>
    <row r="107" spans="1:26" ht="30">
      <c r="A107" s="41">
        <v>138631</v>
      </c>
      <c r="B107" s="87">
        <f>VLOOKUP($A107,'Выгр Кат'!$A:$R,B$1,0)</f>
        <v>7067</v>
      </c>
      <c r="C107" s="18"/>
      <c r="D107" s="86" t="str">
        <f>VLOOKUP($A107,'Выгр Кат'!$A:$R,D$1,0)</f>
        <v>Бортовой компьютер "Ferrum Group" GF 511 для ВАЗ 2110-2112 (евро панель)</v>
      </c>
      <c r="E107" s="87" t="str">
        <f>VLOOKUP($A107,'Выгр Кат'!$A:$R,E$1,0)</f>
        <v>Y</v>
      </c>
      <c r="F107" s="87" t="str">
        <f>VLOOKUP($A107,'Выгр Кат'!$A:$R,F$1,0)</f>
        <v>0</v>
      </c>
      <c r="G107" s="9"/>
      <c r="H107" s="9"/>
      <c r="I107" s="39">
        <f t="shared" ref="I107" si="82">P107</f>
        <v>4000</v>
      </c>
      <c r="J107" s="21"/>
      <c r="K107" s="21"/>
      <c r="L107" s="11">
        <f t="shared" si="43"/>
        <v>0</v>
      </c>
      <c r="M107" s="132">
        <f t="shared" si="38"/>
        <v>1.1499999999999999</v>
      </c>
      <c r="N107" s="192">
        <f t="shared" si="78"/>
        <v>4946.2365591397847</v>
      </c>
      <c r="O107" s="190">
        <f t="shared" si="45"/>
        <v>4990</v>
      </c>
      <c r="P107" s="87">
        <f>VLOOKUP($A107,'Выгр Кат'!$A:$R,P$1,0)</f>
        <v>4000</v>
      </c>
      <c r="Q107" s="87">
        <f>VLOOKUP($A107,'Выгр Кат'!$A:$R,Q$1,0)</f>
        <v>4990</v>
      </c>
      <c r="R107" s="94">
        <f t="shared" si="36"/>
        <v>0</v>
      </c>
      <c r="S107" s="94">
        <f t="shared" si="37"/>
        <v>0</v>
      </c>
      <c r="T107" s="20">
        <f t="shared" si="80"/>
        <v>4640.7</v>
      </c>
      <c r="U107" s="209" t="str">
        <f>IFERROR(VLOOKUP($A107,'Из ГУГЛа'!$B:$G,6,0)*V107,VLOOKUP($A107,'Из ГУГЛа'!$B:$G,6,0))</f>
        <v/>
      </c>
      <c r="V107" s="75">
        <v>1</v>
      </c>
      <c r="W107" s="83">
        <f t="shared" si="46"/>
        <v>0.16017499999999996</v>
      </c>
      <c r="X107" s="83" t="str">
        <f t="shared" si="47"/>
        <v/>
      </c>
      <c r="Y107" s="83" t="str">
        <f t="shared" si="48"/>
        <v/>
      </c>
      <c r="Z107" s="47"/>
    </row>
    <row r="108" spans="1:26" ht="30">
      <c r="A108" s="41">
        <v>212479</v>
      </c>
      <c r="B108" s="87">
        <f>VLOOKUP($A108,'Выгр Кат'!$A:$R,B$1,0)</f>
        <v>23709</v>
      </c>
      <c r="C108" s="18"/>
      <c r="D108" s="86" t="str">
        <f>VLOOKUP($A108,'Выгр Кат'!$A:$R,D$1,0)</f>
        <v>Ручка КПП "Ferrum Group" Cross Serie для Лада Веста</v>
      </c>
      <c r="E108" s="87" t="str">
        <f>VLOOKUP($A108,'Выгр Кат'!$A:$R,E$1,0)</f>
        <v>Y</v>
      </c>
      <c r="F108" s="87" t="str">
        <f>VLOOKUP($A108,'Выгр Кат'!$A:$R,F$1,0)</f>
        <v>0</v>
      </c>
      <c r="G108" s="9"/>
      <c r="H108" s="9"/>
      <c r="I108" s="39">
        <f t="shared" ref="I108:I114" si="83">P108</f>
        <v>4700</v>
      </c>
      <c r="J108" s="21"/>
      <c r="K108" s="21"/>
      <c r="L108" s="11">
        <f t="shared" si="43"/>
        <v>0</v>
      </c>
      <c r="M108" s="132">
        <f t="shared" si="38"/>
        <v>1.1499999999999999</v>
      </c>
      <c r="N108" s="192">
        <f t="shared" si="78"/>
        <v>5811.8279569892475</v>
      </c>
      <c r="O108" s="190">
        <f t="shared" si="45"/>
        <v>5890</v>
      </c>
      <c r="P108" s="87">
        <f>VLOOKUP($A108,'Выгр Кат'!$A:$R,P$1,0)</f>
        <v>4700</v>
      </c>
      <c r="Q108" s="87">
        <f>VLOOKUP($A108,'Выгр Кат'!$A:$R,Q$1,0)</f>
        <v>5890</v>
      </c>
      <c r="R108" s="94">
        <f t="shared" si="36"/>
        <v>0</v>
      </c>
      <c r="S108" s="94">
        <f t="shared" si="37"/>
        <v>0</v>
      </c>
      <c r="T108" s="20">
        <f t="shared" si="80"/>
        <v>5477.7</v>
      </c>
      <c r="U108" s="209" t="str">
        <f>IFERROR(VLOOKUP($A108,'Из ГУГЛа'!$B:$G,6,0)*V108,VLOOKUP($A108,'Из ГУГЛа'!$B:$G,6,0))</f>
        <v/>
      </c>
      <c r="V108" s="75">
        <v>1</v>
      </c>
      <c r="W108" s="83">
        <f t="shared" si="46"/>
        <v>0.165468085106383</v>
      </c>
      <c r="X108" s="83" t="str">
        <f t="shared" si="47"/>
        <v/>
      </c>
      <c r="Y108" s="83" t="str">
        <f t="shared" si="48"/>
        <v/>
      </c>
      <c r="Z108" s="47"/>
    </row>
    <row r="109" spans="1:26" ht="30">
      <c r="A109" s="41">
        <v>212480</v>
      </c>
      <c r="B109" s="87">
        <f>VLOOKUP($A109,'Выгр Кат'!$A:$R,B$1,0)</f>
        <v>23710</v>
      </c>
      <c r="C109" s="8"/>
      <c r="D109" s="86" t="str">
        <f>VLOOKUP($A109,'Выгр Кат'!$A:$R,D$1,0)</f>
        <v>Ручка КПП "Ferrum Group" Cross Serie для Лада Веста</v>
      </c>
      <c r="E109" s="87" t="str">
        <f>VLOOKUP($A109,'Выгр Кат'!$A:$R,E$1,0)</f>
        <v>Y</v>
      </c>
      <c r="F109" s="87" t="str">
        <f>VLOOKUP($A109,'Выгр Кат'!$A:$R,F$1,0)</f>
        <v>0</v>
      </c>
      <c r="G109" s="9"/>
      <c r="H109" s="9"/>
      <c r="I109" s="39">
        <f t="shared" si="83"/>
        <v>4700</v>
      </c>
      <c r="J109" s="21"/>
      <c r="K109" s="21"/>
      <c r="L109" s="11">
        <f t="shared" si="43"/>
        <v>0</v>
      </c>
      <c r="M109" s="132">
        <f t="shared" si="38"/>
        <v>1.1499999999999999</v>
      </c>
      <c r="N109" s="192">
        <f t="shared" si="78"/>
        <v>5811.8279569892475</v>
      </c>
      <c r="O109" s="190">
        <f t="shared" si="45"/>
        <v>5890</v>
      </c>
      <c r="P109" s="87">
        <f>VLOOKUP($A109,'Выгр Кат'!$A:$R,P$1,0)</f>
        <v>4700</v>
      </c>
      <c r="Q109" s="87">
        <f>VLOOKUP($A109,'Выгр Кат'!$A:$R,Q$1,0)</f>
        <v>5890</v>
      </c>
      <c r="R109" s="94">
        <f t="shared" si="36"/>
        <v>0</v>
      </c>
      <c r="S109" s="94">
        <f t="shared" si="37"/>
        <v>0</v>
      </c>
      <c r="T109" s="20">
        <f t="shared" si="80"/>
        <v>5477.7</v>
      </c>
      <c r="U109" s="209" t="str">
        <f>IFERROR(VLOOKUP($A109,'Из ГУГЛа'!$B:$G,6,0)*V109,VLOOKUP($A109,'Из ГУГЛа'!$B:$G,6,0))</f>
        <v/>
      </c>
      <c r="V109" s="75">
        <v>1</v>
      </c>
      <c r="W109" s="83">
        <f t="shared" si="46"/>
        <v>0.165468085106383</v>
      </c>
      <c r="X109" s="83" t="str">
        <f t="shared" si="47"/>
        <v/>
      </c>
      <c r="Y109" s="83" t="str">
        <f t="shared" si="48"/>
        <v/>
      </c>
      <c r="Z109" s="47"/>
    </row>
    <row r="110" spans="1:26" ht="30">
      <c r="A110" s="41">
        <v>212481</v>
      </c>
      <c r="B110" s="87">
        <f>VLOOKUP($A110,'Выгр Кат'!$A:$R,B$1,0)</f>
        <v>23712</v>
      </c>
      <c r="C110" s="8"/>
      <c r="D110" s="86" t="str">
        <f>VLOOKUP($A110,'Выгр Кат'!$A:$R,D$1,0)</f>
        <v>Ручка КПП "Ferrum Group" Exclusive для Лада Веста</v>
      </c>
      <c r="E110" s="87" t="str">
        <f>VLOOKUP($A110,'Выгр Кат'!$A:$R,E$1,0)</f>
        <v>Y</v>
      </c>
      <c r="F110" s="87" t="str">
        <f>VLOOKUP($A110,'Выгр Кат'!$A:$R,F$1,0)</f>
        <v>0</v>
      </c>
      <c r="G110" s="9"/>
      <c r="H110" s="9"/>
      <c r="I110" s="39">
        <f t="shared" si="83"/>
        <v>4700</v>
      </c>
      <c r="J110" s="21"/>
      <c r="K110" s="21"/>
      <c r="L110" s="11">
        <f t="shared" si="43"/>
        <v>0</v>
      </c>
      <c r="M110" s="132">
        <f t="shared" si="38"/>
        <v>1.1499999999999999</v>
      </c>
      <c r="N110" s="192">
        <f t="shared" si="78"/>
        <v>5811.8279569892475</v>
      </c>
      <c r="O110" s="190">
        <f t="shared" si="45"/>
        <v>5890</v>
      </c>
      <c r="P110" s="87">
        <f>VLOOKUP($A110,'Выгр Кат'!$A:$R,P$1,0)</f>
        <v>4700</v>
      </c>
      <c r="Q110" s="87">
        <f>VLOOKUP($A110,'Выгр Кат'!$A:$R,Q$1,0)</f>
        <v>5890</v>
      </c>
      <c r="R110" s="94">
        <f t="shared" si="36"/>
        <v>0</v>
      </c>
      <c r="S110" s="94">
        <f t="shared" si="37"/>
        <v>0</v>
      </c>
      <c r="T110" s="20">
        <f t="shared" si="80"/>
        <v>5477.7</v>
      </c>
      <c r="U110" s="209" t="str">
        <f>IFERROR(VLOOKUP($A110,'Из ГУГЛа'!$B:$G,6,0)*V110,VLOOKUP($A110,'Из ГУГЛа'!$B:$G,6,0))</f>
        <v/>
      </c>
      <c r="V110" s="75">
        <v>1</v>
      </c>
      <c r="W110" s="83">
        <f t="shared" si="46"/>
        <v>0.165468085106383</v>
      </c>
      <c r="X110" s="83" t="str">
        <f t="shared" si="47"/>
        <v/>
      </c>
      <c r="Y110" s="83" t="str">
        <f t="shared" si="48"/>
        <v/>
      </c>
      <c r="Z110" s="47"/>
    </row>
    <row r="111" spans="1:26" ht="30">
      <c r="A111" s="41">
        <v>212482</v>
      </c>
      <c r="B111" s="87">
        <f>VLOOKUP($A111,'Выгр Кат'!$A:$R,B$1,0)</f>
        <v>23707</v>
      </c>
      <c r="C111" s="8"/>
      <c r="D111" s="86" t="str">
        <f>VLOOKUP($A111,'Выгр Кат'!$A:$R,D$1,0)</f>
        <v>Ручка КПП "Ferrum Group" Grand Premium для Лада Веста</v>
      </c>
      <c r="E111" s="87" t="str">
        <f>VLOOKUP($A111,'Выгр Кат'!$A:$R,E$1,0)</f>
        <v>Y</v>
      </c>
      <c r="F111" s="87" t="str">
        <f>VLOOKUP($A111,'Выгр Кат'!$A:$R,F$1,0)</f>
        <v>0</v>
      </c>
      <c r="G111" s="9"/>
      <c r="H111" s="9"/>
      <c r="I111" s="39">
        <f t="shared" si="83"/>
        <v>4700</v>
      </c>
      <c r="J111" s="21"/>
      <c r="K111" s="21"/>
      <c r="L111" s="11">
        <f t="shared" si="43"/>
        <v>0</v>
      </c>
      <c r="M111" s="132">
        <f t="shared" si="38"/>
        <v>1.1499999999999999</v>
      </c>
      <c r="N111" s="192">
        <f t="shared" si="78"/>
        <v>5811.8279569892475</v>
      </c>
      <c r="O111" s="190">
        <f t="shared" si="45"/>
        <v>5890</v>
      </c>
      <c r="P111" s="87">
        <f>VLOOKUP($A111,'Выгр Кат'!$A:$R,P$1,0)</f>
        <v>4700</v>
      </c>
      <c r="Q111" s="87">
        <f>VLOOKUP($A111,'Выгр Кат'!$A:$R,Q$1,0)</f>
        <v>5890</v>
      </c>
      <c r="R111" s="94">
        <f t="shared" si="36"/>
        <v>0</v>
      </c>
      <c r="S111" s="94">
        <f t="shared" si="37"/>
        <v>0</v>
      </c>
      <c r="T111" s="20">
        <f t="shared" si="80"/>
        <v>5477.7</v>
      </c>
      <c r="U111" s="209" t="str">
        <f>IFERROR(VLOOKUP($A111,'Из ГУГЛа'!$B:$G,6,0)*V111,VLOOKUP($A111,'Из ГУГЛа'!$B:$G,6,0))</f>
        <v/>
      </c>
      <c r="V111" s="75">
        <v>1</v>
      </c>
      <c r="W111" s="83">
        <f t="shared" si="46"/>
        <v>0.165468085106383</v>
      </c>
      <c r="X111" s="83" t="str">
        <f t="shared" si="47"/>
        <v/>
      </c>
      <c r="Y111" s="83" t="str">
        <f t="shared" si="48"/>
        <v/>
      </c>
      <c r="Z111" s="47"/>
    </row>
    <row r="112" spans="1:26" ht="30">
      <c r="A112" s="41">
        <v>212484</v>
      </c>
      <c r="B112" s="87">
        <f>VLOOKUP($A112,'Выгр Кат'!$A:$R,B$1,0)</f>
        <v>23708</v>
      </c>
      <c r="C112" s="13"/>
      <c r="D112" s="86" t="str">
        <f>VLOOKUP($A112,'Выгр Кат'!$A:$R,D$1,0)</f>
        <v>Ручка КПП "Ferrum Group" Premium для Лада Веста</v>
      </c>
      <c r="E112" s="87" t="str">
        <f>VLOOKUP($A112,'Выгр Кат'!$A:$R,E$1,0)</f>
        <v>Y</v>
      </c>
      <c r="F112" s="87" t="str">
        <f>VLOOKUP($A112,'Выгр Кат'!$A:$R,F$1,0)</f>
        <v>0</v>
      </c>
      <c r="G112" s="9"/>
      <c r="H112" s="9"/>
      <c r="I112" s="39">
        <f t="shared" si="83"/>
        <v>4700</v>
      </c>
      <c r="J112" s="21"/>
      <c r="K112" s="21"/>
      <c r="L112" s="11">
        <f t="shared" si="43"/>
        <v>0</v>
      </c>
      <c r="M112" s="132">
        <f t="shared" si="38"/>
        <v>1.1499999999999999</v>
      </c>
      <c r="N112" s="192">
        <f t="shared" si="78"/>
        <v>5811.8279569892475</v>
      </c>
      <c r="O112" s="190">
        <f t="shared" si="45"/>
        <v>5890</v>
      </c>
      <c r="P112" s="87">
        <f>VLOOKUP($A112,'Выгр Кат'!$A:$R,P$1,0)</f>
        <v>4700</v>
      </c>
      <c r="Q112" s="87">
        <f>VLOOKUP($A112,'Выгр Кат'!$A:$R,Q$1,0)</f>
        <v>5890</v>
      </c>
      <c r="R112" s="94">
        <f t="shared" si="36"/>
        <v>0</v>
      </c>
      <c r="S112" s="94">
        <f t="shared" si="37"/>
        <v>0</v>
      </c>
      <c r="T112" s="20">
        <f t="shared" si="80"/>
        <v>5477.7</v>
      </c>
      <c r="U112" s="209" t="str">
        <f>IFERROR(VLOOKUP($A112,'Из ГУГЛа'!$B:$G,6,0)*V112,VLOOKUP($A112,'Из ГУГЛа'!$B:$G,6,0))</f>
        <v/>
      </c>
      <c r="V112" s="75">
        <v>1</v>
      </c>
      <c r="W112" s="83">
        <f t="shared" si="46"/>
        <v>0.165468085106383</v>
      </c>
      <c r="X112" s="83" t="str">
        <f t="shared" si="47"/>
        <v/>
      </c>
      <c r="Y112" s="83" t="str">
        <f t="shared" si="48"/>
        <v/>
      </c>
      <c r="Z112" s="47"/>
    </row>
    <row r="113" spans="1:26" ht="30">
      <c r="A113" s="41">
        <v>212483</v>
      </c>
      <c r="B113" s="87">
        <f>VLOOKUP($A113,'Выгр Кат'!$A:$R,B$1,0)</f>
        <v>23711</v>
      </c>
      <c r="C113" s="8"/>
      <c r="D113" s="86" t="str">
        <f>VLOOKUP($A113,'Выгр Кат'!$A:$R,D$1,0)</f>
        <v>Ручка КПП "Ferrum Group" Grand Sport для Лада Веста Спорт</v>
      </c>
      <c r="E113" s="87" t="str">
        <f>VLOOKUP($A113,'Выгр Кат'!$A:$R,E$1,0)</f>
        <v>Y</v>
      </c>
      <c r="F113" s="87" t="str">
        <f>VLOOKUP($A113,'Выгр Кат'!$A:$R,F$1,0)</f>
        <v>0</v>
      </c>
      <c r="G113" s="9"/>
      <c r="H113" s="9"/>
      <c r="I113" s="39">
        <f t="shared" si="83"/>
        <v>4700</v>
      </c>
      <c r="J113" s="21"/>
      <c r="K113" s="21"/>
      <c r="L113" s="11">
        <f t="shared" si="43"/>
        <v>0</v>
      </c>
      <c r="M113" s="132">
        <f t="shared" si="38"/>
        <v>1.1499999999999999</v>
      </c>
      <c r="N113" s="192">
        <f t="shared" si="78"/>
        <v>5811.8279569892475</v>
      </c>
      <c r="O113" s="190">
        <f t="shared" si="45"/>
        <v>5890</v>
      </c>
      <c r="P113" s="87">
        <f>VLOOKUP($A113,'Выгр Кат'!$A:$R,P$1,0)</f>
        <v>4700</v>
      </c>
      <c r="Q113" s="87">
        <f>VLOOKUP($A113,'Выгр Кат'!$A:$R,Q$1,0)</f>
        <v>5890</v>
      </c>
      <c r="R113" s="94">
        <f t="shared" si="36"/>
        <v>0</v>
      </c>
      <c r="S113" s="94">
        <f t="shared" si="37"/>
        <v>0</v>
      </c>
      <c r="T113" s="20">
        <f t="shared" si="80"/>
        <v>5477.7</v>
      </c>
      <c r="U113" s="209" t="str">
        <f>IFERROR(VLOOKUP($A113,'Из ГУГЛа'!$B:$G,6,0)*V113,VLOOKUP($A113,'Из ГУГЛа'!$B:$G,6,0))</f>
        <v/>
      </c>
      <c r="V113" s="75">
        <v>1</v>
      </c>
      <c r="W113" s="83">
        <f t="shared" si="46"/>
        <v>0.165468085106383</v>
      </c>
      <c r="X113" s="83" t="str">
        <f t="shared" si="47"/>
        <v/>
      </c>
      <c r="Y113" s="83" t="str">
        <f t="shared" si="48"/>
        <v/>
      </c>
      <c r="Z113" s="47"/>
    </row>
    <row r="114" spans="1:26" ht="24" customHeight="1">
      <c r="A114" s="41">
        <v>212485</v>
      </c>
      <c r="B114" s="87">
        <f>VLOOKUP($A114,'Выгр Кат'!$A:$R,B$1,0)</f>
        <v>23713</v>
      </c>
      <c r="C114" s="8"/>
      <c r="D114" s="86" t="str">
        <f>VLOOKUP($A114,'Выгр Кат'!$A:$R,D$1,0)</f>
        <v>Ручка КПП "Ferrum Group" Sport для Лада Веста Спорт</v>
      </c>
      <c r="E114" s="87" t="str">
        <f>VLOOKUP($A114,'Выгр Кат'!$A:$R,E$1,0)</f>
        <v>Y</v>
      </c>
      <c r="F114" s="87" t="str">
        <f>VLOOKUP($A114,'Выгр Кат'!$A:$R,F$1,0)</f>
        <v>0</v>
      </c>
      <c r="G114" s="9"/>
      <c r="H114" s="9"/>
      <c r="I114" s="39">
        <f t="shared" si="83"/>
        <v>4700</v>
      </c>
      <c r="J114" s="21"/>
      <c r="K114" s="21"/>
      <c r="L114" s="11">
        <f t="shared" si="43"/>
        <v>0</v>
      </c>
      <c r="M114" s="132">
        <f t="shared" si="38"/>
        <v>1.1499999999999999</v>
      </c>
      <c r="N114" s="192">
        <f t="shared" si="78"/>
        <v>5811.8279569892475</v>
      </c>
      <c r="O114" s="190">
        <f t="shared" si="45"/>
        <v>5890</v>
      </c>
      <c r="P114" s="87">
        <f>VLOOKUP($A114,'Выгр Кат'!$A:$R,P$1,0)</f>
        <v>4700</v>
      </c>
      <c r="Q114" s="87">
        <f>VLOOKUP($A114,'Выгр Кат'!$A:$R,Q$1,0)</f>
        <v>5890</v>
      </c>
      <c r="R114" s="94">
        <f t="shared" si="36"/>
        <v>0</v>
      </c>
      <c r="S114" s="94">
        <f t="shared" si="37"/>
        <v>0</v>
      </c>
      <c r="T114" s="20">
        <f t="shared" si="80"/>
        <v>5477.7</v>
      </c>
      <c r="U114" s="209" t="str">
        <f>IFERROR(VLOOKUP($A114,'Из ГУГЛа'!$B:$G,6,0)*V114,VLOOKUP($A114,'Из ГУГЛа'!$B:$G,6,0))</f>
        <v/>
      </c>
      <c r="V114" s="75">
        <v>1</v>
      </c>
      <c r="W114" s="83">
        <f t="shared" si="46"/>
        <v>0.165468085106383</v>
      </c>
      <c r="X114" s="83" t="str">
        <f t="shared" si="47"/>
        <v/>
      </c>
      <c r="Y114" s="83" t="str">
        <f t="shared" si="48"/>
        <v/>
      </c>
      <c r="Z114" s="47"/>
    </row>
    <row r="115" spans="1:26" ht="30">
      <c r="A115" s="41">
        <v>138630</v>
      </c>
      <c r="B115" s="87">
        <f>VLOOKUP($A115,'Выгр Кат'!$A:$R,B$1,0)</f>
        <v>7052</v>
      </c>
      <c r="C115" s="18"/>
      <c r="D115" s="86" t="str">
        <f>VLOOKUP($A115,'Выгр Кат'!$A:$R,D$1,0)</f>
        <v>Бортовой компьютер "Ferrum Group" GF 415T для ВАЗ 2108-21099, 2113-2115</v>
      </c>
      <c r="E115" s="87" t="str">
        <f>VLOOKUP($A115,'Выгр Кат'!$A:$R,E$1,0)</f>
        <v>Y</v>
      </c>
      <c r="F115" s="87" t="str">
        <f>VLOOKUP($A115,'Выгр Кат'!$A:$R,F$1,0)</f>
        <v>0</v>
      </c>
      <c r="G115" s="9"/>
      <c r="H115" s="9"/>
      <c r="I115" s="39">
        <f t="shared" ref="I115" si="84">P115</f>
        <v>6600</v>
      </c>
      <c r="J115" s="21"/>
      <c r="K115" s="21"/>
      <c r="L115" s="11">
        <f t="shared" si="43"/>
        <v>0</v>
      </c>
      <c r="M115" s="132">
        <f t="shared" si="38"/>
        <v>1.1499999999999999</v>
      </c>
      <c r="N115" s="192">
        <f t="shared" si="78"/>
        <v>8161.290322580644</v>
      </c>
      <c r="O115" s="190">
        <f t="shared" si="45"/>
        <v>8190</v>
      </c>
      <c r="P115" s="87">
        <f>VLOOKUP($A115,'Выгр Кат'!$A:$R,P$1,0)</f>
        <v>6600</v>
      </c>
      <c r="Q115" s="87">
        <f>VLOOKUP($A115,'Выгр Кат'!$A:$R,Q$1,0)</f>
        <v>8190</v>
      </c>
      <c r="R115" s="94">
        <f t="shared" si="36"/>
        <v>0</v>
      </c>
      <c r="S115" s="94">
        <f t="shared" si="37"/>
        <v>0</v>
      </c>
      <c r="T115" s="20">
        <f t="shared" si="80"/>
        <v>7616.7</v>
      </c>
      <c r="U115" s="209" t="str">
        <f>IFERROR(VLOOKUP($A115,'Из ГУГЛа'!$B:$G,6,0)*V115,VLOOKUP($A115,'Из ГУГЛа'!$B:$G,6,0))</f>
        <v/>
      </c>
      <c r="V115" s="75">
        <v>1</v>
      </c>
      <c r="W115" s="83">
        <f t="shared" si="46"/>
        <v>0.1540454545454546</v>
      </c>
      <c r="X115" s="83" t="str">
        <f t="shared" si="47"/>
        <v/>
      </c>
      <c r="Y115" s="83" t="str">
        <f t="shared" si="48"/>
        <v/>
      </c>
      <c r="Z115" s="47"/>
    </row>
    <row r="116" spans="1:26" ht="30">
      <c r="A116" s="41">
        <v>212894</v>
      </c>
      <c r="B116" s="87">
        <f>VLOOKUP($A116,'Выгр Кат'!$A:$R,B$1,0)</f>
        <v>23729</v>
      </c>
      <c r="C116" s="9"/>
      <c r="D116" s="86" t="str">
        <f>VLOOKUP($A116,'Выгр Кат'!$A:$R,D$1,0)</f>
        <v>Ручки отопителя "Ferrum Group" для Лада (Ларгус, XRAY), Renault Duster</v>
      </c>
      <c r="E116" s="87" t="str">
        <f>VLOOKUP($A116,'Выгр Кат'!$A:$R,E$1,0)</f>
        <v>Y</v>
      </c>
      <c r="F116" s="87" t="str">
        <f>VLOOKUP($A116,'Выгр Кат'!$A:$R,F$1,0)</f>
        <v>0</v>
      </c>
      <c r="G116" s="9"/>
      <c r="H116" s="9"/>
      <c r="I116" s="39">
        <f t="shared" ref="I116:I134" si="85">P116</f>
        <v>1550</v>
      </c>
      <c r="J116" s="21"/>
      <c r="K116" s="21"/>
      <c r="L116" s="11">
        <f t="shared" si="43"/>
        <v>0</v>
      </c>
      <c r="M116" s="132">
        <f t="shared" si="38"/>
        <v>1.1499999999999999</v>
      </c>
      <c r="N116" s="198">
        <v>2090</v>
      </c>
      <c r="O116" s="190">
        <f t="shared" si="45"/>
        <v>2090</v>
      </c>
      <c r="P116" s="87">
        <f>VLOOKUP($A116,'Выгр Кат'!$A:$R,P$1,0)</f>
        <v>1550</v>
      </c>
      <c r="Q116" s="87">
        <f>VLOOKUP($A116,'Выгр Кат'!$A:$R,Q$1,0)</f>
        <v>2090</v>
      </c>
      <c r="R116" s="94">
        <f t="shared" si="36"/>
        <v>0</v>
      </c>
      <c r="S116" s="94">
        <f t="shared" si="37"/>
        <v>0</v>
      </c>
      <c r="T116" s="20">
        <f t="shared" si="80"/>
        <v>1943.6999999999998</v>
      </c>
      <c r="U116" s="209" t="str">
        <f>IFERROR(VLOOKUP($A116,'Из ГУГЛа'!$B:$G,6,0)*V116,VLOOKUP($A116,'Из ГУГЛа'!$B:$G,6,0))</f>
        <v/>
      </c>
      <c r="V116" s="75">
        <v>1</v>
      </c>
      <c r="W116" s="83">
        <f t="shared" si="46"/>
        <v>0.25399999999999978</v>
      </c>
      <c r="X116" s="83" t="str">
        <f t="shared" si="47"/>
        <v/>
      </c>
      <c r="Y116" s="83" t="str">
        <f t="shared" si="48"/>
        <v/>
      </c>
      <c r="Z116" s="47"/>
    </row>
    <row r="117" spans="1:26" ht="30">
      <c r="A117" s="41">
        <v>212901</v>
      </c>
      <c r="B117" s="87">
        <f>VLOOKUP($A117,'Выгр Кат'!$A:$R,B$1,0)</f>
        <v>10090</v>
      </c>
      <c r="C117" s="9"/>
      <c r="D117" s="86" t="str">
        <f>VLOOKUP($A117,'Выгр Кат'!$A:$R,D$1,0)</f>
        <v>Ручки регулировки блока отопителя Лада Ларгус, Рено Логан, Сандеро (ХРОМ)</v>
      </c>
      <c r="E117" s="87" t="str">
        <f>VLOOKUP($A117,'Выгр Кат'!$A:$R,E$1,0)</f>
        <v>Y</v>
      </c>
      <c r="F117" s="87" t="str">
        <f>VLOOKUP($A117,'Выгр Кат'!$A:$R,F$1,0)</f>
        <v>0</v>
      </c>
      <c r="G117" s="9"/>
      <c r="H117" s="9"/>
      <c r="I117" s="39">
        <f t="shared" si="85"/>
        <v>1500</v>
      </c>
      <c r="J117" s="21"/>
      <c r="K117" s="21"/>
      <c r="L117" s="11">
        <f t="shared" si="43"/>
        <v>0</v>
      </c>
      <c r="M117" s="132">
        <f t="shared" si="38"/>
        <v>1.1499999999999999</v>
      </c>
      <c r="N117" s="192">
        <f t="shared" si="78"/>
        <v>1854.838709677419</v>
      </c>
      <c r="O117" s="190">
        <f t="shared" si="45"/>
        <v>1890</v>
      </c>
      <c r="P117" s="87">
        <f>VLOOKUP($A117,'Выгр Кат'!$A:$R,P$1,0)</f>
        <v>1500</v>
      </c>
      <c r="Q117" s="87">
        <f>VLOOKUP($A117,'Выгр Кат'!$A:$R,Q$1,0)</f>
        <v>1890</v>
      </c>
      <c r="R117" s="94">
        <f t="shared" si="36"/>
        <v>0</v>
      </c>
      <c r="S117" s="94">
        <f t="shared" si="37"/>
        <v>0</v>
      </c>
      <c r="T117" s="20">
        <f t="shared" si="80"/>
        <v>1757.6999999999998</v>
      </c>
      <c r="U117" s="209" t="str">
        <f>IFERROR(VLOOKUP($A117,'Из ГУГЛа'!$B:$G,6,0)*V117,VLOOKUP($A117,'Из ГУГЛа'!$B:$G,6,0))</f>
        <v/>
      </c>
      <c r="V117" s="75">
        <v>1</v>
      </c>
      <c r="W117" s="83">
        <f t="shared" si="46"/>
        <v>0.17179999999999995</v>
      </c>
      <c r="X117" s="83" t="str">
        <f t="shared" si="47"/>
        <v/>
      </c>
      <c r="Y117" s="83" t="str">
        <f t="shared" si="48"/>
        <v/>
      </c>
      <c r="Z117" s="47"/>
    </row>
    <row r="118" spans="1:26">
      <c r="A118" s="41">
        <v>214014</v>
      </c>
      <c r="B118" s="87">
        <f>VLOOKUP($A118,'Выгр Кат'!$A:$R,B$1,0)</f>
        <v>7174</v>
      </c>
      <c r="C118" s="9"/>
      <c r="D118" s="86" t="str">
        <f>VLOOKUP($A118,'Выгр Кат'!$A:$R,D$1,0)</f>
        <v>Сканер Тестер Gamma GF 913</v>
      </c>
      <c r="E118" s="87" t="str">
        <f>VLOOKUP($A118,'Выгр Кат'!$A:$R,E$1,0)</f>
        <v>Y</v>
      </c>
      <c r="F118" s="87" t="str">
        <f>VLOOKUP($A118,'Выгр Кат'!$A:$R,F$1,0)</f>
        <v>0</v>
      </c>
      <c r="G118" s="9"/>
      <c r="H118" s="9"/>
      <c r="I118" s="39">
        <f t="shared" si="85"/>
        <v>0</v>
      </c>
      <c r="J118" s="21"/>
      <c r="K118" s="21"/>
      <c r="L118" s="11" t="e">
        <f t="shared" si="43"/>
        <v>#DIV/0!</v>
      </c>
      <c r="M118" s="132" t="e">
        <f t="shared" si="38"/>
        <v>#DIV/0!</v>
      </c>
      <c r="N118" s="198">
        <f t="shared" ref="N118" si="86">Q118</f>
        <v>4590</v>
      </c>
      <c r="O118" s="190">
        <f t="shared" si="45"/>
        <v>4590</v>
      </c>
      <c r="P118" s="87">
        <f>VLOOKUP($A118,'Выгр Кат'!$A:$R,P$1,0)</f>
        <v>0</v>
      </c>
      <c r="Q118" s="87">
        <f>VLOOKUP($A118,'Выгр Кат'!$A:$R,Q$1,0)</f>
        <v>4590</v>
      </c>
      <c r="R118" s="94">
        <f t="shared" si="36"/>
        <v>0</v>
      </c>
      <c r="S118" s="94">
        <f t="shared" si="37"/>
        <v>0</v>
      </c>
      <c r="T118" s="20">
        <f t="shared" si="80"/>
        <v>4268.7</v>
      </c>
      <c r="U118" s="209" t="str">
        <f>IFERROR(VLOOKUP($A118,'Из ГУГЛа'!$B:$G,6,0)*V118,VLOOKUP($A118,'Из ГУГЛа'!$B:$G,6,0))</f>
        <v/>
      </c>
      <c r="V118" s="75">
        <v>1</v>
      </c>
      <c r="W118" s="83" t="str">
        <f t="shared" si="46"/>
        <v/>
      </c>
      <c r="X118" s="83" t="str">
        <f t="shared" si="47"/>
        <v/>
      </c>
      <c r="Y118" s="83" t="str">
        <f t="shared" si="48"/>
        <v/>
      </c>
      <c r="Z118" s="47"/>
    </row>
    <row r="119" spans="1:26" ht="30">
      <c r="A119" s="41">
        <v>218628</v>
      </c>
      <c r="B119" s="87">
        <f>VLOOKUP($A119,'Выгр Кат'!$A:$R,B$1,0)</f>
        <v>23744</v>
      </c>
      <c r="C119" s="9"/>
      <c r="D119" s="86" t="str">
        <f>VLOOKUP($A119,'Выгр Кат'!$A:$R,D$1,0)</f>
        <v>Сумка "Ferrum Group" для набора автомобилиста</v>
      </c>
      <c r="E119" s="87" t="str">
        <f>VLOOKUP($A119,'Выгр Кат'!$A:$R,E$1,0)</f>
        <v>Y</v>
      </c>
      <c r="F119" s="87" t="str">
        <f>VLOOKUP($A119,'Выгр Кат'!$A:$R,F$1,0)</f>
        <v>0</v>
      </c>
      <c r="G119" s="9"/>
      <c r="H119" s="9"/>
      <c r="I119" s="39">
        <f t="shared" si="85"/>
        <v>0</v>
      </c>
      <c r="J119" s="21"/>
      <c r="K119" s="21"/>
      <c r="L119" s="11" t="e">
        <f t="shared" si="43"/>
        <v>#DIV/0!</v>
      </c>
      <c r="M119" s="132" t="e">
        <f t="shared" si="38"/>
        <v>#DIV/0!</v>
      </c>
      <c r="N119" s="198">
        <f t="shared" ref="N119:N148" si="87">Q119</f>
        <v>1090</v>
      </c>
      <c r="O119" s="190">
        <f t="shared" si="45"/>
        <v>1090</v>
      </c>
      <c r="P119" s="87">
        <f>VLOOKUP($A119,'Выгр Кат'!$A:$R,P$1,0)</f>
        <v>0</v>
      </c>
      <c r="Q119" s="87">
        <f>VLOOKUP($A119,'Выгр Кат'!$A:$R,Q$1,0)</f>
        <v>1090</v>
      </c>
      <c r="R119" s="94">
        <f t="shared" si="36"/>
        <v>0</v>
      </c>
      <c r="S119" s="94">
        <f t="shared" si="37"/>
        <v>0</v>
      </c>
      <c r="T119" s="20">
        <f t="shared" si="80"/>
        <v>1013.6999999999999</v>
      </c>
      <c r="U119" s="209" t="str">
        <f>IFERROR(VLOOKUP($A119,'Из ГУГЛа'!$B:$G,6,0)*V119,VLOOKUP($A119,'Из ГУГЛа'!$B:$G,6,0))</f>
        <v/>
      </c>
      <c r="V119" s="75">
        <v>1</v>
      </c>
      <c r="W119" s="83" t="str">
        <f t="shared" si="46"/>
        <v/>
      </c>
      <c r="X119" s="83" t="str">
        <f t="shared" si="47"/>
        <v/>
      </c>
      <c r="Y119" s="83" t="str">
        <f t="shared" si="48"/>
        <v/>
      </c>
      <c r="Z119" s="47"/>
    </row>
    <row r="120" spans="1:26" ht="30">
      <c r="A120" s="41">
        <v>221518</v>
      </c>
      <c r="B120" s="87">
        <f>VLOOKUP($A120,'Выгр Кат'!$A:$R,B$1,0)</f>
        <v>23746</v>
      </c>
      <c r="C120" s="9"/>
      <c r="D120" s="86" t="str">
        <f>VLOOKUP($A120,'Выгр Кат'!$A:$R,D$1,0)</f>
        <v>Тюнинг комплект FG sport "Ferrum Group" для Лада Веста</v>
      </c>
      <c r="E120" s="87" t="str">
        <f>VLOOKUP($A120,'Выгр Кат'!$A:$R,E$1,0)</f>
        <v>Y</v>
      </c>
      <c r="F120" s="87" t="str">
        <f>VLOOKUP($A120,'Выгр Кат'!$A:$R,F$1,0)</f>
        <v>0</v>
      </c>
      <c r="G120" s="9"/>
      <c r="H120" s="9"/>
      <c r="I120" s="39">
        <f t="shared" si="85"/>
        <v>0</v>
      </c>
      <c r="J120" s="21"/>
      <c r="K120" s="21"/>
      <c r="L120" s="11" t="e">
        <f t="shared" si="43"/>
        <v>#DIV/0!</v>
      </c>
      <c r="M120" s="132" t="e">
        <f t="shared" si="38"/>
        <v>#DIV/0!</v>
      </c>
      <c r="N120" s="198">
        <f t="shared" si="87"/>
        <v>14590</v>
      </c>
      <c r="O120" s="190">
        <f t="shared" si="45"/>
        <v>14590</v>
      </c>
      <c r="P120" s="87">
        <f>VLOOKUP($A120,'Выгр Кат'!$A:$R,P$1,0)</f>
        <v>0</v>
      </c>
      <c r="Q120" s="87">
        <f>VLOOKUP($A120,'Выгр Кат'!$A:$R,Q$1,0)</f>
        <v>14590</v>
      </c>
      <c r="R120" s="94">
        <f t="shared" si="36"/>
        <v>0</v>
      </c>
      <c r="S120" s="94">
        <f t="shared" si="37"/>
        <v>0</v>
      </c>
      <c r="T120" s="20">
        <f t="shared" si="80"/>
        <v>13568.699999999999</v>
      </c>
      <c r="U120" s="209" t="str">
        <f>IFERROR(VLOOKUP($A120,'Из ГУГЛа'!$B:$G,6,0)*V120,VLOOKUP($A120,'Из ГУГЛа'!$B:$G,6,0))</f>
        <v/>
      </c>
      <c r="V120" s="75">
        <v>1</v>
      </c>
      <c r="W120" s="83" t="str">
        <f t="shared" si="46"/>
        <v/>
      </c>
      <c r="X120" s="83" t="str">
        <f t="shared" si="47"/>
        <v/>
      </c>
      <c r="Y120" s="83" t="str">
        <f t="shared" si="48"/>
        <v/>
      </c>
      <c r="Z120" s="47"/>
    </row>
    <row r="121" spans="1:26" ht="30">
      <c r="A121" s="41">
        <v>226786</v>
      </c>
      <c r="B121" s="87">
        <f>VLOOKUP($A121,'Выгр Кат'!$A:$R,B$1,0)</f>
        <v>24855</v>
      </c>
      <c r="C121" s="9"/>
      <c r="D121" s="86" t="str">
        <f>VLOOKUP($A121,'Выгр Кат'!$A:$R,D$1,0)</f>
        <v>Щиток комбинации приборов "Ferrum Group" для Лада Веста</v>
      </c>
      <c r="E121" s="87" t="str">
        <f>VLOOKUP($A121,'Выгр Кат'!$A:$R,E$1,0)</f>
        <v>Y</v>
      </c>
      <c r="F121" s="87" t="str">
        <f>VLOOKUP($A121,'Выгр Кат'!$A:$R,F$1,0)</f>
        <v>0</v>
      </c>
      <c r="G121" s="9"/>
      <c r="H121" s="9"/>
      <c r="I121" s="39">
        <f t="shared" si="85"/>
        <v>18000</v>
      </c>
      <c r="J121" s="21"/>
      <c r="K121" s="21"/>
      <c r="L121" s="11">
        <f t="shared" si="43"/>
        <v>0</v>
      </c>
      <c r="M121" s="132">
        <f t="shared" si="38"/>
        <v>1.1499999999999999</v>
      </c>
      <c r="N121" s="192">
        <f t="shared" ref="N121" si="88">I121*M121*100/93</f>
        <v>22258.064516129034</v>
      </c>
      <c r="O121" s="190">
        <f t="shared" si="45"/>
        <v>22290</v>
      </c>
      <c r="P121" s="87">
        <f>VLOOKUP($A121,'Выгр Кат'!$A:$R,P$1,0)</f>
        <v>18000</v>
      </c>
      <c r="Q121" s="87">
        <f>VLOOKUP($A121,'Выгр Кат'!$A:$R,Q$1,0)</f>
        <v>22290</v>
      </c>
      <c r="R121" s="94">
        <f t="shared" si="36"/>
        <v>0</v>
      </c>
      <c r="S121" s="94">
        <f t="shared" si="37"/>
        <v>0</v>
      </c>
      <c r="T121" s="20">
        <f t="shared" si="80"/>
        <v>20729.699999999997</v>
      </c>
      <c r="U121" s="209" t="str">
        <f>IFERROR(VLOOKUP($A121,'Из ГУГЛа'!$B:$G,6,0)*V121,VLOOKUP($A121,'Из ГУГЛа'!$B:$G,6,0))</f>
        <v/>
      </c>
      <c r="V121" s="75">
        <v>1</v>
      </c>
      <c r="W121" s="83">
        <f t="shared" si="46"/>
        <v>0.15164999999999984</v>
      </c>
      <c r="X121" s="83" t="str">
        <f t="shared" si="47"/>
        <v/>
      </c>
      <c r="Y121" s="83" t="str">
        <f t="shared" si="48"/>
        <v/>
      </c>
      <c r="Z121" s="47"/>
    </row>
    <row r="122" spans="1:26" ht="60">
      <c r="A122" s="41">
        <v>226983</v>
      </c>
      <c r="B122" s="87">
        <f>VLOOKUP($A122,'Выгр Кат'!$A:$R,B$1,0)</f>
        <v>7131</v>
      </c>
      <c r="C122" s="9"/>
      <c r="D122" s="86" t="str">
        <f>VLOOKUP($A122,'Выгр Кат'!$A:$R,D$1,0)</f>
        <v>Электронная комбинация приборов "Ferrum Group" GF 610 для ВАЗ (2108-21099, 2110-2112 (панель с/о), 2113-2115), Лада Нива 4х4, Шевроле Нива</v>
      </c>
      <c r="E122" s="87" t="str">
        <f>VLOOKUP($A122,'Выгр Кат'!$A:$R,E$1,0)</f>
        <v>Y</v>
      </c>
      <c r="F122" s="87" t="str">
        <f>VLOOKUP($A122,'Выгр Кат'!$A:$R,F$1,0)</f>
        <v>0</v>
      </c>
      <c r="G122" s="9"/>
      <c r="H122" s="9"/>
      <c r="I122" s="39">
        <f t="shared" si="85"/>
        <v>0</v>
      </c>
      <c r="J122" s="21"/>
      <c r="K122" s="21"/>
      <c r="L122" s="11" t="e">
        <f t="shared" si="43"/>
        <v>#DIV/0!</v>
      </c>
      <c r="M122" s="132" t="e">
        <f t="shared" si="38"/>
        <v>#DIV/0!</v>
      </c>
      <c r="N122" s="198">
        <f t="shared" si="87"/>
        <v>0</v>
      </c>
      <c r="O122" s="39">
        <f>Q122</f>
        <v>0</v>
      </c>
      <c r="P122" s="87">
        <f>VLOOKUP($A122,'Выгр Кат'!$A:$R,P$1,0)</f>
        <v>0</v>
      </c>
      <c r="Q122" s="87">
        <f>VLOOKUP($A122,'Выгр Кат'!$A:$R,Q$1,0)</f>
        <v>0</v>
      </c>
      <c r="R122" s="94">
        <f t="shared" si="36"/>
        <v>0</v>
      </c>
      <c r="S122" s="94">
        <f t="shared" si="37"/>
        <v>0</v>
      </c>
      <c r="T122" s="20">
        <f t="shared" si="80"/>
        <v>0</v>
      </c>
      <c r="U122" s="209" t="str">
        <f>IFERROR(VLOOKUP($A122,'Из ГУГЛа'!$B:$G,6,0)*V122,VLOOKUP($A122,'Из ГУГЛа'!$B:$G,6,0))</f>
        <v/>
      </c>
      <c r="V122" s="75">
        <v>1</v>
      </c>
      <c r="W122" s="83" t="str">
        <f t="shared" si="46"/>
        <v/>
      </c>
      <c r="X122" s="83" t="str">
        <f t="shared" si="47"/>
        <v/>
      </c>
      <c r="Y122" s="83" t="str">
        <f t="shared" si="48"/>
        <v/>
      </c>
      <c r="Z122" s="47"/>
    </row>
    <row r="123" spans="1:26" ht="60">
      <c r="A123" s="41">
        <v>226984</v>
      </c>
      <c r="B123" s="87">
        <f>VLOOKUP($A123,'Выгр Кат'!$A:$R,B$1,0)</f>
        <v>7130</v>
      </c>
      <c r="C123" s="9"/>
      <c r="D123" s="86" t="str">
        <f>VLOOKUP($A123,'Выгр Кат'!$A:$R,D$1,0)</f>
        <v>Электронная комбинация приборов "Ferrum Group" GF 610SL для ВАЗ (2108-21099, 2110-2112 (панель с/о), 2113-2115), Лада Нива 4х4, Шевроле Нива</v>
      </c>
      <c r="E123" s="87" t="str">
        <f>VLOOKUP($A123,'Выгр Кат'!$A:$R,E$1,0)</f>
        <v>Y</v>
      </c>
      <c r="F123" s="87" t="str">
        <f>VLOOKUP($A123,'Выгр Кат'!$A:$R,F$1,0)</f>
        <v>0</v>
      </c>
      <c r="G123" s="9"/>
      <c r="H123" s="9"/>
      <c r="I123" s="39">
        <f t="shared" si="85"/>
        <v>0</v>
      </c>
      <c r="J123" s="21"/>
      <c r="K123" s="21"/>
      <c r="L123" s="11" t="e">
        <f t="shared" si="43"/>
        <v>#DIV/0!</v>
      </c>
      <c r="M123" s="132" t="e">
        <f t="shared" si="38"/>
        <v>#DIV/0!</v>
      </c>
      <c r="N123" s="198">
        <f t="shared" si="87"/>
        <v>14490</v>
      </c>
      <c r="O123" s="190">
        <f t="shared" ref="O123:O124" si="89">IF(N123&lt;=1000,(ROUNDUP(N123,-1)-1),(ROUNDUP(N123,-2)-10))</f>
        <v>14490</v>
      </c>
      <c r="P123" s="87">
        <f>VLOOKUP($A123,'Выгр Кат'!$A:$R,P$1,0)</f>
        <v>0</v>
      </c>
      <c r="Q123" s="87">
        <f>VLOOKUP($A123,'Выгр Кат'!$A:$R,Q$1,0)</f>
        <v>14490</v>
      </c>
      <c r="R123" s="94">
        <f t="shared" si="36"/>
        <v>0</v>
      </c>
      <c r="S123" s="94">
        <f t="shared" si="37"/>
        <v>0</v>
      </c>
      <c r="T123" s="20">
        <f t="shared" si="80"/>
        <v>13475.699999999999</v>
      </c>
      <c r="U123" s="209" t="str">
        <f>IFERROR(VLOOKUP($A123,'Из ГУГЛа'!$B:$G,6,0)*V123,VLOOKUP($A123,'Из ГУГЛа'!$B:$G,6,0))</f>
        <v/>
      </c>
      <c r="V123" s="75">
        <v>1</v>
      </c>
      <c r="W123" s="83" t="str">
        <f t="shared" si="46"/>
        <v/>
      </c>
      <c r="X123" s="83" t="str">
        <f t="shared" si="47"/>
        <v/>
      </c>
      <c r="Y123" s="83" t="str">
        <f t="shared" si="48"/>
        <v/>
      </c>
      <c r="Z123" s="47"/>
    </row>
    <row r="124" spans="1:26" ht="45">
      <c r="A124" s="41">
        <v>226985</v>
      </c>
      <c r="B124" s="87">
        <f>VLOOKUP($A124,'Выгр Кат'!$A:$R,B$1,0)</f>
        <v>7150</v>
      </c>
      <c r="C124" s="9"/>
      <c r="D124" s="86" t="str">
        <f>VLOOKUP($A124,'Выгр Кат'!$A:$R,D$1,0)</f>
        <v>Электронная комбинация приборов "Ferrum Group" GF 614 для Лада Нива 4х4 (инжекторный двигатель)</v>
      </c>
      <c r="E124" s="87" t="str">
        <f>VLOOKUP($A124,'Выгр Кат'!$A:$R,E$1,0)</f>
        <v>Y</v>
      </c>
      <c r="F124" s="87" t="str">
        <f>VLOOKUP($A124,'Выгр Кат'!$A:$R,F$1,0)</f>
        <v>0</v>
      </c>
      <c r="G124" s="9"/>
      <c r="H124" s="9"/>
      <c r="I124" s="39">
        <f t="shared" si="85"/>
        <v>17075</v>
      </c>
      <c r="J124" s="21"/>
      <c r="K124" s="21"/>
      <c r="L124" s="11">
        <f t="shared" si="43"/>
        <v>0</v>
      </c>
      <c r="M124" s="132">
        <f t="shared" si="38"/>
        <v>1.1499999999999999</v>
      </c>
      <c r="N124" s="192">
        <f t="shared" ref="N124" si="90">I124*M124*100/93</f>
        <v>21114.247311827956</v>
      </c>
      <c r="O124" s="190">
        <f t="shared" si="89"/>
        <v>21190</v>
      </c>
      <c r="P124" s="87">
        <f>VLOOKUP($A124,'Выгр Кат'!$A:$R,P$1,0)</f>
        <v>17075</v>
      </c>
      <c r="Q124" s="87">
        <f>VLOOKUP($A124,'Выгр Кат'!$A:$R,Q$1,0)</f>
        <v>21190</v>
      </c>
      <c r="R124" s="94">
        <f t="shared" si="36"/>
        <v>0</v>
      </c>
      <c r="S124" s="94">
        <f t="shared" si="37"/>
        <v>0</v>
      </c>
      <c r="T124" s="20">
        <f t="shared" si="80"/>
        <v>19706.699999999997</v>
      </c>
      <c r="U124" s="209" t="str">
        <f>IFERROR(VLOOKUP($A124,'Из ГУГЛа'!$B:$G,6,0)*V124,VLOOKUP($A124,'Из ГУГЛа'!$B:$G,6,0))</f>
        <v/>
      </c>
      <c r="V124" s="75">
        <v>1</v>
      </c>
      <c r="W124" s="83">
        <f t="shared" si="46"/>
        <v>0.15412591508052698</v>
      </c>
      <c r="X124" s="83" t="str">
        <f t="shared" si="47"/>
        <v/>
      </c>
      <c r="Y124" s="83" t="str">
        <f t="shared" si="48"/>
        <v/>
      </c>
      <c r="Z124" s="47"/>
    </row>
    <row r="125" spans="1:26" ht="45">
      <c r="A125" s="41">
        <v>226986</v>
      </c>
      <c r="B125" s="87">
        <f>VLOOKUP($A125,'Выгр Кат'!$A:$R,B$1,0)</f>
        <v>7110</v>
      </c>
      <c r="C125" s="9"/>
      <c r="D125" s="86" t="str">
        <f>VLOOKUP($A125,'Выгр Кат'!$A:$R,D$1,0)</f>
        <v>Электронная комбинация приборов "Ferrum Group" GF 617 SL для ВАЗ 2110-12 (европанель), Лада (Калина, Приора)</v>
      </c>
      <c r="E125" s="87" t="str">
        <f>VLOOKUP($A125,'Выгр Кат'!$A:$R,E$1,0)</f>
        <v>Y</v>
      </c>
      <c r="F125" s="87" t="str">
        <f>VLOOKUP($A125,'Выгр Кат'!$A:$R,F$1,0)</f>
        <v>0</v>
      </c>
      <c r="G125" s="9"/>
      <c r="H125" s="9"/>
      <c r="I125" s="39">
        <f t="shared" si="85"/>
        <v>0</v>
      </c>
      <c r="J125" s="21"/>
      <c r="K125" s="21"/>
      <c r="L125" s="11" t="e">
        <f t="shared" si="43"/>
        <v>#DIV/0!</v>
      </c>
      <c r="M125" s="132" t="e">
        <f t="shared" si="38"/>
        <v>#DIV/0!</v>
      </c>
      <c r="N125" s="198">
        <f t="shared" si="87"/>
        <v>0</v>
      </c>
      <c r="O125" s="39">
        <f>Q125</f>
        <v>0</v>
      </c>
      <c r="P125" s="87">
        <f>VLOOKUP($A125,'Выгр Кат'!$A:$R,P$1,0)</f>
        <v>0</v>
      </c>
      <c r="Q125" s="87">
        <f>VLOOKUP($A125,'Выгр Кат'!$A:$R,Q$1,0)</f>
        <v>0</v>
      </c>
      <c r="R125" s="94">
        <f t="shared" si="36"/>
        <v>0</v>
      </c>
      <c r="S125" s="94">
        <f t="shared" si="37"/>
        <v>0</v>
      </c>
      <c r="T125" s="20">
        <f t="shared" si="80"/>
        <v>0</v>
      </c>
      <c r="U125" s="209" t="str">
        <f>IFERROR(VLOOKUP($A125,'Из ГУГЛа'!$B:$G,6,0)*V125,VLOOKUP($A125,'Из ГУГЛа'!$B:$G,6,0))</f>
        <v/>
      </c>
      <c r="V125" s="75">
        <v>1</v>
      </c>
      <c r="W125" s="83" t="str">
        <f t="shared" si="46"/>
        <v/>
      </c>
      <c r="X125" s="83" t="str">
        <f t="shared" si="47"/>
        <v/>
      </c>
      <c r="Y125" s="83" t="str">
        <f t="shared" si="48"/>
        <v/>
      </c>
      <c r="Z125" s="47"/>
    </row>
    <row r="126" spans="1:26" ht="45">
      <c r="A126" s="41">
        <v>226987</v>
      </c>
      <c r="B126" s="87">
        <f>VLOOKUP($A126,'Выгр Кат'!$A:$R,B$1,0)</f>
        <v>7111</v>
      </c>
      <c r="C126" s="9"/>
      <c r="D126" s="86" t="str">
        <f>VLOOKUP($A126,'Выгр Кат'!$A:$R,D$1,0)</f>
        <v>Электронная комбинация приборов "Ferrum Group" GF 617 для ВАЗ 2110-2112 (европанель), Лада (Калина, Приора)</v>
      </c>
      <c r="E126" s="87" t="str">
        <f>VLOOKUP($A126,'Выгр Кат'!$A:$R,E$1,0)</f>
        <v>Y</v>
      </c>
      <c r="F126" s="87" t="str">
        <f>VLOOKUP($A126,'Выгр Кат'!$A:$R,F$1,0)</f>
        <v>0</v>
      </c>
      <c r="G126" s="9"/>
      <c r="H126" s="9"/>
      <c r="I126" s="39">
        <f t="shared" si="85"/>
        <v>0</v>
      </c>
      <c r="J126" s="21"/>
      <c r="K126" s="21"/>
      <c r="L126" s="11" t="e">
        <f t="shared" si="43"/>
        <v>#DIV/0!</v>
      </c>
      <c r="M126" s="132" t="e">
        <f t="shared" si="38"/>
        <v>#DIV/0!</v>
      </c>
      <c r="N126" s="198">
        <f t="shared" si="87"/>
        <v>0</v>
      </c>
      <c r="O126" s="39">
        <f>Q126</f>
        <v>0</v>
      </c>
      <c r="P126" s="87">
        <f>VLOOKUP($A126,'Выгр Кат'!$A:$R,P$1,0)</f>
        <v>0</v>
      </c>
      <c r="Q126" s="87">
        <f>VLOOKUP($A126,'Выгр Кат'!$A:$R,Q$1,0)</f>
        <v>0</v>
      </c>
      <c r="R126" s="94">
        <f t="shared" si="36"/>
        <v>0</v>
      </c>
      <c r="S126" s="94">
        <f t="shared" si="37"/>
        <v>0</v>
      </c>
      <c r="T126" s="20">
        <f t="shared" si="80"/>
        <v>0</v>
      </c>
      <c r="U126" s="209" t="str">
        <f>IFERROR(VLOOKUP($A126,'Из ГУГЛа'!$B:$G,6,0)*V126,VLOOKUP($A126,'Из ГУГЛа'!$B:$G,6,0))</f>
        <v/>
      </c>
      <c r="V126" s="75">
        <v>1</v>
      </c>
      <c r="W126" s="83" t="str">
        <f t="shared" si="46"/>
        <v/>
      </c>
      <c r="X126" s="83" t="str">
        <f t="shared" si="47"/>
        <v/>
      </c>
      <c r="Y126" s="83" t="str">
        <f t="shared" si="48"/>
        <v/>
      </c>
      <c r="Z126" s="47"/>
    </row>
    <row r="127" spans="1:26" ht="45">
      <c r="A127" s="41">
        <v>226988</v>
      </c>
      <c r="B127" s="87">
        <f>VLOOKUP($A127,'Выгр Кат'!$A:$R,B$1,0)</f>
        <v>7128</v>
      </c>
      <c r="C127" s="9"/>
      <c r="D127" s="86" t="str">
        <f>VLOOKUP($A127,'Выгр Кат'!$A:$R,D$1,0)</f>
        <v>Электронная комбинация приборов "Ferrum Group" GF 625 black для ВАЗ 2110-2112, 2113-2115</v>
      </c>
      <c r="E127" s="87" t="str">
        <f>VLOOKUP($A127,'Выгр Кат'!$A:$R,E$1,0)</f>
        <v>Y</v>
      </c>
      <c r="F127" s="87" t="str">
        <f>VLOOKUP($A127,'Выгр Кат'!$A:$R,F$1,0)</f>
        <v>0</v>
      </c>
      <c r="G127" s="9"/>
      <c r="H127" s="9"/>
      <c r="I127" s="39">
        <f t="shared" si="85"/>
        <v>0</v>
      </c>
      <c r="J127" s="21"/>
      <c r="K127" s="21"/>
      <c r="L127" s="11" t="e">
        <f t="shared" si="43"/>
        <v>#DIV/0!</v>
      </c>
      <c r="M127" s="132" t="e">
        <f t="shared" si="38"/>
        <v>#DIV/0!</v>
      </c>
      <c r="N127" s="198">
        <f t="shared" si="87"/>
        <v>14490</v>
      </c>
      <c r="O127" s="190">
        <f t="shared" ref="O127:O136" si="91">IF(N127&lt;=1000,(ROUNDUP(N127,-1)-1),(ROUNDUP(N127,-2)-10))</f>
        <v>14490</v>
      </c>
      <c r="P127" s="87">
        <f>VLOOKUP($A127,'Выгр Кат'!$A:$R,P$1,0)</f>
        <v>0</v>
      </c>
      <c r="Q127" s="87">
        <f>VLOOKUP($A127,'Выгр Кат'!$A:$R,Q$1,0)</f>
        <v>14490</v>
      </c>
      <c r="R127" s="94">
        <f t="shared" ref="R127:R148" si="92">P127-I127</f>
        <v>0</v>
      </c>
      <c r="S127" s="94">
        <f t="shared" ref="S127:S148" si="93">Q127-O127</f>
        <v>0</v>
      </c>
      <c r="T127" s="20">
        <f t="shared" si="80"/>
        <v>13475.699999999999</v>
      </c>
      <c r="U127" s="209" t="str">
        <f>IFERROR(VLOOKUP($A127,'Из ГУГЛа'!$B:$G,6,0)*V127,VLOOKUP($A127,'Из ГУГЛа'!$B:$G,6,0))</f>
        <v/>
      </c>
      <c r="V127" s="75">
        <v>1</v>
      </c>
      <c r="W127" s="83" t="str">
        <f t="shared" si="46"/>
        <v/>
      </c>
      <c r="X127" s="83" t="str">
        <f t="shared" si="47"/>
        <v/>
      </c>
      <c r="Y127" s="83" t="str">
        <f t="shared" si="48"/>
        <v/>
      </c>
      <c r="Z127" s="47"/>
    </row>
    <row r="128" spans="1:26" ht="45">
      <c r="A128" s="41">
        <v>226989</v>
      </c>
      <c r="B128" s="87">
        <f>VLOOKUP($A128,'Выгр Кат'!$A:$R,B$1,0)</f>
        <v>7127</v>
      </c>
      <c r="C128" s="9"/>
      <c r="D128" s="86" t="str">
        <f>VLOOKUP($A128,'Выгр Кат'!$A:$R,D$1,0)</f>
        <v>Электронная комбинация приборов "Ferrum Group" GF 625 silver для ВАЗ (2110-2112 (панель с/о), 2113-2115), Шевроле Нива</v>
      </c>
      <c r="E128" s="87" t="str">
        <f>VLOOKUP($A128,'Выгр Кат'!$A:$R,E$1,0)</f>
        <v>Y</v>
      </c>
      <c r="F128" s="87" t="str">
        <f>VLOOKUP($A128,'Выгр Кат'!$A:$R,F$1,0)</f>
        <v>0</v>
      </c>
      <c r="G128" s="9"/>
      <c r="H128" s="9"/>
      <c r="I128" s="39">
        <f t="shared" si="85"/>
        <v>0</v>
      </c>
      <c r="J128" s="21"/>
      <c r="K128" s="21"/>
      <c r="L128" s="11" t="e">
        <f t="shared" si="43"/>
        <v>#DIV/0!</v>
      </c>
      <c r="M128" s="132" t="e">
        <f t="shared" si="38"/>
        <v>#DIV/0!</v>
      </c>
      <c r="N128" s="198">
        <f t="shared" si="87"/>
        <v>11690</v>
      </c>
      <c r="O128" s="190">
        <f t="shared" si="91"/>
        <v>11690</v>
      </c>
      <c r="P128" s="87">
        <f>VLOOKUP($A128,'Выгр Кат'!$A:$R,P$1,0)</f>
        <v>0</v>
      </c>
      <c r="Q128" s="87">
        <f>VLOOKUP($A128,'Выгр Кат'!$A:$R,Q$1,0)</f>
        <v>11690</v>
      </c>
      <c r="R128" s="94">
        <f t="shared" si="92"/>
        <v>0</v>
      </c>
      <c r="S128" s="94">
        <f t="shared" si="93"/>
        <v>0</v>
      </c>
      <c r="T128" s="20">
        <f t="shared" si="80"/>
        <v>10871.699999999999</v>
      </c>
      <c r="U128" s="209" t="str">
        <f>IFERROR(VLOOKUP($A128,'Из ГУГЛа'!$B:$G,6,0)*V128,VLOOKUP($A128,'Из ГУГЛа'!$B:$G,6,0))</f>
        <v/>
      </c>
      <c r="V128" s="75">
        <v>1</v>
      </c>
      <c r="W128" s="83" t="str">
        <f t="shared" si="46"/>
        <v/>
      </c>
      <c r="X128" s="83" t="str">
        <f t="shared" si="47"/>
        <v/>
      </c>
      <c r="Y128" s="83" t="str">
        <f t="shared" si="48"/>
        <v/>
      </c>
      <c r="Z128" s="47"/>
    </row>
    <row r="129" spans="1:26" ht="30">
      <c r="A129" s="41">
        <v>226990</v>
      </c>
      <c r="B129" s="87">
        <f>VLOOKUP($A129,'Выгр Кат'!$A:$R,B$1,0)</f>
        <v>7147</v>
      </c>
      <c r="C129" s="9"/>
      <c r="D129" s="86" t="str">
        <f>VLOOKUP($A129,'Выгр Кат'!$A:$R,D$1,0)</f>
        <v>Электронная комбинация приборов "Ferrum Group" GF 625 для Шевроле Нива</v>
      </c>
      <c r="E129" s="87" t="str">
        <f>VLOOKUP($A129,'Выгр Кат'!$A:$R,E$1,0)</f>
        <v>Y</v>
      </c>
      <c r="F129" s="87" t="str">
        <f>VLOOKUP($A129,'Выгр Кат'!$A:$R,F$1,0)</f>
        <v>0</v>
      </c>
      <c r="G129" s="9"/>
      <c r="H129" s="9"/>
      <c r="I129" s="39">
        <f t="shared" si="85"/>
        <v>0</v>
      </c>
      <c r="J129" s="21"/>
      <c r="K129" s="21"/>
      <c r="L129" s="11" t="e">
        <f t="shared" si="43"/>
        <v>#DIV/0!</v>
      </c>
      <c r="M129" s="132" t="e">
        <f t="shared" si="38"/>
        <v>#DIV/0!</v>
      </c>
      <c r="N129" s="198">
        <f t="shared" si="87"/>
        <v>11190</v>
      </c>
      <c r="O129" s="190">
        <f t="shared" si="91"/>
        <v>11190</v>
      </c>
      <c r="P129" s="87">
        <f>VLOOKUP($A129,'Выгр Кат'!$A:$R,P$1,0)</f>
        <v>0</v>
      </c>
      <c r="Q129" s="87">
        <f>VLOOKUP($A129,'Выгр Кат'!$A:$R,Q$1,0)</f>
        <v>11190</v>
      </c>
      <c r="R129" s="94">
        <f t="shared" si="92"/>
        <v>0</v>
      </c>
      <c r="S129" s="94">
        <f t="shared" si="93"/>
        <v>0</v>
      </c>
      <c r="T129" s="20">
        <f t="shared" si="80"/>
        <v>10406.699999999999</v>
      </c>
      <c r="U129" s="209" t="str">
        <f>IFERROR(VLOOKUP($A129,'Из ГУГЛа'!$B:$G,6,0)*V129,VLOOKUP($A129,'Из ГУГЛа'!$B:$G,6,0))</f>
        <v/>
      </c>
      <c r="V129" s="75">
        <v>1</v>
      </c>
      <c r="W129" s="83" t="str">
        <f t="shared" si="46"/>
        <v/>
      </c>
      <c r="X129" s="83" t="str">
        <f t="shared" si="47"/>
        <v/>
      </c>
      <c r="Y129" s="83" t="str">
        <f t="shared" si="48"/>
        <v/>
      </c>
      <c r="Z129" s="47"/>
    </row>
    <row r="130" spans="1:26" ht="30">
      <c r="A130" s="41">
        <v>226992</v>
      </c>
      <c r="B130" s="87">
        <f>VLOOKUP($A130,'Выгр Кат'!$A:$R,B$1,0)</f>
        <v>7157</v>
      </c>
      <c r="C130" s="9"/>
      <c r="D130" s="86" t="str">
        <f>VLOOKUP($A130,'Выгр Кат'!$A:$R,D$1,0)</f>
        <v>Электронная комбинация приборов "Ferrum Group" GF 642 для ЗАЗ Sens, Chevrolet Lanos</v>
      </c>
      <c r="E130" s="87" t="str">
        <f>VLOOKUP($A130,'Выгр Кат'!$A:$R,E$1,0)</f>
        <v>Y</v>
      </c>
      <c r="F130" s="87" t="str">
        <f>VLOOKUP($A130,'Выгр Кат'!$A:$R,F$1,0)</f>
        <v>0</v>
      </c>
      <c r="G130" s="9"/>
      <c r="H130" s="9"/>
      <c r="I130" s="39">
        <f t="shared" si="85"/>
        <v>0</v>
      </c>
      <c r="J130" s="21"/>
      <c r="K130" s="21"/>
      <c r="L130" s="11" t="e">
        <f t="shared" si="43"/>
        <v>#DIV/0!</v>
      </c>
      <c r="M130" s="132" t="e">
        <f t="shared" si="38"/>
        <v>#DIV/0!</v>
      </c>
      <c r="N130" s="198">
        <f t="shared" si="87"/>
        <v>7190</v>
      </c>
      <c r="O130" s="190">
        <f t="shared" si="91"/>
        <v>7190</v>
      </c>
      <c r="P130" s="87">
        <f>VLOOKUP($A130,'Выгр Кат'!$A:$R,P$1,0)</f>
        <v>0</v>
      </c>
      <c r="Q130" s="87">
        <f>VLOOKUP($A130,'Выгр Кат'!$A:$R,Q$1,0)</f>
        <v>7190</v>
      </c>
      <c r="R130" s="94">
        <f t="shared" si="92"/>
        <v>0</v>
      </c>
      <c r="S130" s="94">
        <f t="shared" si="93"/>
        <v>0</v>
      </c>
      <c r="T130" s="20">
        <f t="shared" ref="T130:T148" si="94">O130*(1-$T$2)</f>
        <v>6686.7</v>
      </c>
      <c r="U130" s="209" t="str">
        <f>IFERROR(VLOOKUP($A130,'Из ГУГЛа'!$B:$G,6,0)*V130,VLOOKUP($A130,'Из ГУГЛа'!$B:$G,6,0))</f>
        <v/>
      </c>
      <c r="V130" s="75">
        <v>1</v>
      </c>
      <c r="W130" s="83" t="str">
        <f t="shared" si="46"/>
        <v/>
      </c>
      <c r="X130" s="83" t="str">
        <f t="shared" si="47"/>
        <v/>
      </c>
      <c r="Y130" s="83" t="str">
        <f t="shared" si="48"/>
        <v/>
      </c>
      <c r="Z130" s="47"/>
    </row>
    <row r="131" spans="1:26" ht="30">
      <c r="A131" s="41">
        <v>226993</v>
      </c>
      <c r="B131" s="87">
        <f>VLOOKUP($A131,'Выгр Кат'!$A:$R,B$1,0)</f>
        <v>7156</v>
      </c>
      <c r="C131" s="9"/>
      <c r="D131" s="86" t="str">
        <f>VLOOKUP($A131,'Выгр Кат'!$A:$R,D$1,0)</f>
        <v>Электронная комбинация приборов "Ferrum Group" GF 643 для ЗАЗ Sens, Chevrolet Lanos</v>
      </c>
      <c r="E131" s="87" t="str">
        <f>VLOOKUP($A131,'Выгр Кат'!$A:$R,E$1,0)</f>
        <v>Y</v>
      </c>
      <c r="F131" s="87" t="str">
        <f>VLOOKUP($A131,'Выгр Кат'!$A:$R,F$1,0)</f>
        <v>0</v>
      </c>
      <c r="G131" s="9"/>
      <c r="H131" s="9"/>
      <c r="I131" s="39">
        <f t="shared" si="85"/>
        <v>0</v>
      </c>
      <c r="J131" s="21"/>
      <c r="K131" s="21"/>
      <c r="L131" s="11" t="e">
        <f t="shared" si="43"/>
        <v>#DIV/0!</v>
      </c>
      <c r="M131" s="132" t="e">
        <f t="shared" ref="M131:M148" si="95">IF(L131&lt;=$M$1,$M$1,L131)</f>
        <v>#DIV/0!</v>
      </c>
      <c r="N131" s="198">
        <f t="shared" si="87"/>
        <v>6190</v>
      </c>
      <c r="O131" s="190">
        <f t="shared" si="91"/>
        <v>6190</v>
      </c>
      <c r="P131" s="87">
        <f>VLOOKUP($A131,'Выгр Кат'!$A:$R,P$1,0)</f>
        <v>0</v>
      </c>
      <c r="Q131" s="87">
        <f>VLOOKUP($A131,'Выгр Кат'!$A:$R,Q$1,0)</f>
        <v>6190</v>
      </c>
      <c r="R131" s="94">
        <f t="shared" si="92"/>
        <v>0</v>
      </c>
      <c r="S131" s="94">
        <f t="shared" si="93"/>
        <v>0</v>
      </c>
      <c r="T131" s="20">
        <f t="shared" si="94"/>
        <v>5756.7</v>
      </c>
      <c r="U131" s="209" t="str">
        <f>IFERROR(VLOOKUP($A131,'Из ГУГЛа'!$B:$G,6,0)*V131,VLOOKUP($A131,'Из ГУГЛа'!$B:$G,6,0))</f>
        <v/>
      </c>
      <c r="V131" s="75">
        <v>1</v>
      </c>
      <c r="W131" s="83" t="str">
        <f t="shared" si="46"/>
        <v/>
      </c>
      <c r="X131" s="83" t="str">
        <f t="shared" si="47"/>
        <v/>
      </c>
      <c r="Y131" s="83" t="str">
        <f t="shared" si="48"/>
        <v/>
      </c>
      <c r="Z131" s="47"/>
    </row>
    <row r="132" spans="1:26" ht="30">
      <c r="A132" s="41">
        <v>226994</v>
      </c>
      <c r="B132" s="87">
        <f>VLOOKUP($A132,'Выгр Кат'!$A:$R,B$1,0)</f>
        <v>7154</v>
      </c>
      <c r="C132" s="9"/>
      <c r="D132" s="86" t="str">
        <f>VLOOKUP($A132,'Выгр Кат'!$A:$R,D$1,0)</f>
        <v>Электронная комбинация приборов "Ferrum Group" GF 645 для Chevrolet Lacetti</v>
      </c>
      <c r="E132" s="87" t="str">
        <f>VLOOKUP($A132,'Выгр Кат'!$A:$R,E$1,0)</f>
        <v>Y</v>
      </c>
      <c r="F132" s="87" t="str">
        <f>VLOOKUP($A132,'Выгр Кат'!$A:$R,F$1,0)</f>
        <v>0</v>
      </c>
      <c r="G132" s="9"/>
      <c r="H132" s="9"/>
      <c r="I132" s="39">
        <f t="shared" si="85"/>
        <v>0</v>
      </c>
      <c r="J132" s="21"/>
      <c r="K132" s="21"/>
      <c r="L132" s="11" t="e">
        <f t="shared" si="43"/>
        <v>#DIV/0!</v>
      </c>
      <c r="M132" s="132" t="e">
        <f t="shared" si="95"/>
        <v>#DIV/0!</v>
      </c>
      <c r="N132" s="198">
        <f t="shared" si="87"/>
        <v>13390</v>
      </c>
      <c r="O132" s="190">
        <f t="shared" si="91"/>
        <v>13390</v>
      </c>
      <c r="P132" s="87">
        <f>VLOOKUP($A132,'Выгр Кат'!$A:$R,P$1,0)</f>
        <v>0</v>
      </c>
      <c r="Q132" s="87">
        <f>VLOOKUP($A132,'Выгр Кат'!$A:$R,Q$1,0)</f>
        <v>13390</v>
      </c>
      <c r="R132" s="94">
        <f t="shared" si="92"/>
        <v>0</v>
      </c>
      <c r="S132" s="94">
        <f t="shared" si="93"/>
        <v>0</v>
      </c>
      <c r="T132" s="20">
        <f t="shared" si="94"/>
        <v>12452.699999999999</v>
      </c>
      <c r="U132" s="209" t="str">
        <f>IFERROR(VLOOKUP($A132,'Из ГУГЛа'!$B:$G,6,0)*V132,VLOOKUP($A132,'Из ГУГЛа'!$B:$G,6,0))</f>
        <v/>
      </c>
      <c r="V132" s="75">
        <v>1</v>
      </c>
      <c r="W132" s="83" t="str">
        <f t="shared" si="46"/>
        <v/>
      </c>
      <c r="X132" s="83" t="str">
        <f t="shared" si="47"/>
        <v/>
      </c>
      <c r="Y132" s="83" t="str">
        <f t="shared" si="48"/>
        <v/>
      </c>
      <c r="Z132" s="47"/>
    </row>
    <row r="133" spans="1:26" ht="30">
      <c r="A133" s="41">
        <v>226928</v>
      </c>
      <c r="B133" s="87">
        <f>VLOOKUP($A133,'Выгр Кат'!$A:$R,B$1,0)</f>
        <v>15567</v>
      </c>
      <c r="C133" s="9"/>
      <c r="D133" s="86" t="str">
        <f>VLOOKUP($A133,'Выгр Кат'!$A:$R,D$1,0)</f>
        <v>Электронная комбинация приборов "Ferrum Group" GF 683 для ВАЗ 2108-21099</v>
      </c>
      <c r="E133" s="87" t="str">
        <f>VLOOKUP($A133,'Выгр Кат'!$A:$R,E$1,0)</f>
        <v>Y</v>
      </c>
      <c r="F133" s="87" t="str">
        <f>VLOOKUP($A133,'Выгр Кат'!$A:$R,F$1,0)</f>
        <v>0</v>
      </c>
      <c r="G133" s="9"/>
      <c r="H133" s="9"/>
      <c r="I133" s="39">
        <f t="shared" si="85"/>
        <v>0</v>
      </c>
      <c r="J133" s="21"/>
      <c r="K133" s="21"/>
      <c r="L133" s="11" t="e">
        <f t="shared" si="43"/>
        <v>#DIV/0!</v>
      </c>
      <c r="M133" s="132" t="e">
        <f t="shared" si="95"/>
        <v>#DIV/0!</v>
      </c>
      <c r="N133" s="198">
        <f t="shared" si="87"/>
        <v>23190</v>
      </c>
      <c r="O133" s="190">
        <f t="shared" si="91"/>
        <v>23190</v>
      </c>
      <c r="P133" s="87">
        <f>VLOOKUP($A133,'Выгр Кат'!$A:$R,P$1,0)</f>
        <v>0</v>
      </c>
      <c r="Q133" s="87">
        <f>VLOOKUP($A133,'Выгр Кат'!$A:$R,Q$1,0)</f>
        <v>23190</v>
      </c>
      <c r="R133" s="94">
        <f t="shared" si="92"/>
        <v>0</v>
      </c>
      <c r="S133" s="94">
        <f t="shared" si="93"/>
        <v>0</v>
      </c>
      <c r="T133" s="20">
        <f t="shared" si="94"/>
        <v>21566.699999999997</v>
      </c>
      <c r="U133" s="209" t="str">
        <f>IFERROR(VLOOKUP($A133,'Из ГУГЛа'!$B:$G,6,0)*V133,VLOOKUP($A133,'Из ГУГЛа'!$B:$G,6,0))</f>
        <v/>
      </c>
      <c r="V133" s="75">
        <v>1</v>
      </c>
      <c r="W133" s="83" t="str">
        <f t="shared" si="46"/>
        <v/>
      </c>
      <c r="X133" s="83" t="str">
        <f t="shared" si="47"/>
        <v/>
      </c>
      <c r="Y133" s="83" t="str">
        <f t="shared" si="48"/>
        <v/>
      </c>
      <c r="Z133" s="47"/>
    </row>
    <row r="134" spans="1:26" ht="45">
      <c r="A134" s="41">
        <v>226995</v>
      </c>
      <c r="B134" s="87">
        <f>VLOOKUP($A134,'Выгр Кат'!$A:$R,B$1,0)</f>
        <v>7158</v>
      </c>
      <c r="C134" s="9"/>
      <c r="D134" s="86" t="str">
        <f>VLOOKUP($A134,'Выгр Кат'!$A:$R,D$1,0)</f>
        <v>Электронная комбинация приборов "Ferrum Group" GF 690 для Лада Ларгус, Renault (Logan, Sandero)</v>
      </c>
      <c r="E134" s="87" t="str">
        <f>VLOOKUP($A134,'Выгр Кат'!$A:$R,E$1,0)</f>
        <v>Y</v>
      </c>
      <c r="F134" s="87" t="str">
        <f>VLOOKUP($A134,'Выгр Кат'!$A:$R,F$1,0)</f>
        <v>0</v>
      </c>
      <c r="G134" s="9"/>
      <c r="H134" s="9"/>
      <c r="I134" s="39">
        <f t="shared" si="85"/>
        <v>0</v>
      </c>
      <c r="J134" s="21"/>
      <c r="K134" s="21"/>
      <c r="L134" s="11" t="e">
        <f t="shared" si="43"/>
        <v>#DIV/0!</v>
      </c>
      <c r="M134" s="132" t="e">
        <f t="shared" si="95"/>
        <v>#DIV/0!</v>
      </c>
      <c r="N134" s="198">
        <f t="shared" si="87"/>
        <v>16590</v>
      </c>
      <c r="O134" s="190">
        <f t="shared" si="91"/>
        <v>16590</v>
      </c>
      <c r="P134" s="87">
        <f>VLOOKUP($A134,'Выгр Кат'!$A:$R,P$1,0)</f>
        <v>0</v>
      </c>
      <c r="Q134" s="87">
        <f>VLOOKUP($A134,'Выгр Кат'!$A:$R,Q$1,0)</f>
        <v>16590</v>
      </c>
      <c r="R134" s="94">
        <f t="shared" si="92"/>
        <v>0</v>
      </c>
      <c r="S134" s="94">
        <f t="shared" si="93"/>
        <v>0</v>
      </c>
      <c r="T134" s="20">
        <f t="shared" si="94"/>
        <v>15428.699999999999</v>
      </c>
      <c r="U134" s="209" t="str">
        <f>IFERROR(VLOOKUP($A134,'Из ГУГЛа'!$B:$G,6,0)*V134,VLOOKUP($A134,'Из ГУГЛа'!$B:$G,6,0))</f>
        <v/>
      </c>
      <c r="V134" s="75">
        <v>1</v>
      </c>
      <c r="W134" s="83" t="str">
        <f t="shared" si="46"/>
        <v/>
      </c>
      <c r="X134" s="83" t="str">
        <f t="shared" si="47"/>
        <v/>
      </c>
      <c r="Y134" s="83" t="str">
        <f t="shared" si="48"/>
        <v/>
      </c>
      <c r="Z134" s="47"/>
    </row>
    <row r="135" spans="1:26" ht="30">
      <c r="A135" s="41">
        <v>138621</v>
      </c>
      <c r="B135" s="87">
        <f>VLOOKUP($A135,'Выгр Кат'!$A:$R,B$1,0)</f>
        <v>7056</v>
      </c>
      <c r="C135" s="9"/>
      <c r="D135" s="86" t="str">
        <f>VLOOKUP($A135,'Выгр Кат'!$A:$R,D$1,0)</f>
        <v>Бортовой компьютер "Ferrum Group" GF 115T для ВАЗ 2108-21099, 2113-2115</v>
      </c>
      <c r="E135" s="87" t="str">
        <f>VLOOKUP($A135,'Выгр Кат'!$A:$R,E$1,0)</f>
        <v>Y</v>
      </c>
      <c r="F135" s="87" t="str">
        <f>VLOOKUP($A135,'Выгр Кат'!$A:$R,F$1,0)</f>
        <v>0</v>
      </c>
      <c r="G135" s="9"/>
      <c r="H135" s="9"/>
      <c r="I135" s="39">
        <f t="shared" ref="I135:I148" si="96">P135</f>
        <v>4050</v>
      </c>
      <c r="J135" s="21"/>
      <c r="K135" s="21"/>
      <c r="L135" s="11">
        <f t="shared" si="43"/>
        <v>0</v>
      </c>
      <c r="M135" s="132">
        <f t="shared" si="95"/>
        <v>1.1499999999999999</v>
      </c>
      <c r="N135" s="192">
        <f t="shared" ref="N135" si="97">I135*M135*100/93</f>
        <v>5008.0645161290322</v>
      </c>
      <c r="O135" s="190">
        <f t="shared" si="91"/>
        <v>5090</v>
      </c>
      <c r="P135" s="87">
        <f>VLOOKUP($A135,'Выгр Кат'!$A:$R,P$1,0)</f>
        <v>4050</v>
      </c>
      <c r="Q135" s="87">
        <f>VLOOKUP($A135,'Выгр Кат'!$A:$R,Q$1,0)</f>
        <v>5090</v>
      </c>
      <c r="R135" s="94">
        <f t="shared" si="92"/>
        <v>0</v>
      </c>
      <c r="S135" s="94">
        <f t="shared" si="93"/>
        <v>0</v>
      </c>
      <c r="T135" s="20">
        <f t="shared" si="94"/>
        <v>4733.7</v>
      </c>
      <c r="U135" s="209" t="str">
        <f>IFERROR(VLOOKUP($A135,'Из ГУГЛа'!$B:$G,6,0)*V135,VLOOKUP($A135,'Из ГУГЛа'!$B:$G,6,0))</f>
        <v/>
      </c>
      <c r="V135" s="75">
        <v>1</v>
      </c>
      <c r="W135" s="83">
        <f t="shared" si="46"/>
        <v>0.16881481481481475</v>
      </c>
      <c r="X135" s="83" t="str">
        <f t="shared" si="47"/>
        <v/>
      </c>
      <c r="Y135" s="83" t="str">
        <f t="shared" si="48"/>
        <v/>
      </c>
      <c r="Z135" s="47"/>
    </row>
    <row r="136" spans="1:26" ht="30">
      <c r="A136" s="41">
        <v>138645</v>
      </c>
      <c r="B136" s="87">
        <f>VLOOKUP($A136,'Выгр Кат'!$A:$R,B$1,0)</f>
        <v>7065</v>
      </c>
      <c r="C136" s="9"/>
      <c r="D136" s="86" t="str">
        <f>VLOOKUP($A136,'Выгр Кат'!$A:$R,D$1,0)</f>
        <v>Бортовой компьютер Gamma GF 212T для ВАЗ 2110-2112</v>
      </c>
      <c r="E136" s="87" t="str">
        <f>VLOOKUP($A136,'Выгр Кат'!$A:$R,E$1,0)</f>
        <v>Y</v>
      </c>
      <c r="F136" s="87" t="str">
        <f>VLOOKUP($A136,'Выгр Кат'!$A:$R,F$1,0)</f>
        <v>0</v>
      </c>
      <c r="G136" s="9"/>
      <c r="H136" s="9"/>
      <c r="I136" s="39">
        <f t="shared" si="96"/>
        <v>0</v>
      </c>
      <c r="J136" s="21"/>
      <c r="K136" s="21"/>
      <c r="L136" s="11" t="e">
        <f t="shared" si="43"/>
        <v>#DIV/0!</v>
      </c>
      <c r="M136" s="132" t="e">
        <f t="shared" si="95"/>
        <v>#DIV/0!</v>
      </c>
      <c r="N136" s="198">
        <f t="shared" si="87"/>
        <v>3990</v>
      </c>
      <c r="O136" s="190">
        <f t="shared" si="91"/>
        <v>3990</v>
      </c>
      <c r="P136" s="87">
        <f>VLOOKUP($A136,'Выгр Кат'!$A:$R,P$1,0)</f>
        <v>0</v>
      </c>
      <c r="Q136" s="87">
        <f>VLOOKUP($A136,'Выгр Кат'!$A:$R,Q$1,0)</f>
        <v>3990</v>
      </c>
      <c r="R136" s="94">
        <f t="shared" si="92"/>
        <v>0</v>
      </c>
      <c r="S136" s="94">
        <f t="shared" si="93"/>
        <v>0</v>
      </c>
      <c r="T136" s="20">
        <f t="shared" si="94"/>
        <v>3710.7</v>
      </c>
      <c r="U136" s="209" t="str">
        <f>IFERROR(VLOOKUP($A136,'Из ГУГЛа'!$B:$G,6,0)*V136,VLOOKUP($A136,'Из ГУГЛа'!$B:$G,6,0))</f>
        <v/>
      </c>
      <c r="V136" s="75">
        <v>1</v>
      </c>
      <c r="W136" s="83" t="str">
        <f t="shared" si="46"/>
        <v/>
      </c>
      <c r="X136" s="83" t="str">
        <f t="shared" si="47"/>
        <v/>
      </c>
      <c r="Y136" s="83" t="str">
        <f t="shared" si="48"/>
        <v/>
      </c>
      <c r="Z136" s="47"/>
    </row>
    <row r="137" spans="1:26" ht="30">
      <c r="A137" s="41">
        <v>138646</v>
      </c>
      <c r="B137" s="87">
        <f>VLOOKUP($A137,'Выгр Кат'!$A:$R,B$1,0)</f>
        <v>7055</v>
      </c>
      <c r="C137" s="9"/>
      <c r="D137" s="86" t="str">
        <f>VLOOKUP($A137,'Выгр Кат'!$A:$R,D$1,0)</f>
        <v>Бортовой компьютер Gamma GF 215T Silver на Lada 2108-15</v>
      </c>
      <c r="E137" s="87" t="str">
        <f>VLOOKUP($A137,'Выгр Кат'!$A:$R,E$1,0)</f>
        <v>Y</v>
      </c>
      <c r="F137" s="87" t="str">
        <f>VLOOKUP($A137,'Выгр Кат'!$A:$R,F$1,0)</f>
        <v>0</v>
      </c>
      <c r="G137" s="9"/>
      <c r="H137" s="9"/>
      <c r="I137" s="39">
        <f t="shared" si="96"/>
        <v>0</v>
      </c>
      <c r="J137" s="21"/>
      <c r="K137" s="21"/>
      <c r="L137" s="11" t="e">
        <f t="shared" si="43"/>
        <v>#DIV/0!</v>
      </c>
      <c r="M137" s="132" t="e">
        <f t="shared" si="95"/>
        <v>#DIV/0!</v>
      </c>
      <c r="N137" s="198">
        <f t="shared" si="87"/>
        <v>0</v>
      </c>
      <c r="O137" s="39">
        <f>Q137</f>
        <v>0</v>
      </c>
      <c r="P137" s="87">
        <f>VLOOKUP($A137,'Выгр Кат'!$A:$R,P$1,0)</f>
        <v>0</v>
      </c>
      <c r="Q137" s="87">
        <f>VLOOKUP($A137,'Выгр Кат'!$A:$R,Q$1,0)</f>
        <v>0</v>
      </c>
      <c r="R137" s="94">
        <f t="shared" si="92"/>
        <v>0</v>
      </c>
      <c r="S137" s="94">
        <f t="shared" si="93"/>
        <v>0</v>
      </c>
      <c r="T137" s="20">
        <f t="shared" si="94"/>
        <v>0</v>
      </c>
      <c r="U137" s="209" t="str">
        <f>IFERROR(VLOOKUP($A137,'Из ГУГЛа'!$B:$G,6,0)*V137,VLOOKUP($A137,'Из ГУГЛа'!$B:$G,6,0))</f>
        <v/>
      </c>
      <c r="V137" s="75">
        <v>1</v>
      </c>
      <c r="W137" s="83" t="str">
        <f t="shared" si="46"/>
        <v/>
      </c>
      <c r="X137" s="83" t="str">
        <f t="shared" si="47"/>
        <v/>
      </c>
      <c r="Y137" s="83" t="str">
        <f t="shared" si="48"/>
        <v/>
      </c>
      <c r="Z137" s="47"/>
    </row>
    <row r="138" spans="1:26">
      <c r="A138" s="41">
        <v>138647</v>
      </c>
      <c r="B138" s="87">
        <f>VLOOKUP($A138,'Выгр Кат'!$A:$R,B$1,0)</f>
        <v>7085</v>
      </c>
      <c r="C138" s="9"/>
      <c r="D138" s="86" t="str">
        <f>VLOOKUP($A138,'Выгр Кат'!$A:$R,D$1,0)</f>
        <v>Бортовой компьютер Gamma GF 231 на ГАЗ</v>
      </c>
      <c r="E138" s="87" t="str">
        <f>VLOOKUP($A138,'Выгр Кат'!$A:$R,E$1,0)</f>
        <v>Y</v>
      </c>
      <c r="F138" s="87" t="str">
        <f>VLOOKUP($A138,'Выгр Кат'!$A:$R,F$1,0)</f>
        <v>0</v>
      </c>
      <c r="G138" s="9"/>
      <c r="H138" s="9"/>
      <c r="I138" s="39">
        <f t="shared" si="96"/>
        <v>0</v>
      </c>
      <c r="J138" s="21"/>
      <c r="K138" s="21"/>
      <c r="L138" s="11" t="e">
        <f t="shared" si="43"/>
        <v>#DIV/0!</v>
      </c>
      <c r="M138" s="132" t="e">
        <f t="shared" si="95"/>
        <v>#DIV/0!</v>
      </c>
      <c r="N138" s="198">
        <f t="shared" si="87"/>
        <v>0</v>
      </c>
      <c r="O138" s="39">
        <f>Q138</f>
        <v>0</v>
      </c>
      <c r="P138" s="87">
        <f>VLOOKUP($A138,'Выгр Кат'!$A:$R,P$1,0)</f>
        <v>0</v>
      </c>
      <c r="Q138" s="87">
        <f>VLOOKUP($A138,'Выгр Кат'!$A:$R,Q$1,0)</f>
        <v>0</v>
      </c>
      <c r="R138" s="94">
        <f t="shared" si="92"/>
        <v>0</v>
      </c>
      <c r="S138" s="94">
        <f t="shared" si="93"/>
        <v>0</v>
      </c>
      <c r="T138" s="20">
        <f t="shared" si="94"/>
        <v>0</v>
      </c>
      <c r="U138" s="209" t="str">
        <f>IFERROR(VLOOKUP($A138,'Из ГУГЛа'!$B:$G,6,0)*V138,VLOOKUP($A138,'Из ГУГЛа'!$B:$G,6,0))</f>
        <v/>
      </c>
      <c r="V138" s="75">
        <v>1</v>
      </c>
      <c r="W138" s="83" t="str">
        <f t="shared" si="46"/>
        <v/>
      </c>
      <c r="X138" s="83" t="str">
        <f t="shared" si="47"/>
        <v/>
      </c>
      <c r="Y138" s="83" t="str">
        <f t="shared" si="48"/>
        <v/>
      </c>
      <c r="Z138" s="47"/>
    </row>
    <row r="139" spans="1:26">
      <c r="A139" s="41">
        <v>138648</v>
      </c>
      <c r="B139" s="87">
        <f>VLOOKUP($A139,'Выгр Кат'!$A:$R,B$1,0)</f>
        <v>7087</v>
      </c>
      <c r="C139" s="9"/>
      <c r="D139" s="86" t="str">
        <f>VLOOKUP($A139,'Выгр Кат'!$A:$R,D$1,0)</f>
        <v>Бортовой компьютер Gamma GF 242</v>
      </c>
      <c r="E139" s="87" t="str">
        <f>VLOOKUP($A139,'Выгр Кат'!$A:$R,E$1,0)</f>
        <v>Y</v>
      </c>
      <c r="F139" s="87" t="str">
        <f>VLOOKUP($A139,'Выгр Кат'!$A:$R,F$1,0)</f>
        <v>0</v>
      </c>
      <c r="G139" s="9"/>
      <c r="H139" s="9"/>
      <c r="I139" s="39">
        <f t="shared" si="96"/>
        <v>0</v>
      </c>
      <c r="J139" s="21"/>
      <c r="K139" s="21"/>
      <c r="L139" s="11" t="e">
        <f t="shared" si="43"/>
        <v>#DIV/0!</v>
      </c>
      <c r="M139" s="132" t="e">
        <f t="shared" si="95"/>
        <v>#DIV/0!</v>
      </c>
      <c r="N139" s="198">
        <f t="shared" si="87"/>
        <v>0</v>
      </c>
      <c r="O139" s="39">
        <f>Q139</f>
        <v>0</v>
      </c>
      <c r="P139" s="87">
        <f>VLOOKUP($A139,'Выгр Кат'!$A:$R,P$1,0)</f>
        <v>0</v>
      </c>
      <c r="Q139" s="87">
        <f>VLOOKUP($A139,'Выгр Кат'!$A:$R,Q$1,0)</f>
        <v>0</v>
      </c>
      <c r="R139" s="94">
        <f t="shared" si="92"/>
        <v>0</v>
      </c>
      <c r="S139" s="94">
        <f t="shared" si="93"/>
        <v>0</v>
      </c>
      <c r="T139" s="20">
        <f t="shared" si="94"/>
        <v>0</v>
      </c>
      <c r="U139" s="209" t="str">
        <f>IFERROR(VLOOKUP($A139,'Из ГУГЛа'!$B:$G,6,0)*V139,VLOOKUP($A139,'Из ГУГЛа'!$B:$G,6,0))</f>
        <v/>
      </c>
      <c r="V139" s="75">
        <v>1</v>
      </c>
      <c r="W139" s="83" t="str">
        <f t="shared" si="46"/>
        <v/>
      </c>
      <c r="X139" s="83" t="str">
        <f t="shared" si="47"/>
        <v/>
      </c>
      <c r="Y139" s="83" t="str">
        <f t="shared" si="48"/>
        <v/>
      </c>
      <c r="Z139" s="47"/>
    </row>
    <row r="140" spans="1:26" ht="45">
      <c r="A140" s="41">
        <v>138628</v>
      </c>
      <c r="B140" s="87">
        <f>VLOOKUP($A140,'Выгр Кат'!$A:$R,B$1,0)</f>
        <v>7022</v>
      </c>
      <c r="C140" s="9"/>
      <c r="D140" s="86" t="str">
        <f>VLOOKUP($A140,'Выгр Кат'!$A:$R,D$1,0)</f>
        <v>Бортовой компьютер "Ferrum Group" GF 271 для ВАЗ (2107 (инжектор), 2110 (евро панель)), Лада Приора</v>
      </c>
      <c r="E140" s="87" t="str">
        <f>VLOOKUP($A140,'Выгр Кат'!$A:$R,E$1,0)</f>
        <v>Y</v>
      </c>
      <c r="F140" s="87" t="str">
        <f>VLOOKUP($A140,'Выгр Кат'!$A:$R,F$1,0)</f>
        <v>0</v>
      </c>
      <c r="G140" s="9"/>
      <c r="H140" s="9"/>
      <c r="I140" s="39">
        <f t="shared" si="96"/>
        <v>0</v>
      </c>
      <c r="J140" s="21"/>
      <c r="K140" s="21"/>
      <c r="L140" s="11" t="e">
        <f t="shared" si="43"/>
        <v>#DIV/0!</v>
      </c>
      <c r="M140" s="132" t="e">
        <f t="shared" si="95"/>
        <v>#DIV/0!</v>
      </c>
      <c r="N140" s="198">
        <f t="shared" si="87"/>
        <v>6290</v>
      </c>
      <c r="O140" s="190">
        <f t="shared" ref="O140:O148" si="98">IF(N140&lt;=1000,(ROUNDUP(N140,-1)-1),(ROUNDUP(N140,-2)-10))</f>
        <v>6290</v>
      </c>
      <c r="P140" s="87">
        <f>VLOOKUP($A140,'Выгр Кат'!$A:$R,P$1,0)</f>
        <v>0</v>
      </c>
      <c r="Q140" s="87">
        <f>VLOOKUP($A140,'Выгр Кат'!$A:$R,Q$1,0)</f>
        <v>6290</v>
      </c>
      <c r="R140" s="94">
        <f t="shared" si="92"/>
        <v>0</v>
      </c>
      <c r="S140" s="94">
        <f t="shared" si="93"/>
        <v>0</v>
      </c>
      <c r="T140" s="20">
        <f t="shared" si="94"/>
        <v>5849.7</v>
      </c>
      <c r="U140" s="209" t="str">
        <f>IFERROR(VLOOKUP($A140,'Из ГУГЛа'!$B:$G,6,0)*V140,VLOOKUP($A140,'Из ГУГЛа'!$B:$G,6,0))</f>
        <v/>
      </c>
      <c r="V140" s="75">
        <v>1</v>
      </c>
      <c r="W140" s="83" t="str">
        <f t="shared" si="46"/>
        <v/>
      </c>
      <c r="X140" s="83" t="str">
        <f t="shared" si="47"/>
        <v/>
      </c>
      <c r="Y140" s="83" t="str">
        <f t="shared" si="48"/>
        <v/>
      </c>
      <c r="Z140" s="47"/>
    </row>
    <row r="141" spans="1:26" ht="30">
      <c r="A141" s="41">
        <v>138650</v>
      </c>
      <c r="B141" s="87">
        <f>VLOOKUP($A141,'Выгр Кат'!$A:$R,B$1,0)</f>
        <v>7064</v>
      </c>
      <c r="C141" s="9"/>
      <c r="D141" s="86" t="str">
        <f>VLOOKUP($A141,'Выгр Кат'!$A:$R,D$1,0)</f>
        <v>Бортовой компьютер Gamma GF 312T на Lada 2110-12</v>
      </c>
      <c r="E141" s="87" t="str">
        <f>VLOOKUP($A141,'Выгр Кат'!$A:$R,E$1,0)</f>
        <v>Y</v>
      </c>
      <c r="F141" s="87" t="str">
        <f>VLOOKUP($A141,'Выгр Кат'!$A:$R,F$1,0)</f>
        <v>0</v>
      </c>
      <c r="G141" s="9"/>
      <c r="H141" s="9"/>
      <c r="I141" s="39">
        <f t="shared" si="96"/>
        <v>0</v>
      </c>
      <c r="J141" s="21"/>
      <c r="K141" s="21"/>
      <c r="L141" s="11" t="e">
        <f t="shared" si="43"/>
        <v>#DIV/0!</v>
      </c>
      <c r="M141" s="132" t="e">
        <f t="shared" si="95"/>
        <v>#DIV/0!</v>
      </c>
      <c r="N141" s="198">
        <f t="shared" si="87"/>
        <v>4590</v>
      </c>
      <c r="O141" s="190">
        <f t="shared" si="98"/>
        <v>4590</v>
      </c>
      <c r="P141" s="87">
        <f>VLOOKUP($A141,'Выгр Кат'!$A:$R,P$1,0)</f>
        <v>0</v>
      </c>
      <c r="Q141" s="87">
        <f>VLOOKUP($A141,'Выгр Кат'!$A:$R,Q$1,0)</f>
        <v>4590</v>
      </c>
      <c r="R141" s="94">
        <f t="shared" si="92"/>
        <v>0</v>
      </c>
      <c r="S141" s="94">
        <f t="shared" si="93"/>
        <v>0</v>
      </c>
      <c r="T141" s="20">
        <f t="shared" si="94"/>
        <v>4268.7</v>
      </c>
      <c r="U141" s="209" t="str">
        <f>IFERROR(VLOOKUP($A141,'Из ГУГЛа'!$B:$G,6,0)*V141,VLOOKUP($A141,'Из ГУГЛа'!$B:$G,6,0))</f>
        <v/>
      </c>
      <c r="V141" s="75">
        <v>1</v>
      </c>
      <c r="W141" s="83" t="str">
        <f t="shared" si="46"/>
        <v/>
      </c>
      <c r="X141" s="83" t="str">
        <f t="shared" si="47"/>
        <v/>
      </c>
      <c r="Y141" s="83" t="str">
        <f t="shared" si="48"/>
        <v/>
      </c>
      <c r="Z141" s="47"/>
    </row>
    <row r="142" spans="1:26" ht="45">
      <c r="A142" s="41">
        <v>138651</v>
      </c>
      <c r="B142" s="87">
        <f>VLOOKUP($A142,'Выгр Кат'!$A:$R,B$1,0)</f>
        <v>7066</v>
      </c>
      <c r="C142" s="9"/>
      <c r="D142" s="86" t="str">
        <f>VLOOKUP($A142,'Выгр Кат'!$A:$R,D$1,0)</f>
        <v>Бортовой компьютер Gamma GF 512 с электронным блоком отопителя на Lada 2110-12 с евро панелью</v>
      </c>
      <c r="E142" s="87" t="str">
        <f>VLOOKUP($A142,'Выгр Кат'!$A:$R,E$1,0)</f>
        <v>Y</v>
      </c>
      <c r="F142" s="87" t="str">
        <f>VLOOKUP($A142,'Выгр Кат'!$A:$R,F$1,0)</f>
        <v>0</v>
      </c>
      <c r="G142" s="9"/>
      <c r="H142" s="9"/>
      <c r="I142" s="39">
        <f t="shared" si="96"/>
        <v>0</v>
      </c>
      <c r="J142" s="21"/>
      <c r="K142" s="21"/>
      <c r="L142" s="11" t="e">
        <f t="shared" si="43"/>
        <v>#DIV/0!</v>
      </c>
      <c r="M142" s="132" t="e">
        <f t="shared" si="95"/>
        <v>#DIV/0!</v>
      </c>
      <c r="N142" s="198">
        <f t="shared" si="87"/>
        <v>7890</v>
      </c>
      <c r="O142" s="190">
        <f t="shared" si="98"/>
        <v>7890</v>
      </c>
      <c r="P142" s="87">
        <f>VLOOKUP($A142,'Выгр Кат'!$A:$R,P$1,0)</f>
        <v>0</v>
      </c>
      <c r="Q142" s="87">
        <f>VLOOKUP($A142,'Выгр Кат'!$A:$R,Q$1,0)</f>
        <v>7890</v>
      </c>
      <c r="R142" s="94">
        <f t="shared" si="92"/>
        <v>0</v>
      </c>
      <c r="S142" s="94">
        <f t="shared" si="93"/>
        <v>0</v>
      </c>
      <c r="T142" s="20">
        <f t="shared" si="94"/>
        <v>7337.7</v>
      </c>
      <c r="U142" s="209" t="str">
        <f>IFERROR(VLOOKUP($A142,'Из ГУГЛа'!$B:$G,6,0)*V142,VLOOKUP($A142,'Из ГУГЛа'!$B:$G,6,0))</f>
        <v/>
      </c>
      <c r="V142" s="75">
        <v>1</v>
      </c>
      <c r="W142" s="83" t="str">
        <f t="shared" si="46"/>
        <v/>
      </c>
      <c r="X142" s="83" t="str">
        <f t="shared" si="47"/>
        <v/>
      </c>
      <c r="Y142" s="83" t="str">
        <f t="shared" si="48"/>
        <v/>
      </c>
      <c r="Z142" s="47"/>
    </row>
    <row r="143" spans="1:26" ht="30">
      <c r="A143" s="41">
        <v>160011</v>
      </c>
      <c r="B143" s="87">
        <f>VLOOKUP($A143,'Выгр Кат'!$A:$R,B$1,0)</f>
        <v>23749</v>
      </c>
      <c r="C143" s="9"/>
      <c r="D143" s="86" t="str">
        <f>VLOOKUP($A143,'Выгр Кат'!$A:$R,D$1,0)</f>
        <v>Комплект шильдов VICTORY "Ferrum Group" для Лада Веста</v>
      </c>
      <c r="E143" s="87" t="str">
        <f>VLOOKUP($A143,'Выгр Кат'!$A:$R,E$1,0)</f>
        <v>Y</v>
      </c>
      <c r="F143" s="87" t="str">
        <f>VLOOKUP($A143,'Выгр Кат'!$A:$R,F$1,0)</f>
        <v>0</v>
      </c>
      <c r="G143" s="9"/>
      <c r="H143" s="9"/>
      <c r="I143" s="39">
        <f t="shared" si="96"/>
        <v>0</v>
      </c>
      <c r="J143" s="21"/>
      <c r="K143" s="21"/>
      <c r="L143" s="11" t="e">
        <f t="shared" si="43"/>
        <v>#DIV/0!</v>
      </c>
      <c r="M143" s="132" t="e">
        <f t="shared" si="95"/>
        <v>#DIV/0!</v>
      </c>
      <c r="N143" s="198">
        <f t="shared" si="87"/>
        <v>769</v>
      </c>
      <c r="O143" s="190">
        <f t="shared" si="98"/>
        <v>769</v>
      </c>
      <c r="P143" s="87">
        <f>VLOOKUP($A143,'Выгр Кат'!$A:$R,P$1,0)</f>
        <v>0</v>
      </c>
      <c r="Q143" s="87">
        <f>VLOOKUP($A143,'Выгр Кат'!$A:$R,Q$1,0)</f>
        <v>769</v>
      </c>
      <c r="R143" s="94">
        <f t="shared" si="92"/>
        <v>0</v>
      </c>
      <c r="S143" s="94">
        <f t="shared" si="93"/>
        <v>0</v>
      </c>
      <c r="T143" s="20">
        <f t="shared" si="94"/>
        <v>715.17</v>
      </c>
      <c r="U143" s="209" t="str">
        <f>IFERROR(VLOOKUP($A143,'Из ГУГЛа'!$B:$G,6,0)*V143,VLOOKUP($A143,'Из ГУГЛа'!$B:$G,6,0))</f>
        <v/>
      </c>
      <c r="V143" s="75">
        <v>1</v>
      </c>
      <c r="W143" s="83" t="str">
        <f t="shared" si="46"/>
        <v/>
      </c>
      <c r="X143" s="83" t="str">
        <f t="shared" si="47"/>
        <v/>
      </c>
      <c r="Y143" s="83" t="str">
        <f t="shared" si="48"/>
        <v/>
      </c>
      <c r="Z143" s="47"/>
    </row>
    <row r="144" spans="1:26" ht="45">
      <c r="A144" s="41">
        <v>164699</v>
      </c>
      <c r="B144" s="87">
        <f>VLOOKUP($A144,'Выгр Кат'!$A:$R,B$1,0)</f>
        <v>20906</v>
      </c>
      <c r="C144" s="9"/>
      <c r="D144" s="86" t="str">
        <f>VLOOKUP($A144,'Выгр Кат'!$A:$R,D$1,0)</f>
        <v>Муляж подушки безопасности для анатомического рулевого колеса Vesta "Ferrum Group" для Лада Веста, XRAY</v>
      </c>
      <c r="E144" s="87" t="str">
        <f>VLOOKUP($A144,'Выгр Кат'!$A:$R,E$1,0)</f>
        <v>Y</v>
      </c>
      <c r="F144" s="87" t="str">
        <f>VLOOKUP($A144,'Выгр Кат'!$A:$R,F$1,0)</f>
        <v>0</v>
      </c>
      <c r="G144" s="9"/>
      <c r="H144" s="9"/>
      <c r="I144" s="39">
        <f t="shared" si="96"/>
        <v>0</v>
      </c>
      <c r="J144" s="21"/>
      <c r="K144" s="21"/>
      <c r="L144" s="11" t="e">
        <f t="shared" si="43"/>
        <v>#DIV/0!</v>
      </c>
      <c r="M144" s="132" t="e">
        <f t="shared" si="95"/>
        <v>#DIV/0!</v>
      </c>
      <c r="N144" s="198">
        <f t="shared" si="87"/>
        <v>6790</v>
      </c>
      <c r="O144" s="190">
        <f t="shared" si="98"/>
        <v>6790</v>
      </c>
      <c r="P144" s="87">
        <f>VLOOKUP($A144,'Выгр Кат'!$A:$R,P$1,0)</f>
        <v>0</v>
      </c>
      <c r="Q144" s="87">
        <f>VLOOKUP($A144,'Выгр Кат'!$A:$R,Q$1,0)</f>
        <v>6790</v>
      </c>
      <c r="R144" s="94">
        <f t="shared" si="92"/>
        <v>0</v>
      </c>
      <c r="S144" s="94">
        <f t="shared" si="93"/>
        <v>0</v>
      </c>
      <c r="T144" s="20">
        <f t="shared" si="94"/>
        <v>6314.7</v>
      </c>
      <c r="U144" s="209" t="str">
        <f>IFERROR(VLOOKUP($A144,'Из ГУГЛа'!$B:$G,6,0)*V144,VLOOKUP($A144,'Из ГУГЛа'!$B:$G,6,0))</f>
        <v/>
      </c>
      <c r="V144" s="75">
        <v>1</v>
      </c>
      <c r="W144" s="83" t="str">
        <f t="shared" si="46"/>
        <v/>
      </c>
      <c r="X144" s="83" t="str">
        <f t="shared" si="47"/>
        <v/>
      </c>
      <c r="Y144" s="83" t="str">
        <f t="shared" si="48"/>
        <v/>
      </c>
      <c r="Z144" s="47"/>
    </row>
    <row r="145" spans="1:26" ht="30">
      <c r="A145" s="41">
        <v>181919</v>
      </c>
      <c r="B145" s="87">
        <f>VLOOKUP($A145,'Выгр Кат'!$A:$R,B$1,0)</f>
        <v>23742</v>
      </c>
      <c r="C145" s="9"/>
      <c r="D145" s="86" t="str">
        <f>VLOOKUP($A145,'Выгр Кат'!$A:$R,D$1,0)</f>
        <v>Органайзер "Ferrum Group" для автомобильных аксессуаров</v>
      </c>
      <c r="E145" s="87" t="str">
        <f>VLOOKUP($A145,'Выгр Кат'!$A:$R,E$1,0)</f>
        <v>Y</v>
      </c>
      <c r="F145" s="87" t="str">
        <f>VLOOKUP($A145,'Выгр Кат'!$A:$R,F$1,0)</f>
        <v>0</v>
      </c>
      <c r="G145" s="9"/>
      <c r="H145" s="9"/>
      <c r="I145" s="39">
        <f t="shared" si="96"/>
        <v>0</v>
      </c>
      <c r="J145" s="21"/>
      <c r="K145" s="21"/>
      <c r="L145" s="11" t="e">
        <f t="shared" si="43"/>
        <v>#DIV/0!</v>
      </c>
      <c r="M145" s="132" t="e">
        <f t="shared" si="95"/>
        <v>#DIV/0!</v>
      </c>
      <c r="N145" s="198">
        <f t="shared" si="87"/>
        <v>1990</v>
      </c>
      <c r="O145" s="190">
        <f t="shared" si="98"/>
        <v>1990</v>
      </c>
      <c r="P145" s="87">
        <f>VLOOKUP($A145,'Выгр Кат'!$A:$R,P$1,0)</f>
        <v>0</v>
      </c>
      <c r="Q145" s="87">
        <f>VLOOKUP($A145,'Выгр Кат'!$A:$R,Q$1,0)</f>
        <v>1990</v>
      </c>
      <c r="R145" s="94">
        <f t="shared" si="92"/>
        <v>0</v>
      </c>
      <c r="S145" s="94">
        <f t="shared" si="93"/>
        <v>0</v>
      </c>
      <c r="T145" s="20">
        <f t="shared" si="94"/>
        <v>1850.6999999999998</v>
      </c>
      <c r="U145" s="209" t="str">
        <f>IFERROR(VLOOKUP($A145,'Из ГУГЛа'!$B:$G,6,0)*V145,VLOOKUP($A145,'Из ГУГЛа'!$B:$G,6,0))</f>
        <v/>
      </c>
      <c r="V145" s="75">
        <v>1</v>
      </c>
      <c r="W145" s="83" t="str">
        <f t="shared" si="46"/>
        <v/>
      </c>
      <c r="X145" s="83" t="str">
        <f t="shared" si="47"/>
        <v/>
      </c>
      <c r="Y145" s="83" t="str">
        <f t="shared" si="48"/>
        <v/>
      </c>
      <c r="Z145" s="47"/>
    </row>
    <row r="146" spans="1:26">
      <c r="A146" s="41">
        <v>205828</v>
      </c>
      <c r="B146" s="87">
        <f>VLOOKUP($A146,'Выгр Кат'!$A:$R,B$1,0)</f>
        <v>7101</v>
      </c>
      <c r="C146" s="9"/>
      <c r="D146" s="86" t="str">
        <f>VLOOKUP($A146,'Выгр Кат'!$A:$R,D$1,0)</f>
        <v>Речевой информатор GF820</v>
      </c>
      <c r="E146" s="87" t="str">
        <f>VLOOKUP($A146,'Выгр Кат'!$A:$R,E$1,0)</f>
        <v>Y</v>
      </c>
      <c r="F146" s="87" t="str">
        <f>VLOOKUP($A146,'Выгр Кат'!$A:$R,F$1,0)</f>
        <v>0</v>
      </c>
      <c r="G146" s="9"/>
      <c r="H146" s="9"/>
      <c r="I146" s="39">
        <f t="shared" si="96"/>
        <v>0</v>
      </c>
      <c r="J146" s="21"/>
      <c r="K146" s="21"/>
      <c r="L146" s="11" t="e">
        <f t="shared" si="43"/>
        <v>#DIV/0!</v>
      </c>
      <c r="M146" s="132" t="e">
        <f t="shared" si="95"/>
        <v>#DIV/0!</v>
      </c>
      <c r="N146" s="198">
        <f t="shared" si="87"/>
        <v>2890</v>
      </c>
      <c r="O146" s="190">
        <f t="shared" si="98"/>
        <v>2890</v>
      </c>
      <c r="P146" s="87">
        <f>VLOOKUP($A146,'Выгр Кат'!$A:$R,P$1,0)</f>
        <v>0</v>
      </c>
      <c r="Q146" s="87">
        <f>VLOOKUP($A146,'Выгр Кат'!$A:$R,Q$1,0)</f>
        <v>2890</v>
      </c>
      <c r="R146" s="94">
        <f t="shared" si="92"/>
        <v>0</v>
      </c>
      <c r="S146" s="94">
        <f t="shared" si="93"/>
        <v>0</v>
      </c>
      <c r="T146" s="20">
        <f t="shared" si="94"/>
        <v>2687.7</v>
      </c>
      <c r="U146" s="209" t="str">
        <f>IFERROR(VLOOKUP($A146,'Из ГУГЛа'!$B:$G,6,0)*V146,VLOOKUP($A146,'Из ГУГЛа'!$B:$G,6,0))</f>
        <v/>
      </c>
      <c r="V146" s="75">
        <v>1</v>
      </c>
      <c r="W146" s="83" t="str">
        <f t="shared" si="46"/>
        <v/>
      </c>
      <c r="X146" s="83" t="str">
        <f t="shared" si="47"/>
        <v/>
      </c>
      <c r="Y146" s="83" t="str">
        <f t="shared" si="48"/>
        <v/>
      </c>
      <c r="Z146" s="47"/>
    </row>
    <row r="147" spans="1:26" s="36" customFormat="1" ht="30">
      <c r="A147" s="206">
        <v>226991</v>
      </c>
      <c r="B147" s="204">
        <f>VLOOKUP($A147,'Выгр Кат'!$A:$R,B$1,0)</f>
        <v>7155</v>
      </c>
      <c r="C147" s="9"/>
      <c r="D147" s="207" t="str">
        <f>VLOOKUP($A147,'Выгр Кат'!$A:$R,D$1,0)</f>
        <v>Электронная комбинация приборов "Ferrum Group" GF 641 для Chevrolet Lacetti</v>
      </c>
      <c r="E147" s="204" t="str">
        <f>VLOOKUP($A147,'Выгр Кат'!$A:$R,E$1,0)</f>
        <v>N</v>
      </c>
      <c r="F147" s="204" t="str">
        <f>VLOOKUP($A147,'Выгр Кат'!$A:$R,F$1,0)</f>
        <v>0</v>
      </c>
      <c r="G147" s="9"/>
      <c r="H147" s="9"/>
      <c r="I147" s="39">
        <f t="shared" ref="I147" si="99">P147</f>
        <v>0</v>
      </c>
      <c r="J147" s="21"/>
      <c r="K147" s="21"/>
      <c r="L147" s="11" t="e">
        <f t="shared" ref="L147" si="100">J147/I147</f>
        <v>#DIV/0!</v>
      </c>
      <c r="M147" s="132" t="e">
        <f t="shared" si="95"/>
        <v>#DIV/0!</v>
      </c>
      <c r="N147" s="198">
        <f t="shared" ref="N147" si="101">Q147</f>
        <v>0</v>
      </c>
      <c r="O147" s="198">
        <f>Q147</f>
        <v>0</v>
      </c>
      <c r="P147" s="204">
        <f>VLOOKUP($A147,'Выгр Кат'!$A:$R,P$1,0)</f>
        <v>0</v>
      </c>
      <c r="Q147" s="204">
        <f>VLOOKUP($A147,'Выгр Кат'!$A:$R,Q$1,0)</f>
        <v>0</v>
      </c>
      <c r="R147" s="181">
        <f t="shared" ref="R147" si="102">P147-I147</f>
        <v>0</v>
      </c>
      <c r="S147" s="181">
        <f t="shared" ref="S147" si="103">Q147-O147</f>
        <v>0</v>
      </c>
      <c r="T147" s="20">
        <f t="shared" ref="T147" si="104">O147*(1-$T$2)</f>
        <v>0</v>
      </c>
      <c r="U147" s="218" t="e">
        <f>IFERROR(VLOOKUP($A147,'Из ГУГЛа'!$B:$G,6,0)*V147,VLOOKUP($A147,'Из ГУГЛа'!$B:$G,6,0))</f>
        <v>#N/A</v>
      </c>
      <c r="V147" s="75">
        <v>1</v>
      </c>
      <c r="W147" s="205" t="str">
        <f t="shared" ref="W147" si="105">IFERROR(T147/I147-1,"")</f>
        <v/>
      </c>
      <c r="X147" s="205" t="str">
        <f t="shared" ref="X147" si="106">IFERROR((Z147-T147)/Z147,"")</f>
        <v/>
      </c>
      <c r="Y147" s="205" t="str">
        <f t="shared" ref="Y147" si="107">IFERROR(IF(Z147="","",Z147/I147-1),"")</f>
        <v/>
      </c>
      <c r="Z147" s="47"/>
    </row>
    <row r="148" spans="1:26" ht="30">
      <c r="A148" s="41">
        <v>212266</v>
      </c>
      <c r="B148" s="87">
        <f>VLOOKUP($A148,'Выгр Кат'!$A:$R,B$1,0)</f>
        <v>23726</v>
      </c>
      <c r="C148" s="9"/>
      <c r="D148" s="86" t="str">
        <f>VLOOKUP($A148,'Выгр Кат'!$A:$R,D$1,0)</f>
        <v>Ручка КПП "Ferrum Group" (кожа) для Лада Веста (AMT)</v>
      </c>
      <c r="E148" s="87" t="str">
        <f>VLOOKUP($A148,'Выгр Кат'!$A:$R,E$1,0)</f>
        <v>Y</v>
      </c>
      <c r="F148" s="87" t="str">
        <f>VLOOKUP($A148,'Выгр Кат'!$A:$R,F$1,0)</f>
        <v>0</v>
      </c>
      <c r="G148" s="9"/>
      <c r="H148" s="9"/>
      <c r="I148" s="39">
        <f t="shared" si="96"/>
        <v>0</v>
      </c>
      <c r="J148" s="21"/>
      <c r="K148" s="21"/>
      <c r="L148" s="11" t="e">
        <f t="shared" si="43"/>
        <v>#DIV/0!</v>
      </c>
      <c r="M148" s="132" t="e">
        <f t="shared" si="95"/>
        <v>#DIV/0!</v>
      </c>
      <c r="N148" s="198">
        <f t="shared" si="87"/>
        <v>3190</v>
      </c>
      <c r="O148" s="190">
        <f t="shared" si="98"/>
        <v>3190</v>
      </c>
      <c r="P148" s="87">
        <f>VLOOKUP($A148,'Выгр Кат'!$A:$R,P$1,0)</f>
        <v>0</v>
      </c>
      <c r="Q148" s="87">
        <f>VLOOKUP($A148,'Выгр Кат'!$A:$R,Q$1,0)</f>
        <v>3190</v>
      </c>
      <c r="R148" s="94">
        <f t="shared" si="92"/>
        <v>0</v>
      </c>
      <c r="S148" s="94">
        <f t="shared" si="93"/>
        <v>0</v>
      </c>
      <c r="T148" s="20">
        <f t="shared" si="94"/>
        <v>2966.7</v>
      </c>
      <c r="U148" s="209" t="str">
        <f>IFERROR(VLOOKUP($A148,'Из ГУГЛа'!$B:$G,6,0)*V148,VLOOKUP($A148,'Из ГУГЛа'!$B:$G,6,0))</f>
        <v/>
      </c>
      <c r="V148" s="75">
        <v>1</v>
      </c>
      <c r="W148" s="83" t="str">
        <f t="shared" si="46"/>
        <v/>
      </c>
      <c r="X148" s="83" t="str">
        <f t="shared" si="47"/>
        <v/>
      </c>
      <c r="Y148" s="83" t="str">
        <f t="shared" si="48"/>
        <v/>
      </c>
      <c r="Z148" s="47"/>
    </row>
    <row r="149" spans="1:26">
      <c r="A149" s="7"/>
      <c r="B149" s="7"/>
      <c r="C149" s="19"/>
      <c r="D149" s="7"/>
      <c r="E149" s="15"/>
      <c r="F149" s="7"/>
      <c r="G149" s="97"/>
      <c r="H149" s="19"/>
      <c r="I149" s="15"/>
      <c r="J149" s="15"/>
      <c r="K149" s="15"/>
      <c r="L149" s="16"/>
      <c r="M149" s="16"/>
      <c r="N149" s="199"/>
      <c r="O149" s="15"/>
      <c r="P149" s="7"/>
      <c r="Q149" s="7"/>
      <c r="R149" s="7"/>
      <c r="S149" s="7"/>
      <c r="T149" s="7"/>
      <c r="U149" s="15"/>
      <c r="V149" s="46"/>
      <c r="W149" s="7"/>
      <c r="X149" s="7"/>
      <c r="Y149" s="46"/>
      <c r="Z149" s="15"/>
    </row>
    <row r="150" spans="1:26">
      <c r="A150" s="7"/>
      <c r="B150" s="7"/>
      <c r="C150" s="19"/>
      <c r="D150" s="7"/>
      <c r="E150" s="15"/>
      <c r="F150" s="7"/>
      <c r="G150" s="97"/>
      <c r="H150" s="19"/>
      <c r="I150" s="15"/>
      <c r="J150" s="15"/>
      <c r="K150" s="15"/>
      <c r="L150" s="16"/>
      <c r="M150" s="16"/>
      <c r="N150" s="194">
        <f>Z150*1</f>
        <v>0</v>
      </c>
      <c r="O150" s="15"/>
      <c r="P150" s="7"/>
      <c r="Q150" s="7"/>
      <c r="R150" s="7"/>
      <c r="S150" s="7"/>
      <c r="T150" s="7"/>
      <c r="U150" s="15"/>
      <c r="V150" s="46"/>
      <c r="W150" s="7"/>
      <c r="X150" s="7"/>
      <c r="Y150" s="46"/>
      <c r="Z150" s="15"/>
    </row>
    <row r="151" spans="1:26">
      <c r="A151" s="7"/>
      <c r="B151" s="7"/>
      <c r="C151" s="19"/>
      <c r="D151" s="7"/>
      <c r="E151" s="15"/>
      <c r="F151" s="7"/>
      <c r="G151" s="97"/>
      <c r="H151" s="19"/>
      <c r="I151" s="15"/>
      <c r="J151" s="15"/>
      <c r="K151" s="15"/>
      <c r="L151" s="16"/>
      <c r="M151" s="16"/>
      <c r="N151" s="196">
        <f>Z151*1.03</f>
        <v>0</v>
      </c>
      <c r="O151" s="15"/>
      <c r="P151" s="7"/>
      <c r="Q151" s="7"/>
      <c r="R151" s="7"/>
      <c r="S151" s="7"/>
      <c r="T151" s="7"/>
      <c r="U151" s="15"/>
      <c r="V151" s="46"/>
      <c r="W151" s="7"/>
      <c r="X151" s="7"/>
      <c r="Y151" s="46"/>
      <c r="Z151" s="15"/>
    </row>
    <row r="152" spans="1:26">
      <c r="A152" s="7"/>
      <c r="B152" s="7"/>
      <c r="C152" s="19"/>
      <c r="D152" s="7"/>
      <c r="E152" s="15"/>
      <c r="F152" s="7"/>
      <c r="G152" s="97"/>
      <c r="H152" s="19"/>
      <c r="I152" s="15"/>
      <c r="J152" s="15"/>
      <c r="K152" s="15"/>
      <c r="L152" s="16"/>
      <c r="M152" s="16"/>
      <c r="N152" s="195">
        <f>Z152*1.04</f>
        <v>0</v>
      </c>
      <c r="O152" s="15"/>
      <c r="P152" s="7"/>
      <c r="Q152" s="7"/>
      <c r="R152" s="7"/>
      <c r="S152" s="7"/>
      <c r="T152" s="7"/>
      <c r="U152" s="15"/>
      <c r="V152" s="46"/>
      <c r="W152" s="7"/>
      <c r="X152" s="7"/>
      <c r="Y152" s="46"/>
      <c r="Z152" s="15"/>
    </row>
    <row r="153" spans="1:26">
      <c r="A153" s="7"/>
      <c r="B153" s="7"/>
      <c r="C153" s="19"/>
      <c r="D153" s="7"/>
      <c r="E153" s="15"/>
      <c r="F153" s="7"/>
      <c r="G153" s="97"/>
      <c r="H153" s="19"/>
      <c r="I153" s="15"/>
      <c r="J153" s="15"/>
      <c r="K153" s="15"/>
      <c r="L153" s="16"/>
      <c r="M153" s="16"/>
      <c r="N153" s="200">
        <f>Z153*1.06</f>
        <v>0</v>
      </c>
      <c r="O153" s="15"/>
      <c r="P153" s="7"/>
      <c r="Q153" s="7"/>
      <c r="R153" s="7"/>
      <c r="S153" s="7"/>
      <c r="T153" s="7"/>
      <c r="U153" s="15"/>
      <c r="V153" s="46"/>
      <c r="W153" s="7"/>
      <c r="X153" s="7"/>
      <c r="Y153" s="46"/>
      <c r="Z153" s="15"/>
    </row>
    <row r="154" spans="1:26">
      <c r="A154" s="7"/>
      <c r="B154" s="7"/>
      <c r="C154" s="19"/>
      <c r="D154" s="7"/>
      <c r="E154" s="15"/>
      <c r="F154" s="7"/>
      <c r="G154" s="97"/>
      <c r="H154" s="19"/>
      <c r="I154" s="15"/>
      <c r="J154" s="15"/>
      <c r="K154" s="15"/>
      <c r="L154" s="16"/>
      <c r="M154" s="16"/>
      <c r="N154" s="197">
        <f>Z154*1.07</f>
        <v>0</v>
      </c>
      <c r="O154" s="15"/>
      <c r="P154" s="7"/>
      <c r="Q154" s="7"/>
      <c r="R154" s="7"/>
      <c r="S154" s="7"/>
      <c r="T154" s="7"/>
      <c r="U154" s="15"/>
      <c r="V154" s="46"/>
      <c r="W154" s="7"/>
      <c r="X154" s="7"/>
      <c r="Y154" s="46"/>
      <c r="Z154" s="15"/>
    </row>
  </sheetData>
  <autoFilter ref="A2:AJ148" xr:uid="{8F61341E-9059-4CC1-BAFE-41D45A96D492}"/>
  <conditionalFormatting sqref="Y3:Y148 W3:W148">
    <cfRule type="cellIs" dxfId="24" priority="22" operator="lessThan">
      <formula>0.2</formula>
    </cfRule>
  </conditionalFormatting>
  <conditionalFormatting sqref="X3:X148">
    <cfRule type="cellIs" dxfId="23" priority="8" operator="lessThan">
      <formula>0%</formula>
    </cfRule>
  </conditionalFormatting>
  <conditionalFormatting sqref="C1:C1048576">
    <cfRule type="duplicateValues" dxfId="22" priority="70"/>
  </conditionalFormatting>
  <conditionalFormatting sqref="A3:A148">
    <cfRule type="expression" dxfId="21" priority="4">
      <formula>AND($S3=0,$R3=0)</formula>
    </cfRule>
  </conditionalFormatting>
  <conditionalFormatting sqref="U2:U148">
    <cfRule type="expression" dxfId="20" priority="3">
      <formula>VALUE(U2)&lt;&gt;Z2</formula>
    </cfRule>
  </conditionalFormatting>
  <conditionalFormatting sqref="D3:D148">
    <cfRule type="expression" dxfId="19" priority="1">
      <formula>OR(E3="N",F3="0")</formula>
    </cfRule>
  </conditionalFormatting>
  <hyperlinks>
    <hyperlink ref="C41" r:id="rId1" xr:uid="{00000000-0004-0000-0000-000015000000}"/>
    <hyperlink ref="C43" r:id="rId2" xr:uid="{00000000-0004-0000-0000-000016000000}"/>
    <hyperlink ref="C46" r:id="rId3" xr:uid="{00000000-0004-0000-0000-000017000000}"/>
    <hyperlink ref="C45" r:id="rId4" xr:uid="{00000000-0004-0000-0000-000018000000}"/>
    <hyperlink ref="C44" r:id="rId5" xr:uid="{00000000-0004-0000-0000-000019000000}"/>
    <hyperlink ref="C40" r:id="rId6" xr:uid="{00000000-0004-0000-0000-00001A000000}"/>
    <hyperlink ref="C42" r:id="rId7" xr:uid="{00000000-0004-0000-0000-00001B000000}"/>
    <hyperlink ref="C47" r:id="rId8" xr:uid="{00000000-0004-0000-0000-00001C000000}"/>
    <hyperlink ref="C17" r:id="rId9" xr:uid="{00000000-0004-0000-0000-00001D000000}"/>
    <hyperlink ref="C36" r:id="rId10" xr:uid="{00000000-0004-0000-0000-000023000000}"/>
    <hyperlink ref="C31" r:id="rId11" xr:uid="{00000000-0004-0000-0000-000024000000}"/>
    <hyperlink ref="C3" r:id="rId12" xr:uid="{00000000-0004-0000-0000-000025000000}"/>
    <hyperlink ref="C39" r:id="rId13" xr:uid="{00000000-0004-0000-0000-000034000000}"/>
    <hyperlink ref="C48" r:id="rId14" xr:uid="{00000000-0004-0000-0000-000036000000}"/>
    <hyperlink ref="C14" r:id="rId15" xr:uid="{00000000-0004-0000-0000-000037000000}"/>
    <hyperlink ref="C15" r:id="rId16" xr:uid="{00000000-0004-0000-0000-000038000000}"/>
    <hyperlink ref="C29" r:id="rId17" xr:uid="{00000000-0004-0000-0000-000039000000}"/>
    <hyperlink ref="C27" r:id="rId18" xr:uid="{00000000-0004-0000-0000-00003B000000}"/>
    <hyperlink ref="C26" r:id="rId19" xr:uid="{00000000-0004-0000-0000-00003C000000}"/>
    <hyperlink ref="C21" r:id="rId20" xr:uid="{CE0C7E9C-E4A3-4FC5-B527-7DDFAFEA82DF}"/>
    <hyperlink ref="C22" r:id="rId21" xr:uid="{3B9B125B-CCEE-4B8A-A807-27DA5E7F68C0}"/>
    <hyperlink ref="C20" r:id="rId22" xr:uid="{AD8C4706-1A25-490C-8275-DCA0A1987507}"/>
    <hyperlink ref="C19" r:id="rId23" xr:uid="{DE6B8566-9471-4531-9EAF-54D6BAEB0C10}"/>
    <hyperlink ref="C23" r:id="rId24" xr:uid="{36E269DC-10C3-4E2E-927F-D055F5007851}"/>
    <hyperlink ref="C67" r:id="rId25" xr:uid="{6C2BC897-1FE4-484F-AE96-F02F7C061AB7}"/>
    <hyperlink ref="C63" r:id="rId26" xr:uid="{ACCA138E-DC7E-42D4-AF58-F7EC3A0E9C80}"/>
    <hyperlink ref="C64" r:id="rId27" xr:uid="{12156921-28FC-4EDA-B3A8-A792E1F7C117}"/>
    <hyperlink ref="C65" r:id="rId28" xr:uid="{7D2C4BA0-18B9-41C0-BA14-9622A11C373F}"/>
    <hyperlink ref="C60" r:id="rId29" xr:uid="{9308762C-B0F5-4B22-BDB5-547E5C280A63}"/>
    <hyperlink ref="C58" r:id="rId30" xr:uid="{D9793A84-F17B-4438-AB96-B80301B145ED}"/>
    <hyperlink ref="C71" r:id="rId31" xr:uid="{2E871B28-B02F-43BF-B957-7DF89B0E25B0}"/>
    <hyperlink ref="C62" r:id="rId32" xr:uid="{E285B69D-EC64-4BC9-8B37-E8B3AB09E3C7}"/>
    <hyperlink ref="C61" r:id="rId33" xr:uid="{533E8C36-01F1-41B8-9A29-05C61739BA49}"/>
    <hyperlink ref="C104" r:id="rId34" xr:uid="{57338EC6-40B7-44A2-9E19-A1AC4714DBFB}"/>
    <hyperlink ref="C69" r:id="rId35" xr:uid="{FA71BCC9-B8FE-4EFD-B579-743981501842}"/>
    <hyperlink ref="C73" r:id="rId36" xr:uid="{CDAF2BCA-69D3-4999-B477-0FFEEC79DA69}"/>
    <hyperlink ref="C74" r:id="rId37" xr:uid="{170B9A0C-1A80-47BD-B7C7-A59459459C76}"/>
    <hyperlink ref="C75" r:id="rId38" xr:uid="{E1DCEA3D-CA0E-439C-9491-82602DB9D46F}"/>
    <hyperlink ref="C66" r:id="rId39" xr:uid="{21E78629-5EF6-43F2-9810-674166D178B3}"/>
    <hyperlink ref="C70" r:id="rId40" xr:uid="{1161CDB3-65C3-4228-8C9F-5EDC984292CD}"/>
    <hyperlink ref="C68" r:id="rId41" xr:uid="{D014B3B5-6EA5-4358-B87B-E310A891D583}"/>
    <hyperlink ref="C99" r:id="rId42" xr:uid="{3E99259C-EE6A-487F-B78C-C5374FC2DC8D}"/>
    <hyperlink ref="C94" r:id="rId43" xr:uid="{46B568C9-C09A-446C-9D09-216EACF48209}"/>
    <hyperlink ref="C77" r:id="rId44" xr:uid="{6773C1F8-2FA6-4619-B135-59E11A5CA99F}"/>
    <hyperlink ref="C72" r:id="rId45" xr:uid="{9D523C59-F349-499A-86A1-C21941FEDC7C}"/>
    <hyperlink ref="C79" r:id="rId46" xr:uid="{71ABC58C-AE9E-40D3-90F0-182E6EB91F4D}"/>
    <hyperlink ref="C76" r:id="rId47" xr:uid="{BB903E1F-26AC-46A9-9093-EF541E7F9214}"/>
    <hyperlink ref="C93" r:id="rId48" xr:uid="{73984852-60EA-49D6-97AF-858AB9B0D6A0}"/>
    <hyperlink ref="C103" r:id="rId49" xr:uid="{D7718835-2273-4E82-B253-E719D3DD4448}"/>
    <hyperlink ref="C101" r:id="rId50" xr:uid="{186C0110-5114-4CB9-BF14-8F707AB02869}"/>
    <hyperlink ref="C80" r:id="rId51" xr:uid="{79A8A880-4C93-4E42-9E76-8C3D1444B4D9}"/>
    <hyperlink ref="C81" r:id="rId52" xr:uid="{C1C8139D-B55C-4B8A-87B2-80A62AC8D0EF}"/>
    <hyperlink ref="C82" r:id="rId53" xr:uid="{53210B2F-425C-4387-AA8F-76608F0974B7}"/>
    <hyperlink ref="C102" r:id="rId54" xr:uid="{F39B710A-77BF-4C4D-A559-431F8A1626D6}"/>
    <hyperlink ref="C78" r:id="rId55" xr:uid="{F41C98A4-C1B8-497D-A8FD-894ABA1C1609}"/>
    <hyperlink ref="C34" r:id="rId56" xr:uid="{6F7E66D8-94F7-4359-9606-0F74FC14B9EF}"/>
    <hyperlink ref="C33" r:id="rId57" xr:uid="{8C85AB07-B51E-4821-9F76-818A82698FAA}"/>
    <hyperlink ref="C11" r:id="rId58" xr:uid="{9E82AE4C-227E-4D56-BD81-4C1A59DA8BFE}"/>
    <hyperlink ref="C96" r:id="rId59" xr:uid="{C0498F03-E672-49E6-A614-84459DC3C2D5}"/>
    <hyperlink ref="C97" r:id="rId60" xr:uid="{CA7E575A-0CCB-42F4-A1C9-F6638A997FFF}"/>
    <hyperlink ref="C12" r:id="rId61" xr:uid="{54F92293-A7B7-4748-BAF8-24C5BBD16CAA}"/>
    <hyperlink ref="C7" r:id="rId62" xr:uid="{2447A75B-28F1-40F9-A9CA-5424935C53B3}"/>
    <hyperlink ref="C98" r:id="rId63" xr:uid="{BB25697A-F7C6-4F8F-AEA1-32AD459D6B3C}"/>
    <hyperlink ref="C52" r:id="rId64" xr:uid="{0BAB3B8E-473E-453E-9C5C-DDBA96069288}"/>
    <hyperlink ref="C25" r:id="rId65" xr:uid="{31131F31-119C-44F0-A70C-3AE92CEACA30}"/>
    <hyperlink ref="C24" r:id="rId66" xr:uid="{1362B7F9-AAF0-4995-9ED8-AC70442FAE76}"/>
    <hyperlink ref="C55" r:id="rId67" xr:uid="{D809F141-27DE-4141-A4FF-158C426D292B}"/>
    <hyperlink ref="C37" r:id="rId68" xr:uid="{3C71CA91-FDF0-4A00-A152-04C5A85F8775}"/>
    <hyperlink ref="C28" r:id="rId69" xr:uid="{66B2922C-A569-43DE-86DD-2FF9C62CEE46}"/>
    <hyperlink ref="C49" r:id="rId70" xr:uid="{DD4975C5-0EAB-4347-B4B9-178CA93400BD}"/>
    <hyperlink ref="C56" r:id="rId71" xr:uid="{F6301907-292A-4482-8F5E-1B3E0AE9FCB7}"/>
    <hyperlink ref="C51" r:id="rId72" xr:uid="{EEF44350-3B76-4797-BDEF-8C6C443F9A11}"/>
    <hyperlink ref="C50" r:id="rId73" xr:uid="{AF10C949-2318-40A8-A2B9-753BB236F99A}"/>
    <hyperlink ref="C38" r:id="rId74" xr:uid="{A9931A10-F3E2-4247-8A0E-3591E6C98FC8}"/>
    <hyperlink ref="C9" r:id="rId75" xr:uid="{8BF0FB0B-0EAF-44E2-9A67-10F39D1E529E}"/>
    <hyperlink ref="C4" r:id="rId76" xr:uid="{2BCFC955-918A-4033-BB8A-02D1B274689C}"/>
    <hyperlink ref="C13" r:id="rId77" xr:uid="{D8D1BAE0-2F36-4266-B469-12D4DEEAC45E}"/>
    <hyperlink ref="C53" r:id="rId78" xr:uid="{D6C517FD-BF7E-4FFC-B401-9353FD508E1D}"/>
    <hyperlink ref="C54" r:id="rId79" xr:uid="{5EB9531C-D85F-48EE-9DB3-8C9318A93C9D}"/>
    <hyperlink ref="C91" r:id="rId80" xr:uid="{26563272-0C88-492A-BBE0-50F95BA0D85E}"/>
    <hyperlink ref="C92" r:id="rId81" xr:uid="{0C7DF228-AAB0-4890-920B-695BE306A40A}"/>
    <hyperlink ref="C6" r:id="rId82" xr:uid="{662068B3-365C-4FCA-A390-6662B55AF029}"/>
    <hyperlink ref="C5" r:id="rId83" xr:uid="{F8455129-D33F-411D-BD21-57EEA7707BA0}"/>
    <hyperlink ref="C35" r:id="rId84" xr:uid="{87ECC43C-D16C-434F-8452-99AE2AC2556C}"/>
    <hyperlink ref="C18" r:id="rId85" xr:uid="{F9F4A5E5-9E67-4AFA-A347-A12C0D81FD1F}"/>
    <hyperlink ref="C86" r:id="rId86" xr:uid="{6B27FB40-EB5D-4652-A306-F8F931315A3C}"/>
    <hyperlink ref="C83" r:id="rId87" xr:uid="{5A393420-5493-420B-8045-3BAB786DB186}"/>
    <hyperlink ref="C57" r:id="rId88" xr:uid="{4B6E483F-7317-4FF4-84F7-648F917D99F8}"/>
    <hyperlink ref="C32" r:id="rId89" xr:uid="{A1A647E2-6A71-4D05-99B8-4042ABEB2F76}"/>
    <hyperlink ref="C30" r:id="rId90" xr:uid="{F2192225-BA12-4C97-AFC3-4EFF124F2D16}"/>
    <hyperlink ref="C8" r:id="rId91" xr:uid="{6254E02A-23B3-4143-A7FC-84C4FB023FC8}"/>
    <hyperlink ref="C10" r:id="rId92" xr:uid="{0838EE27-4DD5-4AB2-9267-7EC3D0221643}"/>
    <hyperlink ref="C85" r:id="rId93" xr:uid="{A976B257-042A-4870-BB6F-A3078EF41BF6}"/>
    <hyperlink ref="C84" r:id="rId94" xr:uid="{05D7D7C8-3645-41EC-8E37-BE70388630E9}"/>
    <hyperlink ref="C16" r:id="rId95" xr:uid="{3A2C44FE-B438-459C-9AA6-6D56C1946E0E}"/>
    <hyperlink ref="C87" r:id="rId96" xr:uid="{0D5828C7-CB43-47C1-9DF2-C746BF2A9FEB}"/>
    <hyperlink ref="C59" r:id="rId97" xr:uid="{763154E4-456D-4954-9E11-909866FC16FD}"/>
    <hyperlink ref="C100" r:id="rId98" xr:uid="{828AF9B7-E02E-44AF-8303-E5AAF038A23D}"/>
    <hyperlink ref="C95" r:id="rId99" xr:uid="{B44E6AE5-2464-4F66-95AE-2EE98A6A5C4C}"/>
    <hyperlink ref="C88" r:id="rId100" xr:uid="{834BD35C-EFC6-405A-9CD2-7B608AC1A070}"/>
    <hyperlink ref="Z7" r:id="rId101" display="https://motorring.ru/product/24833-ruchki-regulirovki-bloka-otopitelya-chrom-volkswagen-polo" xr:uid="{30F1BF29-AA87-43DD-8867-324F6D6830AD}"/>
    <hyperlink ref="Z10" r:id="rId102" display="https://motorring.ru/product/24828-ruchki-regulirovki-bloka-otopitelya-serebo-daewoo-chevrolet" xr:uid="{6261C78A-0E73-439A-B57E-57B1C7AC508E}"/>
    <hyperlink ref="Z8" r:id="rId103" display="https://motorring.ru/product/10486-ruchki-regulirovki-bloka-otopitelya-serebristoe-kolyco" xr:uid="{B8E97EF5-2A11-49FB-A81B-93EEBA3A336D}"/>
    <hyperlink ref="Z12" r:id="rId104" display="https://motorring.ru/product/13674-ruchki-regulirovki-bloka-otopitelya-chernoe-kolyco-shevrole" xr:uid="{F98C8AE0-6264-476B-9E7D-6C0BD1DC943C}"/>
    <hyperlink ref="Z11" r:id="rId105" display="https://motorring.ru/product/13675-ruchki-regulirovki-bloka-otopitelya-serebryanoe-kolyco" xr:uid="{AD193E28-125B-4815-AAC5-C176AE3DA4DB}"/>
    <hyperlink ref="Z6" r:id="rId106" display="https://motorring.ru/product/1743" xr:uid="{03D11C13-C198-4190-9C19-38A80AF6FBDA}"/>
    <hyperlink ref="Z5" r:id="rId107" display="https://motorring.ru/product/10487-programmator-gamma-910-dlya" xr:uid="{30F7BCD5-4276-46C2-9E89-7D7A72F90F9A}"/>
    <hyperlink ref="Z13" r:id="rId108" display="https://motorring.ru/product/24823-sumka-vkladysh-ferrum-bagaghnik-dlya-lada-kalina" xr:uid="{EFCDCD4A-D666-4A43-B445-C8461FA3A734}"/>
    <hyperlink ref="Z14" r:id="rId109" display="https://motorring.ru/product/24822-sumki-vkladyshi-ferrum-bagaghnik-lada-vesta" xr:uid="{78564701-98E2-48B7-A1A8-66F68CC4602D}"/>
    <hyperlink ref="Z15" r:id="rId110" display="https://motorring.ru/product/24825-sumki-organayzery-ferrum-bagaghnik-lada-niva-4h4" xr:uid="{24C7C7EC-A28F-4BEE-9A6B-BE02936B305B}"/>
    <hyperlink ref="Z16" r:id="rId111" display="https://motorring.ru/product/24826-sumki-vkladyshi-organayzery-derrum-bagaghnik-shevrole-niva" xr:uid="{A5A936AC-F471-4F8B-AE62-C88ACE515668}"/>
    <hyperlink ref="Z18" r:id="rId112" display="https://motorring.ru/product/1729-perehodnik-gamma-921-dlya-kombinaciy-priborov-lada-priora" xr:uid="{C38618AA-E16B-45ED-BEE6-F83A894E370D}"/>
    <hyperlink ref="Z24" r:id="rId113" display="https://motorring.ru/product/1394-bortovoy-kompyyuter-gamma-240-dlya-zaz-sens-chevrolet-lanos" xr:uid="{6197A57A-84CE-4724-839D-428F42BA2010}"/>
    <hyperlink ref="Z25" r:id="rId114" display="https://motorring.ru/product/34419-modelynaya-ruchka-kpp-ferrum-group-sport-dlya-lada-granta" xr:uid="{E7B2BA8E-BDE8-4FC5-859F-FAF8947B44C4}"/>
    <hyperlink ref="Z26" r:id="rId115" display="https://motorring.ru/product/34418-modelynaya-ruchka-kpp-black-club-bielastik-vaz-2107" xr:uid="{1E9513AF-27C9-4A4B-AEE8-16062B2E00D7}"/>
    <hyperlink ref="Z28" r:id="rId116" display="https://motorring.ru/product/34419-modelynaya-ruchka-kpp-ferrum-group-sport-dlya-lada-granta" xr:uid="{507CE55B-3FA4-46C2-B237-2D4CB2C587BB}"/>
    <hyperlink ref="Z29" r:id="rId117" display="https://motorring.ru/product/24827-organayzer-spinku-kresla-ferrum-universalynyy" xr:uid="{AF1E5432-98BF-4583-BCA5-19A16C2633CB}"/>
    <hyperlink ref="Z31" r:id="rId118" display="https://motorring.ru/product/24845-nakladki-pedali-ferrum-amt-lada-vesta" xr:uid="{292D6F94-82A3-47DD-9E5C-EFAB4D628719}"/>
    <hyperlink ref="Z30" r:id="rId119" display="https://motorring.ru/product/24847-nakladki-pedali-ferrum-amt-1-6-lada-vesta" xr:uid="{ADC24561-08F5-4723-820C-3BDB7B0A0156}"/>
    <hyperlink ref="Z32" r:id="rId120" display="https://motorring.ru/product/24837-nakladki-pedali-ferrum-amt-lada-iks-rey" xr:uid="{72C4608A-2753-4890-BAE0-74BA2C20A274}"/>
    <hyperlink ref="Z35" r:id="rId121" display="https://motorring.ru/product/24848-nakladki-pedali-ferrum-mkpp-lada-vesta" xr:uid="{F946058F-5330-4779-B4B4-FEB6F81CE6FB}"/>
    <hyperlink ref="Z39" r:id="rId122" display="https://motorring.ru/product/26111-modelynaya-ruchka-kpp-ferrum-sport-pylynikom-ekokoghi" xr:uid="{0AA96CC6-C162-483C-96F3-B5A108DC7A4B}"/>
    <hyperlink ref="Z34" r:id="rId123" display="https://motorring.ru/product/14317-schitok-dlya-kombinacii-priborov-lada-granta" xr:uid="{DFC18C7A-145F-4597-9C18-BD01F27370E6}"/>
    <hyperlink ref="Z33" r:id="rId124" display="https://motorring.ru/product/35089-schitok-otdelkoy-koghzama-dlya-kombinacii-priborov-lada-red" xr:uid="{E4687276-1E8E-4C84-9B91-4BD94D5411C9}"/>
    <hyperlink ref="Z38" r:id="rId125" display="https://motorring.ru/product/1398" xr:uid="{4207B657-2C8F-4A68-BE98-2C50CA6AB986}"/>
    <hyperlink ref="Z37" r:id="rId126" display="https://motorring.ru/product/1399" xr:uid="{6BF9F113-2310-4B89-AD51-426DF0690129}"/>
    <hyperlink ref="Z49" r:id="rId127" display="https://motorring.ru/product/1406-bortovoy-kompyyuter-gamma-270-lada-priora" xr:uid="{60F6CAD3-11A6-46C6-AF9A-4EB570EC7920}"/>
    <hyperlink ref="Z50" r:id="rId128" display="https://motorring.ru/product/1404-bortovoy-kompyyuter-gamma-218t-lada-kalina" xr:uid="{5AF55940-AAA2-4A17-B78A-6432F2298C7B}"/>
    <hyperlink ref="Z51" r:id="rId129" display="https://motorring.ru/product/1411-bortovoy-kompyyuter-gamma-223-shevrole-niva" xr:uid="{D40D5B6C-D56B-4C63-ADAB-C8C6892863F5}"/>
    <hyperlink ref="Z52" r:id="rId130" display="https://motorring.ru/product/1416-parktronik-gamma-801-dlya-produkcii-gamma" xr:uid="{332DF72C-16F3-4FB7-9531-4A940E315919}"/>
    <hyperlink ref="Z55" r:id="rId131" display="https://motorring.ru/product/1400-bortovoy-kompyyuter-gamma-412-vaz-2110-2112-staroy-panelyyu" xr:uid="{381C2F3C-649B-4891-91F3-F5A2E2A43ADE}"/>
    <hyperlink ref="Z56" r:id="rId132" display="https://motorring.ru/product/1410-bortovoy-kompyyuter-gamma-241-dlya-lacetti-chevrolet-rezzo" xr:uid="{B3D35923-B941-47B8-B5A5-59F91A7EF5A9}"/>
    <hyperlink ref="Z58" r:id="rId133" display="https://motorring.ru/product/21704-elektronnaya-kombinaciya-priborov-gamma-651-tonirovannaya" xr:uid="{3C82A185-F75E-40EB-A152-96B7447083B2}"/>
    <hyperlink ref="Z60" r:id="rId134" display="https://motorring.ru/product/1738-elektronnaya-kombinaciya-priborov-gamma-619-lada-priora" xr:uid="{2315364C-4915-4182-A148-750CBFBEC471}"/>
    <hyperlink ref="Z62" r:id="rId135" display="https://motorring.ru/product/1734-elektronnaya-kombinaciya-priborov-gamma-818-black-lada" xr:uid="{69B31B53-014E-403D-8688-70B207C087B7}"/>
    <hyperlink ref="Z61" r:id="rId136" display="https://motorring.ru/product/1736-elektronnaya-kombinaciya-priborov-gamma-818-silver-lada" xr:uid="{3A456B2A-1425-45AF-98C5-B6A44025DA06}"/>
    <hyperlink ref="Z63" r:id="rId137" display="https://motorring.ru/product/1703-elektronnaya-kombinaciya-priborov-gamma-616-vaz-2113-2115" xr:uid="{D6287129-9867-4888-9C71-217CEBB6A648}"/>
    <hyperlink ref="Z64" r:id="rId138" display="https://motorring.ru/product/1707-elektronnaya-kombinaciya-priborov-gamma-616-lada-niva-4h4" xr:uid="{699E3EEB-2D2D-4D1C-B769-B9A38AF3E96B}"/>
    <hyperlink ref="Z65" r:id="rId139" display="https://motorring.ru/product/16163-elektronnaya-kombinaciya-priborov-gamma-616-shevrole-niva" xr:uid="{8FBA9DA9-45A7-4D12-9849-D5003D300292}"/>
    <hyperlink ref="Z68" r:id="rId140" display="https://motorring.ru/product/11514-elektronnaya-kombinaciya-priborov-gamma-825s-shevrole-niva" xr:uid="{370E5238-3188-431D-BE18-8A7B7ABEAE44}"/>
    <hyperlink ref="Z70" r:id="rId141" display="https://motorring.ru/product/11463-elektronnaya-kombinaciya-priborov-gamma-825s-lada-niva-4h4" xr:uid="{A3FBB2F8-6147-4387-9DD3-6B01502E30D7}"/>
    <hyperlink ref="Z66" r:id="rId142" display="https://motorring.ru/product/11464-elektronnaya-kombinaciya-priborov-gamma-825s-vaz-2113-2115" xr:uid="{0084A7EC-3E78-462C-A9F5-9D831545CA14}"/>
    <hyperlink ref="Z67" r:id="rId143" display="https://motorring.ru/product/1709-elektronnaya-kombinaciya-priborov-gamma-607-vaz-2107" xr:uid="{FDF4EE90-E759-4B64-9AD3-74A467FB8C53}"/>
    <hyperlink ref="Z69" r:id="rId144" display="https://motorring.ru/product/16426-elektronnaya-kombinaciya-priborov-gamma-821-lada-priora" xr:uid="{9BD2962E-6F89-4321-9BA6-8E8D872FF4D9}"/>
    <hyperlink ref="Z71" r:id="rId145" display="https://motorring.ru/product/16422-elektronnaya-kombinaciya-priborov-gamma-651s-lada-granta" xr:uid="{48BA7615-B164-475D-A4A4-2D05AB45F48D}"/>
    <hyperlink ref="Z72" r:id="rId146" display="https://motorring.ru/product/13252-elektronnaya-kombinaciya-priborov-gamma-gf851l-lada-granta" xr:uid="{F58B30AB-76BA-4B6D-9B98-9770D9DF1993}"/>
    <hyperlink ref="Z73" r:id="rId147" display="https://motorring.ru/product/1728-elektronnaya-kombinaciya-priborov-gamma-822-lada-priora" xr:uid="{C12500D1-608E-491F-83F7-BA512969B123}"/>
    <hyperlink ref="Z74" r:id="rId148" display="https://motorring.ru/product/15479-elektronnaya-kombinaciya-priborov-gamma-822s-lada-priora" xr:uid="{1D5D4F49-19FC-49E6-8264-9F99D5215C34}"/>
    <hyperlink ref="Z75" r:id="rId149" display="https://motorring.ru/product/13253-elektronnaya-kombinaciya-priborov-gamma-823-lada-priora" xr:uid="{D5103EA2-5FA9-4983-8016-5496E999802B}"/>
    <hyperlink ref="Z76" r:id="rId150" display="https://motorring.ru/product/11462-elektronnaya-kombinaciya-priborov-gamma-851s-lada-granta" xr:uid="{0E46CFD2-8434-4BA1-AA41-1CB1E401B155}"/>
    <hyperlink ref="Z77" r:id="rId151" display="https://motorring.ru/product/16421-elektronnaya-kombinaciya-priborov-gamma-841-shevrole" xr:uid="{648B8D83-65EC-41BF-B4E8-AA09473F13EE}"/>
    <hyperlink ref="Z78" r:id="rId152" display="https://motorring.ru/product/12425-elektronnaya-kombinaciya-priborov-gamma-841-shevrole" xr:uid="{77FE6076-E9CC-4F44-9AC0-89416F08897A}"/>
    <hyperlink ref="Z79" r:id="rId153" display="https://motorring.ru/product/21693-elektronnaya-kombinaciya-priborov-gamma-851s-cross-lada" xr:uid="{8E64F9C2-8C94-4587-AC36-261EA5CD98DE}"/>
    <hyperlink ref="Z80" r:id="rId154" display="https://motorring.ru/product/21697-kombinaciya-priborov-gamma-940-cross-serie-lada-vesta" xr:uid="{C6C1AD42-9170-480B-B6C1-6C3A15B164CB}"/>
    <hyperlink ref="Z81" r:id="rId155" display="https://motorring.ru/product/21696-kombinaciya-priborov-gamma-940-exclusive-edition-lada-vesta" xr:uid="{EF7681D4-2216-4C0C-860D-D597D42FD0E1}"/>
    <hyperlink ref="Z82" r:id="rId156" display="https://motorring.ru/product/39786-kombinaciya-priborov-gamma-940-limited-edition-lada-vesta" xr:uid="{2F63531E-C0CC-45F1-9745-203C15E2EC88}"/>
    <hyperlink ref="Z83" r:id="rId157" display="https://motorring.ru/product/34992-kolpachki-stupic-stilizovannye-ferrumgroup-dlya-lada-vesta" xr:uid="{49FF11DA-245C-43E2-A42A-24E751E1936B}"/>
    <hyperlink ref="Z85" r:id="rId158" display="https://motorring.ru/product/36273-kombinaciya-priborov-949n-limited-turbo-schitkom-lada-vesta" xr:uid="{52BFDA2F-5A7B-4921-B983-217E49BDD4E8}"/>
    <hyperlink ref="Z87" r:id="rId159" display="https://motorring.ru/product/34990-nakladki-porogi-ferrumgroup-dlya-lada-vesta" xr:uid="{C6913036-B083-49F4-B0ED-B652E99F304A}"/>
    <hyperlink ref="Z86" r:id="rId160" display="https://motorring.ru/product/34950-kombinaciya-priborov-949n-turbo-schitkom-lada-vesta" xr:uid="{08D19318-DED1-45E1-BC44-1E5072465A65}"/>
    <hyperlink ref="Z88" r:id="rId161" display="https://motorring.ru/product/40311-kombinaciya-priborov-826n-black-lada-4h4-niva-novoy-panel" xr:uid="{4A4124A2-03DF-43D3-BA3B-C7574BB479B8}"/>
    <hyperlink ref="Z57" r:id="rId162" display="https://motorring.ru/product/24859-datchiki-davleniya-vozduha-shinah-tpms-ferrum-group-lada" xr:uid="{5C8C7CBE-9C75-44F4-827D-2B9CED940B60}"/>
    <hyperlink ref="Z48" r:id="rId163" display="https://motorring.ru/product/24832-blok-upravleniya-otopitelem-ruchkami-ferrum-dlya-daewoo" xr:uid="{A812B16E-AC61-44FA-A364-21513D6FC015}"/>
    <hyperlink ref="Z47" r:id="rId164" display="https://motorring.ru/product/29216-modelynaya-ruchka-kpp-pylynikom-ferrum-limited-edition2" xr:uid="{6A258596-E0D5-472E-B13D-FE8BBF980A8A}"/>
    <hyperlink ref="Z40" r:id="rId165" display="https://motorring.ru/product/26107-modelynaya-ruchka-kpp-ferrum-cross-serie-pylynikom-ekokoghi" xr:uid="{1459963B-0B67-4A55-B180-A35F9AE197B2}"/>
    <hyperlink ref="Z42" r:id="rId166" display="https://motorring.ru/product/26106-modelynaya-ruchka-kpp-ferrum-exclusive-pylynikom-ekokoghi" xr:uid="{0AD5445C-17B4-4853-BCE6-BF523293E1D2}"/>
    <hyperlink ref="Z45" r:id="rId167" display="https://motorring.ru/product/26108-modelynaya-ruchka-kpp-ferrum-grand-sport-pylynikom-ekokoghi" xr:uid="{9AE076F5-032E-460B-A9AB-A221298D6A30}"/>
    <hyperlink ref="Z27" r:id="rId168" display="https://motorring.ru/product/34417-modelynaya-ruchka-kpp-ferrum-group-bielastik-vaz-2107" xr:uid="{8F3422A4-3F9F-4DCB-839E-CA6AA24E12ED}"/>
    <hyperlink ref="Z23" r:id="rId169" display="https://motorring.ru/product/29216-modelynaya-ruchka-kpp-pylynikom-ferrum-limited-edition2" xr:uid="{EB5D60FD-FC25-432A-8D28-A66E72F78E12}"/>
    <hyperlink ref="Z22" r:id="rId170" display="https://motorring.ru/product/29219-modelynaya-ruchka-kpp-ferrum-grand-sport2-pylynikom-ekokoghi" xr:uid="{41CECD11-EB6A-47BC-B3F9-10E637CEF55E}"/>
    <hyperlink ref="Z21" r:id="rId171" display="https://motorring.ru/product/26109-modelynaya-ruchka-kpp-ferrum-grand-premium-pylynikom" xr:uid="{F1AD279E-4838-46CF-85B1-2807E5E1E68A}"/>
    <hyperlink ref="Z17" r:id="rId172" display="https://motorring.ru/product/27756-modelynaya-ruchka-kpp-ferrum-pylynikom-ekokoghi-dlya-lada" xr:uid="{3B854F5E-62D1-4E66-93F4-A271E71F8CC1}"/>
    <hyperlink ref="Z92" r:id="rId173" display="https://motorring.ru/product/16240-elektronnaya-kombinaciya-priborov-gamma-890-serebro-largus" xr:uid="{1F293242-AC9F-4737-A991-4F3EF3EAB338}"/>
    <hyperlink ref="Z93" r:id="rId174" display="https://motorring.ru/product/16239-elektronnaya-kombinaciya-priborov-gamma-890-hrom-largus" xr:uid="{6A8CFA31-5A85-4C96-8F31-97EBC4F387A6}"/>
    <hyperlink ref="Z91" r:id="rId175" display="https://motorring.ru/product/16358-elektronnaya-kombinaciya-priborov-gamma-890-chernye-kolyca" xr:uid="{EC21F184-1FA1-40CF-8298-F3DAFCBC75BC}"/>
    <hyperlink ref="Z54" r:id="rId176" display="https://motorring.ru/product/1416-parktronik-gamma-801-dlya-produkcii-gamma" xr:uid="{6A8ADAD4-79E5-4AAD-8BE8-068CDAF5E7EE}"/>
    <hyperlink ref="Z4" r:id="rId177" display="https://motorring.ru/product/13254-organayzer-gamma-panely-lada-largus" xr:uid="{3FB898BE-73FC-4E45-8273-4A8232580F13}"/>
    <hyperlink ref="Z3" r:id="rId178" display="https://motorring.ru/product/34989-shilydik-serebryanyy-stoyki-dlya-lada-vesta" xr:uid="{D2F1A888-B266-40C1-94ED-779431EE775E}"/>
    <hyperlink ref="C89" r:id="rId179" xr:uid="{3F955516-F003-414A-B220-44F2846F252B}"/>
    <hyperlink ref="C90" r:id="rId180" xr:uid="{D0FC53E4-2675-4F11-BC1B-4BC9F7F13FEC}"/>
  </hyperlinks>
  <pageMargins left="0.7" right="0.7" top="0.75" bottom="0.75" header="0.3" footer="0.3"/>
  <pageSetup paperSize="9" orientation="portrait" r:id="rId18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84AD5-B61B-4D2C-9D3F-8DC22A237806}">
  <sheetPr codeName="Лист6"/>
  <dimension ref="A1:AH872"/>
  <sheetViews>
    <sheetView topLeftCell="J1" zoomScaleNormal="100" workbookViewId="0">
      <pane ySplit="2" topLeftCell="A3" activePane="bottomLeft" state="frozen"/>
      <selection pane="bottomLeft" activeCell="AH1" sqref="AH1:AH1048576"/>
    </sheetView>
  </sheetViews>
  <sheetFormatPr defaultRowHeight="15" outlineLevelCol="1"/>
  <cols>
    <col min="1" max="1" width="33" style="98" customWidth="1"/>
    <col min="2" max="3" width="7" style="98" bestFit="1" customWidth="1"/>
    <col min="4" max="4" width="18.42578125" style="98" customWidth="1"/>
    <col min="5" max="5" width="53.42578125" style="98" customWidth="1"/>
    <col min="6" max="6" width="2" style="98" bestFit="1" customWidth="1" outlineLevel="1"/>
    <col min="7" max="7" width="4.85546875" style="98" bestFit="1" customWidth="1" outlineLevel="1"/>
    <col min="8" max="8" width="9.140625" style="98" customWidth="1" outlineLevel="1"/>
    <col min="9" max="9" width="15.85546875" style="98" customWidth="1" outlineLevel="1"/>
    <col min="10" max="11" width="7.5703125" style="136" bestFit="1" customWidth="1" outlineLevel="1"/>
    <col min="12" max="12" width="7.7109375" style="98" bestFit="1" customWidth="1"/>
    <col min="13" max="13" width="8.42578125" style="98" bestFit="1" customWidth="1"/>
    <col min="14" max="16" width="9.140625" style="98"/>
    <col min="17" max="17" width="9.28515625" style="152" customWidth="1"/>
    <col min="18" max="18" width="7.28515625" style="152" bestFit="1" customWidth="1"/>
    <col min="19" max="19" width="6.7109375" style="98" bestFit="1" customWidth="1"/>
    <col min="20" max="20" width="6.85546875" style="98" bestFit="1" customWidth="1"/>
    <col min="21" max="21" width="7.42578125" style="98" bestFit="1" customWidth="1"/>
    <col min="22" max="22" width="7.5703125" style="98" bestFit="1" customWidth="1"/>
    <col min="23" max="23" width="9.140625" style="98"/>
    <col min="24" max="24" width="7" style="108" customWidth="1"/>
    <col min="25" max="25" width="9.140625" style="98"/>
    <col min="26" max="26" width="4.42578125" style="98" bestFit="1" customWidth="1"/>
    <col min="27" max="27" width="7.42578125" style="98" bestFit="1" customWidth="1"/>
    <col min="28" max="31" width="9.140625" style="98"/>
    <col min="32" max="32" width="16.42578125" style="98" customWidth="1"/>
    <col min="33" max="16384" width="9.140625" style="98"/>
  </cols>
  <sheetData>
    <row r="1" spans="1:34">
      <c r="C1" s="99">
        <v>2</v>
      </c>
      <c r="E1" s="99">
        <v>3</v>
      </c>
      <c r="F1" s="98">
        <v>4</v>
      </c>
      <c r="G1" s="98">
        <v>15</v>
      </c>
      <c r="I1" s="226">
        <f>COUNT(Кат!Z:Z,Торг!$AE:$AE)/COUNT(Кат!A:A,Торг!B:B)</f>
        <v>0.88472906403940887</v>
      </c>
      <c r="J1" s="98"/>
      <c r="K1" s="98"/>
      <c r="M1" s="98">
        <v>1.3</v>
      </c>
      <c r="O1" s="107" t="e">
        <f t="shared" ref="O1" si="0">M1/L1</f>
        <v>#DIV/0!</v>
      </c>
      <c r="P1" s="132">
        <v>1.1499999999999999</v>
      </c>
      <c r="Q1" s="143">
        <f t="shared" ref="Q1" si="1">L1*P1*100/93</f>
        <v>0</v>
      </c>
      <c r="R1" s="144">
        <f t="shared" ref="R1" si="2">IF(Q1&lt;=1000,(ROUNDUP(Q1,-2)-1),(ROUNDUP(Q1,-2)-10))</f>
        <v>-1</v>
      </c>
      <c r="S1" s="98">
        <v>9</v>
      </c>
      <c r="T1" s="98">
        <v>10</v>
      </c>
      <c r="U1" s="108"/>
      <c r="V1" s="108"/>
      <c r="X1" s="225"/>
      <c r="Y1" s="109"/>
      <c r="Z1" s="109"/>
      <c r="AA1" s="109"/>
      <c r="AB1" s="110" t="str">
        <f>_xlfn.CONCAT(ROUND(MIN(AB3:AB849)*100,0),"-",ROUND(MAX(AB3:AB849)*100,0),"%")</f>
        <v>15-32%</v>
      </c>
      <c r="AC1" s="110" t="str">
        <f>_xlfn.CONCAT(ROUND(SUBTOTAL(5,AC3:AC849)*100,0)," - ",ROUND(SUBTOTAL(4,AC3:AC849)*100,0),"%")</f>
        <v>-13 - 10%</v>
      </c>
      <c r="AD1" s="110" t="str">
        <f>_xlfn.CONCAT(ROUND(SUBTOTAL(5,AD3:AD849)*100,0)," - ",ROUND(SUBTOTAL(4,AD3:AD849)*100,0),"%")</f>
        <v>2 - 34%</v>
      </c>
      <c r="AE1" s="111"/>
    </row>
    <row r="2" spans="1:34" ht="25.5">
      <c r="A2" s="92" t="s">
        <v>731</v>
      </c>
      <c r="B2" s="112" t="s">
        <v>0</v>
      </c>
      <c r="C2" s="85" t="s">
        <v>475</v>
      </c>
      <c r="D2" s="113" t="s">
        <v>98</v>
      </c>
      <c r="E2" s="85" t="s">
        <v>394</v>
      </c>
      <c r="F2" s="85"/>
      <c r="G2" s="85"/>
      <c r="H2" s="114" t="s">
        <v>475</v>
      </c>
      <c r="I2" s="115" t="s">
        <v>867</v>
      </c>
      <c r="J2" s="114" t="s">
        <v>868</v>
      </c>
      <c r="K2" s="114" t="s">
        <v>869</v>
      </c>
      <c r="L2" s="116" t="s">
        <v>160</v>
      </c>
      <c r="M2" s="117" t="s">
        <v>881</v>
      </c>
      <c r="N2" s="117" t="s">
        <v>882</v>
      </c>
      <c r="O2" s="118" t="s">
        <v>163</v>
      </c>
      <c r="P2" s="118" t="s">
        <v>162</v>
      </c>
      <c r="Q2" s="145" t="s">
        <v>1607</v>
      </c>
      <c r="R2" s="146" t="s">
        <v>880</v>
      </c>
      <c r="S2" s="85" t="s">
        <v>607</v>
      </c>
      <c r="T2" s="85" t="s">
        <v>608</v>
      </c>
      <c r="U2" s="94" t="s">
        <v>498</v>
      </c>
      <c r="V2" s="94" t="s">
        <v>498</v>
      </c>
      <c r="W2" s="119">
        <v>7.0000000000000007E-2</v>
      </c>
      <c r="X2" s="209" t="s">
        <v>650</v>
      </c>
      <c r="Y2" s="120">
        <v>1.3</v>
      </c>
      <c r="Z2" s="121" t="s">
        <v>883</v>
      </c>
      <c r="AA2" s="122" t="s">
        <v>502</v>
      </c>
      <c r="AB2" s="123" t="s">
        <v>287</v>
      </c>
      <c r="AC2" s="123" t="s">
        <v>500</v>
      </c>
      <c r="AD2" s="123" t="s">
        <v>499</v>
      </c>
      <c r="AE2" s="124" t="s">
        <v>606</v>
      </c>
      <c r="AH2" s="98" t="s">
        <v>98</v>
      </c>
    </row>
    <row r="3" spans="1:34" ht="30.75" thickBot="1">
      <c r="A3" s="125" t="str">
        <f>INDEX('Выгр Торг'!$A:$A,MATCH($B3,'Выгр Торг'!$B:$B,0))</f>
        <v>Руль "Ferrum Group" Black, анатомическое для ВАЗ 2101-2107</v>
      </c>
      <c r="B3" s="126">
        <v>208987</v>
      </c>
      <c r="C3" s="127">
        <f>VLOOKUP($B3,'Выгр Торг'!$B:$Q,C$1,0)</f>
        <v>38583</v>
      </c>
      <c r="D3" s="128" t="s">
        <v>243</v>
      </c>
      <c r="E3" s="125" t="str">
        <f>VLOOKUP($B3,'Выгр Торг'!$B:$Q,E$1,0)</f>
        <v>Анатомическое рулевое колесо "Ferrum Group" Black 2107  Чёрная нить</v>
      </c>
      <c r="F3" s="127" t="str">
        <f>VLOOKUP($B3,'Выгр Торг'!$B:$Q,F$1,0)</f>
        <v>Y</v>
      </c>
      <c r="G3" s="127" t="str">
        <f>VLOOKUP($B3,'Выгр Торг'!$B:$Q,G$1,0)</f>
        <v>1</v>
      </c>
      <c r="H3" s="129">
        <v>38583</v>
      </c>
      <c r="I3" s="154"/>
      <c r="J3" s="160"/>
      <c r="K3" s="161">
        <v>0</v>
      </c>
      <c r="L3" s="130">
        <f>M3-1000</f>
        <v>31380</v>
      </c>
      <c r="M3" s="131">
        <f>N3+J3</f>
        <v>32380</v>
      </c>
      <c r="N3" s="131">
        <v>32380</v>
      </c>
      <c r="O3" s="132">
        <f t="shared" ref="O3" si="3">M3/L3</f>
        <v>1.0318674314850222</v>
      </c>
      <c r="P3" s="132">
        <f>IF(O3&lt;=$P$1,$P$1,O3)</f>
        <v>1.1499999999999999</v>
      </c>
      <c r="Q3" s="147">
        <f t="shared" ref="Q3" si="4">L3*P3*100/93</f>
        <v>38803.225806451614</v>
      </c>
      <c r="R3" s="148">
        <f t="shared" ref="R3" si="5">IF(Q3&lt;=1000,(ROUNDUP(Q3,-2)-1),(ROUNDUP(Q3,-2)-10))</f>
        <v>38890</v>
      </c>
      <c r="S3" s="127">
        <f>VLOOKUP($B3,'Выгр Торг'!$B:$Q,S$1,0)</f>
        <v>31380</v>
      </c>
      <c r="T3" s="127">
        <f>VLOOKUP($B3,'Выгр Торг'!$B:$Q,T$1,0)</f>
        <v>38890</v>
      </c>
      <c r="U3" s="94">
        <f>S3-L3</f>
        <v>0</v>
      </c>
      <c r="V3" s="94">
        <f>T3-R3</f>
        <v>0</v>
      </c>
      <c r="W3" s="153">
        <f t="shared" ref="W3:W14" si="6">R3*(1-$W$2)</f>
        <v>36167.699999999997</v>
      </c>
      <c r="X3" s="209">
        <f>IFERROR(VLOOKUP($B3,'Из ГУГЛа'!$B:$G,6,0)*Z3+Y3,VLOOKUP($B3,'Из ГУГЛа'!$B:$G,6,0))</f>
        <v>39990</v>
      </c>
      <c r="Y3" s="106">
        <f>(J3+K3)*$Y$2</f>
        <v>0</v>
      </c>
      <c r="Z3" s="133">
        <v>1</v>
      </c>
      <c r="AA3" s="134"/>
      <c r="AB3" s="135">
        <f>IFERROR(W3/L3-1,"")</f>
        <v>0.15257170172084122</v>
      </c>
      <c r="AC3" s="135">
        <f>IFERROR((AE3-W3)/AE3,"")</f>
        <v>9.5581395348837278E-2</v>
      </c>
      <c r="AD3" s="135">
        <f>IFERROR(IF(AE3="","",AE3/L3-1),"")</f>
        <v>0.27437858508604207</v>
      </c>
      <c r="AE3" s="221">
        <v>39990</v>
      </c>
      <c r="AF3" s="98" t="s">
        <v>647</v>
      </c>
      <c r="AH3" s="98" t="s">
        <v>243</v>
      </c>
    </row>
    <row r="4" spans="1:34" ht="31.5" thickTop="1" thickBot="1">
      <c r="A4" s="125" t="str">
        <f>INDEX('Выгр Торг'!$A:$A,MATCH($B4,'Выгр Торг'!$B:$B,0))</f>
        <v>Руль "Ferrum Group" Black, анатомическое для ВАЗ 2101-2107</v>
      </c>
      <c r="B4" s="126">
        <v>208986</v>
      </c>
      <c r="C4" s="127">
        <f>VLOOKUP($B4,'Выгр Торг'!$B:$Q,C$1,0)</f>
        <v>38575</v>
      </c>
      <c r="D4" s="128" t="s">
        <v>243</v>
      </c>
      <c r="E4" s="125" t="str">
        <f>VLOOKUP($B4,'Выгр Торг'!$B:$Q,E$1,0)</f>
        <v>Анатомическое рулевое колесо "Ferrum Group" Black 2107  Фиолетовая нить</v>
      </c>
      <c r="F4" s="127" t="str">
        <f>VLOOKUP($B4,'Выгр Торг'!$B:$Q,F$1,0)</f>
        <v>Y</v>
      </c>
      <c r="G4" s="127" t="str">
        <f>VLOOKUP($B4,'Выгр Торг'!$B:$Q,G$1,0)</f>
        <v>1</v>
      </c>
      <c r="H4" s="129">
        <v>38583</v>
      </c>
      <c r="I4" s="154"/>
      <c r="J4" s="160"/>
      <c r="K4" s="161">
        <v>870</v>
      </c>
      <c r="L4" s="130">
        <f>M4-1000</f>
        <v>32250</v>
      </c>
      <c r="M4" s="130">
        <f t="shared" ref="M4:M14" si="7">INDEX($M:$M,MATCH($H4,$C:$C,0))+$K4+$J4</f>
        <v>33250</v>
      </c>
      <c r="N4" s="130">
        <f t="shared" ref="N4:N14" si="8">INDEX($N:$N,MATCH($H4,$C:$C,0))+$K4+$J4</f>
        <v>33250</v>
      </c>
      <c r="O4" s="132">
        <f t="shared" ref="O4" si="9">M4/L4</f>
        <v>1.0310077519379846</v>
      </c>
      <c r="P4" s="132">
        <f t="shared" ref="P4:P67" si="10">IF(O4&lt;=$P$1,$P$1,O4)</f>
        <v>1.1499999999999999</v>
      </c>
      <c r="Q4" s="130">
        <f t="shared" ref="Q4:Q14" si="11">INDEX($Q:$Q,MATCH($H4,$C:$C,0))+($K4+$J4)*INDEX($P:$P,MATCH($H4,$C:$C,0))*100/93</f>
        <v>39879.032258064515</v>
      </c>
      <c r="R4" s="148">
        <f t="shared" ref="R4" si="12">IF(Q4&lt;=1000,(ROUNDUP(Q4,-2)-1),(ROUNDUP(Q4,-2)-10))</f>
        <v>39890</v>
      </c>
      <c r="S4" s="127">
        <f>VLOOKUP($B4,'Выгр Торг'!$B:$Q,S$1,0)</f>
        <v>32250</v>
      </c>
      <c r="T4" s="127">
        <f>VLOOKUP($B4,'Выгр Торг'!$B:$Q,T$1,0)</f>
        <v>39890</v>
      </c>
      <c r="U4" s="94">
        <f t="shared" ref="U4:U67" si="13">S4-L4</f>
        <v>0</v>
      </c>
      <c r="V4" s="94">
        <f t="shared" ref="V4:V67" si="14">T4-R4</f>
        <v>0</v>
      </c>
      <c r="W4" s="153">
        <f t="shared" si="6"/>
        <v>37097.699999999997</v>
      </c>
      <c r="X4" s="209">
        <f>IFERROR(VLOOKUP($B4,'Из ГУГЛа'!$B:$G,6,0)*Z4+Y4,VLOOKUP($B4,'Из ГУГЛа'!$B:$G,6,0))</f>
        <v>39990</v>
      </c>
      <c r="Y4" s="76"/>
      <c r="Z4" s="133">
        <v>1</v>
      </c>
      <c r="AA4" s="134"/>
      <c r="AB4" s="135">
        <f t="shared" ref="AB4:AB67" si="15">IFERROR(W4/L4-1,"")</f>
        <v>0.15031627906976741</v>
      </c>
      <c r="AC4" s="135">
        <f t="shared" ref="AC4:AC67" si="16">IFERROR((AE4-W4)/AE4,"")</f>
        <v>7.2325581395348906E-2</v>
      </c>
      <c r="AD4" s="135">
        <f t="shared" ref="AD4:AD67" si="17">IFERROR(IF(AE4="","",AE4/L4-1),"")</f>
        <v>0.24</v>
      </c>
      <c r="AE4" s="221">
        <v>39990</v>
      </c>
      <c r="AF4" s="98" t="s">
        <v>647</v>
      </c>
      <c r="AH4" s="98" t="s">
        <v>243</v>
      </c>
    </row>
    <row r="5" spans="1:34" ht="31.5" thickTop="1" thickBot="1">
      <c r="A5" s="125" t="str">
        <f>INDEX('Выгр Торг'!$A:$A,MATCH($B5,'Выгр Торг'!$B:$B,0))</f>
        <v>Руль "Ferrum Group" Black, анатомическое для ВАЗ 2101-2107</v>
      </c>
      <c r="B5" s="126">
        <v>208985</v>
      </c>
      <c r="C5" s="127">
        <f>VLOOKUP($B5,'Выгр Торг'!$B:$Q,C$1,0)</f>
        <v>38576</v>
      </c>
      <c r="D5" s="128" t="s">
        <v>243</v>
      </c>
      <c r="E5" s="125" t="str">
        <f>VLOOKUP($B5,'Выгр Торг'!$B:$Q,E$1,0)</f>
        <v>Анатомическое рулевое колесо "Ferrum Group" Black 2107  Тёмно-серая нить</v>
      </c>
      <c r="F5" s="127" t="str">
        <f>VLOOKUP($B5,'Выгр Торг'!$B:$Q,F$1,0)</f>
        <v>Y</v>
      </c>
      <c r="G5" s="127" t="str">
        <f>VLOOKUP($B5,'Выгр Торг'!$B:$Q,G$1,0)</f>
        <v>1</v>
      </c>
      <c r="H5" s="129">
        <v>38583</v>
      </c>
      <c r="I5" s="154"/>
      <c r="J5" s="160"/>
      <c r="K5" s="161">
        <v>870</v>
      </c>
      <c r="L5" s="130">
        <f t="shared" ref="L5:L14" si="18">M5-1000</f>
        <v>32250</v>
      </c>
      <c r="M5" s="130">
        <f t="shared" si="7"/>
        <v>33250</v>
      </c>
      <c r="N5" s="130">
        <f t="shared" si="8"/>
        <v>33250</v>
      </c>
      <c r="O5" s="132">
        <f t="shared" ref="O5:O14" si="19">M5/L5</f>
        <v>1.0310077519379846</v>
      </c>
      <c r="P5" s="132">
        <f t="shared" si="10"/>
        <v>1.1499999999999999</v>
      </c>
      <c r="Q5" s="130">
        <f t="shared" si="11"/>
        <v>39879.032258064515</v>
      </c>
      <c r="R5" s="148">
        <f t="shared" ref="R5:R14" si="20">IF(Q5&lt;=1000,(ROUNDUP(Q5,-2)-1),(ROUNDUP(Q5,-2)-10))</f>
        <v>39890</v>
      </c>
      <c r="S5" s="127">
        <f>VLOOKUP($B5,'Выгр Торг'!$B:$Q,S$1,0)</f>
        <v>32250</v>
      </c>
      <c r="T5" s="127">
        <f>VLOOKUP($B5,'Выгр Торг'!$B:$Q,T$1,0)</f>
        <v>39890</v>
      </c>
      <c r="U5" s="94">
        <f t="shared" si="13"/>
        <v>0</v>
      </c>
      <c r="V5" s="94">
        <f t="shared" si="14"/>
        <v>0</v>
      </c>
      <c r="W5" s="153">
        <f t="shared" si="6"/>
        <v>37097.699999999997</v>
      </c>
      <c r="X5" s="209">
        <f>IFERROR(VLOOKUP($B5,'Из ГУГЛа'!$B:$G,6,0)*Z5+Y5,VLOOKUP($B5,'Из ГУГЛа'!$B:$G,6,0))</f>
        <v>39990</v>
      </c>
      <c r="Y5" s="76"/>
      <c r="Z5" s="133">
        <v>1</v>
      </c>
      <c r="AA5" s="134"/>
      <c r="AB5" s="135">
        <f t="shared" si="15"/>
        <v>0.15031627906976741</v>
      </c>
      <c r="AC5" s="135">
        <f t="shared" si="16"/>
        <v>7.2325581395348906E-2</v>
      </c>
      <c r="AD5" s="135">
        <f t="shared" si="17"/>
        <v>0.24</v>
      </c>
      <c r="AE5" s="221">
        <v>39990</v>
      </c>
      <c r="AF5" s="98" t="s">
        <v>647</v>
      </c>
      <c r="AH5" s="98" t="s">
        <v>243</v>
      </c>
    </row>
    <row r="6" spans="1:34" ht="31.5" thickTop="1" thickBot="1">
      <c r="A6" s="125" t="str">
        <f>INDEX('Выгр Торг'!$A:$A,MATCH($B6,'Выгр Торг'!$B:$B,0))</f>
        <v>Руль "Ferrum Group" Black, анатомическое для ВАЗ 2101-2107</v>
      </c>
      <c r="B6" s="126">
        <v>208978</v>
      </c>
      <c r="C6" s="127">
        <f>VLOOKUP($B6,'Выгр Торг'!$B:$Q,C$1,0)</f>
        <v>38577</v>
      </c>
      <c r="D6" s="128" t="s">
        <v>243</v>
      </c>
      <c r="E6" s="125" t="str">
        <f>VLOOKUP($B6,'Выгр Торг'!$B:$Q,E$1,0)</f>
        <v>Анатомическое рулевое колесо "Ferrum Group" Black 2107  Коричневая нить</v>
      </c>
      <c r="F6" s="127" t="str">
        <f>VLOOKUP($B6,'Выгр Торг'!$B:$Q,F$1,0)</f>
        <v>Y</v>
      </c>
      <c r="G6" s="127" t="str">
        <f>VLOOKUP($B6,'Выгр Торг'!$B:$Q,G$1,0)</f>
        <v>1</v>
      </c>
      <c r="H6" s="129">
        <v>38583</v>
      </c>
      <c r="I6" s="154"/>
      <c r="J6" s="160"/>
      <c r="K6" s="161">
        <v>870</v>
      </c>
      <c r="L6" s="130">
        <f t="shared" si="18"/>
        <v>32250</v>
      </c>
      <c r="M6" s="130">
        <f t="shared" si="7"/>
        <v>33250</v>
      </c>
      <c r="N6" s="130">
        <f t="shared" si="8"/>
        <v>33250</v>
      </c>
      <c r="O6" s="132">
        <f t="shared" si="19"/>
        <v>1.0310077519379846</v>
      </c>
      <c r="P6" s="132">
        <f t="shared" si="10"/>
        <v>1.1499999999999999</v>
      </c>
      <c r="Q6" s="130">
        <f t="shared" si="11"/>
        <v>39879.032258064515</v>
      </c>
      <c r="R6" s="148">
        <f t="shared" si="20"/>
        <v>39890</v>
      </c>
      <c r="S6" s="127">
        <f>VLOOKUP($B6,'Выгр Торг'!$B:$Q,S$1,0)</f>
        <v>32250</v>
      </c>
      <c r="T6" s="127">
        <f>VLOOKUP($B6,'Выгр Торг'!$B:$Q,T$1,0)</f>
        <v>39890</v>
      </c>
      <c r="U6" s="94">
        <f t="shared" si="13"/>
        <v>0</v>
      </c>
      <c r="V6" s="94">
        <f t="shared" si="14"/>
        <v>0</v>
      </c>
      <c r="W6" s="153">
        <f t="shared" si="6"/>
        <v>37097.699999999997</v>
      </c>
      <c r="X6" s="209">
        <f>IFERROR(VLOOKUP($B6,'Из ГУГЛа'!$B:$G,6,0)*Z6+Y6,VLOOKUP($B6,'Из ГУГЛа'!$B:$G,6,0))</f>
        <v>39990</v>
      </c>
      <c r="Y6" s="76"/>
      <c r="Z6" s="133">
        <v>1</v>
      </c>
      <c r="AA6" s="134"/>
      <c r="AB6" s="135">
        <f t="shared" si="15"/>
        <v>0.15031627906976741</v>
      </c>
      <c r="AC6" s="135">
        <f t="shared" si="16"/>
        <v>7.2325581395348906E-2</v>
      </c>
      <c r="AD6" s="135">
        <f t="shared" si="17"/>
        <v>0.24</v>
      </c>
      <c r="AE6" s="221">
        <v>39990</v>
      </c>
      <c r="AF6" s="98" t="s">
        <v>647</v>
      </c>
      <c r="AH6" s="98" t="s">
        <v>243</v>
      </c>
    </row>
    <row r="7" spans="1:34" ht="31.5" thickTop="1" thickBot="1">
      <c r="A7" s="125" t="str">
        <f>INDEX('Выгр Торг'!$A:$A,MATCH($B7,'Выгр Торг'!$B:$B,0))</f>
        <v>Руль "Ferrum Group" Black, анатомическое для ВАЗ 2101-2107</v>
      </c>
      <c r="B7" s="126">
        <v>208984</v>
      </c>
      <c r="C7" s="127">
        <f>VLOOKUP($B7,'Выгр Торг'!$B:$Q,C$1,0)</f>
        <v>38578</v>
      </c>
      <c r="D7" s="128" t="s">
        <v>243</v>
      </c>
      <c r="E7" s="125" t="str">
        <f>VLOOKUP($B7,'Выгр Торг'!$B:$Q,E$1,0)</f>
        <v>Анатомическое рулевое колесо "Ferrum Group" Black 2107  Синяя нить</v>
      </c>
      <c r="F7" s="127" t="str">
        <f>VLOOKUP($B7,'Выгр Торг'!$B:$Q,F$1,0)</f>
        <v>Y</v>
      </c>
      <c r="G7" s="127" t="str">
        <f>VLOOKUP($B7,'Выгр Торг'!$B:$Q,G$1,0)</f>
        <v>1</v>
      </c>
      <c r="H7" s="129">
        <v>38583</v>
      </c>
      <c r="I7" s="154"/>
      <c r="J7" s="160"/>
      <c r="K7" s="161">
        <v>870</v>
      </c>
      <c r="L7" s="130">
        <f t="shared" si="18"/>
        <v>32250</v>
      </c>
      <c r="M7" s="130">
        <f t="shared" si="7"/>
        <v>33250</v>
      </c>
      <c r="N7" s="130">
        <f t="shared" si="8"/>
        <v>33250</v>
      </c>
      <c r="O7" s="132">
        <f t="shared" si="19"/>
        <v>1.0310077519379846</v>
      </c>
      <c r="P7" s="132">
        <f t="shared" si="10"/>
        <v>1.1499999999999999</v>
      </c>
      <c r="Q7" s="130">
        <f t="shared" si="11"/>
        <v>39879.032258064515</v>
      </c>
      <c r="R7" s="148">
        <f t="shared" si="20"/>
        <v>39890</v>
      </c>
      <c r="S7" s="127">
        <f>VLOOKUP($B7,'Выгр Торг'!$B:$Q,S$1,0)</f>
        <v>32250</v>
      </c>
      <c r="T7" s="127">
        <f>VLOOKUP($B7,'Выгр Торг'!$B:$Q,T$1,0)</f>
        <v>39890</v>
      </c>
      <c r="U7" s="94">
        <f t="shared" si="13"/>
        <v>0</v>
      </c>
      <c r="V7" s="94">
        <f t="shared" si="14"/>
        <v>0</v>
      </c>
      <c r="W7" s="153">
        <f t="shared" si="6"/>
        <v>37097.699999999997</v>
      </c>
      <c r="X7" s="209">
        <f>IFERROR(VLOOKUP($B7,'Из ГУГЛа'!$B:$G,6,0)*Z7+Y7,VLOOKUP($B7,'Из ГУГЛа'!$B:$G,6,0))</f>
        <v>39990</v>
      </c>
      <c r="Y7" s="76"/>
      <c r="Z7" s="133">
        <v>1</v>
      </c>
      <c r="AA7" s="134"/>
      <c r="AB7" s="135">
        <f t="shared" si="15"/>
        <v>0.15031627906976741</v>
      </c>
      <c r="AC7" s="135">
        <f t="shared" si="16"/>
        <v>7.2325581395348906E-2</v>
      </c>
      <c r="AD7" s="135">
        <f t="shared" si="17"/>
        <v>0.24</v>
      </c>
      <c r="AE7" s="221">
        <v>39990</v>
      </c>
      <c r="AF7" s="98" t="s">
        <v>647</v>
      </c>
      <c r="AH7" s="98" t="s">
        <v>243</v>
      </c>
    </row>
    <row r="8" spans="1:34" ht="31.5" thickTop="1" thickBot="1">
      <c r="A8" s="125" t="str">
        <f>INDEX('Выгр Торг'!$A:$A,MATCH($B8,'Выгр Торг'!$B:$B,0))</f>
        <v>Руль "Ferrum Group" Black, анатомическое для ВАЗ 2101-2107</v>
      </c>
      <c r="B8" s="126">
        <v>208983</v>
      </c>
      <c r="C8" s="127">
        <f>VLOOKUP($B8,'Выгр Торг'!$B:$Q,C$1,0)</f>
        <v>38579</v>
      </c>
      <c r="D8" s="128" t="s">
        <v>243</v>
      </c>
      <c r="E8" s="125" t="str">
        <f>VLOOKUP($B8,'Выгр Торг'!$B:$Q,E$1,0)</f>
        <v>Анатомическое рулевое колесо "Ferrum Group" Black 2107  Сине-зелёная нить</v>
      </c>
      <c r="F8" s="127" t="str">
        <f>VLOOKUP($B8,'Выгр Торг'!$B:$Q,F$1,0)</f>
        <v>Y</v>
      </c>
      <c r="G8" s="127" t="str">
        <f>VLOOKUP($B8,'Выгр Торг'!$B:$Q,G$1,0)</f>
        <v>1</v>
      </c>
      <c r="H8" s="129">
        <v>38583</v>
      </c>
      <c r="I8" s="154"/>
      <c r="J8" s="160"/>
      <c r="K8" s="161">
        <v>870</v>
      </c>
      <c r="L8" s="130">
        <f t="shared" si="18"/>
        <v>32250</v>
      </c>
      <c r="M8" s="130">
        <f t="shared" si="7"/>
        <v>33250</v>
      </c>
      <c r="N8" s="130">
        <f t="shared" si="8"/>
        <v>33250</v>
      </c>
      <c r="O8" s="132">
        <f t="shared" si="19"/>
        <v>1.0310077519379846</v>
      </c>
      <c r="P8" s="132">
        <f t="shared" si="10"/>
        <v>1.1499999999999999</v>
      </c>
      <c r="Q8" s="130">
        <f t="shared" si="11"/>
        <v>39879.032258064515</v>
      </c>
      <c r="R8" s="148">
        <f t="shared" si="20"/>
        <v>39890</v>
      </c>
      <c r="S8" s="127">
        <f>VLOOKUP($B8,'Выгр Торг'!$B:$Q,S$1,0)</f>
        <v>32250</v>
      </c>
      <c r="T8" s="127">
        <f>VLOOKUP($B8,'Выгр Торг'!$B:$Q,T$1,0)</f>
        <v>39890</v>
      </c>
      <c r="U8" s="94">
        <f t="shared" si="13"/>
        <v>0</v>
      </c>
      <c r="V8" s="94">
        <f t="shared" si="14"/>
        <v>0</v>
      </c>
      <c r="W8" s="153">
        <f t="shared" si="6"/>
        <v>37097.699999999997</v>
      </c>
      <c r="X8" s="209">
        <f>IFERROR(VLOOKUP($B8,'Из ГУГЛа'!$B:$G,6,0)*Z8+Y8,VLOOKUP($B8,'Из ГУГЛа'!$B:$G,6,0))</f>
        <v>39990</v>
      </c>
      <c r="Y8" s="76"/>
      <c r="Z8" s="133">
        <v>1</v>
      </c>
      <c r="AA8" s="134"/>
      <c r="AB8" s="135">
        <f t="shared" si="15"/>
        <v>0.15031627906976741</v>
      </c>
      <c r="AC8" s="135">
        <f t="shared" si="16"/>
        <v>7.2325581395348906E-2</v>
      </c>
      <c r="AD8" s="135">
        <f t="shared" si="17"/>
        <v>0.24</v>
      </c>
      <c r="AE8" s="221">
        <v>39990</v>
      </c>
      <c r="AF8" s="98" t="s">
        <v>647</v>
      </c>
      <c r="AH8" s="98" t="s">
        <v>243</v>
      </c>
    </row>
    <row r="9" spans="1:34" ht="31.5" thickTop="1" thickBot="1">
      <c r="A9" s="125" t="str">
        <f>INDEX('Выгр Торг'!$A:$A,MATCH($B9,'Выгр Торг'!$B:$B,0))</f>
        <v>Руль "Ferrum Group" Black, анатомическое для ВАЗ 2101-2107</v>
      </c>
      <c r="B9" s="126">
        <v>208980</v>
      </c>
      <c r="C9" s="127">
        <f>VLOOKUP($B9,'Выгр Торг'!$B:$Q,C$1,0)</f>
        <v>38580</v>
      </c>
      <c r="D9" s="128" t="s">
        <v>243</v>
      </c>
      <c r="E9" s="125" t="str">
        <f>VLOOKUP($B9,'Выгр Торг'!$B:$Q,E$1,0)</f>
        <v>Анатомическое рулевое колесо "Ferrum Group" Black 2107  Оранжевая нить</v>
      </c>
      <c r="F9" s="127" t="str">
        <f>VLOOKUP($B9,'Выгр Торг'!$B:$Q,F$1,0)</f>
        <v>Y</v>
      </c>
      <c r="G9" s="127" t="str">
        <f>VLOOKUP($B9,'Выгр Торг'!$B:$Q,G$1,0)</f>
        <v>1</v>
      </c>
      <c r="H9" s="129">
        <v>38583</v>
      </c>
      <c r="I9" s="154"/>
      <c r="J9" s="160"/>
      <c r="K9" s="161">
        <v>870</v>
      </c>
      <c r="L9" s="130">
        <f t="shared" si="18"/>
        <v>32250</v>
      </c>
      <c r="M9" s="130">
        <f t="shared" si="7"/>
        <v>33250</v>
      </c>
      <c r="N9" s="130">
        <f t="shared" si="8"/>
        <v>33250</v>
      </c>
      <c r="O9" s="132">
        <f t="shared" si="19"/>
        <v>1.0310077519379846</v>
      </c>
      <c r="P9" s="132">
        <f t="shared" si="10"/>
        <v>1.1499999999999999</v>
      </c>
      <c r="Q9" s="130">
        <f t="shared" si="11"/>
        <v>39879.032258064515</v>
      </c>
      <c r="R9" s="148">
        <f t="shared" si="20"/>
        <v>39890</v>
      </c>
      <c r="S9" s="127">
        <f>VLOOKUP($B9,'Выгр Торг'!$B:$Q,S$1,0)</f>
        <v>32250</v>
      </c>
      <c r="T9" s="127">
        <f>VLOOKUP($B9,'Выгр Торг'!$B:$Q,T$1,0)</f>
        <v>39890</v>
      </c>
      <c r="U9" s="94">
        <f t="shared" si="13"/>
        <v>0</v>
      </c>
      <c r="V9" s="94">
        <f t="shared" si="14"/>
        <v>0</v>
      </c>
      <c r="W9" s="153">
        <f t="shared" si="6"/>
        <v>37097.699999999997</v>
      </c>
      <c r="X9" s="209">
        <f>IFERROR(VLOOKUP($B9,'Из ГУГЛа'!$B:$G,6,0)*Z9+Y9,VLOOKUP($B9,'Из ГУГЛа'!$B:$G,6,0))</f>
        <v>39990</v>
      </c>
      <c r="Y9" s="76"/>
      <c r="Z9" s="133">
        <v>1</v>
      </c>
      <c r="AA9" s="134"/>
      <c r="AB9" s="135">
        <f t="shared" si="15"/>
        <v>0.15031627906976741</v>
      </c>
      <c r="AC9" s="135">
        <f t="shared" si="16"/>
        <v>7.2325581395348906E-2</v>
      </c>
      <c r="AD9" s="135">
        <f t="shared" si="17"/>
        <v>0.24</v>
      </c>
      <c r="AE9" s="221">
        <v>39990</v>
      </c>
      <c r="AF9" s="98" t="s">
        <v>647</v>
      </c>
      <c r="AH9" s="98" t="s">
        <v>243</v>
      </c>
    </row>
    <row r="10" spans="1:34" ht="31.5" thickTop="1" thickBot="1">
      <c r="A10" s="125" t="str">
        <f>INDEX('Выгр Торг'!$A:$A,MATCH($B10,'Выгр Торг'!$B:$B,0))</f>
        <v>Руль "Ferrum Group" Black, анатомическое для ВАЗ 2101-2107</v>
      </c>
      <c r="B10" s="126">
        <v>208976</v>
      </c>
      <c r="C10" s="127">
        <f>VLOOKUP($B10,'Выгр Торг'!$B:$Q,C$1,0)</f>
        <v>38581</v>
      </c>
      <c r="D10" s="128" t="s">
        <v>243</v>
      </c>
      <c r="E10" s="125" t="str">
        <f>VLOOKUP($B10,'Выгр Торг'!$B:$Q,E$1,0)</f>
        <v>Анатомическое рулевое колесо "Ferrum Group" Black 2107  Жёлтая нить</v>
      </c>
      <c r="F10" s="127" t="str">
        <f>VLOOKUP($B10,'Выгр Торг'!$B:$Q,F$1,0)</f>
        <v>Y</v>
      </c>
      <c r="G10" s="127" t="str">
        <f>VLOOKUP($B10,'Выгр Торг'!$B:$Q,G$1,0)</f>
        <v>1</v>
      </c>
      <c r="H10" s="129">
        <v>38583</v>
      </c>
      <c r="I10" s="154"/>
      <c r="J10" s="160"/>
      <c r="K10" s="161">
        <v>870</v>
      </c>
      <c r="L10" s="130">
        <f t="shared" si="18"/>
        <v>32250</v>
      </c>
      <c r="M10" s="130">
        <f t="shared" si="7"/>
        <v>33250</v>
      </c>
      <c r="N10" s="130">
        <f t="shared" si="8"/>
        <v>33250</v>
      </c>
      <c r="O10" s="132">
        <f t="shared" si="19"/>
        <v>1.0310077519379846</v>
      </c>
      <c r="P10" s="132">
        <f t="shared" si="10"/>
        <v>1.1499999999999999</v>
      </c>
      <c r="Q10" s="130">
        <f t="shared" si="11"/>
        <v>39879.032258064515</v>
      </c>
      <c r="R10" s="148">
        <f t="shared" si="20"/>
        <v>39890</v>
      </c>
      <c r="S10" s="127">
        <f>VLOOKUP($B10,'Выгр Торг'!$B:$Q,S$1,0)</f>
        <v>32250</v>
      </c>
      <c r="T10" s="127">
        <f>VLOOKUP($B10,'Выгр Торг'!$B:$Q,T$1,0)</f>
        <v>39890</v>
      </c>
      <c r="U10" s="94">
        <f t="shared" si="13"/>
        <v>0</v>
      </c>
      <c r="V10" s="94">
        <f t="shared" si="14"/>
        <v>0</v>
      </c>
      <c r="W10" s="153">
        <f t="shared" si="6"/>
        <v>37097.699999999997</v>
      </c>
      <c r="X10" s="209">
        <f>IFERROR(VLOOKUP($B10,'Из ГУГЛа'!$B:$G,6,0)*Z10+Y10,VLOOKUP($B10,'Из ГУГЛа'!$B:$G,6,0))</f>
        <v>39990</v>
      </c>
      <c r="Y10" s="76"/>
      <c r="Z10" s="133">
        <v>1</v>
      </c>
      <c r="AA10" s="134"/>
      <c r="AB10" s="135">
        <f t="shared" si="15"/>
        <v>0.15031627906976741</v>
      </c>
      <c r="AC10" s="135">
        <f t="shared" si="16"/>
        <v>7.2325581395348906E-2</v>
      </c>
      <c r="AD10" s="135">
        <f t="shared" si="17"/>
        <v>0.24</v>
      </c>
      <c r="AE10" s="221">
        <v>39990</v>
      </c>
      <c r="AF10" s="98" t="s">
        <v>647</v>
      </c>
      <c r="AH10" s="98" t="s">
        <v>243</v>
      </c>
    </row>
    <row r="11" spans="1:34" ht="31.5" thickTop="1" thickBot="1">
      <c r="A11" s="125" t="str">
        <f>INDEX('Выгр Торг'!$A:$A,MATCH($B11,'Выгр Торг'!$B:$B,0))</f>
        <v>Руль "Ferrum Group" Black, анатомическое для ВАЗ 2101-2107</v>
      </c>
      <c r="B11" s="126">
        <v>208981</v>
      </c>
      <c r="C11" s="127">
        <f>VLOOKUP($B11,'Выгр Торг'!$B:$Q,C$1,0)</f>
        <v>38582</v>
      </c>
      <c r="D11" s="128" t="s">
        <v>243</v>
      </c>
      <c r="E11" s="125" t="str">
        <f>VLOOKUP($B11,'Выгр Торг'!$B:$Q,E$1,0)</f>
        <v>Анатомическое рулевое колесо "Ferrum Group" Black 2107  Салатовая нить</v>
      </c>
      <c r="F11" s="127" t="str">
        <f>VLOOKUP($B11,'Выгр Торг'!$B:$Q,F$1,0)</f>
        <v>Y</v>
      </c>
      <c r="G11" s="127" t="str">
        <f>VLOOKUP($B11,'Выгр Торг'!$B:$Q,G$1,0)</f>
        <v>1</v>
      </c>
      <c r="H11" s="129">
        <v>38583</v>
      </c>
      <c r="I11" s="154"/>
      <c r="J11" s="160"/>
      <c r="K11" s="161">
        <v>870</v>
      </c>
      <c r="L11" s="130">
        <f t="shared" si="18"/>
        <v>32250</v>
      </c>
      <c r="M11" s="130">
        <f t="shared" si="7"/>
        <v>33250</v>
      </c>
      <c r="N11" s="130">
        <f t="shared" si="8"/>
        <v>33250</v>
      </c>
      <c r="O11" s="132">
        <f t="shared" si="19"/>
        <v>1.0310077519379846</v>
      </c>
      <c r="P11" s="132">
        <f t="shared" si="10"/>
        <v>1.1499999999999999</v>
      </c>
      <c r="Q11" s="130">
        <f t="shared" si="11"/>
        <v>39879.032258064515</v>
      </c>
      <c r="R11" s="148">
        <f t="shared" si="20"/>
        <v>39890</v>
      </c>
      <c r="S11" s="127">
        <f>VLOOKUP($B11,'Выгр Торг'!$B:$Q,S$1,0)</f>
        <v>32250</v>
      </c>
      <c r="T11" s="127">
        <f>VLOOKUP($B11,'Выгр Торг'!$B:$Q,T$1,0)</f>
        <v>39890</v>
      </c>
      <c r="U11" s="94">
        <f t="shared" si="13"/>
        <v>0</v>
      </c>
      <c r="V11" s="94">
        <f t="shared" si="14"/>
        <v>0</v>
      </c>
      <c r="W11" s="153">
        <f t="shared" si="6"/>
        <v>37097.699999999997</v>
      </c>
      <c r="X11" s="209">
        <f>IFERROR(VLOOKUP($B11,'Из ГУГЛа'!$B:$G,6,0)*Z11+Y11,VLOOKUP($B11,'Из ГУГЛа'!$B:$G,6,0))</f>
        <v>39990</v>
      </c>
      <c r="Y11" s="76"/>
      <c r="Z11" s="133">
        <v>1</v>
      </c>
      <c r="AA11" s="134"/>
      <c r="AB11" s="135">
        <f t="shared" si="15"/>
        <v>0.15031627906976741</v>
      </c>
      <c r="AC11" s="135">
        <f t="shared" si="16"/>
        <v>7.2325581395348906E-2</v>
      </c>
      <c r="AD11" s="135">
        <f t="shared" si="17"/>
        <v>0.24</v>
      </c>
      <c r="AE11" s="221">
        <v>39990</v>
      </c>
      <c r="AF11" s="98" t="s">
        <v>647</v>
      </c>
      <c r="AH11" s="98" t="s">
        <v>243</v>
      </c>
    </row>
    <row r="12" spans="1:34" ht="31.5" thickTop="1" thickBot="1">
      <c r="A12" s="125" t="str">
        <f>INDEX('Выгр Торг'!$A:$A,MATCH($B12,'Выгр Торг'!$B:$B,0))</f>
        <v>Руль "Ferrum Group" Black, анатомическое для ВАЗ 2101-2107</v>
      </c>
      <c r="B12" s="126">
        <v>208982</v>
      </c>
      <c r="C12" s="127">
        <f>VLOOKUP($B12,'Выгр Торг'!$B:$Q,C$1,0)</f>
        <v>38584</v>
      </c>
      <c r="D12" s="128" t="s">
        <v>243</v>
      </c>
      <c r="E12" s="125" t="str">
        <f>VLOOKUP($B12,'Выгр Торг'!$B:$Q,E$1,0)</f>
        <v>Анатомическое рулевое колесо "Ferrum Group" Black 2107  Светло-серая нить</v>
      </c>
      <c r="F12" s="127" t="str">
        <f>VLOOKUP($B12,'Выгр Торг'!$B:$Q,F$1,0)</f>
        <v>Y</v>
      </c>
      <c r="G12" s="127" t="str">
        <f>VLOOKUP($B12,'Выгр Торг'!$B:$Q,G$1,0)</f>
        <v>1</v>
      </c>
      <c r="H12" s="129">
        <v>38583</v>
      </c>
      <c r="I12" s="154"/>
      <c r="J12" s="160"/>
      <c r="K12" s="161">
        <v>870</v>
      </c>
      <c r="L12" s="130">
        <f t="shared" si="18"/>
        <v>32250</v>
      </c>
      <c r="M12" s="130">
        <f t="shared" si="7"/>
        <v>33250</v>
      </c>
      <c r="N12" s="130">
        <f t="shared" si="8"/>
        <v>33250</v>
      </c>
      <c r="O12" s="132">
        <f t="shared" si="19"/>
        <v>1.0310077519379846</v>
      </c>
      <c r="P12" s="132">
        <f t="shared" si="10"/>
        <v>1.1499999999999999</v>
      </c>
      <c r="Q12" s="130">
        <f t="shared" si="11"/>
        <v>39879.032258064515</v>
      </c>
      <c r="R12" s="148">
        <f t="shared" si="20"/>
        <v>39890</v>
      </c>
      <c r="S12" s="127">
        <f>VLOOKUP($B12,'Выгр Торг'!$B:$Q,S$1,0)</f>
        <v>32250</v>
      </c>
      <c r="T12" s="127">
        <f>VLOOKUP($B12,'Выгр Торг'!$B:$Q,T$1,0)</f>
        <v>39890</v>
      </c>
      <c r="U12" s="94">
        <f t="shared" si="13"/>
        <v>0</v>
      </c>
      <c r="V12" s="94">
        <f t="shared" si="14"/>
        <v>0</v>
      </c>
      <c r="W12" s="153">
        <f t="shared" si="6"/>
        <v>37097.699999999997</v>
      </c>
      <c r="X12" s="209">
        <f>IFERROR(VLOOKUP($B12,'Из ГУГЛа'!$B:$G,6,0)*Z12+Y12,VLOOKUP($B12,'Из ГУГЛа'!$B:$G,6,0))</f>
        <v>39990</v>
      </c>
      <c r="Y12" s="76"/>
      <c r="Z12" s="133">
        <v>1</v>
      </c>
      <c r="AA12" s="134"/>
      <c r="AB12" s="135">
        <f t="shared" si="15"/>
        <v>0.15031627906976741</v>
      </c>
      <c r="AC12" s="135">
        <f t="shared" si="16"/>
        <v>7.2325581395348906E-2</v>
      </c>
      <c r="AD12" s="135">
        <f t="shared" si="17"/>
        <v>0.24</v>
      </c>
      <c r="AE12" s="221">
        <v>39990</v>
      </c>
      <c r="AF12" s="98" t="s">
        <v>647</v>
      </c>
      <c r="AH12" s="98" t="s">
        <v>243</v>
      </c>
    </row>
    <row r="13" spans="1:34" ht="31.5" thickTop="1" thickBot="1">
      <c r="A13" s="125" t="str">
        <f>INDEX('Выгр Торг'!$A:$A,MATCH($B13,'Выгр Торг'!$B:$B,0))</f>
        <v>Руль "Ferrum Group" Black, анатомическое для ВАЗ 2101-2107</v>
      </c>
      <c r="B13" s="126">
        <v>208979</v>
      </c>
      <c r="C13" s="127">
        <f>VLOOKUP($B13,'Выгр Торг'!$B:$Q,C$1,0)</f>
        <v>38585</v>
      </c>
      <c r="D13" s="128" t="s">
        <v>243</v>
      </c>
      <c r="E13" s="125" t="str">
        <f>VLOOKUP($B13,'Выгр Торг'!$B:$Q,E$1,0)</f>
        <v>Анатомическое рулевое колесо "Ferrum Group" Black 2107  Красная нить</v>
      </c>
      <c r="F13" s="127" t="str">
        <f>VLOOKUP($B13,'Выгр Торг'!$B:$Q,F$1,0)</f>
        <v>Y</v>
      </c>
      <c r="G13" s="127" t="str">
        <f>VLOOKUP($B13,'Выгр Торг'!$B:$Q,G$1,0)</f>
        <v>1</v>
      </c>
      <c r="H13" s="129">
        <v>38583</v>
      </c>
      <c r="I13" s="154"/>
      <c r="J13" s="160"/>
      <c r="K13" s="161">
        <v>870</v>
      </c>
      <c r="L13" s="130">
        <f t="shared" si="18"/>
        <v>32250</v>
      </c>
      <c r="M13" s="130">
        <f t="shared" si="7"/>
        <v>33250</v>
      </c>
      <c r="N13" s="130">
        <f t="shared" si="8"/>
        <v>33250</v>
      </c>
      <c r="O13" s="132">
        <f t="shared" si="19"/>
        <v>1.0310077519379846</v>
      </c>
      <c r="P13" s="132">
        <f t="shared" si="10"/>
        <v>1.1499999999999999</v>
      </c>
      <c r="Q13" s="130">
        <f t="shared" si="11"/>
        <v>39879.032258064515</v>
      </c>
      <c r="R13" s="148">
        <f t="shared" si="20"/>
        <v>39890</v>
      </c>
      <c r="S13" s="127">
        <f>VLOOKUP($B13,'Выгр Торг'!$B:$Q,S$1,0)</f>
        <v>32250</v>
      </c>
      <c r="T13" s="127">
        <f>VLOOKUP($B13,'Выгр Торг'!$B:$Q,T$1,0)</f>
        <v>39890</v>
      </c>
      <c r="U13" s="94">
        <f t="shared" si="13"/>
        <v>0</v>
      </c>
      <c r="V13" s="94">
        <f t="shared" si="14"/>
        <v>0</v>
      </c>
      <c r="W13" s="153">
        <f t="shared" si="6"/>
        <v>37097.699999999997</v>
      </c>
      <c r="X13" s="209">
        <f>IFERROR(VLOOKUP($B13,'Из ГУГЛа'!$B:$G,6,0)*Z13+Y13,VLOOKUP($B13,'Из ГУГЛа'!$B:$G,6,0))</f>
        <v>39990</v>
      </c>
      <c r="Y13" s="76"/>
      <c r="Z13" s="133">
        <v>1</v>
      </c>
      <c r="AA13" s="134"/>
      <c r="AB13" s="135">
        <f t="shared" si="15"/>
        <v>0.15031627906976741</v>
      </c>
      <c r="AC13" s="135">
        <f t="shared" si="16"/>
        <v>7.2325581395348906E-2</v>
      </c>
      <c r="AD13" s="135">
        <f t="shared" si="17"/>
        <v>0.24</v>
      </c>
      <c r="AE13" s="221">
        <v>39990</v>
      </c>
      <c r="AF13" s="98" t="s">
        <v>647</v>
      </c>
      <c r="AH13" s="98" t="s">
        <v>243</v>
      </c>
    </row>
    <row r="14" spans="1:34" ht="31.5" thickTop="1" thickBot="1">
      <c r="A14" s="125" t="str">
        <f>INDEX('Выгр Торг'!$A:$A,MATCH($B14,'Выгр Торг'!$B:$B,0))</f>
        <v>Руль "Ferrum Group" Black, анатомическое для ВАЗ 2101-2107</v>
      </c>
      <c r="B14" s="126">
        <v>208977</v>
      </c>
      <c r="C14" s="127">
        <f>VLOOKUP($B14,'Выгр Торг'!$B:$Q,C$1,0)</f>
        <v>38586</v>
      </c>
      <c r="D14" s="128" t="s">
        <v>243</v>
      </c>
      <c r="E14" s="125" t="str">
        <f>VLOOKUP($B14,'Выгр Торг'!$B:$Q,E$1,0)</f>
        <v>Анатомическое рулевое колесо "Ferrum Group" Black 2107  Зелёная нить</v>
      </c>
      <c r="F14" s="127" t="str">
        <f>VLOOKUP($B14,'Выгр Торг'!$B:$Q,F$1,0)</f>
        <v>Y</v>
      </c>
      <c r="G14" s="127" t="str">
        <f>VLOOKUP($B14,'Выгр Торг'!$B:$Q,G$1,0)</f>
        <v>1</v>
      </c>
      <c r="H14" s="129">
        <v>38583</v>
      </c>
      <c r="I14" s="154"/>
      <c r="J14" s="160"/>
      <c r="K14" s="161">
        <v>870</v>
      </c>
      <c r="L14" s="130">
        <f t="shared" si="18"/>
        <v>32250</v>
      </c>
      <c r="M14" s="130">
        <f t="shared" si="7"/>
        <v>33250</v>
      </c>
      <c r="N14" s="130">
        <f t="shared" si="8"/>
        <v>33250</v>
      </c>
      <c r="O14" s="132">
        <f t="shared" si="19"/>
        <v>1.0310077519379846</v>
      </c>
      <c r="P14" s="132">
        <f t="shared" si="10"/>
        <v>1.1499999999999999</v>
      </c>
      <c r="Q14" s="130">
        <f t="shared" si="11"/>
        <v>39879.032258064515</v>
      </c>
      <c r="R14" s="148">
        <f t="shared" si="20"/>
        <v>39890</v>
      </c>
      <c r="S14" s="127">
        <f>VLOOKUP($B14,'Выгр Торг'!$B:$Q,S$1,0)</f>
        <v>32250</v>
      </c>
      <c r="T14" s="127">
        <f>VLOOKUP($B14,'Выгр Торг'!$B:$Q,T$1,0)</f>
        <v>39890</v>
      </c>
      <c r="U14" s="94">
        <f t="shared" si="13"/>
        <v>0</v>
      </c>
      <c r="V14" s="94">
        <f t="shared" si="14"/>
        <v>0</v>
      </c>
      <c r="W14" s="153">
        <f t="shared" si="6"/>
        <v>37097.699999999997</v>
      </c>
      <c r="X14" s="209">
        <f>IFERROR(VLOOKUP($B14,'Из ГУГЛа'!$B:$G,6,0)*Z14+Y14,VLOOKUP($B14,'Из ГУГЛа'!$B:$G,6,0))</f>
        <v>39990</v>
      </c>
      <c r="Y14" s="76"/>
      <c r="Z14" s="133">
        <v>1</v>
      </c>
      <c r="AA14" s="134"/>
      <c r="AB14" s="135">
        <f t="shared" si="15"/>
        <v>0.15031627906976741</v>
      </c>
      <c r="AC14" s="135">
        <f t="shared" si="16"/>
        <v>7.2325581395348906E-2</v>
      </c>
      <c r="AD14" s="135">
        <f t="shared" si="17"/>
        <v>0.24</v>
      </c>
      <c r="AE14" s="221">
        <v>39990</v>
      </c>
      <c r="AF14" s="98" t="s">
        <v>647</v>
      </c>
      <c r="AH14" s="98" t="s">
        <v>243</v>
      </c>
    </row>
    <row r="15" spans="1:34" ht="31.5" thickTop="1" thickBot="1">
      <c r="A15" s="125" t="str">
        <f>INDEX('Выгр Торг'!$A:$A,MATCH($B15,'Выгр Торг'!$B:$B,0))</f>
        <v>Руль "Ferrum Group" Black, анатомическое для Лада Нива 4x4</v>
      </c>
      <c r="B15" s="126">
        <v>209000</v>
      </c>
      <c r="C15" s="127">
        <f>VLOOKUP($B15,'Выгр Торг'!$B:$Q,C$1,0)</f>
        <v>109324</v>
      </c>
      <c r="D15" s="128" t="s">
        <v>159</v>
      </c>
      <c r="E15" s="125" t="str">
        <f>VLOOKUP($B15,'Выгр Торг'!$B:$Q,E$1,0)</f>
        <v>Рулевое колесо (руль) "Ferrum Group" Black, анатомическое для Лада Нива 4x4 (Чёрная нить)</v>
      </c>
      <c r="F15" s="127" t="str">
        <f>VLOOKUP($B15,'Выгр Торг'!$B:$Q,F$1,0)</f>
        <v>Y</v>
      </c>
      <c r="G15" s="127" t="str">
        <f>VLOOKUP($B15,'Выгр Торг'!$B:$Q,G$1,0)</f>
        <v>1</v>
      </c>
      <c r="H15" s="129">
        <v>109324</v>
      </c>
      <c r="I15" s="154"/>
      <c r="J15" s="160"/>
      <c r="K15" s="161">
        <v>0</v>
      </c>
      <c r="L15" s="130">
        <f t="shared" ref="L15" si="21">M15-1000</f>
        <v>31380</v>
      </c>
      <c r="M15" s="131">
        <f>N15+J15</f>
        <v>32380</v>
      </c>
      <c r="N15" s="131">
        <v>32380</v>
      </c>
      <c r="O15" s="132">
        <f t="shared" ref="O15:O26" si="22">M15/L15</f>
        <v>1.0318674314850222</v>
      </c>
      <c r="P15" s="132">
        <f t="shared" si="10"/>
        <v>1.1499999999999999</v>
      </c>
      <c r="Q15" s="147">
        <f t="shared" ref="Q15" si="23">L15*P15*100/93</f>
        <v>38803.225806451614</v>
      </c>
      <c r="R15" s="148">
        <f t="shared" ref="R15:R26" si="24">IF(Q15&lt;=1000,(ROUNDUP(Q15,-2)-1),(ROUNDUP(Q15,-2)-10))</f>
        <v>38890</v>
      </c>
      <c r="S15" s="127">
        <f>VLOOKUP($B15,'Выгр Торг'!$B:$Q,S$1,0)</f>
        <v>31380</v>
      </c>
      <c r="T15" s="127">
        <f>VLOOKUP($B15,'Выгр Торг'!$B:$Q,T$1,0)</f>
        <v>38890</v>
      </c>
      <c r="U15" s="94">
        <f t="shared" si="13"/>
        <v>0</v>
      </c>
      <c r="V15" s="94">
        <f t="shared" si="14"/>
        <v>0</v>
      </c>
      <c r="W15" s="153">
        <f t="shared" ref="W15" si="25">R15*(1-$W$2)</f>
        <v>36167.699999999997</v>
      </c>
      <c r="X15" s="209">
        <f>IFERROR(VLOOKUP($B15,'Из ГУГЛа'!$B:$G,6,0)*Z15+Y15,VLOOKUP($B15,'Из ГУГЛа'!$B:$G,6,0))</f>
        <v>39990</v>
      </c>
      <c r="Y15" s="106">
        <f>(J15+K15)*$Y$2</f>
        <v>0</v>
      </c>
      <c r="Z15" s="133">
        <v>1</v>
      </c>
      <c r="AA15" s="134"/>
      <c r="AB15" s="135">
        <f t="shared" si="15"/>
        <v>0.15257170172084122</v>
      </c>
      <c r="AC15" s="135">
        <f t="shared" si="16"/>
        <v>9.5581395348837278E-2</v>
      </c>
      <c r="AD15" s="135">
        <f t="shared" si="17"/>
        <v>0.27437858508604207</v>
      </c>
      <c r="AE15" s="221">
        <v>39990</v>
      </c>
      <c r="AF15" s="98" t="s">
        <v>647</v>
      </c>
      <c r="AH15" s="98" t="s">
        <v>159</v>
      </c>
    </row>
    <row r="16" spans="1:34" ht="31.5" thickTop="1" thickBot="1">
      <c r="A16" s="125" t="str">
        <f>INDEX('Выгр Торг'!$A:$A,MATCH($B16,'Выгр Торг'!$B:$B,0))</f>
        <v>Руль "Ferrum Group" Black, анатомическое для Лада Нива 4x4</v>
      </c>
      <c r="B16" s="126">
        <v>208999</v>
      </c>
      <c r="C16" s="127">
        <f>VLOOKUP($B16,'Выгр Торг'!$B:$Q,C$1,0)</f>
        <v>109316</v>
      </c>
      <c r="D16" s="128" t="s">
        <v>159</v>
      </c>
      <c r="E16" s="125" t="str">
        <f>VLOOKUP($B16,'Выгр Торг'!$B:$Q,E$1,0)</f>
        <v>Рулевое колесо (руль) "Ferrum Group" Black, анатомическое для Лада Нива 4x4 (Фиолетовая нить)</v>
      </c>
      <c r="F16" s="127" t="str">
        <f>VLOOKUP($B16,'Выгр Торг'!$B:$Q,F$1,0)</f>
        <v>Y</v>
      </c>
      <c r="G16" s="127" t="str">
        <f>VLOOKUP($B16,'Выгр Торг'!$B:$Q,G$1,0)</f>
        <v>1</v>
      </c>
      <c r="H16" s="129">
        <v>109324</v>
      </c>
      <c r="I16" s="154"/>
      <c r="J16" s="160"/>
      <c r="K16" s="161">
        <v>870</v>
      </c>
      <c r="L16" s="130">
        <f t="shared" ref="L16:L64" si="26">M16-1000</f>
        <v>32250</v>
      </c>
      <c r="M16" s="130">
        <f t="shared" ref="M16:M26" si="27">INDEX($M:$M,MATCH($H16,$C:$C,0))+$K16+$J16</f>
        <v>33250</v>
      </c>
      <c r="N16" s="130">
        <f t="shared" ref="N16:N26" si="28">INDEX($N:$N,MATCH($H16,$C:$C,0))+$K16+$J16</f>
        <v>33250</v>
      </c>
      <c r="O16" s="132">
        <f t="shared" si="22"/>
        <v>1.0310077519379846</v>
      </c>
      <c r="P16" s="132">
        <f t="shared" si="10"/>
        <v>1.1499999999999999</v>
      </c>
      <c r="Q16" s="130">
        <f t="shared" ref="Q16:Q26" si="29">INDEX($Q:$Q,MATCH($H16,$C:$C,0))+($K16+$J16)*INDEX($P:$P,MATCH($H16,$C:$C,0))*100/93</f>
        <v>39879.032258064515</v>
      </c>
      <c r="R16" s="148">
        <f t="shared" si="24"/>
        <v>39890</v>
      </c>
      <c r="S16" s="127">
        <f>VLOOKUP($B16,'Выгр Торг'!$B:$Q,S$1,0)</f>
        <v>32250</v>
      </c>
      <c r="T16" s="127">
        <f>VLOOKUP($B16,'Выгр Торг'!$B:$Q,T$1,0)</f>
        <v>39890</v>
      </c>
      <c r="U16" s="94">
        <f t="shared" si="13"/>
        <v>0</v>
      </c>
      <c r="V16" s="94">
        <f t="shared" si="14"/>
        <v>0</v>
      </c>
      <c r="W16" s="153">
        <f t="shared" ref="W16:W64" si="30">R16*(1-$W$2)</f>
        <v>37097.699999999997</v>
      </c>
      <c r="X16" s="209">
        <f>IFERROR(VLOOKUP($B16,'Из ГУГЛа'!$B:$G,6,0)*Z16+Y16,VLOOKUP($B16,'Из ГУГЛа'!$B:$G,6,0))</f>
        <v>39990</v>
      </c>
      <c r="Y16" s="76"/>
      <c r="Z16" s="133">
        <v>1</v>
      </c>
      <c r="AA16" s="134"/>
      <c r="AB16" s="135">
        <f t="shared" si="15"/>
        <v>0.15031627906976741</v>
      </c>
      <c r="AC16" s="135">
        <f t="shared" si="16"/>
        <v>7.2325581395348906E-2</v>
      </c>
      <c r="AD16" s="135">
        <f t="shared" si="17"/>
        <v>0.24</v>
      </c>
      <c r="AE16" s="221">
        <v>39990</v>
      </c>
      <c r="AF16" s="98" t="s">
        <v>647</v>
      </c>
      <c r="AH16" s="98" t="s">
        <v>159</v>
      </c>
    </row>
    <row r="17" spans="1:34" ht="31.5" thickTop="1" thickBot="1">
      <c r="A17" s="125" t="str">
        <f>INDEX('Выгр Торг'!$A:$A,MATCH($B17,'Выгр Торг'!$B:$B,0))</f>
        <v>Руль "Ferrum Group" Black, анатомическое для Лада Нива 4x4</v>
      </c>
      <c r="B17" s="126">
        <v>208998</v>
      </c>
      <c r="C17" s="127">
        <f>VLOOKUP($B17,'Выгр Торг'!$B:$Q,C$1,0)</f>
        <v>109317</v>
      </c>
      <c r="D17" s="128" t="s">
        <v>159</v>
      </c>
      <c r="E17" s="125" t="str">
        <f>VLOOKUP($B17,'Выгр Торг'!$B:$Q,E$1,0)</f>
        <v>Рулевое колесо (руль) "Ferrum Group" Black, анатомическое для Лада Нива 4x4 (Тёмно-серая нить)</v>
      </c>
      <c r="F17" s="127" t="str">
        <f>VLOOKUP($B17,'Выгр Торг'!$B:$Q,F$1,0)</f>
        <v>Y</v>
      </c>
      <c r="G17" s="127" t="str">
        <f>VLOOKUP($B17,'Выгр Торг'!$B:$Q,G$1,0)</f>
        <v>1</v>
      </c>
      <c r="H17" s="129">
        <v>109324</v>
      </c>
      <c r="I17" s="154"/>
      <c r="J17" s="160"/>
      <c r="K17" s="161">
        <v>870</v>
      </c>
      <c r="L17" s="130">
        <f t="shared" si="26"/>
        <v>32250</v>
      </c>
      <c r="M17" s="130">
        <f t="shared" si="27"/>
        <v>33250</v>
      </c>
      <c r="N17" s="130">
        <f t="shared" si="28"/>
        <v>33250</v>
      </c>
      <c r="O17" s="132">
        <f t="shared" si="22"/>
        <v>1.0310077519379846</v>
      </c>
      <c r="P17" s="132">
        <f t="shared" si="10"/>
        <v>1.1499999999999999</v>
      </c>
      <c r="Q17" s="130">
        <f t="shared" si="29"/>
        <v>39879.032258064515</v>
      </c>
      <c r="R17" s="148">
        <f t="shared" si="24"/>
        <v>39890</v>
      </c>
      <c r="S17" s="127">
        <f>VLOOKUP($B17,'Выгр Торг'!$B:$Q,S$1,0)</f>
        <v>32250</v>
      </c>
      <c r="T17" s="127">
        <f>VLOOKUP($B17,'Выгр Торг'!$B:$Q,T$1,0)</f>
        <v>39890</v>
      </c>
      <c r="U17" s="94">
        <f t="shared" si="13"/>
        <v>0</v>
      </c>
      <c r="V17" s="94">
        <f t="shared" si="14"/>
        <v>0</v>
      </c>
      <c r="W17" s="153">
        <f t="shared" si="30"/>
        <v>37097.699999999997</v>
      </c>
      <c r="X17" s="209">
        <f>IFERROR(VLOOKUP($B17,'Из ГУГЛа'!$B:$G,6,0)*Z17+Y17,VLOOKUP($B17,'Из ГУГЛа'!$B:$G,6,0))</f>
        <v>39990</v>
      </c>
      <c r="Y17" s="76"/>
      <c r="Z17" s="133">
        <v>1</v>
      </c>
      <c r="AA17" s="134"/>
      <c r="AB17" s="135">
        <f t="shared" si="15"/>
        <v>0.15031627906976741</v>
      </c>
      <c r="AC17" s="135">
        <f t="shared" si="16"/>
        <v>7.2325581395348906E-2</v>
      </c>
      <c r="AD17" s="135">
        <f t="shared" si="17"/>
        <v>0.24</v>
      </c>
      <c r="AE17" s="221">
        <v>39990</v>
      </c>
      <c r="AF17" s="98" t="s">
        <v>647</v>
      </c>
      <c r="AH17" s="98" t="s">
        <v>159</v>
      </c>
    </row>
    <row r="18" spans="1:34" ht="31.5" thickTop="1" thickBot="1">
      <c r="A18" s="125" t="str">
        <f>INDEX('Выгр Торг'!$A:$A,MATCH($B18,'Выгр Торг'!$B:$B,0))</f>
        <v>Руль "Ferrum Group" Black, анатомическое для Лада Нива 4x4</v>
      </c>
      <c r="B18" s="126">
        <v>208991</v>
      </c>
      <c r="C18" s="127">
        <f>VLOOKUP($B18,'Выгр Торг'!$B:$Q,C$1,0)</f>
        <v>109318</v>
      </c>
      <c r="D18" s="128" t="s">
        <v>159</v>
      </c>
      <c r="E18" s="125" t="str">
        <f>VLOOKUP($B18,'Выгр Торг'!$B:$Q,E$1,0)</f>
        <v>Рулевое колесо (руль) "Ferrum Group" Black, анатомическое для Лада Нива 4x4 (Коричневая нить)</v>
      </c>
      <c r="F18" s="127" t="str">
        <f>VLOOKUP($B18,'Выгр Торг'!$B:$Q,F$1,0)</f>
        <v>Y</v>
      </c>
      <c r="G18" s="127" t="str">
        <f>VLOOKUP($B18,'Выгр Торг'!$B:$Q,G$1,0)</f>
        <v>1</v>
      </c>
      <c r="H18" s="129">
        <v>109324</v>
      </c>
      <c r="I18" s="154"/>
      <c r="J18" s="160"/>
      <c r="K18" s="161">
        <v>870</v>
      </c>
      <c r="L18" s="130">
        <f t="shared" si="26"/>
        <v>32250</v>
      </c>
      <c r="M18" s="130">
        <f t="shared" si="27"/>
        <v>33250</v>
      </c>
      <c r="N18" s="130">
        <f t="shared" si="28"/>
        <v>33250</v>
      </c>
      <c r="O18" s="132">
        <f t="shared" si="22"/>
        <v>1.0310077519379846</v>
      </c>
      <c r="P18" s="132">
        <f t="shared" si="10"/>
        <v>1.1499999999999999</v>
      </c>
      <c r="Q18" s="130">
        <f t="shared" si="29"/>
        <v>39879.032258064515</v>
      </c>
      <c r="R18" s="148">
        <f t="shared" si="24"/>
        <v>39890</v>
      </c>
      <c r="S18" s="127">
        <f>VLOOKUP($B18,'Выгр Торг'!$B:$Q,S$1,0)</f>
        <v>32250</v>
      </c>
      <c r="T18" s="127">
        <f>VLOOKUP($B18,'Выгр Торг'!$B:$Q,T$1,0)</f>
        <v>39890</v>
      </c>
      <c r="U18" s="94">
        <f t="shared" si="13"/>
        <v>0</v>
      </c>
      <c r="V18" s="94">
        <f t="shared" si="14"/>
        <v>0</v>
      </c>
      <c r="W18" s="153">
        <f t="shared" si="30"/>
        <v>37097.699999999997</v>
      </c>
      <c r="X18" s="209">
        <f>IFERROR(VLOOKUP($B18,'Из ГУГЛа'!$B:$G,6,0)*Z18+Y18,VLOOKUP($B18,'Из ГУГЛа'!$B:$G,6,0))</f>
        <v>39990</v>
      </c>
      <c r="Y18" s="76"/>
      <c r="Z18" s="133">
        <v>1</v>
      </c>
      <c r="AA18" s="134"/>
      <c r="AB18" s="135">
        <f t="shared" si="15"/>
        <v>0.15031627906976741</v>
      </c>
      <c r="AC18" s="135">
        <f t="shared" si="16"/>
        <v>7.2325581395348906E-2</v>
      </c>
      <c r="AD18" s="135">
        <f t="shared" si="17"/>
        <v>0.24</v>
      </c>
      <c r="AE18" s="221">
        <v>39990</v>
      </c>
      <c r="AF18" s="98" t="s">
        <v>647</v>
      </c>
      <c r="AH18" s="98" t="s">
        <v>159</v>
      </c>
    </row>
    <row r="19" spans="1:34" ht="31.5" thickTop="1" thickBot="1">
      <c r="A19" s="125" t="str">
        <f>INDEX('Выгр Торг'!$A:$A,MATCH($B19,'Выгр Торг'!$B:$B,0))</f>
        <v>Руль "Ferrum Group" Black, анатомическое для Лада Нива 4x4</v>
      </c>
      <c r="B19" s="126">
        <v>208997</v>
      </c>
      <c r="C19" s="127">
        <f>VLOOKUP($B19,'Выгр Торг'!$B:$Q,C$1,0)</f>
        <v>109319</v>
      </c>
      <c r="D19" s="128" t="s">
        <v>159</v>
      </c>
      <c r="E19" s="125" t="str">
        <f>VLOOKUP($B19,'Выгр Торг'!$B:$Q,E$1,0)</f>
        <v>Рулевое колесо (руль) "Ferrum Group" Black, анатомическое для Лада Нива 4x4 (Синяя нить)</v>
      </c>
      <c r="F19" s="127" t="str">
        <f>VLOOKUP($B19,'Выгр Торг'!$B:$Q,F$1,0)</f>
        <v>Y</v>
      </c>
      <c r="G19" s="127" t="str">
        <f>VLOOKUP($B19,'Выгр Торг'!$B:$Q,G$1,0)</f>
        <v>1</v>
      </c>
      <c r="H19" s="129">
        <v>109324</v>
      </c>
      <c r="I19" s="154"/>
      <c r="J19" s="160"/>
      <c r="K19" s="161">
        <v>870</v>
      </c>
      <c r="L19" s="130">
        <f t="shared" si="26"/>
        <v>32250</v>
      </c>
      <c r="M19" s="130">
        <f t="shared" si="27"/>
        <v>33250</v>
      </c>
      <c r="N19" s="130">
        <f t="shared" si="28"/>
        <v>33250</v>
      </c>
      <c r="O19" s="132">
        <f t="shared" si="22"/>
        <v>1.0310077519379846</v>
      </c>
      <c r="P19" s="132">
        <f t="shared" si="10"/>
        <v>1.1499999999999999</v>
      </c>
      <c r="Q19" s="130">
        <f t="shared" si="29"/>
        <v>39879.032258064515</v>
      </c>
      <c r="R19" s="148">
        <f t="shared" si="24"/>
        <v>39890</v>
      </c>
      <c r="S19" s="127">
        <f>VLOOKUP($B19,'Выгр Торг'!$B:$Q,S$1,0)</f>
        <v>32250</v>
      </c>
      <c r="T19" s="127">
        <f>VLOOKUP($B19,'Выгр Торг'!$B:$Q,T$1,0)</f>
        <v>39890</v>
      </c>
      <c r="U19" s="94">
        <f t="shared" si="13"/>
        <v>0</v>
      </c>
      <c r="V19" s="94">
        <f t="shared" si="14"/>
        <v>0</v>
      </c>
      <c r="W19" s="153">
        <f t="shared" si="30"/>
        <v>37097.699999999997</v>
      </c>
      <c r="X19" s="209">
        <f>IFERROR(VLOOKUP($B19,'Из ГУГЛа'!$B:$G,6,0)*Z19+Y19,VLOOKUP($B19,'Из ГУГЛа'!$B:$G,6,0))</f>
        <v>39990</v>
      </c>
      <c r="Y19" s="76"/>
      <c r="Z19" s="133">
        <v>1</v>
      </c>
      <c r="AA19" s="134"/>
      <c r="AB19" s="135">
        <f t="shared" si="15"/>
        <v>0.15031627906976741</v>
      </c>
      <c r="AC19" s="135">
        <f t="shared" si="16"/>
        <v>7.2325581395348906E-2</v>
      </c>
      <c r="AD19" s="135">
        <f t="shared" si="17"/>
        <v>0.24</v>
      </c>
      <c r="AE19" s="221">
        <v>39990</v>
      </c>
      <c r="AF19" s="98" t="s">
        <v>647</v>
      </c>
      <c r="AH19" s="98" t="s">
        <v>159</v>
      </c>
    </row>
    <row r="20" spans="1:34" ht="31.5" thickTop="1" thickBot="1">
      <c r="A20" s="125" t="str">
        <f>INDEX('Выгр Торг'!$A:$A,MATCH($B20,'Выгр Торг'!$B:$B,0))</f>
        <v>Руль "Ferrum Group" Black, анатомическое для Лада Нива 4x4</v>
      </c>
      <c r="B20" s="126">
        <v>208996</v>
      </c>
      <c r="C20" s="127">
        <f>VLOOKUP($B20,'Выгр Торг'!$B:$Q,C$1,0)</f>
        <v>109320</v>
      </c>
      <c r="D20" s="128" t="s">
        <v>159</v>
      </c>
      <c r="E20" s="125" t="str">
        <f>VLOOKUP($B20,'Выгр Торг'!$B:$Q,E$1,0)</f>
        <v>Рулевое колесо (руль) "Ferrum Group" Black, анатомическое для Лада Нива 4x4 (Сине-зелёная нить)</v>
      </c>
      <c r="F20" s="127" t="str">
        <f>VLOOKUP($B20,'Выгр Торг'!$B:$Q,F$1,0)</f>
        <v>Y</v>
      </c>
      <c r="G20" s="127" t="str">
        <f>VLOOKUP($B20,'Выгр Торг'!$B:$Q,G$1,0)</f>
        <v>1</v>
      </c>
      <c r="H20" s="129">
        <v>109324</v>
      </c>
      <c r="I20" s="154"/>
      <c r="J20" s="160"/>
      <c r="K20" s="161">
        <v>870</v>
      </c>
      <c r="L20" s="130">
        <f t="shared" si="26"/>
        <v>32250</v>
      </c>
      <c r="M20" s="130">
        <f t="shared" si="27"/>
        <v>33250</v>
      </c>
      <c r="N20" s="130">
        <f t="shared" si="28"/>
        <v>33250</v>
      </c>
      <c r="O20" s="132">
        <f t="shared" si="22"/>
        <v>1.0310077519379846</v>
      </c>
      <c r="P20" s="132">
        <f t="shared" si="10"/>
        <v>1.1499999999999999</v>
      </c>
      <c r="Q20" s="130">
        <f t="shared" si="29"/>
        <v>39879.032258064515</v>
      </c>
      <c r="R20" s="148">
        <f t="shared" si="24"/>
        <v>39890</v>
      </c>
      <c r="S20" s="127">
        <f>VLOOKUP($B20,'Выгр Торг'!$B:$Q,S$1,0)</f>
        <v>32250</v>
      </c>
      <c r="T20" s="127">
        <f>VLOOKUP($B20,'Выгр Торг'!$B:$Q,T$1,0)</f>
        <v>39890</v>
      </c>
      <c r="U20" s="94">
        <f t="shared" si="13"/>
        <v>0</v>
      </c>
      <c r="V20" s="94">
        <f t="shared" si="14"/>
        <v>0</v>
      </c>
      <c r="W20" s="153">
        <f t="shared" si="30"/>
        <v>37097.699999999997</v>
      </c>
      <c r="X20" s="209">
        <f>IFERROR(VLOOKUP($B20,'Из ГУГЛа'!$B:$G,6,0)*Z20+Y20,VLOOKUP($B20,'Из ГУГЛа'!$B:$G,6,0))</f>
        <v>39990</v>
      </c>
      <c r="Y20" s="76"/>
      <c r="Z20" s="133">
        <v>1</v>
      </c>
      <c r="AA20" s="134"/>
      <c r="AB20" s="135">
        <f t="shared" si="15"/>
        <v>0.15031627906976741</v>
      </c>
      <c r="AC20" s="135">
        <f t="shared" si="16"/>
        <v>7.2325581395348906E-2</v>
      </c>
      <c r="AD20" s="135">
        <f t="shared" si="17"/>
        <v>0.24</v>
      </c>
      <c r="AE20" s="221">
        <v>39990</v>
      </c>
      <c r="AF20" s="98" t="s">
        <v>647</v>
      </c>
      <c r="AH20" s="98" t="s">
        <v>159</v>
      </c>
    </row>
    <row r="21" spans="1:34" ht="31.5" thickTop="1" thickBot="1">
      <c r="A21" s="125" t="str">
        <f>INDEX('Выгр Торг'!$A:$A,MATCH($B21,'Выгр Торг'!$B:$B,0))</f>
        <v>Руль "Ferrum Group" Black, анатомическое для Лада Нива 4x4</v>
      </c>
      <c r="B21" s="126">
        <v>208993</v>
      </c>
      <c r="C21" s="127">
        <f>VLOOKUP($B21,'Выгр Торг'!$B:$Q,C$1,0)</f>
        <v>109321</v>
      </c>
      <c r="D21" s="128" t="s">
        <v>159</v>
      </c>
      <c r="E21" s="125" t="str">
        <f>VLOOKUP($B21,'Выгр Торг'!$B:$Q,E$1,0)</f>
        <v>Рулевое колесо (руль) "Ferrum Group" Black, анатомическое для Лада Нива 4x4 (Оранжевая нить)</v>
      </c>
      <c r="F21" s="127" t="str">
        <f>VLOOKUP($B21,'Выгр Торг'!$B:$Q,F$1,0)</f>
        <v>Y</v>
      </c>
      <c r="G21" s="127" t="str">
        <f>VLOOKUP($B21,'Выгр Торг'!$B:$Q,G$1,0)</f>
        <v>1</v>
      </c>
      <c r="H21" s="129">
        <v>109324</v>
      </c>
      <c r="I21" s="154"/>
      <c r="J21" s="160"/>
      <c r="K21" s="161">
        <v>870</v>
      </c>
      <c r="L21" s="130">
        <f t="shared" si="26"/>
        <v>32250</v>
      </c>
      <c r="M21" s="130">
        <f t="shared" si="27"/>
        <v>33250</v>
      </c>
      <c r="N21" s="130">
        <f t="shared" si="28"/>
        <v>33250</v>
      </c>
      <c r="O21" s="132">
        <f t="shared" si="22"/>
        <v>1.0310077519379846</v>
      </c>
      <c r="P21" s="132">
        <f t="shared" si="10"/>
        <v>1.1499999999999999</v>
      </c>
      <c r="Q21" s="130">
        <f t="shared" si="29"/>
        <v>39879.032258064515</v>
      </c>
      <c r="R21" s="148">
        <f t="shared" si="24"/>
        <v>39890</v>
      </c>
      <c r="S21" s="127">
        <f>VLOOKUP($B21,'Выгр Торг'!$B:$Q,S$1,0)</f>
        <v>32250</v>
      </c>
      <c r="T21" s="127">
        <f>VLOOKUP($B21,'Выгр Торг'!$B:$Q,T$1,0)</f>
        <v>39890</v>
      </c>
      <c r="U21" s="94">
        <f t="shared" si="13"/>
        <v>0</v>
      </c>
      <c r="V21" s="94">
        <f t="shared" si="14"/>
        <v>0</v>
      </c>
      <c r="W21" s="153">
        <f t="shared" si="30"/>
        <v>37097.699999999997</v>
      </c>
      <c r="X21" s="209">
        <f>IFERROR(VLOOKUP($B21,'Из ГУГЛа'!$B:$G,6,0)*Z21+Y21,VLOOKUP($B21,'Из ГУГЛа'!$B:$G,6,0))</f>
        <v>39990</v>
      </c>
      <c r="Y21" s="76"/>
      <c r="Z21" s="133">
        <v>1</v>
      </c>
      <c r="AA21" s="134"/>
      <c r="AB21" s="135">
        <f t="shared" si="15"/>
        <v>0.15031627906976741</v>
      </c>
      <c r="AC21" s="135">
        <f t="shared" si="16"/>
        <v>7.2325581395348906E-2</v>
      </c>
      <c r="AD21" s="135">
        <f t="shared" si="17"/>
        <v>0.24</v>
      </c>
      <c r="AE21" s="221">
        <v>39990</v>
      </c>
      <c r="AF21" s="98" t="s">
        <v>647</v>
      </c>
      <c r="AH21" s="98" t="s">
        <v>159</v>
      </c>
    </row>
    <row r="22" spans="1:34" ht="31.5" thickTop="1" thickBot="1">
      <c r="A22" s="125" t="str">
        <f>INDEX('Выгр Торг'!$A:$A,MATCH($B22,'Выгр Торг'!$B:$B,0))</f>
        <v>Руль "Ferrum Group" Black, анатомическое для Лада Нива 4x4</v>
      </c>
      <c r="B22" s="126">
        <v>208989</v>
      </c>
      <c r="C22" s="127">
        <f>VLOOKUP($B22,'Выгр Торг'!$B:$Q,C$1,0)</f>
        <v>109322</v>
      </c>
      <c r="D22" s="128" t="s">
        <v>159</v>
      </c>
      <c r="E22" s="125" t="str">
        <f>VLOOKUP($B22,'Выгр Торг'!$B:$Q,E$1,0)</f>
        <v>Рулевое колесо (руль) "Ferrum Group" Black, анатомическое для Лада Нива 4x4 (Жёлтая нить)</v>
      </c>
      <c r="F22" s="127" t="str">
        <f>VLOOKUP($B22,'Выгр Торг'!$B:$Q,F$1,0)</f>
        <v>Y</v>
      </c>
      <c r="G22" s="127" t="str">
        <f>VLOOKUP($B22,'Выгр Торг'!$B:$Q,G$1,0)</f>
        <v>1</v>
      </c>
      <c r="H22" s="129">
        <v>109324</v>
      </c>
      <c r="I22" s="154"/>
      <c r="J22" s="160"/>
      <c r="K22" s="161">
        <v>870</v>
      </c>
      <c r="L22" s="130">
        <f t="shared" si="26"/>
        <v>32250</v>
      </c>
      <c r="M22" s="130">
        <f t="shared" si="27"/>
        <v>33250</v>
      </c>
      <c r="N22" s="130">
        <f t="shared" si="28"/>
        <v>33250</v>
      </c>
      <c r="O22" s="132">
        <f t="shared" si="22"/>
        <v>1.0310077519379846</v>
      </c>
      <c r="P22" s="132">
        <f t="shared" si="10"/>
        <v>1.1499999999999999</v>
      </c>
      <c r="Q22" s="130">
        <f t="shared" si="29"/>
        <v>39879.032258064515</v>
      </c>
      <c r="R22" s="148">
        <f t="shared" si="24"/>
        <v>39890</v>
      </c>
      <c r="S22" s="127">
        <f>VLOOKUP($B22,'Выгр Торг'!$B:$Q,S$1,0)</f>
        <v>32250</v>
      </c>
      <c r="T22" s="127">
        <f>VLOOKUP($B22,'Выгр Торг'!$B:$Q,T$1,0)</f>
        <v>39890</v>
      </c>
      <c r="U22" s="94">
        <f t="shared" si="13"/>
        <v>0</v>
      </c>
      <c r="V22" s="94">
        <f t="shared" si="14"/>
        <v>0</v>
      </c>
      <c r="W22" s="153">
        <f t="shared" si="30"/>
        <v>37097.699999999997</v>
      </c>
      <c r="X22" s="209">
        <f>IFERROR(VLOOKUP($B22,'Из ГУГЛа'!$B:$G,6,0)*Z22+Y22,VLOOKUP($B22,'Из ГУГЛа'!$B:$G,6,0))</f>
        <v>39990</v>
      </c>
      <c r="Y22" s="76"/>
      <c r="Z22" s="133">
        <v>1</v>
      </c>
      <c r="AA22" s="134"/>
      <c r="AB22" s="135">
        <f t="shared" si="15"/>
        <v>0.15031627906976741</v>
      </c>
      <c r="AC22" s="135">
        <f t="shared" si="16"/>
        <v>7.2325581395348906E-2</v>
      </c>
      <c r="AD22" s="135">
        <f t="shared" si="17"/>
        <v>0.24</v>
      </c>
      <c r="AE22" s="221">
        <v>39990</v>
      </c>
      <c r="AF22" s="98" t="s">
        <v>647</v>
      </c>
      <c r="AH22" s="98" t="s">
        <v>159</v>
      </c>
    </row>
    <row r="23" spans="1:34" ht="31.5" thickTop="1" thickBot="1">
      <c r="A23" s="125" t="str">
        <f>INDEX('Выгр Торг'!$A:$A,MATCH($B23,'Выгр Торг'!$B:$B,0))</f>
        <v>Руль "Ferrum Group" Black, анатомическое для Лада Нива 4x4</v>
      </c>
      <c r="B23" s="126">
        <v>208994</v>
      </c>
      <c r="C23" s="127">
        <f>VLOOKUP($B23,'Выгр Торг'!$B:$Q,C$1,0)</f>
        <v>109323</v>
      </c>
      <c r="D23" s="128" t="s">
        <v>159</v>
      </c>
      <c r="E23" s="125" t="str">
        <f>VLOOKUP($B23,'Выгр Торг'!$B:$Q,E$1,0)</f>
        <v>Рулевое колесо (руль) "Ferrum Group" Black, анатомическое для Лада Нива 4x4 (Салатовая нить)</v>
      </c>
      <c r="F23" s="127" t="str">
        <f>VLOOKUP($B23,'Выгр Торг'!$B:$Q,F$1,0)</f>
        <v>Y</v>
      </c>
      <c r="G23" s="127" t="str">
        <f>VLOOKUP($B23,'Выгр Торг'!$B:$Q,G$1,0)</f>
        <v>1</v>
      </c>
      <c r="H23" s="129">
        <v>109324</v>
      </c>
      <c r="I23" s="154"/>
      <c r="J23" s="160"/>
      <c r="K23" s="161">
        <v>870</v>
      </c>
      <c r="L23" s="130">
        <f t="shared" si="26"/>
        <v>32250</v>
      </c>
      <c r="M23" s="130">
        <f t="shared" si="27"/>
        <v>33250</v>
      </c>
      <c r="N23" s="130">
        <f t="shared" si="28"/>
        <v>33250</v>
      </c>
      <c r="O23" s="132">
        <f t="shared" si="22"/>
        <v>1.0310077519379846</v>
      </c>
      <c r="P23" s="132">
        <f t="shared" si="10"/>
        <v>1.1499999999999999</v>
      </c>
      <c r="Q23" s="130">
        <f t="shared" si="29"/>
        <v>39879.032258064515</v>
      </c>
      <c r="R23" s="148">
        <f t="shared" si="24"/>
        <v>39890</v>
      </c>
      <c r="S23" s="127">
        <f>VLOOKUP($B23,'Выгр Торг'!$B:$Q,S$1,0)</f>
        <v>32250</v>
      </c>
      <c r="T23" s="127">
        <f>VLOOKUP($B23,'Выгр Торг'!$B:$Q,T$1,0)</f>
        <v>39890</v>
      </c>
      <c r="U23" s="94">
        <f t="shared" si="13"/>
        <v>0</v>
      </c>
      <c r="V23" s="94">
        <f t="shared" si="14"/>
        <v>0</v>
      </c>
      <c r="W23" s="153">
        <f t="shared" si="30"/>
        <v>37097.699999999997</v>
      </c>
      <c r="X23" s="209">
        <f>IFERROR(VLOOKUP($B23,'Из ГУГЛа'!$B:$G,6,0)*Z23+Y23,VLOOKUP($B23,'Из ГУГЛа'!$B:$G,6,0))</f>
        <v>39990</v>
      </c>
      <c r="Y23" s="76"/>
      <c r="Z23" s="133">
        <v>1</v>
      </c>
      <c r="AA23" s="134"/>
      <c r="AB23" s="135">
        <f t="shared" si="15"/>
        <v>0.15031627906976741</v>
      </c>
      <c r="AC23" s="135">
        <f t="shared" si="16"/>
        <v>7.2325581395348906E-2</v>
      </c>
      <c r="AD23" s="135">
        <f t="shared" si="17"/>
        <v>0.24</v>
      </c>
      <c r="AE23" s="221">
        <v>39990</v>
      </c>
      <c r="AF23" s="98" t="s">
        <v>647</v>
      </c>
      <c r="AH23" s="98" t="s">
        <v>159</v>
      </c>
    </row>
    <row r="24" spans="1:34" ht="31.5" thickTop="1" thickBot="1">
      <c r="A24" s="125" t="str">
        <f>INDEX('Выгр Торг'!$A:$A,MATCH($B24,'Выгр Торг'!$B:$B,0))</f>
        <v>Руль "Ferrum Group" Black, анатомическое для Лада Нива 4x4</v>
      </c>
      <c r="B24" s="126">
        <v>208995</v>
      </c>
      <c r="C24" s="127">
        <f>VLOOKUP($B24,'Выгр Торг'!$B:$Q,C$1,0)</f>
        <v>109325</v>
      </c>
      <c r="D24" s="128" t="s">
        <v>159</v>
      </c>
      <c r="E24" s="125" t="str">
        <f>VLOOKUP($B24,'Выгр Торг'!$B:$Q,E$1,0)</f>
        <v>Рулевое колесо (руль) "Ferrum Group" Black, анатомическое для Лада Нива 4x4 (Светло-серая нить)</v>
      </c>
      <c r="F24" s="127" t="str">
        <f>VLOOKUP($B24,'Выгр Торг'!$B:$Q,F$1,0)</f>
        <v>Y</v>
      </c>
      <c r="G24" s="127" t="str">
        <f>VLOOKUP($B24,'Выгр Торг'!$B:$Q,G$1,0)</f>
        <v>1</v>
      </c>
      <c r="H24" s="129">
        <v>109324</v>
      </c>
      <c r="I24" s="154"/>
      <c r="J24" s="160"/>
      <c r="K24" s="161">
        <v>870</v>
      </c>
      <c r="L24" s="130">
        <f t="shared" si="26"/>
        <v>32250</v>
      </c>
      <c r="M24" s="130">
        <f t="shared" si="27"/>
        <v>33250</v>
      </c>
      <c r="N24" s="130">
        <f t="shared" si="28"/>
        <v>33250</v>
      </c>
      <c r="O24" s="132">
        <f t="shared" si="22"/>
        <v>1.0310077519379846</v>
      </c>
      <c r="P24" s="132">
        <f t="shared" si="10"/>
        <v>1.1499999999999999</v>
      </c>
      <c r="Q24" s="130">
        <f t="shared" si="29"/>
        <v>39879.032258064515</v>
      </c>
      <c r="R24" s="148">
        <f t="shared" si="24"/>
        <v>39890</v>
      </c>
      <c r="S24" s="127">
        <f>VLOOKUP($B24,'Выгр Торг'!$B:$Q,S$1,0)</f>
        <v>32250</v>
      </c>
      <c r="T24" s="127">
        <f>VLOOKUP($B24,'Выгр Торг'!$B:$Q,T$1,0)</f>
        <v>39890</v>
      </c>
      <c r="U24" s="94">
        <f t="shared" si="13"/>
        <v>0</v>
      </c>
      <c r="V24" s="94">
        <f t="shared" si="14"/>
        <v>0</v>
      </c>
      <c r="W24" s="153">
        <f t="shared" si="30"/>
        <v>37097.699999999997</v>
      </c>
      <c r="X24" s="209">
        <f>IFERROR(VLOOKUP($B24,'Из ГУГЛа'!$B:$G,6,0)*Z24+Y24,VLOOKUP($B24,'Из ГУГЛа'!$B:$G,6,0))</f>
        <v>39990</v>
      </c>
      <c r="Y24" s="76"/>
      <c r="Z24" s="133">
        <v>1</v>
      </c>
      <c r="AA24" s="134"/>
      <c r="AB24" s="135">
        <f t="shared" si="15"/>
        <v>0.15031627906976741</v>
      </c>
      <c r="AC24" s="135">
        <f t="shared" si="16"/>
        <v>7.2325581395348906E-2</v>
      </c>
      <c r="AD24" s="135">
        <f t="shared" si="17"/>
        <v>0.24</v>
      </c>
      <c r="AE24" s="221">
        <v>39990</v>
      </c>
      <c r="AF24" s="98" t="s">
        <v>647</v>
      </c>
      <c r="AH24" s="98" t="s">
        <v>159</v>
      </c>
    </row>
    <row r="25" spans="1:34" ht="31.5" thickTop="1" thickBot="1">
      <c r="A25" s="125" t="str">
        <f>INDEX('Выгр Торг'!$A:$A,MATCH($B25,'Выгр Торг'!$B:$B,0))</f>
        <v>Руль "Ferrum Group" Black, анатомическое для Лада Нива 4x4</v>
      </c>
      <c r="B25" s="126">
        <v>208992</v>
      </c>
      <c r="C25" s="127">
        <f>VLOOKUP($B25,'Выгр Торг'!$B:$Q,C$1,0)</f>
        <v>109326</v>
      </c>
      <c r="D25" s="128" t="s">
        <v>159</v>
      </c>
      <c r="E25" s="125" t="str">
        <f>VLOOKUP($B25,'Выгр Торг'!$B:$Q,E$1,0)</f>
        <v>Рулевое колесо (руль) "Ferrum Group" Black, анатомическое для Лада Нива 4x4 (Красная нить)</v>
      </c>
      <c r="F25" s="127" t="str">
        <f>VLOOKUP($B25,'Выгр Торг'!$B:$Q,F$1,0)</f>
        <v>Y</v>
      </c>
      <c r="G25" s="127" t="str">
        <f>VLOOKUP($B25,'Выгр Торг'!$B:$Q,G$1,0)</f>
        <v>1</v>
      </c>
      <c r="H25" s="129">
        <v>109324</v>
      </c>
      <c r="I25" s="154"/>
      <c r="J25" s="160"/>
      <c r="K25" s="161">
        <v>870</v>
      </c>
      <c r="L25" s="130">
        <f t="shared" si="26"/>
        <v>32250</v>
      </c>
      <c r="M25" s="130">
        <f t="shared" si="27"/>
        <v>33250</v>
      </c>
      <c r="N25" s="130">
        <f t="shared" si="28"/>
        <v>33250</v>
      </c>
      <c r="O25" s="132">
        <f t="shared" si="22"/>
        <v>1.0310077519379846</v>
      </c>
      <c r="P25" s="132">
        <f t="shared" si="10"/>
        <v>1.1499999999999999</v>
      </c>
      <c r="Q25" s="130">
        <f t="shared" si="29"/>
        <v>39879.032258064515</v>
      </c>
      <c r="R25" s="148">
        <f t="shared" si="24"/>
        <v>39890</v>
      </c>
      <c r="S25" s="127">
        <f>VLOOKUP($B25,'Выгр Торг'!$B:$Q,S$1,0)</f>
        <v>32250</v>
      </c>
      <c r="T25" s="127">
        <f>VLOOKUP($B25,'Выгр Торг'!$B:$Q,T$1,0)</f>
        <v>39890</v>
      </c>
      <c r="U25" s="94">
        <f t="shared" si="13"/>
        <v>0</v>
      </c>
      <c r="V25" s="94">
        <f t="shared" si="14"/>
        <v>0</v>
      </c>
      <c r="W25" s="153">
        <f t="shared" si="30"/>
        <v>37097.699999999997</v>
      </c>
      <c r="X25" s="209">
        <f>IFERROR(VLOOKUP($B25,'Из ГУГЛа'!$B:$G,6,0)*Z25+Y25,VLOOKUP($B25,'Из ГУГЛа'!$B:$G,6,0))</f>
        <v>39990</v>
      </c>
      <c r="Y25" s="76"/>
      <c r="Z25" s="133">
        <v>1</v>
      </c>
      <c r="AA25" s="134"/>
      <c r="AB25" s="135">
        <f t="shared" si="15"/>
        <v>0.15031627906976741</v>
      </c>
      <c r="AC25" s="135">
        <f t="shared" si="16"/>
        <v>7.2325581395348906E-2</v>
      </c>
      <c r="AD25" s="135">
        <f t="shared" si="17"/>
        <v>0.24</v>
      </c>
      <c r="AE25" s="221">
        <v>39990</v>
      </c>
      <c r="AF25" s="98" t="s">
        <v>647</v>
      </c>
      <c r="AH25" s="98" t="s">
        <v>159</v>
      </c>
    </row>
    <row r="26" spans="1:34" ht="31.5" thickTop="1" thickBot="1">
      <c r="A26" s="125" t="str">
        <f>INDEX('Выгр Торг'!$A:$A,MATCH($B26,'Выгр Торг'!$B:$B,0))</f>
        <v>Руль "Ferrum Group" Black, анатомическое для Лада Нива 4x4</v>
      </c>
      <c r="B26" s="126">
        <v>208990</v>
      </c>
      <c r="C26" s="127">
        <f>VLOOKUP($B26,'Выгр Торг'!$B:$Q,C$1,0)</f>
        <v>109327</v>
      </c>
      <c r="D26" s="128" t="s">
        <v>159</v>
      </c>
      <c r="E26" s="125" t="str">
        <f>VLOOKUP($B26,'Выгр Торг'!$B:$Q,E$1,0)</f>
        <v>Рулевое колесо (руль) "Ferrum Group" Black, анатомическое для Лада Нива 4x4 (Зелёная нить)</v>
      </c>
      <c r="F26" s="127" t="str">
        <f>VLOOKUP($B26,'Выгр Торг'!$B:$Q,F$1,0)</f>
        <v>Y</v>
      </c>
      <c r="G26" s="127" t="str">
        <f>VLOOKUP($B26,'Выгр Торг'!$B:$Q,G$1,0)</f>
        <v>1</v>
      </c>
      <c r="H26" s="129">
        <v>109324</v>
      </c>
      <c r="I26" s="154"/>
      <c r="J26" s="160"/>
      <c r="K26" s="161">
        <v>870</v>
      </c>
      <c r="L26" s="130">
        <f t="shared" si="26"/>
        <v>32250</v>
      </c>
      <c r="M26" s="130">
        <f t="shared" si="27"/>
        <v>33250</v>
      </c>
      <c r="N26" s="130">
        <f t="shared" si="28"/>
        <v>33250</v>
      </c>
      <c r="O26" s="132">
        <f t="shared" si="22"/>
        <v>1.0310077519379846</v>
      </c>
      <c r="P26" s="132">
        <f t="shared" si="10"/>
        <v>1.1499999999999999</v>
      </c>
      <c r="Q26" s="130">
        <f t="shared" si="29"/>
        <v>39879.032258064515</v>
      </c>
      <c r="R26" s="148">
        <f t="shared" si="24"/>
        <v>39890</v>
      </c>
      <c r="S26" s="127">
        <f>VLOOKUP($B26,'Выгр Торг'!$B:$Q,S$1,0)</f>
        <v>32250</v>
      </c>
      <c r="T26" s="127">
        <f>VLOOKUP($B26,'Выгр Торг'!$B:$Q,T$1,0)</f>
        <v>39890</v>
      </c>
      <c r="U26" s="94">
        <f t="shared" si="13"/>
        <v>0</v>
      </c>
      <c r="V26" s="94">
        <f t="shared" si="14"/>
        <v>0</v>
      </c>
      <c r="W26" s="153">
        <f t="shared" si="30"/>
        <v>37097.699999999997</v>
      </c>
      <c r="X26" s="209">
        <f>IFERROR(VLOOKUP($B26,'Из ГУГЛа'!$B:$G,6,0)*Z26+Y26,VLOOKUP($B26,'Из ГУГЛа'!$B:$G,6,0))</f>
        <v>39990</v>
      </c>
      <c r="Y26" s="76"/>
      <c r="Z26" s="133">
        <v>1</v>
      </c>
      <c r="AA26" s="134"/>
      <c r="AB26" s="135">
        <f t="shared" si="15"/>
        <v>0.15031627906976741</v>
      </c>
      <c r="AC26" s="135">
        <f t="shared" si="16"/>
        <v>7.2325581395348906E-2</v>
      </c>
      <c r="AD26" s="135">
        <f t="shared" si="17"/>
        <v>0.24</v>
      </c>
      <c r="AE26" s="221">
        <v>39990</v>
      </c>
      <c r="AF26" s="98" t="s">
        <v>647</v>
      </c>
      <c r="AH26" s="98" t="s">
        <v>159</v>
      </c>
    </row>
    <row r="27" spans="1:34" ht="46.5" thickTop="1" thickBot="1">
      <c r="A27" s="125" t="str">
        <f>INDEX('Выгр Торг'!$A:$A,MATCH($B27,'Выгр Торг'!$B:$B,0))</f>
        <v>Руль анатомический "Ferrum Group" Hunter для ВАЗ 2108-21099, 2113-2115</v>
      </c>
      <c r="B27" s="126">
        <v>132643</v>
      </c>
      <c r="C27" s="127">
        <f>VLOOKUP($B27,'Выгр Торг'!$B:$Q,C$1,0)</f>
        <v>109339</v>
      </c>
      <c r="D27" s="128" t="s">
        <v>147</v>
      </c>
      <c r="E27" s="125" t="str">
        <f>VLOOKUP($B27,'Выгр Торг'!$B:$Q,E$1,0)</f>
        <v>Анатомическое рулевое колесо "Ferrum Group" Hunter для ВАЗ 2108-21099, 2113-2115 (Чёрная нить)</v>
      </c>
      <c r="F27" s="127" t="str">
        <f>VLOOKUP($B27,'Выгр Торг'!$B:$Q,F$1,0)</f>
        <v>Y</v>
      </c>
      <c r="G27" s="127" t="str">
        <f>VLOOKUP($B27,'Выгр Торг'!$B:$Q,G$1,0)</f>
        <v>1</v>
      </c>
      <c r="H27" s="129">
        <v>109339</v>
      </c>
      <c r="I27" s="154"/>
      <c r="J27" s="160"/>
      <c r="K27" s="161">
        <v>0</v>
      </c>
      <c r="L27" s="130">
        <f t="shared" si="26"/>
        <v>31380</v>
      </c>
      <c r="M27" s="131">
        <f>N27+J27</f>
        <v>32380</v>
      </c>
      <c r="N27" s="131">
        <v>32380</v>
      </c>
      <c r="O27" s="132">
        <f t="shared" ref="O27:O64" si="31">M27/L27</f>
        <v>1.0318674314850222</v>
      </c>
      <c r="P27" s="132">
        <f t="shared" si="10"/>
        <v>1.1499999999999999</v>
      </c>
      <c r="Q27" s="147">
        <f t="shared" ref="Q27:Q52" si="32">L27*P27*100/93</f>
        <v>38803.225806451614</v>
      </c>
      <c r="R27" s="148">
        <f t="shared" ref="R27:R64" si="33">IF(Q27&lt;=1000,(ROUNDUP(Q27,-2)-1),(ROUNDUP(Q27,-2)-10))</f>
        <v>38890</v>
      </c>
      <c r="S27" s="127">
        <f>VLOOKUP($B27,'Выгр Торг'!$B:$Q,S$1,0)</f>
        <v>31380</v>
      </c>
      <c r="T27" s="127">
        <f>VLOOKUP($B27,'Выгр Торг'!$B:$Q,T$1,0)</f>
        <v>38890</v>
      </c>
      <c r="U27" s="94">
        <f t="shared" si="13"/>
        <v>0</v>
      </c>
      <c r="V27" s="94">
        <f t="shared" si="14"/>
        <v>0</v>
      </c>
      <c r="W27" s="153">
        <f t="shared" si="30"/>
        <v>36167.699999999997</v>
      </c>
      <c r="X27" s="209" t="str">
        <f>IFERROR(VLOOKUP($B27,'Из ГУГЛа'!$B:$G,6,0)*Z27+Y27,VLOOKUP($B27,'Из ГУГЛа'!$B:$G,6,0))</f>
        <v/>
      </c>
      <c r="Y27" s="106">
        <f>(J27+K27)*$Y$2</f>
        <v>0</v>
      </c>
      <c r="Z27" s="133">
        <v>1</v>
      </c>
      <c r="AA27" s="134"/>
      <c r="AB27" s="135">
        <f t="shared" si="15"/>
        <v>0.15257170172084122</v>
      </c>
      <c r="AC27" s="135" t="str">
        <f t="shared" si="16"/>
        <v/>
      </c>
      <c r="AD27" s="135" t="str">
        <f t="shared" si="17"/>
        <v/>
      </c>
      <c r="AE27" s="137" t="s">
        <v>879</v>
      </c>
      <c r="AH27" s="98" t="s">
        <v>147</v>
      </c>
    </row>
    <row r="28" spans="1:34" ht="46.5" thickTop="1" thickBot="1">
      <c r="A28" s="125" t="str">
        <f>INDEX('Выгр Торг'!$A:$A,MATCH($B28,'Выгр Торг'!$B:$B,0))</f>
        <v>Руль анатомический "Ferrum Group" Hunter для ВАЗ 2108-21099, 2113-2115</v>
      </c>
      <c r="B28" s="126">
        <v>132642</v>
      </c>
      <c r="C28" s="127">
        <f>VLOOKUP($B28,'Выгр Торг'!$B:$Q,C$1,0)</f>
        <v>109331</v>
      </c>
      <c r="D28" s="128" t="s">
        <v>147</v>
      </c>
      <c r="E28" s="125" t="str">
        <f>VLOOKUP($B28,'Выгр Торг'!$B:$Q,E$1,0)</f>
        <v>Анатомическое рулевое колесо "Ferrum Group" Hunter для ВАЗ 2108-21099, 2113-2115 (Фиолетовая нить)</v>
      </c>
      <c r="F28" s="127" t="str">
        <f>VLOOKUP($B28,'Выгр Торг'!$B:$Q,F$1,0)</f>
        <v>Y</v>
      </c>
      <c r="G28" s="127" t="str">
        <f>VLOOKUP($B28,'Выгр Торг'!$B:$Q,G$1,0)</f>
        <v>1</v>
      </c>
      <c r="H28" s="129">
        <v>109339</v>
      </c>
      <c r="I28" s="154"/>
      <c r="J28" s="160"/>
      <c r="K28" s="161">
        <v>870</v>
      </c>
      <c r="L28" s="130">
        <f t="shared" si="26"/>
        <v>32250</v>
      </c>
      <c r="M28" s="130">
        <f t="shared" ref="M28:M38" si="34">INDEX($M:$M,MATCH($H28,$C:$C,0))+$K28+$J28</f>
        <v>33250</v>
      </c>
      <c r="N28" s="130">
        <f t="shared" ref="N28:N38" si="35">INDEX($N:$N,MATCH($H28,$C:$C,0))+$K28+$J28</f>
        <v>33250</v>
      </c>
      <c r="O28" s="132">
        <f t="shared" si="31"/>
        <v>1.0310077519379846</v>
      </c>
      <c r="P28" s="132">
        <f t="shared" si="10"/>
        <v>1.1499999999999999</v>
      </c>
      <c r="Q28" s="130">
        <f t="shared" ref="Q28:Q38" si="36">INDEX($Q:$Q,MATCH($H28,$C:$C,0))+($K28+$J28)*INDEX($P:$P,MATCH($H28,$C:$C,0))*100/93</f>
        <v>39879.032258064515</v>
      </c>
      <c r="R28" s="148">
        <f t="shared" si="33"/>
        <v>39890</v>
      </c>
      <c r="S28" s="127">
        <f>VLOOKUP($B28,'Выгр Торг'!$B:$Q,S$1,0)</f>
        <v>32250</v>
      </c>
      <c r="T28" s="127">
        <f>VLOOKUP($B28,'Выгр Торг'!$B:$Q,T$1,0)</f>
        <v>39890</v>
      </c>
      <c r="U28" s="94">
        <f t="shared" si="13"/>
        <v>0</v>
      </c>
      <c r="V28" s="94">
        <f t="shared" si="14"/>
        <v>0</v>
      </c>
      <c r="W28" s="153">
        <f t="shared" si="30"/>
        <v>37097.699999999997</v>
      </c>
      <c r="X28" s="209" t="str">
        <f>IFERROR(VLOOKUP($B28,'Из ГУГЛа'!$B:$G,6,0)*Z28+Y28,VLOOKUP($B28,'Из ГУГЛа'!$B:$G,6,0))</f>
        <v/>
      </c>
      <c r="Y28" s="76"/>
      <c r="Z28" s="133">
        <v>1</v>
      </c>
      <c r="AA28" s="134"/>
      <c r="AB28" s="135">
        <f t="shared" si="15"/>
        <v>0.15031627906976741</v>
      </c>
      <c r="AC28" s="135" t="str">
        <f t="shared" si="16"/>
        <v/>
      </c>
      <c r="AD28" s="135" t="str">
        <f t="shared" si="17"/>
        <v/>
      </c>
      <c r="AE28" s="137" t="s">
        <v>879</v>
      </c>
      <c r="AH28" s="98" t="s">
        <v>147</v>
      </c>
    </row>
    <row r="29" spans="1:34" ht="46.5" thickTop="1" thickBot="1">
      <c r="A29" s="125" t="str">
        <f>INDEX('Выгр Торг'!$A:$A,MATCH($B29,'Выгр Торг'!$B:$B,0))</f>
        <v>Руль анатомический "Ferrum Group" Hunter для ВАЗ 2108-21099, 2113-2115</v>
      </c>
      <c r="B29" s="126">
        <v>132641</v>
      </c>
      <c r="C29" s="127">
        <f>VLOOKUP($B29,'Выгр Торг'!$B:$Q,C$1,0)</f>
        <v>109332</v>
      </c>
      <c r="D29" s="128" t="s">
        <v>147</v>
      </c>
      <c r="E29" s="125" t="str">
        <f>VLOOKUP($B29,'Выгр Торг'!$B:$Q,E$1,0)</f>
        <v>Анатомическое рулевое колесо "Ferrum Group" Hunter для ВАЗ 2108-21099, 2113-2115 (Тёмно-серая нить)</v>
      </c>
      <c r="F29" s="127" t="str">
        <f>VLOOKUP($B29,'Выгр Торг'!$B:$Q,F$1,0)</f>
        <v>Y</v>
      </c>
      <c r="G29" s="127" t="str">
        <f>VLOOKUP($B29,'Выгр Торг'!$B:$Q,G$1,0)</f>
        <v>1</v>
      </c>
      <c r="H29" s="129">
        <v>109339</v>
      </c>
      <c r="I29" s="154"/>
      <c r="J29" s="160"/>
      <c r="K29" s="161">
        <v>870</v>
      </c>
      <c r="L29" s="130">
        <f t="shared" si="26"/>
        <v>32250</v>
      </c>
      <c r="M29" s="130">
        <f t="shared" si="34"/>
        <v>33250</v>
      </c>
      <c r="N29" s="130">
        <f t="shared" si="35"/>
        <v>33250</v>
      </c>
      <c r="O29" s="132">
        <f t="shared" si="31"/>
        <v>1.0310077519379846</v>
      </c>
      <c r="P29" s="132">
        <f t="shared" si="10"/>
        <v>1.1499999999999999</v>
      </c>
      <c r="Q29" s="130">
        <f t="shared" si="36"/>
        <v>39879.032258064515</v>
      </c>
      <c r="R29" s="148">
        <f t="shared" si="33"/>
        <v>39890</v>
      </c>
      <c r="S29" s="127">
        <f>VLOOKUP($B29,'Выгр Торг'!$B:$Q,S$1,0)</f>
        <v>32250</v>
      </c>
      <c r="T29" s="127">
        <f>VLOOKUP($B29,'Выгр Торг'!$B:$Q,T$1,0)</f>
        <v>39890</v>
      </c>
      <c r="U29" s="94">
        <f t="shared" si="13"/>
        <v>0</v>
      </c>
      <c r="V29" s="94">
        <f t="shared" si="14"/>
        <v>0</v>
      </c>
      <c r="W29" s="153">
        <f t="shared" si="30"/>
        <v>37097.699999999997</v>
      </c>
      <c r="X29" s="209" t="str">
        <f>IFERROR(VLOOKUP($B29,'Из ГУГЛа'!$B:$G,6,0)*Z29+Y29,VLOOKUP($B29,'Из ГУГЛа'!$B:$G,6,0))</f>
        <v/>
      </c>
      <c r="Y29" s="76"/>
      <c r="Z29" s="133">
        <v>1</v>
      </c>
      <c r="AA29" s="134"/>
      <c r="AB29" s="135">
        <f t="shared" si="15"/>
        <v>0.15031627906976741</v>
      </c>
      <c r="AC29" s="135" t="str">
        <f t="shared" si="16"/>
        <v/>
      </c>
      <c r="AD29" s="135" t="str">
        <f t="shared" si="17"/>
        <v/>
      </c>
      <c r="AE29" s="137" t="s">
        <v>879</v>
      </c>
      <c r="AH29" s="98" t="s">
        <v>147</v>
      </c>
    </row>
    <row r="30" spans="1:34" ht="46.5" thickTop="1" thickBot="1">
      <c r="A30" s="125" t="str">
        <f>INDEX('Выгр Торг'!$A:$A,MATCH($B30,'Выгр Торг'!$B:$B,0))</f>
        <v>Руль анатомический "Ferrum Group" Hunter для ВАЗ 2108-21099, 2113-2115</v>
      </c>
      <c r="B30" s="126">
        <v>132634</v>
      </c>
      <c r="C30" s="127">
        <f>VLOOKUP($B30,'Выгр Торг'!$B:$Q,C$1,0)</f>
        <v>109333</v>
      </c>
      <c r="D30" s="128" t="s">
        <v>147</v>
      </c>
      <c r="E30" s="125" t="str">
        <f>VLOOKUP($B30,'Выгр Торг'!$B:$Q,E$1,0)</f>
        <v>Анатомическое рулевое колесо "Ferrum Group" Hunter для ВАЗ 2108-21099, 2113-2115 (Коричневая нить)</v>
      </c>
      <c r="F30" s="127" t="str">
        <f>VLOOKUP($B30,'Выгр Торг'!$B:$Q,F$1,0)</f>
        <v>Y</v>
      </c>
      <c r="G30" s="127" t="str">
        <f>VLOOKUP($B30,'Выгр Торг'!$B:$Q,G$1,0)</f>
        <v>1</v>
      </c>
      <c r="H30" s="129">
        <v>109339</v>
      </c>
      <c r="I30" s="154"/>
      <c r="J30" s="160"/>
      <c r="K30" s="161">
        <v>870</v>
      </c>
      <c r="L30" s="130">
        <f t="shared" si="26"/>
        <v>32250</v>
      </c>
      <c r="M30" s="130">
        <f t="shared" si="34"/>
        <v>33250</v>
      </c>
      <c r="N30" s="130">
        <f t="shared" si="35"/>
        <v>33250</v>
      </c>
      <c r="O30" s="132">
        <f t="shared" si="31"/>
        <v>1.0310077519379846</v>
      </c>
      <c r="P30" s="132">
        <f t="shared" si="10"/>
        <v>1.1499999999999999</v>
      </c>
      <c r="Q30" s="130">
        <f t="shared" si="36"/>
        <v>39879.032258064515</v>
      </c>
      <c r="R30" s="148">
        <f t="shared" si="33"/>
        <v>39890</v>
      </c>
      <c r="S30" s="127">
        <f>VLOOKUP($B30,'Выгр Торг'!$B:$Q,S$1,0)</f>
        <v>32250</v>
      </c>
      <c r="T30" s="127">
        <f>VLOOKUP($B30,'Выгр Торг'!$B:$Q,T$1,0)</f>
        <v>39890</v>
      </c>
      <c r="U30" s="94">
        <f t="shared" si="13"/>
        <v>0</v>
      </c>
      <c r="V30" s="94">
        <f t="shared" si="14"/>
        <v>0</v>
      </c>
      <c r="W30" s="153">
        <f t="shared" si="30"/>
        <v>37097.699999999997</v>
      </c>
      <c r="X30" s="209" t="str">
        <f>IFERROR(VLOOKUP($B30,'Из ГУГЛа'!$B:$G,6,0)*Z30+Y30,VLOOKUP($B30,'Из ГУГЛа'!$B:$G,6,0))</f>
        <v/>
      </c>
      <c r="Y30" s="76"/>
      <c r="Z30" s="133">
        <v>1</v>
      </c>
      <c r="AA30" s="134"/>
      <c r="AB30" s="135">
        <f t="shared" si="15"/>
        <v>0.15031627906976741</v>
      </c>
      <c r="AC30" s="135" t="str">
        <f t="shared" si="16"/>
        <v/>
      </c>
      <c r="AD30" s="135" t="str">
        <f t="shared" si="17"/>
        <v/>
      </c>
      <c r="AE30" s="137" t="s">
        <v>879</v>
      </c>
      <c r="AH30" s="98" t="s">
        <v>147</v>
      </c>
    </row>
    <row r="31" spans="1:34" ht="46.5" thickTop="1" thickBot="1">
      <c r="A31" s="125" t="str">
        <f>INDEX('Выгр Торг'!$A:$A,MATCH($B31,'Выгр Торг'!$B:$B,0))</f>
        <v>Руль анатомический "Ferrum Group" Hunter для ВАЗ 2108-21099, 2113-2115</v>
      </c>
      <c r="B31" s="126">
        <v>132640</v>
      </c>
      <c r="C31" s="127">
        <f>VLOOKUP($B31,'Выгр Торг'!$B:$Q,C$1,0)</f>
        <v>109334</v>
      </c>
      <c r="D31" s="128" t="s">
        <v>147</v>
      </c>
      <c r="E31" s="125" t="str">
        <f>VLOOKUP($B31,'Выгр Торг'!$B:$Q,E$1,0)</f>
        <v>Анатомическое рулевое колесо "Ferrum Group" Hunter для ВАЗ 2108-21099, 2113-2115 (Синяя нить)</v>
      </c>
      <c r="F31" s="127" t="str">
        <f>VLOOKUP($B31,'Выгр Торг'!$B:$Q,F$1,0)</f>
        <v>Y</v>
      </c>
      <c r="G31" s="127" t="str">
        <f>VLOOKUP($B31,'Выгр Торг'!$B:$Q,G$1,0)</f>
        <v>1</v>
      </c>
      <c r="H31" s="129">
        <v>109339</v>
      </c>
      <c r="I31" s="154"/>
      <c r="J31" s="160"/>
      <c r="K31" s="161">
        <v>870</v>
      </c>
      <c r="L31" s="130">
        <f t="shared" si="26"/>
        <v>32250</v>
      </c>
      <c r="M31" s="130">
        <f t="shared" si="34"/>
        <v>33250</v>
      </c>
      <c r="N31" s="130">
        <f t="shared" si="35"/>
        <v>33250</v>
      </c>
      <c r="O31" s="132">
        <f t="shared" si="31"/>
        <v>1.0310077519379846</v>
      </c>
      <c r="P31" s="132">
        <f t="shared" si="10"/>
        <v>1.1499999999999999</v>
      </c>
      <c r="Q31" s="130">
        <f t="shared" si="36"/>
        <v>39879.032258064515</v>
      </c>
      <c r="R31" s="148">
        <f t="shared" si="33"/>
        <v>39890</v>
      </c>
      <c r="S31" s="127">
        <f>VLOOKUP($B31,'Выгр Торг'!$B:$Q,S$1,0)</f>
        <v>32250</v>
      </c>
      <c r="T31" s="127">
        <f>VLOOKUP($B31,'Выгр Торг'!$B:$Q,T$1,0)</f>
        <v>39890</v>
      </c>
      <c r="U31" s="94">
        <f t="shared" si="13"/>
        <v>0</v>
      </c>
      <c r="V31" s="94">
        <f t="shared" si="14"/>
        <v>0</v>
      </c>
      <c r="W31" s="153">
        <f t="shared" si="30"/>
        <v>37097.699999999997</v>
      </c>
      <c r="X31" s="209" t="str">
        <f>IFERROR(VLOOKUP($B31,'Из ГУГЛа'!$B:$G,6,0)*Z31+Y31,VLOOKUP($B31,'Из ГУГЛа'!$B:$G,6,0))</f>
        <v/>
      </c>
      <c r="Y31" s="76"/>
      <c r="Z31" s="133">
        <v>1</v>
      </c>
      <c r="AA31" s="134"/>
      <c r="AB31" s="135">
        <f t="shared" si="15"/>
        <v>0.15031627906976741</v>
      </c>
      <c r="AC31" s="135" t="str">
        <f t="shared" si="16"/>
        <v/>
      </c>
      <c r="AD31" s="135" t="str">
        <f t="shared" si="17"/>
        <v/>
      </c>
      <c r="AE31" s="137" t="s">
        <v>879</v>
      </c>
      <c r="AH31" s="98" t="s">
        <v>147</v>
      </c>
    </row>
    <row r="32" spans="1:34" ht="46.5" thickTop="1" thickBot="1">
      <c r="A32" s="125" t="str">
        <f>INDEX('Выгр Торг'!$A:$A,MATCH($B32,'Выгр Торг'!$B:$B,0))</f>
        <v>Руль анатомический "Ferrum Group" Hunter для ВАЗ 2108-21099, 2113-2115</v>
      </c>
      <c r="B32" s="126">
        <v>132639</v>
      </c>
      <c r="C32" s="127">
        <f>VLOOKUP($B32,'Выгр Торг'!$B:$Q,C$1,0)</f>
        <v>109335</v>
      </c>
      <c r="D32" s="128" t="s">
        <v>147</v>
      </c>
      <c r="E32" s="125" t="str">
        <f>VLOOKUP($B32,'Выгр Торг'!$B:$Q,E$1,0)</f>
        <v>Анатомическое рулевое колесо "Ferrum Group" Hunter для ВАЗ 2108-21099, 2113-2115 (Сине-зелёная нить)</v>
      </c>
      <c r="F32" s="127" t="str">
        <f>VLOOKUP($B32,'Выгр Торг'!$B:$Q,F$1,0)</f>
        <v>Y</v>
      </c>
      <c r="G32" s="127" t="str">
        <f>VLOOKUP($B32,'Выгр Торг'!$B:$Q,G$1,0)</f>
        <v>1</v>
      </c>
      <c r="H32" s="129">
        <v>109339</v>
      </c>
      <c r="I32" s="154"/>
      <c r="J32" s="160"/>
      <c r="K32" s="161">
        <v>870</v>
      </c>
      <c r="L32" s="130">
        <f t="shared" si="26"/>
        <v>32250</v>
      </c>
      <c r="M32" s="130">
        <f t="shared" si="34"/>
        <v>33250</v>
      </c>
      <c r="N32" s="130">
        <f t="shared" si="35"/>
        <v>33250</v>
      </c>
      <c r="O32" s="132">
        <f t="shared" si="31"/>
        <v>1.0310077519379846</v>
      </c>
      <c r="P32" s="132">
        <f t="shared" si="10"/>
        <v>1.1499999999999999</v>
      </c>
      <c r="Q32" s="130">
        <f t="shared" si="36"/>
        <v>39879.032258064515</v>
      </c>
      <c r="R32" s="148">
        <f t="shared" si="33"/>
        <v>39890</v>
      </c>
      <c r="S32" s="127">
        <f>VLOOKUP($B32,'Выгр Торг'!$B:$Q,S$1,0)</f>
        <v>32250</v>
      </c>
      <c r="T32" s="127">
        <f>VLOOKUP($B32,'Выгр Торг'!$B:$Q,T$1,0)</f>
        <v>39890</v>
      </c>
      <c r="U32" s="94">
        <f t="shared" si="13"/>
        <v>0</v>
      </c>
      <c r="V32" s="94">
        <f t="shared" si="14"/>
        <v>0</v>
      </c>
      <c r="W32" s="153">
        <f t="shared" si="30"/>
        <v>37097.699999999997</v>
      </c>
      <c r="X32" s="209" t="str">
        <f>IFERROR(VLOOKUP($B32,'Из ГУГЛа'!$B:$G,6,0)*Z32+Y32,VLOOKUP($B32,'Из ГУГЛа'!$B:$G,6,0))</f>
        <v/>
      </c>
      <c r="Y32" s="76"/>
      <c r="Z32" s="133">
        <v>1</v>
      </c>
      <c r="AA32" s="134"/>
      <c r="AB32" s="135">
        <f t="shared" si="15"/>
        <v>0.15031627906976741</v>
      </c>
      <c r="AC32" s="135" t="str">
        <f t="shared" si="16"/>
        <v/>
      </c>
      <c r="AD32" s="135" t="str">
        <f t="shared" si="17"/>
        <v/>
      </c>
      <c r="AE32" s="137" t="s">
        <v>879</v>
      </c>
      <c r="AH32" s="98" t="s">
        <v>147</v>
      </c>
    </row>
    <row r="33" spans="1:34" ht="46.5" thickTop="1" thickBot="1">
      <c r="A33" s="125" t="str">
        <f>INDEX('Выгр Торг'!$A:$A,MATCH($B33,'Выгр Торг'!$B:$B,0))</f>
        <v>Руль анатомический "Ferrum Group" Hunter для ВАЗ 2108-21099, 2113-2115</v>
      </c>
      <c r="B33" s="126">
        <v>132636</v>
      </c>
      <c r="C33" s="127">
        <f>VLOOKUP($B33,'Выгр Торг'!$B:$Q,C$1,0)</f>
        <v>109336</v>
      </c>
      <c r="D33" s="128" t="s">
        <v>147</v>
      </c>
      <c r="E33" s="125" t="str">
        <f>VLOOKUP($B33,'Выгр Торг'!$B:$Q,E$1,0)</f>
        <v>Анатомическое рулевое колесо "Ferrum Group" Hunter для ВАЗ 2108-21099, 2113-2115 (Оранжевая нить)</v>
      </c>
      <c r="F33" s="127" t="str">
        <f>VLOOKUP($B33,'Выгр Торг'!$B:$Q,F$1,0)</f>
        <v>Y</v>
      </c>
      <c r="G33" s="127" t="str">
        <f>VLOOKUP($B33,'Выгр Торг'!$B:$Q,G$1,0)</f>
        <v>1</v>
      </c>
      <c r="H33" s="129">
        <v>109339</v>
      </c>
      <c r="I33" s="154"/>
      <c r="J33" s="160"/>
      <c r="K33" s="161">
        <v>870</v>
      </c>
      <c r="L33" s="130">
        <f t="shared" si="26"/>
        <v>32250</v>
      </c>
      <c r="M33" s="130">
        <f t="shared" si="34"/>
        <v>33250</v>
      </c>
      <c r="N33" s="130">
        <f t="shared" si="35"/>
        <v>33250</v>
      </c>
      <c r="O33" s="132">
        <f t="shared" si="31"/>
        <v>1.0310077519379846</v>
      </c>
      <c r="P33" s="132">
        <f t="shared" si="10"/>
        <v>1.1499999999999999</v>
      </c>
      <c r="Q33" s="130">
        <f t="shared" si="36"/>
        <v>39879.032258064515</v>
      </c>
      <c r="R33" s="148">
        <f t="shared" si="33"/>
        <v>39890</v>
      </c>
      <c r="S33" s="127">
        <f>VLOOKUP($B33,'Выгр Торг'!$B:$Q,S$1,0)</f>
        <v>32250</v>
      </c>
      <c r="T33" s="127">
        <f>VLOOKUP($B33,'Выгр Торг'!$B:$Q,T$1,0)</f>
        <v>39890</v>
      </c>
      <c r="U33" s="94">
        <f t="shared" si="13"/>
        <v>0</v>
      </c>
      <c r="V33" s="94">
        <f t="shared" si="14"/>
        <v>0</v>
      </c>
      <c r="W33" s="153">
        <f t="shared" si="30"/>
        <v>37097.699999999997</v>
      </c>
      <c r="X33" s="209" t="str">
        <f>IFERROR(VLOOKUP($B33,'Из ГУГЛа'!$B:$G,6,0)*Z33+Y33,VLOOKUP($B33,'Из ГУГЛа'!$B:$G,6,0))</f>
        <v/>
      </c>
      <c r="Y33" s="76"/>
      <c r="Z33" s="133">
        <v>1</v>
      </c>
      <c r="AA33" s="134"/>
      <c r="AB33" s="135">
        <f t="shared" si="15"/>
        <v>0.15031627906976741</v>
      </c>
      <c r="AC33" s="135" t="str">
        <f t="shared" si="16"/>
        <v/>
      </c>
      <c r="AD33" s="135" t="str">
        <f t="shared" si="17"/>
        <v/>
      </c>
      <c r="AE33" s="137" t="s">
        <v>879</v>
      </c>
      <c r="AH33" s="98" t="s">
        <v>147</v>
      </c>
    </row>
    <row r="34" spans="1:34" ht="46.5" thickTop="1" thickBot="1">
      <c r="A34" s="125" t="str">
        <f>INDEX('Выгр Торг'!$A:$A,MATCH($B34,'Выгр Торг'!$B:$B,0))</f>
        <v>Руль анатомический "Ferrum Group" Hunter для ВАЗ 2108-21099, 2113-2115</v>
      </c>
      <c r="B34" s="126">
        <v>132632</v>
      </c>
      <c r="C34" s="127">
        <f>VLOOKUP($B34,'Выгр Торг'!$B:$Q,C$1,0)</f>
        <v>109337</v>
      </c>
      <c r="D34" s="128" t="s">
        <v>147</v>
      </c>
      <c r="E34" s="125" t="str">
        <f>VLOOKUP($B34,'Выгр Торг'!$B:$Q,E$1,0)</f>
        <v>Анатомическое рулевое колесо "Ferrum Group" Hunter для ВАЗ 2108-21099, 2113-2115 (Жёлтая нить)</v>
      </c>
      <c r="F34" s="127" t="str">
        <f>VLOOKUP($B34,'Выгр Торг'!$B:$Q,F$1,0)</f>
        <v>Y</v>
      </c>
      <c r="G34" s="127" t="str">
        <f>VLOOKUP($B34,'Выгр Торг'!$B:$Q,G$1,0)</f>
        <v>1</v>
      </c>
      <c r="H34" s="129">
        <v>109339</v>
      </c>
      <c r="I34" s="154"/>
      <c r="J34" s="160"/>
      <c r="K34" s="161">
        <v>870</v>
      </c>
      <c r="L34" s="130">
        <f t="shared" si="26"/>
        <v>32250</v>
      </c>
      <c r="M34" s="130">
        <f t="shared" si="34"/>
        <v>33250</v>
      </c>
      <c r="N34" s="130">
        <f t="shared" si="35"/>
        <v>33250</v>
      </c>
      <c r="O34" s="132">
        <f t="shared" si="31"/>
        <v>1.0310077519379846</v>
      </c>
      <c r="P34" s="132">
        <f t="shared" si="10"/>
        <v>1.1499999999999999</v>
      </c>
      <c r="Q34" s="130">
        <f t="shared" si="36"/>
        <v>39879.032258064515</v>
      </c>
      <c r="R34" s="148">
        <f t="shared" si="33"/>
        <v>39890</v>
      </c>
      <c r="S34" s="127">
        <f>VLOOKUP($B34,'Выгр Торг'!$B:$Q,S$1,0)</f>
        <v>32250</v>
      </c>
      <c r="T34" s="127">
        <f>VLOOKUP($B34,'Выгр Торг'!$B:$Q,T$1,0)</f>
        <v>39890</v>
      </c>
      <c r="U34" s="94">
        <f t="shared" si="13"/>
        <v>0</v>
      </c>
      <c r="V34" s="94">
        <f t="shared" si="14"/>
        <v>0</v>
      </c>
      <c r="W34" s="153">
        <f t="shared" si="30"/>
        <v>37097.699999999997</v>
      </c>
      <c r="X34" s="209" t="str">
        <f>IFERROR(VLOOKUP($B34,'Из ГУГЛа'!$B:$G,6,0)*Z34+Y34,VLOOKUP($B34,'Из ГУГЛа'!$B:$G,6,0))</f>
        <v/>
      </c>
      <c r="Y34" s="76"/>
      <c r="Z34" s="133">
        <v>1</v>
      </c>
      <c r="AA34" s="134"/>
      <c r="AB34" s="135">
        <f t="shared" si="15"/>
        <v>0.15031627906976741</v>
      </c>
      <c r="AC34" s="135" t="str">
        <f t="shared" si="16"/>
        <v/>
      </c>
      <c r="AD34" s="135" t="str">
        <f t="shared" si="17"/>
        <v/>
      </c>
      <c r="AE34" s="137" t="s">
        <v>879</v>
      </c>
      <c r="AH34" s="98" t="s">
        <v>147</v>
      </c>
    </row>
    <row r="35" spans="1:34" ht="46.5" thickTop="1" thickBot="1">
      <c r="A35" s="125" t="str">
        <f>INDEX('Выгр Торг'!$A:$A,MATCH($B35,'Выгр Торг'!$B:$B,0))</f>
        <v>Руль анатомический "Ferrum Group" Hunter для ВАЗ 2108-21099, 2113-2115</v>
      </c>
      <c r="B35" s="126">
        <v>132637</v>
      </c>
      <c r="C35" s="127">
        <f>VLOOKUP($B35,'Выгр Торг'!$B:$Q,C$1,0)</f>
        <v>109338</v>
      </c>
      <c r="D35" s="128" t="s">
        <v>147</v>
      </c>
      <c r="E35" s="125" t="str">
        <f>VLOOKUP($B35,'Выгр Торг'!$B:$Q,E$1,0)</f>
        <v>Анатомическое рулевое колесо "Ferrum Group" Hunter для ВАЗ 2108-21099, 2113-2115 (Салатовая нить)</v>
      </c>
      <c r="F35" s="127" t="str">
        <f>VLOOKUP($B35,'Выгр Торг'!$B:$Q,F$1,0)</f>
        <v>Y</v>
      </c>
      <c r="G35" s="127" t="str">
        <f>VLOOKUP($B35,'Выгр Торг'!$B:$Q,G$1,0)</f>
        <v>1</v>
      </c>
      <c r="H35" s="129">
        <v>109339</v>
      </c>
      <c r="I35" s="154"/>
      <c r="J35" s="160"/>
      <c r="K35" s="161">
        <v>870</v>
      </c>
      <c r="L35" s="130">
        <f t="shared" si="26"/>
        <v>32250</v>
      </c>
      <c r="M35" s="130">
        <f t="shared" si="34"/>
        <v>33250</v>
      </c>
      <c r="N35" s="130">
        <f t="shared" si="35"/>
        <v>33250</v>
      </c>
      <c r="O35" s="132">
        <f t="shared" si="31"/>
        <v>1.0310077519379846</v>
      </c>
      <c r="P35" s="132">
        <f t="shared" si="10"/>
        <v>1.1499999999999999</v>
      </c>
      <c r="Q35" s="130">
        <f t="shared" si="36"/>
        <v>39879.032258064515</v>
      </c>
      <c r="R35" s="148">
        <f t="shared" si="33"/>
        <v>39890</v>
      </c>
      <c r="S35" s="127">
        <f>VLOOKUP($B35,'Выгр Торг'!$B:$Q,S$1,0)</f>
        <v>32250</v>
      </c>
      <c r="T35" s="127">
        <f>VLOOKUP($B35,'Выгр Торг'!$B:$Q,T$1,0)</f>
        <v>39890</v>
      </c>
      <c r="U35" s="94">
        <f t="shared" si="13"/>
        <v>0</v>
      </c>
      <c r="V35" s="94">
        <f t="shared" si="14"/>
        <v>0</v>
      </c>
      <c r="W35" s="153">
        <f t="shared" si="30"/>
        <v>37097.699999999997</v>
      </c>
      <c r="X35" s="209" t="str">
        <f>IFERROR(VLOOKUP($B35,'Из ГУГЛа'!$B:$G,6,0)*Z35+Y35,VLOOKUP($B35,'Из ГУГЛа'!$B:$G,6,0))</f>
        <v/>
      </c>
      <c r="Y35" s="76"/>
      <c r="Z35" s="133">
        <v>1</v>
      </c>
      <c r="AA35" s="134"/>
      <c r="AB35" s="135">
        <f t="shared" si="15"/>
        <v>0.15031627906976741</v>
      </c>
      <c r="AC35" s="135" t="str">
        <f t="shared" si="16"/>
        <v/>
      </c>
      <c r="AD35" s="135" t="str">
        <f t="shared" si="17"/>
        <v/>
      </c>
      <c r="AE35" s="137" t="s">
        <v>879</v>
      </c>
      <c r="AH35" s="98" t="s">
        <v>147</v>
      </c>
    </row>
    <row r="36" spans="1:34" ht="46.5" thickTop="1" thickBot="1">
      <c r="A36" s="125" t="str">
        <f>INDEX('Выгр Торг'!$A:$A,MATCH($B36,'Выгр Торг'!$B:$B,0))</f>
        <v>Руль анатомический "Ferrum Group" Hunter для ВАЗ 2108-21099, 2113-2115</v>
      </c>
      <c r="B36" s="126">
        <v>132638</v>
      </c>
      <c r="C36" s="127">
        <f>VLOOKUP($B36,'Выгр Торг'!$B:$Q,C$1,0)</f>
        <v>109340</v>
      </c>
      <c r="D36" s="128" t="s">
        <v>147</v>
      </c>
      <c r="E36" s="125" t="str">
        <f>VLOOKUP($B36,'Выгр Торг'!$B:$Q,E$1,0)</f>
        <v>Анатомическое рулевое колесо "Ferrum Group" Hunter для ВАЗ 2108-21099, 2113-2115 (Светло-серая нить)</v>
      </c>
      <c r="F36" s="127" t="str">
        <f>VLOOKUP($B36,'Выгр Торг'!$B:$Q,F$1,0)</f>
        <v>Y</v>
      </c>
      <c r="G36" s="127" t="str">
        <f>VLOOKUP($B36,'Выгр Торг'!$B:$Q,G$1,0)</f>
        <v>1</v>
      </c>
      <c r="H36" s="129">
        <v>109339</v>
      </c>
      <c r="I36" s="154"/>
      <c r="J36" s="160"/>
      <c r="K36" s="161">
        <v>870</v>
      </c>
      <c r="L36" s="130">
        <f t="shared" si="26"/>
        <v>32250</v>
      </c>
      <c r="M36" s="130">
        <f t="shared" si="34"/>
        <v>33250</v>
      </c>
      <c r="N36" s="130">
        <f t="shared" si="35"/>
        <v>33250</v>
      </c>
      <c r="O36" s="132">
        <f t="shared" si="31"/>
        <v>1.0310077519379846</v>
      </c>
      <c r="P36" s="132">
        <f t="shared" si="10"/>
        <v>1.1499999999999999</v>
      </c>
      <c r="Q36" s="130">
        <f t="shared" si="36"/>
        <v>39879.032258064515</v>
      </c>
      <c r="R36" s="148">
        <f t="shared" si="33"/>
        <v>39890</v>
      </c>
      <c r="S36" s="127">
        <f>VLOOKUP($B36,'Выгр Торг'!$B:$Q,S$1,0)</f>
        <v>32250</v>
      </c>
      <c r="T36" s="127">
        <f>VLOOKUP($B36,'Выгр Торг'!$B:$Q,T$1,0)</f>
        <v>39890</v>
      </c>
      <c r="U36" s="94">
        <f t="shared" si="13"/>
        <v>0</v>
      </c>
      <c r="V36" s="94">
        <f t="shared" si="14"/>
        <v>0</v>
      </c>
      <c r="W36" s="153">
        <f t="shared" si="30"/>
        <v>37097.699999999997</v>
      </c>
      <c r="X36" s="209" t="str">
        <f>IFERROR(VLOOKUP($B36,'Из ГУГЛа'!$B:$G,6,0)*Z36+Y36,VLOOKUP($B36,'Из ГУГЛа'!$B:$G,6,0))</f>
        <v/>
      </c>
      <c r="Y36" s="76"/>
      <c r="Z36" s="133">
        <v>1</v>
      </c>
      <c r="AA36" s="134"/>
      <c r="AB36" s="135">
        <f t="shared" si="15"/>
        <v>0.15031627906976741</v>
      </c>
      <c r="AC36" s="135" t="str">
        <f t="shared" si="16"/>
        <v/>
      </c>
      <c r="AD36" s="135" t="str">
        <f t="shared" si="17"/>
        <v/>
      </c>
      <c r="AE36" s="137" t="s">
        <v>879</v>
      </c>
      <c r="AH36" s="98" t="s">
        <v>147</v>
      </c>
    </row>
    <row r="37" spans="1:34" ht="46.5" thickTop="1" thickBot="1">
      <c r="A37" s="125" t="str">
        <f>INDEX('Выгр Торг'!$A:$A,MATCH($B37,'Выгр Торг'!$B:$B,0))</f>
        <v>Руль анатомический "Ferrum Group" Hunter для ВАЗ 2108-21099, 2113-2115</v>
      </c>
      <c r="B37" s="126">
        <v>132635</v>
      </c>
      <c r="C37" s="127">
        <f>VLOOKUP($B37,'Выгр Торг'!$B:$Q,C$1,0)</f>
        <v>109341</v>
      </c>
      <c r="D37" s="128" t="s">
        <v>147</v>
      </c>
      <c r="E37" s="125" t="str">
        <f>VLOOKUP($B37,'Выгр Торг'!$B:$Q,E$1,0)</f>
        <v>Анатомическое рулевое колесо "Ferrum Group" Hunter для ВАЗ 2108-21099, 2113-2115 (Красная нить)</v>
      </c>
      <c r="F37" s="127" t="str">
        <f>VLOOKUP($B37,'Выгр Торг'!$B:$Q,F$1,0)</f>
        <v>Y</v>
      </c>
      <c r="G37" s="127" t="str">
        <f>VLOOKUP($B37,'Выгр Торг'!$B:$Q,G$1,0)</f>
        <v>1</v>
      </c>
      <c r="H37" s="129">
        <v>109339</v>
      </c>
      <c r="I37" s="154"/>
      <c r="J37" s="160"/>
      <c r="K37" s="161">
        <v>870</v>
      </c>
      <c r="L37" s="130">
        <f t="shared" si="26"/>
        <v>32250</v>
      </c>
      <c r="M37" s="130">
        <f t="shared" si="34"/>
        <v>33250</v>
      </c>
      <c r="N37" s="130">
        <f t="shared" si="35"/>
        <v>33250</v>
      </c>
      <c r="O37" s="132">
        <f t="shared" si="31"/>
        <v>1.0310077519379846</v>
      </c>
      <c r="P37" s="132">
        <f t="shared" si="10"/>
        <v>1.1499999999999999</v>
      </c>
      <c r="Q37" s="130">
        <f t="shared" si="36"/>
        <v>39879.032258064515</v>
      </c>
      <c r="R37" s="148">
        <f t="shared" si="33"/>
        <v>39890</v>
      </c>
      <c r="S37" s="127">
        <f>VLOOKUP($B37,'Выгр Торг'!$B:$Q,S$1,0)</f>
        <v>32250</v>
      </c>
      <c r="T37" s="127">
        <f>VLOOKUP($B37,'Выгр Торг'!$B:$Q,T$1,0)</f>
        <v>39890</v>
      </c>
      <c r="U37" s="94">
        <f t="shared" si="13"/>
        <v>0</v>
      </c>
      <c r="V37" s="94">
        <f t="shared" si="14"/>
        <v>0</v>
      </c>
      <c r="W37" s="153">
        <f t="shared" si="30"/>
        <v>37097.699999999997</v>
      </c>
      <c r="X37" s="209" t="str">
        <f>IFERROR(VLOOKUP($B37,'Из ГУГЛа'!$B:$G,6,0)*Z37+Y37,VLOOKUP($B37,'Из ГУГЛа'!$B:$G,6,0))</f>
        <v/>
      </c>
      <c r="Y37" s="76"/>
      <c r="Z37" s="133">
        <v>1</v>
      </c>
      <c r="AA37" s="134"/>
      <c r="AB37" s="135">
        <f t="shared" si="15"/>
        <v>0.15031627906976741</v>
      </c>
      <c r="AC37" s="135" t="str">
        <f t="shared" si="16"/>
        <v/>
      </c>
      <c r="AD37" s="135" t="str">
        <f t="shared" si="17"/>
        <v/>
      </c>
      <c r="AE37" s="137" t="s">
        <v>879</v>
      </c>
      <c r="AH37" s="98" t="s">
        <v>147</v>
      </c>
    </row>
    <row r="38" spans="1:34" ht="46.5" thickTop="1" thickBot="1">
      <c r="A38" s="125" t="str">
        <f>INDEX('Выгр Торг'!$A:$A,MATCH($B38,'Выгр Торг'!$B:$B,0))</f>
        <v>Руль анатомический "Ferrum Group" Hunter для ВАЗ 2108-21099, 2113-2115</v>
      </c>
      <c r="B38" s="126">
        <v>132633</v>
      </c>
      <c r="C38" s="127">
        <f>VLOOKUP($B38,'Выгр Торг'!$B:$Q,C$1,0)</f>
        <v>109342</v>
      </c>
      <c r="D38" s="128" t="s">
        <v>147</v>
      </c>
      <c r="E38" s="125" t="str">
        <f>VLOOKUP($B38,'Выгр Торг'!$B:$Q,E$1,0)</f>
        <v>Анатомическое рулевое колесо "Ferrum Group" Hunter для ВАЗ 2108-21099, 2113-2115 (Зелёная нить)</v>
      </c>
      <c r="F38" s="127" t="str">
        <f>VLOOKUP($B38,'Выгр Торг'!$B:$Q,F$1,0)</f>
        <v>Y</v>
      </c>
      <c r="G38" s="127" t="str">
        <f>VLOOKUP($B38,'Выгр Торг'!$B:$Q,G$1,0)</f>
        <v>1</v>
      </c>
      <c r="H38" s="129">
        <v>109339</v>
      </c>
      <c r="I38" s="154"/>
      <c r="J38" s="160"/>
      <c r="K38" s="161">
        <v>870</v>
      </c>
      <c r="L38" s="130">
        <f t="shared" si="26"/>
        <v>32250</v>
      </c>
      <c r="M38" s="130">
        <f t="shared" si="34"/>
        <v>33250</v>
      </c>
      <c r="N38" s="130">
        <f t="shared" si="35"/>
        <v>33250</v>
      </c>
      <c r="O38" s="132">
        <f t="shared" si="31"/>
        <v>1.0310077519379846</v>
      </c>
      <c r="P38" s="132">
        <f t="shared" si="10"/>
        <v>1.1499999999999999</v>
      </c>
      <c r="Q38" s="130">
        <f t="shared" si="36"/>
        <v>39879.032258064515</v>
      </c>
      <c r="R38" s="148">
        <f t="shared" si="33"/>
        <v>39890</v>
      </c>
      <c r="S38" s="127">
        <f>VLOOKUP($B38,'Выгр Торг'!$B:$Q,S$1,0)</f>
        <v>32250</v>
      </c>
      <c r="T38" s="127">
        <f>VLOOKUP($B38,'Выгр Торг'!$B:$Q,T$1,0)</f>
        <v>39890</v>
      </c>
      <c r="U38" s="94">
        <f t="shared" si="13"/>
        <v>0</v>
      </c>
      <c r="V38" s="94">
        <f t="shared" si="14"/>
        <v>0</v>
      </c>
      <c r="W38" s="153">
        <f t="shared" si="30"/>
        <v>37097.699999999997</v>
      </c>
      <c r="X38" s="209" t="str">
        <f>IFERROR(VLOOKUP($B38,'Из ГУГЛа'!$B:$G,6,0)*Z38+Y38,VLOOKUP($B38,'Из ГУГЛа'!$B:$G,6,0))</f>
        <v/>
      </c>
      <c r="Y38" s="76"/>
      <c r="Z38" s="133">
        <v>1</v>
      </c>
      <c r="AA38" s="134"/>
      <c r="AB38" s="135">
        <f t="shared" si="15"/>
        <v>0.15031627906976741</v>
      </c>
      <c r="AC38" s="135" t="str">
        <f t="shared" si="16"/>
        <v/>
      </c>
      <c r="AD38" s="135" t="str">
        <f t="shared" si="17"/>
        <v/>
      </c>
      <c r="AE38" s="137" t="s">
        <v>879</v>
      </c>
      <c r="AH38" s="98" t="s">
        <v>147</v>
      </c>
    </row>
    <row r="39" spans="1:34" ht="46.5" thickTop="1" thickBot="1">
      <c r="A39" s="125" t="str">
        <f>INDEX('Выгр Торг'!$A:$A,MATCH($B39,'Выгр Торг'!$B:$B,0))</f>
        <v>Руль "Ferrum Group" Hunter, анатомическое для Лада Нива 4x4, Нива 4x4 Урбан, Нива Legend</v>
      </c>
      <c r="B39" s="126">
        <v>209014</v>
      </c>
      <c r="C39" s="127">
        <f>VLOOKUP($B39,'Выгр Торг'!$B:$Q,C$1,0)</f>
        <v>119849</v>
      </c>
      <c r="D39" s="128" t="s">
        <v>147</v>
      </c>
      <c r="E39" s="125" t="str">
        <f>VLOOKUP($B39,'Выгр Торг'!$B:$Q,E$1,0)</f>
        <v>Рулевое колесо (руль) "Ferrum Group" Hunter, анатомическое для Лада Нива 4x4, Нива 4x4 Урбан, Нива Legend (Чёрная нить)</v>
      </c>
      <c r="F39" s="127" t="str">
        <f>VLOOKUP($B39,'Выгр Торг'!$B:$Q,F$1,0)</f>
        <v>Y</v>
      </c>
      <c r="G39" s="127" t="str">
        <f>VLOOKUP($B39,'Выгр Торг'!$B:$Q,G$1,0)</f>
        <v>1</v>
      </c>
      <c r="H39" s="40">
        <v>119849</v>
      </c>
      <c r="I39" s="154"/>
      <c r="J39" s="160"/>
      <c r="K39" s="161">
        <v>0</v>
      </c>
      <c r="L39" s="130">
        <f t="shared" si="26"/>
        <v>31380</v>
      </c>
      <c r="M39" s="131">
        <f>N39+J39</f>
        <v>32380</v>
      </c>
      <c r="N39" s="131">
        <v>32380</v>
      </c>
      <c r="O39" s="132">
        <f t="shared" si="31"/>
        <v>1.0318674314850222</v>
      </c>
      <c r="P39" s="132">
        <f t="shared" si="10"/>
        <v>1.1499999999999999</v>
      </c>
      <c r="Q39" s="147">
        <f t="shared" si="32"/>
        <v>38803.225806451614</v>
      </c>
      <c r="R39" s="148">
        <f t="shared" si="33"/>
        <v>38890</v>
      </c>
      <c r="S39" s="127">
        <f>VLOOKUP($B39,'Выгр Торг'!$B:$Q,S$1,0)</f>
        <v>31380</v>
      </c>
      <c r="T39" s="127">
        <f>VLOOKUP($B39,'Выгр Торг'!$B:$Q,T$1,0)</f>
        <v>38890</v>
      </c>
      <c r="U39" s="94">
        <f t="shared" si="13"/>
        <v>0</v>
      </c>
      <c r="V39" s="94">
        <f t="shared" si="14"/>
        <v>0</v>
      </c>
      <c r="W39" s="153">
        <f t="shared" si="30"/>
        <v>36167.699999999997</v>
      </c>
      <c r="X39" s="209">
        <f>IFERROR(VLOOKUP($B39,'Из ГУГЛа'!$B:$G,6,0)*Z39+Y39,VLOOKUP($B39,'Из ГУГЛа'!$B:$G,6,0))</f>
        <v>39990</v>
      </c>
      <c r="Y39" s="106">
        <f>(J39+K39)*$Y$2</f>
        <v>0</v>
      </c>
      <c r="Z39" s="133">
        <v>1</v>
      </c>
      <c r="AA39" s="134"/>
      <c r="AB39" s="135">
        <f t="shared" si="15"/>
        <v>0.15257170172084122</v>
      </c>
      <c r="AC39" s="135">
        <f t="shared" si="16"/>
        <v>9.5581395348837278E-2</v>
      </c>
      <c r="AD39" s="135">
        <f t="shared" si="17"/>
        <v>0.27437858508604207</v>
      </c>
      <c r="AE39" s="221">
        <v>39990</v>
      </c>
      <c r="AF39" s="98" t="s">
        <v>646</v>
      </c>
      <c r="AH39" s="98" t="s">
        <v>147</v>
      </c>
    </row>
    <row r="40" spans="1:34" ht="46.5" thickTop="1" thickBot="1">
      <c r="A40" s="125" t="str">
        <f>INDEX('Выгр Торг'!$A:$A,MATCH($B40,'Выгр Торг'!$B:$B,0))</f>
        <v>Руль "Ferrum Group" Hunter, анатомическое для Лада Нива 4x4, Нива 4x4 Урбан, Нива Legend</v>
      </c>
      <c r="B40" s="126">
        <v>209013</v>
      </c>
      <c r="C40" s="127">
        <f>VLOOKUP($B40,'Выгр Торг'!$B:$Q,C$1,0)</f>
        <v>119851</v>
      </c>
      <c r="D40" s="128" t="s">
        <v>147</v>
      </c>
      <c r="E40" s="125" t="str">
        <f>VLOOKUP($B40,'Выгр Торг'!$B:$Q,E$1,0)</f>
        <v>Рулевое колесо (руль) "Ferrum Group" Hunter, анатомическое для Лада Нива 4x4, Нива 4x4 Урбан, Нива Legend (Фиолетовая нить)</v>
      </c>
      <c r="F40" s="127" t="str">
        <f>VLOOKUP($B40,'Выгр Торг'!$B:$Q,F$1,0)</f>
        <v>Y</v>
      </c>
      <c r="G40" s="127" t="str">
        <f>VLOOKUP($B40,'Выгр Торг'!$B:$Q,G$1,0)</f>
        <v>1</v>
      </c>
      <c r="H40" s="40">
        <v>119849</v>
      </c>
      <c r="I40" s="154"/>
      <c r="J40" s="160"/>
      <c r="K40" s="161">
        <v>870</v>
      </c>
      <c r="L40" s="130">
        <f t="shared" si="26"/>
        <v>32250</v>
      </c>
      <c r="M40" s="130">
        <f t="shared" ref="M40:M51" si="37">INDEX($M:$M,MATCH($H40,$C:$C,0))+$K40+$J40</f>
        <v>33250</v>
      </c>
      <c r="N40" s="130">
        <f t="shared" ref="N40:N51" si="38">INDEX($N:$N,MATCH($H40,$C:$C,0))+$K40+$J40</f>
        <v>33250</v>
      </c>
      <c r="O40" s="132">
        <f t="shared" si="31"/>
        <v>1.0310077519379846</v>
      </c>
      <c r="P40" s="132">
        <f t="shared" si="10"/>
        <v>1.1499999999999999</v>
      </c>
      <c r="Q40" s="130">
        <f t="shared" ref="Q40:Q51" si="39">INDEX($Q:$Q,MATCH($H40,$C:$C,0))+($K40+$J40)*INDEX($P:$P,MATCH($H40,$C:$C,0))*100/93</f>
        <v>39879.032258064515</v>
      </c>
      <c r="R40" s="148">
        <f t="shared" si="33"/>
        <v>39890</v>
      </c>
      <c r="S40" s="127">
        <f>VLOOKUP($B40,'Выгр Торг'!$B:$Q,S$1,0)</f>
        <v>32250</v>
      </c>
      <c r="T40" s="127">
        <f>VLOOKUP($B40,'Выгр Торг'!$B:$Q,T$1,0)</f>
        <v>39890</v>
      </c>
      <c r="U40" s="94">
        <f t="shared" si="13"/>
        <v>0</v>
      </c>
      <c r="V40" s="94">
        <f t="shared" si="14"/>
        <v>0</v>
      </c>
      <c r="W40" s="153">
        <f t="shared" si="30"/>
        <v>37097.699999999997</v>
      </c>
      <c r="X40" s="209">
        <f>IFERROR(VLOOKUP($B40,'Из ГУГЛа'!$B:$G,6,0)*Z40+Y40,VLOOKUP($B40,'Из ГУГЛа'!$B:$G,6,0))</f>
        <v>39990</v>
      </c>
      <c r="Y40" s="76"/>
      <c r="Z40" s="133">
        <v>1</v>
      </c>
      <c r="AA40" s="134"/>
      <c r="AB40" s="135">
        <f t="shared" si="15"/>
        <v>0.15031627906976741</v>
      </c>
      <c r="AC40" s="135">
        <f t="shared" si="16"/>
        <v>7.2325581395348906E-2</v>
      </c>
      <c r="AD40" s="135">
        <f t="shared" si="17"/>
        <v>0.24</v>
      </c>
      <c r="AE40" s="221">
        <v>39990</v>
      </c>
      <c r="AF40" s="98" t="s">
        <v>646</v>
      </c>
      <c r="AH40" s="98" t="s">
        <v>147</v>
      </c>
    </row>
    <row r="41" spans="1:34" ht="46.5" thickTop="1" thickBot="1">
      <c r="A41" s="125" t="str">
        <f>INDEX('Выгр Торг'!$A:$A,MATCH($B41,'Выгр Торг'!$B:$B,0))</f>
        <v>Руль "Ferrum Group" Hunter, анатомическое для Лада Нива 4x4, Нива 4x4 Урбан, Нива Legend</v>
      </c>
      <c r="B41" s="126">
        <v>209012</v>
      </c>
      <c r="C41" s="127">
        <f>VLOOKUP($B41,'Выгр Торг'!$B:$Q,C$1,0)</f>
        <v>119852</v>
      </c>
      <c r="D41" s="128" t="s">
        <v>147</v>
      </c>
      <c r="E41" s="125" t="str">
        <f>VLOOKUP($B41,'Выгр Торг'!$B:$Q,E$1,0)</f>
        <v>Рулевое колесо (руль) "Ferrum Group" Hunter, анатомическое для Лада Нива 4x4, Нива 4x4 Урбан, Нива Legend (Тёмно-серая нить)</v>
      </c>
      <c r="F41" s="127" t="str">
        <f>VLOOKUP($B41,'Выгр Торг'!$B:$Q,F$1,0)</f>
        <v>Y</v>
      </c>
      <c r="G41" s="127" t="str">
        <f>VLOOKUP($B41,'Выгр Торг'!$B:$Q,G$1,0)</f>
        <v>1</v>
      </c>
      <c r="H41" s="40">
        <v>119849</v>
      </c>
      <c r="I41" s="154"/>
      <c r="J41" s="160"/>
      <c r="K41" s="161">
        <v>870</v>
      </c>
      <c r="L41" s="130">
        <f t="shared" si="26"/>
        <v>32250</v>
      </c>
      <c r="M41" s="130">
        <f t="shared" si="37"/>
        <v>33250</v>
      </c>
      <c r="N41" s="130">
        <f t="shared" si="38"/>
        <v>33250</v>
      </c>
      <c r="O41" s="132">
        <f t="shared" si="31"/>
        <v>1.0310077519379846</v>
      </c>
      <c r="P41" s="132">
        <f t="shared" si="10"/>
        <v>1.1499999999999999</v>
      </c>
      <c r="Q41" s="130">
        <f t="shared" si="39"/>
        <v>39879.032258064515</v>
      </c>
      <c r="R41" s="148">
        <f t="shared" si="33"/>
        <v>39890</v>
      </c>
      <c r="S41" s="127">
        <f>VLOOKUP($B41,'Выгр Торг'!$B:$Q,S$1,0)</f>
        <v>32250</v>
      </c>
      <c r="T41" s="127">
        <f>VLOOKUP($B41,'Выгр Торг'!$B:$Q,T$1,0)</f>
        <v>39890</v>
      </c>
      <c r="U41" s="94">
        <f t="shared" si="13"/>
        <v>0</v>
      </c>
      <c r="V41" s="94">
        <f t="shared" si="14"/>
        <v>0</v>
      </c>
      <c r="W41" s="153">
        <f t="shared" si="30"/>
        <v>37097.699999999997</v>
      </c>
      <c r="X41" s="209">
        <f>IFERROR(VLOOKUP($B41,'Из ГУГЛа'!$B:$G,6,0)*Z41+Y41,VLOOKUP($B41,'Из ГУГЛа'!$B:$G,6,0))</f>
        <v>39990</v>
      </c>
      <c r="Y41" s="76"/>
      <c r="Z41" s="133">
        <v>1</v>
      </c>
      <c r="AA41" s="134"/>
      <c r="AB41" s="135">
        <f t="shared" si="15"/>
        <v>0.15031627906976741</v>
      </c>
      <c r="AC41" s="135">
        <f t="shared" si="16"/>
        <v>7.2325581395348906E-2</v>
      </c>
      <c r="AD41" s="135">
        <f t="shared" si="17"/>
        <v>0.24</v>
      </c>
      <c r="AE41" s="221">
        <v>39990</v>
      </c>
      <c r="AF41" s="98" t="s">
        <v>646</v>
      </c>
      <c r="AH41" s="98" t="s">
        <v>147</v>
      </c>
    </row>
    <row r="42" spans="1:34" ht="46.5" thickTop="1" thickBot="1">
      <c r="A42" s="125" t="str">
        <f>INDEX('Выгр Торг'!$A:$A,MATCH($B42,'Выгр Торг'!$B:$B,0))</f>
        <v>Руль "Ferrum Group" Hunter, анатомическое для Лада Нива 4x4, Нива 4x4 Урбан, Нива Legend</v>
      </c>
      <c r="B42" s="126">
        <v>209005</v>
      </c>
      <c r="C42" s="127">
        <f>VLOOKUP($B42,'Выгр Торг'!$B:$Q,C$1,0)</f>
        <v>119853</v>
      </c>
      <c r="D42" s="128" t="s">
        <v>147</v>
      </c>
      <c r="E42" s="125" t="str">
        <f>VLOOKUP($B42,'Выгр Торг'!$B:$Q,E$1,0)</f>
        <v>Рулевое колесо (руль) "Ferrum Group" Hunter, анатомическое для Лада Нива 4x4, Нива 4x4 Урбан, Нива Legend (Коричневая нить)</v>
      </c>
      <c r="F42" s="127" t="str">
        <f>VLOOKUP($B42,'Выгр Торг'!$B:$Q,F$1,0)</f>
        <v>Y</v>
      </c>
      <c r="G42" s="127" t="str">
        <f>VLOOKUP($B42,'Выгр Торг'!$B:$Q,G$1,0)</f>
        <v>1</v>
      </c>
      <c r="H42" s="40">
        <v>119849</v>
      </c>
      <c r="I42" s="154"/>
      <c r="J42" s="160"/>
      <c r="K42" s="161">
        <v>870</v>
      </c>
      <c r="L42" s="130">
        <f t="shared" si="26"/>
        <v>32250</v>
      </c>
      <c r="M42" s="130">
        <f t="shared" si="37"/>
        <v>33250</v>
      </c>
      <c r="N42" s="130">
        <f t="shared" si="38"/>
        <v>33250</v>
      </c>
      <c r="O42" s="132">
        <f t="shared" si="31"/>
        <v>1.0310077519379846</v>
      </c>
      <c r="P42" s="132">
        <f t="shared" si="10"/>
        <v>1.1499999999999999</v>
      </c>
      <c r="Q42" s="130">
        <f t="shared" si="39"/>
        <v>39879.032258064515</v>
      </c>
      <c r="R42" s="148">
        <f t="shared" si="33"/>
        <v>39890</v>
      </c>
      <c r="S42" s="127">
        <f>VLOOKUP($B42,'Выгр Торг'!$B:$Q,S$1,0)</f>
        <v>32250</v>
      </c>
      <c r="T42" s="127">
        <f>VLOOKUP($B42,'Выгр Торг'!$B:$Q,T$1,0)</f>
        <v>39890</v>
      </c>
      <c r="U42" s="94">
        <f t="shared" si="13"/>
        <v>0</v>
      </c>
      <c r="V42" s="94">
        <f t="shared" si="14"/>
        <v>0</v>
      </c>
      <c r="W42" s="153">
        <f t="shared" si="30"/>
        <v>37097.699999999997</v>
      </c>
      <c r="X42" s="209">
        <f>IFERROR(VLOOKUP($B42,'Из ГУГЛа'!$B:$G,6,0)*Z42+Y42,VLOOKUP($B42,'Из ГУГЛа'!$B:$G,6,0))</f>
        <v>39990</v>
      </c>
      <c r="Y42" s="76"/>
      <c r="Z42" s="133">
        <v>1</v>
      </c>
      <c r="AA42" s="134"/>
      <c r="AB42" s="135">
        <f t="shared" si="15"/>
        <v>0.15031627906976741</v>
      </c>
      <c r="AC42" s="135">
        <f t="shared" si="16"/>
        <v>7.2325581395348906E-2</v>
      </c>
      <c r="AD42" s="135">
        <f t="shared" si="17"/>
        <v>0.24</v>
      </c>
      <c r="AE42" s="221">
        <v>39990</v>
      </c>
      <c r="AF42" s="98" t="s">
        <v>646</v>
      </c>
      <c r="AH42" s="98" t="s">
        <v>147</v>
      </c>
    </row>
    <row r="43" spans="1:34" ht="46.5" thickTop="1" thickBot="1">
      <c r="A43" s="125" t="str">
        <f>INDEX('Выгр Торг'!$A:$A,MATCH($B43,'Выгр Торг'!$B:$B,0))</f>
        <v>Руль "Ferrum Group" Hunter, анатомическое для Лада Нива 4x4, Нива 4x4 Урбан, Нива Legend</v>
      </c>
      <c r="B43" s="126">
        <v>209011</v>
      </c>
      <c r="C43" s="127">
        <f>VLOOKUP($B43,'Выгр Торг'!$B:$Q,C$1,0)</f>
        <v>119854</v>
      </c>
      <c r="D43" s="128" t="s">
        <v>147</v>
      </c>
      <c r="E43" s="125" t="str">
        <f>VLOOKUP($B43,'Выгр Торг'!$B:$Q,E$1,0)</f>
        <v>Рулевое колесо (руль) "Ferrum Group" Hunter, анатомическое для Лада Нива 4x4, Нива 4x4 Урбан, Нива Legend (Синяя нить)</v>
      </c>
      <c r="F43" s="127" t="str">
        <f>VLOOKUP($B43,'Выгр Торг'!$B:$Q,F$1,0)</f>
        <v>Y</v>
      </c>
      <c r="G43" s="127" t="str">
        <f>VLOOKUP($B43,'Выгр Торг'!$B:$Q,G$1,0)</f>
        <v>1</v>
      </c>
      <c r="H43" s="40">
        <v>119849</v>
      </c>
      <c r="I43" s="154"/>
      <c r="J43" s="160"/>
      <c r="K43" s="161">
        <v>870</v>
      </c>
      <c r="L43" s="130">
        <f t="shared" si="26"/>
        <v>32250</v>
      </c>
      <c r="M43" s="130">
        <f t="shared" si="37"/>
        <v>33250</v>
      </c>
      <c r="N43" s="130">
        <f t="shared" si="38"/>
        <v>33250</v>
      </c>
      <c r="O43" s="132">
        <f t="shared" si="31"/>
        <v>1.0310077519379846</v>
      </c>
      <c r="P43" s="132">
        <f t="shared" si="10"/>
        <v>1.1499999999999999</v>
      </c>
      <c r="Q43" s="130">
        <f t="shared" si="39"/>
        <v>39879.032258064515</v>
      </c>
      <c r="R43" s="148">
        <f t="shared" si="33"/>
        <v>39890</v>
      </c>
      <c r="S43" s="127">
        <f>VLOOKUP($B43,'Выгр Торг'!$B:$Q,S$1,0)</f>
        <v>32250</v>
      </c>
      <c r="T43" s="127">
        <f>VLOOKUP($B43,'Выгр Торг'!$B:$Q,T$1,0)</f>
        <v>39890</v>
      </c>
      <c r="U43" s="94">
        <f t="shared" si="13"/>
        <v>0</v>
      </c>
      <c r="V43" s="94">
        <f t="shared" si="14"/>
        <v>0</v>
      </c>
      <c r="W43" s="153">
        <f t="shared" si="30"/>
        <v>37097.699999999997</v>
      </c>
      <c r="X43" s="209">
        <f>IFERROR(VLOOKUP($B43,'Из ГУГЛа'!$B:$G,6,0)*Z43+Y43,VLOOKUP($B43,'Из ГУГЛа'!$B:$G,6,0))</f>
        <v>39990</v>
      </c>
      <c r="Y43" s="76"/>
      <c r="Z43" s="133">
        <v>1</v>
      </c>
      <c r="AA43" s="134"/>
      <c r="AB43" s="135">
        <f t="shared" si="15"/>
        <v>0.15031627906976741</v>
      </c>
      <c r="AC43" s="135">
        <f t="shared" si="16"/>
        <v>7.2325581395348906E-2</v>
      </c>
      <c r="AD43" s="135">
        <f t="shared" si="17"/>
        <v>0.24</v>
      </c>
      <c r="AE43" s="221">
        <v>39990</v>
      </c>
      <c r="AF43" s="98" t="s">
        <v>646</v>
      </c>
      <c r="AH43" s="98" t="s">
        <v>147</v>
      </c>
    </row>
    <row r="44" spans="1:34" ht="46.5" thickTop="1" thickBot="1">
      <c r="A44" s="125" t="str">
        <f>INDEX('Выгр Торг'!$A:$A,MATCH($B44,'Выгр Торг'!$B:$B,0))</f>
        <v>Руль "Ferrum Group" Hunter, анатомическое для Лада Нива 4x4, Нива 4x4 Урбан, Нива Legend</v>
      </c>
      <c r="B44" s="126">
        <v>209010</v>
      </c>
      <c r="C44" s="127">
        <f>VLOOKUP($B44,'Выгр Торг'!$B:$Q,C$1,0)</f>
        <v>119855</v>
      </c>
      <c r="D44" s="128" t="s">
        <v>147</v>
      </c>
      <c r="E44" s="125" t="str">
        <f>VLOOKUP($B44,'Выгр Торг'!$B:$Q,E$1,0)</f>
        <v>Рулевое колесо (руль) "Ferrum Group" Hunter, анатомическое для Лада Нива 4x4, Нива 4x4 Урбан, Нива Legend (Сине-зелёная нить)</v>
      </c>
      <c r="F44" s="127" t="str">
        <f>VLOOKUP($B44,'Выгр Торг'!$B:$Q,F$1,0)</f>
        <v>Y</v>
      </c>
      <c r="G44" s="127" t="str">
        <f>VLOOKUP($B44,'Выгр Торг'!$B:$Q,G$1,0)</f>
        <v>1</v>
      </c>
      <c r="H44" s="40">
        <v>119849</v>
      </c>
      <c r="I44" s="154"/>
      <c r="J44" s="160"/>
      <c r="K44" s="161">
        <v>870</v>
      </c>
      <c r="L44" s="130">
        <f t="shared" si="26"/>
        <v>32250</v>
      </c>
      <c r="M44" s="130">
        <f t="shared" si="37"/>
        <v>33250</v>
      </c>
      <c r="N44" s="130">
        <f t="shared" si="38"/>
        <v>33250</v>
      </c>
      <c r="O44" s="132">
        <f t="shared" si="31"/>
        <v>1.0310077519379846</v>
      </c>
      <c r="P44" s="132">
        <f t="shared" si="10"/>
        <v>1.1499999999999999</v>
      </c>
      <c r="Q44" s="130">
        <f t="shared" si="39"/>
        <v>39879.032258064515</v>
      </c>
      <c r="R44" s="148">
        <f t="shared" si="33"/>
        <v>39890</v>
      </c>
      <c r="S44" s="127">
        <f>VLOOKUP($B44,'Выгр Торг'!$B:$Q,S$1,0)</f>
        <v>32250</v>
      </c>
      <c r="T44" s="127">
        <f>VLOOKUP($B44,'Выгр Торг'!$B:$Q,T$1,0)</f>
        <v>39890</v>
      </c>
      <c r="U44" s="94">
        <f t="shared" si="13"/>
        <v>0</v>
      </c>
      <c r="V44" s="94">
        <f t="shared" si="14"/>
        <v>0</v>
      </c>
      <c r="W44" s="153">
        <f t="shared" si="30"/>
        <v>37097.699999999997</v>
      </c>
      <c r="X44" s="209">
        <f>IFERROR(VLOOKUP($B44,'Из ГУГЛа'!$B:$G,6,0)*Z44+Y44,VLOOKUP($B44,'Из ГУГЛа'!$B:$G,6,0))</f>
        <v>39990</v>
      </c>
      <c r="Y44" s="76"/>
      <c r="Z44" s="133">
        <v>1</v>
      </c>
      <c r="AA44" s="134"/>
      <c r="AB44" s="135">
        <f t="shared" si="15"/>
        <v>0.15031627906976741</v>
      </c>
      <c r="AC44" s="135">
        <f t="shared" si="16"/>
        <v>7.2325581395348906E-2</v>
      </c>
      <c r="AD44" s="135">
        <f t="shared" si="17"/>
        <v>0.24</v>
      </c>
      <c r="AE44" s="221">
        <v>39990</v>
      </c>
      <c r="AF44" s="98" t="s">
        <v>646</v>
      </c>
      <c r="AH44" s="98" t="s">
        <v>147</v>
      </c>
    </row>
    <row r="45" spans="1:34" ht="46.5" thickTop="1" thickBot="1">
      <c r="A45" s="125" t="str">
        <f>INDEX('Выгр Торг'!$A:$A,MATCH($B45,'Выгр Торг'!$B:$B,0))</f>
        <v>Руль "Ferrum Group" Hunter, анатомическое для Лада Нива 4x4, Нива 4x4 Урбан, Нива Legend</v>
      </c>
      <c r="B45" s="126">
        <v>209007</v>
      </c>
      <c r="C45" s="127">
        <f>VLOOKUP($B45,'Выгр Торг'!$B:$Q,C$1,0)</f>
        <v>119856</v>
      </c>
      <c r="D45" s="128" t="s">
        <v>147</v>
      </c>
      <c r="E45" s="125" t="str">
        <f>VLOOKUP($B45,'Выгр Торг'!$B:$Q,E$1,0)</f>
        <v>Рулевое колесо (руль) "Ferrum Group" Hunter, анатомическое для Лада Нива 4x4, Нива 4x4 Урбан, Нива Legend (Оранжевая нить)</v>
      </c>
      <c r="F45" s="127" t="str">
        <f>VLOOKUP($B45,'Выгр Торг'!$B:$Q,F$1,0)</f>
        <v>Y</v>
      </c>
      <c r="G45" s="127" t="str">
        <f>VLOOKUP($B45,'Выгр Торг'!$B:$Q,G$1,0)</f>
        <v>1</v>
      </c>
      <c r="H45" s="40">
        <v>119849</v>
      </c>
      <c r="I45" s="154"/>
      <c r="J45" s="160"/>
      <c r="K45" s="161">
        <v>870</v>
      </c>
      <c r="L45" s="130">
        <f t="shared" si="26"/>
        <v>32250</v>
      </c>
      <c r="M45" s="130">
        <f t="shared" si="37"/>
        <v>33250</v>
      </c>
      <c r="N45" s="130">
        <f t="shared" si="38"/>
        <v>33250</v>
      </c>
      <c r="O45" s="132">
        <f t="shared" si="31"/>
        <v>1.0310077519379846</v>
      </c>
      <c r="P45" s="132">
        <f t="shared" si="10"/>
        <v>1.1499999999999999</v>
      </c>
      <c r="Q45" s="130">
        <f t="shared" si="39"/>
        <v>39879.032258064515</v>
      </c>
      <c r="R45" s="148">
        <f t="shared" si="33"/>
        <v>39890</v>
      </c>
      <c r="S45" s="127">
        <f>VLOOKUP($B45,'Выгр Торг'!$B:$Q,S$1,0)</f>
        <v>32250</v>
      </c>
      <c r="T45" s="127">
        <f>VLOOKUP($B45,'Выгр Торг'!$B:$Q,T$1,0)</f>
        <v>39890</v>
      </c>
      <c r="U45" s="94">
        <f t="shared" si="13"/>
        <v>0</v>
      </c>
      <c r="V45" s="94">
        <f t="shared" si="14"/>
        <v>0</v>
      </c>
      <c r="W45" s="153">
        <f t="shared" si="30"/>
        <v>37097.699999999997</v>
      </c>
      <c r="X45" s="209">
        <f>IFERROR(VLOOKUP($B45,'Из ГУГЛа'!$B:$G,6,0)*Z45+Y45,VLOOKUP($B45,'Из ГУГЛа'!$B:$G,6,0))</f>
        <v>39990</v>
      </c>
      <c r="Y45" s="76"/>
      <c r="Z45" s="133">
        <v>1</v>
      </c>
      <c r="AA45" s="134"/>
      <c r="AB45" s="135">
        <f t="shared" si="15"/>
        <v>0.15031627906976741</v>
      </c>
      <c r="AC45" s="135">
        <f t="shared" si="16"/>
        <v>7.2325581395348906E-2</v>
      </c>
      <c r="AD45" s="135">
        <f t="shared" si="17"/>
        <v>0.24</v>
      </c>
      <c r="AE45" s="221">
        <v>39990</v>
      </c>
      <c r="AF45" s="98" t="s">
        <v>646</v>
      </c>
      <c r="AH45" s="98" t="s">
        <v>147</v>
      </c>
    </row>
    <row r="46" spans="1:34" ht="46.5" thickTop="1" thickBot="1">
      <c r="A46" s="125" t="str">
        <f>INDEX('Выгр Торг'!$A:$A,MATCH($B46,'Выгр Торг'!$B:$B,0))</f>
        <v>Руль "Ferrum Group" Hunter, анатомическое для Лада Нива 4x4, Нива 4x4 Урбан, Нива Legend</v>
      </c>
      <c r="B46" s="126">
        <v>209003</v>
      </c>
      <c r="C46" s="127">
        <f>VLOOKUP($B46,'Выгр Торг'!$B:$Q,C$1,0)</f>
        <v>119857</v>
      </c>
      <c r="D46" s="128" t="s">
        <v>147</v>
      </c>
      <c r="E46" s="125" t="str">
        <f>VLOOKUP($B46,'Выгр Торг'!$B:$Q,E$1,0)</f>
        <v>Рулевое колесо (руль) "Ferrum Group" Hunter, анатомическое для Лада Нива 4x4, Нива 4x4 Урбан, Нива Legend (Жёлтая нить)</v>
      </c>
      <c r="F46" s="127" t="str">
        <f>VLOOKUP($B46,'Выгр Торг'!$B:$Q,F$1,0)</f>
        <v>Y</v>
      </c>
      <c r="G46" s="127" t="str">
        <f>VLOOKUP($B46,'Выгр Торг'!$B:$Q,G$1,0)</f>
        <v>1</v>
      </c>
      <c r="H46" s="40">
        <v>119849</v>
      </c>
      <c r="I46" s="154"/>
      <c r="J46" s="160"/>
      <c r="K46" s="161">
        <v>870</v>
      </c>
      <c r="L46" s="130">
        <f t="shared" si="26"/>
        <v>32250</v>
      </c>
      <c r="M46" s="130">
        <f t="shared" si="37"/>
        <v>33250</v>
      </c>
      <c r="N46" s="130">
        <f t="shared" si="38"/>
        <v>33250</v>
      </c>
      <c r="O46" s="132">
        <f t="shared" si="31"/>
        <v>1.0310077519379846</v>
      </c>
      <c r="P46" s="132">
        <f t="shared" si="10"/>
        <v>1.1499999999999999</v>
      </c>
      <c r="Q46" s="130">
        <f t="shared" si="39"/>
        <v>39879.032258064515</v>
      </c>
      <c r="R46" s="148">
        <f t="shared" si="33"/>
        <v>39890</v>
      </c>
      <c r="S46" s="127">
        <f>VLOOKUP($B46,'Выгр Торг'!$B:$Q,S$1,0)</f>
        <v>32250</v>
      </c>
      <c r="T46" s="127">
        <f>VLOOKUP($B46,'Выгр Торг'!$B:$Q,T$1,0)</f>
        <v>39890</v>
      </c>
      <c r="U46" s="94">
        <f t="shared" si="13"/>
        <v>0</v>
      </c>
      <c r="V46" s="94">
        <f t="shared" si="14"/>
        <v>0</v>
      </c>
      <c r="W46" s="153">
        <f t="shared" si="30"/>
        <v>37097.699999999997</v>
      </c>
      <c r="X46" s="209">
        <f>IFERROR(VLOOKUP($B46,'Из ГУГЛа'!$B:$G,6,0)*Z46+Y46,VLOOKUP($B46,'Из ГУГЛа'!$B:$G,6,0))</f>
        <v>39990</v>
      </c>
      <c r="Y46" s="76"/>
      <c r="Z46" s="133">
        <v>1</v>
      </c>
      <c r="AA46" s="134"/>
      <c r="AB46" s="135">
        <f t="shared" si="15"/>
        <v>0.15031627906976741</v>
      </c>
      <c r="AC46" s="135">
        <f t="shared" si="16"/>
        <v>7.2325581395348906E-2</v>
      </c>
      <c r="AD46" s="135">
        <f t="shared" si="17"/>
        <v>0.24</v>
      </c>
      <c r="AE46" s="221">
        <v>39990</v>
      </c>
      <c r="AF46" s="98" t="s">
        <v>646</v>
      </c>
      <c r="AH46" s="98" t="s">
        <v>147</v>
      </c>
    </row>
    <row r="47" spans="1:34" ht="46.5" thickTop="1" thickBot="1">
      <c r="A47" s="125" t="str">
        <f>INDEX('Выгр Торг'!$A:$A,MATCH($B47,'Выгр Торг'!$B:$B,0))</f>
        <v>Руль "Ferrum Group" Hunter, анатомическое для Лада Нива 4x4, Нива 4x4 Урбан, Нива Legend</v>
      </c>
      <c r="B47" s="126">
        <v>209008</v>
      </c>
      <c r="C47" s="127">
        <f>VLOOKUP($B47,'Выгр Торг'!$B:$Q,C$1,0)</f>
        <v>119858</v>
      </c>
      <c r="D47" s="128" t="s">
        <v>147</v>
      </c>
      <c r="E47" s="125" t="str">
        <f>VLOOKUP($B47,'Выгр Торг'!$B:$Q,E$1,0)</f>
        <v>Рулевое колесо (руль) "Ferrum Group" Hunter, анатомическое для Лада Нива 4x4, Нива 4x4 Урбан, Нива Legend (Салатовая нить)</v>
      </c>
      <c r="F47" s="127" t="str">
        <f>VLOOKUP($B47,'Выгр Торг'!$B:$Q,F$1,0)</f>
        <v>Y</v>
      </c>
      <c r="G47" s="127" t="str">
        <f>VLOOKUP($B47,'Выгр Торг'!$B:$Q,G$1,0)</f>
        <v>1</v>
      </c>
      <c r="H47" s="40">
        <v>119849</v>
      </c>
      <c r="I47" s="154"/>
      <c r="J47" s="160"/>
      <c r="K47" s="161">
        <v>870</v>
      </c>
      <c r="L47" s="130">
        <f t="shared" si="26"/>
        <v>32250</v>
      </c>
      <c r="M47" s="130">
        <f t="shared" si="37"/>
        <v>33250</v>
      </c>
      <c r="N47" s="130">
        <f t="shared" si="38"/>
        <v>33250</v>
      </c>
      <c r="O47" s="132">
        <f t="shared" si="31"/>
        <v>1.0310077519379846</v>
      </c>
      <c r="P47" s="132">
        <f t="shared" si="10"/>
        <v>1.1499999999999999</v>
      </c>
      <c r="Q47" s="130">
        <f t="shared" si="39"/>
        <v>39879.032258064515</v>
      </c>
      <c r="R47" s="148">
        <f t="shared" si="33"/>
        <v>39890</v>
      </c>
      <c r="S47" s="127">
        <f>VLOOKUP($B47,'Выгр Торг'!$B:$Q,S$1,0)</f>
        <v>32250</v>
      </c>
      <c r="T47" s="127">
        <f>VLOOKUP($B47,'Выгр Торг'!$B:$Q,T$1,0)</f>
        <v>39890</v>
      </c>
      <c r="U47" s="94">
        <f t="shared" si="13"/>
        <v>0</v>
      </c>
      <c r="V47" s="94">
        <f t="shared" si="14"/>
        <v>0</v>
      </c>
      <c r="W47" s="153">
        <f t="shared" si="30"/>
        <v>37097.699999999997</v>
      </c>
      <c r="X47" s="209">
        <f>IFERROR(VLOOKUP($B47,'Из ГУГЛа'!$B:$G,6,0)*Z47+Y47,VLOOKUP($B47,'Из ГУГЛа'!$B:$G,6,0))</f>
        <v>39990</v>
      </c>
      <c r="Y47" s="76"/>
      <c r="Z47" s="133">
        <v>1</v>
      </c>
      <c r="AA47" s="134"/>
      <c r="AB47" s="135">
        <f t="shared" si="15"/>
        <v>0.15031627906976741</v>
      </c>
      <c r="AC47" s="135">
        <f t="shared" si="16"/>
        <v>7.2325581395348906E-2</v>
      </c>
      <c r="AD47" s="135">
        <f t="shared" si="17"/>
        <v>0.24</v>
      </c>
      <c r="AE47" s="221">
        <v>39990</v>
      </c>
      <c r="AF47" s="98" t="s">
        <v>646</v>
      </c>
      <c r="AH47" s="98" t="s">
        <v>147</v>
      </c>
    </row>
    <row r="48" spans="1:34" ht="46.5" thickTop="1" thickBot="1">
      <c r="A48" s="125" t="str">
        <f>INDEX('Выгр Торг'!$A:$A,MATCH($B48,'Выгр Торг'!$B:$B,0))</f>
        <v>Руль "Ferrum Group" Hunter, анатомическое для Лада Нива 4x4, Нива 4x4 Урбан, Нива Legend</v>
      </c>
      <c r="B48" s="126">
        <v>209009</v>
      </c>
      <c r="C48" s="127">
        <f>VLOOKUP($B48,'Выгр Торг'!$B:$Q,C$1,0)</f>
        <v>119859</v>
      </c>
      <c r="D48" s="128" t="s">
        <v>147</v>
      </c>
      <c r="E48" s="125" t="str">
        <f>VLOOKUP($B48,'Выгр Торг'!$B:$Q,E$1,0)</f>
        <v>Рулевое колесо (руль) "Ferrum Group" Hunter, анатомическое для Лада Нива 4x4, Нива 4x4 Урбан, Нива Legend (Светло-серая нить)</v>
      </c>
      <c r="F48" s="127" t="str">
        <f>VLOOKUP($B48,'Выгр Торг'!$B:$Q,F$1,0)</f>
        <v>Y</v>
      </c>
      <c r="G48" s="127" t="str">
        <f>VLOOKUP($B48,'Выгр Торг'!$B:$Q,G$1,0)</f>
        <v>1</v>
      </c>
      <c r="H48" s="40">
        <v>119849</v>
      </c>
      <c r="I48" s="154"/>
      <c r="J48" s="160"/>
      <c r="K48" s="161">
        <v>870</v>
      </c>
      <c r="L48" s="130">
        <f t="shared" si="26"/>
        <v>32250</v>
      </c>
      <c r="M48" s="130">
        <f t="shared" si="37"/>
        <v>33250</v>
      </c>
      <c r="N48" s="130">
        <f t="shared" si="38"/>
        <v>33250</v>
      </c>
      <c r="O48" s="132">
        <f t="shared" si="31"/>
        <v>1.0310077519379846</v>
      </c>
      <c r="P48" s="132">
        <f t="shared" si="10"/>
        <v>1.1499999999999999</v>
      </c>
      <c r="Q48" s="130">
        <f t="shared" si="39"/>
        <v>39879.032258064515</v>
      </c>
      <c r="R48" s="148">
        <f t="shared" si="33"/>
        <v>39890</v>
      </c>
      <c r="S48" s="127">
        <f>VLOOKUP($B48,'Выгр Торг'!$B:$Q,S$1,0)</f>
        <v>32250</v>
      </c>
      <c r="T48" s="127">
        <f>VLOOKUP($B48,'Выгр Торг'!$B:$Q,T$1,0)</f>
        <v>39890</v>
      </c>
      <c r="U48" s="94">
        <f t="shared" si="13"/>
        <v>0</v>
      </c>
      <c r="V48" s="94">
        <f t="shared" si="14"/>
        <v>0</v>
      </c>
      <c r="W48" s="153">
        <f t="shared" si="30"/>
        <v>37097.699999999997</v>
      </c>
      <c r="X48" s="209">
        <f>IFERROR(VLOOKUP($B48,'Из ГУГЛа'!$B:$G,6,0)*Z48+Y48,VLOOKUP($B48,'Из ГУГЛа'!$B:$G,6,0))</f>
        <v>39990</v>
      </c>
      <c r="Y48" s="76"/>
      <c r="Z48" s="133">
        <v>1</v>
      </c>
      <c r="AA48" s="134"/>
      <c r="AB48" s="135">
        <f t="shared" si="15"/>
        <v>0.15031627906976741</v>
      </c>
      <c r="AC48" s="135">
        <f t="shared" si="16"/>
        <v>7.2325581395348906E-2</v>
      </c>
      <c r="AD48" s="135">
        <f t="shared" si="17"/>
        <v>0.24</v>
      </c>
      <c r="AE48" s="221">
        <v>39990</v>
      </c>
      <c r="AF48" s="98" t="s">
        <v>646</v>
      </c>
      <c r="AH48" s="98" t="s">
        <v>147</v>
      </c>
    </row>
    <row r="49" spans="1:34" ht="46.5" thickTop="1" thickBot="1">
      <c r="A49" s="125" t="str">
        <f>INDEX('Выгр Торг'!$A:$A,MATCH($B49,'Выгр Торг'!$B:$B,0))</f>
        <v>Руль "Ferrum Group" Hunter, анатомическое для Лада Нива 4x4, Нива 4x4 Урбан, Нива Legend</v>
      </c>
      <c r="B49" s="126">
        <v>209006</v>
      </c>
      <c r="C49" s="127">
        <f>VLOOKUP($B49,'Выгр Торг'!$B:$Q,C$1,0)</f>
        <v>119860</v>
      </c>
      <c r="D49" s="128" t="s">
        <v>147</v>
      </c>
      <c r="E49" s="125" t="str">
        <f>VLOOKUP($B49,'Выгр Торг'!$B:$Q,E$1,0)</f>
        <v>Рулевое колесо (руль) "Ferrum Group" Hunter, анатомическое для Лада Нива 4x4, Нива 4x4 Урбан, Нива Legend (Красная нить)</v>
      </c>
      <c r="F49" s="127" t="str">
        <f>VLOOKUP($B49,'Выгр Торг'!$B:$Q,F$1,0)</f>
        <v>Y</v>
      </c>
      <c r="G49" s="127" t="str">
        <f>VLOOKUP($B49,'Выгр Торг'!$B:$Q,G$1,0)</f>
        <v>1</v>
      </c>
      <c r="H49" s="40">
        <v>119849</v>
      </c>
      <c r="I49" s="154"/>
      <c r="J49" s="160"/>
      <c r="K49" s="161">
        <v>870</v>
      </c>
      <c r="L49" s="130">
        <f t="shared" si="26"/>
        <v>32250</v>
      </c>
      <c r="M49" s="130">
        <f t="shared" si="37"/>
        <v>33250</v>
      </c>
      <c r="N49" s="130">
        <f t="shared" si="38"/>
        <v>33250</v>
      </c>
      <c r="O49" s="132">
        <f t="shared" si="31"/>
        <v>1.0310077519379846</v>
      </c>
      <c r="P49" s="132">
        <f t="shared" si="10"/>
        <v>1.1499999999999999</v>
      </c>
      <c r="Q49" s="130">
        <f t="shared" si="39"/>
        <v>39879.032258064515</v>
      </c>
      <c r="R49" s="148">
        <f t="shared" si="33"/>
        <v>39890</v>
      </c>
      <c r="S49" s="127">
        <f>VLOOKUP($B49,'Выгр Торг'!$B:$Q,S$1,0)</f>
        <v>32250</v>
      </c>
      <c r="T49" s="127">
        <f>VLOOKUP($B49,'Выгр Торг'!$B:$Q,T$1,0)</f>
        <v>39890</v>
      </c>
      <c r="U49" s="94">
        <f t="shared" si="13"/>
        <v>0</v>
      </c>
      <c r="V49" s="94">
        <f t="shared" si="14"/>
        <v>0</v>
      </c>
      <c r="W49" s="153">
        <f t="shared" si="30"/>
        <v>37097.699999999997</v>
      </c>
      <c r="X49" s="209">
        <f>IFERROR(VLOOKUP($B49,'Из ГУГЛа'!$B:$G,6,0)*Z49+Y49,VLOOKUP($B49,'Из ГУГЛа'!$B:$G,6,0))</f>
        <v>39990</v>
      </c>
      <c r="Y49" s="76"/>
      <c r="Z49" s="133">
        <v>1</v>
      </c>
      <c r="AA49" s="134"/>
      <c r="AB49" s="135">
        <f t="shared" si="15"/>
        <v>0.15031627906976741</v>
      </c>
      <c r="AC49" s="135">
        <f t="shared" si="16"/>
        <v>7.2325581395348906E-2</v>
      </c>
      <c r="AD49" s="135">
        <f t="shared" si="17"/>
        <v>0.24</v>
      </c>
      <c r="AE49" s="221">
        <v>39990</v>
      </c>
      <c r="AF49" s="98" t="s">
        <v>646</v>
      </c>
      <c r="AH49" s="98" t="s">
        <v>147</v>
      </c>
    </row>
    <row r="50" spans="1:34" ht="46.5" thickTop="1" thickBot="1">
      <c r="A50" s="125" t="str">
        <f>INDEX('Выгр Торг'!$A:$A,MATCH($B50,'Выгр Торг'!$B:$B,0))</f>
        <v>Руль "Ferrum Group" Hunter, анатомическое для Лада Нива 4x4, Нива 4x4 Урбан, Нива Legend</v>
      </c>
      <c r="B50" s="126">
        <v>209004</v>
      </c>
      <c r="C50" s="127">
        <f>VLOOKUP($B50,'Выгр Торг'!$B:$Q,C$1,0)</f>
        <v>119861</v>
      </c>
      <c r="D50" s="128" t="s">
        <v>147</v>
      </c>
      <c r="E50" s="125" t="str">
        <f>VLOOKUP($B50,'Выгр Торг'!$B:$Q,E$1,0)</f>
        <v>Рулевое колесо (руль) "Ferrum Group" Hunter, анатомическое для Лада Нива 4x4, Нива 4x4 Урбан, Нива Legend (Зелёная нить)</v>
      </c>
      <c r="F50" s="127" t="str">
        <f>VLOOKUP($B50,'Выгр Торг'!$B:$Q,F$1,0)</f>
        <v>Y</v>
      </c>
      <c r="G50" s="127" t="str">
        <f>VLOOKUP($B50,'Выгр Торг'!$B:$Q,G$1,0)</f>
        <v>1</v>
      </c>
      <c r="H50" s="40">
        <v>119849</v>
      </c>
      <c r="I50" s="154"/>
      <c r="J50" s="160"/>
      <c r="K50" s="161">
        <v>870</v>
      </c>
      <c r="L50" s="130">
        <f t="shared" si="26"/>
        <v>32250</v>
      </c>
      <c r="M50" s="130">
        <f t="shared" si="37"/>
        <v>33250</v>
      </c>
      <c r="N50" s="130">
        <f t="shared" si="38"/>
        <v>33250</v>
      </c>
      <c r="O50" s="132">
        <f t="shared" si="31"/>
        <v>1.0310077519379846</v>
      </c>
      <c r="P50" s="132">
        <f t="shared" si="10"/>
        <v>1.1499999999999999</v>
      </c>
      <c r="Q50" s="130">
        <f t="shared" si="39"/>
        <v>39879.032258064515</v>
      </c>
      <c r="R50" s="148">
        <f t="shared" si="33"/>
        <v>39890</v>
      </c>
      <c r="S50" s="127">
        <f>VLOOKUP($B50,'Выгр Торг'!$B:$Q,S$1,0)</f>
        <v>32250</v>
      </c>
      <c r="T50" s="127">
        <f>VLOOKUP($B50,'Выгр Торг'!$B:$Q,T$1,0)</f>
        <v>39890</v>
      </c>
      <c r="U50" s="94">
        <f t="shared" si="13"/>
        <v>0</v>
      </c>
      <c r="V50" s="94">
        <f t="shared" si="14"/>
        <v>0</v>
      </c>
      <c r="W50" s="153">
        <f t="shared" si="30"/>
        <v>37097.699999999997</v>
      </c>
      <c r="X50" s="209">
        <f>IFERROR(VLOOKUP($B50,'Из ГУГЛа'!$B:$G,6,0)*Z50+Y50,VLOOKUP($B50,'Из ГУГЛа'!$B:$G,6,0))</f>
        <v>39990</v>
      </c>
      <c r="Y50" s="76"/>
      <c r="Z50" s="133">
        <v>1</v>
      </c>
      <c r="AA50" s="134"/>
      <c r="AB50" s="135">
        <f t="shared" si="15"/>
        <v>0.15031627906976741</v>
      </c>
      <c r="AC50" s="135">
        <f t="shared" si="16"/>
        <v>7.2325581395348906E-2</v>
      </c>
      <c r="AD50" s="135">
        <f t="shared" si="17"/>
        <v>0.24</v>
      </c>
      <c r="AE50" s="221">
        <v>39990</v>
      </c>
      <c r="AF50" s="98" t="s">
        <v>646</v>
      </c>
      <c r="AH50" s="98" t="s">
        <v>147</v>
      </c>
    </row>
    <row r="51" spans="1:34" ht="46.5" thickTop="1" thickBot="1">
      <c r="A51" s="125" t="str">
        <f>INDEX('Выгр Торг'!$A:$A,MATCH($B51,'Выгр Торг'!$B:$B,0))</f>
        <v>Руль "Ferrum Group" Hunter, анатомическое для Лада Нива 4x4, Нива 4x4 Урбан, Нива Legend</v>
      </c>
      <c r="B51" s="126">
        <v>209002</v>
      </c>
      <c r="C51" s="127">
        <f>VLOOKUP($B51,'Выгр Торг'!$B:$Q,C$1,0)</f>
        <v>119862</v>
      </c>
      <c r="D51" s="128" t="s">
        <v>147</v>
      </c>
      <c r="E51" s="125" t="str">
        <f>VLOOKUP($B51,'Выгр Торг'!$B:$Q,E$1,0)</f>
        <v>Рулевое колесо (руль) "Ferrum Group" Hunter, анатомическое для Лада Нива 4x4, Нива 4x4 Урбан, Нива Legend (Белая нить)</v>
      </c>
      <c r="F51" s="127" t="str">
        <f>VLOOKUP($B51,'Выгр Торг'!$B:$Q,F$1,0)</f>
        <v>Y</v>
      </c>
      <c r="G51" s="127" t="str">
        <f>VLOOKUP($B51,'Выгр Торг'!$B:$Q,G$1,0)</f>
        <v>1</v>
      </c>
      <c r="H51" s="40">
        <v>119849</v>
      </c>
      <c r="I51" s="154"/>
      <c r="J51" s="160"/>
      <c r="K51" s="161">
        <v>870</v>
      </c>
      <c r="L51" s="130">
        <f t="shared" si="26"/>
        <v>32250</v>
      </c>
      <c r="M51" s="130">
        <f t="shared" si="37"/>
        <v>33250</v>
      </c>
      <c r="N51" s="130">
        <f t="shared" si="38"/>
        <v>33250</v>
      </c>
      <c r="O51" s="132">
        <f t="shared" si="31"/>
        <v>1.0310077519379846</v>
      </c>
      <c r="P51" s="132">
        <f t="shared" si="10"/>
        <v>1.1499999999999999</v>
      </c>
      <c r="Q51" s="130">
        <f t="shared" si="39"/>
        <v>39879.032258064515</v>
      </c>
      <c r="R51" s="148">
        <f t="shared" si="33"/>
        <v>39890</v>
      </c>
      <c r="S51" s="127">
        <f>VLOOKUP($B51,'Выгр Торг'!$B:$Q,S$1,0)</f>
        <v>32250</v>
      </c>
      <c r="T51" s="127">
        <f>VLOOKUP($B51,'Выгр Торг'!$B:$Q,T$1,0)</f>
        <v>39890</v>
      </c>
      <c r="U51" s="94">
        <f t="shared" si="13"/>
        <v>0</v>
      </c>
      <c r="V51" s="94">
        <f t="shared" si="14"/>
        <v>0</v>
      </c>
      <c r="W51" s="153">
        <f t="shared" si="30"/>
        <v>37097.699999999997</v>
      </c>
      <c r="X51" s="209">
        <f>IFERROR(VLOOKUP($B51,'Из ГУГЛа'!$B:$G,6,0)*Z51+Y51,VLOOKUP($B51,'Из ГУГЛа'!$B:$G,6,0))</f>
        <v>39990</v>
      </c>
      <c r="Y51" s="76"/>
      <c r="Z51" s="133">
        <v>1</v>
      </c>
      <c r="AA51" s="134"/>
      <c r="AB51" s="135">
        <f t="shared" si="15"/>
        <v>0.15031627906976741</v>
      </c>
      <c r="AC51" s="135">
        <f t="shared" si="16"/>
        <v>7.2325581395348906E-2</v>
      </c>
      <c r="AD51" s="135">
        <f t="shared" si="17"/>
        <v>0.24</v>
      </c>
      <c r="AE51" s="221">
        <v>39990</v>
      </c>
      <c r="AF51" s="98" t="s">
        <v>646</v>
      </c>
      <c r="AH51" s="98" t="s">
        <v>147</v>
      </c>
    </row>
    <row r="52" spans="1:34" ht="61.5" thickTop="1" thickBot="1">
      <c r="A52" s="125" t="str">
        <f>INDEX('Выгр Торг'!$A:$A,MATCH($B52,'Выгр Торг'!$B:$B,0))</f>
        <v>Руль анатомический "Ferrum Group" (со вставками из алькантары) для Лада (Калина, Приора), Шевроле Нива</v>
      </c>
      <c r="B52" s="126">
        <v>132516</v>
      </c>
      <c r="C52" s="127">
        <f>VLOOKUP($B52,'Выгр Торг'!$B:$Q,C$1,0)</f>
        <v>120835</v>
      </c>
      <c r="D52" s="128" t="s">
        <v>244</v>
      </c>
      <c r="E52" s="125" t="str">
        <f>VLOOKUP($B52,'Выгр Торг'!$B:$Q,E$1,0)</f>
        <v>Анатомическое рулевое колесо (руль) "Ferrum Group" (со вставками из алькантары) для Лада (Калина, Приора), Шевроле Нива (Чёрная нить)</v>
      </c>
      <c r="F52" s="127" t="str">
        <f>VLOOKUP($B52,'Выгр Торг'!$B:$Q,F$1,0)</f>
        <v>Y</v>
      </c>
      <c r="G52" s="127" t="str">
        <f>VLOOKUP($B52,'Выгр Торг'!$B:$Q,G$1,0)</f>
        <v>1</v>
      </c>
      <c r="H52" s="40">
        <v>120835</v>
      </c>
      <c r="I52" s="154"/>
      <c r="J52" s="160"/>
      <c r="K52" s="161">
        <v>0</v>
      </c>
      <c r="L52" s="130">
        <f t="shared" si="26"/>
        <v>31380</v>
      </c>
      <c r="M52" s="131">
        <f>N52+J52</f>
        <v>32380</v>
      </c>
      <c r="N52" s="131">
        <v>32380</v>
      </c>
      <c r="O52" s="132">
        <f t="shared" si="31"/>
        <v>1.0318674314850222</v>
      </c>
      <c r="P52" s="132">
        <f t="shared" si="10"/>
        <v>1.1499999999999999</v>
      </c>
      <c r="Q52" s="147">
        <f t="shared" si="32"/>
        <v>38803.225806451614</v>
      </c>
      <c r="R52" s="148">
        <f t="shared" si="33"/>
        <v>38890</v>
      </c>
      <c r="S52" s="127">
        <f>VLOOKUP($B52,'Выгр Торг'!$B:$Q,S$1,0)</f>
        <v>31380</v>
      </c>
      <c r="T52" s="127">
        <f>VLOOKUP($B52,'Выгр Торг'!$B:$Q,T$1,0)</f>
        <v>38890</v>
      </c>
      <c r="U52" s="94">
        <f t="shared" si="13"/>
        <v>0</v>
      </c>
      <c r="V52" s="94">
        <f t="shared" si="14"/>
        <v>0</v>
      </c>
      <c r="W52" s="153">
        <f t="shared" si="30"/>
        <v>36167.699999999997</v>
      </c>
      <c r="X52" s="209" t="str">
        <f>IFERROR(VLOOKUP($B52,'Из ГУГЛа'!$B:$G,6,0)*Z52+Y52,VLOOKUP($B52,'Из ГУГЛа'!$B:$G,6,0))</f>
        <v/>
      </c>
      <c r="Y52" s="106">
        <f>(J52+K52)*$Y$2</f>
        <v>0</v>
      </c>
      <c r="Z52" s="133">
        <v>1</v>
      </c>
      <c r="AA52" s="134"/>
      <c r="AB52" s="135">
        <f t="shared" si="15"/>
        <v>0.15257170172084122</v>
      </c>
      <c r="AC52" s="135" t="str">
        <f t="shared" si="16"/>
        <v/>
      </c>
      <c r="AD52" s="135" t="str">
        <f t="shared" si="17"/>
        <v/>
      </c>
      <c r="AE52" s="137" t="s">
        <v>879</v>
      </c>
      <c r="AH52" s="98" t="s">
        <v>244</v>
      </c>
    </row>
    <row r="53" spans="1:34" ht="61.5" thickTop="1" thickBot="1">
      <c r="A53" s="125" t="str">
        <f>INDEX('Выгр Торг'!$A:$A,MATCH($B53,'Выгр Торг'!$B:$B,0))</f>
        <v>Руль анатомический "Ferrum Group" (со вставками из алькантары) для Лада (Калина, Приора), Шевроле Нива</v>
      </c>
      <c r="B53" s="126">
        <v>132515</v>
      </c>
      <c r="C53" s="127">
        <f>VLOOKUP($B53,'Выгр Торг'!$B:$Q,C$1,0)</f>
        <v>120852</v>
      </c>
      <c r="D53" s="128" t="s">
        <v>244</v>
      </c>
      <c r="E53" s="125" t="str">
        <f>VLOOKUP($B53,'Выгр Торг'!$B:$Q,E$1,0)</f>
        <v>Анатомическое рулевое колесо (руль) "Ferrum Group" (со вставками из алькантары) для Лада (Калина, Приора), Шевроле Нива (Фиолетовая нить)</v>
      </c>
      <c r="F53" s="127" t="str">
        <f>VLOOKUP($B53,'Выгр Торг'!$B:$Q,F$1,0)</f>
        <v>Y</v>
      </c>
      <c r="G53" s="127" t="str">
        <f>VLOOKUP($B53,'Выгр Торг'!$B:$Q,G$1,0)</f>
        <v>1</v>
      </c>
      <c r="H53" s="40">
        <v>120835</v>
      </c>
      <c r="I53" s="154"/>
      <c r="J53" s="160"/>
      <c r="K53" s="161">
        <v>870</v>
      </c>
      <c r="L53" s="130">
        <f t="shared" si="26"/>
        <v>32250</v>
      </c>
      <c r="M53" s="130">
        <f t="shared" ref="M53:M64" si="40">INDEX($M:$M,MATCH($H53,$C:$C,0))+$K53+$J53</f>
        <v>33250</v>
      </c>
      <c r="N53" s="130">
        <f t="shared" ref="N53:N64" si="41">INDEX($N:$N,MATCH($H53,$C:$C,0))+$K53+$J53</f>
        <v>33250</v>
      </c>
      <c r="O53" s="132">
        <f t="shared" si="31"/>
        <v>1.0310077519379846</v>
      </c>
      <c r="P53" s="132">
        <f t="shared" si="10"/>
        <v>1.1499999999999999</v>
      </c>
      <c r="Q53" s="130">
        <f t="shared" ref="Q53:Q64" si="42">INDEX($Q:$Q,MATCH($H53,$C:$C,0))+($K53+$J53)*INDEX($P:$P,MATCH($H53,$C:$C,0))*100/93</f>
        <v>39879.032258064515</v>
      </c>
      <c r="R53" s="148">
        <f t="shared" si="33"/>
        <v>39890</v>
      </c>
      <c r="S53" s="127">
        <f>VLOOKUP($B53,'Выгр Торг'!$B:$Q,S$1,0)</f>
        <v>32250</v>
      </c>
      <c r="T53" s="127">
        <f>VLOOKUP($B53,'Выгр Торг'!$B:$Q,T$1,0)</f>
        <v>39890</v>
      </c>
      <c r="U53" s="94">
        <f t="shared" si="13"/>
        <v>0</v>
      </c>
      <c r="V53" s="94">
        <f t="shared" si="14"/>
        <v>0</v>
      </c>
      <c r="W53" s="153">
        <f t="shared" si="30"/>
        <v>37097.699999999997</v>
      </c>
      <c r="X53" s="209" t="str">
        <f>IFERROR(VLOOKUP($B53,'Из ГУГЛа'!$B:$G,6,0)*Z53+Y53,VLOOKUP($B53,'Из ГУГЛа'!$B:$G,6,0))</f>
        <v/>
      </c>
      <c r="Y53" s="76"/>
      <c r="Z53" s="133">
        <v>1</v>
      </c>
      <c r="AA53" s="134"/>
      <c r="AB53" s="135">
        <f t="shared" si="15"/>
        <v>0.15031627906976741</v>
      </c>
      <c r="AC53" s="135" t="str">
        <f t="shared" si="16"/>
        <v/>
      </c>
      <c r="AD53" s="135" t="str">
        <f t="shared" si="17"/>
        <v/>
      </c>
      <c r="AE53" s="137" t="s">
        <v>879</v>
      </c>
      <c r="AH53" s="98" t="s">
        <v>244</v>
      </c>
    </row>
    <row r="54" spans="1:34" ht="61.5" thickTop="1" thickBot="1">
      <c r="A54" s="125" t="str">
        <f>INDEX('Выгр Торг'!$A:$A,MATCH($B54,'Выгр Торг'!$B:$B,0))</f>
        <v>Руль анатомический "Ferrum Group" (со вставками из алькантары) для Лада (Калина, Приора), Шевроле Нива</v>
      </c>
      <c r="B54" s="126">
        <v>132514</v>
      </c>
      <c r="C54" s="127">
        <f>VLOOKUP($B54,'Выгр Торг'!$B:$Q,C$1,0)</f>
        <v>120853</v>
      </c>
      <c r="D54" s="128" t="s">
        <v>244</v>
      </c>
      <c r="E54" s="125" t="str">
        <f>VLOOKUP($B54,'Выгр Торг'!$B:$Q,E$1,0)</f>
        <v>Анатомическое рулевое колесо (руль) "Ferrum Group" (со вставками из алькантары) для Лада (Калина, Приора), Шевроле Нива (Тёмно-серая нить)</v>
      </c>
      <c r="F54" s="127" t="str">
        <f>VLOOKUP($B54,'Выгр Торг'!$B:$Q,F$1,0)</f>
        <v>Y</v>
      </c>
      <c r="G54" s="127" t="str">
        <f>VLOOKUP($B54,'Выгр Торг'!$B:$Q,G$1,0)</f>
        <v>1</v>
      </c>
      <c r="H54" s="40">
        <v>120835</v>
      </c>
      <c r="I54" s="154"/>
      <c r="J54" s="160"/>
      <c r="K54" s="161">
        <v>870</v>
      </c>
      <c r="L54" s="130">
        <f t="shared" si="26"/>
        <v>32250</v>
      </c>
      <c r="M54" s="130">
        <f t="shared" si="40"/>
        <v>33250</v>
      </c>
      <c r="N54" s="130">
        <f t="shared" si="41"/>
        <v>33250</v>
      </c>
      <c r="O54" s="132">
        <f t="shared" si="31"/>
        <v>1.0310077519379846</v>
      </c>
      <c r="P54" s="132">
        <f t="shared" si="10"/>
        <v>1.1499999999999999</v>
      </c>
      <c r="Q54" s="130">
        <f t="shared" si="42"/>
        <v>39879.032258064515</v>
      </c>
      <c r="R54" s="148">
        <f t="shared" si="33"/>
        <v>39890</v>
      </c>
      <c r="S54" s="127">
        <f>VLOOKUP($B54,'Выгр Торг'!$B:$Q,S$1,0)</f>
        <v>32250</v>
      </c>
      <c r="T54" s="127">
        <f>VLOOKUP($B54,'Выгр Торг'!$B:$Q,T$1,0)</f>
        <v>39890</v>
      </c>
      <c r="U54" s="94">
        <f t="shared" si="13"/>
        <v>0</v>
      </c>
      <c r="V54" s="94">
        <f t="shared" si="14"/>
        <v>0</v>
      </c>
      <c r="W54" s="153">
        <f t="shared" si="30"/>
        <v>37097.699999999997</v>
      </c>
      <c r="X54" s="209" t="str">
        <f>IFERROR(VLOOKUP($B54,'Из ГУГЛа'!$B:$G,6,0)*Z54+Y54,VLOOKUP($B54,'Из ГУГЛа'!$B:$G,6,0))</f>
        <v/>
      </c>
      <c r="Y54" s="76"/>
      <c r="Z54" s="133">
        <v>1</v>
      </c>
      <c r="AA54" s="134"/>
      <c r="AB54" s="135">
        <f t="shared" si="15"/>
        <v>0.15031627906976741</v>
      </c>
      <c r="AC54" s="135" t="str">
        <f t="shared" si="16"/>
        <v/>
      </c>
      <c r="AD54" s="135" t="str">
        <f t="shared" si="17"/>
        <v/>
      </c>
      <c r="AE54" s="137" t="s">
        <v>879</v>
      </c>
      <c r="AH54" s="98" t="s">
        <v>244</v>
      </c>
    </row>
    <row r="55" spans="1:34" ht="61.5" thickTop="1" thickBot="1">
      <c r="A55" s="125" t="str">
        <f>INDEX('Выгр Торг'!$A:$A,MATCH($B55,'Выгр Торг'!$B:$B,0))</f>
        <v>Руль анатомический "Ferrum Group" (со вставками из алькантары) для Лада (Калина, Приора), Шевроле Нива</v>
      </c>
      <c r="B55" s="126">
        <v>132507</v>
      </c>
      <c r="C55" s="127">
        <f>VLOOKUP($B55,'Выгр Торг'!$B:$Q,C$1,0)</f>
        <v>120854</v>
      </c>
      <c r="D55" s="128" t="s">
        <v>244</v>
      </c>
      <c r="E55" s="125" t="str">
        <f>VLOOKUP($B55,'Выгр Торг'!$B:$Q,E$1,0)</f>
        <v>Анатомическое рулевое колесо (руль) "Ferrum Group" (со вставками из алькантары) для Лада (Калина, Приора), Шевроле Нива (Коричневая нить)</v>
      </c>
      <c r="F55" s="127" t="str">
        <f>VLOOKUP($B55,'Выгр Торг'!$B:$Q,F$1,0)</f>
        <v>Y</v>
      </c>
      <c r="G55" s="127" t="str">
        <f>VLOOKUP($B55,'Выгр Торг'!$B:$Q,G$1,0)</f>
        <v>1</v>
      </c>
      <c r="H55" s="40">
        <v>120835</v>
      </c>
      <c r="I55" s="154"/>
      <c r="J55" s="160"/>
      <c r="K55" s="161">
        <v>870</v>
      </c>
      <c r="L55" s="130">
        <f t="shared" si="26"/>
        <v>32250</v>
      </c>
      <c r="M55" s="130">
        <f t="shared" si="40"/>
        <v>33250</v>
      </c>
      <c r="N55" s="130">
        <f t="shared" si="41"/>
        <v>33250</v>
      </c>
      <c r="O55" s="132">
        <f t="shared" si="31"/>
        <v>1.0310077519379846</v>
      </c>
      <c r="P55" s="132">
        <f t="shared" si="10"/>
        <v>1.1499999999999999</v>
      </c>
      <c r="Q55" s="130">
        <f t="shared" si="42"/>
        <v>39879.032258064515</v>
      </c>
      <c r="R55" s="148">
        <f t="shared" si="33"/>
        <v>39890</v>
      </c>
      <c r="S55" s="127">
        <f>VLOOKUP($B55,'Выгр Торг'!$B:$Q,S$1,0)</f>
        <v>32250</v>
      </c>
      <c r="T55" s="127">
        <f>VLOOKUP($B55,'Выгр Торг'!$B:$Q,T$1,0)</f>
        <v>39890</v>
      </c>
      <c r="U55" s="94">
        <f t="shared" si="13"/>
        <v>0</v>
      </c>
      <c r="V55" s="94">
        <f t="shared" si="14"/>
        <v>0</v>
      </c>
      <c r="W55" s="153">
        <f t="shared" si="30"/>
        <v>37097.699999999997</v>
      </c>
      <c r="X55" s="209" t="str">
        <f>IFERROR(VLOOKUP($B55,'Из ГУГЛа'!$B:$G,6,0)*Z55+Y55,VLOOKUP($B55,'Из ГУГЛа'!$B:$G,6,0))</f>
        <v/>
      </c>
      <c r="Y55" s="76"/>
      <c r="Z55" s="133">
        <v>1</v>
      </c>
      <c r="AA55" s="134"/>
      <c r="AB55" s="135">
        <f t="shared" si="15"/>
        <v>0.15031627906976741</v>
      </c>
      <c r="AC55" s="135" t="str">
        <f t="shared" si="16"/>
        <v/>
      </c>
      <c r="AD55" s="135" t="str">
        <f t="shared" si="17"/>
        <v/>
      </c>
      <c r="AE55" s="137" t="s">
        <v>879</v>
      </c>
      <c r="AH55" s="98" t="s">
        <v>244</v>
      </c>
    </row>
    <row r="56" spans="1:34" ht="61.5" thickTop="1" thickBot="1">
      <c r="A56" s="125" t="str">
        <f>INDEX('Выгр Торг'!$A:$A,MATCH($B56,'Выгр Торг'!$B:$B,0))</f>
        <v>Руль анатомический "Ferrum Group" (со вставками из алькантары) для Лада (Калина, Приора), Шевроле Нива</v>
      </c>
      <c r="B56" s="126">
        <v>132513</v>
      </c>
      <c r="C56" s="127">
        <f>VLOOKUP($B56,'Выгр Торг'!$B:$Q,C$1,0)</f>
        <v>120855</v>
      </c>
      <c r="D56" s="128" t="s">
        <v>244</v>
      </c>
      <c r="E56" s="125" t="str">
        <f>VLOOKUP($B56,'Выгр Торг'!$B:$Q,E$1,0)</f>
        <v>Анатомическое рулевое колесо (руль) "Ferrum Group" (со вставками из алькантары) для Лада (Калина, Приора), Шевроле Нива (Синяя нить)</v>
      </c>
      <c r="F56" s="127" t="str">
        <f>VLOOKUP($B56,'Выгр Торг'!$B:$Q,F$1,0)</f>
        <v>Y</v>
      </c>
      <c r="G56" s="127" t="str">
        <f>VLOOKUP($B56,'Выгр Торг'!$B:$Q,G$1,0)</f>
        <v>1</v>
      </c>
      <c r="H56" s="40">
        <v>120835</v>
      </c>
      <c r="I56" s="154"/>
      <c r="J56" s="160"/>
      <c r="K56" s="161">
        <v>870</v>
      </c>
      <c r="L56" s="130">
        <f t="shared" si="26"/>
        <v>32250</v>
      </c>
      <c r="M56" s="130">
        <f t="shared" si="40"/>
        <v>33250</v>
      </c>
      <c r="N56" s="130">
        <f t="shared" si="41"/>
        <v>33250</v>
      </c>
      <c r="O56" s="132">
        <f t="shared" si="31"/>
        <v>1.0310077519379846</v>
      </c>
      <c r="P56" s="132">
        <f t="shared" si="10"/>
        <v>1.1499999999999999</v>
      </c>
      <c r="Q56" s="130">
        <f t="shared" si="42"/>
        <v>39879.032258064515</v>
      </c>
      <c r="R56" s="148">
        <f t="shared" si="33"/>
        <v>39890</v>
      </c>
      <c r="S56" s="127">
        <f>VLOOKUP($B56,'Выгр Торг'!$B:$Q,S$1,0)</f>
        <v>32250</v>
      </c>
      <c r="T56" s="127">
        <f>VLOOKUP($B56,'Выгр Торг'!$B:$Q,T$1,0)</f>
        <v>39890</v>
      </c>
      <c r="U56" s="94">
        <f t="shared" si="13"/>
        <v>0</v>
      </c>
      <c r="V56" s="94">
        <f t="shared" si="14"/>
        <v>0</v>
      </c>
      <c r="W56" s="153">
        <f t="shared" si="30"/>
        <v>37097.699999999997</v>
      </c>
      <c r="X56" s="209" t="str">
        <f>IFERROR(VLOOKUP($B56,'Из ГУГЛа'!$B:$G,6,0)*Z56+Y56,VLOOKUP($B56,'Из ГУГЛа'!$B:$G,6,0))</f>
        <v/>
      </c>
      <c r="Y56" s="76"/>
      <c r="Z56" s="133">
        <v>1</v>
      </c>
      <c r="AA56" s="134"/>
      <c r="AB56" s="135">
        <f t="shared" si="15"/>
        <v>0.15031627906976741</v>
      </c>
      <c r="AC56" s="135" t="str">
        <f t="shared" si="16"/>
        <v/>
      </c>
      <c r="AD56" s="135" t="str">
        <f t="shared" si="17"/>
        <v/>
      </c>
      <c r="AE56" s="137" t="s">
        <v>879</v>
      </c>
      <c r="AH56" s="98" t="s">
        <v>244</v>
      </c>
    </row>
    <row r="57" spans="1:34" ht="61.5" thickTop="1" thickBot="1">
      <c r="A57" s="125" t="str">
        <f>INDEX('Выгр Торг'!$A:$A,MATCH($B57,'Выгр Торг'!$B:$B,0))</f>
        <v>Руль анатомический "Ferrum Group" (со вставками из алькантары) для Лада (Калина, Приора), Шевроле Нива</v>
      </c>
      <c r="B57" s="126">
        <v>132512</v>
      </c>
      <c r="C57" s="127">
        <f>VLOOKUP($B57,'Выгр Торг'!$B:$Q,C$1,0)</f>
        <v>120856</v>
      </c>
      <c r="D57" s="128" t="s">
        <v>244</v>
      </c>
      <c r="E57" s="125" t="str">
        <f>VLOOKUP($B57,'Выгр Торг'!$B:$Q,E$1,0)</f>
        <v>Анатомическое рулевое колесо (руль) "Ferrum Group" (со вставками из алькантары) для Лада (Калина, Приора), Шевроле Нива (Сине-зелёная нить)</v>
      </c>
      <c r="F57" s="127" t="str">
        <f>VLOOKUP($B57,'Выгр Торг'!$B:$Q,F$1,0)</f>
        <v>Y</v>
      </c>
      <c r="G57" s="127" t="str">
        <f>VLOOKUP($B57,'Выгр Торг'!$B:$Q,G$1,0)</f>
        <v>1</v>
      </c>
      <c r="H57" s="40">
        <v>120835</v>
      </c>
      <c r="I57" s="154"/>
      <c r="J57" s="160"/>
      <c r="K57" s="161">
        <v>870</v>
      </c>
      <c r="L57" s="130">
        <f t="shared" si="26"/>
        <v>32250</v>
      </c>
      <c r="M57" s="130">
        <f t="shared" si="40"/>
        <v>33250</v>
      </c>
      <c r="N57" s="130">
        <f t="shared" si="41"/>
        <v>33250</v>
      </c>
      <c r="O57" s="132">
        <f t="shared" si="31"/>
        <v>1.0310077519379846</v>
      </c>
      <c r="P57" s="132">
        <f t="shared" si="10"/>
        <v>1.1499999999999999</v>
      </c>
      <c r="Q57" s="130">
        <f t="shared" si="42"/>
        <v>39879.032258064515</v>
      </c>
      <c r="R57" s="148">
        <f t="shared" si="33"/>
        <v>39890</v>
      </c>
      <c r="S57" s="127">
        <f>VLOOKUP($B57,'Выгр Торг'!$B:$Q,S$1,0)</f>
        <v>32250</v>
      </c>
      <c r="T57" s="127">
        <f>VLOOKUP($B57,'Выгр Торг'!$B:$Q,T$1,0)</f>
        <v>39890</v>
      </c>
      <c r="U57" s="94">
        <f t="shared" si="13"/>
        <v>0</v>
      </c>
      <c r="V57" s="94">
        <f t="shared" si="14"/>
        <v>0</v>
      </c>
      <c r="W57" s="153">
        <f t="shared" si="30"/>
        <v>37097.699999999997</v>
      </c>
      <c r="X57" s="209" t="str">
        <f>IFERROR(VLOOKUP($B57,'Из ГУГЛа'!$B:$G,6,0)*Z57+Y57,VLOOKUP($B57,'Из ГУГЛа'!$B:$G,6,0))</f>
        <v/>
      </c>
      <c r="Y57" s="76"/>
      <c r="Z57" s="133">
        <v>1</v>
      </c>
      <c r="AA57" s="134"/>
      <c r="AB57" s="135">
        <f t="shared" si="15"/>
        <v>0.15031627906976741</v>
      </c>
      <c r="AC57" s="135" t="str">
        <f t="shared" si="16"/>
        <v/>
      </c>
      <c r="AD57" s="135" t="str">
        <f t="shared" si="17"/>
        <v/>
      </c>
      <c r="AE57" s="137" t="s">
        <v>879</v>
      </c>
      <c r="AH57" s="98" t="s">
        <v>244</v>
      </c>
    </row>
    <row r="58" spans="1:34" ht="61.5" thickTop="1" thickBot="1">
      <c r="A58" s="125" t="str">
        <f>INDEX('Выгр Торг'!$A:$A,MATCH($B58,'Выгр Торг'!$B:$B,0))</f>
        <v>Руль анатомический "Ferrum Group" (со вставками из алькантары) для Лада (Калина, Приора), Шевроле Нива</v>
      </c>
      <c r="B58" s="126">
        <v>132509</v>
      </c>
      <c r="C58" s="127">
        <f>VLOOKUP($B58,'Выгр Торг'!$B:$Q,C$1,0)</f>
        <v>120857</v>
      </c>
      <c r="D58" s="128" t="s">
        <v>244</v>
      </c>
      <c r="E58" s="125" t="str">
        <f>VLOOKUP($B58,'Выгр Торг'!$B:$Q,E$1,0)</f>
        <v>Анатомическое рулевое колесо (руль) "Ferrum Group" (со вставками из алькантары) для Лада (Калина, Приора), Шевроле Нива (Оранжевая нить)</v>
      </c>
      <c r="F58" s="127" t="str">
        <f>VLOOKUP($B58,'Выгр Торг'!$B:$Q,F$1,0)</f>
        <v>Y</v>
      </c>
      <c r="G58" s="127" t="str">
        <f>VLOOKUP($B58,'Выгр Торг'!$B:$Q,G$1,0)</f>
        <v>1</v>
      </c>
      <c r="H58" s="40">
        <v>120835</v>
      </c>
      <c r="I58" s="154"/>
      <c r="J58" s="160"/>
      <c r="K58" s="161">
        <v>870</v>
      </c>
      <c r="L58" s="130">
        <f t="shared" si="26"/>
        <v>32250</v>
      </c>
      <c r="M58" s="130">
        <f t="shared" si="40"/>
        <v>33250</v>
      </c>
      <c r="N58" s="130">
        <f t="shared" si="41"/>
        <v>33250</v>
      </c>
      <c r="O58" s="132">
        <f t="shared" si="31"/>
        <v>1.0310077519379846</v>
      </c>
      <c r="P58" s="132">
        <f t="shared" si="10"/>
        <v>1.1499999999999999</v>
      </c>
      <c r="Q58" s="130">
        <f t="shared" si="42"/>
        <v>39879.032258064515</v>
      </c>
      <c r="R58" s="148">
        <f t="shared" si="33"/>
        <v>39890</v>
      </c>
      <c r="S58" s="127">
        <f>VLOOKUP($B58,'Выгр Торг'!$B:$Q,S$1,0)</f>
        <v>32250</v>
      </c>
      <c r="T58" s="127">
        <f>VLOOKUP($B58,'Выгр Торг'!$B:$Q,T$1,0)</f>
        <v>39890</v>
      </c>
      <c r="U58" s="94">
        <f t="shared" si="13"/>
        <v>0</v>
      </c>
      <c r="V58" s="94">
        <f t="shared" si="14"/>
        <v>0</v>
      </c>
      <c r="W58" s="153">
        <f t="shared" si="30"/>
        <v>37097.699999999997</v>
      </c>
      <c r="X58" s="209" t="str">
        <f>IFERROR(VLOOKUP($B58,'Из ГУГЛа'!$B:$G,6,0)*Z58+Y58,VLOOKUP($B58,'Из ГУГЛа'!$B:$G,6,0))</f>
        <v/>
      </c>
      <c r="Y58" s="76"/>
      <c r="Z58" s="133">
        <v>1</v>
      </c>
      <c r="AA58" s="134"/>
      <c r="AB58" s="135">
        <f t="shared" si="15"/>
        <v>0.15031627906976741</v>
      </c>
      <c r="AC58" s="135" t="str">
        <f t="shared" si="16"/>
        <v/>
      </c>
      <c r="AD58" s="135" t="str">
        <f t="shared" si="17"/>
        <v/>
      </c>
      <c r="AE58" s="137" t="s">
        <v>879</v>
      </c>
      <c r="AH58" s="98" t="s">
        <v>244</v>
      </c>
    </row>
    <row r="59" spans="1:34" ht="61.5" thickTop="1" thickBot="1">
      <c r="A59" s="125" t="str">
        <f>INDEX('Выгр Торг'!$A:$A,MATCH($B59,'Выгр Торг'!$B:$B,0))</f>
        <v>Руль анатомический "Ferrum Group" (со вставками из алькантары) для Лада (Калина, Приора), Шевроле Нива</v>
      </c>
      <c r="B59" s="126">
        <v>132505</v>
      </c>
      <c r="C59" s="127">
        <f>VLOOKUP($B59,'Выгр Торг'!$B:$Q,C$1,0)</f>
        <v>120858</v>
      </c>
      <c r="D59" s="128" t="s">
        <v>244</v>
      </c>
      <c r="E59" s="125" t="str">
        <f>VLOOKUP($B59,'Выгр Торг'!$B:$Q,E$1,0)</f>
        <v>Анатомическое рулевое колесо (руль) "Ferrum Group" (со вставками из алькантары) для Лада (Калина, Приора), Шевроле Нива (Жёлтая нить)</v>
      </c>
      <c r="F59" s="127" t="str">
        <f>VLOOKUP($B59,'Выгр Торг'!$B:$Q,F$1,0)</f>
        <v>Y</v>
      </c>
      <c r="G59" s="127" t="str">
        <f>VLOOKUP($B59,'Выгр Торг'!$B:$Q,G$1,0)</f>
        <v>1</v>
      </c>
      <c r="H59" s="40">
        <v>120835</v>
      </c>
      <c r="I59" s="154"/>
      <c r="J59" s="160"/>
      <c r="K59" s="161">
        <v>870</v>
      </c>
      <c r="L59" s="130">
        <f t="shared" si="26"/>
        <v>32250</v>
      </c>
      <c r="M59" s="130">
        <f t="shared" si="40"/>
        <v>33250</v>
      </c>
      <c r="N59" s="130">
        <f t="shared" si="41"/>
        <v>33250</v>
      </c>
      <c r="O59" s="132">
        <f t="shared" si="31"/>
        <v>1.0310077519379846</v>
      </c>
      <c r="P59" s="132">
        <f t="shared" si="10"/>
        <v>1.1499999999999999</v>
      </c>
      <c r="Q59" s="130">
        <f t="shared" si="42"/>
        <v>39879.032258064515</v>
      </c>
      <c r="R59" s="148">
        <f t="shared" si="33"/>
        <v>39890</v>
      </c>
      <c r="S59" s="127">
        <f>VLOOKUP($B59,'Выгр Торг'!$B:$Q,S$1,0)</f>
        <v>32250</v>
      </c>
      <c r="T59" s="127">
        <f>VLOOKUP($B59,'Выгр Торг'!$B:$Q,T$1,0)</f>
        <v>39890</v>
      </c>
      <c r="U59" s="94">
        <f t="shared" si="13"/>
        <v>0</v>
      </c>
      <c r="V59" s="94">
        <f t="shared" si="14"/>
        <v>0</v>
      </c>
      <c r="W59" s="153">
        <f t="shared" si="30"/>
        <v>37097.699999999997</v>
      </c>
      <c r="X59" s="209" t="str">
        <f>IFERROR(VLOOKUP($B59,'Из ГУГЛа'!$B:$G,6,0)*Z59+Y59,VLOOKUP($B59,'Из ГУГЛа'!$B:$G,6,0))</f>
        <v/>
      </c>
      <c r="Y59" s="76"/>
      <c r="Z59" s="133">
        <v>1</v>
      </c>
      <c r="AA59" s="134"/>
      <c r="AB59" s="135">
        <f t="shared" si="15"/>
        <v>0.15031627906976741</v>
      </c>
      <c r="AC59" s="135" t="str">
        <f t="shared" si="16"/>
        <v/>
      </c>
      <c r="AD59" s="135" t="str">
        <f t="shared" si="17"/>
        <v/>
      </c>
      <c r="AE59" s="137" t="s">
        <v>879</v>
      </c>
      <c r="AH59" s="98" t="s">
        <v>244</v>
      </c>
    </row>
    <row r="60" spans="1:34" ht="61.5" thickTop="1" thickBot="1">
      <c r="A60" s="125" t="str">
        <f>INDEX('Выгр Торг'!$A:$A,MATCH($B60,'Выгр Торг'!$B:$B,0))</f>
        <v>Руль анатомический "Ferrum Group" (со вставками из алькантары) для Лада (Калина, Приора), Шевроле Нива</v>
      </c>
      <c r="B60" s="126">
        <v>132510</v>
      </c>
      <c r="C60" s="127">
        <f>VLOOKUP($B60,'Выгр Торг'!$B:$Q,C$1,0)</f>
        <v>120859</v>
      </c>
      <c r="D60" s="128" t="s">
        <v>244</v>
      </c>
      <c r="E60" s="125" t="str">
        <f>VLOOKUP($B60,'Выгр Торг'!$B:$Q,E$1,0)</f>
        <v>Анатомическое рулевое колесо (руль) "Ferrum Group" (со вставками из алькантары) для Лада (Калина, Приора), Шевроле Нива (Салатовая нить)</v>
      </c>
      <c r="F60" s="127" t="str">
        <f>VLOOKUP($B60,'Выгр Торг'!$B:$Q,F$1,0)</f>
        <v>Y</v>
      </c>
      <c r="G60" s="127" t="str">
        <f>VLOOKUP($B60,'Выгр Торг'!$B:$Q,G$1,0)</f>
        <v>1</v>
      </c>
      <c r="H60" s="40">
        <v>120835</v>
      </c>
      <c r="I60" s="154"/>
      <c r="J60" s="160"/>
      <c r="K60" s="161">
        <v>870</v>
      </c>
      <c r="L60" s="130">
        <f t="shared" si="26"/>
        <v>32250</v>
      </c>
      <c r="M60" s="130">
        <f t="shared" si="40"/>
        <v>33250</v>
      </c>
      <c r="N60" s="130">
        <f t="shared" si="41"/>
        <v>33250</v>
      </c>
      <c r="O60" s="132">
        <f t="shared" si="31"/>
        <v>1.0310077519379846</v>
      </c>
      <c r="P60" s="132">
        <f t="shared" si="10"/>
        <v>1.1499999999999999</v>
      </c>
      <c r="Q60" s="130">
        <f t="shared" si="42"/>
        <v>39879.032258064515</v>
      </c>
      <c r="R60" s="148">
        <f t="shared" si="33"/>
        <v>39890</v>
      </c>
      <c r="S60" s="127">
        <f>VLOOKUP($B60,'Выгр Торг'!$B:$Q,S$1,0)</f>
        <v>32250</v>
      </c>
      <c r="T60" s="127">
        <f>VLOOKUP($B60,'Выгр Торг'!$B:$Q,T$1,0)</f>
        <v>39890</v>
      </c>
      <c r="U60" s="94">
        <f t="shared" si="13"/>
        <v>0</v>
      </c>
      <c r="V60" s="94">
        <f t="shared" si="14"/>
        <v>0</v>
      </c>
      <c r="W60" s="153">
        <f t="shared" si="30"/>
        <v>37097.699999999997</v>
      </c>
      <c r="X60" s="209" t="str">
        <f>IFERROR(VLOOKUP($B60,'Из ГУГЛа'!$B:$G,6,0)*Z60+Y60,VLOOKUP($B60,'Из ГУГЛа'!$B:$G,6,0))</f>
        <v/>
      </c>
      <c r="Y60" s="76"/>
      <c r="Z60" s="133">
        <v>1</v>
      </c>
      <c r="AA60" s="134"/>
      <c r="AB60" s="135">
        <f t="shared" si="15"/>
        <v>0.15031627906976741</v>
      </c>
      <c r="AC60" s="135" t="str">
        <f t="shared" si="16"/>
        <v/>
      </c>
      <c r="AD60" s="135" t="str">
        <f t="shared" si="17"/>
        <v/>
      </c>
      <c r="AE60" s="137" t="s">
        <v>879</v>
      </c>
      <c r="AH60" s="98" t="s">
        <v>244</v>
      </c>
    </row>
    <row r="61" spans="1:34" ht="61.5" thickTop="1" thickBot="1">
      <c r="A61" s="125" t="str">
        <f>INDEX('Выгр Торг'!$A:$A,MATCH($B61,'Выгр Торг'!$B:$B,0))</f>
        <v>Руль анатомический "Ferrum Group" (со вставками из алькантары) для Лада (Калина, Приора), Шевроле Нива</v>
      </c>
      <c r="B61" s="126">
        <v>132511</v>
      </c>
      <c r="C61" s="127">
        <f>VLOOKUP($B61,'Выгр Торг'!$B:$Q,C$1,0)</f>
        <v>120860</v>
      </c>
      <c r="D61" s="128" t="s">
        <v>244</v>
      </c>
      <c r="E61" s="125" t="str">
        <f>VLOOKUP($B61,'Выгр Торг'!$B:$Q,E$1,0)</f>
        <v>Анатомическое рулевое колесо (руль) "Ferrum Group" (со вставками из алькантары) для Лада (Калина, Приора), Шевроле Нива (Светло-серая нить)</v>
      </c>
      <c r="F61" s="127" t="str">
        <f>VLOOKUP($B61,'Выгр Торг'!$B:$Q,F$1,0)</f>
        <v>Y</v>
      </c>
      <c r="G61" s="127" t="str">
        <f>VLOOKUP($B61,'Выгр Торг'!$B:$Q,G$1,0)</f>
        <v>1</v>
      </c>
      <c r="H61" s="40">
        <v>120835</v>
      </c>
      <c r="I61" s="154"/>
      <c r="J61" s="160"/>
      <c r="K61" s="161">
        <v>870</v>
      </c>
      <c r="L61" s="130">
        <f t="shared" si="26"/>
        <v>32250</v>
      </c>
      <c r="M61" s="130">
        <f t="shared" si="40"/>
        <v>33250</v>
      </c>
      <c r="N61" s="130">
        <f t="shared" si="41"/>
        <v>33250</v>
      </c>
      <c r="O61" s="132">
        <f t="shared" si="31"/>
        <v>1.0310077519379846</v>
      </c>
      <c r="P61" s="132">
        <f t="shared" si="10"/>
        <v>1.1499999999999999</v>
      </c>
      <c r="Q61" s="130">
        <f t="shared" si="42"/>
        <v>39879.032258064515</v>
      </c>
      <c r="R61" s="148">
        <f t="shared" si="33"/>
        <v>39890</v>
      </c>
      <c r="S61" s="127">
        <f>VLOOKUP($B61,'Выгр Торг'!$B:$Q,S$1,0)</f>
        <v>32250</v>
      </c>
      <c r="T61" s="127">
        <f>VLOOKUP($B61,'Выгр Торг'!$B:$Q,T$1,0)</f>
        <v>39890</v>
      </c>
      <c r="U61" s="94">
        <f t="shared" si="13"/>
        <v>0</v>
      </c>
      <c r="V61" s="94">
        <f t="shared" si="14"/>
        <v>0</v>
      </c>
      <c r="W61" s="153">
        <f t="shared" si="30"/>
        <v>37097.699999999997</v>
      </c>
      <c r="X61" s="209" t="str">
        <f>IFERROR(VLOOKUP($B61,'Из ГУГЛа'!$B:$G,6,0)*Z61+Y61,VLOOKUP($B61,'Из ГУГЛа'!$B:$G,6,0))</f>
        <v/>
      </c>
      <c r="Y61" s="76"/>
      <c r="Z61" s="133">
        <v>1</v>
      </c>
      <c r="AA61" s="134"/>
      <c r="AB61" s="135">
        <f t="shared" si="15"/>
        <v>0.15031627906976741</v>
      </c>
      <c r="AC61" s="135" t="str">
        <f t="shared" si="16"/>
        <v/>
      </c>
      <c r="AD61" s="135" t="str">
        <f t="shared" si="17"/>
        <v/>
      </c>
      <c r="AE61" s="137" t="s">
        <v>879</v>
      </c>
      <c r="AH61" s="98" t="s">
        <v>244</v>
      </c>
    </row>
    <row r="62" spans="1:34" ht="61.5" thickTop="1" thickBot="1">
      <c r="A62" s="125" t="str">
        <f>INDEX('Выгр Торг'!$A:$A,MATCH($B62,'Выгр Торг'!$B:$B,0))</f>
        <v>Руль анатомический "Ferrum Group" (со вставками из алькантары) для Лада (Калина, Приора), Шевроле Нива</v>
      </c>
      <c r="B62" s="126">
        <v>132508</v>
      </c>
      <c r="C62" s="127">
        <f>VLOOKUP($B62,'Выгр Торг'!$B:$Q,C$1,0)</f>
        <v>120862</v>
      </c>
      <c r="D62" s="128" t="s">
        <v>244</v>
      </c>
      <c r="E62" s="125" t="str">
        <f>VLOOKUP($B62,'Выгр Торг'!$B:$Q,E$1,0)</f>
        <v>Анатомическое рулевое колесо (руль) "Ferrum Group" (со вставками из алькантары) для Лада (Калина, Приора), Шевроле Нива (Красная нить)</v>
      </c>
      <c r="F62" s="127" t="str">
        <f>VLOOKUP($B62,'Выгр Торг'!$B:$Q,F$1,0)</f>
        <v>Y</v>
      </c>
      <c r="G62" s="127" t="str">
        <f>VLOOKUP($B62,'Выгр Торг'!$B:$Q,G$1,0)</f>
        <v>1</v>
      </c>
      <c r="H62" s="40">
        <v>120835</v>
      </c>
      <c r="I62" s="154"/>
      <c r="J62" s="160"/>
      <c r="K62" s="161">
        <v>870</v>
      </c>
      <c r="L62" s="130">
        <f t="shared" si="26"/>
        <v>32250</v>
      </c>
      <c r="M62" s="130">
        <f t="shared" si="40"/>
        <v>33250</v>
      </c>
      <c r="N62" s="130">
        <f t="shared" si="41"/>
        <v>33250</v>
      </c>
      <c r="O62" s="132">
        <f t="shared" si="31"/>
        <v>1.0310077519379846</v>
      </c>
      <c r="P62" s="132">
        <f t="shared" si="10"/>
        <v>1.1499999999999999</v>
      </c>
      <c r="Q62" s="130">
        <f t="shared" si="42"/>
        <v>39879.032258064515</v>
      </c>
      <c r="R62" s="148">
        <f t="shared" si="33"/>
        <v>39890</v>
      </c>
      <c r="S62" s="127">
        <f>VLOOKUP($B62,'Выгр Торг'!$B:$Q,S$1,0)</f>
        <v>32250</v>
      </c>
      <c r="T62" s="127">
        <f>VLOOKUP($B62,'Выгр Торг'!$B:$Q,T$1,0)</f>
        <v>39890</v>
      </c>
      <c r="U62" s="94">
        <f t="shared" si="13"/>
        <v>0</v>
      </c>
      <c r="V62" s="94">
        <f t="shared" si="14"/>
        <v>0</v>
      </c>
      <c r="W62" s="153">
        <f t="shared" si="30"/>
        <v>37097.699999999997</v>
      </c>
      <c r="X62" s="209" t="str">
        <f>IFERROR(VLOOKUP($B62,'Из ГУГЛа'!$B:$G,6,0)*Z62+Y62,VLOOKUP($B62,'Из ГУГЛа'!$B:$G,6,0))</f>
        <v/>
      </c>
      <c r="Y62" s="76"/>
      <c r="Z62" s="133">
        <v>1</v>
      </c>
      <c r="AA62" s="134"/>
      <c r="AB62" s="135">
        <f t="shared" si="15"/>
        <v>0.15031627906976741</v>
      </c>
      <c r="AC62" s="135" t="str">
        <f t="shared" si="16"/>
        <v/>
      </c>
      <c r="AD62" s="135" t="str">
        <f t="shared" si="17"/>
        <v/>
      </c>
      <c r="AE62" s="137" t="s">
        <v>879</v>
      </c>
      <c r="AH62" s="98" t="s">
        <v>244</v>
      </c>
    </row>
    <row r="63" spans="1:34" ht="61.5" thickTop="1" thickBot="1">
      <c r="A63" s="125" t="str">
        <f>INDEX('Выгр Торг'!$A:$A,MATCH($B63,'Выгр Торг'!$B:$B,0))</f>
        <v>Руль анатомический "Ferrum Group" (со вставками из алькантары) для Лада (Калина, Приора), Шевроле Нива</v>
      </c>
      <c r="B63" s="126">
        <v>132506</v>
      </c>
      <c r="C63" s="127">
        <f>VLOOKUP($B63,'Выгр Торг'!$B:$Q,C$1,0)</f>
        <v>120863</v>
      </c>
      <c r="D63" s="128" t="s">
        <v>244</v>
      </c>
      <c r="E63" s="125" t="str">
        <f>VLOOKUP($B63,'Выгр Торг'!$B:$Q,E$1,0)</f>
        <v>Анатомическое рулевое колесо (руль) "Ferrum Group" (со вставками из алькантары) для Лада (Калина, Приора), Шевроле Нива (Зелёная нить)</v>
      </c>
      <c r="F63" s="127" t="str">
        <f>VLOOKUP($B63,'Выгр Торг'!$B:$Q,F$1,0)</f>
        <v>Y</v>
      </c>
      <c r="G63" s="127" t="str">
        <f>VLOOKUP($B63,'Выгр Торг'!$B:$Q,G$1,0)</f>
        <v>1</v>
      </c>
      <c r="H63" s="40">
        <v>120835</v>
      </c>
      <c r="I63" s="154"/>
      <c r="J63" s="160"/>
      <c r="K63" s="161">
        <v>870</v>
      </c>
      <c r="L63" s="130">
        <f t="shared" si="26"/>
        <v>32250</v>
      </c>
      <c r="M63" s="130">
        <f t="shared" si="40"/>
        <v>33250</v>
      </c>
      <c r="N63" s="130">
        <f t="shared" si="41"/>
        <v>33250</v>
      </c>
      <c r="O63" s="132">
        <f t="shared" si="31"/>
        <v>1.0310077519379846</v>
      </c>
      <c r="P63" s="132">
        <f t="shared" si="10"/>
        <v>1.1499999999999999</v>
      </c>
      <c r="Q63" s="130">
        <f t="shared" si="42"/>
        <v>39879.032258064515</v>
      </c>
      <c r="R63" s="148">
        <f t="shared" si="33"/>
        <v>39890</v>
      </c>
      <c r="S63" s="127">
        <f>VLOOKUP($B63,'Выгр Торг'!$B:$Q,S$1,0)</f>
        <v>32250</v>
      </c>
      <c r="T63" s="127">
        <f>VLOOKUP($B63,'Выгр Торг'!$B:$Q,T$1,0)</f>
        <v>39890</v>
      </c>
      <c r="U63" s="94">
        <f t="shared" si="13"/>
        <v>0</v>
      </c>
      <c r="V63" s="94">
        <f t="shared" si="14"/>
        <v>0</v>
      </c>
      <c r="W63" s="153">
        <f t="shared" si="30"/>
        <v>37097.699999999997</v>
      </c>
      <c r="X63" s="209" t="str">
        <f>IFERROR(VLOOKUP($B63,'Из ГУГЛа'!$B:$G,6,0)*Z63+Y63,VLOOKUP($B63,'Из ГУГЛа'!$B:$G,6,0))</f>
        <v/>
      </c>
      <c r="Y63" s="76"/>
      <c r="Z63" s="133">
        <v>1</v>
      </c>
      <c r="AA63" s="134"/>
      <c r="AB63" s="135">
        <f t="shared" si="15"/>
        <v>0.15031627906976741</v>
      </c>
      <c r="AC63" s="135" t="str">
        <f t="shared" si="16"/>
        <v/>
      </c>
      <c r="AD63" s="135" t="str">
        <f t="shared" si="17"/>
        <v/>
      </c>
      <c r="AE63" s="137" t="s">
        <v>879</v>
      </c>
      <c r="AH63" s="98" t="s">
        <v>244</v>
      </c>
    </row>
    <row r="64" spans="1:34" ht="61.5" thickTop="1" thickBot="1">
      <c r="A64" s="125" t="str">
        <f>INDEX('Выгр Торг'!$A:$A,MATCH($B64,'Выгр Торг'!$B:$B,0))</f>
        <v>Руль анатомический "Ferrum Group" (со вставками из алькантары) для Лада (Калина, Приора), Шевроле Нива</v>
      </c>
      <c r="B64" s="126">
        <v>132504</v>
      </c>
      <c r="C64" s="127">
        <f>VLOOKUP($B64,'Выгр Торг'!$B:$Q,C$1,0)</f>
        <v>120864</v>
      </c>
      <c r="D64" s="128" t="s">
        <v>244</v>
      </c>
      <c r="E64" s="125" t="str">
        <f>VLOOKUP($B64,'Выгр Торг'!$B:$Q,E$1,0)</f>
        <v>Анатомическое рулевое колесо (руль) "Ferrum Group" (со вставками из алькантары) для Лада (Калина, Приора), Шевроле Нива (Белая нить)</v>
      </c>
      <c r="F64" s="127" t="str">
        <f>VLOOKUP($B64,'Выгр Торг'!$B:$Q,F$1,0)</f>
        <v>Y</v>
      </c>
      <c r="G64" s="127" t="str">
        <f>VLOOKUP($B64,'Выгр Торг'!$B:$Q,G$1,0)</f>
        <v>1</v>
      </c>
      <c r="H64" s="40">
        <v>120835</v>
      </c>
      <c r="I64" s="154"/>
      <c r="J64" s="160"/>
      <c r="K64" s="161">
        <v>870</v>
      </c>
      <c r="L64" s="130">
        <f t="shared" si="26"/>
        <v>32250</v>
      </c>
      <c r="M64" s="130">
        <f t="shared" si="40"/>
        <v>33250</v>
      </c>
      <c r="N64" s="130">
        <f t="shared" si="41"/>
        <v>33250</v>
      </c>
      <c r="O64" s="132">
        <f t="shared" si="31"/>
        <v>1.0310077519379846</v>
      </c>
      <c r="P64" s="132">
        <f t="shared" si="10"/>
        <v>1.1499999999999999</v>
      </c>
      <c r="Q64" s="130">
        <f t="shared" si="42"/>
        <v>39879.032258064515</v>
      </c>
      <c r="R64" s="148">
        <f t="shared" si="33"/>
        <v>39890</v>
      </c>
      <c r="S64" s="127">
        <f>VLOOKUP($B64,'Выгр Торг'!$B:$Q,S$1,0)</f>
        <v>32250</v>
      </c>
      <c r="T64" s="127">
        <f>VLOOKUP($B64,'Выгр Торг'!$B:$Q,T$1,0)</f>
        <v>39890</v>
      </c>
      <c r="U64" s="94">
        <f t="shared" si="13"/>
        <v>0</v>
      </c>
      <c r="V64" s="94">
        <f t="shared" si="14"/>
        <v>0</v>
      </c>
      <c r="W64" s="153">
        <f t="shared" si="30"/>
        <v>37097.699999999997</v>
      </c>
      <c r="X64" s="209" t="str">
        <f>IFERROR(VLOOKUP($B64,'Из ГУГЛа'!$B:$G,6,0)*Z64+Y64,VLOOKUP($B64,'Из ГУГЛа'!$B:$G,6,0))</f>
        <v/>
      </c>
      <c r="Y64" s="76"/>
      <c r="Z64" s="133">
        <v>1</v>
      </c>
      <c r="AA64" s="134"/>
      <c r="AB64" s="135">
        <f t="shared" si="15"/>
        <v>0.15031627906976741</v>
      </c>
      <c r="AC64" s="135" t="str">
        <f t="shared" si="16"/>
        <v/>
      </c>
      <c r="AD64" s="135" t="str">
        <f t="shared" si="17"/>
        <v/>
      </c>
      <c r="AE64" s="137" t="s">
        <v>879</v>
      </c>
      <c r="AH64" s="98" t="s">
        <v>244</v>
      </c>
    </row>
    <row r="65" spans="1:34" ht="61.5" thickTop="1" thickBot="1">
      <c r="A65" s="125" t="str">
        <f>INDEX('Выгр Торг'!$A:$A,MATCH($B65,'Выгр Торг'!$B:$B,0))</f>
        <v>Щиток комбинации приборов "Ferrum Group" (c отделкой из кожи) для Лада Калина 2, Гранта FL</v>
      </c>
      <c r="B65" s="126">
        <v>226783</v>
      </c>
      <c r="C65" s="127">
        <f>VLOOKUP($B65,'Выгр Торг'!$B:$Q,C$1,0)</f>
        <v>131325</v>
      </c>
      <c r="D65" s="128" t="s">
        <v>113</v>
      </c>
      <c r="E65" s="125" t="str">
        <f>VLOOKUP($B65,'Выгр Торг'!$B:$Q,E$1,0)</f>
        <v>Щиток комбинации приборов "Ferrum Group" (c отделкой из кожи) для Лада Калина 2, Гранта FL (Оранжевая нить)</v>
      </c>
      <c r="F65" s="127" t="str">
        <f>VLOOKUP($B65,'Выгр Торг'!$B:$Q,F$1,0)</f>
        <v>Y</v>
      </c>
      <c r="G65" s="127" t="str">
        <f>VLOOKUP($B65,'Выгр Торг'!$B:$Q,G$1,0)</f>
        <v>1</v>
      </c>
      <c r="H65" s="129"/>
      <c r="I65" s="155" t="s">
        <v>328</v>
      </c>
      <c r="J65" s="160"/>
      <c r="K65" s="162"/>
      <c r="L65" s="138">
        <f>VLOOKUP(I65,'Прайс Gamma'!A:F,4,0)+J65+K65</f>
        <v>5000</v>
      </c>
      <c r="M65" s="138">
        <f>VLOOKUP(I65,'Прайс Gamma'!A:F,5,0)+J65+K65</f>
        <v>6000</v>
      </c>
      <c r="N65" s="138"/>
      <c r="O65" s="132">
        <f t="shared" ref="O65:O68" si="43">M65/L65</f>
        <v>1.2</v>
      </c>
      <c r="P65" s="132">
        <f t="shared" si="10"/>
        <v>1.2</v>
      </c>
      <c r="Q65" s="147">
        <f t="shared" ref="Q65:Q68" si="44">L65*P65*100/93</f>
        <v>6451.6129032258068</v>
      </c>
      <c r="R65" s="148">
        <f t="shared" ref="R65:R68" si="45">IF(Q65&lt;=1000,(ROUNDUP(Q65,-2)-1),(ROUNDUP(Q65,-2)-10))</f>
        <v>6490</v>
      </c>
      <c r="S65" s="127">
        <f>VLOOKUP($B65,'Выгр Торг'!$B:$Q,S$1,0)</f>
        <v>5000</v>
      </c>
      <c r="T65" s="127">
        <f>VLOOKUP($B65,'Выгр Торг'!$B:$Q,T$1,0)</f>
        <v>6490</v>
      </c>
      <c r="U65" s="94">
        <f t="shared" si="13"/>
        <v>0</v>
      </c>
      <c r="V65" s="94">
        <f t="shared" si="14"/>
        <v>0</v>
      </c>
      <c r="W65" s="153">
        <f t="shared" ref="W65:W68" si="46">R65*(1-$W$2)</f>
        <v>6035.7</v>
      </c>
      <c r="X65" s="209">
        <f>IFERROR(VLOOKUP($B65,'Из ГУГЛа'!$B:$G,6,0)*Z65+Y65,VLOOKUP($B65,'Из ГУГЛа'!$B:$G,6,0))</f>
        <v>5890</v>
      </c>
      <c r="Y65" s="76"/>
      <c r="Z65" s="133">
        <v>1</v>
      </c>
      <c r="AA65" s="134"/>
      <c r="AB65" s="135">
        <f t="shared" si="15"/>
        <v>0.20713999999999988</v>
      </c>
      <c r="AC65" s="135">
        <f t="shared" si="16"/>
        <v>-2.4736842105263127E-2</v>
      </c>
      <c r="AD65" s="135">
        <f t="shared" si="17"/>
        <v>0.17799999999999994</v>
      </c>
      <c r="AE65" s="221">
        <v>5890</v>
      </c>
      <c r="AF65" s="98" t="s">
        <v>871</v>
      </c>
      <c r="AH65" s="98" t="s">
        <v>113</v>
      </c>
    </row>
    <row r="66" spans="1:34" ht="61.5" thickTop="1" thickBot="1">
      <c r="A66" s="125" t="str">
        <f>INDEX('Выгр Торг'!$A:$A,MATCH($B66,'Выгр Торг'!$B:$B,0))</f>
        <v>Щиток комбинации приборов "Ferrum Group" (c отделкой из кожи) для Лада Калина 2, Гранта FL</v>
      </c>
      <c r="B66" s="126">
        <v>226785</v>
      </c>
      <c r="C66" s="127">
        <f>VLOOKUP($B66,'Выгр Торг'!$B:$Q,C$1,0)</f>
        <v>131326</v>
      </c>
      <c r="D66" s="128" t="s">
        <v>113</v>
      </c>
      <c r="E66" s="125" t="str">
        <f>VLOOKUP($B66,'Выгр Торг'!$B:$Q,E$1,0)</f>
        <v>Щиток комбинации приборов "Ferrum Group" (c отделкой из кожи) для Лада Калина 2, Гранта FL (Чёрная нить)</v>
      </c>
      <c r="F66" s="127" t="str">
        <f>VLOOKUP($B66,'Выгр Торг'!$B:$Q,F$1,0)</f>
        <v>Y</v>
      </c>
      <c r="G66" s="127" t="str">
        <f>VLOOKUP($B66,'Выгр Торг'!$B:$Q,G$1,0)</f>
        <v>1</v>
      </c>
      <c r="H66" s="129"/>
      <c r="I66" s="155" t="s">
        <v>328</v>
      </c>
      <c r="J66" s="160"/>
      <c r="K66" s="162"/>
      <c r="L66" s="138">
        <f>VLOOKUP(I66,'Прайс Gamma'!A:F,4,0)+J66+K66</f>
        <v>5000</v>
      </c>
      <c r="M66" s="138">
        <f>VLOOKUP(I66,'Прайс Gamma'!A:F,5,0)+J66+K66</f>
        <v>6000</v>
      </c>
      <c r="N66" s="138"/>
      <c r="O66" s="132">
        <f t="shared" si="43"/>
        <v>1.2</v>
      </c>
      <c r="P66" s="132">
        <f t="shared" si="10"/>
        <v>1.2</v>
      </c>
      <c r="Q66" s="147">
        <f t="shared" si="44"/>
        <v>6451.6129032258068</v>
      </c>
      <c r="R66" s="148">
        <f t="shared" si="45"/>
        <v>6490</v>
      </c>
      <c r="S66" s="127">
        <f>VLOOKUP($B66,'Выгр Торг'!$B:$Q,S$1,0)</f>
        <v>5000</v>
      </c>
      <c r="T66" s="127">
        <f>VLOOKUP($B66,'Выгр Торг'!$B:$Q,T$1,0)</f>
        <v>6490</v>
      </c>
      <c r="U66" s="94">
        <f t="shared" si="13"/>
        <v>0</v>
      </c>
      <c r="V66" s="94">
        <f t="shared" si="14"/>
        <v>0</v>
      </c>
      <c r="W66" s="153">
        <f t="shared" si="46"/>
        <v>6035.7</v>
      </c>
      <c r="X66" s="209">
        <f>IFERROR(VLOOKUP($B66,'Из ГУГЛа'!$B:$G,6,0)*Z66+Y66,VLOOKUP($B66,'Из ГУГЛа'!$B:$G,6,0))</f>
        <v>5890</v>
      </c>
      <c r="Y66" s="76"/>
      <c r="Z66" s="133">
        <v>1</v>
      </c>
      <c r="AA66" s="134"/>
      <c r="AB66" s="135">
        <f t="shared" si="15"/>
        <v>0.20713999999999988</v>
      </c>
      <c r="AC66" s="135">
        <f t="shared" si="16"/>
        <v>-2.4736842105263127E-2</v>
      </c>
      <c r="AD66" s="135">
        <f t="shared" si="17"/>
        <v>0.17799999999999994</v>
      </c>
      <c r="AE66" s="221">
        <v>5890</v>
      </c>
      <c r="AF66" s="98" t="s">
        <v>871</v>
      </c>
      <c r="AH66" s="98" t="s">
        <v>113</v>
      </c>
    </row>
    <row r="67" spans="1:34" ht="61.5" thickTop="1" thickBot="1">
      <c r="A67" s="125" t="str">
        <f>INDEX('Выгр Торг'!$A:$A,MATCH($B67,'Выгр Торг'!$B:$B,0))</f>
        <v>Щиток комбинации приборов "Ferrum Group" (c отделкой из кожи) для Лада Калина 2, Гранта FL</v>
      </c>
      <c r="B67" s="126">
        <v>226784</v>
      </c>
      <c r="C67" s="127">
        <f>VLOOKUP($B67,'Выгр Торг'!$B:$Q,C$1,0)</f>
        <v>131327</v>
      </c>
      <c r="D67" s="128" t="s">
        <v>113</v>
      </c>
      <c r="E67" s="125" t="str">
        <f>VLOOKUP($B67,'Выгр Торг'!$B:$Q,E$1,0)</f>
        <v>Щиток комбинации приборов "Ferrum Group" (c отделкой из кожи) для Лада Калина 2, Гранта FL (Светло-серая нить)</v>
      </c>
      <c r="F67" s="127" t="str">
        <f>VLOOKUP($B67,'Выгр Торг'!$B:$Q,F$1,0)</f>
        <v>Y</v>
      </c>
      <c r="G67" s="127" t="str">
        <f>VLOOKUP($B67,'Выгр Торг'!$B:$Q,G$1,0)</f>
        <v>1</v>
      </c>
      <c r="H67" s="129"/>
      <c r="I67" s="155" t="s">
        <v>328</v>
      </c>
      <c r="J67" s="160"/>
      <c r="K67" s="162"/>
      <c r="L67" s="138">
        <f>VLOOKUP(I67,'Прайс Gamma'!A:F,4,0)+J67+K67</f>
        <v>5000</v>
      </c>
      <c r="M67" s="138">
        <f>VLOOKUP(I67,'Прайс Gamma'!A:F,5,0)+J67+K67</f>
        <v>6000</v>
      </c>
      <c r="N67" s="138"/>
      <c r="O67" s="132">
        <f t="shared" si="43"/>
        <v>1.2</v>
      </c>
      <c r="P67" s="132">
        <f t="shared" si="10"/>
        <v>1.2</v>
      </c>
      <c r="Q67" s="147">
        <f t="shared" si="44"/>
        <v>6451.6129032258068</v>
      </c>
      <c r="R67" s="148">
        <f t="shared" si="45"/>
        <v>6490</v>
      </c>
      <c r="S67" s="127">
        <f>VLOOKUP($B67,'Выгр Торг'!$B:$Q,S$1,0)</f>
        <v>5000</v>
      </c>
      <c r="T67" s="127">
        <f>VLOOKUP($B67,'Выгр Торг'!$B:$Q,T$1,0)</f>
        <v>6490</v>
      </c>
      <c r="U67" s="94">
        <f t="shared" si="13"/>
        <v>0</v>
      </c>
      <c r="V67" s="94">
        <f t="shared" si="14"/>
        <v>0</v>
      </c>
      <c r="W67" s="153">
        <f t="shared" si="46"/>
        <v>6035.7</v>
      </c>
      <c r="X67" s="209">
        <f>IFERROR(VLOOKUP($B67,'Из ГУГЛа'!$B:$G,6,0)*Z67+Y67,VLOOKUP($B67,'Из ГУГЛа'!$B:$G,6,0))</f>
        <v>5890</v>
      </c>
      <c r="Y67" s="76"/>
      <c r="Z67" s="133">
        <v>1</v>
      </c>
      <c r="AA67" s="134"/>
      <c r="AB67" s="135">
        <f t="shared" si="15"/>
        <v>0.20713999999999988</v>
      </c>
      <c r="AC67" s="135">
        <f t="shared" si="16"/>
        <v>-2.4736842105263127E-2</v>
      </c>
      <c r="AD67" s="135">
        <f t="shared" si="17"/>
        <v>0.17799999999999994</v>
      </c>
      <c r="AE67" s="221">
        <v>5890</v>
      </c>
      <c r="AF67" s="98" t="s">
        <v>871</v>
      </c>
      <c r="AH67" s="98" t="s">
        <v>113</v>
      </c>
    </row>
    <row r="68" spans="1:34" ht="61.5" thickTop="1" thickBot="1">
      <c r="A68" s="125" t="str">
        <f>INDEX('Выгр Торг'!$A:$A,MATCH($B68,'Выгр Торг'!$B:$B,0))</f>
        <v>Щиток комбинации приборов "Ferrum Group" (c отделкой из кожи) для Лада Калина 2, Гранта FL</v>
      </c>
      <c r="B68" s="126">
        <v>226782</v>
      </c>
      <c r="C68" s="127">
        <f>VLOOKUP($B68,'Выгр Торг'!$B:$Q,C$1,0)</f>
        <v>131328</v>
      </c>
      <c r="D68" s="128" t="s">
        <v>113</v>
      </c>
      <c r="E68" s="125" t="str">
        <f>VLOOKUP($B68,'Выгр Торг'!$B:$Q,E$1,0)</f>
        <v>Щиток комбинации приборов "Ferrum Group" (c отделкой из кожи) для Лада Калина 2, Гранта FL (Красная нить)</v>
      </c>
      <c r="F68" s="127" t="str">
        <f>VLOOKUP($B68,'Выгр Торг'!$B:$Q,F$1,0)</f>
        <v>Y</v>
      </c>
      <c r="G68" s="127" t="str">
        <f>VLOOKUP($B68,'Выгр Торг'!$B:$Q,G$1,0)</f>
        <v>1</v>
      </c>
      <c r="H68" s="129"/>
      <c r="I68" s="155" t="s">
        <v>328</v>
      </c>
      <c r="J68" s="160"/>
      <c r="K68" s="162"/>
      <c r="L68" s="138">
        <f>VLOOKUP(I68,'Прайс Gamma'!A:F,4,0)+J68+K68</f>
        <v>5000</v>
      </c>
      <c r="M68" s="138">
        <f>VLOOKUP(I68,'Прайс Gamma'!A:F,5,0)+J68+K68</f>
        <v>6000</v>
      </c>
      <c r="N68" s="138"/>
      <c r="O68" s="132">
        <f t="shared" si="43"/>
        <v>1.2</v>
      </c>
      <c r="P68" s="132">
        <f t="shared" ref="P68:P131" si="47">IF(O68&lt;=$P$1,$P$1,O68)</f>
        <v>1.2</v>
      </c>
      <c r="Q68" s="147">
        <f t="shared" si="44"/>
        <v>6451.6129032258068</v>
      </c>
      <c r="R68" s="148">
        <f t="shared" si="45"/>
        <v>6490</v>
      </c>
      <c r="S68" s="127">
        <f>VLOOKUP($B68,'Выгр Торг'!$B:$Q,S$1,0)</f>
        <v>5000</v>
      </c>
      <c r="T68" s="127">
        <f>VLOOKUP($B68,'Выгр Торг'!$B:$Q,T$1,0)</f>
        <v>6490</v>
      </c>
      <c r="U68" s="94">
        <f t="shared" ref="U68:U131" si="48">S68-L68</f>
        <v>0</v>
      </c>
      <c r="V68" s="94">
        <f t="shared" ref="V68:V131" si="49">T68-R68</f>
        <v>0</v>
      </c>
      <c r="W68" s="153">
        <f t="shared" si="46"/>
        <v>6035.7</v>
      </c>
      <c r="X68" s="209">
        <f>IFERROR(VLOOKUP($B68,'Из ГУГЛа'!$B:$G,6,0)*Z68+Y68,VLOOKUP($B68,'Из ГУГЛа'!$B:$G,6,0))</f>
        <v>5890</v>
      </c>
      <c r="Y68" s="76"/>
      <c r="Z68" s="133">
        <v>1</v>
      </c>
      <c r="AA68" s="134"/>
      <c r="AB68" s="135">
        <f t="shared" ref="AB68:AB196" si="50">IFERROR(W68/L68-1,"")</f>
        <v>0.20713999999999988</v>
      </c>
      <c r="AC68" s="135">
        <f t="shared" ref="AC68:AC196" si="51">IFERROR((AE68-W68)/AE68,"")</f>
        <v>-2.4736842105263127E-2</v>
      </c>
      <c r="AD68" s="135">
        <f t="shared" ref="AD68:AD196" si="52">IFERROR(IF(AE68="","",AE68/L68-1),"")</f>
        <v>0.17799999999999994</v>
      </c>
      <c r="AE68" s="221">
        <v>5890</v>
      </c>
      <c r="AF68" s="98" t="s">
        <v>872</v>
      </c>
      <c r="AH68" s="98" t="s">
        <v>113</v>
      </c>
    </row>
    <row r="69" spans="1:34" ht="46.5" thickTop="1" thickBot="1">
      <c r="A69" s="125" t="str">
        <f>INDEX('Выгр Торг'!$A:$A,MATCH($B69,'Выгр Торг'!$B:$B,0))</f>
        <v>Руль анатомический "Ferrum" Grand Sport с обогревом для Лада Ларгус FL, Веста, XRAY</v>
      </c>
      <c r="B69" s="126">
        <v>132502</v>
      </c>
      <c r="C69" s="127">
        <f>VLOOKUP($B69,'Выгр Торг'!$B:$Q,C$1,0)</f>
        <v>166769</v>
      </c>
      <c r="D69" s="128" t="s">
        <v>128</v>
      </c>
      <c r="E69" s="125" t="str">
        <f>VLOOKUP($B69,'Выгр Торг'!$B:$Q,E$1,0)</f>
        <v>Руль анатомический "Ferrum" Grand Sport с обогревом для Лада Ларгус FL, Веста, XRAY (Чёрная нить, Чёрный глянец)</v>
      </c>
      <c r="F69" s="127" t="str">
        <f>VLOOKUP($B69,'Выгр Торг'!$B:$Q,F$1,0)</f>
        <v>Y</v>
      </c>
      <c r="G69" s="127" t="str">
        <f>VLOOKUP($B69,'Выгр Торг'!$B:$Q,G$1,0)</f>
        <v>1</v>
      </c>
      <c r="H69" s="40">
        <v>166769</v>
      </c>
      <c r="I69" s="156"/>
      <c r="J69" s="160">
        <v>7000</v>
      </c>
      <c r="K69" s="161">
        <v>0</v>
      </c>
      <c r="L69" s="130">
        <f t="shared" ref="L69:L71" si="53">M69-1000</f>
        <v>46400</v>
      </c>
      <c r="M69" s="131">
        <f>N69+J69</f>
        <v>47400</v>
      </c>
      <c r="N69" s="131">
        <v>40400</v>
      </c>
      <c r="O69" s="132">
        <f t="shared" ref="O69:O198" si="54">M69/L69</f>
        <v>1.021551724137931</v>
      </c>
      <c r="P69" s="132">
        <f t="shared" si="47"/>
        <v>1.1499999999999999</v>
      </c>
      <c r="Q69" s="147">
        <f t="shared" ref="Q69" si="55">L69*P69*100/93</f>
        <v>57376.344086021498</v>
      </c>
      <c r="R69" s="148">
        <f t="shared" ref="R69:R198" si="56">IF(Q69&lt;=1000,(ROUNDUP(Q69,-2)-1),(ROUNDUP(Q69,-2)-10))</f>
        <v>57390</v>
      </c>
      <c r="S69" s="127">
        <f>VLOOKUP($B69,'Выгр Торг'!$B:$Q,S$1,0)</f>
        <v>46400</v>
      </c>
      <c r="T69" s="127">
        <f>VLOOKUP($B69,'Выгр Торг'!$B:$Q,T$1,0)</f>
        <v>57390</v>
      </c>
      <c r="U69" s="94">
        <f t="shared" si="48"/>
        <v>0</v>
      </c>
      <c r="V69" s="94">
        <f t="shared" si="49"/>
        <v>0</v>
      </c>
      <c r="W69" s="153">
        <f t="shared" ref="W69:W198" si="57">R69*(1-$W$2)</f>
        <v>53372.7</v>
      </c>
      <c r="X69" s="209">
        <f>IFERROR(VLOOKUP($B69,'Из ГУГЛа'!$B:$G,6,0)*Z69+Y69,VLOOKUP($B69,'Из ГУГЛа'!$B:$G,6,0))</f>
        <v>50590</v>
      </c>
      <c r="Y69" s="106">
        <f>(J69+K69)*$Y$2</f>
        <v>9100</v>
      </c>
      <c r="Z69" s="133">
        <v>1</v>
      </c>
      <c r="AA69" s="134"/>
      <c r="AB69" s="135">
        <f t="shared" si="50"/>
        <v>0.15027370689655162</v>
      </c>
      <c r="AC69" s="135">
        <f t="shared" si="51"/>
        <v>-5.5004941688080594E-2</v>
      </c>
      <c r="AD69" s="135">
        <f t="shared" si="52"/>
        <v>9.0301724137931139E-2</v>
      </c>
      <c r="AE69" s="221">
        <v>50590</v>
      </c>
      <c r="AF69" s="98" t="s">
        <v>617</v>
      </c>
      <c r="AH69" s="98" t="s">
        <v>128</v>
      </c>
    </row>
    <row r="70" spans="1:34" ht="46.5" thickTop="1" thickBot="1">
      <c r="A70" s="176" t="str">
        <f>INDEX('Выгр Торг'!$A:$A,MATCH($B70,'Выгр Торг'!$B:$B,0))</f>
        <v>Руль анатомический "Ferrum" Grand Sport с обогревом для Лада Ларгус FL, Веста, XRAY</v>
      </c>
      <c r="B70" s="178">
        <v>341563</v>
      </c>
      <c r="C70" s="179">
        <f>VLOOKUP($B70,'Выгр Торг'!$B:$Q,C$1,0)</f>
        <v>341563</v>
      </c>
      <c r="D70" s="189" t="s">
        <v>128</v>
      </c>
      <c r="E70" s="176" t="str">
        <f>VLOOKUP($B70,'Выгр Торг'!$B:$Q,E$1,0)</f>
        <v>Руль анатомический "Ferrum" Grand Sport с обогревом для Лада Ларгус FL, Веста, XRAY (Чёрная нить, Чёрный мат)</v>
      </c>
      <c r="F70" s="179" t="str">
        <f>VLOOKUP($B70,'Выгр Торг'!$B:$Q,F$1,0)</f>
        <v>Y</v>
      </c>
      <c r="G70" s="179" t="str">
        <f>VLOOKUP($B70,'Выгр Торг'!$B:$Q,G$1,0)</f>
        <v>1</v>
      </c>
      <c r="H70" s="177">
        <v>166769</v>
      </c>
      <c r="I70" s="156"/>
      <c r="J70" s="160">
        <v>830</v>
      </c>
      <c r="K70" s="161">
        <v>0</v>
      </c>
      <c r="L70" s="180">
        <f>M70-1000</f>
        <v>47230</v>
      </c>
      <c r="M70" s="180">
        <f t="shared" ref="M70:M94" si="58">INDEX($M:$M,MATCH($H70,$C:$C,0))+$K70+$J70</f>
        <v>48230</v>
      </c>
      <c r="N70" s="180">
        <f t="shared" ref="N70:N94" si="59">INDEX($N:$N,MATCH($H70,$C:$C,0))+$K70+$J70</f>
        <v>41230</v>
      </c>
      <c r="O70" s="107">
        <f>M70/L70</f>
        <v>1.0211729832733432</v>
      </c>
      <c r="P70" s="132">
        <f t="shared" si="47"/>
        <v>1.1499999999999999</v>
      </c>
      <c r="Q70" s="180">
        <f t="shared" ref="Q70:Q94" si="60">INDEX($Q:$Q,MATCH($H70,$C:$C,0))+($K70+$J70)*INDEX($P:$P,MATCH($H70,$C:$C,0))*100/93</f>
        <v>58402.688172043003</v>
      </c>
      <c r="R70" s="144">
        <f>IF(Q70&lt;=1000,(ROUNDUP(Q70,-2)-1),(ROUNDUP(Q70,-2)-10))</f>
        <v>58490</v>
      </c>
      <c r="S70" s="179">
        <f>VLOOKUP($B70,'Выгр Торг'!$B:$Q,S$1,0)</f>
        <v>47230</v>
      </c>
      <c r="T70" s="179">
        <f>VLOOKUP($B70,'Выгр Торг'!$B:$Q,T$1,0)</f>
        <v>58490</v>
      </c>
      <c r="U70" s="94">
        <f t="shared" si="48"/>
        <v>0</v>
      </c>
      <c r="V70" s="94">
        <f t="shared" si="49"/>
        <v>0</v>
      </c>
      <c r="W70" s="182">
        <f>R70*(1-$W$2)</f>
        <v>54395.7</v>
      </c>
      <c r="X70" s="218">
        <f>IFERROR(VLOOKUP($B70,'Из ГУГЛа'!$B:$G,6,0)*Z70+Y70,VLOOKUP($B70,'Из ГУГЛа'!$B:$G,6,0))</f>
        <v>51420</v>
      </c>
      <c r="Y70" s="220">
        <f t="shared" ref="Y70:Y94" si="61">INDEX($Y:$Y,MATCH($H70,$C:$C,0))+J70+K70</f>
        <v>9930</v>
      </c>
      <c r="Z70" s="133">
        <v>1</v>
      </c>
      <c r="AA70" s="133">
        <v>1300</v>
      </c>
      <c r="AB70" s="184">
        <f>IFERROR(W70/L70-1,"")</f>
        <v>0.15171924624179534</v>
      </c>
      <c r="AC70" s="184">
        <f>IFERROR((AE70-W70)/AE70,"")</f>
        <v>-5.787047841306879E-2</v>
      </c>
      <c r="AD70" s="184">
        <f>IFERROR(IF(AE70="","",AE70/L70-1),"")</f>
        <v>8.8714799915308173E-2</v>
      </c>
      <c r="AE70" s="222">
        <v>51420</v>
      </c>
      <c r="AF70" s="98" t="s">
        <v>617</v>
      </c>
      <c r="AH70" s="98" t="s">
        <v>128</v>
      </c>
    </row>
    <row r="71" spans="1:34" ht="46.5" thickTop="1" thickBot="1">
      <c r="A71" s="125" t="str">
        <f>INDEX('Выгр Торг'!$A:$A,MATCH($B71,'Выгр Торг'!$B:$B,0))</f>
        <v>Руль анатомический "Ferrum" Grand Sport с обогревом для Лада Ларгус FL, Веста, XRAY</v>
      </c>
      <c r="B71" s="126">
        <v>341562</v>
      </c>
      <c r="C71" s="127">
        <f>VLOOKUP($B71,'Выгр Торг'!$B:$Q,C$1,0)</f>
        <v>341562</v>
      </c>
      <c r="D71" s="128" t="s">
        <v>128</v>
      </c>
      <c r="E71" s="125" t="str">
        <f>VLOOKUP($B71,'Выгр Торг'!$B:$Q,E$1,0)</f>
        <v>Руль анатомический "Ferrum" Grand Sport с обогревом для Лада Ларгус FL, Веста, XRAY (Белая нить, Чёрный мат)</v>
      </c>
      <c r="F71" s="127" t="str">
        <f>VLOOKUP($B71,'Выгр Торг'!$B:$Q,F$1,0)</f>
        <v>Y</v>
      </c>
      <c r="G71" s="127" t="str">
        <f>VLOOKUP($B71,'Выгр Торг'!$B:$Q,G$1,0)</f>
        <v>1</v>
      </c>
      <c r="H71" s="40">
        <v>166769</v>
      </c>
      <c r="I71" s="156"/>
      <c r="J71" s="160">
        <v>830</v>
      </c>
      <c r="K71" s="161">
        <v>870</v>
      </c>
      <c r="L71" s="130">
        <f t="shared" si="53"/>
        <v>48100</v>
      </c>
      <c r="M71" s="130">
        <f t="shared" si="58"/>
        <v>49100</v>
      </c>
      <c r="N71" s="130">
        <f t="shared" si="59"/>
        <v>42100</v>
      </c>
      <c r="O71" s="132">
        <f t="shared" si="54"/>
        <v>1.0207900207900207</v>
      </c>
      <c r="P71" s="132">
        <f t="shared" si="47"/>
        <v>1.1499999999999999</v>
      </c>
      <c r="Q71" s="130">
        <f t="shared" si="60"/>
        <v>59478.494623655904</v>
      </c>
      <c r="R71" s="148">
        <f t="shared" si="56"/>
        <v>59490</v>
      </c>
      <c r="S71" s="127">
        <f>VLOOKUP($B71,'Выгр Торг'!$B:$Q,S$1,0)</f>
        <v>48100</v>
      </c>
      <c r="T71" s="127">
        <f>VLOOKUP($B71,'Выгр Торг'!$B:$Q,T$1,0)</f>
        <v>59490</v>
      </c>
      <c r="U71" s="94">
        <f t="shared" si="48"/>
        <v>0</v>
      </c>
      <c r="V71" s="94">
        <f t="shared" si="49"/>
        <v>0</v>
      </c>
      <c r="W71" s="153">
        <f t="shared" si="57"/>
        <v>55325.7</v>
      </c>
      <c r="X71" s="209">
        <f>IFERROR(VLOOKUP($B71,'Из ГУГЛа'!$B:$G,6,0)*Z71+Y71,VLOOKUP($B71,'Из ГУГЛа'!$B:$G,6,0))</f>
        <v>52290</v>
      </c>
      <c r="Y71" s="220">
        <f t="shared" si="61"/>
        <v>10800</v>
      </c>
      <c r="Z71" s="133">
        <v>1</v>
      </c>
      <c r="AA71" s="133">
        <v>1300</v>
      </c>
      <c r="AB71" s="135">
        <f t="shared" si="50"/>
        <v>0.1502224532224532</v>
      </c>
      <c r="AC71" s="135">
        <f t="shared" si="51"/>
        <v>-5.8055077452667761E-2</v>
      </c>
      <c r="AD71" s="135">
        <f t="shared" si="52"/>
        <v>8.7110187110187143E-2</v>
      </c>
      <c r="AE71" s="222">
        <v>52290</v>
      </c>
      <c r="AF71" s="98" t="s">
        <v>617</v>
      </c>
      <c r="AH71" s="98" t="s">
        <v>128</v>
      </c>
    </row>
    <row r="72" spans="1:34" ht="46.5" thickTop="1" thickBot="1">
      <c r="A72" s="176" t="str">
        <f>INDEX('Выгр Торг'!$A:$A,MATCH($B72,'Выгр Торг'!$B:$B,0))</f>
        <v>Руль анатомический "Ferrum" Grand Sport с обогревом для Лада Ларгус FL, Веста, XRAY</v>
      </c>
      <c r="B72" s="178">
        <v>341574</v>
      </c>
      <c r="C72" s="179">
        <f>VLOOKUP($B72,'Выгр Торг'!$B:$Q,C$1,0)</f>
        <v>341574</v>
      </c>
      <c r="D72" s="189" t="s">
        <v>128</v>
      </c>
      <c r="E72" s="176" t="str">
        <f>VLOOKUP($B72,'Выгр Торг'!$B:$Q,E$1,0)</f>
        <v>Руль анатомический "Ferrum" Grand Sport с обогревом для Лада Ларгус FL, Веста, XRAY (Жёлтая нить, Чёрный мат)</v>
      </c>
      <c r="F72" s="179" t="str">
        <f>VLOOKUP($B72,'Выгр Торг'!$B:$Q,F$1,0)</f>
        <v>Y</v>
      </c>
      <c r="G72" s="179" t="str">
        <f>VLOOKUP($B72,'Выгр Торг'!$B:$Q,G$1,0)</f>
        <v>1</v>
      </c>
      <c r="H72" s="177">
        <v>166769</v>
      </c>
      <c r="I72" s="156"/>
      <c r="J72" s="160">
        <v>830</v>
      </c>
      <c r="K72" s="161">
        <v>870</v>
      </c>
      <c r="L72" s="180">
        <f t="shared" ref="L72:L83" si="62">M72-1000</f>
        <v>48100</v>
      </c>
      <c r="M72" s="180">
        <f t="shared" si="58"/>
        <v>49100</v>
      </c>
      <c r="N72" s="180">
        <f t="shared" si="59"/>
        <v>42100</v>
      </c>
      <c r="O72" s="107">
        <f t="shared" ref="O72:O83" si="63">M72/L72</f>
        <v>1.0207900207900207</v>
      </c>
      <c r="P72" s="132">
        <f t="shared" si="47"/>
        <v>1.1499999999999999</v>
      </c>
      <c r="Q72" s="180">
        <f t="shared" si="60"/>
        <v>59478.494623655904</v>
      </c>
      <c r="R72" s="144">
        <f t="shared" ref="R72:R83" si="64">IF(Q72&lt;=1000,(ROUNDUP(Q72,-2)-1),(ROUNDUP(Q72,-2)-10))</f>
        <v>59490</v>
      </c>
      <c r="S72" s="179">
        <f>VLOOKUP($B72,'Выгр Торг'!$B:$Q,S$1,0)</f>
        <v>48100</v>
      </c>
      <c r="T72" s="179">
        <f>VLOOKUP($B72,'Выгр Торг'!$B:$Q,T$1,0)</f>
        <v>59490</v>
      </c>
      <c r="U72" s="94">
        <f t="shared" si="48"/>
        <v>0</v>
      </c>
      <c r="V72" s="94">
        <f t="shared" si="49"/>
        <v>0</v>
      </c>
      <c r="W72" s="182">
        <f t="shared" ref="W72:W83" si="65">R72*(1-$W$2)</f>
        <v>55325.7</v>
      </c>
      <c r="X72" s="218">
        <f>IFERROR(VLOOKUP($B72,'Из ГУГЛа'!$B:$G,6,0)*Z72+Y72,VLOOKUP($B72,'Из ГУГЛа'!$B:$G,6,0))</f>
        <v>52290</v>
      </c>
      <c r="Y72" s="220">
        <f t="shared" si="61"/>
        <v>10800</v>
      </c>
      <c r="Z72" s="133">
        <v>1</v>
      </c>
      <c r="AA72" s="133">
        <v>1300</v>
      </c>
      <c r="AB72" s="184">
        <f t="shared" ref="AB72:AB83" si="66">IFERROR(W72/L72-1,"")</f>
        <v>0.1502224532224532</v>
      </c>
      <c r="AC72" s="184">
        <f t="shared" ref="AC72:AC83" si="67">IFERROR((AE72-W72)/AE72,"")</f>
        <v>-5.8055077452667761E-2</v>
      </c>
      <c r="AD72" s="184">
        <f t="shared" ref="AD72:AD83" si="68">IFERROR(IF(AE72="","",AE72/L72-1),"")</f>
        <v>8.7110187110187143E-2</v>
      </c>
      <c r="AE72" s="222">
        <v>52290</v>
      </c>
      <c r="AF72" s="98" t="s">
        <v>617</v>
      </c>
      <c r="AH72" s="98" t="s">
        <v>128</v>
      </c>
    </row>
    <row r="73" spans="1:34" ht="46.5" thickTop="1" thickBot="1">
      <c r="A73" s="176" t="str">
        <f>INDEX('Выгр Торг'!$A:$A,MATCH($B73,'Выгр Торг'!$B:$B,0))</f>
        <v>Руль анатомический "Ferrum" Grand Sport с обогревом для Лада Ларгус FL, Веста, XRAY</v>
      </c>
      <c r="B73" s="178">
        <v>341573</v>
      </c>
      <c r="C73" s="179">
        <f>VLOOKUP($B73,'Выгр Торг'!$B:$Q,C$1,0)</f>
        <v>341573</v>
      </c>
      <c r="D73" s="189" t="s">
        <v>128</v>
      </c>
      <c r="E73" s="176" t="str">
        <f>VLOOKUP($B73,'Выгр Торг'!$B:$Q,E$1,0)</f>
        <v>Руль анатомический "Ferrum" Grand Sport с обогревом для Лада Ларгус FL, Веста, XRAY (Зелёная нить, Чёрный мат)</v>
      </c>
      <c r="F73" s="179" t="str">
        <f>VLOOKUP($B73,'Выгр Торг'!$B:$Q,F$1,0)</f>
        <v>Y</v>
      </c>
      <c r="G73" s="179" t="str">
        <f>VLOOKUP($B73,'Выгр Торг'!$B:$Q,G$1,0)</f>
        <v>1</v>
      </c>
      <c r="H73" s="177">
        <v>166769</v>
      </c>
      <c r="I73" s="156"/>
      <c r="J73" s="160">
        <v>830</v>
      </c>
      <c r="K73" s="161">
        <v>870</v>
      </c>
      <c r="L73" s="180">
        <f t="shared" si="62"/>
        <v>48100</v>
      </c>
      <c r="M73" s="180">
        <f t="shared" si="58"/>
        <v>49100</v>
      </c>
      <c r="N73" s="180">
        <f t="shared" si="59"/>
        <v>42100</v>
      </c>
      <c r="O73" s="107">
        <f t="shared" si="63"/>
        <v>1.0207900207900207</v>
      </c>
      <c r="P73" s="132">
        <f t="shared" si="47"/>
        <v>1.1499999999999999</v>
      </c>
      <c r="Q73" s="180">
        <f t="shared" si="60"/>
        <v>59478.494623655904</v>
      </c>
      <c r="R73" s="144">
        <f t="shared" si="64"/>
        <v>59490</v>
      </c>
      <c r="S73" s="179">
        <f>VLOOKUP($B73,'Выгр Торг'!$B:$Q,S$1,0)</f>
        <v>48100</v>
      </c>
      <c r="T73" s="179">
        <f>VLOOKUP($B73,'Выгр Торг'!$B:$Q,T$1,0)</f>
        <v>59490</v>
      </c>
      <c r="U73" s="94">
        <f t="shared" si="48"/>
        <v>0</v>
      </c>
      <c r="V73" s="94">
        <f t="shared" si="49"/>
        <v>0</v>
      </c>
      <c r="W73" s="182">
        <f t="shared" si="65"/>
        <v>55325.7</v>
      </c>
      <c r="X73" s="218">
        <f>IFERROR(VLOOKUP($B73,'Из ГУГЛа'!$B:$G,6,0)*Z73+Y73,VLOOKUP($B73,'Из ГУГЛа'!$B:$G,6,0))</f>
        <v>52290</v>
      </c>
      <c r="Y73" s="220">
        <f t="shared" si="61"/>
        <v>10800</v>
      </c>
      <c r="Z73" s="133">
        <v>1</v>
      </c>
      <c r="AA73" s="133">
        <v>1300</v>
      </c>
      <c r="AB73" s="184">
        <f t="shared" si="66"/>
        <v>0.1502224532224532</v>
      </c>
      <c r="AC73" s="184">
        <f t="shared" si="67"/>
        <v>-5.8055077452667761E-2</v>
      </c>
      <c r="AD73" s="184">
        <f t="shared" si="68"/>
        <v>8.7110187110187143E-2</v>
      </c>
      <c r="AE73" s="222">
        <v>52290</v>
      </c>
      <c r="AF73" s="98" t="s">
        <v>617</v>
      </c>
      <c r="AH73" s="98" t="s">
        <v>128</v>
      </c>
    </row>
    <row r="74" spans="1:34" ht="46.5" thickTop="1" thickBot="1">
      <c r="A74" s="176" t="str">
        <f>INDEX('Выгр Торг'!$A:$A,MATCH($B74,'Выгр Торг'!$B:$B,0))</f>
        <v>Руль анатомический "Ferrum" Grand Sport с обогревом для Лада Ларгус FL, Веста, XRAY</v>
      </c>
      <c r="B74" s="178">
        <v>341565</v>
      </c>
      <c r="C74" s="179">
        <f>VLOOKUP($B74,'Выгр Торг'!$B:$Q,C$1,0)</f>
        <v>341565</v>
      </c>
      <c r="D74" s="189" t="s">
        <v>128</v>
      </c>
      <c r="E74" s="176" t="str">
        <f>VLOOKUP($B74,'Выгр Торг'!$B:$Q,E$1,0)</f>
        <v>Руль анатомический "Ferrum" Grand Sport с обогревом для Лада Ларгус FL, Веста, XRAY (Коричневая нить, Чёрный мат)</v>
      </c>
      <c r="F74" s="179" t="str">
        <f>VLOOKUP($B74,'Выгр Торг'!$B:$Q,F$1,0)</f>
        <v>Y</v>
      </c>
      <c r="G74" s="179" t="str">
        <f>VLOOKUP($B74,'Выгр Торг'!$B:$Q,G$1,0)</f>
        <v>1</v>
      </c>
      <c r="H74" s="177">
        <v>166769</v>
      </c>
      <c r="I74" s="156"/>
      <c r="J74" s="160">
        <v>830</v>
      </c>
      <c r="K74" s="161">
        <v>870</v>
      </c>
      <c r="L74" s="180">
        <f t="shared" si="62"/>
        <v>48100</v>
      </c>
      <c r="M74" s="180">
        <f t="shared" si="58"/>
        <v>49100</v>
      </c>
      <c r="N74" s="180">
        <f t="shared" si="59"/>
        <v>42100</v>
      </c>
      <c r="O74" s="107">
        <f t="shared" si="63"/>
        <v>1.0207900207900207</v>
      </c>
      <c r="P74" s="132">
        <f t="shared" si="47"/>
        <v>1.1499999999999999</v>
      </c>
      <c r="Q74" s="180">
        <f t="shared" si="60"/>
        <v>59478.494623655904</v>
      </c>
      <c r="R74" s="144">
        <f t="shared" si="64"/>
        <v>59490</v>
      </c>
      <c r="S74" s="179">
        <f>VLOOKUP($B74,'Выгр Торг'!$B:$Q,S$1,0)</f>
        <v>48100</v>
      </c>
      <c r="T74" s="179">
        <f>VLOOKUP($B74,'Выгр Торг'!$B:$Q,T$1,0)</f>
        <v>59490</v>
      </c>
      <c r="U74" s="94">
        <f t="shared" si="48"/>
        <v>0</v>
      </c>
      <c r="V74" s="94">
        <f t="shared" si="49"/>
        <v>0</v>
      </c>
      <c r="W74" s="182">
        <f t="shared" si="65"/>
        <v>55325.7</v>
      </c>
      <c r="X74" s="218">
        <f>IFERROR(VLOOKUP($B74,'Из ГУГЛа'!$B:$G,6,0)*Z74+Y74,VLOOKUP($B74,'Из ГУГЛа'!$B:$G,6,0))</f>
        <v>52290</v>
      </c>
      <c r="Y74" s="220">
        <f t="shared" si="61"/>
        <v>10800</v>
      </c>
      <c r="Z74" s="133">
        <v>1</v>
      </c>
      <c r="AA74" s="133">
        <v>1300</v>
      </c>
      <c r="AB74" s="184">
        <f t="shared" si="66"/>
        <v>0.1502224532224532</v>
      </c>
      <c r="AC74" s="184">
        <f t="shared" si="67"/>
        <v>-5.8055077452667761E-2</v>
      </c>
      <c r="AD74" s="184">
        <f t="shared" si="68"/>
        <v>8.7110187110187143E-2</v>
      </c>
      <c r="AE74" s="222">
        <v>52290</v>
      </c>
      <c r="AF74" s="98" t="s">
        <v>617</v>
      </c>
      <c r="AH74" s="98" t="s">
        <v>128</v>
      </c>
    </row>
    <row r="75" spans="1:34" ht="46.5" thickTop="1" thickBot="1">
      <c r="A75" s="176" t="str">
        <f>INDEX('Выгр Торг'!$A:$A,MATCH($B75,'Выгр Торг'!$B:$B,0))</f>
        <v>Руль анатомический "Ferrum" Grand Sport с обогревом для Лада Ларгус FL, Веста, XRAY</v>
      </c>
      <c r="B75" s="178">
        <v>341566</v>
      </c>
      <c r="C75" s="179">
        <f>VLOOKUP($B75,'Выгр Торг'!$B:$Q,C$1,0)</f>
        <v>341566</v>
      </c>
      <c r="D75" s="189" t="s">
        <v>128</v>
      </c>
      <c r="E75" s="176" t="str">
        <f>VLOOKUP($B75,'Выгр Торг'!$B:$Q,E$1,0)</f>
        <v>Руль анатомический "Ferrum" Grand Sport с обогревом для Лада Ларгус FL, Веста, XRAY (Красная нить, Чёрный мат)</v>
      </c>
      <c r="F75" s="179" t="str">
        <f>VLOOKUP($B75,'Выгр Торг'!$B:$Q,F$1,0)</f>
        <v>Y</v>
      </c>
      <c r="G75" s="179" t="str">
        <f>VLOOKUP($B75,'Выгр Торг'!$B:$Q,G$1,0)</f>
        <v>1</v>
      </c>
      <c r="H75" s="177">
        <v>166769</v>
      </c>
      <c r="I75" s="156"/>
      <c r="J75" s="160">
        <v>830</v>
      </c>
      <c r="K75" s="161">
        <v>870</v>
      </c>
      <c r="L75" s="180">
        <f t="shared" si="62"/>
        <v>48100</v>
      </c>
      <c r="M75" s="180">
        <f t="shared" si="58"/>
        <v>49100</v>
      </c>
      <c r="N75" s="180">
        <f t="shared" si="59"/>
        <v>42100</v>
      </c>
      <c r="O75" s="107">
        <f t="shared" si="63"/>
        <v>1.0207900207900207</v>
      </c>
      <c r="P75" s="132">
        <f t="shared" si="47"/>
        <v>1.1499999999999999</v>
      </c>
      <c r="Q75" s="180">
        <f t="shared" si="60"/>
        <v>59478.494623655904</v>
      </c>
      <c r="R75" s="144">
        <f t="shared" si="64"/>
        <v>59490</v>
      </c>
      <c r="S75" s="179">
        <f>VLOOKUP($B75,'Выгр Торг'!$B:$Q,S$1,0)</f>
        <v>48100</v>
      </c>
      <c r="T75" s="179">
        <f>VLOOKUP($B75,'Выгр Торг'!$B:$Q,T$1,0)</f>
        <v>59490</v>
      </c>
      <c r="U75" s="94">
        <f t="shared" si="48"/>
        <v>0</v>
      </c>
      <c r="V75" s="94">
        <f t="shared" si="49"/>
        <v>0</v>
      </c>
      <c r="W75" s="182">
        <f t="shared" si="65"/>
        <v>55325.7</v>
      </c>
      <c r="X75" s="218">
        <f>IFERROR(VLOOKUP($B75,'Из ГУГЛа'!$B:$G,6,0)*Z75+Y75,VLOOKUP($B75,'Из ГУГЛа'!$B:$G,6,0))</f>
        <v>52290</v>
      </c>
      <c r="Y75" s="220">
        <f t="shared" si="61"/>
        <v>10800</v>
      </c>
      <c r="Z75" s="133">
        <v>1</v>
      </c>
      <c r="AA75" s="133">
        <v>1300</v>
      </c>
      <c r="AB75" s="184">
        <f t="shared" si="66"/>
        <v>0.1502224532224532</v>
      </c>
      <c r="AC75" s="184">
        <f t="shared" si="67"/>
        <v>-5.8055077452667761E-2</v>
      </c>
      <c r="AD75" s="184">
        <f t="shared" si="68"/>
        <v>8.7110187110187143E-2</v>
      </c>
      <c r="AE75" s="222">
        <v>52290</v>
      </c>
      <c r="AF75" s="98" t="s">
        <v>617</v>
      </c>
      <c r="AH75" s="98" t="s">
        <v>128</v>
      </c>
    </row>
    <row r="76" spans="1:34" ht="46.5" thickTop="1" thickBot="1">
      <c r="A76" s="176" t="str">
        <f>INDEX('Выгр Торг'!$A:$A,MATCH($B76,'Выгр Торг'!$B:$B,0))</f>
        <v>Руль анатомический "Ferrum" Grand Sport с обогревом для Лада Ларгус FL, Веста, XRAY</v>
      </c>
      <c r="B76" s="178">
        <v>341567</v>
      </c>
      <c r="C76" s="179">
        <f>VLOOKUP($B76,'Выгр Торг'!$B:$Q,C$1,0)</f>
        <v>341567</v>
      </c>
      <c r="D76" s="189" t="s">
        <v>128</v>
      </c>
      <c r="E76" s="176" t="str">
        <f>VLOOKUP($B76,'Выгр Торг'!$B:$Q,E$1,0)</f>
        <v>Руль анатомический "Ferrum" Grand Sport с обогревом для Лада Ларгус FL, Веста, XRAY (Оранжевая нить, Чёрный мат)</v>
      </c>
      <c r="F76" s="179" t="str">
        <f>VLOOKUP($B76,'Выгр Торг'!$B:$Q,F$1,0)</f>
        <v>Y</v>
      </c>
      <c r="G76" s="179" t="str">
        <f>VLOOKUP($B76,'Выгр Торг'!$B:$Q,G$1,0)</f>
        <v>1</v>
      </c>
      <c r="H76" s="177">
        <v>166769</v>
      </c>
      <c r="I76" s="156"/>
      <c r="J76" s="160">
        <v>830</v>
      </c>
      <c r="K76" s="161">
        <v>870</v>
      </c>
      <c r="L76" s="180">
        <f t="shared" si="62"/>
        <v>48100</v>
      </c>
      <c r="M76" s="180">
        <f t="shared" si="58"/>
        <v>49100</v>
      </c>
      <c r="N76" s="180">
        <f t="shared" si="59"/>
        <v>42100</v>
      </c>
      <c r="O76" s="107">
        <f t="shared" si="63"/>
        <v>1.0207900207900207</v>
      </c>
      <c r="P76" s="132">
        <f t="shared" si="47"/>
        <v>1.1499999999999999</v>
      </c>
      <c r="Q76" s="180">
        <f t="shared" si="60"/>
        <v>59478.494623655904</v>
      </c>
      <c r="R76" s="144">
        <f t="shared" si="64"/>
        <v>59490</v>
      </c>
      <c r="S76" s="179">
        <f>VLOOKUP($B76,'Выгр Торг'!$B:$Q,S$1,0)</f>
        <v>48100</v>
      </c>
      <c r="T76" s="179">
        <f>VLOOKUP($B76,'Выгр Торг'!$B:$Q,T$1,0)</f>
        <v>59490</v>
      </c>
      <c r="U76" s="94">
        <f t="shared" si="48"/>
        <v>0</v>
      </c>
      <c r="V76" s="94">
        <f t="shared" si="49"/>
        <v>0</v>
      </c>
      <c r="W76" s="182">
        <f t="shared" si="65"/>
        <v>55325.7</v>
      </c>
      <c r="X76" s="218">
        <f>IFERROR(VLOOKUP($B76,'Из ГУГЛа'!$B:$G,6,0)*Z76+Y76,VLOOKUP($B76,'Из ГУГЛа'!$B:$G,6,0))</f>
        <v>52290</v>
      </c>
      <c r="Y76" s="220">
        <f t="shared" si="61"/>
        <v>10800</v>
      </c>
      <c r="Z76" s="133">
        <v>1</v>
      </c>
      <c r="AA76" s="133">
        <v>1300</v>
      </c>
      <c r="AB76" s="184">
        <f t="shared" si="66"/>
        <v>0.1502224532224532</v>
      </c>
      <c r="AC76" s="184">
        <f t="shared" si="67"/>
        <v>-5.8055077452667761E-2</v>
      </c>
      <c r="AD76" s="184">
        <f t="shared" si="68"/>
        <v>8.7110187110187143E-2</v>
      </c>
      <c r="AE76" s="222">
        <v>52290</v>
      </c>
      <c r="AF76" s="98" t="s">
        <v>617</v>
      </c>
      <c r="AH76" s="98" t="s">
        <v>128</v>
      </c>
    </row>
    <row r="77" spans="1:34" ht="46.5" thickTop="1" thickBot="1">
      <c r="A77" s="176" t="str">
        <f>INDEX('Выгр Торг'!$A:$A,MATCH($B77,'Выгр Торг'!$B:$B,0))</f>
        <v>Руль анатомический "Ferrum" Grand Sport с обогревом для Лада Ларгус FL, Веста, XRAY</v>
      </c>
      <c r="B77" s="178">
        <v>341568</v>
      </c>
      <c r="C77" s="179">
        <f>VLOOKUP($B77,'Выгр Торг'!$B:$Q,C$1,0)</f>
        <v>341568</v>
      </c>
      <c r="D77" s="189" t="s">
        <v>128</v>
      </c>
      <c r="E77" s="176" t="str">
        <f>VLOOKUP($B77,'Выгр Торг'!$B:$Q,E$1,0)</f>
        <v>Руль анатомический "Ferrum" Grand Sport с обогревом для Лада Ларгус FL, Веста, XRAY (Салатовая нить, Чёрный мат)</v>
      </c>
      <c r="F77" s="179" t="str">
        <f>VLOOKUP($B77,'Выгр Торг'!$B:$Q,F$1,0)</f>
        <v>Y</v>
      </c>
      <c r="G77" s="179" t="str">
        <f>VLOOKUP($B77,'Выгр Торг'!$B:$Q,G$1,0)</f>
        <v>1</v>
      </c>
      <c r="H77" s="177">
        <v>166769</v>
      </c>
      <c r="I77" s="156"/>
      <c r="J77" s="160">
        <v>830</v>
      </c>
      <c r="K77" s="161">
        <v>870</v>
      </c>
      <c r="L77" s="180">
        <f t="shared" si="62"/>
        <v>48100</v>
      </c>
      <c r="M77" s="180">
        <f t="shared" si="58"/>
        <v>49100</v>
      </c>
      <c r="N77" s="180">
        <f t="shared" si="59"/>
        <v>42100</v>
      </c>
      <c r="O77" s="107">
        <f t="shared" si="63"/>
        <v>1.0207900207900207</v>
      </c>
      <c r="P77" s="132">
        <f t="shared" si="47"/>
        <v>1.1499999999999999</v>
      </c>
      <c r="Q77" s="180">
        <f t="shared" si="60"/>
        <v>59478.494623655904</v>
      </c>
      <c r="R77" s="144">
        <f t="shared" si="64"/>
        <v>59490</v>
      </c>
      <c r="S77" s="179">
        <f>VLOOKUP($B77,'Выгр Торг'!$B:$Q,S$1,0)</f>
        <v>48100</v>
      </c>
      <c r="T77" s="179">
        <f>VLOOKUP($B77,'Выгр Торг'!$B:$Q,T$1,0)</f>
        <v>59490</v>
      </c>
      <c r="U77" s="94">
        <f t="shared" si="48"/>
        <v>0</v>
      </c>
      <c r="V77" s="94">
        <f t="shared" si="49"/>
        <v>0</v>
      </c>
      <c r="W77" s="182">
        <f t="shared" si="65"/>
        <v>55325.7</v>
      </c>
      <c r="X77" s="218">
        <f>IFERROR(VLOOKUP($B77,'Из ГУГЛа'!$B:$G,6,0)*Z77+Y77,VLOOKUP($B77,'Из ГУГЛа'!$B:$G,6,0))</f>
        <v>52290</v>
      </c>
      <c r="Y77" s="220">
        <f t="shared" si="61"/>
        <v>10800</v>
      </c>
      <c r="Z77" s="133">
        <v>1</v>
      </c>
      <c r="AA77" s="133">
        <v>1300</v>
      </c>
      <c r="AB77" s="184">
        <f t="shared" si="66"/>
        <v>0.1502224532224532</v>
      </c>
      <c r="AC77" s="184">
        <f t="shared" si="67"/>
        <v>-5.8055077452667761E-2</v>
      </c>
      <c r="AD77" s="184">
        <f t="shared" si="68"/>
        <v>8.7110187110187143E-2</v>
      </c>
      <c r="AE77" s="222">
        <v>52290</v>
      </c>
      <c r="AF77" s="98" t="s">
        <v>617</v>
      </c>
      <c r="AH77" s="98" t="s">
        <v>128</v>
      </c>
    </row>
    <row r="78" spans="1:34" ht="46.5" thickTop="1" thickBot="1">
      <c r="A78" s="176" t="str">
        <f>INDEX('Выгр Торг'!$A:$A,MATCH($B78,'Выгр Торг'!$B:$B,0))</f>
        <v>Руль анатомический "Ferrum" Grand Sport с обогревом для Лада Ларгус FL, Веста, XRAY</v>
      </c>
      <c r="B78" s="178">
        <v>341571</v>
      </c>
      <c r="C78" s="179">
        <f>VLOOKUP($B78,'Выгр Торг'!$B:$Q,C$1,0)</f>
        <v>341571</v>
      </c>
      <c r="D78" s="189" t="s">
        <v>128</v>
      </c>
      <c r="E78" s="176" t="str">
        <f>VLOOKUP($B78,'Выгр Торг'!$B:$Q,E$1,0)</f>
        <v>Руль анатомический "Ferrum" Grand Sport с обогревом для Лада Ларгус FL, Веста, XRAY (Светло-серая нить, Чёрный мат)</v>
      </c>
      <c r="F78" s="179" t="str">
        <f>VLOOKUP($B78,'Выгр Торг'!$B:$Q,F$1,0)</f>
        <v>Y</v>
      </c>
      <c r="G78" s="179" t="str">
        <f>VLOOKUP($B78,'Выгр Торг'!$B:$Q,G$1,0)</f>
        <v>1</v>
      </c>
      <c r="H78" s="177">
        <v>166769</v>
      </c>
      <c r="I78" s="156"/>
      <c r="J78" s="160">
        <v>830</v>
      </c>
      <c r="K78" s="161">
        <v>870</v>
      </c>
      <c r="L78" s="180">
        <f t="shared" si="62"/>
        <v>48100</v>
      </c>
      <c r="M78" s="180">
        <f t="shared" si="58"/>
        <v>49100</v>
      </c>
      <c r="N78" s="180">
        <f t="shared" si="59"/>
        <v>42100</v>
      </c>
      <c r="O78" s="107">
        <f t="shared" si="63"/>
        <v>1.0207900207900207</v>
      </c>
      <c r="P78" s="132">
        <f t="shared" si="47"/>
        <v>1.1499999999999999</v>
      </c>
      <c r="Q78" s="180">
        <f t="shared" si="60"/>
        <v>59478.494623655904</v>
      </c>
      <c r="R78" s="144">
        <f t="shared" si="64"/>
        <v>59490</v>
      </c>
      <c r="S78" s="179">
        <f>VLOOKUP($B78,'Выгр Торг'!$B:$Q,S$1,0)</f>
        <v>48100</v>
      </c>
      <c r="T78" s="179">
        <f>VLOOKUP($B78,'Выгр Торг'!$B:$Q,T$1,0)</f>
        <v>59490</v>
      </c>
      <c r="U78" s="94">
        <f t="shared" si="48"/>
        <v>0</v>
      </c>
      <c r="V78" s="94">
        <f t="shared" si="49"/>
        <v>0</v>
      </c>
      <c r="W78" s="182">
        <f t="shared" si="65"/>
        <v>55325.7</v>
      </c>
      <c r="X78" s="218">
        <f>IFERROR(VLOOKUP($B78,'Из ГУГЛа'!$B:$G,6,0)*Z78+Y78,VLOOKUP($B78,'Из ГУГЛа'!$B:$G,6,0))</f>
        <v>52290</v>
      </c>
      <c r="Y78" s="220">
        <f t="shared" si="61"/>
        <v>10800</v>
      </c>
      <c r="Z78" s="133">
        <v>1</v>
      </c>
      <c r="AA78" s="133">
        <v>1300</v>
      </c>
      <c r="AB78" s="184">
        <f t="shared" si="66"/>
        <v>0.1502224532224532</v>
      </c>
      <c r="AC78" s="184">
        <f t="shared" si="67"/>
        <v>-5.8055077452667761E-2</v>
      </c>
      <c r="AD78" s="184">
        <f t="shared" si="68"/>
        <v>8.7110187110187143E-2</v>
      </c>
      <c r="AE78" s="222">
        <v>52290</v>
      </c>
      <c r="AF78" s="98" t="s">
        <v>617</v>
      </c>
      <c r="AH78" s="98" t="s">
        <v>128</v>
      </c>
    </row>
    <row r="79" spans="1:34" ht="46.5" thickTop="1" thickBot="1">
      <c r="A79" s="176" t="str">
        <f>INDEX('Выгр Торг'!$A:$A,MATCH($B79,'Выгр Торг'!$B:$B,0))</f>
        <v>Руль анатомический "Ferrum" Grand Sport с обогревом для Лада Ларгус FL, Веста, XRAY</v>
      </c>
      <c r="B79" s="178">
        <v>341569</v>
      </c>
      <c r="C79" s="179">
        <f>VLOOKUP($B79,'Выгр Торг'!$B:$Q,C$1,0)</f>
        <v>341569</v>
      </c>
      <c r="D79" s="189" t="s">
        <v>128</v>
      </c>
      <c r="E79" s="176" t="str">
        <f>VLOOKUP($B79,'Выгр Торг'!$B:$Q,E$1,0)</f>
        <v>Руль анатомический "Ferrum" Grand Sport с обогревом для Лада Ларгус FL, Веста, XRAY (Сине-зелёная нить, Чёрный мат)</v>
      </c>
      <c r="F79" s="179" t="str">
        <f>VLOOKUP($B79,'Выгр Торг'!$B:$Q,F$1,0)</f>
        <v>Y</v>
      </c>
      <c r="G79" s="179" t="str">
        <f>VLOOKUP($B79,'Выгр Торг'!$B:$Q,G$1,0)</f>
        <v>1</v>
      </c>
      <c r="H79" s="177">
        <v>166769</v>
      </c>
      <c r="I79" s="156"/>
      <c r="J79" s="160">
        <v>830</v>
      </c>
      <c r="K79" s="161">
        <v>870</v>
      </c>
      <c r="L79" s="180">
        <f t="shared" si="62"/>
        <v>48100</v>
      </c>
      <c r="M79" s="180">
        <f t="shared" si="58"/>
        <v>49100</v>
      </c>
      <c r="N79" s="180">
        <f t="shared" si="59"/>
        <v>42100</v>
      </c>
      <c r="O79" s="107">
        <f t="shared" si="63"/>
        <v>1.0207900207900207</v>
      </c>
      <c r="P79" s="132">
        <f t="shared" si="47"/>
        <v>1.1499999999999999</v>
      </c>
      <c r="Q79" s="180">
        <f t="shared" si="60"/>
        <v>59478.494623655904</v>
      </c>
      <c r="R79" s="144">
        <f t="shared" si="64"/>
        <v>59490</v>
      </c>
      <c r="S79" s="179">
        <f>VLOOKUP($B79,'Выгр Торг'!$B:$Q,S$1,0)</f>
        <v>48100</v>
      </c>
      <c r="T79" s="179">
        <f>VLOOKUP($B79,'Выгр Торг'!$B:$Q,T$1,0)</f>
        <v>59490</v>
      </c>
      <c r="U79" s="94">
        <f t="shared" si="48"/>
        <v>0</v>
      </c>
      <c r="V79" s="94">
        <f t="shared" si="49"/>
        <v>0</v>
      </c>
      <c r="W79" s="182">
        <f t="shared" si="65"/>
        <v>55325.7</v>
      </c>
      <c r="X79" s="218">
        <f>IFERROR(VLOOKUP($B79,'Из ГУГЛа'!$B:$G,6,0)*Z79+Y79,VLOOKUP($B79,'Из ГУГЛа'!$B:$G,6,0))</f>
        <v>52290</v>
      </c>
      <c r="Y79" s="220">
        <f t="shared" si="61"/>
        <v>10800</v>
      </c>
      <c r="Z79" s="133">
        <v>1</v>
      </c>
      <c r="AA79" s="133">
        <v>1300</v>
      </c>
      <c r="AB79" s="184">
        <f t="shared" si="66"/>
        <v>0.1502224532224532</v>
      </c>
      <c r="AC79" s="184">
        <f t="shared" si="67"/>
        <v>-5.8055077452667761E-2</v>
      </c>
      <c r="AD79" s="184">
        <f t="shared" si="68"/>
        <v>8.7110187110187143E-2</v>
      </c>
      <c r="AE79" s="222">
        <v>52290</v>
      </c>
      <c r="AF79" s="98" t="s">
        <v>617</v>
      </c>
      <c r="AH79" s="98" t="s">
        <v>128</v>
      </c>
    </row>
    <row r="80" spans="1:34" ht="46.5" thickTop="1" thickBot="1">
      <c r="A80" s="176" t="str">
        <f>INDEX('Выгр Торг'!$A:$A,MATCH($B80,'Выгр Торг'!$B:$B,0))</f>
        <v>Руль анатомический "Ferrum" Grand Sport с обогревом для Лада Ларгус FL, Веста, XRAY</v>
      </c>
      <c r="B80" s="178">
        <v>341570</v>
      </c>
      <c r="C80" s="179">
        <f>VLOOKUP($B80,'Выгр Торг'!$B:$Q,C$1,0)</f>
        <v>341570</v>
      </c>
      <c r="D80" s="189" t="s">
        <v>128</v>
      </c>
      <c r="E80" s="176" t="str">
        <f>VLOOKUP($B80,'Выгр Торг'!$B:$Q,E$1,0)</f>
        <v>Руль анатомический "Ferrum" Grand Sport с обогревом для Лада Ларгус FL, Веста, XRAY (Синяя нить, Чёрный мат)</v>
      </c>
      <c r="F80" s="179" t="str">
        <f>VLOOKUP($B80,'Выгр Торг'!$B:$Q,F$1,0)</f>
        <v>Y</v>
      </c>
      <c r="G80" s="179" t="str">
        <f>VLOOKUP($B80,'Выгр Торг'!$B:$Q,G$1,0)</f>
        <v>1</v>
      </c>
      <c r="H80" s="177">
        <v>166769</v>
      </c>
      <c r="I80" s="156"/>
      <c r="J80" s="160">
        <v>830</v>
      </c>
      <c r="K80" s="161">
        <v>870</v>
      </c>
      <c r="L80" s="180">
        <f t="shared" si="62"/>
        <v>48100</v>
      </c>
      <c r="M80" s="180">
        <f t="shared" si="58"/>
        <v>49100</v>
      </c>
      <c r="N80" s="180">
        <f t="shared" si="59"/>
        <v>42100</v>
      </c>
      <c r="O80" s="107">
        <f t="shared" si="63"/>
        <v>1.0207900207900207</v>
      </c>
      <c r="P80" s="132">
        <f t="shared" si="47"/>
        <v>1.1499999999999999</v>
      </c>
      <c r="Q80" s="180">
        <f t="shared" si="60"/>
        <v>59478.494623655904</v>
      </c>
      <c r="R80" s="144">
        <f t="shared" si="64"/>
        <v>59490</v>
      </c>
      <c r="S80" s="179">
        <f>VLOOKUP($B80,'Выгр Торг'!$B:$Q,S$1,0)</f>
        <v>48100</v>
      </c>
      <c r="T80" s="179">
        <f>VLOOKUP($B80,'Выгр Торг'!$B:$Q,T$1,0)</f>
        <v>59490</v>
      </c>
      <c r="U80" s="94">
        <f t="shared" si="48"/>
        <v>0</v>
      </c>
      <c r="V80" s="94">
        <f t="shared" si="49"/>
        <v>0</v>
      </c>
      <c r="W80" s="182">
        <f t="shared" si="65"/>
        <v>55325.7</v>
      </c>
      <c r="X80" s="218">
        <f>IFERROR(VLOOKUP($B80,'Из ГУГЛа'!$B:$G,6,0)*Z80+Y80,VLOOKUP($B80,'Из ГУГЛа'!$B:$G,6,0))</f>
        <v>52290</v>
      </c>
      <c r="Y80" s="220">
        <f t="shared" si="61"/>
        <v>10800</v>
      </c>
      <c r="Z80" s="133">
        <v>1</v>
      </c>
      <c r="AA80" s="133">
        <v>1300</v>
      </c>
      <c r="AB80" s="184">
        <f t="shared" si="66"/>
        <v>0.1502224532224532</v>
      </c>
      <c r="AC80" s="184">
        <f t="shared" si="67"/>
        <v>-5.8055077452667761E-2</v>
      </c>
      <c r="AD80" s="184">
        <f t="shared" si="68"/>
        <v>8.7110187110187143E-2</v>
      </c>
      <c r="AE80" s="222">
        <v>52290</v>
      </c>
      <c r="AF80" s="98" t="s">
        <v>617</v>
      </c>
      <c r="AH80" s="98" t="s">
        <v>128</v>
      </c>
    </row>
    <row r="81" spans="1:34" ht="46.5" thickTop="1" thickBot="1">
      <c r="A81" s="176" t="str">
        <f>INDEX('Выгр Торг'!$A:$A,MATCH($B81,'Выгр Торг'!$B:$B,0))</f>
        <v>Руль анатомический "Ferrum" Grand Sport с обогревом для Лада Ларгус FL, Веста, XRAY</v>
      </c>
      <c r="B81" s="178">
        <v>341572</v>
      </c>
      <c r="C81" s="179">
        <f>VLOOKUP($B81,'Выгр Торг'!$B:$Q,C$1,0)</f>
        <v>341572</v>
      </c>
      <c r="D81" s="189" t="s">
        <v>128</v>
      </c>
      <c r="E81" s="176" t="str">
        <f>VLOOKUP($B81,'Выгр Торг'!$B:$Q,E$1,0)</f>
        <v>Руль анатомический "Ferrum" Grand Sport с обогревом для Лада Ларгус FL, Веста, XRAY (Тёмно-серая нить, Чёрный мат)</v>
      </c>
      <c r="F81" s="179" t="str">
        <f>VLOOKUP($B81,'Выгр Торг'!$B:$Q,F$1,0)</f>
        <v>Y</v>
      </c>
      <c r="G81" s="179" t="str">
        <f>VLOOKUP($B81,'Выгр Торг'!$B:$Q,G$1,0)</f>
        <v>1</v>
      </c>
      <c r="H81" s="177">
        <v>166769</v>
      </c>
      <c r="I81" s="156"/>
      <c r="J81" s="160">
        <v>830</v>
      </c>
      <c r="K81" s="161">
        <v>870</v>
      </c>
      <c r="L81" s="180">
        <f t="shared" si="62"/>
        <v>48100</v>
      </c>
      <c r="M81" s="180">
        <f t="shared" si="58"/>
        <v>49100</v>
      </c>
      <c r="N81" s="180">
        <f t="shared" si="59"/>
        <v>42100</v>
      </c>
      <c r="O81" s="107">
        <f t="shared" si="63"/>
        <v>1.0207900207900207</v>
      </c>
      <c r="P81" s="132">
        <f t="shared" si="47"/>
        <v>1.1499999999999999</v>
      </c>
      <c r="Q81" s="180">
        <f t="shared" si="60"/>
        <v>59478.494623655904</v>
      </c>
      <c r="R81" s="144">
        <f t="shared" si="64"/>
        <v>59490</v>
      </c>
      <c r="S81" s="179">
        <f>VLOOKUP($B81,'Выгр Торг'!$B:$Q,S$1,0)</f>
        <v>48100</v>
      </c>
      <c r="T81" s="179">
        <f>VLOOKUP($B81,'Выгр Торг'!$B:$Q,T$1,0)</f>
        <v>59490</v>
      </c>
      <c r="U81" s="94">
        <f t="shared" si="48"/>
        <v>0</v>
      </c>
      <c r="V81" s="94">
        <f t="shared" si="49"/>
        <v>0</v>
      </c>
      <c r="W81" s="182">
        <f t="shared" si="65"/>
        <v>55325.7</v>
      </c>
      <c r="X81" s="218">
        <f>IFERROR(VLOOKUP($B81,'Из ГУГЛа'!$B:$G,6,0)*Z81+Y81,VLOOKUP($B81,'Из ГУГЛа'!$B:$G,6,0))</f>
        <v>52290</v>
      </c>
      <c r="Y81" s="220">
        <f t="shared" si="61"/>
        <v>10800</v>
      </c>
      <c r="Z81" s="133">
        <v>1</v>
      </c>
      <c r="AA81" s="133">
        <v>1300</v>
      </c>
      <c r="AB81" s="184">
        <f t="shared" si="66"/>
        <v>0.1502224532224532</v>
      </c>
      <c r="AC81" s="184">
        <f t="shared" si="67"/>
        <v>-5.8055077452667761E-2</v>
      </c>
      <c r="AD81" s="184">
        <f t="shared" si="68"/>
        <v>8.7110187110187143E-2</v>
      </c>
      <c r="AE81" s="222">
        <v>52290</v>
      </c>
      <c r="AF81" s="98" t="s">
        <v>617</v>
      </c>
      <c r="AH81" s="98" t="s">
        <v>128</v>
      </c>
    </row>
    <row r="82" spans="1:34" ht="46.5" thickTop="1" thickBot="1">
      <c r="A82" s="176" t="str">
        <f>INDEX('Выгр Торг'!$A:$A,MATCH($B82,'Выгр Торг'!$B:$B,0))</f>
        <v>Руль анатомический "Ferrum" Grand Sport с обогревом для Лада Ларгус FL, Веста, XRAY</v>
      </c>
      <c r="B82" s="178">
        <v>341564</v>
      </c>
      <c r="C82" s="179">
        <f>VLOOKUP($B82,'Выгр Торг'!$B:$Q,C$1,0)</f>
        <v>341564</v>
      </c>
      <c r="D82" s="189" t="s">
        <v>128</v>
      </c>
      <c r="E82" s="176" t="str">
        <f>VLOOKUP($B82,'Выгр Торг'!$B:$Q,E$1,0)</f>
        <v>Руль анатомический "Ferrum" Grand Sport с обогревом для Лада Ларгус FL, Веста, XRAY (Фиолетовая нить, Чёрный мат)</v>
      </c>
      <c r="F82" s="179" t="str">
        <f>VLOOKUP($B82,'Выгр Торг'!$B:$Q,F$1,0)</f>
        <v>Y</v>
      </c>
      <c r="G82" s="179" t="str">
        <f>VLOOKUP($B82,'Выгр Торг'!$B:$Q,G$1,0)</f>
        <v>1</v>
      </c>
      <c r="H82" s="177">
        <v>166769</v>
      </c>
      <c r="I82" s="156"/>
      <c r="J82" s="160">
        <v>830</v>
      </c>
      <c r="K82" s="161">
        <v>870</v>
      </c>
      <c r="L82" s="180">
        <f t="shared" si="62"/>
        <v>48100</v>
      </c>
      <c r="M82" s="180">
        <f t="shared" si="58"/>
        <v>49100</v>
      </c>
      <c r="N82" s="180">
        <f t="shared" si="59"/>
        <v>42100</v>
      </c>
      <c r="O82" s="107">
        <f t="shared" si="63"/>
        <v>1.0207900207900207</v>
      </c>
      <c r="P82" s="132">
        <f t="shared" si="47"/>
        <v>1.1499999999999999</v>
      </c>
      <c r="Q82" s="180">
        <f t="shared" si="60"/>
        <v>59478.494623655904</v>
      </c>
      <c r="R82" s="144">
        <f t="shared" si="64"/>
        <v>59490</v>
      </c>
      <c r="S82" s="179">
        <f>VLOOKUP($B82,'Выгр Торг'!$B:$Q,S$1,0)</f>
        <v>48100</v>
      </c>
      <c r="T82" s="179">
        <f>VLOOKUP($B82,'Выгр Торг'!$B:$Q,T$1,0)</f>
        <v>59490</v>
      </c>
      <c r="U82" s="94">
        <f t="shared" si="48"/>
        <v>0</v>
      </c>
      <c r="V82" s="94">
        <f t="shared" si="49"/>
        <v>0</v>
      </c>
      <c r="W82" s="182">
        <f t="shared" si="65"/>
        <v>55325.7</v>
      </c>
      <c r="X82" s="218">
        <f>IFERROR(VLOOKUP($B82,'Из ГУГЛа'!$B:$G,6,0)*Z82+Y82,VLOOKUP($B82,'Из ГУГЛа'!$B:$G,6,0))</f>
        <v>52290</v>
      </c>
      <c r="Y82" s="220">
        <f t="shared" si="61"/>
        <v>10800</v>
      </c>
      <c r="Z82" s="133">
        <v>1</v>
      </c>
      <c r="AA82" s="133">
        <v>1300</v>
      </c>
      <c r="AB82" s="184">
        <f t="shared" si="66"/>
        <v>0.1502224532224532</v>
      </c>
      <c r="AC82" s="184">
        <f t="shared" si="67"/>
        <v>-5.8055077452667761E-2</v>
      </c>
      <c r="AD82" s="184">
        <f t="shared" si="68"/>
        <v>8.7110187110187143E-2</v>
      </c>
      <c r="AE82" s="222">
        <v>52290</v>
      </c>
      <c r="AF82" s="98" t="s">
        <v>617</v>
      </c>
      <c r="AH82" s="98" t="s">
        <v>128</v>
      </c>
    </row>
    <row r="83" spans="1:34" ht="46.5" thickTop="1" thickBot="1">
      <c r="A83" s="176" t="str">
        <f>INDEX('Выгр Торг'!$A:$A,MATCH($B83,'Выгр Торг'!$B:$B,0))</f>
        <v>Руль анатомический "Ferrum" Grand Sport с обогревом для Лада Ларгус FL, Веста, XRAY</v>
      </c>
      <c r="B83" s="178">
        <v>132491</v>
      </c>
      <c r="C83" s="179">
        <f>VLOOKUP($B83,'Выгр Торг'!$B:$Q,C$1,0)</f>
        <v>166781</v>
      </c>
      <c r="D83" s="189" t="s">
        <v>128</v>
      </c>
      <c r="E83" s="176" t="str">
        <f>VLOOKUP($B83,'Выгр Торг'!$B:$Q,E$1,0)</f>
        <v>Руль анатомический "Ferrum" Grand Sport с обогревом для Лада Ларгус FL, Веста, XRAY (Жёлтая нить, Чёрный глянец)</v>
      </c>
      <c r="F83" s="179" t="str">
        <f>VLOOKUP($B83,'Выгр Торг'!$B:$Q,F$1,0)</f>
        <v>Y</v>
      </c>
      <c r="G83" s="179" t="str">
        <f>VLOOKUP($B83,'Выгр Торг'!$B:$Q,G$1,0)</f>
        <v>1</v>
      </c>
      <c r="H83" s="177">
        <v>166769</v>
      </c>
      <c r="I83" s="156"/>
      <c r="J83" s="160"/>
      <c r="K83" s="161">
        <v>870</v>
      </c>
      <c r="L83" s="180">
        <f t="shared" si="62"/>
        <v>47270</v>
      </c>
      <c r="M83" s="180">
        <f t="shared" si="58"/>
        <v>48270</v>
      </c>
      <c r="N83" s="180">
        <f t="shared" si="59"/>
        <v>41270</v>
      </c>
      <c r="O83" s="107">
        <f t="shared" si="63"/>
        <v>1.0211550666384599</v>
      </c>
      <c r="P83" s="132">
        <f t="shared" si="47"/>
        <v>1.1499999999999999</v>
      </c>
      <c r="Q83" s="180">
        <f t="shared" si="60"/>
        <v>58452.150537634399</v>
      </c>
      <c r="R83" s="144">
        <f t="shared" si="64"/>
        <v>58490</v>
      </c>
      <c r="S83" s="179">
        <f>VLOOKUP($B83,'Выгр Торг'!$B:$Q,S$1,0)</f>
        <v>47270</v>
      </c>
      <c r="T83" s="179">
        <f>VLOOKUP($B83,'Выгр Торг'!$B:$Q,T$1,0)</f>
        <v>58490</v>
      </c>
      <c r="U83" s="94">
        <f t="shared" si="48"/>
        <v>0</v>
      </c>
      <c r="V83" s="94">
        <f t="shared" si="49"/>
        <v>0</v>
      </c>
      <c r="W83" s="182">
        <f t="shared" si="65"/>
        <v>54395.7</v>
      </c>
      <c r="X83" s="218">
        <f>IFERROR(VLOOKUP($B83,'Из ГУГЛа'!$B:$G,6,0)*Z83+Y83,VLOOKUP($B83,'Из ГУГЛа'!$B:$G,6,0))</f>
        <v>51460</v>
      </c>
      <c r="Y83" s="220">
        <f t="shared" si="61"/>
        <v>9970</v>
      </c>
      <c r="Z83" s="133">
        <v>1</v>
      </c>
      <c r="AA83" s="133"/>
      <c r="AB83" s="184">
        <f t="shared" si="66"/>
        <v>0.15074465834567374</v>
      </c>
      <c r="AC83" s="184">
        <f t="shared" si="67"/>
        <v>-5.7048192771084277E-2</v>
      </c>
      <c r="AD83" s="184">
        <f t="shared" si="68"/>
        <v>8.8639729215147067E-2</v>
      </c>
      <c r="AE83" s="222">
        <v>51460</v>
      </c>
      <c r="AF83" s="98" t="s">
        <v>617</v>
      </c>
      <c r="AH83" s="98" t="s">
        <v>128</v>
      </c>
    </row>
    <row r="84" spans="1:34" ht="46.5" thickTop="1" thickBot="1">
      <c r="A84" s="125" t="str">
        <f>INDEX('Выгр Торг'!$A:$A,MATCH($B84,'Выгр Торг'!$B:$B,0))</f>
        <v>Руль анатомический "Ferrum" Grand Sport с обогревом для Лада Ларгус FL, Веста, XRAY</v>
      </c>
      <c r="B84" s="126">
        <v>132492</v>
      </c>
      <c r="C84" s="127">
        <f>VLOOKUP($B84,'Выгр Торг'!$B:$Q,C$1,0)</f>
        <v>166785</v>
      </c>
      <c r="D84" s="128" t="s">
        <v>128</v>
      </c>
      <c r="E84" s="125" t="str">
        <f>VLOOKUP($B84,'Выгр Торг'!$B:$Q,E$1,0)</f>
        <v>Руль анатомический "Ferrum" Grand Sport с обогревом для Лада Ларгус FL, Веста, XRAY (Зелёная нить, Чёрный глянец)</v>
      </c>
      <c r="F84" s="127" t="str">
        <f>VLOOKUP($B84,'Выгр Торг'!$B:$Q,F$1,0)</f>
        <v>Y</v>
      </c>
      <c r="G84" s="127" t="str">
        <f>VLOOKUP($B84,'Выгр Торг'!$B:$Q,G$1,0)</f>
        <v>1</v>
      </c>
      <c r="H84" s="40">
        <v>166769</v>
      </c>
      <c r="I84" s="156"/>
      <c r="J84" s="160"/>
      <c r="K84" s="161">
        <v>870</v>
      </c>
      <c r="L84" s="130">
        <f t="shared" ref="L84:L94" si="69">M84-1000</f>
        <v>47270</v>
      </c>
      <c r="M84" s="130">
        <f t="shared" si="58"/>
        <v>48270</v>
      </c>
      <c r="N84" s="130">
        <f t="shared" si="59"/>
        <v>41270</v>
      </c>
      <c r="O84" s="132">
        <f t="shared" si="54"/>
        <v>1.0211550666384599</v>
      </c>
      <c r="P84" s="132">
        <f t="shared" si="47"/>
        <v>1.1499999999999999</v>
      </c>
      <c r="Q84" s="130">
        <f t="shared" si="60"/>
        <v>58452.150537634399</v>
      </c>
      <c r="R84" s="148">
        <f t="shared" si="56"/>
        <v>58490</v>
      </c>
      <c r="S84" s="127">
        <f>VLOOKUP($B84,'Выгр Торг'!$B:$Q,S$1,0)</f>
        <v>47270</v>
      </c>
      <c r="T84" s="127">
        <f>VLOOKUP($B84,'Выгр Торг'!$B:$Q,T$1,0)</f>
        <v>58490</v>
      </c>
      <c r="U84" s="94">
        <f t="shared" si="48"/>
        <v>0</v>
      </c>
      <c r="V84" s="94">
        <f t="shared" si="49"/>
        <v>0</v>
      </c>
      <c r="W84" s="153">
        <f t="shared" si="57"/>
        <v>54395.7</v>
      </c>
      <c r="X84" s="209">
        <f>IFERROR(VLOOKUP($B84,'Из ГУГЛа'!$B:$G,6,0)*Z84+Y84,VLOOKUP($B84,'Из ГУГЛа'!$B:$G,6,0))</f>
        <v>51460</v>
      </c>
      <c r="Y84" s="220">
        <f t="shared" si="61"/>
        <v>9970</v>
      </c>
      <c r="Z84" s="133">
        <v>1</v>
      </c>
      <c r="AA84" s="134"/>
      <c r="AB84" s="135">
        <f t="shared" si="50"/>
        <v>0.15074465834567374</v>
      </c>
      <c r="AC84" s="135">
        <f t="shared" si="51"/>
        <v>-5.7048192771084277E-2</v>
      </c>
      <c r="AD84" s="135">
        <f t="shared" si="52"/>
        <v>8.8639729215147067E-2</v>
      </c>
      <c r="AE84" s="222">
        <v>51460</v>
      </c>
      <c r="AF84" s="98" t="s">
        <v>617</v>
      </c>
      <c r="AH84" s="98" t="s">
        <v>128</v>
      </c>
    </row>
    <row r="85" spans="1:34" ht="46.5" thickTop="1" thickBot="1">
      <c r="A85" s="125" t="str">
        <f>INDEX('Выгр Торг'!$A:$A,MATCH($B85,'Выгр Торг'!$B:$B,0))</f>
        <v>Руль анатомический "Ferrum" Grand Sport с обогревом для Лада Ларгус FL, Веста, XRAY</v>
      </c>
      <c r="B85" s="126">
        <v>132493</v>
      </c>
      <c r="C85" s="127">
        <f>VLOOKUP($B85,'Выгр Торг'!$B:$Q,C$1,0)</f>
        <v>166777</v>
      </c>
      <c r="D85" s="128" t="s">
        <v>128</v>
      </c>
      <c r="E85" s="125" t="str">
        <f>VLOOKUP($B85,'Выгр Торг'!$B:$Q,E$1,0)</f>
        <v>Руль анатомический "Ferrum" Grand Sport с обогревом для Лада Ларгус FL, Веста, XRAY (Коричневая нить, Чёрный глянец)</v>
      </c>
      <c r="F85" s="127" t="str">
        <f>VLOOKUP($B85,'Выгр Торг'!$B:$Q,F$1,0)</f>
        <v>Y</v>
      </c>
      <c r="G85" s="127" t="str">
        <f>VLOOKUP($B85,'Выгр Торг'!$B:$Q,G$1,0)</f>
        <v>1</v>
      </c>
      <c r="H85" s="40">
        <v>166769</v>
      </c>
      <c r="I85" s="156"/>
      <c r="J85" s="160"/>
      <c r="K85" s="161">
        <v>870</v>
      </c>
      <c r="L85" s="130">
        <f t="shared" si="69"/>
        <v>47270</v>
      </c>
      <c r="M85" s="130">
        <f t="shared" si="58"/>
        <v>48270</v>
      </c>
      <c r="N85" s="130">
        <f t="shared" si="59"/>
        <v>41270</v>
      </c>
      <c r="O85" s="132">
        <f t="shared" si="54"/>
        <v>1.0211550666384599</v>
      </c>
      <c r="P85" s="132">
        <f t="shared" si="47"/>
        <v>1.1499999999999999</v>
      </c>
      <c r="Q85" s="130">
        <f t="shared" si="60"/>
        <v>58452.150537634399</v>
      </c>
      <c r="R85" s="148">
        <f t="shared" si="56"/>
        <v>58490</v>
      </c>
      <c r="S85" s="127">
        <f>VLOOKUP($B85,'Выгр Торг'!$B:$Q,S$1,0)</f>
        <v>47270</v>
      </c>
      <c r="T85" s="127">
        <f>VLOOKUP($B85,'Выгр Торг'!$B:$Q,T$1,0)</f>
        <v>58490</v>
      </c>
      <c r="U85" s="94">
        <f t="shared" si="48"/>
        <v>0</v>
      </c>
      <c r="V85" s="94">
        <f t="shared" si="49"/>
        <v>0</v>
      </c>
      <c r="W85" s="153">
        <f t="shared" si="57"/>
        <v>54395.7</v>
      </c>
      <c r="X85" s="209">
        <f>IFERROR(VLOOKUP($B85,'Из ГУГЛа'!$B:$G,6,0)*Z85+Y85,VLOOKUP($B85,'Из ГУГЛа'!$B:$G,6,0))</f>
        <v>51460</v>
      </c>
      <c r="Y85" s="220">
        <f t="shared" si="61"/>
        <v>9970</v>
      </c>
      <c r="Z85" s="133">
        <v>1</v>
      </c>
      <c r="AA85" s="134"/>
      <c r="AB85" s="135">
        <f t="shared" si="50"/>
        <v>0.15074465834567374</v>
      </c>
      <c r="AC85" s="135">
        <f t="shared" si="51"/>
        <v>-5.7048192771084277E-2</v>
      </c>
      <c r="AD85" s="135">
        <f t="shared" si="52"/>
        <v>8.8639729215147067E-2</v>
      </c>
      <c r="AE85" s="222">
        <v>51460</v>
      </c>
      <c r="AF85" s="98" t="s">
        <v>617</v>
      </c>
      <c r="AH85" s="98" t="s">
        <v>128</v>
      </c>
    </row>
    <row r="86" spans="1:34" ht="46.5" thickTop="1" thickBot="1">
      <c r="A86" s="125" t="str">
        <f>INDEX('Выгр Торг'!$A:$A,MATCH($B86,'Выгр Торг'!$B:$B,0))</f>
        <v>Руль анатомический "Ferrum" Grand Sport с обогревом для Лада Ларгус FL, Веста, XRAY</v>
      </c>
      <c r="B86" s="126">
        <v>132494</v>
      </c>
      <c r="C86" s="127">
        <f>VLOOKUP($B86,'Выгр Торг'!$B:$Q,C$1,0)</f>
        <v>166784</v>
      </c>
      <c r="D86" s="128" t="s">
        <v>128</v>
      </c>
      <c r="E86" s="125" t="str">
        <f>VLOOKUP($B86,'Выгр Торг'!$B:$Q,E$1,0)</f>
        <v>Руль анатомический "Ferrum" Grand Sport с обогревом для Лада Ларгус FL, Веста, XRAY (Красная нить, Чёрный глянец)</v>
      </c>
      <c r="F86" s="127" t="str">
        <f>VLOOKUP($B86,'Выгр Торг'!$B:$Q,F$1,0)</f>
        <v>Y</v>
      </c>
      <c r="G86" s="127" t="str">
        <f>VLOOKUP($B86,'Выгр Торг'!$B:$Q,G$1,0)</f>
        <v>1</v>
      </c>
      <c r="H86" s="40">
        <v>166769</v>
      </c>
      <c r="I86" s="156"/>
      <c r="J86" s="160"/>
      <c r="K86" s="161">
        <v>870</v>
      </c>
      <c r="L86" s="130">
        <f t="shared" si="69"/>
        <v>47270</v>
      </c>
      <c r="M86" s="130">
        <f t="shared" si="58"/>
        <v>48270</v>
      </c>
      <c r="N86" s="130">
        <f t="shared" si="59"/>
        <v>41270</v>
      </c>
      <c r="O86" s="132">
        <f t="shared" si="54"/>
        <v>1.0211550666384599</v>
      </c>
      <c r="P86" s="132">
        <f t="shared" si="47"/>
        <v>1.1499999999999999</v>
      </c>
      <c r="Q86" s="130">
        <f t="shared" si="60"/>
        <v>58452.150537634399</v>
      </c>
      <c r="R86" s="148">
        <f t="shared" si="56"/>
        <v>58490</v>
      </c>
      <c r="S86" s="127">
        <f>VLOOKUP($B86,'Выгр Торг'!$B:$Q,S$1,0)</f>
        <v>47270</v>
      </c>
      <c r="T86" s="127">
        <f>VLOOKUP($B86,'Выгр Торг'!$B:$Q,T$1,0)</f>
        <v>58490</v>
      </c>
      <c r="U86" s="94">
        <f t="shared" si="48"/>
        <v>0</v>
      </c>
      <c r="V86" s="94">
        <f t="shared" si="49"/>
        <v>0</v>
      </c>
      <c r="W86" s="153">
        <f t="shared" si="57"/>
        <v>54395.7</v>
      </c>
      <c r="X86" s="209">
        <f>IFERROR(VLOOKUP($B86,'Из ГУГЛа'!$B:$G,6,0)*Z86+Y86,VLOOKUP($B86,'Из ГУГЛа'!$B:$G,6,0))</f>
        <v>51460</v>
      </c>
      <c r="Y86" s="220">
        <f t="shared" si="61"/>
        <v>9970</v>
      </c>
      <c r="Z86" s="133">
        <v>1</v>
      </c>
      <c r="AA86" s="134"/>
      <c r="AB86" s="135">
        <f t="shared" si="50"/>
        <v>0.15074465834567374</v>
      </c>
      <c r="AC86" s="135">
        <f t="shared" si="51"/>
        <v>-5.7048192771084277E-2</v>
      </c>
      <c r="AD86" s="135">
        <f t="shared" si="52"/>
        <v>8.8639729215147067E-2</v>
      </c>
      <c r="AE86" s="222">
        <v>51460</v>
      </c>
      <c r="AF86" s="98" t="s">
        <v>617</v>
      </c>
      <c r="AH86" s="98" t="s">
        <v>128</v>
      </c>
    </row>
    <row r="87" spans="1:34" ht="46.5" thickTop="1" thickBot="1">
      <c r="A87" s="125" t="str">
        <f>INDEX('Выгр Торг'!$A:$A,MATCH($B87,'Выгр Торг'!$B:$B,0))</f>
        <v>Руль анатомический "Ferrum" Grand Sport с обогревом для Лада Ларгус FL, Веста, XRAY</v>
      </c>
      <c r="B87" s="126">
        <v>132495</v>
      </c>
      <c r="C87" s="127">
        <f>VLOOKUP($B87,'Выгр Торг'!$B:$Q,C$1,0)</f>
        <v>166780</v>
      </c>
      <c r="D87" s="128" t="s">
        <v>128</v>
      </c>
      <c r="E87" s="125" t="str">
        <f>VLOOKUP($B87,'Выгр Торг'!$B:$Q,E$1,0)</f>
        <v>Руль анатомический "Ferrum" Grand Sport с обогревом для Лада Ларгус FL, Веста, XRAY (Оранжевая нить, Чёрный глянец)</v>
      </c>
      <c r="F87" s="127" t="str">
        <f>VLOOKUP($B87,'Выгр Торг'!$B:$Q,F$1,0)</f>
        <v>Y</v>
      </c>
      <c r="G87" s="127" t="str">
        <f>VLOOKUP($B87,'Выгр Торг'!$B:$Q,G$1,0)</f>
        <v>1</v>
      </c>
      <c r="H87" s="40">
        <v>166769</v>
      </c>
      <c r="I87" s="156"/>
      <c r="J87" s="160"/>
      <c r="K87" s="161">
        <v>870</v>
      </c>
      <c r="L87" s="130">
        <f t="shared" si="69"/>
        <v>47270</v>
      </c>
      <c r="M87" s="130">
        <f t="shared" si="58"/>
        <v>48270</v>
      </c>
      <c r="N87" s="130">
        <f t="shared" si="59"/>
        <v>41270</v>
      </c>
      <c r="O87" s="132">
        <f t="shared" si="54"/>
        <v>1.0211550666384599</v>
      </c>
      <c r="P87" s="132">
        <f t="shared" si="47"/>
        <v>1.1499999999999999</v>
      </c>
      <c r="Q87" s="130">
        <f t="shared" si="60"/>
        <v>58452.150537634399</v>
      </c>
      <c r="R87" s="148">
        <f t="shared" si="56"/>
        <v>58490</v>
      </c>
      <c r="S87" s="127">
        <f>VLOOKUP($B87,'Выгр Торг'!$B:$Q,S$1,0)</f>
        <v>47270</v>
      </c>
      <c r="T87" s="127">
        <f>VLOOKUP($B87,'Выгр Торг'!$B:$Q,T$1,0)</f>
        <v>58490</v>
      </c>
      <c r="U87" s="94">
        <f t="shared" si="48"/>
        <v>0</v>
      </c>
      <c r="V87" s="94">
        <f t="shared" si="49"/>
        <v>0</v>
      </c>
      <c r="W87" s="153">
        <f t="shared" si="57"/>
        <v>54395.7</v>
      </c>
      <c r="X87" s="209">
        <f>IFERROR(VLOOKUP($B87,'Из ГУГЛа'!$B:$G,6,0)*Z87+Y87,VLOOKUP($B87,'Из ГУГЛа'!$B:$G,6,0))</f>
        <v>51460</v>
      </c>
      <c r="Y87" s="220">
        <f t="shared" si="61"/>
        <v>9970</v>
      </c>
      <c r="Z87" s="133">
        <v>1</v>
      </c>
      <c r="AA87" s="134"/>
      <c r="AB87" s="135">
        <f t="shared" si="50"/>
        <v>0.15074465834567374</v>
      </c>
      <c r="AC87" s="135">
        <f t="shared" si="51"/>
        <v>-5.7048192771084277E-2</v>
      </c>
      <c r="AD87" s="135">
        <f t="shared" si="52"/>
        <v>8.8639729215147067E-2</v>
      </c>
      <c r="AE87" s="222">
        <v>51460</v>
      </c>
      <c r="AF87" s="98" t="s">
        <v>617</v>
      </c>
      <c r="AH87" s="98" t="s">
        <v>128</v>
      </c>
    </row>
    <row r="88" spans="1:34" ht="46.5" thickTop="1" thickBot="1">
      <c r="A88" s="125" t="str">
        <f>INDEX('Выгр Торг'!$A:$A,MATCH($B88,'Выгр Торг'!$B:$B,0))</f>
        <v>Руль анатомический "Ferrum" Grand Sport с обогревом для Лада Ларгус FL, Веста, XRAY</v>
      </c>
      <c r="B88" s="126">
        <v>132496</v>
      </c>
      <c r="C88" s="127">
        <f>VLOOKUP($B88,'Выгр Торг'!$B:$Q,C$1,0)</f>
        <v>166782</v>
      </c>
      <c r="D88" s="128" t="s">
        <v>128</v>
      </c>
      <c r="E88" s="125" t="str">
        <f>VLOOKUP($B88,'Выгр Торг'!$B:$Q,E$1,0)</f>
        <v>Руль анатомический "Ferrum" Grand Sport с обогревом для Лада Ларгус FL, Веста, XRAY (Салатовая нить, Чёрный глянец)</v>
      </c>
      <c r="F88" s="127" t="str">
        <f>VLOOKUP($B88,'Выгр Торг'!$B:$Q,F$1,0)</f>
        <v>Y</v>
      </c>
      <c r="G88" s="127" t="str">
        <f>VLOOKUP($B88,'Выгр Торг'!$B:$Q,G$1,0)</f>
        <v>1</v>
      </c>
      <c r="H88" s="40">
        <v>166769</v>
      </c>
      <c r="I88" s="156"/>
      <c r="J88" s="160"/>
      <c r="K88" s="161">
        <v>870</v>
      </c>
      <c r="L88" s="130">
        <f t="shared" si="69"/>
        <v>47270</v>
      </c>
      <c r="M88" s="130">
        <f t="shared" si="58"/>
        <v>48270</v>
      </c>
      <c r="N88" s="130">
        <f t="shared" si="59"/>
        <v>41270</v>
      </c>
      <c r="O88" s="132">
        <f t="shared" si="54"/>
        <v>1.0211550666384599</v>
      </c>
      <c r="P88" s="132">
        <f t="shared" si="47"/>
        <v>1.1499999999999999</v>
      </c>
      <c r="Q88" s="130">
        <f t="shared" si="60"/>
        <v>58452.150537634399</v>
      </c>
      <c r="R88" s="148">
        <f t="shared" si="56"/>
        <v>58490</v>
      </c>
      <c r="S88" s="127">
        <f>VLOOKUP($B88,'Выгр Торг'!$B:$Q,S$1,0)</f>
        <v>47270</v>
      </c>
      <c r="T88" s="127">
        <f>VLOOKUP($B88,'Выгр Торг'!$B:$Q,T$1,0)</f>
        <v>58490</v>
      </c>
      <c r="U88" s="94">
        <f t="shared" si="48"/>
        <v>0</v>
      </c>
      <c r="V88" s="94">
        <f t="shared" si="49"/>
        <v>0</v>
      </c>
      <c r="W88" s="153">
        <f t="shared" si="57"/>
        <v>54395.7</v>
      </c>
      <c r="X88" s="209">
        <f>IFERROR(VLOOKUP($B88,'Из ГУГЛа'!$B:$G,6,0)*Z88+Y88,VLOOKUP($B88,'Из ГУГЛа'!$B:$G,6,0))</f>
        <v>51460</v>
      </c>
      <c r="Y88" s="220">
        <f t="shared" si="61"/>
        <v>9970</v>
      </c>
      <c r="Z88" s="133">
        <v>1</v>
      </c>
      <c r="AA88" s="134"/>
      <c r="AB88" s="135">
        <f t="shared" si="50"/>
        <v>0.15074465834567374</v>
      </c>
      <c r="AC88" s="135">
        <f t="shared" si="51"/>
        <v>-5.7048192771084277E-2</v>
      </c>
      <c r="AD88" s="135">
        <f t="shared" si="52"/>
        <v>8.8639729215147067E-2</v>
      </c>
      <c r="AE88" s="222">
        <v>51460</v>
      </c>
      <c r="AF88" s="98" t="s">
        <v>617</v>
      </c>
      <c r="AH88" s="98" t="s">
        <v>128</v>
      </c>
    </row>
    <row r="89" spans="1:34" ht="46.5" thickTop="1" thickBot="1">
      <c r="A89" s="125" t="str">
        <f>INDEX('Выгр Торг'!$A:$A,MATCH($B89,'Выгр Торг'!$B:$B,0))</f>
        <v>Руль анатомический "Ferrum" Grand Sport с обогревом для Лада Ларгус FL, Веста, XRAY</v>
      </c>
      <c r="B89" s="126">
        <v>132497</v>
      </c>
      <c r="C89" s="127">
        <f>VLOOKUP($B89,'Выгр Торг'!$B:$Q,C$1,0)</f>
        <v>166783</v>
      </c>
      <c r="D89" s="128" t="s">
        <v>128</v>
      </c>
      <c r="E89" s="125" t="str">
        <f>VLOOKUP($B89,'Выгр Торг'!$B:$Q,E$1,0)</f>
        <v>Руль анатомический "Ferrum" Grand Sport с обогревом для Лада Ларгус FL, Веста, XRAY (Светло-серая нить, Чёрный глянец)</v>
      </c>
      <c r="F89" s="127" t="str">
        <f>VLOOKUP($B89,'Выгр Торг'!$B:$Q,F$1,0)</f>
        <v>Y</v>
      </c>
      <c r="G89" s="127" t="str">
        <f>VLOOKUP($B89,'Выгр Торг'!$B:$Q,G$1,0)</f>
        <v>1</v>
      </c>
      <c r="H89" s="40">
        <v>166769</v>
      </c>
      <c r="I89" s="156"/>
      <c r="J89" s="160"/>
      <c r="K89" s="161">
        <v>870</v>
      </c>
      <c r="L89" s="130">
        <f t="shared" si="69"/>
        <v>47270</v>
      </c>
      <c r="M89" s="130">
        <f t="shared" si="58"/>
        <v>48270</v>
      </c>
      <c r="N89" s="130">
        <f t="shared" si="59"/>
        <v>41270</v>
      </c>
      <c r="O89" s="132">
        <f t="shared" si="54"/>
        <v>1.0211550666384599</v>
      </c>
      <c r="P89" s="132">
        <f t="shared" si="47"/>
        <v>1.1499999999999999</v>
      </c>
      <c r="Q89" s="130">
        <f t="shared" si="60"/>
        <v>58452.150537634399</v>
      </c>
      <c r="R89" s="148">
        <f t="shared" si="56"/>
        <v>58490</v>
      </c>
      <c r="S89" s="127">
        <f>VLOOKUP($B89,'Выгр Торг'!$B:$Q,S$1,0)</f>
        <v>47270</v>
      </c>
      <c r="T89" s="127">
        <f>VLOOKUP($B89,'Выгр Торг'!$B:$Q,T$1,0)</f>
        <v>58490</v>
      </c>
      <c r="U89" s="94">
        <f t="shared" si="48"/>
        <v>0</v>
      </c>
      <c r="V89" s="94">
        <f t="shared" si="49"/>
        <v>0</v>
      </c>
      <c r="W89" s="153">
        <f t="shared" si="57"/>
        <v>54395.7</v>
      </c>
      <c r="X89" s="209">
        <f>IFERROR(VLOOKUP($B89,'Из ГУГЛа'!$B:$G,6,0)*Z89+Y89,VLOOKUP($B89,'Из ГУГЛа'!$B:$G,6,0))</f>
        <v>51460</v>
      </c>
      <c r="Y89" s="220">
        <f t="shared" si="61"/>
        <v>9970</v>
      </c>
      <c r="Z89" s="133">
        <v>1</v>
      </c>
      <c r="AA89" s="134"/>
      <c r="AB89" s="135">
        <f t="shared" si="50"/>
        <v>0.15074465834567374</v>
      </c>
      <c r="AC89" s="135">
        <f t="shared" si="51"/>
        <v>-5.7048192771084277E-2</v>
      </c>
      <c r="AD89" s="135">
        <f t="shared" si="52"/>
        <v>8.8639729215147067E-2</v>
      </c>
      <c r="AE89" s="222">
        <v>51460</v>
      </c>
      <c r="AF89" s="98" t="s">
        <v>617</v>
      </c>
      <c r="AH89" s="98" t="s">
        <v>128</v>
      </c>
    </row>
    <row r="90" spans="1:34" ht="46.5" thickTop="1" thickBot="1">
      <c r="A90" s="125" t="str">
        <f>INDEX('Выгр Торг'!$A:$A,MATCH($B90,'Выгр Торг'!$B:$B,0))</f>
        <v>Руль анатомический "Ferrum" Grand Sport с обогревом для Лада Ларгус FL, Веста, XRAY</v>
      </c>
      <c r="B90" s="126">
        <v>132498</v>
      </c>
      <c r="C90" s="127">
        <f>VLOOKUP($B90,'Выгр Торг'!$B:$Q,C$1,0)</f>
        <v>166779</v>
      </c>
      <c r="D90" s="128" t="s">
        <v>128</v>
      </c>
      <c r="E90" s="125" t="str">
        <f>VLOOKUP($B90,'Выгр Торг'!$B:$Q,E$1,0)</f>
        <v>Руль анатомический "Ferrum" Grand Sport с обогревом для Лада Ларгус FL, Веста, XRAY (Сине-зелёная нить, Чёрный глянец)</v>
      </c>
      <c r="F90" s="127" t="str">
        <f>VLOOKUP($B90,'Выгр Торг'!$B:$Q,F$1,0)</f>
        <v>Y</v>
      </c>
      <c r="G90" s="127" t="str">
        <f>VLOOKUP($B90,'Выгр Торг'!$B:$Q,G$1,0)</f>
        <v>1</v>
      </c>
      <c r="H90" s="40">
        <v>166769</v>
      </c>
      <c r="I90" s="156"/>
      <c r="J90" s="160"/>
      <c r="K90" s="161">
        <v>870</v>
      </c>
      <c r="L90" s="130">
        <f t="shared" si="69"/>
        <v>47270</v>
      </c>
      <c r="M90" s="130">
        <f t="shared" si="58"/>
        <v>48270</v>
      </c>
      <c r="N90" s="130">
        <f t="shared" si="59"/>
        <v>41270</v>
      </c>
      <c r="O90" s="132">
        <f t="shared" si="54"/>
        <v>1.0211550666384599</v>
      </c>
      <c r="P90" s="132">
        <f t="shared" si="47"/>
        <v>1.1499999999999999</v>
      </c>
      <c r="Q90" s="130">
        <f t="shared" si="60"/>
        <v>58452.150537634399</v>
      </c>
      <c r="R90" s="148">
        <f t="shared" si="56"/>
        <v>58490</v>
      </c>
      <c r="S90" s="127">
        <f>VLOOKUP($B90,'Выгр Торг'!$B:$Q,S$1,0)</f>
        <v>47270</v>
      </c>
      <c r="T90" s="127">
        <f>VLOOKUP($B90,'Выгр Торг'!$B:$Q,T$1,0)</f>
        <v>58490</v>
      </c>
      <c r="U90" s="94">
        <f t="shared" si="48"/>
        <v>0</v>
      </c>
      <c r="V90" s="94">
        <f t="shared" si="49"/>
        <v>0</v>
      </c>
      <c r="W90" s="153">
        <f t="shared" si="57"/>
        <v>54395.7</v>
      </c>
      <c r="X90" s="209">
        <f>IFERROR(VLOOKUP($B90,'Из ГУГЛа'!$B:$G,6,0)*Z90+Y90,VLOOKUP($B90,'Из ГУГЛа'!$B:$G,6,0))</f>
        <v>51460</v>
      </c>
      <c r="Y90" s="220">
        <f t="shared" si="61"/>
        <v>9970</v>
      </c>
      <c r="Z90" s="133">
        <v>1</v>
      </c>
      <c r="AA90" s="134"/>
      <c r="AB90" s="135">
        <f t="shared" si="50"/>
        <v>0.15074465834567374</v>
      </c>
      <c r="AC90" s="135">
        <f t="shared" si="51"/>
        <v>-5.7048192771084277E-2</v>
      </c>
      <c r="AD90" s="135">
        <f t="shared" si="52"/>
        <v>8.8639729215147067E-2</v>
      </c>
      <c r="AE90" s="222">
        <v>51460</v>
      </c>
      <c r="AF90" s="98" t="s">
        <v>617</v>
      </c>
      <c r="AH90" s="98" t="s">
        <v>128</v>
      </c>
    </row>
    <row r="91" spans="1:34" ht="46.5" thickTop="1" thickBot="1">
      <c r="A91" s="125" t="str">
        <f>INDEX('Выгр Торг'!$A:$A,MATCH($B91,'Выгр Торг'!$B:$B,0))</f>
        <v>Руль анатомический "Ferrum" Grand Sport с обогревом для Лада Ларгус FL, Веста, XRAY</v>
      </c>
      <c r="B91" s="126">
        <v>132499</v>
      </c>
      <c r="C91" s="127">
        <f>VLOOKUP($B91,'Выгр Торг'!$B:$Q,C$1,0)</f>
        <v>166778</v>
      </c>
      <c r="D91" s="128" t="s">
        <v>128</v>
      </c>
      <c r="E91" s="125" t="str">
        <f>VLOOKUP($B91,'Выгр Торг'!$B:$Q,E$1,0)</f>
        <v>Руль анатомический "Ferrum" Grand Sport с обогревом для Лада Ларгус FL, Веста, XRAY (Синяя нить, Чёрный глянец)</v>
      </c>
      <c r="F91" s="127" t="str">
        <f>VLOOKUP($B91,'Выгр Торг'!$B:$Q,F$1,0)</f>
        <v>Y</v>
      </c>
      <c r="G91" s="127" t="str">
        <f>VLOOKUP($B91,'Выгр Торг'!$B:$Q,G$1,0)</f>
        <v>1</v>
      </c>
      <c r="H91" s="40">
        <v>166769</v>
      </c>
      <c r="I91" s="156"/>
      <c r="J91" s="160"/>
      <c r="K91" s="161">
        <v>870</v>
      </c>
      <c r="L91" s="130">
        <f t="shared" si="69"/>
        <v>47270</v>
      </c>
      <c r="M91" s="130">
        <f t="shared" si="58"/>
        <v>48270</v>
      </c>
      <c r="N91" s="130">
        <f t="shared" si="59"/>
        <v>41270</v>
      </c>
      <c r="O91" s="132">
        <f t="shared" si="54"/>
        <v>1.0211550666384599</v>
      </c>
      <c r="P91" s="132">
        <f t="shared" si="47"/>
        <v>1.1499999999999999</v>
      </c>
      <c r="Q91" s="130">
        <f t="shared" si="60"/>
        <v>58452.150537634399</v>
      </c>
      <c r="R91" s="148">
        <f t="shared" si="56"/>
        <v>58490</v>
      </c>
      <c r="S91" s="127">
        <f>VLOOKUP($B91,'Выгр Торг'!$B:$Q,S$1,0)</f>
        <v>47270</v>
      </c>
      <c r="T91" s="127">
        <f>VLOOKUP($B91,'Выгр Торг'!$B:$Q,T$1,0)</f>
        <v>58490</v>
      </c>
      <c r="U91" s="94">
        <f t="shared" si="48"/>
        <v>0</v>
      </c>
      <c r="V91" s="94">
        <f t="shared" si="49"/>
        <v>0</v>
      </c>
      <c r="W91" s="153">
        <f t="shared" si="57"/>
        <v>54395.7</v>
      </c>
      <c r="X91" s="209">
        <f>IFERROR(VLOOKUP($B91,'Из ГУГЛа'!$B:$G,6,0)*Z91+Y91,VLOOKUP($B91,'Из ГУГЛа'!$B:$G,6,0))</f>
        <v>51460</v>
      </c>
      <c r="Y91" s="220">
        <f t="shared" si="61"/>
        <v>9970</v>
      </c>
      <c r="Z91" s="133">
        <v>1</v>
      </c>
      <c r="AA91" s="134"/>
      <c r="AB91" s="135">
        <f t="shared" si="50"/>
        <v>0.15074465834567374</v>
      </c>
      <c r="AC91" s="135">
        <f t="shared" si="51"/>
        <v>-5.7048192771084277E-2</v>
      </c>
      <c r="AD91" s="135">
        <f t="shared" si="52"/>
        <v>8.8639729215147067E-2</v>
      </c>
      <c r="AE91" s="222">
        <v>51460</v>
      </c>
      <c r="AF91" s="98" t="s">
        <v>617</v>
      </c>
      <c r="AH91" s="98" t="s">
        <v>128</v>
      </c>
    </row>
    <row r="92" spans="1:34" ht="46.5" thickTop="1" thickBot="1">
      <c r="A92" s="125" t="str">
        <f>INDEX('Выгр Торг'!$A:$A,MATCH($B92,'Выгр Торг'!$B:$B,0))</f>
        <v>Руль анатомический "Ferrum" Grand Sport с обогревом для Лада Ларгус FL, Веста, XRAY</v>
      </c>
      <c r="B92" s="126">
        <v>132500</v>
      </c>
      <c r="C92" s="127">
        <f>VLOOKUP($B92,'Выгр Торг'!$B:$Q,C$1,0)</f>
        <v>166776</v>
      </c>
      <c r="D92" s="128" t="s">
        <v>128</v>
      </c>
      <c r="E92" s="125" t="str">
        <f>VLOOKUP($B92,'Выгр Торг'!$B:$Q,E$1,0)</f>
        <v>Руль анатомический "Ferrum" Grand Sport с обогревом для Лада Ларгус FL, Веста, XRAY (Тёмно-серая нить, Чёрный глянец)</v>
      </c>
      <c r="F92" s="127" t="str">
        <f>VLOOKUP($B92,'Выгр Торг'!$B:$Q,F$1,0)</f>
        <v>Y</v>
      </c>
      <c r="G92" s="127" t="str">
        <f>VLOOKUP($B92,'Выгр Торг'!$B:$Q,G$1,0)</f>
        <v>1</v>
      </c>
      <c r="H92" s="40">
        <v>166769</v>
      </c>
      <c r="I92" s="156"/>
      <c r="J92" s="160"/>
      <c r="K92" s="161">
        <v>870</v>
      </c>
      <c r="L92" s="130">
        <f t="shared" si="69"/>
        <v>47270</v>
      </c>
      <c r="M92" s="130">
        <f t="shared" si="58"/>
        <v>48270</v>
      </c>
      <c r="N92" s="130">
        <f t="shared" si="59"/>
        <v>41270</v>
      </c>
      <c r="O92" s="132">
        <f t="shared" si="54"/>
        <v>1.0211550666384599</v>
      </c>
      <c r="P92" s="132">
        <f t="shared" si="47"/>
        <v>1.1499999999999999</v>
      </c>
      <c r="Q92" s="130">
        <f t="shared" si="60"/>
        <v>58452.150537634399</v>
      </c>
      <c r="R92" s="148">
        <f t="shared" si="56"/>
        <v>58490</v>
      </c>
      <c r="S92" s="127">
        <f>VLOOKUP($B92,'Выгр Торг'!$B:$Q,S$1,0)</f>
        <v>47270</v>
      </c>
      <c r="T92" s="127">
        <f>VLOOKUP($B92,'Выгр Торг'!$B:$Q,T$1,0)</f>
        <v>58490</v>
      </c>
      <c r="U92" s="94">
        <f t="shared" si="48"/>
        <v>0</v>
      </c>
      <c r="V92" s="94">
        <f t="shared" si="49"/>
        <v>0</v>
      </c>
      <c r="W92" s="153">
        <f t="shared" si="57"/>
        <v>54395.7</v>
      </c>
      <c r="X92" s="209">
        <f>IFERROR(VLOOKUP($B92,'Из ГУГЛа'!$B:$G,6,0)*Z92+Y92,VLOOKUP($B92,'Из ГУГЛа'!$B:$G,6,0))</f>
        <v>51460</v>
      </c>
      <c r="Y92" s="220">
        <f t="shared" si="61"/>
        <v>9970</v>
      </c>
      <c r="Z92" s="133">
        <v>1</v>
      </c>
      <c r="AA92" s="134"/>
      <c r="AB92" s="135">
        <f t="shared" si="50"/>
        <v>0.15074465834567374</v>
      </c>
      <c r="AC92" s="135">
        <f t="shared" si="51"/>
        <v>-5.7048192771084277E-2</v>
      </c>
      <c r="AD92" s="135">
        <f t="shared" si="52"/>
        <v>8.8639729215147067E-2</v>
      </c>
      <c r="AE92" s="222">
        <v>51460</v>
      </c>
      <c r="AF92" s="98" t="s">
        <v>617</v>
      </c>
      <c r="AH92" s="98" t="s">
        <v>128</v>
      </c>
    </row>
    <row r="93" spans="1:34" ht="46.5" thickTop="1" thickBot="1">
      <c r="A93" s="125" t="str">
        <f>INDEX('Выгр Торг'!$A:$A,MATCH($B93,'Выгр Торг'!$B:$B,0))</f>
        <v>Руль анатомический "Ferrum" Grand Sport с обогревом для Лада Ларгус FL, Веста, XRAY</v>
      </c>
      <c r="B93" s="126">
        <v>132501</v>
      </c>
      <c r="C93" s="127">
        <f>VLOOKUP($B93,'Выгр Торг'!$B:$Q,C$1,0)</f>
        <v>166775</v>
      </c>
      <c r="D93" s="128" t="s">
        <v>128</v>
      </c>
      <c r="E93" s="125" t="str">
        <f>VLOOKUP($B93,'Выгр Торг'!$B:$Q,E$1,0)</f>
        <v>Руль анатомический "Ferrum" Grand Sport с обогревом для Лада Ларгус FL, Веста, XRAY (Фиолетовая нить, Чёрный глянец)</v>
      </c>
      <c r="F93" s="127" t="str">
        <f>VLOOKUP($B93,'Выгр Торг'!$B:$Q,F$1,0)</f>
        <v>Y</v>
      </c>
      <c r="G93" s="127" t="str">
        <f>VLOOKUP($B93,'Выгр Торг'!$B:$Q,G$1,0)</f>
        <v>1</v>
      </c>
      <c r="H93" s="40">
        <v>166769</v>
      </c>
      <c r="I93" s="156"/>
      <c r="J93" s="160"/>
      <c r="K93" s="161">
        <v>870</v>
      </c>
      <c r="L93" s="130">
        <f t="shared" si="69"/>
        <v>47270</v>
      </c>
      <c r="M93" s="130">
        <f t="shared" si="58"/>
        <v>48270</v>
      </c>
      <c r="N93" s="130">
        <f t="shared" si="59"/>
        <v>41270</v>
      </c>
      <c r="O93" s="132">
        <f t="shared" si="54"/>
        <v>1.0211550666384599</v>
      </c>
      <c r="P93" s="132">
        <f t="shared" si="47"/>
        <v>1.1499999999999999</v>
      </c>
      <c r="Q93" s="130">
        <f t="shared" si="60"/>
        <v>58452.150537634399</v>
      </c>
      <c r="R93" s="148">
        <f t="shared" si="56"/>
        <v>58490</v>
      </c>
      <c r="S93" s="127">
        <f>VLOOKUP($B93,'Выгр Торг'!$B:$Q,S$1,0)</f>
        <v>47270</v>
      </c>
      <c r="T93" s="127">
        <f>VLOOKUP($B93,'Выгр Торг'!$B:$Q,T$1,0)</f>
        <v>58490</v>
      </c>
      <c r="U93" s="94">
        <f t="shared" si="48"/>
        <v>0</v>
      </c>
      <c r="V93" s="94">
        <f t="shared" si="49"/>
        <v>0</v>
      </c>
      <c r="W93" s="153">
        <f t="shared" si="57"/>
        <v>54395.7</v>
      </c>
      <c r="X93" s="209">
        <f>IFERROR(VLOOKUP($B93,'Из ГУГЛа'!$B:$G,6,0)*Z93+Y93,VLOOKUP($B93,'Из ГУГЛа'!$B:$G,6,0))</f>
        <v>51460</v>
      </c>
      <c r="Y93" s="220">
        <f t="shared" si="61"/>
        <v>9970</v>
      </c>
      <c r="Z93" s="133">
        <v>1</v>
      </c>
      <c r="AA93" s="134"/>
      <c r="AB93" s="135">
        <f t="shared" si="50"/>
        <v>0.15074465834567374</v>
      </c>
      <c r="AC93" s="135">
        <f t="shared" si="51"/>
        <v>-5.7048192771084277E-2</v>
      </c>
      <c r="AD93" s="135">
        <f t="shared" si="52"/>
        <v>8.8639729215147067E-2</v>
      </c>
      <c r="AE93" s="222">
        <v>51460</v>
      </c>
      <c r="AF93" s="98" t="s">
        <v>617</v>
      </c>
      <c r="AH93" s="98" t="s">
        <v>128</v>
      </c>
    </row>
    <row r="94" spans="1:34" ht="46.5" thickTop="1" thickBot="1">
      <c r="A94" s="125" t="str">
        <f>INDEX('Выгр Торг'!$A:$A,MATCH($B94,'Выгр Торг'!$B:$B,0))</f>
        <v>Руль анатомический "Ferrum" Grand Sport с обогревом для Лада Ларгус FL, Веста, XRAY</v>
      </c>
      <c r="B94" s="126">
        <v>132490</v>
      </c>
      <c r="C94" s="127">
        <f>VLOOKUP($B94,'Выгр Торг'!$B:$Q,C$1,0)</f>
        <v>166786</v>
      </c>
      <c r="D94" s="128" t="s">
        <v>128</v>
      </c>
      <c r="E94" s="125" t="str">
        <f>VLOOKUP($B94,'Выгр Торг'!$B:$Q,E$1,0)</f>
        <v>Руль анатомический "Ferrum" Grand Sport с обогревом для Лада Ларгус FL, Веста, XRAY (Белая нить, Чёрный глянец)</v>
      </c>
      <c r="F94" s="127" t="str">
        <f>VLOOKUP($B94,'Выгр Торг'!$B:$Q,F$1,0)</f>
        <v>Y</v>
      </c>
      <c r="G94" s="127" t="str">
        <f>VLOOKUP($B94,'Выгр Торг'!$B:$Q,G$1,0)</f>
        <v>1</v>
      </c>
      <c r="H94" s="40">
        <v>166769</v>
      </c>
      <c r="I94" s="156"/>
      <c r="J94" s="160"/>
      <c r="K94" s="161">
        <v>870</v>
      </c>
      <c r="L94" s="130">
        <f t="shared" si="69"/>
        <v>47270</v>
      </c>
      <c r="M94" s="130">
        <f t="shared" si="58"/>
        <v>48270</v>
      </c>
      <c r="N94" s="130">
        <f t="shared" si="59"/>
        <v>41270</v>
      </c>
      <c r="O94" s="132">
        <f t="shared" si="54"/>
        <v>1.0211550666384599</v>
      </c>
      <c r="P94" s="132">
        <f t="shared" si="47"/>
        <v>1.1499999999999999</v>
      </c>
      <c r="Q94" s="130">
        <f t="shared" si="60"/>
        <v>58452.150537634399</v>
      </c>
      <c r="R94" s="148">
        <f t="shared" si="56"/>
        <v>58490</v>
      </c>
      <c r="S94" s="127">
        <f>VLOOKUP($B94,'Выгр Торг'!$B:$Q,S$1,0)</f>
        <v>47270</v>
      </c>
      <c r="T94" s="127">
        <f>VLOOKUP($B94,'Выгр Торг'!$B:$Q,T$1,0)</f>
        <v>58490</v>
      </c>
      <c r="U94" s="94">
        <f t="shared" si="48"/>
        <v>0</v>
      </c>
      <c r="V94" s="94">
        <f t="shared" si="49"/>
        <v>0</v>
      </c>
      <c r="W94" s="153">
        <f t="shared" si="57"/>
        <v>54395.7</v>
      </c>
      <c r="X94" s="209">
        <f>IFERROR(VLOOKUP($B94,'Из ГУГЛа'!$B:$G,6,0)*Z94+Y94,VLOOKUP($B94,'Из ГУГЛа'!$B:$G,6,0))</f>
        <v>51460</v>
      </c>
      <c r="Y94" s="220">
        <f t="shared" si="61"/>
        <v>9970</v>
      </c>
      <c r="Z94" s="133">
        <v>1</v>
      </c>
      <c r="AA94" s="134"/>
      <c r="AB94" s="135">
        <f t="shared" si="50"/>
        <v>0.15074465834567374</v>
      </c>
      <c r="AC94" s="135">
        <f t="shared" si="51"/>
        <v>-5.7048192771084277E-2</v>
      </c>
      <c r="AD94" s="135">
        <f t="shared" si="52"/>
        <v>8.8639729215147067E-2</v>
      </c>
      <c r="AE94" s="222">
        <v>51460</v>
      </c>
      <c r="AF94" s="98" t="s">
        <v>617</v>
      </c>
      <c r="AH94" s="98" t="s">
        <v>128</v>
      </c>
    </row>
    <row r="95" spans="1:34" ht="61.5" thickTop="1" thickBot="1">
      <c r="A95" s="125" t="str">
        <f>INDEX('Выгр Торг'!$A:$A,MATCH($B95,'Выгр Торг'!$B:$B,0))</f>
        <v>Руль анатомический "Ferrum" Cross Serie с обогревом (вставки из алькантары) для Лада Ларгус FL, Веста, XRAY</v>
      </c>
      <c r="B95" s="126">
        <v>132531</v>
      </c>
      <c r="C95" s="127">
        <f>VLOOKUP($B95,'Выгр Торг'!$B:$Q,C$1,0)</f>
        <v>165070</v>
      </c>
      <c r="D95" s="128" t="s">
        <v>134</v>
      </c>
      <c r="E95" s="125" t="str">
        <f>VLOOKUP($B95,'Выгр Торг'!$B:$Q,E$1,0)</f>
        <v>Руль анатомический "Ferrum" Cross Serie с обогревом (вставки из алькантары) для Лада Ларгус FL, Веста, XRAY (Чёрная нить, Чёрный глянец)</v>
      </c>
      <c r="F95" s="127" t="str">
        <f>VLOOKUP($B95,'Выгр Торг'!$B:$Q,F$1,0)</f>
        <v>Y</v>
      </c>
      <c r="G95" s="127" t="str">
        <f>VLOOKUP($B95,'Выгр Торг'!$B:$Q,G$1,0)</f>
        <v>1</v>
      </c>
      <c r="H95" s="40">
        <v>165070</v>
      </c>
      <c r="I95" s="156"/>
      <c r="J95" s="160">
        <v>7000</v>
      </c>
      <c r="K95" s="161">
        <v>0</v>
      </c>
      <c r="L95" s="130">
        <f t="shared" ref="L95:L97" si="70">M95-1000</f>
        <v>50350</v>
      </c>
      <c r="M95" s="131">
        <f>N95+J95</f>
        <v>51350</v>
      </c>
      <c r="N95" s="131">
        <v>44350</v>
      </c>
      <c r="O95" s="132">
        <f t="shared" si="54"/>
        <v>1.0198609731876862</v>
      </c>
      <c r="P95" s="132">
        <f t="shared" si="47"/>
        <v>1.1499999999999999</v>
      </c>
      <c r="Q95" s="147">
        <f t="shared" ref="Q95" si="71">L95*P95*100/93</f>
        <v>62260.752688172033</v>
      </c>
      <c r="R95" s="148">
        <f t="shared" si="56"/>
        <v>62290</v>
      </c>
      <c r="S95" s="127">
        <f>VLOOKUP($B95,'Выгр Торг'!$B:$Q,S$1,0)</f>
        <v>50350</v>
      </c>
      <c r="T95" s="127">
        <f>VLOOKUP($B95,'Выгр Торг'!$B:$Q,T$1,0)</f>
        <v>62290</v>
      </c>
      <c r="U95" s="94">
        <f t="shared" si="48"/>
        <v>0</v>
      </c>
      <c r="V95" s="94">
        <f t="shared" si="49"/>
        <v>0</v>
      </c>
      <c r="W95" s="153">
        <f t="shared" si="57"/>
        <v>57929.7</v>
      </c>
      <c r="X95" s="209">
        <f>IFERROR(VLOOKUP($B95,'Из ГУГЛа'!$B:$G,6,0)*Z95+Y95,VLOOKUP($B95,'Из ГУГЛа'!$B:$G,6,0))</f>
        <v>51390</v>
      </c>
      <c r="Y95" s="106">
        <f>(J95+K95)*$Y$2</f>
        <v>9100</v>
      </c>
      <c r="Z95" s="133">
        <v>1</v>
      </c>
      <c r="AA95" s="134"/>
      <c r="AB95" s="135">
        <f t="shared" si="50"/>
        <v>0.15054021847070498</v>
      </c>
      <c r="AC95" s="135">
        <f t="shared" si="51"/>
        <v>-0.12725627553998828</v>
      </c>
      <c r="AD95" s="135">
        <f t="shared" si="52"/>
        <v>2.0655412115193617E-2</v>
      </c>
      <c r="AE95" s="221">
        <v>51390</v>
      </c>
      <c r="AF95" s="98" t="s">
        <v>648</v>
      </c>
      <c r="AH95" s="98" t="s">
        <v>134</v>
      </c>
    </row>
    <row r="96" spans="1:34" ht="61.5" thickTop="1" thickBot="1">
      <c r="A96" s="176" t="str">
        <f>INDEX('Выгр Торг'!$A:$A,MATCH($B96,'Выгр Торг'!$B:$B,0))</f>
        <v>Руль анатомический "Ferrum" Cross Serie с обогревом (вставки из алькантары) для Лада Ларгус FL, Веста, XRAY</v>
      </c>
      <c r="B96" s="178">
        <v>341387</v>
      </c>
      <c r="C96" s="179">
        <f>VLOOKUP($B96,'Выгр Торг'!$B:$Q,C$1,0)</f>
        <v>341387</v>
      </c>
      <c r="D96" s="189" t="s">
        <v>134</v>
      </c>
      <c r="E96" s="176" t="str">
        <f>VLOOKUP($B96,'Выгр Торг'!$B:$Q,E$1,0)</f>
        <v>Руль анатомический "Ferrum" Cross Serie с обогревом (вставки из алькантары) для Лада Ларгус FL, Веста, XRAY (Чёрная нить, Чёрный мат)</v>
      </c>
      <c r="F96" s="179" t="str">
        <f>VLOOKUP($B96,'Выгр Торг'!$B:$Q,F$1,0)</f>
        <v>Y</v>
      </c>
      <c r="G96" s="179" t="str">
        <f>VLOOKUP($B96,'Выгр Торг'!$B:$Q,G$1,0)</f>
        <v>1</v>
      </c>
      <c r="H96" s="177">
        <v>165070</v>
      </c>
      <c r="I96" s="156"/>
      <c r="J96" s="160">
        <v>830</v>
      </c>
      <c r="K96" s="161"/>
      <c r="L96" s="180">
        <f>M96-1000</f>
        <v>51180</v>
      </c>
      <c r="M96" s="180">
        <f t="shared" ref="M96:M120" si="72">INDEX($M:$M,MATCH($H96,$C:$C,0))+$K96+$J96</f>
        <v>52180</v>
      </c>
      <c r="N96" s="180">
        <f t="shared" ref="N96:N120" si="73">INDEX($N:$N,MATCH($H96,$C:$C,0))+$K96+$J96</f>
        <v>45180</v>
      </c>
      <c r="O96" s="107">
        <f>M96/L96</f>
        <v>1.0195388823759282</v>
      </c>
      <c r="P96" s="132">
        <f t="shared" si="47"/>
        <v>1.1499999999999999</v>
      </c>
      <c r="Q96" s="180">
        <f t="shared" ref="Q96:Q120" si="74">INDEX($Q:$Q,MATCH($H96,$C:$C,0))+($K96+$J96)*INDEX($P:$P,MATCH($H96,$C:$C,0))*100/93</f>
        <v>63287.096774193538</v>
      </c>
      <c r="R96" s="144">
        <f>IF(Q96&lt;=1000,(ROUNDUP(Q96,-2)-1),(ROUNDUP(Q96,-2)-10))</f>
        <v>63290</v>
      </c>
      <c r="S96" s="179">
        <f>VLOOKUP($B96,'Выгр Торг'!$B:$Q,S$1,0)</f>
        <v>51180</v>
      </c>
      <c r="T96" s="179">
        <f>VLOOKUP($B96,'Выгр Торг'!$B:$Q,T$1,0)</f>
        <v>63290</v>
      </c>
      <c r="U96" s="94">
        <f t="shared" si="48"/>
        <v>0</v>
      </c>
      <c r="V96" s="94">
        <f t="shared" si="49"/>
        <v>0</v>
      </c>
      <c r="W96" s="182">
        <f>R96*(1-$W$2)</f>
        <v>58859.7</v>
      </c>
      <c r="X96" s="218">
        <f>IFERROR(VLOOKUP($B96,'Из ГУГЛа'!$B:$G,6,0)*Z96+Y96,VLOOKUP($B96,'Из ГУГЛа'!$B:$G,6,0))</f>
        <v>52220</v>
      </c>
      <c r="Y96" s="220">
        <f t="shared" ref="Y96:Y120" si="75">INDEX($Y:$Y,MATCH($H96,$C:$C,0))+J96+K96</f>
        <v>9930</v>
      </c>
      <c r="Z96" s="133">
        <v>1</v>
      </c>
      <c r="AA96" s="133">
        <v>1300</v>
      </c>
      <c r="AB96" s="184">
        <f>IFERROR(W96/L96-1,"")</f>
        <v>0.15005275498241488</v>
      </c>
      <c r="AC96" s="184">
        <f>IFERROR((AE96-W96)/AE96,"")</f>
        <v>-0.12714860206817305</v>
      </c>
      <c r="AD96" s="184">
        <f>IFERROR(IF(AE96="","",AE96/L96-1),"")</f>
        <v>2.0320437670965141E-2</v>
      </c>
      <c r="AE96" s="222">
        <v>52220</v>
      </c>
      <c r="AF96" s="98" t="s">
        <v>648</v>
      </c>
      <c r="AH96" s="98" t="s">
        <v>134</v>
      </c>
    </row>
    <row r="97" spans="1:34" ht="61.5" thickTop="1" thickBot="1">
      <c r="A97" s="125" t="str">
        <f>INDEX('Выгр Торг'!$A:$A,MATCH($B97,'Выгр Торг'!$B:$B,0))</f>
        <v>Руль анатомический "Ferrum" Cross Serie с обогревом (вставки из алькантары) для Лада Ларгус FL, Веста, XRAY</v>
      </c>
      <c r="B97" s="126">
        <v>341386</v>
      </c>
      <c r="C97" s="127">
        <f>VLOOKUP($B97,'Выгр Торг'!$B:$Q,C$1,0)</f>
        <v>341386</v>
      </c>
      <c r="D97" s="128" t="s">
        <v>134</v>
      </c>
      <c r="E97" s="125" t="str">
        <f>VLOOKUP($B97,'Выгр Торг'!$B:$Q,E$1,0)</f>
        <v>Руль анатомический "Ferrum" Cross Serie с обогревом (вставки из алькантары) для Лада Ларгус FL, Веста, XRAY (Белая нить, Чёрный мат)</v>
      </c>
      <c r="F97" s="127" t="str">
        <f>VLOOKUP($B97,'Выгр Торг'!$B:$Q,F$1,0)</f>
        <v>Y</v>
      </c>
      <c r="G97" s="127" t="str">
        <f>VLOOKUP($B97,'Выгр Торг'!$B:$Q,G$1,0)</f>
        <v>1</v>
      </c>
      <c r="H97" s="40">
        <v>165070</v>
      </c>
      <c r="I97" s="156"/>
      <c r="J97" s="160">
        <v>830</v>
      </c>
      <c r="K97" s="161">
        <v>870</v>
      </c>
      <c r="L97" s="130">
        <f t="shared" si="70"/>
        <v>52050</v>
      </c>
      <c r="M97" s="130">
        <f t="shared" si="72"/>
        <v>53050</v>
      </c>
      <c r="N97" s="130">
        <f t="shared" si="73"/>
        <v>46050</v>
      </c>
      <c r="O97" s="132">
        <f t="shared" si="54"/>
        <v>1.0192122958693564</v>
      </c>
      <c r="P97" s="132">
        <f t="shared" si="47"/>
        <v>1.1499999999999999</v>
      </c>
      <c r="Q97" s="130">
        <f t="shared" si="74"/>
        <v>64362.90322580644</v>
      </c>
      <c r="R97" s="148">
        <f t="shared" si="56"/>
        <v>64390</v>
      </c>
      <c r="S97" s="127">
        <f>VLOOKUP($B97,'Выгр Торг'!$B:$Q,S$1,0)</f>
        <v>52050</v>
      </c>
      <c r="T97" s="127">
        <f>VLOOKUP($B97,'Выгр Торг'!$B:$Q,T$1,0)</f>
        <v>64390</v>
      </c>
      <c r="U97" s="94">
        <f t="shared" si="48"/>
        <v>0</v>
      </c>
      <c r="V97" s="94">
        <f t="shared" si="49"/>
        <v>0</v>
      </c>
      <c r="W97" s="153">
        <f t="shared" si="57"/>
        <v>59882.7</v>
      </c>
      <c r="X97" s="209">
        <f>IFERROR(VLOOKUP($B97,'Из ГУГЛа'!$B:$G,6,0)*Z97+Y97,VLOOKUP($B97,'Из ГУГЛа'!$B:$G,6,0))</f>
        <v>53090</v>
      </c>
      <c r="Y97" s="220">
        <f t="shared" si="75"/>
        <v>10800</v>
      </c>
      <c r="Z97" s="133">
        <v>1</v>
      </c>
      <c r="AA97" s="133">
        <v>1300</v>
      </c>
      <c r="AB97" s="135">
        <f t="shared" si="50"/>
        <v>0.15048414985590775</v>
      </c>
      <c r="AC97" s="135">
        <f t="shared" si="51"/>
        <v>-0.12794688265210016</v>
      </c>
      <c r="AD97" s="135">
        <f t="shared" si="52"/>
        <v>1.9980787704130698E-2</v>
      </c>
      <c r="AE97" s="222">
        <v>53090</v>
      </c>
      <c r="AF97" s="98" t="s">
        <v>648</v>
      </c>
      <c r="AH97" s="98" t="s">
        <v>134</v>
      </c>
    </row>
    <row r="98" spans="1:34" ht="61.5" thickTop="1" thickBot="1">
      <c r="A98" s="176" t="str">
        <f>INDEX('Выгр Торг'!$A:$A,MATCH($B98,'Выгр Торг'!$B:$B,0))</f>
        <v>Руль анатомический "Ferrum" Cross Serie с обогревом (вставки из алькантары) для Лада Ларгус FL, Веста, XRAY</v>
      </c>
      <c r="B98" s="178">
        <v>341398</v>
      </c>
      <c r="C98" s="179">
        <f>VLOOKUP($B98,'Выгр Торг'!$B:$Q,C$1,0)</f>
        <v>341398</v>
      </c>
      <c r="D98" s="189" t="s">
        <v>134</v>
      </c>
      <c r="E98" s="176" t="str">
        <f>VLOOKUP($B98,'Выгр Торг'!$B:$Q,E$1,0)</f>
        <v>Руль анатомический "Ferrum" Cross Serie с обогревом (вставки из алькантары) для Лада Ларгус FL, Веста, XRAY (Жёлтая нить, Чёрный мат)</v>
      </c>
      <c r="F98" s="179" t="str">
        <f>VLOOKUP($B98,'Выгр Торг'!$B:$Q,F$1,0)</f>
        <v>Y</v>
      </c>
      <c r="G98" s="179" t="str">
        <f>VLOOKUP($B98,'Выгр Торг'!$B:$Q,G$1,0)</f>
        <v>1</v>
      </c>
      <c r="H98" s="177">
        <v>165070</v>
      </c>
      <c r="I98" s="156"/>
      <c r="J98" s="160">
        <v>830</v>
      </c>
      <c r="K98" s="161">
        <v>870</v>
      </c>
      <c r="L98" s="180">
        <f t="shared" ref="L98:L108" si="76">M98-1000</f>
        <v>52050</v>
      </c>
      <c r="M98" s="180">
        <f t="shared" si="72"/>
        <v>53050</v>
      </c>
      <c r="N98" s="180">
        <f t="shared" si="73"/>
        <v>46050</v>
      </c>
      <c r="O98" s="107">
        <f t="shared" ref="O98:O108" si="77">M98/L98</f>
        <v>1.0192122958693564</v>
      </c>
      <c r="P98" s="132">
        <f t="shared" si="47"/>
        <v>1.1499999999999999</v>
      </c>
      <c r="Q98" s="180">
        <f t="shared" si="74"/>
        <v>64362.90322580644</v>
      </c>
      <c r="R98" s="144">
        <f t="shared" ref="R98:R108" si="78">IF(Q98&lt;=1000,(ROUNDUP(Q98,-2)-1),(ROUNDUP(Q98,-2)-10))</f>
        <v>64390</v>
      </c>
      <c r="S98" s="179">
        <f>VLOOKUP($B98,'Выгр Торг'!$B:$Q,S$1,0)</f>
        <v>52050</v>
      </c>
      <c r="T98" s="179">
        <f>VLOOKUP($B98,'Выгр Торг'!$B:$Q,T$1,0)</f>
        <v>64390</v>
      </c>
      <c r="U98" s="94">
        <f t="shared" si="48"/>
        <v>0</v>
      </c>
      <c r="V98" s="94">
        <f t="shared" si="49"/>
        <v>0</v>
      </c>
      <c r="W98" s="182">
        <f t="shared" ref="W98:W108" si="79">R98*(1-$W$2)</f>
        <v>59882.7</v>
      </c>
      <c r="X98" s="218">
        <f>IFERROR(VLOOKUP($B98,'Из ГУГЛа'!$B:$G,6,0)*Z98+Y98,VLOOKUP($B98,'Из ГУГЛа'!$B:$G,6,0))</f>
        <v>53090</v>
      </c>
      <c r="Y98" s="220">
        <f t="shared" si="75"/>
        <v>10800</v>
      </c>
      <c r="Z98" s="133">
        <v>1</v>
      </c>
      <c r="AA98" s="133">
        <v>1300</v>
      </c>
      <c r="AB98" s="184">
        <f t="shared" ref="AB98:AB108" si="80">IFERROR(W98/L98-1,"")</f>
        <v>0.15048414985590775</v>
      </c>
      <c r="AC98" s="184">
        <f t="shared" ref="AC98:AC108" si="81">IFERROR((AE98-W98)/AE98,"")</f>
        <v>-0.12794688265210016</v>
      </c>
      <c r="AD98" s="184">
        <f t="shared" ref="AD98:AD108" si="82">IFERROR(IF(AE98="","",AE98/L98-1),"")</f>
        <v>1.9980787704130698E-2</v>
      </c>
      <c r="AE98" s="222">
        <v>53090</v>
      </c>
      <c r="AF98" s="98" t="s">
        <v>648</v>
      </c>
      <c r="AH98" s="98" t="s">
        <v>134</v>
      </c>
    </row>
    <row r="99" spans="1:34" ht="61.5" thickTop="1" thickBot="1">
      <c r="A99" s="176" t="str">
        <f>INDEX('Выгр Торг'!$A:$A,MATCH($B99,'Выгр Торг'!$B:$B,0))</f>
        <v>Руль анатомический "Ferrum" Cross Serie с обогревом (вставки из алькантары) для Лада Ларгус FL, Веста, XRAY</v>
      </c>
      <c r="B99" s="178">
        <v>341397</v>
      </c>
      <c r="C99" s="179">
        <f>VLOOKUP($B99,'Выгр Торг'!$B:$Q,C$1,0)</f>
        <v>341397</v>
      </c>
      <c r="D99" s="189" t="s">
        <v>134</v>
      </c>
      <c r="E99" s="176" t="str">
        <f>VLOOKUP($B99,'Выгр Торг'!$B:$Q,E$1,0)</f>
        <v>Руль анатомический "Ferrum" Cross Serie с обогревом (вставки из алькантары) для Лада Ларгус FL, Веста, XRAY (Зелёная нить, Чёрный мат)</v>
      </c>
      <c r="F99" s="179" t="str">
        <f>VLOOKUP($B99,'Выгр Торг'!$B:$Q,F$1,0)</f>
        <v>Y</v>
      </c>
      <c r="G99" s="179" t="str">
        <f>VLOOKUP($B99,'Выгр Торг'!$B:$Q,G$1,0)</f>
        <v>1</v>
      </c>
      <c r="H99" s="177">
        <v>165070</v>
      </c>
      <c r="I99" s="156"/>
      <c r="J99" s="160">
        <v>830</v>
      </c>
      <c r="K99" s="161">
        <v>870</v>
      </c>
      <c r="L99" s="180">
        <f t="shared" si="76"/>
        <v>52050</v>
      </c>
      <c r="M99" s="180">
        <f t="shared" si="72"/>
        <v>53050</v>
      </c>
      <c r="N99" s="180">
        <f t="shared" si="73"/>
        <v>46050</v>
      </c>
      <c r="O99" s="107">
        <f t="shared" si="77"/>
        <v>1.0192122958693564</v>
      </c>
      <c r="P99" s="132">
        <f t="shared" si="47"/>
        <v>1.1499999999999999</v>
      </c>
      <c r="Q99" s="180">
        <f t="shared" si="74"/>
        <v>64362.90322580644</v>
      </c>
      <c r="R99" s="144">
        <f t="shared" si="78"/>
        <v>64390</v>
      </c>
      <c r="S99" s="179">
        <f>VLOOKUP($B99,'Выгр Торг'!$B:$Q,S$1,0)</f>
        <v>52050</v>
      </c>
      <c r="T99" s="179">
        <f>VLOOKUP($B99,'Выгр Торг'!$B:$Q,T$1,0)</f>
        <v>64390</v>
      </c>
      <c r="U99" s="94">
        <f t="shared" si="48"/>
        <v>0</v>
      </c>
      <c r="V99" s="94">
        <f t="shared" si="49"/>
        <v>0</v>
      </c>
      <c r="W99" s="182">
        <f t="shared" si="79"/>
        <v>59882.7</v>
      </c>
      <c r="X99" s="218">
        <f>IFERROR(VLOOKUP($B99,'Из ГУГЛа'!$B:$G,6,0)*Z99+Y99,VLOOKUP($B99,'Из ГУГЛа'!$B:$G,6,0))</f>
        <v>53090</v>
      </c>
      <c r="Y99" s="220">
        <f t="shared" si="75"/>
        <v>10800</v>
      </c>
      <c r="Z99" s="133">
        <v>1</v>
      </c>
      <c r="AA99" s="133">
        <v>1300</v>
      </c>
      <c r="AB99" s="184">
        <f t="shared" si="80"/>
        <v>0.15048414985590775</v>
      </c>
      <c r="AC99" s="184">
        <f t="shared" si="81"/>
        <v>-0.12794688265210016</v>
      </c>
      <c r="AD99" s="184">
        <f t="shared" si="82"/>
        <v>1.9980787704130698E-2</v>
      </c>
      <c r="AE99" s="222">
        <v>53090</v>
      </c>
      <c r="AF99" s="98" t="s">
        <v>648</v>
      </c>
      <c r="AH99" s="98" t="s">
        <v>134</v>
      </c>
    </row>
    <row r="100" spans="1:34" ht="61.5" thickTop="1" thickBot="1">
      <c r="A100" s="176" t="str">
        <f>INDEX('Выгр Торг'!$A:$A,MATCH($B100,'Выгр Торг'!$B:$B,0))</f>
        <v>Руль анатомический "Ferrum" Cross Serie с обогревом (вставки из алькантары) для Лада Ларгус FL, Веста, XRAY</v>
      </c>
      <c r="B100" s="178">
        <v>341389</v>
      </c>
      <c r="C100" s="179">
        <f>VLOOKUP($B100,'Выгр Торг'!$B:$Q,C$1,0)</f>
        <v>341389</v>
      </c>
      <c r="D100" s="189" t="s">
        <v>134</v>
      </c>
      <c r="E100" s="176" t="str">
        <f>VLOOKUP($B100,'Выгр Торг'!$B:$Q,E$1,0)</f>
        <v>Руль анатомический "Ferrum" Cross Serie с обогревом (вставки из алькантары) для Лада Ларгус FL, Веста, XRAY (Коричневая нить, Чёрный мат)</v>
      </c>
      <c r="F100" s="179" t="str">
        <f>VLOOKUP($B100,'Выгр Торг'!$B:$Q,F$1,0)</f>
        <v>Y</v>
      </c>
      <c r="G100" s="179" t="str">
        <f>VLOOKUP($B100,'Выгр Торг'!$B:$Q,G$1,0)</f>
        <v>1</v>
      </c>
      <c r="H100" s="177">
        <v>165070</v>
      </c>
      <c r="I100" s="156"/>
      <c r="J100" s="160">
        <v>830</v>
      </c>
      <c r="K100" s="161">
        <v>870</v>
      </c>
      <c r="L100" s="180">
        <f t="shared" si="76"/>
        <v>52050</v>
      </c>
      <c r="M100" s="180">
        <f t="shared" si="72"/>
        <v>53050</v>
      </c>
      <c r="N100" s="180">
        <f t="shared" si="73"/>
        <v>46050</v>
      </c>
      <c r="O100" s="107">
        <f t="shared" si="77"/>
        <v>1.0192122958693564</v>
      </c>
      <c r="P100" s="132">
        <f t="shared" si="47"/>
        <v>1.1499999999999999</v>
      </c>
      <c r="Q100" s="180">
        <f t="shared" si="74"/>
        <v>64362.90322580644</v>
      </c>
      <c r="R100" s="144">
        <f t="shared" si="78"/>
        <v>64390</v>
      </c>
      <c r="S100" s="179">
        <f>VLOOKUP($B100,'Выгр Торг'!$B:$Q,S$1,0)</f>
        <v>52050</v>
      </c>
      <c r="T100" s="179">
        <f>VLOOKUP($B100,'Выгр Торг'!$B:$Q,T$1,0)</f>
        <v>64390</v>
      </c>
      <c r="U100" s="94">
        <f t="shared" si="48"/>
        <v>0</v>
      </c>
      <c r="V100" s="94">
        <f t="shared" si="49"/>
        <v>0</v>
      </c>
      <c r="W100" s="182">
        <f t="shared" si="79"/>
        <v>59882.7</v>
      </c>
      <c r="X100" s="218">
        <f>IFERROR(VLOOKUP($B100,'Из ГУГЛа'!$B:$G,6,0)*Z100+Y100,VLOOKUP($B100,'Из ГУГЛа'!$B:$G,6,0))</f>
        <v>53090</v>
      </c>
      <c r="Y100" s="220">
        <f t="shared" si="75"/>
        <v>10800</v>
      </c>
      <c r="Z100" s="133">
        <v>1</v>
      </c>
      <c r="AA100" s="133">
        <v>1300</v>
      </c>
      <c r="AB100" s="184">
        <f t="shared" si="80"/>
        <v>0.15048414985590775</v>
      </c>
      <c r="AC100" s="184">
        <f t="shared" si="81"/>
        <v>-0.12794688265210016</v>
      </c>
      <c r="AD100" s="184">
        <f t="shared" si="82"/>
        <v>1.9980787704130698E-2</v>
      </c>
      <c r="AE100" s="222">
        <v>53090</v>
      </c>
      <c r="AF100" s="98" t="s">
        <v>648</v>
      </c>
      <c r="AH100" s="98" t="s">
        <v>134</v>
      </c>
    </row>
    <row r="101" spans="1:34" ht="61.5" thickTop="1" thickBot="1">
      <c r="A101" s="176" t="str">
        <f>INDEX('Выгр Торг'!$A:$A,MATCH($B101,'Выгр Торг'!$B:$B,0))</f>
        <v>Руль анатомический "Ferrum" Cross Serie с обогревом (вставки из алькантары) для Лада Ларгус FL, Веста, XRAY</v>
      </c>
      <c r="B101" s="178">
        <v>341390</v>
      </c>
      <c r="C101" s="179">
        <f>VLOOKUP($B101,'Выгр Торг'!$B:$Q,C$1,0)</f>
        <v>341390</v>
      </c>
      <c r="D101" s="189" t="s">
        <v>134</v>
      </c>
      <c r="E101" s="176" t="str">
        <f>VLOOKUP($B101,'Выгр Торг'!$B:$Q,E$1,0)</f>
        <v>Руль анатомический "Ferrum" Cross Serie с обогревом (вставки из алькантары) для Лада Ларгус FL, Веста, XRAY (Красная нить, Чёрный мат)</v>
      </c>
      <c r="F101" s="179" t="str">
        <f>VLOOKUP($B101,'Выгр Торг'!$B:$Q,F$1,0)</f>
        <v>Y</v>
      </c>
      <c r="G101" s="179" t="str">
        <f>VLOOKUP($B101,'Выгр Торг'!$B:$Q,G$1,0)</f>
        <v>1</v>
      </c>
      <c r="H101" s="177">
        <v>165070</v>
      </c>
      <c r="I101" s="156"/>
      <c r="J101" s="160">
        <v>830</v>
      </c>
      <c r="K101" s="161">
        <v>870</v>
      </c>
      <c r="L101" s="180">
        <f t="shared" si="76"/>
        <v>52050</v>
      </c>
      <c r="M101" s="180">
        <f t="shared" si="72"/>
        <v>53050</v>
      </c>
      <c r="N101" s="180">
        <f t="shared" si="73"/>
        <v>46050</v>
      </c>
      <c r="O101" s="107">
        <f t="shared" si="77"/>
        <v>1.0192122958693564</v>
      </c>
      <c r="P101" s="132">
        <f t="shared" si="47"/>
        <v>1.1499999999999999</v>
      </c>
      <c r="Q101" s="180">
        <f t="shared" si="74"/>
        <v>64362.90322580644</v>
      </c>
      <c r="R101" s="144">
        <f t="shared" si="78"/>
        <v>64390</v>
      </c>
      <c r="S101" s="179">
        <f>VLOOKUP($B101,'Выгр Торг'!$B:$Q,S$1,0)</f>
        <v>52050</v>
      </c>
      <c r="T101" s="179">
        <f>VLOOKUP($B101,'Выгр Торг'!$B:$Q,T$1,0)</f>
        <v>64390</v>
      </c>
      <c r="U101" s="94">
        <f t="shared" si="48"/>
        <v>0</v>
      </c>
      <c r="V101" s="94">
        <f t="shared" si="49"/>
        <v>0</v>
      </c>
      <c r="W101" s="182">
        <f t="shared" si="79"/>
        <v>59882.7</v>
      </c>
      <c r="X101" s="218">
        <f>IFERROR(VLOOKUP($B101,'Из ГУГЛа'!$B:$G,6,0)*Z101+Y101,VLOOKUP($B101,'Из ГУГЛа'!$B:$G,6,0))</f>
        <v>53090</v>
      </c>
      <c r="Y101" s="220">
        <f t="shared" si="75"/>
        <v>10800</v>
      </c>
      <c r="Z101" s="133">
        <v>1</v>
      </c>
      <c r="AA101" s="133">
        <v>1300</v>
      </c>
      <c r="AB101" s="184">
        <f t="shared" si="80"/>
        <v>0.15048414985590775</v>
      </c>
      <c r="AC101" s="184">
        <f t="shared" si="81"/>
        <v>-0.12794688265210016</v>
      </c>
      <c r="AD101" s="184">
        <f t="shared" si="82"/>
        <v>1.9980787704130698E-2</v>
      </c>
      <c r="AE101" s="222">
        <v>53090</v>
      </c>
      <c r="AF101" s="98" t="s">
        <v>648</v>
      </c>
      <c r="AH101" s="98" t="s">
        <v>134</v>
      </c>
    </row>
    <row r="102" spans="1:34" ht="61.5" thickTop="1" thickBot="1">
      <c r="A102" s="176" t="str">
        <f>INDEX('Выгр Торг'!$A:$A,MATCH($B102,'Выгр Торг'!$B:$B,0))</f>
        <v>Руль анатомический "Ferrum" Cross Serie с обогревом (вставки из алькантары) для Лада Ларгус FL, Веста, XRAY</v>
      </c>
      <c r="B102" s="178">
        <v>341391</v>
      </c>
      <c r="C102" s="179">
        <f>VLOOKUP($B102,'Выгр Торг'!$B:$Q,C$1,0)</f>
        <v>341391</v>
      </c>
      <c r="D102" s="189" t="s">
        <v>134</v>
      </c>
      <c r="E102" s="176" t="str">
        <f>VLOOKUP($B102,'Выгр Торг'!$B:$Q,E$1,0)</f>
        <v>Руль анатомический "Ferrum" Cross Serie с обогревом (вставки из алькантары) для Лада Ларгус FL, Веста, XRAY (Оранжевая нить, Чёрный мат)</v>
      </c>
      <c r="F102" s="179" t="str">
        <f>VLOOKUP($B102,'Выгр Торг'!$B:$Q,F$1,0)</f>
        <v>Y</v>
      </c>
      <c r="G102" s="179" t="str">
        <f>VLOOKUP($B102,'Выгр Торг'!$B:$Q,G$1,0)</f>
        <v>1</v>
      </c>
      <c r="H102" s="177">
        <v>165070</v>
      </c>
      <c r="I102" s="156"/>
      <c r="J102" s="160">
        <v>830</v>
      </c>
      <c r="K102" s="161">
        <v>870</v>
      </c>
      <c r="L102" s="180">
        <f t="shared" si="76"/>
        <v>52050</v>
      </c>
      <c r="M102" s="180">
        <f t="shared" si="72"/>
        <v>53050</v>
      </c>
      <c r="N102" s="180">
        <f t="shared" si="73"/>
        <v>46050</v>
      </c>
      <c r="O102" s="107">
        <f t="shared" si="77"/>
        <v>1.0192122958693564</v>
      </c>
      <c r="P102" s="132">
        <f t="shared" si="47"/>
        <v>1.1499999999999999</v>
      </c>
      <c r="Q102" s="180">
        <f t="shared" si="74"/>
        <v>64362.90322580644</v>
      </c>
      <c r="R102" s="144">
        <f t="shared" si="78"/>
        <v>64390</v>
      </c>
      <c r="S102" s="179">
        <f>VLOOKUP($B102,'Выгр Торг'!$B:$Q,S$1,0)</f>
        <v>52050</v>
      </c>
      <c r="T102" s="179">
        <f>VLOOKUP($B102,'Выгр Торг'!$B:$Q,T$1,0)</f>
        <v>64390</v>
      </c>
      <c r="U102" s="94">
        <f t="shared" si="48"/>
        <v>0</v>
      </c>
      <c r="V102" s="94">
        <f t="shared" si="49"/>
        <v>0</v>
      </c>
      <c r="W102" s="182">
        <f t="shared" si="79"/>
        <v>59882.7</v>
      </c>
      <c r="X102" s="218">
        <f>IFERROR(VLOOKUP($B102,'Из ГУГЛа'!$B:$G,6,0)*Z102+Y102,VLOOKUP($B102,'Из ГУГЛа'!$B:$G,6,0))</f>
        <v>53090</v>
      </c>
      <c r="Y102" s="220">
        <f t="shared" si="75"/>
        <v>10800</v>
      </c>
      <c r="Z102" s="133">
        <v>1</v>
      </c>
      <c r="AA102" s="133">
        <v>1300</v>
      </c>
      <c r="AB102" s="184">
        <f t="shared" si="80"/>
        <v>0.15048414985590775</v>
      </c>
      <c r="AC102" s="184">
        <f t="shared" si="81"/>
        <v>-0.12794688265210016</v>
      </c>
      <c r="AD102" s="184">
        <f t="shared" si="82"/>
        <v>1.9980787704130698E-2</v>
      </c>
      <c r="AE102" s="222">
        <v>53090</v>
      </c>
      <c r="AF102" s="98" t="s">
        <v>648</v>
      </c>
      <c r="AH102" s="98" t="s">
        <v>134</v>
      </c>
    </row>
    <row r="103" spans="1:34" ht="61.5" thickTop="1" thickBot="1">
      <c r="A103" s="176" t="str">
        <f>INDEX('Выгр Торг'!$A:$A,MATCH($B103,'Выгр Торг'!$B:$B,0))</f>
        <v>Руль анатомический "Ferrum" Cross Serie с обогревом (вставки из алькантары) для Лада Ларгус FL, Веста, XRAY</v>
      </c>
      <c r="B103" s="178">
        <v>341392</v>
      </c>
      <c r="C103" s="179">
        <f>VLOOKUP($B103,'Выгр Торг'!$B:$Q,C$1,0)</f>
        <v>341392</v>
      </c>
      <c r="D103" s="189" t="s">
        <v>134</v>
      </c>
      <c r="E103" s="176" t="str">
        <f>VLOOKUP($B103,'Выгр Торг'!$B:$Q,E$1,0)</f>
        <v>Руль анатомический "Ferrum" Cross Serie с обогревом (вставки из алькантары) для Лада Ларгус FL, Веста, XRAY (Салатовая нить, Чёрный мат)</v>
      </c>
      <c r="F103" s="179" t="str">
        <f>VLOOKUP($B103,'Выгр Торг'!$B:$Q,F$1,0)</f>
        <v>Y</v>
      </c>
      <c r="G103" s="179" t="str">
        <f>VLOOKUP($B103,'Выгр Торг'!$B:$Q,G$1,0)</f>
        <v>1</v>
      </c>
      <c r="H103" s="177">
        <v>165070</v>
      </c>
      <c r="I103" s="156"/>
      <c r="J103" s="160">
        <v>830</v>
      </c>
      <c r="K103" s="161">
        <v>870</v>
      </c>
      <c r="L103" s="180">
        <f t="shared" si="76"/>
        <v>52050</v>
      </c>
      <c r="M103" s="180">
        <f t="shared" si="72"/>
        <v>53050</v>
      </c>
      <c r="N103" s="180">
        <f t="shared" si="73"/>
        <v>46050</v>
      </c>
      <c r="O103" s="107">
        <f t="shared" si="77"/>
        <v>1.0192122958693564</v>
      </c>
      <c r="P103" s="132">
        <f t="shared" si="47"/>
        <v>1.1499999999999999</v>
      </c>
      <c r="Q103" s="180">
        <f t="shared" si="74"/>
        <v>64362.90322580644</v>
      </c>
      <c r="R103" s="144">
        <f t="shared" si="78"/>
        <v>64390</v>
      </c>
      <c r="S103" s="179">
        <f>VLOOKUP($B103,'Выгр Торг'!$B:$Q,S$1,0)</f>
        <v>52050</v>
      </c>
      <c r="T103" s="179">
        <f>VLOOKUP($B103,'Выгр Торг'!$B:$Q,T$1,0)</f>
        <v>64390</v>
      </c>
      <c r="U103" s="94">
        <f t="shared" si="48"/>
        <v>0</v>
      </c>
      <c r="V103" s="94">
        <f t="shared" si="49"/>
        <v>0</v>
      </c>
      <c r="W103" s="182">
        <f t="shared" si="79"/>
        <v>59882.7</v>
      </c>
      <c r="X103" s="218">
        <f>IFERROR(VLOOKUP($B103,'Из ГУГЛа'!$B:$G,6,0)*Z103+Y103,VLOOKUP($B103,'Из ГУГЛа'!$B:$G,6,0))</f>
        <v>53090</v>
      </c>
      <c r="Y103" s="220">
        <f t="shared" si="75"/>
        <v>10800</v>
      </c>
      <c r="Z103" s="133">
        <v>1</v>
      </c>
      <c r="AA103" s="133">
        <v>1300</v>
      </c>
      <c r="AB103" s="184">
        <f t="shared" si="80"/>
        <v>0.15048414985590775</v>
      </c>
      <c r="AC103" s="184">
        <f t="shared" si="81"/>
        <v>-0.12794688265210016</v>
      </c>
      <c r="AD103" s="184">
        <f t="shared" si="82"/>
        <v>1.9980787704130698E-2</v>
      </c>
      <c r="AE103" s="222">
        <v>53090</v>
      </c>
      <c r="AF103" s="98" t="s">
        <v>648</v>
      </c>
      <c r="AH103" s="98" t="s">
        <v>134</v>
      </c>
    </row>
    <row r="104" spans="1:34" ht="61.5" thickTop="1" thickBot="1">
      <c r="A104" s="176" t="str">
        <f>INDEX('Выгр Торг'!$A:$A,MATCH($B104,'Выгр Торг'!$B:$B,0))</f>
        <v>Руль анатомический "Ferrum" Cross Serie с обогревом (вставки из алькантары) для Лада Ларгус FL, Веста, XRAY</v>
      </c>
      <c r="B104" s="178">
        <v>341395</v>
      </c>
      <c r="C104" s="179">
        <f>VLOOKUP($B104,'Выгр Торг'!$B:$Q,C$1,0)</f>
        <v>341395</v>
      </c>
      <c r="D104" s="189" t="s">
        <v>134</v>
      </c>
      <c r="E104" s="176" t="str">
        <f>VLOOKUP($B104,'Выгр Торг'!$B:$Q,E$1,0)</f>
        <v>Руль анатомический "Ferrum" Cross Serie с обогревом (вставки из алькантары) для Лада Ларгус FL, Веста, XRAY (Светло-серая нить, Чёрный мат)</v>
      </c>
      <c r="F104" s="179" t="str">
        <f>VLOOKUP($B104,'Выгр Торг'!$B:$Q,F$1,0)</f>
        <v>Y</v>
      </c>
      <c r="G104" s="179" t="str">
        <f>VLOOKUP($B104,'Выгр Торг'!$B:$Q,G$1,0)</f>
        <v>1</v>
      </c>
      <c r="H104" s="177">
        <v>165070</v>
      </c>
      <c r="I104" s="156"/>
      <c r="J104" s="160">
        <v>830</v>
      </c>
      <c r="K104" s="161">
        <v>870</v>
      </c>
      <c r="L104" s="180">
        <f t="shared" si="76"/>
        <v>52050</v>
      </c>
      <c r="M104" s="180">
        <f t="shared" si="72"/>
        <v>53050</v>
      </c>
      <c r="N104" s="180">
        <f t="shared" si="73"/>
        <v>46050</v>
      </c>
      <c r="O104" s="107">
        <f t="shared" si="77"/>
        <v>1.0192122958693564</v>
      </c>
      <c r="P104" s="132">
        <f t="shared" si="47"/>
        <v>1.1499999999999999</v>
      </c>
      <c r="Q104" s="180">
        <f t="shared" si="74"/>
        <v>64362.90322580644</v>
      </c>
      <c r="R104" s="144">
        <f t="shared" si="78"/>
        <v>64390</v>
      </c>
      <c r="S104" s="179">
        <f>VLOOKUP($B104,'Выгр Торг'!$B:$Q,S$1,0)</f>
        <v>52050</v>
      </c>
      <c r="T104" s="179">
        <f>VLOOKUP($B104,'Выгр Торг'!$B:$Q,T$1,0)</f>
        <v>64390</v>
      </c>
      <c r="U104" s="94">
        <f t="shared" si="48"/>
        <v>0</v>
      </c>
      <c r="V104" s="94">
        <f t="shared" si="49"/>
        <v>0</v>
      </c>
      <c r="W104" s="182">
        <f t="shared" si="79"/>
        <v>59882.7</v>
      </c>
      <c r="X104" s="218">
        <f>IFERROR(VLOOKUP($B104,'Из ГУГЛа'!$B:$G,6,0)*Z104+Y104,VLOOKUP($B104,'Из ГУГЛа'!$B:$G,6,0))</f>
        <v>53090</v>
      </c>
      <c r="Y104" s="220">
        <f t="shared" si="75"/>
        <v>10800</v>
      </c>
      <c r="Z104" s="133">
        <v>1</v>
      </c>
      <c r="AA104" s="133">
        <v>1300</v>
      </c>
      <c r="AB104" s="184">
        <f t="shared" si="80"/>
        <v>0.15048414985590775</v>
      </c>
      <c r="AC104" s="184">
        <f t="shared" si="81"/>
        <v>-0.12794688265210016</v>
      </c>
      <c r="AD104" s="184">
        <f t="shared" si="82"/>
        <v>1.9980787704130698E-2</v>
      </c>
      <c r="AE104" s="222">
        <v>53090</v>
      </c>
      <c r="AF104" s="98" t="s">
        <v>648</v>
      </c>
      <c r="AH104" s="98" t="s">
        <v>134</v>
      </c>
    </row>
    <row r="105" spans="1:34" ht="61.5" thickTop="1" thickBot="1">
      <c r="A105" s="176" t="str">
        <f>INDEX('Выгр Торг'!$A:$A,MATCH($B105,'Выгр Торг'!$B:$B,0))</f>
        <v>Руль анатомический "Ferrum" Cross Serie с обогревом (вставки из алькантары) для Лада Ларгус FL, Веста, XRAY</v>
      </c>
      <c r="B105" s="178">
        <v>341393</v>
      </c>
      <c r="C105" s="179">
        <f>VLOOKUP($B105,'Выгр Торг'!$B:$Q,C$1,0)</f>
        <v>341393</v>
      </c>
      <c r="D105" s="189" t="s">
        <v>134</v>
      </c>
      <c r="E105" s="176" t="str">
        <f>VLOOKUP($B105,'Выгр Торг'!$B:$Q,E$1,0)</f>
        <v>Руль анатомический "Ferrum" Cross Serie с обогревом (вставки из алькантары) для Лада Ларгус FL, Веста, XRAY (Сине-зелёная нить, Чёрный мат)</v>
      </c>
      <c r="F105" s="179" t="str">
        <f>VLOOKUP($B105,'Выгр Торг'!$B:$Q,F$1,0)</f>
        <v>Y</v>
      </c>
      <c r="G105" s="179" t="str">
        <f>VLOOKUP($B105,'Выгр Торг'!$B:$Q,G$1,0)</f>
        <v>1</v>
      </c>
      <c r="H105" s="177">
        <v>165070</v>
      </c>
      <c r="I105" s="156"/>
      <c r="J105" s="160">
        <v>830</v>
      </c>
      <c r="K105" s="161">
        <v>870</v>
      </c>
      <c r="L105" s="180">
        <f t="shared" si="76"/>
        <v>52050</v>
      </c>
      <c r="M105" s="180">
        <f t="shared" si="72"/>
        <v>53050</v>
      </c>
      <c r="N105" s="180">
        <f t="shared" si="73"/>
        <v>46050</v>
      </c>
      <c r="O105" s="107">
        <f t="shared" si="77"/>
        <v>1.0192122958693564</v>
      </c>
      <c r="P105" s="132">
        <f t="shared" si="47"/>
        <v>1.1499999999999999</v>
      </c>
      <c r="Q105" s="180">
        <f t="shared" si="74"/>
        <v>64362.90322580644</v>
      </c>
      <c r="R105" s="144">
        <f t="shared" si="78"/>
        <v>64390</v>
      </c>
      <c r="S105" s="179">
        <f>VLOOKUP($B105,'Выгр Торг'!$B:$Q,S$1,0)</f>
        <v>52050</v>
      </c>
      <c r="T105" s="179">
        <f>VLOOKUP($B105,'Выгр Торг'!$B:$Q,T$1,0)</f>
        <v>64390</v>
      </c>
      <c r="U105" s="94">
        <f t="shared" si="48"/>
        <v>0</v>
      </c>
      <c r="V105" s="94">
        <f t="shared" si="49"/>
        <v>0</v>
      </c>
      <c r="W105" s="182">
        <f t="shared" si="79"/>
        <v>59882.7</v>
      </c>
      <c r="X105" s="218">
        <f>IFERROR(VLOOKUP($B105,'Из ГУГЛа'!$B:$G,6,0)*Z105+Y105,VLOOKUP($B105,'Из ГУГЛа'!$B:$G,6,0))</f>
        <v>53090</v>
      </c>
      <c r="Y105" s="220">
        <f t="shared" si="75"/>
        <v>10800</v>
      </c>
      <c r="Z105" s="133">
        <v>1</v>
      </c>
      <c r="AA105" s="133">
        <v>1300</v>
      </c>
      <c r="AB105" s="184">
        <f t="shared" si="80"/>
        <v>0.15048414985590775</v>
      </c>
      <c r="AC105" s="184">
        <f t="shared" si="81"/>
        <v>-0.12794688265210016</v>
      </c>
      <c r="AD105" s="184">
        <f t="shared" si="82"/>
        <v>1.9980787704130698E-2</v>
      </c>
      <c r="AE105" s="222">
        <v>53090</v>
      </c>
      <c r="AF105" s="98" t="s">
        <v>648</v>
      </c>
      <c r="AH105" s="98" t="s">
        <v>134</v>
      </c>
    </row>
    <row r="106" spans="1:34" ht="61.5" thickTop="1" thickBot="1">
      <c r="A106" s="176" t="str">
        <f>INDEX('Выгр Торг'!$A:$A,MATCH($B106,'Выгр Торг'!$B:$B,0))</f>
        <v>Руль анатомический "Ferrum" Cross Serie с обогревом (вставки из алькантары) для Лада Ларгус FL, Веста, XRAY</v>
      </c>
      <c r="B106" s="178">
        <v>341394</v>
      </c>
      <c r="C106" s="179">
        <f>VLOOKUP($B106,'Выгр Торг'!$B:$Q,C$1,0)</f>
        <v>341394</v>
      </c>
      <c r="D106" s="189" t="s">
        <v>134</v>
      </c>
      <c r="E106" s="176" t="str">
        <f>VLOOKUP($B106,'Выгр Торг'!$B:$Q,E$1,0)</f>
        <v>Руль анатомический "Ferrum" Cross Serie с обогревом (вставки из алькантары) для Лада Ларгус FL, Веста, XRAY (Синяя нить, Чёрный мат)</v>
      </c>
      <c r="F106" s="179" t="str">
        <f>VLOOKUP($B106,'Выгр Торг'!$B:$Q,F$1,0)</f>
        <v>Y</v>
      </c>
      <c r="G106" s="179" t="str">
        <f>VLOOKUP($B106,'Выгр Торг'!$B:$Q,G$1,0)</f>
        <v>1</v>
      </c>
      <c r="H106" s="177">
        <v>165070</v>
      </c>
      <c r="I106" s="156"/>
      <c r="J106" s="160">
        <v>830</v>
      </c>
      <c r="K106" s="161">
        <v>870</v>
      </c>
      <c r="L106" s="180">
        <f t="shared" si="76"/>
        <v>52050</v>
      </c>
      <c r="M106" s="180">
        <f t="shared" si="72"/>
        <v>53050</v>
      </c>
      <c r="N106" s="180">
        <f t="shared" si="73"/>
        <v>46050</v>
      </c>
      <c r="O106" s="107">
        <f t="shared" si="77"/>
        <v>1.0192122958693564</v>
      </c>
      <c r="P106" s="132">
        <f t="shared" si="47"/>
        <v>1.1499999999999999</v>
      </c>
      <c r="Q106" s="180">
        <f t="shared" si="74"/>
        <v>64362.90322580644</v>
      </c>
      <c r="R106" s="144">
        <f t="shared" si="78"/>
        <v>64390</v>
      </c>
      <c r="S106" s="179">
        <f>VLOOKUP($B106,'Выгр Торг'!$B:$Q,S$1,0)</f>
        <v>52050</v>
      </c>
      <c r="T106" s="179">
        <f>VLOOKUP($B106,'Выгр Торг'!$B:$Q,T$1,0)</f>
        <v>64390</v>
      </c>
      <c r="U106" s="94">
        <f t="shared" si="48"/>
        <v>0</v>
      </c>
      <c r="V106" s="94">
        <f t="shared" si="49"/>
        <v>0</v>
      </c>
      <c r="W106" s="182">
        <f t="shared" si="79"/>
        <v>59882.7</v>
      </c>
      <c r="X106" s="218">
        <f>IFERROR(VLOOKUP($B106,'Из ГУГЛа'!$B:$G,6,0)*Z106+Y106,VLOOKUP($B106,'Из ГУГЛа'!$B:$G,6,0))</f>
        <v>53090</v>
      </c>
      <c r="Y106" s="220">
        <f t="shared" si="75"/>
        <v>10800</v>
      </c>
      <c r="Z106" s="133">
        <v>1</v>
      </c>
      <c r="AA106" s="133">
        <v>1300</v>
      </c>
      <c r="AB106" s="184">
        <f t="shared" si="80"/>
        <v>0.15048414985590775</v>
      </c>
      <c r="AC106" s="184">
        <f t="shared" si="81"/>
        <v>-0.12794688265210016</v>
      </c>
      <c r="AD106" s="184">
        <f t="shared" si="82"/>
        <v>1.9980787704130698E-2</v>
      </c>
      <c r="AE106" s="222">
        <v>53090</v>
      </c>
      <c r="AF106" s="98" t="s">
        <v>648</v>
      </c>
      <c r="AH106" s="98" t="s">
        <v>134</v>
      </c>
    </row>
    <row r="107" spans="1:34" ht="61.5" thickTop="1" thickBot="1">
      <c r="A107" s="176" t="str">
        <f>INDEX('Выгр Торг'!$A:$A,MATCH($B107,'Выгр Торг'!$B:$B,0))</f>
        <v>Руль анатомический "Ferrum" Cross Serie с обогревом (вставки из алькантары) для Лада Ларгус FL, Веста, XRAY</v>
      </c>
      <c r="B107" s="178">
        <v>341396</v>
      </c>
      <c r="C107" s="179">
        <f>VLOOKUP($B107,'Выгр Торг'!$B:$Q,C$1,0)</f>
        <v>341396</v>
      </c>
      <c r="D107" s="189" t="s">
        <v>134</v>
      </c>
      <c r="E107" s="176" t="str">
        <f>VLOOKUP($B107,'Выгр Торг'!$B:$Q,E$1,0)</f>
        <v>Руль анатомический "Ferrum" Cross Serie с обогревом (вставки из алькантары) для Лада Ларгус FL, Веста, XRAY (Тёмно-серая нить, Чёрный мат)</v>
      </c>
      <c r="F107" s="179" t="str">
        <f>VLOOKUP($B107,'Выгр Торг'!$B:$Q,F$1,0)</f>
        <v>Y</v>
      </c>
      <c r="G107" s="179" t="str">
        <f>VLOOKUP($B107,'Выгр Торг'!$B:$Q,G$1,0)</f>
        <v>1</v>
      </c>
      <c r="H107" s="177">
        <v>165070</v>
      </c>
      <c r="I107" s="156"/>
      <c r="J107" s="160">
        <v>830</v>
      </c>
      <c r="K107" s="161">
        <v>870</v>
      </c>
      <c r="L107" s="180">
        <f t="shared" si="76"/>
        <v>52050</v>
      </c>
      <c r="M107" s="180">
        <f t="shared" si="72"/>
        <v>53050</v>
      </c>
      <c r="N107" s="180">
        <f t="shared" si="73"/>
        <v>46050</v>
      </c>
      <c r="O107" s="107">
        <f t="shared" si="77"/>
        <v>1.0192122958693564</v>
      </c>
      <c r="P107" s="132">
        <f t="shared" si="47"/>
        <v>1.1499999999999999</v>
      </c>
      <c r="Q107" s="180">
        <f t="shared" si="74"/>
        <v>64362.90322580644</v>
      </c>
      <c r="R107" s="144">
        <f t="shared" si="78"/>
        <v>64390</v>
      </c>
      <c r="S107" s="179">
        <f>VLOOKUP($B107,'Выгр Торг'!$B:$Q,S$1,0)</f>
        <v>52050</v>
      </c>
      <c r="T107" s="179">
        <f>VLOOKUP($B107,'Выгр Торг'!$B:$Q,T$1,0)</f>
        <v>64390</v>
      </c>
      <c r="U107" s="94">
        <f t="shared" si="48"/>
        <v>0</v>
      </c>
      <c r="V107" s="94">
        <f t="shared" si="49"/>
        <v>0</v>
      </c>
      <c r="W107" s="182">
        <f t="shared" si="79"/>
        <v>59882.7</v>
      </c>
      <c r="X107" s="218">
        <f>IFERROR(VLOOKUP($B107,'Из ГУГЛа'!$B:$G,6,0)*Z107+Y107,VLOOKUP($B107,'Из ГУГЛа'!$B:$G,6,0))</f>
        <v>53090</v>
      </c>
      <c r="Y107" s="220">
        <f t="shared" si="75"/>
        <v>10800</v>
      </c>
      <c r="Z107" s="133">
        <v>1</v>
      </c>
      <c r="AA107" s="133">
        <v>1300</v>
      </c>
      <c r="AB107" s="184">
        <f t="shared" si="80"/>
        <v>0.15048414985590775</v>
      </c>
      <c r="AC107" s="184">
        <f t="shared" si="81"/>
        <v>-0.12794688265210016</v>
      </c>
      <c r="AD107" s="184">
        <f t="shared" si="82"/>
        <v>1.9980787704130698E-2</v>
      </c>
      <c r="AE107" s="222">
        <v>53090</v>
      </c>
      <c r="AF107" s="98" t="s">
        <v>648</v>
      </c>
      <c r="AH107" s="98" t="s">
        <v>134</v>
      </c>
    </row>
    <row r="108" spans="1:34" ht="61.5" thickTop="1" thickBot="1">
      <c r="A108" s="176" t="str">
        <f>INDEX('Выгр Торг'!$A:$A,MATCH($B108,'Выгр Торг'!$B:$B,0))</f>
        <v>Руль анатомический "Ferrum" Cross Serie с обогревом (вставки из алькантары) для Лада Ларгус FL, Веста, XRAY</v>
      </c>
      <c r="B108" s="178">
        <v>341388</v>
      </c>
      <c r="C108" s="179">
        <f>VLOOKUP($B108,'Выгр Торг'!$B:$Q,C$1,0)</f>
        <v>341388</v>
      </c>
      <c r="D108" s="189" t="s">
        <v>134</v>
      </c>
      <c r="E108" s="176" t="str">
        <f>VLOOKUP($B108,'Выгр Торг'!$B:$Q,E$1,0)</f>
        <v>Руль анатомический "Ferrum" Cross Serie с обогревом (вставки из алькантары) для Лада Ларгус FL, Веста, XRAY (Фиолетовая нить, Чёрный мат)</v>
      </c>
      <c r="F108" s="179" t="str">
        <f>VLOOKUP($B108,'Выгр Торг'!$B:$Q,F$1,0)</f>
        <v>Y</v>
      </c>
      <c r="G108" s="179" t="str">
        <f>VLOOKUP($B108,'Выгр Торг'!$B:$Q,G$1,0)</f>
        <v>1</v>
      </c>
      <c r="H108" s="177">
        <v>165070</v>
      </c>
      <c r="I108" s="156"/>
      <c r="J108" s="160">
        <v>830</v>
      </c>
      <c r="K108" s="161">
        <v>870</v>
      </c>
      <c r="L108" s="180">
        <f t="shared" si="76"/>
        <v>52050</v>
      </c>
      <c r="M108" s="180">
        <f t="shared" si="72"/>
        <v>53050</v>
      </c>
      <c r="N108" s="180">
        <f t="shared" si="73"/>
        <v>46050</v>
      </c>
      <c r="O108" s="107">
        <f t="shared" si="77"/>
        <v>1.0192122958693564</v>
      </c>
      <c r="P108" s="132">
        <f t="shared" si="47"/>
        <v>1.1499999999999999</v>
      </c>
      <c r="Q108" s="180">
        <f t="shared" si="74"/>
        <v>64362.90322580644</v>
      </c>
      <c r="R108" s="144">
        <f t="shared" si="78"/>
        <v>64390</v>
      </c>
      <c r="S108" s="179">
        <f>VLOOKUP($B108,'Выгр Торг'!$B:$Q,S$1,0)</f>
        <v>52050</v>
      </c>
      <c r="T108" s="179">
        <f>VLOOKUP($B108,'Выгр Торг'!$B:$Q,T$1,0)</f>
        <v>64390</v>
      </c>
      <c r="U108" s="94">
        <f t="shared" si="48"/>
        <v>0</v>
      </c>
      <c r="V108" s="94">
        <f t="shared" si="49"/>
        <v>0</v>
      </c>
      <c r="W108" s="182">
        <f t="shared" si="79"/>
        <v>59882.7</v>
      </c>
      <c r="X108" s="218">
        <f>IFERROR(VLOOKUP($B108,'Из ГУГЛа'!$B:$G,6,0)*Z108+Y108,VLOOKUP($B108,'Из ГУГЛа'!$B:$G,6,0))</f>
        <v>53090</v>
      </c>
      <c r="Y108" s="220">
        <f t="shared" si="75"/>
        <v>10800</v>
      </c>
      <c r="Z108" s="133">
        <v>1</v>
      </c>
      <c r="AA108" s="133">
        <v>1300</v>
      </c>
      <c r="AB108" s="184">
        <f t="shared" si="80"/>
        <v>0.15048414985590775</v>
      </c>
      <c r="AC108" s="184">
        <f t="shared" si="81"/>
        <v>-0.12794688265210016</v>
      </c>
      <c r="AD108" s="184">
        <f t="shared" si="82"/>
        <v>1.9980787704130698E-2</v>
      </c>
      <c r="AE108" s="222">
        <v>53090</v>
      </c>
      <c r="AF108" s="98" t="s">
        <v>648</v>
      </c>
      <c r="AH108" s="98" t="s">
        <v>134</v>
      </c>
    </row>
    <row r="109" spans="1:34" ht="61.5" thickTop="1" thickBot="1">
      <c r="A109" s="176" t="str">
        <f>INDEX('Выгр Торг'!$A:$A,MATCH($B109,'Выгр Торг'!$B:$B,0))</f>
        <v>Руль анатомический "Ferrum" Cross Serie с обогревом (вставки из алькантары) для Лада Ларгус FL, Веста, XRAY</v>
      </c>
      <c r="B109" s="178">
        <v>132520</v>
      </c>
      <c r="C109" s="179">
        <f>VLOOKUP($B109,'Выгр Торг'!$B:$Q,C$1,0)</f>
        <v>165077</v>
      </c>
      <c r="D109" s="189" t="s">
        <v>134</v>
      </c>
      <c r="E109" s="176" t="str">
        <f>VLOOKUP($B109,'Выгр Торг'!$B:$Q,E$1,0)</f>
        <v>Руль анатомический "Ferrum" Cross Serie с обогревом (вставки из алькантары) для Лада Ларгус FL, Веста, XRAY (Жёлтая нить, Чёрный глянец)</v>
      </c>
      <c r="F109" s="179" t="str">
        <f>VLOOKUP($B109,'Выгр Торг'!$B:$Q,F$1,0)</f>
        <v>Y</v>
      </c>
      <c r="G109" s="179" t="str">
        <f>VLOOKUP($B109,'Выгр Торг'!$B:$Q,G$1,0)</f>
        <v>1</v>
      </c>
      <c r="H109" s="177">
        <v>165070</v>
      </c>
      <c r="I109" s="156"/>
      <c r="J109" s="160"/>
      <c r="K109" s="161">
        <v>870</v>
      </c>
      <c r="L109" s="180">
        <f t="shared" ref="L109" si="83">M109-1000</f>
        <v>51220</v>
      </c>
      <c r="M109" s="180">
        <f t="shared" si="72"/>
        <v>52220</v>
      </c>
      <c r="N109" s="180">
        <f t="shared" si="73"/>
        <v>45220</v>
      </c>
      <c r="O109" s="107">
        <f t="shared" ref="O109" si="84">M109/L109</f>
        <v>1.0195236235845373</v>
      </c>
      <c r="P109" s="132">
        <f t="shared" si="47"/>
        <v>1.1499999999999999</v>
      </c>
      <c r="Q109" s="180">
        <f t="shared" si="74"/>
        <v>63336.559139784935</v>
      </c>
      <c r="R109" s="144">
        <f t="shared" ref="R109" si="85">IF(Q109&lt;=1000,(ROUNDUP(Q109,-2)-1),(ROUNDUP(Q109,-2)-10))</f>
        <v>63390</v>
      </c>
      <c r="S109" s="179">
        <f>VLOOKUP($B109,'Выгр Торг'!$B:$Q,S$1,0)</f>
        <v>51220</v>
      </c>
      <c r="T109" s="179">
        <f>VLOOKUP($B109,'Выгр Торг'!$B:$Q,T$1,0)</f>
        <v>63390</v>
      </c>
      <c r="U109" s="94">
        <f t="shared" si="48"/>
        <v>0</v>
      </c>
      <c r="V109" s="94">
        <f t="shared" si="49"/>
        <v>0</v>
      </c>
      <c r="W109" s="182">
        <f t="shared" ref="W109" si="86">R109*(1-$W$2)</f>
        <v>58952.7</v>
      </c>
      <c r="X109" s="218">
        <f>IFERROR(VLOOKUP($B109,'Из ГУГЛа'!$B:$G,6,0)*Z109+Y109,VLOOKUP($B109,'Из ГУГЛа'!$B:$G,6,0))</f>
        <v>52260</v>
      </c>
      <c r="Y109" s="220">
        <f t="shared" si="75"/>
        <v>9970</v>
      </c>
      <c r="Z109" s="133">
        <v>1</v>
      </c>
      <c r="AA109" s="133"/>
      <c r="AB109" s="184">
        <f t="shared" ref="AB109" si="87">IFERROR(W109/L109-1,"")</f>
        <v>0.15097032409215139</v>
      </c>
      <c r="AC109" s="184">
        <f t="shared" ref="AC109" si="88">IFERROR((AE109-W109)/AE109,"")</f>
        <v>-0.12806544202066583</v>
      </c>
      <c r="AD109" s="184">
        <f t="shared" ref="AD109" si="89">IFERROR(IF(AE109="","",AE109/L109-1),"")</f>
        <v>2.0304568527918843E-2</v>
      </c>
      <c r="AE109" s="222">
        <v>52260</v>
      </c>
      <c r="AF109" s="98" t="s">
        <v>648</v>
      </c>
      <c r="AH109" s="98" t="s">
        <v>134</v>
      </c>
    </row>
    <row r="110" spans="1:34" ht="61.5" thickTop="1" thickBot="1">
      <c r="A110" s="125" t="str">
        <f>INDEX('Выгр Торг'!$A:$A,MATCH($B110,'Выгр Торг'!$B:$B,0))</f>
        <v>Руль анатомический "Ferrum" Cross Serie с обогревом (вставки из алькантары) для Лада Ларгус FL, Веста, XRAY</v>
      </c>
      <c r="B110" s="126">
        <v>132521</v>
      </c>
      <c r="C110" s="127">
        <f>VLOOKUP($B110,'Выгр Торг'!$B:$Q,C$1,0)</f>
        <v>165081</v>
      </c>
      <c r="D110" s="128" t="s">
        <v>134</v>
      </c>
      <c r="E110" s="125" t="str">
        <f>VLOOKUP($B110,'Выгр Торг'!$B:$Q,E$1,0)</f>
        <v>Руль анатомический "Ferrum" Cross Serie с обогревом (вставки из алькантары) для Лада Ларгус FL, Веста, XRAY (Зелёная нить, Чёрный глянец)</v>
      </c>
      <c r="F110" s="127" t="str">
        <f>VLOOKUP($B110,'Выгр Торг'!$B:$Q,F$1,0)</f>
        <v>Y</v>
      </c>
      <c r="G110" s="127" t="str">
        <f>VLOOKUP($B110,'Выгр Торг'!$B:$Q,G$1,0)</f>
        <v>1</v>
      </c>
      <c r="H110" s="40">
        <v>165070</v>
      </c>
      <c r="I110" s="156"/>
      <c r="J110" s="160"/>
      <c r="K110" s="161">
        <v>870</v>
      </c>
      <c r="L110" s="130">
        <f t="shared" ref="L110:L120" si="90">M110-1000</f>
        <v>51220</v>
      </c>
      <c r="M110" s="130">
        <f t="shared" si="72"/>
        <v>52220</v>
      </c>
      <c r="N110" s="130">
        <f t="shared" si="73"/>
        <v>45220</v>
      </c>
      <c r="O110" s="132">
        <f t="shared" si="54"/>
        <v>1.0195236235845373</v>
      </c>
      <c r="P110" s="132">
        <f t="shared" si="47"/>
        <v>1.1499999999999999</v>
      </c>
      <c r="Q110" s="130">
        <f t="shared" si="74"/>
        <v>63336.559139784935</v>
      </c>
      <c r="R110" s="148">
        <f t="shared" si="56"/>
        <v>63390</v>
      </c>
      <c r="S110" s="127">
        <f>VLOOKUP($B110,'Выгр Торг'!$B:$Q,S$1,0)</f>
        <v>51220</v>
      </c>
      <c r="T110" s="127">
        <f>VLOOKUP($B110,'Выгр Торг'!$B:$Q,T$1,0)</f>
        <v>63390</v>
      </c>
      <c r="U110" s="94">
        <f t="shared" si="48"/>
        <v>0</v>
      </c>
      <c r="V110" s="94">
        <f t="shared" si="49"/>
        <v>0</v>
      </c>
      <c r="W110" s="153">
        <f t="shared" si="57"/>
        <v>58952.7</v>
      </c>
      <c r="X110" s="209">
        <f>IFERROR(VLOOKUP($B110,'Из ГУГЛа'!$B:$G,6,0)*Z110+Y110,VLOOKUP($B110,'Из ГУГЛа'!$B:$G,6,0))</f>
        <v>52260</v>
      </c>
      <c r="Y110" s="220">
        <f t="shared" si="75"/>
        <v>9970</v>
      </c>
      <c r="Z110" s="133">
        <v>1</v>
      </c>
      <c r="AA110" s="134"/>
      <c r="AB110" s="135">
        <f t="shared" si="50"/>
        <v>0.15097032409215139</v>
      </c>
      <c r="AC110" s="135">
        <f t="shared" si="51"/>
        <v>-0.12806544202066583</v>
      </c>
      <c r="AD110" s="135">
        <f t="shared" si="52"/>
        <v>2.0304568527918843E-2</v>
      </c>
      <c r="AE110" s="222">
        <v>52260</v>
      </c>
      <c r="AF110" s="98" t="s">
        <v>648</v>
      </c>
      <c r="AH110" s="98" t="s">
        <v>134</v>
      </c>
    </row>
    <row r="111" spans="1:34" ht="61.5" thickTop="1" thickBot="1">
      <c r="A111" s="125" t="str">
        <f>INDEX('Выгр Торг'!$A:$A,MATCH($B111,'Выгр Торг'!$B:$B,0))</f>
        <v>Руль анатомический "Ferrum" Cross Serie с обогревом (вставки из алькантары) для Лада Ларгус FL, Веста, XRAY</v>
      </c>
      <c r="B111" s="126">
        <v>132522</v>
      </c>
      <c r="C111" s="127">
        <f>VLOOKUP($B111,'Выгр Торг'!$B:$Q,C$1,0)</f>
        <v>165073</v>
      </c>
      <c r="D111" s="128" t="s">
        <v>134</v>
      </c>
      <c r="E111" s="125" t="str">
        <f>VLOOKUP($B111,'Выгр Торг'!$B:$Q,E$1,0)</f>
        <v>Руль анатомический "Ferrum" Cross Serie с обогревом (вставки из алькантары) для Лада Ларгус FL, Веста, XRAY (Коричневая нить, Чёрный глянец)</v>
      </c>
      <c r="F111" s="127" t="str">
        <f>VLOOKUP($B111,'Выгр Торг'!$B:$Q,F$1,0)</f>
        <v>Y</v>
      </c>
      <c r="G111" s="127" t="str">
        <f>VLOOKUP($B111,'Выгр Торг'!$B:$Q,G$1,0)</f>
        <v>1</v>
      </c>
      <c r="H111" s="40">
        <v>165070</v>
      </c>
      <c r="I111" s="156"/>
      <c r="J111" s="160"/>
      <c r="K111" s="161">
        <v>870</v>
      </c>
      <c r="L111" s="130">
        <f t="shared" si="90"/>
        <v>51220</v>
      </c>
      <c r="M111" s="130">
        <f t="shared" si="72"/>
        <v>52220</v>
      </c>
      <c r="N111" s="130">
        <f t="shared" si="73"/>
        <v>45220</v>
      </c>
      <c r="O111" s="132">
        <f t="shared" si="54"/>
        <v>1.0195236235845373</v>
      </c>
      <c r="P111" s="132">
        <f t="shared" si="47"/>
        <v>1.1499999999999999</v>
      </c>
      <c r="Q111" s="130">
        <f t="shared" si="74"/>
        <v>63336.559139784935</v>
      </c>
      <c r="R111" s="148">
        <f t="shared" si="56"/>
        <v>63390</v>
      </c>
      <c r="S111" s="127">
        <f>VLOOKUP($B111,'Выгр Торг'!$B:$Q,S$1,0)</f>
        <v>51220</v>
      </c>
      <c r="T111" s="127">
        <f>VLOOKUP($B111,'Выгр Торг'!$B:$Q,T$1,0)</f>
        <v>63390</v>
      </c>
      <c r="U111" s="94">
        <f t="shared" si="48"/>
        <v>0</v>
      </c>
      <c r="V111" s="94">
        <f t="shared" si="49"/>
        <v>0</v>
      </c>
      <c r="W111" s="153">
        <f t="shared" si="57"/>
        <v>58952.7</v>
      </c>
      <c r="X111" s="209">
        <f>IFERROR(VLOOKUP($B111,'Из ГУГЛа'!$B:$G,6,0)*Z111+Y111,VLOOKUP($B111,'Из ГУГЛа'!$B:$G,6,0))</f>
        <v>52260</v>
      </c>
      <c r="Y111" s="220">
        <f t="shared" si="75"/>
        <v>9970</v>
      </c>
      <c r="Z111" s="133">
        <v>1</v>
      </c>
      <c r="AA111" s="134"/>
      <c r="AB111" s="135">
        <f t="shared" si="50"/>
        <v>0.15097032409215139</v>
      </c>
      <c r="AC111" s="135">
        <f t="shared" si="51"/>
        <v>-0.12806544202066583</v>
      </c>
      <c r="AD111" s="135">
        <f t="shared" si="52"/>
        <v>2.0304568527918843E-2</v>
      </c>
      <c r="AE111" s="222">
        <v>52260</v>
      </c>
      <c r="AF111" s="98" t="s">
        <v>648</v>
      </c>
      <c r="AH111" s="98" t="s">
        <v>134</v>
      </c>
    </row>
    <row r="112" spans="1:34" ht="61.5" thickTop="1" thickBot="1">
      <c r="A112" s="125" t="str">
        <f>INDEX('Выгр Торг'!$A:$A,MATCH($B112,'Выгр Торг'!$B:$B,0))</f>
        <v>Руль анатомический "Ferrum" Cross Serie с обогревом (вставки из алькантары) для Лада Ларгус FL, Веста, XRAY</v>
      </c>
      <c r="B112" s="126">
        <v>132523</v>
      </c>
      <c r="C112" s="127">
        <f>VLOOKUP($B112,'Выгр Торг'!$B:$Q,C$1,0)</f>
        <v>165080</v>
      </c>
      <c r="D112" s="128" t="s">
        <v>134</v>
      </c>
      <c r="E112" s="125" t="str">
        <f>VLOOKUP($B112,'Выгр Торг'!$B:$Q,E$1,0)</f>
        <v>Руль анатомический "Ferrum" Cross Serie с обогревом (вставки из алькантары) для Лада Ларгус FL, Веста, XRAY (Красная нить, Чёрный глянец)</v>
      </c>
      <c r="F112" s="127" t="str">
        <f>VLOOKUP($B112,'Выгр Торг'!$B:$Q,F$1,0)</f>
        <v>Y</v>
      </c>
      <c r="G112" s="127" t="str">
        <f>VLOOKUP($B112,'Выгр Торг'!$B:$Q,G$1,0)</f>
        <v>1</v>
      </c>
      <c r="H112" s="40">
        <v>165070</v>
      </c>
      <c r="I112" s="156"/>
      <c r="J112" s="160"/>
      <c r="K112" s="161">
        <v>870</v>
      </c>
      <c r="L112" s="130">
        <f t="shared" si="90"/>
        <v>51220</v>
      </c>
      <c r="M112" s="130">
        <f t="shared" si="72"/>
        <v>52220</v>
      </c>
      <c r="N112" s="130">
        <f t="shared" si="73"/>
        <v>45220</v>
      </c>
      <c r="O112" s="132">
        <f t="shared" si="54"/>
        <v>1.0195236235845373</v>
      </c>
      <c r="P112" s="132">
        <f t="shared" si="47"/>
        <v>1.1499999999999999</v>
      </c>
      <c r="Q112" s="130">
        <f t="shared" si="74"/>
        <v>63336.559139784935</v>
      </c>
      <c r="R112" s="148">
        <f t="shared" si="56"/>
        <v>63390</v>
      </c>
      <c r="S112" s="127">
        <f>VLOOKUP($B112,'Выгр Торг'!$B:$Q,S$1,0)</f>
        <v>51220</v>
      </c>
      <c r="T112" s="127">
        <f>VLOOKUP($B112,'Выгр Торг'!$B:$Q,T$1,0)</f>
        <v>63390</v>
      </c>
      <c r="U112" s="94">
        <f t="shared" si="48"/>
        <v>0</v>
      </c>
      <c r="V112" s="94">
        <f t="shared" si="49"/>
        <v>0</v>
      </c>
      <c r="W112" s="153">
        <f t="shared" si="57"/>
        <v>58952.7</v>
      </c>
      <c r="X112" s="209">
        <f>IFERROR(VLOOKUP($B112,'Из ГУГЛа'!$B:$G,6,0)*Z112+Y112,VLOOKUP($B112,'Из ГУГЛа'!$B:$G,6,0))</f>
        <v>52260</v>
      </c>
      <c r="Y112" s="220">
        <f t="shared" si="75"/>
        <v>9970</v>
      </c>
      <c r="Z112" s="133">
        <v>1</v>
      </c>
      <c r="AA112" s="134"/>
      <c r="AB112" s="135">
        <f t="shared" si="50"/>
        <v>0.15097032409215139</v>
      </c>
      <c r="AC112" s="135">
        <f t="shared" si="51"/>
        <v>-0.12806544202066583</v>
      </c>
      <c r="AD112" s="135">
        <f t="shared" si="52"/>
        <v>2.0304568527918843E-2</v>
      </c>
      <c r="AE112" s="222">
        <v>52260</v>
      </c>
      <c r="AF112" s="98" t="s">
        <v>648</v>
      </c>
      <c r="AH112" s="98" t="s">
        <v>134</v>
      </c>
    </row>
    <row r="113" spans="1:34" ht="61.5" thickTop="1" thickBot="1">
      <c r="A113" s="125" t="str">
        <f>INDEX('Выгр Торг'!$A:$A,MATCH($B113,'Выгр Торг'!$B:$B,0))</f>
        <v>Руль анатомический "Ferrum" Cross Serie с обогревом (вставки из алькантары) для Лада Ларгус FL, Веста, XRAY</v>
      </c>
      <c r="B113" s="126">
        <v>132524</v>
      </c>
      <c r="C113" s="127">
        <f>VLOOKUP($B113,'Выгр Торг'!$B:$Q,C$1,0)</f>
        <v>165076</v>
      </c>
      <c r="D113" s="128" t="s">
        <v>134</v>
      </c>
      <c r="E113" s="125" t="str">
        <f>VLOOKUP($B113,'Выгр Торг'!$B:$Q,E$1,0)</f>
        <v>Руль анатомический "Ferrum" Cross Serie с обогревом (вставки из алькантары) для Лада Ларгус FL, Веста, XRAY (Оранжевая нить, Чёрный глянец)</v>
      </c>
      <c r="F113" s="127" t="str">
        <f>VLOOKUP($B113,'Выгр Торг'!$B:$Q,F$1,0)</f>
        <v>Y</v>
      </c>
      <c r="G113" s="127" t="str">
        <f>VLOOKUP($B113,'Выгр Торг'!$B:$Q,G$1,0)</f>
        <v>1</v>
      </c>
      <c r="H113" s="40">
        <v>165070</v>
      </c>
      <c r="I113" s="156"/>
      <c r="J113" s="160"/>
      <c r="K113" s="161">
        <v>870</v>
      </c>
      <c r="L113" s="130">
        <f t="shared" si="90"/>
        <v>51220</v>
      </c>
      <c r="M113" s="130">
        <f t="shared" si="72"/>
        <v>52220</v>
      </c>
      <c r="N113" s="130">
        <f t="shared" si="73"/>
        <v>45220</v>
      </c>
      <c r="O113" s="132">
        <f t="shared" si="54"/>
        <v>1.0195236235845373</v>
      </c>
      <c r="P113" s="132">
        <f t="shared" si="47"/>
        <v>1.1499999999999999</v>
      </c>
      <c r="Q113" s="130">
        <f t="shared" si="74"/>
        <v>63336.559139784935</v>
      </c>
      <c r="R113" s="148">
        <f t="shared" si="56"/>
        <v>63390</v>
      </c>
      <c r="S113" s="127">
        <f>VLOOKUP($B113,'Выгр Торг'!$B:$Q,S$1,0)</f>
        <v>51220</v>
      </c>
      <c r="T113" s="127">
        <f>VLOOKUP($B113,'Выгр Торг'!$B:$Q,T$1,0)</f>
        <v>63390</v>
      </c>
      <c r="U113" s="94">
        <f t="shared" si="48"/>
        <v>0</v>
      </c>
      <c r="V113" s="94">
        <f t="shared" si="49"/>
        <v>0</v>
      </c>
      <c r="W113" s="153">
        <f t="shared" si="57"/>
        <v>58952.7</v>
      </c>
      <c r="X113" s="209">
        <f>IFERROR(VLOOKUP($B113,'Из ГУГЛа'!$B:$G,6,0)*Z113+Y113,VLOOKUP($B113,'Из ГУГЛа'!$B:$G,6,0))</f>
        <v>52260</v>
      </c>
      <c r="Y113" s="220">
        <f t="shared" si="75"/>
        <v>9970</v>
      </c>
      <c r="Z113" s="133">
        <v>1</v>
      </c>
      <c r="AA113" s="134"/>
      <c r="AB113" s="135">
        <f t="shared" si="50"/>
        <v>0.15097032409215139</v>
      </c>
      <c r="AC113" s="135">
        <f t="shared" si="51"/>
        <v>-0.12806544202066583</v>
      </c>
      <c r="AD113" s="135">
        <f t="shared" si="52"/>
        <v>2.0304568527918843E-2</v>
      </c>
      <c r="AE113" s="222">
        <v>52260</v>
      </c>
      <c r="AF113" s="98" t="s">
        <v>648</v>
      </c>
      <c r="AH113" s="98" t="s">
        <v>134</v>
      </c>
    </row>
    <row r="114" spans="1:34" ht="61.5" thickTop="1" thickBot="1">
      <c r="A114" s="125" t="str">
        <f>INDEX('Выгр Торг'!$A:$A,MATCH($B114,'Выгр Торг'!$B:$B,0))</f>
        <v>Руль анатомический "Ferrum" Cross Serie с обогревом (вставки из алькантары) для Лада Ларгус FL, Веста, XRAY</v>
      </c>
      <c r="B114" s="126">
        <v>132525</v>
      </c>
      <c r="C114" s="127">
        <f>VLOOKUP($B114,'Выгр Торг'!$B:$Q,C$1,0)</f>
        <v>165078</v>
      </c>
      <c r="D114" s="128" t="s">
        <v>134</v>
      </c>
      <c r="E114" s="125" t="str">
        <f>VLOOKUP($B114,'Выгр Торг'!$B:$Q,E$1,0)</f>
        <v>Руль анатомический "Ferrum" Cross Serie с обогревом (вставки из алькантары) для Лада Ларгус FL, Веста, XRAY (Салатовая нить, Чёрный глянец)</v>
      </c>
      <c r="F114" s="127" t="str">
        <f>VLOOKUP($B114,'Выгр Торг'!$B:$Q,F$1,0)</f>
        <v>Y</v>
      </c>
      <c r="G114" s="127" t="str">
        <f>VLOOKUP($B114,'Выгр Торг'!$B:$Q,G$1,0)</f>
        <v>1</v>
      </c>
      <c r="H114" s="40">
        <v>165070</v>
      </c>
      <c r="I114" s="156"/>
      <c r="J114" s="160"/>
      <c r="K114" s="161">
        <v>870</v>
      </c>
      <c r="L114" s="130">
        <f t="shared" si="90"/>
        <v>51220</v>
      </c>
      <c r="M114" s="130">
        <f t="shared" si="72"/>
        <v>52220</v>
      </c>
      <c r="N114" s="130">
        <f t="shared" si="73"/>
        <v>45220</v>
      </c>
      <c r="O114" s="132">
        <f t="shared" si="54"/>
        <v>1.0195236235845373</v>
      </c>
      <c r="P114" s="132">
        <f t="shared" si="47"/>
        <v>1.1499999999999999</v>
      </c>
      <c r="Q114" s="130">
        <f t="shared" si="74"/>
        <v>63336.559139784935</v>
      </c>
      <c r="R114" s="148">
        <f t="shared" si="56"/>
        <v>63390</v>
      </c>
      <c r="S114" s="127">
        <f>VLOOKUP($B114,'Выгр Торг'!$B:$Q,S$1,0)</f>
        <v>51220</v>
      </c>
      <c r="T114" s="127">
        <f>VLOOKUP($B114,'Выгр Торг'!$B:$Q,T$1,0)</f>
        <v>63390</v>
      </c>
      <c r="U114" s="94">
        <f t="shared" si="48"/>
        <v>0</v>
      </c>
      <c r="V114" s="94">
        <f t="shared" si="49"/>
        <v>0</v>
      </c>
      <c r="W114" s="153">
        <f t="shared" si="57"/>
        <v>58952.7</v>
      </c>
      <c r="X114" s="209">
        <f>IFERROR(VLOOKUP($B114,'Из ГУГЛа'!$B:$G,6,0)*Z114+Y114,VLOOKUP($B114,'Из ГУГЛа'!$B:$G,6,0))</f>
        <v>52260</v>
      </c>
      <c r="Y114" s="220">
        <f t="shared" si="75"/>
        <v>9970</v>
      </c>
      <c r="Z114" s="133">
        <v>1</v>
      </c>
      <c r="AA114" s="134"/>
      <c r="AB114" s="135">
        <f t="shared" si="50"/>
        <v>0.15097032409215139</v>
      </c>
      <c r="AC114" s="135">
        <f t="shared" si="51"/>
        <v>-0.12806544202066583</v>
      </c>
      <c r="AD114" s="135">
        <f t="shared" si="52"/>
        <v>2.0304568527918843E-2</v>
      </c>
      <c r="AE114" s="222">
        <v>52260</v>
      </c>
      <c r="AF114" s="98" t="s">
        <v>648</v>
      </c>
      <c r="AH114" s="98" t="s">
        <v>134</v>
      </c>
    </row>
    <row r="115" spans="1:34" ht="61.5" thickTop="1" thickBot="1">
      <c r="A115" s="125" t="str">
        <f>INDEX('Выгр Торг'!$A:$A,MATCH($B115,'Выгр Торг'!$B:$B,0))</f>
        <v>Руль анатомический "Ferrum" Cross Serie с обогревом (вставки из алькантары) для Лада Ларгус FL, Веста, XRAY</v>
      </c>
      <c r="B115" s="126">
        <v>132526</v>
      </c>
      <c r="C115" s="127">
        <f>VLOOKUP($B115,'Выгр Торг'!$B:$Q,C$1,0)</f>
        <v>165079</v>
      </c>
      <c r="D115" s="128" t="s">
        <v>134</v>
      </c>
      <c r="E115" s="125" t="str">
        <f>VLOOKUP($B115,'Выгр Торг'!$B:$Q,E$1,0)</f>
        <v>Руль анатомический "Ferrum" Cross Serie с обогревом (вставки из алькантары) для Лада Ларгус FL, Веста, XRAY (Светло-серая нить, Чёрный глянец)</v>
      </c>
      <c r="F115" s="127" t="str">
        <f>VLOOKUP($B115,'Выгр Торг'!$B:$Q,F$1,0)</f>
        <v>Y</v>
      </c>
      <c r="G115" s="127" t="str">
        <f>VLOOKUP($B115,'Выгр Торг'!$B:$Q,G$1,0)</f>
        <v>1</v>
      </c>
      <c r="H115" s="40">
        <v>165070</v>
      </c>
      <c r="I115" s="156"/>
      <c r="J115" s="160"/>
      <c r="K115" s="161">
        <v>870</v>
      </c>
      <c r="L115" s="130">
        <f t="shared" si="90"/>
        <v>51220</v>
      </c>
      <c r="M115" s="130">
        <f t="shared" si="72"/>
        <v>52220</v>
      </c>
      <c r="N115" s="130">
        <f t="shared" si="73"/>
        <v>45220</v>
      </c>
      <c r="O115" s="132">
        <f t="shared" si="54"/>
        <v>1.0195236235845373</v>
      </c>
      <c r="P115" s="132">
        <f t="shared" si="47"/>
        <v>1.1499999999999999</v>
      </c>
      <c r="Q115" s="130">
        <f t="shared" si="74"/>
        <v>63336.559139784935</v>
      </c>
      <c r="R115" s="148">
        <f t="shared" si="56"/>
        <v>63390</v>
      </c>
      <c r="S115" s="127">
        <f>VLOOKUP($B115,'Выгр Торг'!$B:$Q,S$1,0)</f>
        <v>51220</v>
      </c>
      <c r="T115" s="127">
        <f>VLOOKUP($B115,'Выгр Торг'!$B:$Q,T$1,0)</f>
        <v>63390</v>
      </c>
      <c r="U115" s="94">
        <f t="shared" si="48"/>
        <v>0</v>
      </c>
      <c r="V115" s="94">
        <f t="shared" si="49"/>
        <v>0</v>
      </c>
      <c r="W115" s="153">
        <f t="shared" si="57"/>
        <v>58952.7</v>
      </c>
      <c r="X115" s="209">
        <f>IFERROR(VLOOKUP($B115,'Из ГУГЛа'!$B:$G,6,0)*Z115+Y115,VLOOKUP($B115,'Из ГУГЛа'!$B:$G,6,0))</f>
        <v>52260</v>
      </c>
      <c r="Y115" s="220">
        <f t="shared" si="75"/>
        <v>9970</v>
      </c>
      <c r="Z115" s="133">
        <v>1</v>
      </c>
      <c r="AA115" s="134"/>
      <c r="AB115" s="135">
        <f t="shared" si="50"/>
        <v>0.15097032409215139</v>
      </c>
      <c r="AC115" s="135">
        <f t="shared" si="51"/>
        <v>-0.12806544202066583</v>
      </c>
      <c r="AD115" s="135">
        <f t="shared" si="52"/>
        <v>2.0304568527918843E-2</v>
      </c>
      <c r="AE115" s="222">
        <v>52260</v>
      </c>
      <c r="AF115" s="98" t="s">
        <v>648</v>
      </c>
      <c r="AH115" s="98" t="s">
        <v>134</v>
      </c>
    </row>
    <row r="116" spans="1:34" ht="61.5" thickTop="1" thickBot="1">
      <c r="A116" s="125" t="str">
        <f>INDEX('Выгр Торг'!$A:$A,MATCH($B116,'Выгр Торг'!$B:$B,0))</f>
        <v>Руль анатомический "Ferrum" Cross Serie с обогревом (вставки из алькантары) для Лада Ларгус FL, Веста, XRAY</v>
      </c>
      <c r="B116" s="126">
        <v>132527</v>
      </c>
      <c r="C116" s="127">
        <f>VLOOKUP($B116,'Выгр Торг'!$B:$Q,C$1,0)</f>
        <v>165075</v>
      </c>
      <c r="D116" s="128" t="s">
        <v>134</v>
      </c>
      <c r="E116" s="125" t="str">
        <f>VLOOKUP($B116,'Выгр Торг'!$B:$Q,E$1,0)</f>
        <v>Руль анатомический "Ferrum" Cross Serie с обогревом (вставки из алькантары) для Лада Ларгус FL, Веста, XRAY (Сине-зелёная нить, Чёрный глянец)</v>
      </c>
      <c r="F116" s="127" t="str">
        <f>VLOOKUP($B116,'Выгр Торг'!$B:$Q,F$1,0)</f>
        <v>Y</v>
      </c>
      <c r="G116" s="127" t="str">
        <f>VLOOKUP($B116,'Выгр Торг'!$B:$Q,G$1,0)</f>
        <v>1</v>
      </c>
      <c r="H116" s="40">
        <v>165070</v>
      </c>
      <c r="I116" s="156"/>
      <c r="J116" s="160"/>
      <c r="K116" s="161">
        <v>870</v>
      </c>
      <c r="L116" s="130">
        <f t="shared" si="90"/>
        <v>51220</v>
      </c>
      <c r="M116" s="130">
        <f t="shared" si="72"/>
        <v>52220</v>
      </c>
      <c r="N116" s="130">
        <f t="shared" si="73"/>
        <v>45220</v>
      </c>
      <c r="O116" s="132">
        <f t="shared" si="54"/>
        <v>1.0195236235845373</v>
      </c>
      <c r="P116" s="132">
        <f t="shared" si="47"/>
        <v>1.1499999999999999</v>
      </c>
      <c r="Q116" s="130">
        <f t="shared" si="74"/>
        <v>63336.559139784935</v>
      </c>
      <c r="R116" s="148">
        <f t="shared" si="56"/>
        <v>63390</v>
      </c>
      <c r="S116" s="127">
        <f>VLOOKUP($B116,'Выгр Торг'!$B:$Q,S$1,0)</f>
        <v>51220</v>
      </c>
      <c r="T116" s="127">
        <f>VLOOKUP($B116,'Выгр Торг'!$B:$Q,T$1,0)</f>
        <v>63390</v>
      </c>
      <c r="U116" s="94">
        <f t="shared" si="48"/>
        <v>0</v>
      </c>
      <c r="V116" s="94">
        <f t="shared" si="49"/>
        <v>0</v>
      </c>
      <c r="W116" s="153">
        <f t="shared" si="57"/>
        <v>58952.7</v>
      </c>
      <c r="X116" s="209">
        <f>IFERROR(VLOOKUP($B116,'Из ГУГЛа'!$B:$G,6,0)*Z116+Y116,VLOOKUP($B116,'Из ГУГЛа'!$B:$G,6,0))</f>
        <v>52260</v>
      </c>
      <c r="Y116" s="220">
        <f t="shared" si="75"/>
        <v>9970</v>
      </c>
      <c r="Z116" s="133">
        <v>1</v>
      </c>
      <c r="AA116" s="134"/>
      <c r="AB116" s="135">
        <f t="shared" si="50"/>
        <v>0.15097032409215139</v>
      </c>
      <c r="AC116" s="135">
        <f t="shared" si="51"/>
        <v>-0.12806544202066583</v>
      </c>
      <c r="AD116" s="135">
        <f t="shared" si="52"/>
        <v>2.0304568527918843E-2</v>
      </c>
      <c r="AE116" s="222">
        <v>52260</v>
      </c>
      <c r="AF116" s="98" t="s">
        <v>648</v>
      </c>
      <c r="AH116" s="98" t="s">
        <v>134</v>
      </c>
    </row>
    <row r="117" spans="1:34" ht="61.5" thickTop="1" thickBot="1">
      <c r="A117" s="125" t="str">
        <f>INDEX('Выгр Торг'!$A:$A,MATCH($B117,'Выгр Торг'!$B:$B,0))</f>
        <v>Руль анатомический "Ferrum" Cross Serie с обогревом (вставки из алькантары) для Лада Ларгус FL, Веста, XRAY</v>
      </c>
      <c r="B117" s="126">
        <v>132528</v>
      </c>
      <c r="C117" s="127">
        <f>VLOOKUP($B117,'Выгр Торг'!$B:$Q,C$1,0)</f>
        <v>165074</v>
      </c>
      <c r="D117" s="128" t="s">
        <v>134</v>
      </c>
      <c r="E117" s="125" t="str">
        <f>VLOOKUP($B117,'Выгр Торг'!$B:$Q,E$1,0)</f>
        <v>Руль анатомический "Ferrum" Cross Serie с обогревом (вставки из алькантары) для Лада Ларгус FL, Веста, XRAY (Синяя нить, Чёрный глянец)</v>
      </c>
      <c r="F117" s="127" t="str">
        <f>VLOOKUP($B117,'Выгр Торг'!$B:$Q,F$1,0)</f>
        <v>Y</v>
      </c>
      <c r="G117" s="127" t="str">
        <f>VLOOKUP($B117,'Выгр Торг'!$B:$Q,G$1,0)</f>
        <v>1</v>
      </c>
      <c r="H117" s="40">
        <v>165070</v>
      </c>
      <c r="I117" s="156"/>
      <c r="J117" s="160"/>
      <c r="K117" s="161">
        <v>870</v>
      </c>
      <c r="L117" s="130">
        <f t="shared" si="90"/>
        <v>51220</v>
      </c>
      <c r="M117" s="130">
        <f t="shared" si="72"/>
        <v>52220</v>
      </c>
      <c r="N117" s="130">
        <f t="shared" si="73"/>
        <v>45220</v>
      </c>
      <c r="O117" s="132">
        <f t="shared" si="54"/>
        <v>1.0195236235845373</v>
      </c>
      <c r="P117" s="132">
        <f t="shared" si="47"/>
        <v>1.1499999999999999</v>
      </c>
      <c r="Q117" s="130">
        <f t="shared" si="74"/>
        <v>63336.559139784935</v>
      </c>
      <c r="R117" s="148">
        <f t="shared" si="56"/>
        <v>63390</v>
      </c>
      <c r="S117" s="127">
        <f>VLOOKUP($B117,'Выгр Торг'!$B:$Q,S$1,0)</f>
        <v>51220</v>
      </c>
      <c r="T117" s="127">
        <f>VLOOKUP($B117,'Выгр Торг'!$B:$Q,T$1,0)</f>
        <v>63390</v>
      </c>
      <c r="U117" s="94">
        <f t="shared" si="48"/>
        <v>0</v>
      </c>
      <c r="V117" s="94">
        <f t="shared" si="49"/>
        <v>0</v>
      </c>
      <c r="W117" s="153">
        <f t="shared" si="57"/>
        <v>58952.7</v>
      </c>
      <c r="X117" s="209">
        <f>IFERROR(VLOOKUP($B117,'Из ГУГЛа'!$B:$G,6,0)*Z117+Y117,VLOOKUP($B117,'Из ГУГЛа'!$B:$G,6,0))</f>
        <v>52260</v>
      </c>
      <c r="Y117" s="220">
        <f t="shared" si="75"/>
        <v>9970</v>
      </c>
      <c r="Z117" s="133">
        <v>1</v>
      </c>
      <c r="AA117" s="134"/>
      <c r="AB117" s="135">
        <f t="shared" si="50"/>
        <v>0.15097032409215139</v>
      </c>
      <c r="AC117" s="135">
        <f t="shared" si="51"/>
        <v>-0.12806544202066583</v>
      </c>
      <c r="AD117" s="135">
        <f t="shared" si="52"/>
        <v>2.0304568527918843E-2</v>
      </c>
      <c r="AE117" s="222">
        <v>52260</v>
      </c>
      <c r="AF117" s="98" t="s">
        <v>648</v>
      </c>
      <c r="AH117" s="98" t="s">
        <v>134</v>
      </c>
    </row>
    <row r="118" spans="1:34" ht="61.5" thickTop="1" thickBot="1">
      <c r="A118" s="125" t="str">
        <f>INDEX('Выгр Торг'!$A:$A,MATCH($B118,'Выгр Торг'!$B:$B,0))</f>
        <v>Руль анатомический "Ferrum" Cross Serie с обогревом (вставки из алькантары) для Лада Ларгус FL, Веста, XRAY</v>
      </c>
      <c r="B118" s="126">
        <v>132529</v>
      </c>
      <c r="C118" s="127">
        <f>VLOOKUP($B118,'Выгр Торг'!$B:$Q,C$1,0)</f>
        <v>165072</v>
      </c>
      <c r="D118" s="128" t="s">
        <v>134</v>
      </c>
      <c r="E118" s="125" t="str">
        <f>VLOOKUP($B118,'Выгр Торг'!$B:$Q,E$1,0)</f>
        <v>Руль анатомический "Ferrum" Cross Serie с обогревом (вставки из алькантары) для Лада Ларгус FL, Веста, XRAY (Тёмно-серая нить, Чёрный глянец)</v>
      </c>
      <c r="F118" s="127" t="str">
        <f>VLOOKUP($B118,'Выгр Торг'!$B:$Q,F$1,0)</f>
        <v>Y</v>
      </c>
      <c r="G118" s="127" t="str">
        <f>VLOOKUP($B118,'Выгр Торг'!$B:$Q,G$1,0)</f>
        <v>1</v>
      </c>
      <c r="H118" s="40">
        <v>165070</v>
      </c>
      <c r="I118" s="156"/>
      <c r="J118" s="160"/>
      <c r="K118" s="161">
        <v>870</v>
      </c>
      <c r="L118" s="130">
        <f t="shared" si="90"/>
        <v>51220</v>
      </c>
      <c r="M118" s="130">
        <f t="shared" si="72"/>
        <v>52220</v>
      </c>
      <c r="N118" s="130">
        <f t="shared" si="73"/>
        <v>45220</v>
      </c>
      <c r="O118" s="132">
        <f t="shared" si="54"/>
        <v>1.0195236235845373</v>
      </c>
      <c r="P118" s="132">
        <f t="shared" si="47"/>
        <v>1.1499999999999999</v>
      </c>
      <c r="Q118" s="130">
        <f t="shared" si="74"/>
        <v>63336.559139784935</v>
      </c>
      <c r="R118" s="148">
        <f t="shared" si="56"/>
        <v>63390</v>
      </c>
      <c r="S118" s="127">
        <f>VLOOKUP($B118,'Выгр Торг'!$B:$Q,S$1,0)</f>
        <v>51220</v>
      </c>
      <c r="T118" s="127">
        <f>VLOOKUP($B118,'Выгр Торг'!$B:$Q,T$1,0)</f>
        <v>63390</v>
      </c>
      <c r="U118" s="94">
        <f t="shared" si="48"/>
        <v>0</v>
      </c>
      <c r="V118" s="94">
        <f t="shared" si="49"/>
        <v>0</v>
      </c>
      <c r="W118" s="153">
        <f t="shared" si="57"/>
        <v>58952.7</v>
      </c>
      <c r="X118" s="209">
        <f>IFERROR(VLOOKUP($B118,'Из ГУГЛа'!$B:$G,6,0)*Z118+Y118,VLOOKUP($B118,'Из ГУГЛа'!$B:$G,6,0))</f>
        <v>52260</v>
      </c>
      <c r="Y118" s="220">
        <f t="shared" si="75"/>
        <v>9970</v>
      </c>
      <c r="Z118" s="133">
        <v>1</v>
      </c>
      <c r="AA118" s="134"/>
      <c r="AB118" s="135">
        <f t="shared" si="50"/>
        <v>0.15097032409215139</v>
      </c>
      <c r="AC118" s="135">
        <f t="shared" si="51"/>
        <v>-0.12806544202066583</v>
      </c>
      <c r="AD118" s="135">
        <f t="shared" si="52"/>
        <v>2.0304568527918843E-2</v>
      </c>
      <c r="AE118" s="222">
        <v>52260</v>
      </c>
      <c r="AF118" s="98" t="s">
        <v>648</v>
      </c>
      <c r="AH118" s="98" t="s">
        <v>134</v>
      </c>
    </row>
    <row r="119" spans="1:34" ht="61.5" thickTop="1" thickBot="1">
      <c r="A119" s="125" t="str">
        <f>INDEX('Выгр Торг'!$A:$A,MATCH($B119,'Выгр Торг'!$B:$B,0))</f>
        <v>Руль анатомический "Ferrum" Cross Serie с обогревом (вставки из алькантары) для Лада Ларгус FL, Веста, XRAY</v>
      </c>
      <c r="B119" s="126">
        <v>132530</v>
      </c>
      <c r="C119" s="127">
        <f>VLOOKUP($B119,'Выгр Торг'!$B:$Q,C$1,0)</f>
        <v>165071</v>
      </c>
      <c r="D119" s="128" t="s">
        <v>134</v>
      </c>
      <c r="E119" s="125" t="str">
        <f>VLOOKUP($B119,'Выгр Торг'!$B:$Q,E$1,0)</f>
        <v>Руль анатомический "Ferrum" Cross Serie с обогревом (вставки из алькантары) для Лада Ларгус FL, Веста, XRAY (Фиолетовая нить, Чёрный глянец)</v>
      </c>
      <c r="F119" s="127" t="str">
        <f>VLOOKUP($B119,'Выгр Торг'!$B:$Q,F$1,0)</f>
        <v>Y</v>
      </c>
      <c r="G119" s="127" t="str">
        <f>VLOOKUP($B119,'Выгр Торг'!$B:$Q,G$1,0)</f>
        <v>1</v>
      </c>
      <c r="H119" s="40">
        <v>165070</v>
      </c>
      <c r="I119" s="156"/>
      <c r="J119" s="160"/>
      <c r="K119" s="161">
        <v>870</v>
      </c>
      <c r="L119" s="130">
        <f t="shared" si="90"/>
        <v>51220</v>
      </c>
      <c r="M119" s="130">
        <f t="shared" si="72"/>
        <v>52220</v>
      </c>
      <c r="N119" s="130">
        <f t="shared" si="73"/>
        <v>45220</v>
      </c>
      <c r="O119" s="132">
        <f t="shared" si="54"/>
        <v>1.0195236235845373</v>
      </c>
      <c r="P119" s="132">
        <f t="shared" si="47"/>
        <v>1.1499999999999999</v>
      </c>
      <c r="Q119" s="130">
        <f t="shared" si="74"/>
        <v>63336.559139784935</v>
      </c>
      <c r="R119" s="148">
        <f t="shared" si="56"/>
        <v>63390</v>
      </c>
      <c r="S119" s="127">
        <f>VLOOKUP($B119,'Выгр Торг'!$B:$Q,S$1,0)</f>
        <v>51220</v>
      </c>
      <c r="T119" s="127">
        <f>VLOOKUP($B119,'Выгр Торг'!$B:$Q,T$1,0)</f>
        <v>63390</v>
      </c>
      <c r="U119" s="94">
        <f t="shared" si="48"/>
        <v>0</v>
      </c>
      <c r="V119" s="94">
        <f t="shared" si="49"/>
        <v>0</v>
      </c>
      <c r="W119" s="153">
        <f t="shared" si="57"/>
        <v>58952.7</v>
      </c>
      <c r="X119" s="209">
        <f>IFERROR(VLOOKUP($B119,'Из ГУГЛа'!$B:$G,6,0)*Z119+Y119,VLOOKUP($B119,'Из ГУГЛа'!$B:$G,6,0))</f>
        <v>52260</v>
      </c>
      <c r="Y119" s="220">
        <f t="shared" si="75"/>
        <v>9970</v>
      </c>
      <c r="Z119" s="133">
        <v>1</v>
      </c>
      <c r="AA119" s="134"/>
      <c r="AB119" s="135">
        <f t="shared" si="50"/>
        <v>0.15097032409215139</v>
      </c>
      <c r="AC119" s="135">
        <f t="shared" si="51"/>
        <v>-0.12806544202066583</v>
      </c>
      <c r="AD119" s="135">
        <f t="shared" si="52"/>
        <v>2.0304568527918843E-2</v>
      </c>
      <c r="AE119" s="222">
        <v>52260</v>
      </c>
      <c r="AF119" s="98" t="s">
        <v>648</v>
      </c>
      <c r="AH119" s="98" t="s">
        <v>134</v>
      </c>
    </row>
    <row r="120" spans="1:34" ht="61.5" thickTop="1" thickBot="1">
      <c r="A120" s="125" t="str">
        <f>INDEX('Выгр Торг'!$A:$A,MATCH($B120,'Выгр Торг'!$B:$B,0))</f>
        <v>Руль анатомический "Ferrum" Cross Serie с обогревом (вставки из алькантары) для Лада Ларгус FL, Веста, XRAY</v>
      </c>
      <c r="B120" s="126">
        <v>132519</v>
      </c>
      <c r="C120" s="127">
        <f>VLOOKUP($B120,'Выгр Торг'!$B:$Q,C$1,0)</f>
        <v>165082</v>
      </c>
      <c r="D120" s="128" t="s">
        <v>134</v>
      </c>
      <c r="E120" s="125" t="str">
        <f>VLOOKUP($B120,'Выгр Торг'!$B:$Q,E$1,0)</f>
        <v>Руль анатомический "Ferrum" Cross Serie с обогревом (вставки из алькантары) для Лада Ларгус FL, Веста, XRAY (Белая нить, Чёрный глянец)</v>
      </c>
      <c r="F120" s="127" t="str">
        <f>VLOOKUP($B120,'Выгр Торг'!$B:$Q,F$1,0)</f>
        <v>Y</v>
      </c>
      <c r="G120" s="127" t="str">
        <f>VLOOKUP($B120,'Выгр Торг'!$B:$Q,G$1,0)</f>
        <v>1</v>
      </c>
      <c r="H120" s="40">
        <v>165070</v>
      </c>
      <c r="I120" s="156"/>
      <c r="J120" s="160"/>
      <c r="K120" s="161">
        <v>870</v>
      </c>
      <c r="L120" s="130">
        <f t="shared" si="90"/>
        <v>51220</v>
      </c>
      <c r="M120" s="130">
        <f t="shared" si="72"/>
        <v>52220</v>
      </c>
      <c r="N120" s="130">
        <f t="shared" si="73"/>
        <v>45220</v>
      </c>
      <c r="O120" s="132">
        <f t="shared" si="54"/>
        <v>1.0195236235845373</v>
      </c>
      <c r="P120" s="132">
        <f t="shared" si="47"/>
        <v>1.1499999999999999</v>
      </c>
      <c r="Q120" s="130">
        <f t="shared" si="74"/>
        <v>63336.559139784935</v>
      </c>
      <c r="R120" s="148">
        <f t="shared" si="56"/>
        <v>63390</v>
      </c>
      <c r="S120" s="127">
        <f>VLOOKUP($B120,'Выгр Торг'!$B:$Q,S$1,0)</f>
        <v>51220</v>
      </c>
      <c r="T120" s="127">
        <f>VLOOKUP($B120,'Выгр Торг'!$B:$Q,T$1,0)</f>
        <v>63390</v>
      </c>
      <c r="U120" s="94">
        <f t="shared" si="48"/>
        <v>0</v>
      </c>
      <c r="V120" s="94">
        <f t="shared" si="49"/>
        <v>0</v>
      </c>
      <c r="W120" s="153">
        <f t="shared" si="57"/>
        <v>58952.7</v>
      </c>
      <c r="X120" s="209">
        <f>IFERROR(VLOOKUP($B120,'Из ГУГЛа'!$B:$G,6,0)*Z120+Y120,VLOOKUP($B120,'Из ГУГЛа'!$B:$G,6,0))</f>
        <v>52260</v>
      </c>
      <c r="Y120" s="220">
        <f t="shared" si="75"/>
        <v>9970</v>
      </c>
      <c r="Z120" s="133">
        <v>1</v>
      </c>
      <c r="AA120" s="134"/>
      <c r="AB120" s="135">
        <f t="shared" si="50"/>
        <v>0.15097032409215139</v>
      </c>
      <c r="AC120" s="135">
        <f t="shared" si="51"/>
        <v>-0.12806544202066583</v>
      </c>
      <c r="AD120" s="135">
        <f t="shared" si="52"/>
        <v>2.0304568527918843E-2</v>
      </c>
      <c r="AE120" s="222">
        <v>52260</v>
      </c>
      <c r="AF120" s="98" t="s">
        <v>648</v>
      </c>
      <c r="AH120" s="98" t="s">
        <v>134</v>
      </c>
    </row>
    <row r="121" spans="1:34" ht="46.5" thickTop="1" thickBot="1">
      <c r="A121" s="125" t="str">
        <f>INDEX('Выгр Торг'!$A:$A,MATCH($B121,'Выгр Торг'!$B:$B,0))</f>
        <v>Руль анатомический "Ferrum" Cross Serie с обогревом для Лада Ларгус FL, Веста, XRAY</v>
      </c>
      <c r="B121" s="126">
        <v>132545</v>
      </c>
      <c r="C121" s="127">
        <f>VLOOKUP($B121,'Выгр Торг'!$B:$Q,C$1,0)</f>
        <v>166591</v>
      </c>
      <c r="D121" s="128" t="s">
        <v>130</v>
      </c>
      <c r="E121" s="125" t="str">
        <f>VLOOKUP($B121,'Выгр Торг'!$B:$Q,E$1,0)</f>
        <v>Руль анатомический "Ferrum" Cross Serie с обогревом для Лада Ларгус FL, Веста, XRAY (Чёрная нить, Чёрный глянец)</v>
      </c>
      <c r="F121" s="127" t="str">
        <f>VLOOKUP($B121,'Выгр Торг'!$B:$Q,F$1,0)</f>
        <v>Y</v>
      </c>
      <c r="G121" s="127" t="str">
        <f>VLOOKUP($B121,'Выгр Торг'!$B:$Q,G$1,0)</f>
        <v>1</v>
      </c>
      <c r="H121" s="40">
        <v>166591</v>
      </c>
      <c r="I121" s="156"/>
      <c r="J121" s="160">
        <v>7000</v>
      </c>
      <c r="K121" s="161">
        <v>0</v>
      </c>
      <c r="L121" s="130">
        <f t="shared" ref="L121:L123" si="91">M121-1000</f>
        <v>47600</v>
      </c>
      <c r="M121" s="131">
        <f>N121+J121</f>
        <v>48600</v>
      </c>
      <c r="N121" s="131">
        <v>41600</v>
      </c>
      <c r="O121" s="132">
        <f t="shared" si="54"/>
        <v>1.0210084033613445</v>
      </c>
      <c r="P121" s="132">
        <f t="shared" si="47"/>
        <v>1.1499999999999999</v>
      </c>
      <c r="Q121" s="147">
        <f t="shared" ref="Q121" si="92">L121*P121*100/93</f>
        <v>58860.21505376343</v>
      </c>
      <c r="R121" s="148">
        <f t="shared" si="56"/>
        <v>58890</v>
      </c>
      <c r="S121" s="127">
        <f>VLOOKUP($B121,'Выгр Торг'!$B:$Q,S$1,0)</f>
        <v>47600</v>
      </c>
      <c r="T121" s="127">
        <f>VLOOKUP($B121,'Выгр Торг'!$B:$Q,T$1,0)</f>
        <v>58890</v>
      </c>
      <c r="U121" s="94">
        <f t="shared" si="48"/>
        <v>0</v>
      </c>
      <c r="V121" s="94">
        <f t="shared" si="49"/>
        <v>0</v>
      </c>
      <c r="W121" s="153">
        <f t="shared" si="57"/>
        <v>54767.7</v>
      </c>
      <c r="X121" s="209">
        <f>IFERROR(VLOOKUP($B121,'Из ГУГЛа'!$B:$G,6,0)*Z121+Y121,VLOOKUP($B121,'Из ГУГЛа'!$B:$G,6,0))</f>
        <v>50590</v>
      </c>
      <c r="Y121" s="106">
        <f>(J121+K121)*$Y$2</f>
        <v>9100</v>
      </c>
      <c r="Z121" s="133">
        <v>1</v>
      </c>
      <c r="AA121" s="134"/>
      <c r="AB121" s="135">
        <f t="shared" si="50"/>
        <v>0.15058193277310927</v>
      </c>
      <c r="AC121" s="135">
        <f t="shared" si="51"/>
        <v>-8.2579561178098379E-2</v>
      </c>
      <c r="AD121" s="135">
        <f t="shared" si="52"/>
        <v>6.2815126050420167E-2</v>
      </c>
      <c r="AE121" s="221">
        <v>50590</v>
      </c>
      <c r="AF121" s="98" t="s">
        <v>615</v>
      </c>
      <c r="AH121" s="98" t="s">
        <v>130</v>
      </c>
    </row>
    <row r="122" spans="1:34" ht="46.5" thickTop="1" thickBot="1">
      <c r="A122" s="176" t="str">
        <f>INDEX('Выгр Торг'!$A:$A,MATCH($B122,'Выгр Торг'!$B:$B,0))</f>
        <v>Руль анатомический "Ferrum" Cross Serie с обогревом для Лада Ларгус FL, Веста, XRAY</v>
      </c>
      <c r="B122" s="178">
        <v>341404</v>
      </c>
      <c r="C122" s="179">
        <f>VLOOKUP($B122,'Выгр Торг'!$B:$Q,C$1,0)</f>
        <v>341404</v>
      </c>
      <c r="D122" s="189" t="s">
        <v>130</v>
      </c>
      <c r="E122" s="176" t="str">
        <f>VLOOKUP($B122,'Выгр Торг'!$B:$Q,E$1,0)</f>
        <v>Руль анатомический "Ferrum" Cross Serie с обогревом для Лада Ларгус FL, Веста, XRAY (Чёрная нить, Чёрный мат)</v>
      </c>
      <c r="F122" s="179" t="str">
        <f>VLOOKUP($B122,'Выгр Торг'!$B:$Q,F$1,0)</f>
        <v>Y</v>
      </c>
      <c r="G122" s="179" t="str">
        <f>VLOOKUP($B122,'Выгр Торг'!$B:$Q,G$1,0)</f>
        <v>1</v>
      </c>
      <c r="H122" s="177">
        <v>166591</v>
      </c>
      <c r="I122" s="156"/>
      <c r="J122" s="160">
        <v>830</v>
      </c>
      <c r="K122" s="161"/>
      <c r="L122" s="180">
        <f>M122-1000</f>
        <v>48430</v>
      </c>
      <c r="M122" s="180">
        <f t="shared" ref="M122:M146" si="93">INDEX($M:$M,MATCH($H122,$C:$C,0))+$K122+$J122</f>
        <v>49430</v>
      </c>
      <c r="N122" s="180">
        <f t="shared" ref="N122:N146" si="94">INDEX($N:$N,MATCH($H122,$C:$C,0))+$K122+$J122</f>
        <v>42430</v>
      </c>
      <c r="O122" s="107">
        <f>M122/L122</f>
        <v>1.0206483584555028</v>
      </c>
      <c r="P122" s="132">
        <f t="shared" si="47"/>
        <v>1.1499999999999999</v>
      </c>
      <c r="Q122" s="180">
        <f t="shared" ref="Q122:Q146" si="95">INDEX($Q:$Q,MATCH($H122,$C:$C,0))+($K122+$J122)*INDEX($P:$P,MATCH($H122,$C:$C,0))*100/93</f>
        <v>59886.559139784935</v>
      </c>
      <c r="R122" s="144">
        <f>IF(Q122&lt;=1000,(ROUNDUP(Q122,-2)-1),(ROUNDUP(Q122,-2)-10))</f>
        <v>59890</v>
      </c>
      <c r="S122" s="179">
        <f>VLOOKUP($B122,'Выгр Торг'!$B:$Q,S$1,0)</f>
        <v>48430</v>
      </c>
      <c r="T122" s="179">
        <f>VLOOKUP($B122,'Выгр Торг'!$B:$Q,T$1,0)</f>
        <v>59890</v>
      </c>
      <c r="U122" s="94">
        <f t="shared" si="48"/>
        <v>0</v>
      </c>
      <c r="V122" s="94">
        <f t="shared" si="49"/>
        <v>0</v>
      </c>
      <c r="W122" s="182">
        <f>R122*(1-$W$2)</f>
        <v>55697.7</v>
      </c>
      <c r="X122" s="218">
        <f>IFERROR(VLOOKUP($B122,'Из ГУГЛа'!$B:$G,6,0)*Z122+Y122,VLOOKUP($B122,'Из ГУГЛа'!$B:$G,6,0))</f>
        <v>51420</v>
      </c>
      <c r="Y122" s="220">
        <f t="shared" ref="Y122:Y146" si="96">INDEX($Y:$Y,MATCH($H122,$C:$C,0))+J122+K122</f>
        <v>9930</v>
      </c>
      <c r="Z122" s="133">
        <v>1</v>
      </c>
      <c r="AA122" s="133">
        <v>1300</v>
      </c>
      <c r="AB122" s="184">
        <f>IFERROR(W122/L122-1,"")</f>
        <v>0.15006607474705747</v>
      </c>
      <c r="AC122" s="184">
        <f>IFERROR((AE122-W122)/AE122,"")</f>
        <v>-8.3191365227537867E-2</v>
      </c>
      <c r="AD122" s="184">
        <f>IFERROR(IF(AE122="","",AE122/L122-1),"")</f>
        <v>6.1738591781953289E-2</v>
      </c>
      <c r="AE122" s="222">
        <v>51420</v>
      </c>
      <c r="AF122" s="98" t="s">
        <v>615</v>
      </c>
      <c r="AH122" s="98" t="s">
        <v>130</v>
      </c>
    </row>
    <row r="123" spans="1:34" ht="46.5" thickTop="1" thickBot="1">
      <c r="A123" s="125" t="str">
        <f>INDEX('Выгр Торг'!$A:$A,MATCH($B123,'Выгр Торг'!$B:$B,0))</f>
        <v>Руль анатомический "Ferrum" Cross Serie с обогревом для Лада Ларгус FL, Веста, XRAY</v>
      </c>
      <c r="B123" s="126">
        <v>341403</v>
      </c>
      <c r="C123" s="127">
        <f>VLOOKUP($B123,'Выгр Торг'!$B:$Q,C$1,0)</f>
        <v>341403</v>
      </c>
      <c r="D123" s="128" t="s">
        <v>130</v>
      </c>
      <c r="E123" s="125" t="str">
        <f>VLOOKUP($B123,'Выгр Торг'!$B:$Q,E$1,0)</f>
        <v>Руль анатомический "Ferrum" Cross Serie с обогревом для Лада Ларгус FL, Веста, XRAY (Белая нить, Чёрный мат)</v>
      </c>
      <c r="F123" s="127" t="str">
        <f>VLOOKUP($B123,'Выгр Торг'!$B:$Q,F$1,0)</f>
        <v>Y</v>
      </c>
      <c r="G123" s="127" t="str">
        <f>VLOOKUP($B123,'Выгр Торг'!$B:$Q,G$1,0)</f>
        <v>1</v>
      </c>
      <c r="H123" s="40">
        <v>166591</v>
      </c>
      <c r="I123" s="156"/>
      <c r="J123" s="160">
        <v>830</v>
      </c>
      <c r="K123" s="161">
        <v>870</v>
      </c>
      <c r="L123" s="130">
        <f t="shared" si="91"/>
        <v>49300</v>
      </c>
      <c r="M123" s="130">
        <f t="shared" si="93"/>
        <v>50300</v>
      </c>
      <c r="N123" s="130">
        <f t="shared" si="94"/>
        <v>43300</v>
      </c>
      <c r="O123" s="132">
        <f t="shared" si="54"/>
        <v>1.0202839756592292</v>
      </c>
      <c r="P123" s="132">
        <f t="shared" si="47"/>
        <v>1.1499999999999999</v>
      </c>
      <c r="Q123" s="130">
        <f t="shared" si="95"/>
        <v>60962.365591397836</v>
      </c>
      <c r="R123" s="148">
        <f t="shared" si="56"/>
        <v>60990</v>
      </c>
      <c r="S123" s="127">
        <f>VLOOKUP($B123,'Выгр Торг'!$B:$Q,S$1,0)</f>
        <v>49300</v>
      </c>
      <c r="T123" s="127">
        <f>VLOOKUP($B123,'Выгр Торг'!$B:$Q,T$1,0)</f>
        <v>60990</v>
      </c>
      <c r="U123" s="94">
        <f t="shared" si="48"/>
        <v>0</v>
      </c>
      <c r="V123" s="94">
        <f t="shared" si="49"/>
        <v>0</v>
      </c>
      <c r="W123" s="153">
        <f t="shared" si="57"/>
        <v>56720.7</v>
      </c>
      <c r="X123" s="209">
        <f>IFERROR(VLOOKUP($B123,'Из ГУГЛа'!$B:$G,6,0)*Z123+Y123,VLOOKUP($B123,'Из ГУГЛа'!$B:$G,6,0))</f>
        <v>52290</v>
      </c>
      <c r="Y123" s="220">
        <f t="shared" si="96"/>
        <v>10800</v>
      </c>
      <c r="Z123" s="133">
        <v>1</v>
      </c>
      <c r="AA123" s="133">
        <v>1300</v>
      </c>
      <c r="AB123" s="135">
        <f t="shared" si="50"/>
        <v>0.15052129817444215</v>
      </c>
      <c r="AC123" s="135">
        <f t="shared" si="51"/>
        <v>-8.4733218588640219E-2</v>
      </c>
      <c r="AD123" s="135">
        <f t="shared" si="52"/>
        <v>6.064908722109541E-2</v>
      </c>
      <c r="AE123" s="222">
        <v>52290</v>
      </c>
      <c r="AF123" s="98" t="s">
        <v>615</v>
      </c>
      <c r="AH123" s="98" t="s">
        <v>130</v>
      </c>
    </row>
    <row r="124" spans="1:34" ht="46.5" thickTop="1" thickBot="1">
      <c r="A124" s="176" t="str">
        <f>INDEX('Выгр Торг'!$A:$A,MATCH($B124,'Выгр Торг'!$B:$B,0))</f>
        <v>Руль анатомический "Ferrum" Cross Serie с обогревом для Лада Ларгус FL, Веста, XRAY</v>
      </c>
      <c r="B124" s="178">
        <v>341415</v>
      </c>
      <c r="C124" s="179">
        <f>VLOOKUP($B124,'Выгр Торг'!$B:$Q,C$1,0)</f>
        <v>341415</v>
      </c>
      <c r="D124" s="189" t="s">
        <v>130</v>
      </c>
      <c r="E124" s="176" t="str">
        <f>VLOOKUP($B124,'Выгр Торг'!$B:$Q,E$1,0)</f>
        <v>Руль анатомический "Ferrum" Cross Serie с обогревом для Лада Ларгус FL, Веста, XRAY (Жёлтая нить, Чёрный мат)</v>
      </c>
      <c r="F124" s="179" t="str">
        <f>VLOOKUP($B124,'Выгр Торг'!$B:$Q,F$1,0)</f>
        <v>Y</v>
      </c>
      <c r="G124" s="179" t="str">
        <f>VLOOKUP($B124,'Выгр Торг'!$B:$Q,G$1,0)</f>
        <v>1</v>
      </c>
      <c r="H124" s="177">
        <v>166591</v>
      </c>
      <c r="I124" s="156"/>
      <c r="J124" s="160">
        <v>830</v>
      </c>
      <c r="K124" s="161">
        <v>870</v>
      </c>
      <c r="L124" s="180">
        <f t="shared" ref="L124:L134" si="97">M124-1000</f>
        <v>49300</v>
      </c>
      <c r="M124" s="180">
        <f t="shared" si="93"/>
        <v>50300</v>
      </c>
      <c r="N124" s="180">
        <f t="shared" si="94"/>
        <v>43300</v>
      </c>
      <c r="O124" s="107">
        <f t="shared" ref="O124:O134" si="98">M124/L124</f>
        <v>1.0202839756592292</v>
      </c>
      <c r="P124" s="132">
        <f t="shared" si="47"/>
        <v>1.1499999999999999</v>
      </c>
      <c r="Q124" s="180">
        <f t="shared" si="95"/>
        <v>60962.365591397836</v>
      </c>
      <c r="R124" s="144">
        <f t="shared" ref="R124:R134" si="99">IF(Q124&lt;=1000,(ROUNDUP(Q124,-2)-1),(ROUNDUP(Q124,-2)-10))</f>
        <v>60990</v>
      </c>
      <c r="S124" s="179">
        <f>VLOOKUP($B124,'Выгр Торг'!$B:$Q,S$1,0)</f>
        <v>49300</v>
      </c>
      <c r="T124" s="179">
        <f>VLOOKUP($B124,'Выгр Торг'!$B:$Q,T$1,0)</f>
        <v>60990</v>
      </c>
      <c r="U124" s="94">
        <f t="shared" si="48"/>
        <v>0</v>
      </c>
      <c r="V124" s="94">
        <f t="shared" si="49"/>
        <v>0</v>
      </c>
      <c r="W124" s="182">
        <f t="shared" ref="W124:W134" si="100">R124*(1-$W$2)</f>
        <v>56720.7</v>
      </c>
      <c r="X124" s="218">
        <f>IFERROR(VLOOKUP($B124,'Из ГУГЛа'!$B:$G,6,0)*Z124+Y124,VLOOKUP($B124,'Из ГУГЛа'!$B:$G,6,0))</f>
        <v>52290</v>
      </c>
      <c r="Y124" s="220">
        <f t="shared" si="96"/>
        <v>10800</v>
      </c>
      <c r="Z124" s="133">
        <v>1</v>
      </c>
      <c r="AA124" s="133">
        <v>1300</v>
      </c>
      <c r="AB124" s="184">
        <f t="shared" ref="AB124:AB134" si="101">IFERROR(W124/L124-1,"")</f>
        <v>0.15052129817444215</v>
      </c>
      <c r="AC124" s="184">
        <f t="shared" ref="AC124:AC134" si="102">IFERROR((AE124-W124)/AE124,"")</f>
        <v>-8.4733218588640219E-2</v>
      </c>
      <c r="AD124" s="184">
        <f t="shared" ref="AD124:AD134" si="103">IFERROR(IF(AE124="","",AE124/L124-1),"")</f>
        <v>6.064908722109541E-2</v>
      </c>
      <c r="AE124" s="222">
        <v>52290</v>
      </c>
      <c r="AF124" s="98" t="s">
        <v>615</v>
      </c>
      <c r="AH124" s="98" t="s">
        <v>130</v>
      </c>
    </row>
    <row r="125" spans="1:34" ht="46.5" thickTop="1" thickBot="1">
      <c r="A125" s="176" t="str">
        <f>INDEX('Выгр Торг'!$A:$A,MATCH($B125,'Выгр Торг'!$B:$B,0))</f>
        <v>Руль анатомический "Ferrum" Cross Serie с обогревом для Лада Ларгус FL, Веста, XRAY</v>
      </c>
      <c r="B125" s="178">
        <v>341414</v>
      </c>
      <c r="C125" s="179">
        <f>VLOOKUP($B125,'Выгр Торг'!$B:$Q,C$1,0)</f>
        <v>341414</v>
      </c>
      <c r="D125" s="189" t="s">
        <v>130</v>
      </c>
      <c r="E125" s="176" t="str">
        <f>VLOOKUP($B125,'Выгр Торг'!$B:$Q,E$1,0)</f>
        <v>Руль анатомический "Ferrum" Cross Serie с обогревом для Лада Ларгус FL, Веста, XRAY (Зелёная нить, Чёрный мат)</v>
      </c>
      <c r="F125" s="179" t="str">
        <f>VLOOKUP($B125,'Выгр Торг'!$B:$Q,F$1,0)</f>
        <v>Y</v>
      </c>
      <c r="G125" s="179" t="str">
        <f>VLOOKUP($B125,'Выгр Торг'!$B:$Q,G$1,0)</f>
        <v>1</v>
      </c>
      <c r="H125" s="177">
        <v>166591</v>
      </c>
      <c r="I125" s="156"/>
      <c r="J125" s="160">
        <v>830</v>
      </c>
      <c r="K125" s="161">
        <v>870</v>
      </c>
      <c r="L125" s="180">
        <f t="shared" si="97"/>
        <v>49300</v>
      </c>
      <c r="M125" s="180">
        <f t="shared" si="93"/>
        <v>50300</v>
      </c>
      <c r="N125" s="180">
        <f t="shared" si="94"/>
        <v>43300</v>
      </c>
      <c r="O125" s="107">
        <f t="shared" si="98"/>
        <v>1.0202839756592292</v>
      </c>
      <c r="P125" s="132">
        <f t="shared" si="47"/>
        <v>1.1499999999999999</v>
      </c>
      <c r="Q125" s="180">
        <f t="shared" si="95"/>
        <v>60962.365591397836</v>
      </c>
      <c r="R125" s="144">
        <f t="shared" si="99"/>
        <v>60990</v>
      </c>
      <c r="S125" s="179">
        <f>VLOOKUP($B125,'Выгр Торг'!$B:$Q,S$1,0)</f>
        <v>49300</v>
      </c>
      <c r="T125" s="179">
        <f>VLOOKUP($B125,'Выгр Торг'!$B:$Q,T$1,0)</f>
        <v>60990</v>
      </c>
      <c r="U125" s="94">
        <f t="shared" si="48"/>
        <v>0</v>
      </c>
      <c r="V125" s="94">
        <f t="shared" si="49"/>
        <v>0</v>
      </c>
      <c r="W125" s="182">
        <f t="shared" si="100"/>
        <v>56720.7</v>
      </c>
      <c r="X125" s="218">
        <f>IFERROR(VLOOKUP($B125,'Из ГУГЛа'!$B:$G,6,0)*Z125+Y125,VLOOKUP($B125,'Из ГУГЛа'!$B:$G,6,0))</f>
        <v>52290</v>
      </c>
      <c r="Y125" s="220">
        <f t="shared" si="96"/>
        <v>10800</v>
      </c>
      <c r="Z125" s="133">
        <v>1</v>
      </c>
      <c r="AA125" s="133">
        <v>1300</v>
      </c>
      <c r="AB125" s="184">
        <f t="shared" si="101"/>
        <v>0.15052129817444215</v>
      </c>
      <c r="AC125" s="184">
        <f t="shared" si="102"/>
        <v>-8.4733218588640219E-2</v>
      </c>
      <c r="AD125" s="184">
        <f t="shared" si="103"/>
        <v>6.064908722109541E-2</v>
      </c>
      <c r="AE125" s="222">
        <v>52290</v>
      </c>
      <c r="AF125" s="98" t="s">
        <v>615</v>
      </c>
      <c r="AH125" s="98" t="s">
        <v>130</v>
      </c>
    </row>
    <row r="126" spans="1:34" ht="46.5" thickTop="1" thickBot="1">
      <c r="A126" s="176" t="str">
        <f>INDEX('Выгр Торг'!$A:$A,MATCH($B126,'Выгр Торг'!$B:$B,0))</f>
        <v>Руль анатомический "Ferrum" Cross Serie с обогревом для Лада Ларгус FL, Веста, XRAY</v>
      </c>
      <c r="B126" s="178">
        <v>341406</v>
      </c>
      <c r="C126" s="179">
        <f>VLOOKUP($B126,'Выгр Торг'!$B:$Q,C$1,0)</f>
        <v>341406</v>
      </c>
      <c r="D126" s="189" t="s">
        <v>130</v>
      </c>
      <c r="E126" s="176" t="str">
        <f>VLOOKUP($B126,'Выгр Торг'!$B:$Q,E$1,0)</f>
        <v>Руль анатомический "Ferrum" Cross Serie с обогревом для Лада Ларгус FL, Веста, XRAY (Коричневая нить, Чёрный мат)</v>
      </c>
      <c r="F126" s="179" t="str">
        <f>VLOOKUP($B126,'Выгр Торг'!$B:$Q,F$1,0)</f>
        <v>Y</v>
      </c>
      <c r="G126" s="179" t="str">
        <f>VLOOKUP($B126,'Выгр Торг'!$B:$Q,G$1,0)</f>
        <v>1</v>
      </c>
      <c r="H126" s="177">
        <v>166591</v>
      </c>
      <c r="I126" s="156"/>
      <c r="J126" s="160">
        <v>830</v>
      </c>
      <c r="K126" s="161">
        <v>870</v>
      </c>
      <c r="L126" s="180">
        <f t="shared" si="97"/>
        <v>49300</v>
      </c>
      <c r="M126" s="180">
        <f t="shared" si="93"/>
        <v>50300</v>
      </c>
      <c r="N126" s="180">
        <f t="shared" si="94"/>
        <v>43300</v>
      </c>
      <c r="O126" s="107">
        <f t="shared" si="98"/>
        <v>1.0202839756592292</v>
      </c>
      <c r="P126" s="132">
        <f t="shared" si="47"/>
        <v>1.1499999999999999</v>
      </c>
      <c r="Q126" s="180">
        <f t="shared" si="95"/>
        <v>60962.365591397836</v>
      </c>
      <c r="R126" s="144">
        <f t="shared" si="99"/>
        <v>60990</v>
      </c>
      <c r="S126" s="179">
        <f>VLOOKUP($B126,'Выгр Торг'!$B:$Q,S$1,0)</f>
        <v>49300</v>
      </c>
      <c r="T126" s="179">
        <f>VLOOKUP($B126,'Выгр Торг'!$B:$Q,T$1,0)</f>
        <v>60990</v>
      </c>
      <c r="U126" s="94">
        <f t="shared" si="48"/>
        <v>0</v>
      </c>
      <c r="V126" s="94">
        <f t="shared" si="49"/>
        <v>0</v>
      </c>
      <c r="W126" s="182">
        <f t="shared" si="100"/>
        <v>56720.7</v>
      </c>
      <c r="X126" s="218">
        <f>IFERROR(VLOOKUP($B126,'Из ГУГЛа'!$B:$G,6,0)*Z126+Y126,VLOOKUP($B126,'Из ГУГЛа'!$B:$G,6,0))</f>
        <v>52290</v>
      </c>
      <c r="Y126" s="220">
        <f t="shared" si="96"/>
        <v>10800</v>
      </c>
      <c r="Z126" s="133">
        <v>1</v>
      </c>
      <c r="AA126" s="133">
        <v>1300</v>
      </c>
      <c r="AB126" s="184">
        <f t="shared" si="101"/>
        <v>0.15052129817444215</v>
      </c>
      <c r="AC126" s="184">
        <f t="shared" si="102"/>
        <v>-8.4733218588640219E-2</v>
      </c>
      <c r="AD126" s="184">
        <f t="shared" si="103"/>
        <v>6.064908722109541E-2</v>
      </c>
      <c r="AE126" s="222">
        <v>52290</v>
      </c>
      <c r="AF126" s="98" t="s">
        <v>615</v>
      </c>
      <c r="AH126" s="98" t="s">
        <v>130</v>
      </c>
    </row>
    <row r="127" spans="1:34" ht="46.5" thickTop="1" thickBot="1">
      <c r="A127" s="176" t="str">
        <f>INDEX('Выгр Торг'!$A:$A,MATCH($B127,'Выгр Торг'!$B:$B,0))</f>
        <v>Руль анатомический "Ferrum" Cross Serie с обогревом для Лада Ларгус FL, Веста, XRAY</v>
      </c>
      <c r="B127" s="178">
        <v>341407</v>
      </c>
      <c r="C127" s="179">
        <f>VLOOKUP($B127,'Выгр Торг'!$B:$Q,C$1,0)</f>
        <v>341407</v>
      </c>
      <c r="D127" s="189" t="s">
        <v>130</v>
      </c>
      <c r="E127" s="176" t="str">
        <f>VLOOKUP($B127,'Выгр Торг'!$B:$Q,E$1,0)</f>
        <v>Руль анатомический "Ferrum" Cross Serie с обогревом для Лада Ларгус FL, Веста, XRAY (Красная нить, Чёрный мат)</v>
      </c>
      <c r="F127" s="179" t="str">
        <f>VLOOKUP($B127,'Выгр Торг'!$B:$Q,F$1,0)</f>
        <v>Y</v>
      </c>
      <c r="G127" s="179" t="str">
        <f>VLOOKUP($B127,'Выгр Торг'!$B:$Q,G$1,0)</f>
        <v>1</v>
      </c>
      <c r="H127" s="177">
        <v>166591</v>
      </c>
      <c r="I127" s="156"/>
      <c r="J127" s="160">
        <v>830</v>
      </c>
      <c r="K127" s="161">
        <v>870</v>
      </c>
      <c r="L127" s="180">
        <f t="shared" si="97"/>
        <v>49300</v>
      </c>
      <c r="M127" s="180">
        <f t="shared" si="93"/>
        <v>50300</v>
      </c>
      <c r="N127" s="180">
        <f t="shared" si="94"/>
        <v>43300</v>
      </c>
      <c r="O127" s="107">
        <f t="shared" si="98"/>
        <v>1.0202839756592292</v>
      </c>
      <c r="P127" s="132">
        <f t="shared" si="47"/>
        <v>1.1499999999999999</v>
      </c>
      <c r="Q127" s="180">
        <f t="shared" si="95"/>
        <v>60962.365591397836</v>
      </c>
      <c r="R127" s="144">
        <f t="shared" si="99"/>
        <v>60990</v>
      </c>
      <c r="S127" s="179">
        <f>VLOOKUP($B127,'Выгр Торг'!$B:$Q,S$1,0)</f>
        <v>49300</v>
      </c>
      <c r="T127" s="179">
        <f>VLOOKUP($B127,'Выгр Торг'!$B:$Q,T$1,0)</f>
        <v>60990</v>
      </c>
      <c r="U127" s="94">
        <f t="shared" si="48"/>
        <v>0</v>
      </c>
      <c r="V127" s="94">
        <f t="shared" si="49"/>
        <v>0</v>
      </c>
      <c r="W127" s="182">
        <f t="shared" si="100"/>
        <v>56720.7</v>
      </c>
      <c r="X127" s="218">
        <f>IFERROR(VLOOKUP($B127,'Из ГУГЛа'!$B:$G,6,0)*Z127+Y127,VLOOKUP($B127,'Из ГУГЛа'!$B:$G,6,0))</f>
        <v>52290</v>
      </c>
      <c r="Y127" s="220">
        <f t="shared" si="96"/>
        <v>10800</v>
      </c>
      <c r="Z127" s="133">
        <v>1</v>
      </c>
      <c r="AA127" s="133">
        <v>1300</v>
      </c>
      <c r="AB127" s="184">
        <f t="shared" si="101"/>
        <v>0.15052129817444215</v>
      </c>
      <c r="AC127" s="184">
        <f t="shared" si="102"/>
        <v>-8.4733218588640219E-2</v>
      </c>
      <c r="AD127" s="184">
        <f t="shared" si="103"/>
        <v>6.064908722109541E-2</v>
      </c>
      <c r="AE127" s="222">
        <v>52290</v>
      </c>
      <c r="AF127" s="98" t="s">
        <v>615</v>
      </c>
      <c r="AH127" s="98" t="s">
        <v>130</v>
      </c>
    </row>
    <row r="128" spans="1:34" ht="46.5" thickTop="1" thickBot="1">
      <c r="A128" s="176" t="str">
        <f>INDEX('Выгр Торг'!$A:$A,MATCH($B128,'Выгр Торг'!$B:$B,0))</f>
        <v>Руль анатомический "Ferrum" Cross Serie с обогревом для Лада Ларгус FL, Веста, XRAY</v>
      </c>
      <c r="B128" s="178">
        <v>341408</v>
      </c>
      <c r="C128" s="179">
        <f>VLOOKUP($B128,'Выгр Торг'!$B:$Q,C$1,0)</f>
        <v>341408</v>
      </c>
      <c r="D128" s="189" t="s">
        <v>130</v>
      </c>
      <c r="E128" s="176" t="str">
        <f>VLOOKUP($B128,'Выгр Торг'!$B:$Q,E$1,0)</f>
        <v>Руль анатомический "Ferrum" Cross Serie с обогревом для Лада Ларгус FL, Веста, XRAY (Оранжевая нить, Чёрный мат)</v>
      </c>
      <c r="F128" s="179" t="str">
        <f>VLOOKUP($B128,'Выгр Торг'!$B:$Q,F$1,0)</f>
        <v>Y</v>
      </c>
      <c r="G128" s="179" t="str">
        <f>VLOOKUP($B128,'Выгр Торг'!$B:$Q,G$1,0)</f>
        <v>1</v>
      </c>
      <c r="H128" s="177">
        <v>166591</v>
      </c>
      <c r="I128" s="156"/>
      <c r="J128" s="160">
        <v>830</v>
      </c>
      <c r="K128" s="161">
        <v>870</v>
      </c>
      <c r="L128" s="180">
        <f t="shared" si="97"/>
        <v>49300</v>
      </c>
      <c r="M128" s="180">
        <f t="shared" si="93"/>
        <v>50300</v>
      </c>
      <c r="N128" s="180">
        <f t="shared" si="94"/>
        <v>43300</v>
      </c>
      <c r="O128" s="107">
        <f t="shared" si="98"/>
        <v>1.0202839756592292</v>
      </c>
      <c r="P128" s="132">
        <f t="shared" si="47"/>
        <v>1.1499999999999999</v>
      </c>
      <c r="Q128" s="180">
        <f t="shared" si="95"/>
        <v>60962.365591397836</v>
      </c>
      <c r="R128" s="144">
        <f t="shared" si="99"/>
        <v>60990</v>
      </c>
      <c r="S128" s="179">
        <f>VLOOKUP($B128,'Выгр Торг'!$B:$Q,S$1,0)</f>
        <v>49300</v>
      </c>
      <c r="T128" s="179">
        <f>VLOOKUP($B128,'Выгр Торг'!$B:$Q,T$1,0)</f>
        <v>60990</v>
      </c>
      <c r="U128" s="94">
        <f t="shared" si="48"/>
        <v>0</v>
      </c>
      <c r="V128" s="94">
        <f t="shared" si="49"/>
        <v>0</v>
      </c>
      <c r="W128" s="182">
        <f t="shared" si="100"/>
        <v>56720.7</v>
      </c>
      <c r="X128" s="218">
        <f>IFERROR(VLOOKUP($B128,'Из ГУГЛа'!$B:$G,6,0)*Z128+Y128,VLOOKUP($B128,'Из ГУГЛа'!$B:$G,6,0))</f>
        <v>52290</v>
      </c>
      <c r="Y128" s="220">
        <f t="shared" si="96"/>
        <v>10800</v>
      </c>
      <c r="Z128" s="133">
        <v>1</v>
      </c>
      <c r="AA128" s="133">
        <v>1300</v>
      </c>
      <c r="AB128" s="184">
        <f t="shared" si="101"/>
        <v>0.15052129817444215</v>
      </c>
      <c r="AC128" s="184">
        <f t="shared" si="102"/>
        <v>-8.4733218588640219E-2</v>
      </c>
      <c r="AD128" s="184">
        <f t="shared" si="103"/>
        <v>6.064908722109541E-2</v>
      </c>
      <c r="AE128" s="222">
        <v>52290</v>
      </c>
      <c r="AF128" s="98" t="s">
        <v>615</v>
      </c>
      <c r="AH128" s="98" t="s">
        <v>130</v>
      </c>
    </row>
    <row r="129" spans="1:34" ht="46.5" thickTop="1" thickBot="1">
      <c r="A129" s="176" t="str">
        <f>INDEX('Выгр Торг'!$A:$A,MATCH($B129,'Выгр Торг'!$B:$B,0))</f>
        <v>Руль анатомический "Ferrum" Cross Serie с обогревом для Лада Ларгус FL, Веста, XRAY</v>
      </c>
      <c r="B129" s="178">
        <v>341409</v>
      </c>
      <c r="C129" s="179">
        <f>VLOOKUP($B129,'Выгр Торг'!$B:$Q,C$1,0)</f>
        <v>341409</v>
      </c>
      <c r="D129" s="189" t="s">
        <v>130</v>
      </c>
      <c r="E129" s="176" t="str">
        <f>VLOOKUP($B129,'Выгр Торг'!$B:$Q,E$1,0)</f>
        <v>Руль анатомический "Ferrum" Cross Serie с обогревом для Лада Ларгус FL, Веста, XRAY (Салатовая нить, Чёрный мат)</v>
      </c>
      <c r="F129" s="179" t="str">
        <f>VLOOKUP($B129,'Выгр Торг'!$B:$Q,F$1,0)</f>
        <v>Y</v>
      </c>
      <c r="G129" s="179" t="str">
        <f>VLOOKUP($B129,'Выгр Торг'!$B:$Q,G$1,0)</f>
        <v>1</v>
      </c>
      <c r="H129" s="177">
        <v>166591</v>
      </c>
      <c r="I129" s="156"/>
      <c r="J129" s="160">
        <v>830</v>
      </c>
      <c r="K129" s="161">
        <v>870</v>
      </c>
      <c r="L129" s="180">
        <f t="shared" si="97"/>
        <v>49300</v>
      </c>
      <c r="M129" s="180">
        <f t="shared" si="93"/>
        <v>50300</v>
      </c>
      <c r="N129" s="180">
        <f t="shared" si="94"/>
        <v>43300</v>
      </c>
      <c r="O129" s="107">
        <f t="shared" si="98"/>
        <v>1.0202839756592292</v>
      </c>
      <c r="P129" s="132">
        <f t="shared" si="47"/>
        <v>1.1499999999999999</v>
      </c>
      <c r="Q129" s="180">
        <f t="shared" si="95"/>
        <v>60962.365591397836</v>
      </c>
      <c r="R129" s="144">
        <f t="shared" si="99"/>
        <v>60990</v>
      </c>
      <c r="S129" s="179">
        <f>VLOOKUP($B129,'Выгр Торг'!$B:$Q,S$1,0)</f>
        <v>49300</v>
      </c>
      <c r="T129" s="179">
        <f>VLOOKUP($B129,'Выгр Торг'!$B:$Q,T$1,0)</f>
        <v>60990</v>
      </c>
      <c r="U129" s="94">
        <f t="shared" si="48"/>
        <v>0</v>
      </c>
      <c r="V129" s="94">
        <f t="shared" si="49"/>
        <v>0</v>
      </c>
      <c r="W129" s="182">
        <f t="shared" si="100"/>
        <v>56720.7</v>
      </c>
      <c r="X129" s="218">
        <f>IFERROR(VLOOKUP($B129,'Из ГУГЛа'!$B:$G,6,0)*Z129+Y129,VLOOKUP($B129,'Из ГУГЛа'!$B:$G,6,0))</f>
        <v>52290</v>
      </c>
      <c r="Y129" s="220">
        <f t="shared" si="96"/>
        <v>10800</v>
      </c>
      <c r="Z129" s="133">
        <v>1</v>
      </c>
      <c r="AA129" s="133">
        <v>1300</v>
      </c>
      <c r="AB129" s="184">
        <f t="shared" si="101"/>
        <v>0.15052129817444215</v>
      </c>
      <c r="AC129" s="184">
        <f t="shared" si="102"/>
        <v>-8.4733218588640219E-2</v>
      </c>
      <c r="AD129" s="184">
        <f t="shared" si="103"/>
        <v>6.064908722109541E-2</v>
      </c>
      <c r="AE129" s="222">
        <v>52290</v>
      </c>
      <c r="AF129" s="98" t="s">
        <v>615</v>
      </c>
      <c r="AH129" s="98" t="s">
        <v>130</v>
      </c>
    </row>
    <row r="130" spans="1:34" ht="46.5" thickTop="1" thickBot="1">
      <c r="A130" s="176" t="str">
        <f>INDEX('Выгр Торг'!$A:$A,MATCH($B130,'Выгр Торг'!$B:$B,0))</f>
        <v>Руль анатомический "Ferrum" Cross Serie с обогревом для Лада Ларгус FL, Веста, XRAY</v>
      </c>
      <c r="B130" s="178">
        <v>341412</v>
      </c>
      <c r="C130" s="179">
        <f>VLOOKUP($B130,'Выгр Торг'!$B:$Q,C$1,0)</f>
        <v>341412</v>
      </c>
      <c r="D130" s="189" t="s">
        <v>130</v>
      </c>
      <c r="E130" s="176" t="str">
        <f>VLOOKUP($B130,'Выгр Торг'!$B:$Q,E$1,0)</f>
        <v>Руль анатомический "Ferrum" Cross Serie с обогревом для Лада Ларгус FL, Веста, XRAY (Светло-серая нить, Чёрный мат)</v>
      </c>
      <c r="F130" s="179" t="str">
        <f>VLOOKUP($B130,'Выгр Торг'!$B:$Q,F$1,0)</f>
        <v>Y</v>
      </c>
      <c r="G130" s="179" t="str">
        <f>VLOOKUP($B130,'Выгр Торг'!$B:$Q,G$1,0)</f>
        <v>1</v>
      </c>
      <c r="H130" s="177">
        <v>166591</v>
      </c>
      <c r="I130" s="156"/>
      <c r="J130" s="160">
        <v>830</v>
      </c>
      <c r="K130" s="161">
        <v>870</v>
      </c>
      <c r="L130" s="180">
        <f t="shared" si="97"/>
        <v>49300</v>
      </c>
      <c r="M130" s="180">
        <f t="shared" si="93"/>
        <v>50300</v>
      </c>
      <c r="N130" s="180">
        <f t="shared" si="94"/>
        <v>43300</v>
      </c>
      <c r="O130" s="107">
        <f t="shared" si="98"/>
        <v>1.0202839756592292</v>
      </c>
      <c r="P130" s="132">
        <f t="shared" si="47"/>
        <v>1.1499999999999999</v>
      </c>
      <c r="Q130" s="180">
        <f t="shared" si="95"/>
        <v>60962.365591397836</v>
      </c>
      <c r="R130" s="144">
        <f t="shared" si="99"/>
        <v>60990</v>
      </c>
      <c r="S130" s="179">
        <f>VLOOKUP($B130,'Выгр Торг'!$B:$Q,S$1,0)</f>
        <v>49300</v>
      </c>
      <c r="T130" s="179">
        <f>VLOOKUP($B130,'Выгр Торг'!$B:$Q,T$1,0)</f>
        <v>60990</v>
      </c>
      <c r="U130" s="94">
        <f t="shared" si="48"/>
        <v>0</v>
      </c>
      <c r="V130" s="94">
        <f t="shared" si="49"/>
        <v>0</v>
      </c>
      <c r="W130" s="182">
        <f t="shared" si="100"/>
        <v>56720.7</v>
      </c>
      <c r="X130" s="218">
        <f>IFERROR(VLOOKUP($B130,'Из ГУГЛа'!$B:$G,6,0)*Z130+Y130,VLOOKUP($B130,'Из ГУГЛа'!$B:$G,6,0))</f>
        <v>52290</v>
      </c>
      <c r="Y130" s="220">
        <f t="shared" si="96"/>
        <v>10800</v>
      </c>
      <c r="Z130" s="133">
        <v>1</v>
      </c>
      <c r="AA130" s="133">
        <v>1300</v>
      </c>
      <c r="AB130" s="184">
        <f t="shared" si="101"/>
        <v>0.15052129817444215</v>
      </c>
      <c r="AC130" s="184">
        <f t="shared" si="102"/>
        <v>-8.4733218588640219E-2</v>
      </c>
      <c r="AD130" s="184">
        <f t="shared" si="103"/>
        <v>6.064908722109541E-2</v>
      </c>
      <c r="AE130" s="222">
        <v>52290</v>
      </c>
      <c r="AF130" s="98" t="s">
        <v>615</v>
      </c>
      <c r="AH130" s="98" t="s">
        <v>130</v>
      </c>
    </row>
    <row r="131" spans="1:34" ht="46.5" thickTop="1" thickBot="1">
      <c r="A131" s="176" t="str">
        <f>INDEX('Выгр Торг'!$A:$A,MATCH($B131,'Выгр Торг'!$B:$B,0))</f>
        <v>Руль анатомический "Ferrum" Cross Serie с обогревом для Лада Ларгус FL, Веста, XRAY</v>
      </c>
      <c r="B131" s="178">
        <v>341410</v>
      </c>
      <c r="C131" s="179">
        <f>VLOOKUP($B131,'Выгр Торг'!$B:$Q,C$1,0)</f>
        <v>341410</v>
      </c>
      <c r="D131" s="189" t="s">
        <v>130</v>
      </c>
      <c r="E131" s="176" t="str">
        <f>VLOOKUP($B131,'Выгр Торг'!$B:$Q,E$1,0)</f>
        <v>Руль анатомический "Ferrum" Cross Serie с обогревом для Лада Ларгус FL, Веста, XRAY (Сине-зелёная нить, Чёрный мат)</v>
      </c>
      <c r="F131" s="179" t="str">
        <f>VLOOKUP($B131,'Выгр Торг'!$B:$Q,F$1,0)</f>
        <v>Y</v>
      </c>
      <c r="G131" s="179" t="str">
        <f>VLOOKUP($B131,'Выгр Торг'!$B:$Q,G$1,0)</f>
        <v>1</v>
      </c>
      <c r="H131" s="177">
        <v>166591</v>
      </c>
      <c r="I131" s="156"/>
      <c r="J131" s="160">
        <v>830</v>
      </c>
      <c r="K131" s="161">
        <v>870</v>
      </c>
      <c r="L131" s="180">
        <f t="shared" si="97"/>
        <v>49300</v>
      </c>
      <c r="M131" s="180">
        <f t="shared" si="93"/>
        <v>50300</v>
      </c>
      <c r="N131" s="180">
        <f t="shared" si="94"/>
        <v>43300</v>
      </c>
      <c r="O131" s="107">
        <f t="shared" si="98"/>
        <v>1.0202839756592292</v>
      </c>
      <c r="P131" s="132">
        <f t="shared" si="47"/>
        <v>1.1499999999999999</v>
      </c>
      <c r="Q131" s="180">
        <f t="shared" si="95"/>
        <v>60962.365591397836</v>
      </c>
      <c r="R131" s="144">
        <f t="shared" si="99"/>
        <v>60990</v>
      </c>
      <c r="S131" s="179">
        <f>VLOOKUP($B131,'Выгр Торг'!$B:$Q,S$1,0)</f>
        <v>49300</v>
      </c>
      <c r="T131" s="179">
        <f>VLOOKUP($B131,'Выгр Торг'!$B:$Q,T$1,0)</f>
        <v>60990</v>
      </c>
      <c r="U131" s="94">
        <f t="shared" si="48"/>
        <v>0</v>
      </c>
      <c r="V131" s="94">
        <f t="shared" si="49"/>
        <v>0</v>
      </c>
      <c r="W131" s="182">
        <f t="shared" si="100"/>
        <v>56720.7</v>
      </c>
      <c r="X131" s="218">
        <f>IFERROR(VLOOKUP($B131,'Из ГУГЛа'!$B:$G,6,0)*Z131+Y131,VLOOKUP($B131,'Из ГУГЛа'!$B:$G,6,0))</f>
        <v>52290</v>
      </c>
      <c r="Y131" s="220">
        <f t="shared" si="96"/>
        <v>10800</v>
      </c>
      <c r="Z131" s="133">
        <v>1</v>
      </c>
      <c r="AA131" s="133">
        <v>1300</v>
      </c>
      <c r="AB131" s="184">
        <f t="shared" si="101"/>
        <v>0.15052129817444215</v>
      </c>
      <c r="AC131" s="184">
        <f t="shared" si="102"/>
        <v>-8.4733218588640219E-2</v>
      </c>
      <c r="AD131" s="184">
        <f t="shared" si="103"/>
        <v>6.064908722109541E-2</v>
      </c>
      <c r="AE131" s="222">
        <v>52290</v>
      </c>
      <c r="AF131" s="98" t="s">
        <v>615</v>
      </c>
      <c r="AH131" s="98" t="s">
        <v>130</v>
      </c>
    </row>
    <row r="132" spans="1:34" ht="46.5" thickTop="1" thickBot="1">
      <c r="A132" s="176" t="str">
        <f>INDEX('Выгр Торг'!$A:$A,MATCH($B132,'Выгр Торг'!$B:$B,0))</f>
        <v>Руль анатомический "Ferrum" Cross Serie с обогревом для Лада Ларгус FL, Веста, XRAY</v>
      </c>
      <c r="B132" s="178">
        <v>341411</v>
      </c>
      <c r="C132" s="179">
        <f>VLOOKUP($B132,'Выгр Торг'!$B:$Q,C$1,0)</f>
        <v>341411</v>
      </c>
      <c r="D132" s="189" t="s">
        <v>130</v>
      </c>
      <c r="E132" s="176" t="str">
        <f>VLOOKUP($B132,'Выгр Торг'!$B:$Q,E$1,0)</f>
        <v>Руль анатомический "Ferrum" Cross Serie с обогревом для Лада Ларгус FL, Веста, XRAY (Синяя нить, Чёрный мат)</v>
      </c>
      <c r="F132" s="179" t="str">
        <f>VLOOKUP($B132,'Выгр Торг'!$B:$Q,F$1,0)</f>
        <v>Y</v>
      </c>
      <c r="G132" s="179" t="str">
        <f>VLOOKUP($B132,'Выгр Торг'!$B:$Q,G$1,0)</f>
        <v>1</v>
      </c>
      <c r="H132" s="177">
        <v>166591</v>
      </c>
      <c r="I132" s="156"/>
      <c r="J132" s="160">
        <v>830</v>
      </c>
      <c r="K132" s="161">
        <v>870</v>
      </c>
      <c r="L132" s="180">
        <f t="shared" si="97"/>
        <v>49300</v>
      </c>
      <c r="M132" s="180">
        <f t="shared" si="93"/>
        <v>50300</v>
      </c>
      <c r="N132" s="180">
        <f t="shared" si="94"/>
        <v>43300</v>
      </c>
      <c r="O132" s="107">
        <f t="shared" si="98"/>
        <v>1.0202839756592292</v>
      </c>
      <c r="P132" s="132">
        <f t="shared" ref="P132:P195" si="104">IF(O132&lt;=$P$1,$P$1,O132)</f>
        <v>1.1499999999999999</v>
      </c>
      <c r="Q132" s="180">
        <f t="shared" si="95"/>
        <v>60962.365591397836</v>
      </c>
      <c r="R132" s="144">
        <f t="shared" si="99"/>
        <v>60990</v>
      </c>
      <c r="S132" s="179">
        <f>VLOOKUP($B132,'Выгр Торг'!$B:$Q,S$1,0)</f>
        <v>49300</v>
      </c>
      <c r="T132" s="179">
        <f>VLOOKUP($B132,'Выгр Торг'!$B:$Q,T$1,0)</f>
        <v>60990</v>
      </c>
      <c r="U132" s="94">
        <f t="shared" ref="U132:U195" si="105">S132-L132</f>
        <v>0</v>
      </c>
      <c r="V132" s="94">
        <f t="shared" ref="V132:V195" si="106">T132-R132</f>
        <v>0</v>
      </c>
      <c r="W132" s="182">
        <f t="shared" si="100"/>
        <v>56720.7</v>
      </c>
      <c r="X132" s="218">
        <f>IFERROR(VLOOKUP($B132,'Из ГУГЛа'!$B:$G,6,0)*Z132+Y132,VLOOKUP($B132,'Из ГУГЛа'!$B:$G,6,0))</f>
        <v>52290</v>
      </c>
      <c r="Y132" s="220">
        <f t="shared" si="96"/>
        <v>10800</v>
      </c>
      <c r="Z132" s="133">
        <v>1</v>
      </c>
      <c r="AA132" s="133">
        <v>1300</v>
      </c>
      <c r="AB132" s="184">
        <f t="shared" si="101"/>
        <v>0.15052129817444215</v>
      </c>
      <c r="AC132" s="184">
        <f t="shared" si="102"/>
        <v>-8.4733218588640219E-2</v>
      </c>
      <c r="AD132" s="184">
        <f t="shared" si="103"/>
        <v>6.064908722109541E-2</v>
      </c>
      <c r="AE132" s="222">
        <v>52290</v>
      </c>
      <c r="AF132" s="98" t="s">
        <v>615</v>
      </c>
      <c r="AH132" s="98" t="s">
        <v>130</v>
      </c>
    </row>
    <row r="133" spans="1:34" ht="46.5" thickTop="1" thickBot="1">
      <c r="A133" s="176" t="str">
        <f>INDEX('Выгр Торг'!$A:$A,MATCH($B133,'Выгр Торг'!$B:$B,0))</f>
        <v>Руль анатомический "Ferrum" Cross Serie с обогревом для Лада Ларгус FL, Веста, XRAY</v>
      </c>
      <c r="B133" s="178">
        <v>341413</v>
      </c>
      <c r="C133" s="179">
        <f>VLOOKUP($B133,'Выгр Торг'!$B:$Q,C$1,0)</f>
        <v>341413</v>
      </c>
      <c r="D133" s="189" t="s">
        <v>130</v>
      </c>
      <c r="E133" s="176" t="str">
        <f>VLOOKUP($B133,'Выгр Торг'!$B:$Q,E$1,0)</f>
        <v>Руль анатомический "Ferrum" Cross Serie с обогревом для Лада Ларгус FL, Веста, XRAY (Тёмно-серая нить, Чёрный мат)</v>
      </c>
      <c r="F133" s="179" t="str">
        <f>VLOOKUP($B133,'Выгр Торг'!$B:$Q,F$1,0)</f>
        <v>Y</v>
      </c>
      <c r="G133" s="179" t="str">
        <f>VLOOKUP($B133,'Выгр Торг'!$B:$Q,G$1,0)</f>
        <v>1</v>
      </c>
      <c r="H133" s="177">
        <v>166591</v>
      </c>
      <c r="I133" s="156"/>
      <c r="J133" s="160">
        <v>830</v>
      </c>
      <c r="K133" s="161">
        <v>870</v>
      </c>
      <c r="L133" s="180">
        <f t="shared" si="97"/>
        <v>49300</v>
      </c>
      <c r="M133" s="180">
        <f t="shared" si="93"/>
        <v>50300</v>
      </c>
      <c r="N133" s="180">
        <f t="shared" si="94"/>
        <v>43300</v>
      </c>
      <c r="O133" s="107">
        <f t="shared" si="98"/>
        <v>1.0202839756592292</v>
      </c>
      <c r="P133" s="132">
        <f t="shared" si="104"/>
        <v>1.1499999999999999</v>
      </c>
      <c r="Q133" s="180">
        <f t="shared" si="95"/>
        <v>60962.365591397836</v>
      </c>
      <c r="R133" s="144">
        <f t="shared" si="99"/>
        <v>60990</v>
      </c>
      <c r="S133" s="179">
        <f>VLOOKUP($B133,'Выгр Торг'!$B:$Q,S$1,0)</f>
        <v>49300</v>
      </c>
      <c r="T133" s="179">
        <f>VLOOKUP($B133,'Выгр Торг'!$B:$Q,T$1,0)</f>
        <v>60990</v>
      </c>
      <c r="U133" s="94">
        <f t="shared" si="105"/>
        <v>0</v>
      </c>
      <c r="V133" s="94">
        <f t="shared" si="106"/>
        <v>0</v>
      </c>
      <c r="W133" s="182">
        <f t="shared" si="100"/>
        <v>56720.7</v>
      </c>
      <c r="X133" s="218">
        <f>IFERROR(VLOOKUP($B133,'Из ГУГЛа'!$B:$G,6,0)*Z133+Y133,VLOOKUP($B133,'Из ГУГЛа'!$B:$G,6,0))</f>
        <v>52290</v>
      </c>
      <c r="Y133" s="220">
        <f t="shared" si="96"/>
        <v>10800</v>
      </c>
      <c r="Z133" s="133">
        <v>1</v>
      </c>
      <c r="AA133" s="133">
        <v>1300</v>
      </c>
      <c r="AB133" s="184">
        <f t="shared" si="101"/>
        <v>0.15052129817444215</v>
      </c>
      <c r="AC133" s="184">
        <f t="shared" si="102"/>
        <v>-8.4733218588640219E-2</v>
      </c>
      <c r="AD133" s="184">
        <f t="shared" si="103"/>
        <v>6.064908722109541E-2</v>
      </c>
      <c r="AE133" s="222">
        <v>52290</v>
      </c>
      <c r="AF133" s="98" t="s">
        <v>615</v>
      </c>
      <c r="AH133" s="98" t="s">
        <v>130</v>
      </c>
    </row>
    <row r="134" spans="1:34" ht="46.5" thickTop="1" thickBot="1">
      <c r="A134" s="176" t="str">
        <f>INDEX('Выгр Торг'!$A:$A,MATCH($B134,'Выгр Торг'!$B:$B,0))</f>
        <v>Руль анатомический "Ferrum" Cross Serie с обогревом для Лада Ларгус FL, Веста, XRAY</v>
      </c>
      <c r="B134" s="178">
        <v>341405</v>
      </c>
      <c r="C134" s="179">
        <f>VLOOKUP($B134,'Выгр Торг'!$B:$Q,C$1,0)</f>
        <v>341405</v>
      </c>
      <c r="D134" s="189" t="s">
        <v>130</v>
      </c>
      <c r="E134" s="176" t="str">
        <f>VLOOKUP($B134,'Выгр Торг'!$B:$Q,E$1,0)</f>
        <v>Руль анатомический "Ferrum" Cross Serie с обогревом для Лада Ларгус FL, Веста, XRAY (Фиолетовая нить, Чёрный мат)</v>
      </c>
      <c r="F134" s="179" t="str">
        <f>VLOOKUP($B134,'Выгр Торг'!$B:$Q,F$1,0)</f>
        <v>Y</v>
      </c>
      <c r="G134" s="179" t="str">
        <f>VLOOKUP($B134,'Выгр Торг'!$B:$Q,G$1,0)</f>
        <v>1</v>
      </c>
      <c r="H134" s="177">
        <v>166591</v>
      </c>
      <c r="I134" s="156"/>
      <c r="J134" s="160">
        <v>830</v>
      </c>
      <c r="K134" s="161">
        <v>870</v>
      </c>
      <c r="L134" s="180">
        <f t="shared" si="97"/>
        <v>49300</v>
      </c>
      <c r="M134" s="180">
        <f t="shared" si="93"/>
        <v>50300</v>
      </c>
      <c r="N134" s="180">
        <f t="shared" si="94"/>
        <v>43300</v>
      </c>
      <c r="O134" s="107">
        <f t="shared" si="98"/>
        <v>1.0202839756592292</v>
      </c>
      <c r="P134" s="132">
        <f t="shared" si="104"/>
        <v>1.1499999999999999</v>
      </c>
      <c r="Q134" s="180">
        <f t="shared" si="95"/>
        <v>60962.365591397836</v>
      </c>
      <c r="R134" s="144">
        <f t="shared" si="99"/>
        <v>60990</v>
      </c>
      <c r="S134" s="179">
        <f>VLOOKUP($B134,'Выгр Торг'!$B:$Q,S$1,0)</f>
        <v>49300</v>
      </c>
      <c r="T134" s="179">
        <f>VLOOKUP($B134,'Выгр Торг'!$B:$Q,T$1,0)</f>
        <v>60990</v>
      </c>
      <c r="U134" s="94">
        <f t="shared" si="105"/>
        <v>0</v>
      </c>
      <c r="V134" s="94">
        <f t="shared" si="106"/>
        <v>0</v>
      </c>
      <c r="W134" s="182">
        <f t="shared" si="100"/>
        <v>56720.7</v>
      </c>
      <c r="X134" s="218">
        <f>IFERROR(VLOOKUP($B134,'Из ГУГЛа'!$B:$G,6,0)*Z134+Y134,VLOOKUP($B134,'Из ГУГЛа'!$B:$G,6,0))</f>
        <v>52290</v>
      </c>
      <c r="Y134" s="220">
        <f t="shared" si="96"/>
        <v>10800</v>
      </c>
      <c r="Z134" s="133">
        <v>1</v>
      </c>
      <c r="AA134" s="133">
        <v>1300</v>
      </c>
      <c r="AB134" s="184">
        <f t="shared" si="101"/>
        <v>0.15052129817444215</v>
      </c>
      <c r="AC134" s="184">
        <f t="shared" si="102"/>
        <v>-8.4733218588640219E-2</v>
      </c>
      <c r="AD134" s="184">
        <f t="shared" si="103"/>
        <v>6.064908722109541E-2</v>
      </c>
      <c r="AE134" s="222">
        <v>52290</v>
      </c>
      <c r="AF134" s="98" t="s">
        <v>615</v>
      </c>
      <c r="AH134" s="98" t="s">
        <v>130</v>
      </c>
    </row>
    <row r="135" spans="1:34" ht="46.5" thickTop="1" thickBot="1">
      <c r="A135" s="176" t="str">
        <f>INDEX('Выгр Торг'!$A:$A,MATCH($B135,'Выгр Торг'!$B:$B,0))</f>
        <v>Руль анатомический "Ferrum" Cross Serie с обогревом для Лада Ларгус FL, Веста, XRAY</v>
      </c>
      <c r="B135" s="178">
        <v>132534</v>
      </c>
      <c r="C135" s="179">
        <f>VLOOKUP($B135,'Выгр Торг'!$B:$Q,C$1,0)</f>
        <v>166598</v>
      </c>
      <c r="D135" s="189" t="s">
        <v>130</v>
      </c>
      <c r="E135" s="176" t="str">
        <f>VLOOKUP($B135,'Выгр Торг'!$B:$Q,E$1,0)</f>
        <v>Руль анатомический "Ferrum" Cross Serie с обогревом для Лада Ларгус FL, Веста, XRAY (Жёлтая нить, Чёрный глянец)</v>
      </c>
      <c r="F135" s="179" t="str">
        <f>VLOOKUP($B135,'Выгр Торг'!$B:$Q,F$1,0)</f>
        <v>Y</v>
      </c>
      <c r="G135" s="179" t="str">
        <f>VLOOKUP($B135,'Выгр Торг'!$B:$Q,G$1,0)</f>
        <v>1</v>
      </c>
      <c r="H135" s="177">
        <v>166591</v>
      </c>
      <c r="I135" s="156"/>
      <c r="J135" s="160"/>
      <c r="K135" s="161">
        <v>870</v>
      </c>
      <c r="L135" s="180">
        <f t="shared" ref="L135" si="107">M135-1000</f>
        <v>48470</v>
      </c>
      <c r="M135" s="180">
        <f t="shared" si="93"/>
        <v>49470</v>
      </c>
      <c r="N135" s="180">
        <f t="shared" si="94"/>
        <v>42470</v>
      </c>
      <c r="O135" s="107">
        <f t="shared" ref="O135" si="108">M135/L135</f>
        <v>1.0206313183412421</v>
      </c>
      <c r="P135" s="132">
        <f t="shared" si="104"/>
        <v>1.1499999999999999</v>
      </c>
      <c r="Q135" s="180">
        <f t="shared" si="95"/>
        <v>59936.021505376331</v>
      </c>
      <c r="R135" s="144">
        <f t="shared" ref="R135" si="109">IF(Q135&lt;=1000,(ROUNDUP(Q135,-2)-1),(ROUNDUP(Q135,-2)-10))</f>
        <v>59990</v>
      </c>
      <c r="S135" s="179">
        <f>VLOOKUP($B135,'Выгр Торг'!$B:$Q,S$1,0)</f>
        <v>48470</v>
      </c>
      <c r="T135" s="179">
        <f>VLOOKUP($B135,'Выгр Торг'!$B:$Q,T$1,0)</f>
        <v>59990</v>
      </c>
      <c r="U135" s="94">
        <f t="shared" si="105"/>
        <v>0</v>
      </c>
      <c r="V135" s="94">
        <f t="shared" si="106"/>
        <v>0</v>
      </c>
      <c r="W135" s="182">
        <f t="shared" ref="W135" si="110">R135*(1-$W$2)</f>
        <v>55790.7</v>
      </c>
      <c r="X135" s="218">
        <f>IFERROR(VLOOKUP($B135,'Из ГУГЛа'!$B:$G,6,0)*Z135+Y135,VLOOKUP($B135,'Из ГУГЛа'!$B:$G,6,0))</f>
        <v>51460</v>
      </c>
      <c r="Y135" s="220">
        <f t="shared" si="96"/>
        <v>9970</v>
      </c>
      <c r="Z135" s="133">
        <v>1</v>
      </c>
      <c r="AA135" s="133"/>
      <c r="AB135" s="184">
        <f t="shared" ref="AB135" si="111">IFERROR(W135/L135-1,"")</f>
        <v>0.15103569218073032</v>
      </c>
      <c r="AC135" s="184">
        <f t="shared" ref="AC135" si="112">IFERROR((AE135-W135)/AE135,"")</f>
        <v>-8.415662650602404E-2</v>
      </c>
      <c r="AD135" s="184">
        <f t="shared" ref="AD135" si="113">IFERROR(IF(AE135="","",AE135/L135-1),"")</f>
        <v>6.1687641840313612E-2</v>
      </c>
      <c r="AE135" s="222">
        <v>51460</v>
      </c>
      <c r="AF135" s="98" t="s">
        <v>615</v>
      </c>
      <c r="AH135" s="98" t="s">
        <v>130</v>
      </c>
    </row>
    <row r="136" spans="1:34" ht="46.5" thickTop="1" thickBot="1">
      <c r="A136" s="125" t="str">
        <f>INDEX('Выгр Торг'!$A:$A,MATCH($B136,'Выгр Торг'!$B:$B,0))</f>
        <v>Руль анатомический "Ferrum" Cross Serie с обогревом для Лада Ларгус FL, Веста, XRAY</v>
      </c>
      <c r="B136" s="126">
        <v>132535</v>
      </c>
      <c r="C136" s="127">
        <f>VLOOKUP($B136,'Выгр Торг'!$B:$Q,C$1,0)</f>
        <v>166602</v>
      </c>
      <c r="D136" s="128" t="s">
        <v>130</v>
      </c>
      <c r="E136" s="125" t="str">
        <f>VLOOKUP($B136,'Выгр Торг'!$B:$Q,E$1,0)</f>
        <v>Руль анатомический "Ferrum" Cross Serie с обогревом для Лада Ларгус FL, Веста, XRAY (Зелёная нить, Чёрный глянец)</v>
      </c>
      <c r="F136" s="127" t="str">
        <f>VLOOKUP($B136,'Выгр Торг'!$B:$Q,F$1,0)</f>
        <v>Y</v>
      </c>
      <c r="G136" s="127" t="str">
        <f>VLOOKUP($B136,'Выгр Торг'!$B:$Q,G$1,0)</f>
        <v>1</v>
      </c>
      <c r="H136" s="40">
        <v>166591</v>
      </c>
      <c r="I136" s="156"/>
      <c r="J136" s="160"/>
      <c r="K136" s="161">
        <v>870</v>
      </c>
      <c r="L136" s="130">
        <f t="shared" ref="L136:L146" si="114">M136-1000</f>
        <v>48470</v>
      </c>
      <c r="M136" s="130">
        <f t="shared" si="93"/>
        <v>49470</v>
      </c>
      <c r="N136" s="130">
        <f t="shared" si="94"/>
        <v>42470</v>
      </c>
      <c r="O136" s="132">
        <f t="shared" si="54"/>
        <v>1.0206313183412421</v>
      </c>
      <c r="P136" s="132">
        <f t="shared" si="104"/>
        <v>1.1499999999999999</v>
      </c>
      <c r="Q136" s="130">
        <f t="shared" si="95"/>
        <v>59936.021505376331</v>
      </c>
      <c r="R136" s="148">
        <f t="shared" si="56"/>
        <v>59990</v>
      </c>
      <c r="S136" s="127">
        <f>VLOOKUP($B136,'Выгр Торг'!$B:$Q,S$1,0)</f>
        <v>48470</v>
      </c>
      <c r="T136" s="127">
        <f>VLOOKUP($B136,'Выгр Торг'!$B:$Q,T$1,0)</f>
        <v>59990</v>
      </c>
      <c r="U136" s="94">
        <f t="shared" si="105"/>
        <v>0</v>
      </c>
      <c r="V136" s="94">
        <f t="shared" si="106"/>
        <v>0</v>
      </c>
      <c r="W136" s="153">
        <f t="shared" si="57"/>
        <v>55790.7</v>
      </c>
      <c r="X136" s="209">
        <f>IFERROR(VLOOKUP($B136,'Из ГУГЛа'!$B:$G,6,0)*Z136+Y136,VLOOKUP($B136,'Из ГУГЛа'!$B:$G,6,0))</f>
        <v>51460</v>
      </c>
      <c r="Y136" s="220">
        <f t="shared" si="96"/>
        <v>9970</v>
      </c>
      <c r="Z136" s="133">
        <v>1</v>
      </c>
      <c r="AA136" s="134"/>
      <c r="AB136" s="135">
        <f t="shared" si="50"/>
        <v>0.15103569218073032</v>
      </c>
      <c r="AC136" s="135">
        <f t="shared" si="51"/>
        <v>-8.415662650602404E-2</v>
      </c>
      <c r="AD136" s="135">
        <f t="shared" si="52"/>
        <v>6.1687641840313612E-2</v>
      </c>
      <c r="AE136" s="222">
        <v>51460</v>
      </c>
      <c r="AF136" s="98" t="s">
        <v>615</v>
      </c>
      <c r="AH136" s="98" t="s">
        <v>130</v>
      </c>
    </row>
    <row r="137" spans="1:34" ht="46.5" thickTop="1" thickBot="1">
      <c r="A137" s="125" t="str">
        <f>INDEX('Выгр Торг'!$A:$A,MATCH($B137,'Выгр Торг'!$B:$B,0))</f>
        <v>Руль анатомический "Ferrum" Cross Serie с обогревом для Лада Ларгус FL, Веста, XRAY</v>
      </c>
      <c r="B137" s="126">
        <v>132536</v>
      </c>
      <c r="C137" s="127">
        <f>VLOOKUP($B137,'Выгр Торг'!$B:$Q,C$1,0)</f>
        <v>166594</v>
      </c>
      <c r="D137" s="128" t="s">
        <v>130</v>
      </c>
      <c r="E137" s="125" t="str">
        <f>VLOOKUP($B137,'Выгр Торг'!$B:$Q,E$1,0)</f>
        <v>Руль анатомический "Ferrum" Cross Serie с обогревом для Лада Ларгус FL, Веста, XRAY (Коричневая нить, Чёрный глянец)</v>
      </c>
      <c r="F137" s="127" t="str">
        <f>VLOOKUP($B137,'Выгр Торг'!$B:$Q,F$1,0)</f>
        <v>Y</v>
      </c>
      <c r="G137" s="127" t="str">
        <f>VLOOKUP($B137,'Выгр Торг'!$B:$Q,G$1,0)</f>
        <v>1</v>
      </c>
      <c r="H137" s="40">
        <v>166591</v>
      </c>
      <c r="I137" s="156"/>
      <c r="J137" s="160"/>
      <c r="K137" s="161">
        <v>870</v>
      </c>
      <c r="L137" s="130">
        <f t="shared" si="114"/>
        <v>48470</v>
      </c>
      <c r="M137" s="130">
        <f t="shared" si="93"/>
        <v>49470</v>
      </c>
      <c r="N137" s="130">
        <f t="shared" si="94"/>
        <v>42470</v>
      </c>
      <c r="O137" s="132">
        <f t="shared" si="54"/>
        <v>1.0206313183412421</v>
      </c>
      <c r="P137" s="132">
        <f t="shared" si="104"/>
        <v>1.1499999999999999</v>
      </c>
      <c r="Q137" s="130">
        <f t="shared" si="95"/>
        <v>59936.021505376331</v>
      </c>
      <c r="R137" s="148">
        <f t="shared" si="56"/>
        <v>59990</v>
      </c>
      <c r="S137" s="127">
        <f>VLOOKUP($B137,'Выгр Торг'!$B:$Q,S$1,0)</f>
        <v>48470</v>
      </c>
      <c r="T137" s="127">
        <f>VLOOKUP($B137,'Выгр Торг'!$B:$Q,T$1,0)</f>
        <v>59990</v>
      </c>
      <c r="U137" s="94">
        <f t="shared" si="105"/>
        <v>0</v>
      </c>
      <c r="V137" s="94">
        <f t="shared" si="106"/>
        <v>0</v>
      </c>
      <c r="W137" s="153">
        <f t="shared" si="57"/>
        <v>55790.7</v>
      </c>
      <c r="X137" s="209">
        <f>IFERROR(VLOOKUP($B137,'Из ГУГЛа'!$B:$G,6,0)*Z137+Y137,VLOOKUP($B137,'Из ГУГЛа'!$B:$G,6,0))</f>
        <v>51460</v>
      </c>
      <c r="Y137" s="220">
        <f t="shared" si="96"/>
        <v>9970</v>
      </c>
      <c r="Z137" s="133">
        <v>1</v>
      </c>
      <c r="AA137" s="134"/>
      <c r="AB137" s="135">
        <f t="shared" si="50"/>
        <v>0.15103569218073032</v>
      </c>
      <c r="AC137" s="135">
        <f t="shared" si="51"/>
        <v>-8.415662650602404E-2</v>
      </c>
      <c r="AD137" s="135">
        <f t="shared" si="52"/>
        <v>6.1687641840313612E-2</v>
      </c>
      <c r="AE137" s="222">
        <v>51460</v>
      </c>
      <c r="AF137" s="98" t="s">
        <v>615</v>
      </c>
      <c r="AH137" s="98" t="s">
        <v>130</v>
      </c>
    </row>
    <row r="138" spans="1:34" ht="46.5" thickTop="1" thickBot="1">
      <c r="A138" s="125" t="str">
        <f>INDEX('Выгр Торг'!$A:$A,MATCH($B138,'Выгр Торг'!$B:$B,0))</f>
        <v>Руль анатомический "Ferrum" Cross Serie с обогревом для Лада Ларгус FL, Веста, XRAY</v>
      </c>
      <c r="B138" s="126">
        <v>132537</v>
      </c>
      <c r="C138" s="127">
        <f>VLOOKUP($B138,'Выгр Торг'!$B:$Q,C$1,0)</f>
        <v>166601</v>
      </c>
      <c r="D138" s="128" t="s">
        <v>130</v>
      </c>
      <c r="E138" s="125" t="str">
        <f>VLOOKUP($B138,'Выгр Торг'!$B:$Q,E$1,0)</f>
        <v>Руль анатомический "Ferrum" Cross Serie с обогревом для Лада Ларгус FL, Веста, XRAY (Красная нить, Чёрный глянец)</v>
      </c>
      <c r="F138" s="127" t="str">
        <f>VLOOKUP($B138,'Выгр Торг'!$B:$Q,F$1,0)</f>
        <v>Y</v>
      </c>
      <c r="G138" s="127" t="str">
        <f>VLOOKUP($B138,'Выгр Торг'!$B:$Q,G$1,0)</f>
        <v>1</v>
      </c>
      <c r="H138" s="40">
        <v>166591</v>
      </c>
      <c r="I138" s="156"/>
      <c r="J138" s="160"/>
      <c r="K138" s="161">
        <v>870</v>
      </c>
      <c r="L138" s="130">
        <f t="shared" si="114"/>
        <v>48470</v>
      </c>
      <c r="M138" s="130">
        <f t="shared" si="93"/>
        <v>49470</v>
      </c>
      <c r="N138" s="130">
        <f t="shared" si="94"/>
        <v>42470</v>
      </c>
      <c r="O138" s="132">
        <f t="shared" si="54"/>
        <v>1.0206313183412421</v>
      </c>
      <c r="P138" s="132">
        <f t="shared" si="104"/>
        <v>1.1499999999999999</v>
      </c>
      <c r="Q138" s="130">
        <f t="shared" si="95"/>
        <v>59936.021505376331</v>
      </c>
      <c r="R138" s="148">
        <f t="shared" si="56"/>
        <v>59990</v>
      </c>
      <c r="S138" s="127">
        <f>VLOOKUP($B138,'Выгр Торг'!$B:$Q,S$1,0)</f>
        <v>48470</v>
      </c>
      <c r="T138" s="127">
        <f>VLOOKUP($B138,'Выгр Торг'!$B:$Q,T$1,0)</f>
        <v>59990</v>
      </c>
      <c r="U138" s="94">
        <f t="shared" si="105"/>
        <v>0</v>
      </c>
      <c r="V138" s="94">
        <f t="shared" si="106"/>
        <v>0</v>
      </c>
      <c r="W138" s="153">
        <f t="shared" si="57"/>
        <v>55790.7</v>
      </c>
      <c r="X138" s="209">
        <f>IFERROR(VLOOKUP($B138,'Из ГУГЛа'!$B:$G,6,0)*Z138+Y138,VLOOKUP($B138,'Из ГУГЛа'!$B:$G,6,0))</f>
        <v>51460</v>
      </c>
      <c r="Y138" s="220">
        <f t="shared" si="96"/>
        <v>9970</v>
      </c>
      <c r="Z138" s="133">
        <v>1</v>
      </c>
      <c r="AA138" s="134"/>
      <c r="AB138" s="135">
        <f t="shared" si="50"/>
        <v>0.15103569218073032</v>
      </c>
      <c r="AC138" s="135">
        <f t="shared" si="51"/>
        <v>-8.415662650602404E-2</v>
      </c>
      <c r="AD138" s="135">
        <f t="shared" si="52"/>
        <v>6.1687641840313612E-2</v>
      </c>
      <c r="AE138" s="222">
        <v>51460</v>
      </c>
      <c r="AF138" s="98" t="s">
        <v>615</v>
      </c>
      <c r="AH138" s="98" t="s">
        <v>130</v>
      </c>
    </row>
    <row r="139" spans="1:34" ht="46.5" thickTop="1" thickBot="1">
      <c r="A139" s="125" t="str">
        <f>INDEX('Выгр Торг'!$A:$A,MATCH($B139,'Выгр Торг'!$B:$B,0))</f>
        <v>Руль анатомический "Ferrum" Cross Serie с обогревом для Лада Ларгус FL, Веста, XRAY</v>
      </c>
      <c r="B139" s="126">
        <v>132538</v>
      </c>
      <c r="C139" s="127">
        <f>VLOOKUP($B139,'Выгр Торг'!$B:$Q,C$1,0)</f>
        <v>166597</v>
      </c>
      <c r="D139" s="128" t="s">
        <v>130</v>
      </c>
      <c r="E139" s="125" t="str">
        <f>VLOOKUP($B139,'Выгр Торг'!$B:$Q,E$1,0)</f>
        <v>Руль анатомический "Ferrum" Cross Serie с обогревом для Лада Ларгус FL, Веста, XRAY (Оранжевая нить, Чёрный глянец)</v>
      </c>
      <c r="F139" s="127" t="str">
        <f>VLOOKUP($B139,'Выгр Торг'!$B:$Q,F$1,0)</f>
        <v>Y</v>
      </c>
      <c r="G139" s="127" t="str">
        <f>VLOOKUP($B139,'Выгр Торг'!$B:$Q,G$1,0)</f>
        <v>1</v>
      </c>
      <c r="H139" s="40">
        <v>166591</v>
      </c>
      <c r="I139" s="156"/>
      <c r="J139" s="160"/>
      <c r="K139" s="161">
        <v>870</v>
      </c>
      <c r="L139" s="130">
        <f t="shared" si="114"/>
        <v>48470</v>
      </c>
      <c r="M139" s="130">
        <f t="shared" si="93"/>
        <v>49470</v>
      </c>
      <c r="N139" s="130">
        <f t="shared" si="94"/>
        <v>42470</v>
      </c>
      <c r="O139" s="132">
        <f t="shared" si="54"/>
        <v>1.0206313183412421</v>
      </c>
      <c r="P139" s="132">
        <f t="shared" si="104"/>
        <v>1.1499999999999999</v>
      </c>
      <c r="Q139" s="130">
        <f t="shared" si="95"/>
        <v>59936.021505376331</v>
      </c>
      <c r="R139" s="148">
        <f t="shared" si="56"/>
        <v>59990</v>
      </c>
      <c r="S139" s="127">
        <f>VLOOKUP($B139,'Выгр Торг'!$B:$Q,S$1,0)</f>
        <v>48470</v>
      </c>
      <c r="T139" s="127">
        <f>VLOOKUP($B139,'Выгр Торг'!$B:$Q,T$1,0)</f>
        <v>59990</v>
      </c>
      <c r="U139" s="94">
        <f t="shared" si="105"/>
        <v>0</v>
      </c>
      <c r="V139" s="94">
        <f t="shared" si="106"/>
        <v>0</v>
      </c>
      <c r="W139" s="153">
        <f t="shared" si="57"/>
        <v>55790.7</v>
      </c>
      <c r="X139" s="209">
        <f>IFERROR(VLOOKUP($B139,'Из ГУГЛа'!$B:$G,6,0)*Z139+Y139,VLOOKUP($B139,'Из ГУГЛа'!$B:$G,6,0))</f>
        <v>51460</v>
      </c>
      <c r="Y139" s="220">
        <f t="shared" si="96"/>
        <v>9970</v>
      </c>
      <c r="Z139" s="133">
        <v>1</v>
      </c>
      <c r="AA139" s="134"/>
      <c r="AB139" s="135">
        <f t="shared" si="50"/>
        <v>0.15103569218073032</v>
      </c>
      <c r="AC139" s="135">
        <f t="shared" si="51"/>
        <v>-8.415662650602404E-2</v>
      </c>
      <c r="AD139" s="135">
        <f t="shared" si="52"/>
        <v>6.1687641840313612E-2</v>
      </c>
      <c r="AE139" s="222">
        <v>51460</v>
      </c>
      <c r="AF139" s="98" t="s">
        <v>615</v>
      </c>
      <c r="AH139" s="98" t="s">
        <v>130</v>
      </c>
    </row>
    <row r="140" spans="1:34" ht="46.5" thickTop="1" thickBot="1">
      <c r="A140" s="125" t="str">
        <f>INDEX('Выгр Торг'!$A:$A,MATCH($B140,'Выгр Торг'!$B:$B,0))</f>
        <v>Руль анатомический "Ferrum" Cross Serie с обогревом для Лада Ларгус FL, Веста, XRAY</v>
      </c>
      <c r="B140" s="126">
        <v>132539</v>
      </c>
      <c r="C140" s="127">
        <f>VLOOKUP($B140,'Выгр Торг'!$B:$Q,C$1,0)</f>
        <v>166599</v>
      </c>
      <c r="D140" s="128" t="s">
        <v>130</v>
      </c>
      <c r="E140" s="125" t="str">
        <f>VLOOKUP($B140,'Выгр Торг'!$B:$Q,E$1,0)</f>
        <v>Руль анатомический "Ferrum" Cross Serie с обогревом для Лада Ларгус FL, Веста, XRAY (Салатовая нить, Чёрный глянец)</v>
      </c>
      <c r="F140" s="127" t="str">
        <f>VLOOKUP($B140,'Выгр Торг'!$B:$Q,F$1,0)</f>
        <v>Y</v>
      </c>
      <c r="G140" s="127" t="str">
        <f>VLOOKUP($B140,'Выгр Торг'!$B:$Q,G$1,0)</f>
        <v>1</v>
      </c>
      <c r="H140" s="40">
        <v>166591</v>
      </c>
      <c r="I140" s="156"/>
      <c r="J140" s="160"/>
      <c r="K140" s="161">
        <v>870</v>
      </c>
      <c r="L140" s="130">
        <f t="shared" si="114"/>
        <v>48470</v>
      </c>
      <c r="M140" s="130">
        <f t="shared" si="93"/>
        <v>49470</v>
      </c>
      <c r="N140" s="130">
        <f t="shared" si="94"/>
        <v>42470</v>
      </c>
      <c r="O140" s="132">
        <f t="shared" si="54"/>
        <v>1.0206313183412421</v>
      </c>
      <c r="P140" s="132">
        <f t="shared" si="104"/>
        <v>1.1499999999999999</v>
      </c>
      <c r="Q140" s="130">
        <f t="shared" si="95"/>
        <v>59936.021505376331</v>
      </c>
      <c r="R140" s="148">
        <f t="shared" si="56"/>
        <v>59990</v>
      </c>
      <c r="S140" s="127">
        <f>VLOOKUP($B140,'Выгр Торг'!$B:$Q,S$1,0)</f>
        <v>48470</v>
      </c>
      <c r="T140" s="127">
        <f>VLOOKUP($B140,'Выгр Торг'!$B:$Q,T$1,0)</f>
        <v>59990</v>
      </c>
      <c r="U140" s="94">
        <f t="shared" si="105"/>
        <v>0</v>
      </c>
      <c r="V140" s="94">
        <f t="shared" si="106"/>
        <v>0</v>
      </c>
      <c r="W140" s="153">
        <f t="shared" si="57"/>
        <v>55790.7</v>
      </c>
      <c r="X140" s="209">
        <f>IFERROR(VLOOKUP($B140,'Из ГУГЛа'!$B:$G,6,0)*Z140+Y140,VLOOKUP($B140,'Из ГУГЛа'!$B:$G,6,0))</f>
        <v>51460</v>
      </c>
      <c r="Y140" s="220">
        <f t="shared" si="96"/>
        <v>9970</v>
      </c>
      <c r="Z140" s="133">
        <v>1</v>
      </c>
      <c r="AA140" s="134"/>
      <c r="AB140" s="135">
        <f t="shared" si="50"/>
        <v>0.15103569218073032</v>
      </c>
      <c r="AC140" s="135">
        <f t="shared" si="51"/>
        <v>-8.415662650602404E-2</v>
      </c>
      <c r="AD140" s="135">
        <f t="shared" si="52"/>
        <v>6.1687641840313612E-2</v>
      </c>
      <c r="AE140" s="222">
        <v>51460</v>
      </c>
      <c r="AF140" s="98" t="s">
        <v>615</v>
      </c>
      <c r="AH140" s="98" t="s">
        <v>130</v>
      </c>
    </row>
    <row r="141" spans="1:34" ht="46.5" thickTop="1" thickBot="1">
      <c r="A141" s="125" t="str">
        <f>INDEX('Выгр Торг'!$A:$A,MATCH($B141,'Выгр Торг'!$B:$B,0))</f>
        <v>Руль анатомический "Ferrum" Cross Serie с обогревом для Лада Ларгус FL, Веста, XRAY</v>
      </c>
      <c r="B141" s="126">
        <v>132540</v>
      </c>
      <c r="C141" s="127">
        <f>VLOOKUP($B141,'Выгр Торг'!$B:$Q,C$1,0)</f>
        <v>166600</v>
      </c>
      <c r="D141" s="128" t="s">
        <v>130</v>
      </c>
      <c r="E141" s="125" t="str">
        <f>VLOOKUP($B141,'Выгр Торг'!$B:$Q,E$1,0)</f>
        <v>Руль анатомический "Ferrum" Cross Serie с обогревом для Лада Ларгус FL, Веста, XRAY (Светло-серая нить, Чёрный глянец)</v>
      </c>
      <c r="F141" s="127" t="str">
        <f>VLOOKUP($B141,'Выгр Торг'!$B:$Q,F$1,0)</f>
        <v>Y</v>
      </c>
      <c r="G141" s="127" t="str">
        <f>VLOOKUP($B141,'Выгр Торг'!$B:$Q,G$1,0)</f>
        <v>1</v>
      </c>
      <c r="H141" s="40">
        <v>166591</v>
      </c>
      <c r="I141" s="156"/>
      <c r="J141" s="160"/>
      <c r="K141" s="161">
        <v>870</v>
      </c>
      <c r="L141" s="130">
        <f t="shared" si="114"/>
        <v>48470</v>
      </c>
      <c r="M141" s="130">
        <f t="shared" si="93"/>
        <v>49470</v>
      </c>
      <c r="N141" s="130">
        <f t="shared" si="94"/>
        <v>42470</v>
      </c>
      <c r="O141" s="132">
        <f t="shared" si="54"/>
        <v>1.0206313183412421</v>
      </c>
      <c r="P141" s="132">
        <f t="shared" si="104"/>
        <v>1.1499999999999999</v>
      </c>
      <c r="Q141" s="130">
        <f t="shared" si="95"/>
        <v>59936.021505376331</v>
      </c>
      <c r="R141" s="148">
        <f t="shared" si="56"/>
        <v>59990</v>
      </c>
      <c r="S141" s="127">
        <f>VLOOKUP($B141,'Выгр Торг'!$B:$Q,S$1,0)</f>
        <v>48470</v>
      </c>
      <c r="T141" s="127">
        <f>VLOOKUP($B141,'Выгр Торг'!$B:$Q,T$1,0)</f>
        <v>59990</v>
      </c>
      <c r="U141" s="94">
        <f t="shared" si="105"/>
        <v>0</v>
      </c>
      <c r="V141" s="94">
        <f t="shared" si="106"/>
        <v>0</v>
      </c>
      <c r="W141" s="153">
        <f t="shared" si="57"/>
        <v>55790.7</v>
      </c>
      <c r="X141" s="209">
        <f>IFERROR(VLOOKUP($B141,'Из ГУГЛа'!$B:$G,6,0)*Z141+Y141,VLOOKUP($B141,'Из ГУГЛа'!$B:$G,6,0))</f>
        <v>51460</v>
      </c>
      <c r="Y141" s="220">
        <f t="shared" si="96"/>
        <v>9970</v>
      </c>
      <c r="Z141" s="133">
        <v>1</v>
      </c>
      <c r="AA141" s="134"/>
      <c r="AB141" s="135">
        <f t="shared" si="50"/>
        <v>0.15103569218073032</v>
      </c>
      <c r="AC141" s="135">
        <f t="shared" si="51"/>
        <v>-8.415662650602404E-2</v>
      </c>
      <c r="AD141" s="135">
        <f t="shared" si="52"/>
        <v>6.1687641840313612E-2</v>
      </c>
      <c r="AE141" s="222">
        <v>51460</v>
      </c>
      <c r="AF141" s="98" t="s">
        <v>615</v>
      </c>
      <c r="AH141" s="98" t="s">
        <v>130</v>
      </c>
    </row>
    <row r="142" spans="1:34" ht="46.5" thickTop="1" thickBot="1">
      <c r="A142" s="125" t="str">
        <f>INDEX('Выгр Торг'!$A:$A,MATCH($B142,'Выгр Торг'!$B:$B,0))</f>
        <v>Руль анатомический "Ferrum" Cross Serie с обогревом для Лада Ларгус FL, Веста, XRAY</v>
      </c>
      <c r="B142" s="126">
        <v>132541</v>
      </c>
      <c r="C142" s="127">
        <f>VLOOKUP($B142,'Выгр Торг'!$B:$Q,C$1,0)</f>
        <v>166596</v>
      </c>
      <c r="D142" s="128" t="s">
        <v>130</v>
      </c>
      <c r="E142" s="125" t="str">
        <f>VLOOKUP($B142,'Выгр Торг'!$B:$Q,E$1,0)</f>
        <v>Руль анатомический "Ferrum" Cross Serie с обогревом для Лада Ларгус FL, Веста, XRAY (Сине-зелёная нить, Чёрный глянец)</v>
      </c>
      <c r="F142" s="127" t="str">
        <f>VLOOKUP($B142,'Выгр Торг'!$B:$Q,F$1,0)</f>
        <v>Y</v>
      </c>
      <c r="G142" s="127" t="str">
        <f>VLOOKUP($B142,'Выгр Торг'!$B:$Q,G$1,0)</f>
        <v>1</v>
      </c>
      <c r="H142" s="40">
        <v>166591</v>
      </c>
      <c r="I142" s="156"/>
      <c r="J142" s="160"/>
      <c r="K142" s="161">
        <v>870</v>
      </c>
      <c r="L142" s="130">
        <f t="shared" si="114"/>
        <v>48470</v>
      </c>
      <c r="M142" s="130">
        <f t="shared" si="93"/>
        <v>49470</v>
      </c>
      <c r="N142" s="130">
        <f t="shared" si="94"/>
        <v>42470</v>
      </c>
      <c r="O142" s="132">
        <f t="shared" si="54"/>
        <v>1.0206313183412421</v>
      </c>
      <c r="P142" s="132">
        <f t="shared" si="104"/>
        <v>1.1499999999999999</v>
      </c>
      <c r="Q142" s="130">
        <f t="shared" si="95"/>
        <v>59936.021505376331</v>
      </c>
      <c r="R142" s="148">
        <f t="shared" si="56"/>
        <v>59990</v>
      </c>
      <c r="S142" s="127">
        <f>VLOOKUP($B142,'Выгр Торг'!$B:$Q,S$1,0)</f>
        <v>48470</v>
      </c>
      <c r="T142" s="127">
        <f>VLOOKUP($B142,'Выгр Торг'!$B:$Q,T$1,0)</f>
        <v>59990</v>
      </c>
      <c r="U142" s="94">
        <f t="shared" si="105"/>
        <v>0</v>
      </c>
      <c r="V142" s="94">
        <f t="shared" si="106"/>
        <v>0</v>
      </c>
      <c r="W142" s="153">
        <f t="shared" si="57"/>
        <v>55790.7</v>
      </c>
      <c r="X142" s="209">
        <f>IFERROR(VLOOKUP($B142,'Из ГУГЛа'!$B:$G,6,0)*Z142+Y142,VLOOKUP($B142,'Из ГУГЛа'!$B:$G,6,0))</f>
        <v>51460</v>
      </c>
      <c r="Y142" s="220">
        <f t="shared" si="96"/>
        <v>9970</v>
      </c>
      <c r="Z142" s="133">
        <v>1</v>
      </c>
      <c r="AA142" s="134"/>
      <c r="AB142" s="135">
        <f t="shared" si="50"/>
        <v>0.15103569218073032</v>
      </c>
      <c r="AC142" s="135">
        <f t="shared" si="51"/>
        <v>-8.415662650602404E-2</v>
      </c>
      <c r="AD142" s="135">
        <f t="shared" si="52"/>
        <v>6.1687641840313612E-2</v>
      </c>
      <c r="AE142" s="222">
        <v>51460</v>
      </c>
      <c r="AF142" s="98" t="s">
        <v>615</v>
      </c>
      <c r="AH142" s="98" t="s">
        <v>130</v>
      </c>
    </row>
    <row r="143" spans="1:34" ht="46.5" thickTop="1" thickBot="1">
      <c r="A143" s="125" t="str">
        <f>INDEX('Выгр Торг'!$A:$A,MATCH($B143,'Выгр Торг'!$B:$B,0))</f>
        <v>Руль анатомический "Ferrum" Cross Serie с обогревом для Лада Ларгус FL, Веста, XRAY</v>
      </c>
      <c r="B143" s="126">
        <v>132542</v>
      </c>
      <c r="C143" s="127">
        <f>VLOOKUP($B143,'Выгр Торг'!$B:$Q,C$1,0)</f>
        <v>166595</v>
      </c>
      <c r="D143" s="128" t="s">
        <v>130</v>
      </c>
      <c r="E143" s="125" t="str">
        <f>VLOOKUP($B143,'Выгр Торг'!$B:$Q,E$1,0)</f>
        <v>Руль анатомический "Ferrum" Cross Serie с обогревом для Лада Ларгус FL, Веста, XRAY (Синяя нить, Чёрный глянец)</v>
      </c>
      <c r="F143" s="127" t="str">
        <f>VLOOKUP($B143,'Выгр Торг'!$B:$Q,F$1,0)</f>
        <v>Y</v>
      </c>
      <c r="G143" s="127" t="str">
        <f>VLOOKUP($B143,'Выгр Торг'!$B:$Q,G$1,0)</f>
        <v>1</v>
      </c>
      <c r="H143" s="40">
        <v>166591</v>
      </c>
      <c r="I143" s="156"/>
      <c r="J143" s="160"/>
      <c r="K143" s="161">
        <v>870</v>
      </c>
      <c r="L143" s="130">
        <f t="shared" si="114"/>
        <v>48470</v>
      </c>
      <c r="M143" s="130">
        <f t="shared" si="93"/>
        <v>49470</v>
      </c>
      <c r="N143" s="130">
        <f t="shared" si="94"/>
        <v>42470</v>
      </c>
      <c r="O143" s="132">
        <f t="shared" si="54"/>
        <v>1.0206313183412421</v>
      </c>
      <c r="P143" s="132">
        <f t="shared" si="104"/>
        <v>1.1499999999999999</v>
      </c>
      <c r="Q143" s="130">
        <f t="shared" si="95"/>
        <v>59936.021505376331</v>
      </c>
      <c r="R143" s="148">
        <f t="shared" si="56"/>
        <v>59990</v>
      </c>
      <c r="S143" s="127">
        <f>VLOOKUP($B143,'Выгр Торг'!$B:$Q,S$1,0)</f>
        <v>48470</v>
      </c>
      <c r="T143" s="127">
        <f>VLOOKUP($B143,'Выгр Торг'!$B:$Q,T$1,0)</f>
        <v>59990</v>
      </c>
      <c r="U143" s="94">
        <f t="shared" si="105"/>
        <v>0</v>
      </c>
      <c r="V143" s="94">
        <f t="shared" si="106"/>
        <v>0</v>
      </c>
      <c r="W143" s="153">
        <f t="shared" si="57"/>
        <v>55790.7</v>
      </c>
      <c r="X143" s="209">
        <f>IFERROR(VLOOKUP($B143,'Из ГУГЛа'!$B:$G,6,0)*Z143+Y143,VLOOKUP($B143,'Из ГУГЛа'!$B:$G,6,0))</f>
        <v>51460</v>
      </c>
      <c r="Y143" s="220">
        <f t="shared" si="96"/>
        <v>9970</v>
      </c>
      <c r="Z143" s="133">
        <v>1</v>
      </c>
      <c r="AA143" s="134"/>
      <c r="AB143" s="135">
        <f t="shared" si="50"/>
        <v>0.15103569218073032</v>
      </c>
      <c r="AC143" s="135">
        <f t="shared" si="51"/>
        <v>-8.415662650602404E-2</v>
      </c>
      <c r="AD143" s="135">
        <f t="shared" si="52"/>
        <v>6.1687641840313612E-2</v>
      </c>
      <c r="AE143" s="222">
        <v>51460</v>
      </c>
      <c r="AF143" s="98" t="s">
        <v>615</v>
      </c>
      <c r="AH143" s="98" t="s">
        <v>130</v>
      </c>
    </row>
    <row r="144" spans="1:34" ht="46.5" thickTop="1" thickBot="1">
      <c r="A144" s="125" t="str">
        <f>INDEX('Выгр Торг'!$A:$A,MATCH($B144,'Выгр Торг'!$B:$B,0))</f>
        <v>Руль анатомический "Ferrum" Cross Serie с обогревом для Лада Ларгус FL, Веста, XRAY</v>
      </c>
      <c r="B144" s="126">
        <v>132543</v>
      </c>
      <c r="C144" s="127">
        <f>VLOOKUP($B144,'Выгр Торг'!$B:$Q,C$1,0)</f>
        <v>166593</v>
      </c>
      <c r="D144" s="128" t="s">
        <v>130</v>
      </c>
      <c r="E144" s="125" t="str">
        <f>VLOOKUP($B144,'Выгр Торг'!$B:$Q,E$1,0)</f>
        <v>Руль анатомический "Ferrum" Cross Serie с обогревом для Лада Ларгус FL, Веста, XRAY (Тёмно-серая нить, Чёрный глянец)</v>
      </c>
      <c r="F144" s="127" t="str">
        <f>VLOOKUP($B144,'Выгр Торг'!$B:$Q,F$1,0)</f>
        <v>Y</v>
      </c>
      <c r="G144" s="127" t="str">
        <f>VLOOKUP($B144,'Выгр Торг'!$B:$Q,G$1,0)</f>
        <v>1</v>
      </c>
      <c r="H144" s="40">
        <v>166591</v>
      </c>
      <c r="I144" s="156"/>
      <c r="J144" s="160"/>
      <c r="K144" s="161">
        <v>870</v>
      </c>
      <c r="L144" s="130">
        <f t="shared" si="114"/>
        <v>48470</v>
      </c>
      <c r="M144" s="130">
        <f t="shared" si="93"/>
        <v>49470</v>
      </c>
      <c r="N144" s="130">
        <f t="shared" si="94"/>
        <v>42470</v>
      </c>
      <c r="O144" s="132">
        <f t="shared" si="54"/>
        <v>1.0206313183412421</v>
      </c>
      <c r="P144" s="132">
        <f t="shared" si="104"/>
        <v>1.1499999999999999</v>
      </c>
      <c r="Q144" s="130">
        <f t="shared" si="95"/>
        <v>59936.021505376331</v>
      </c>
      <c r="R144" s="148">
        <f t="shared" si="56"/>
        <v>59990</v>
      </c>
      <c r="S144" s="127">
        <f>VLOOKUP($B144,'Выгр Торг'!$B:$Q,S$1,0)</f>
        <v>48470</v>
      </c>
      <c r="T144" s="127">
        <f>VLOOKUP($B144,'Выгр Торг'!$B:$Q,T$1,0)</f>
        <v>59990</v>
      </c>
      <c r="U144" s="94">
        <f t="shared" si="105"/>
        <v>0</v>
      </c>
      <c r="V144" s="94">
        <f t="shared" si="106"/>
        <v>0</v>
      </c>
      <c r="W144" s="153">
        <f t="shared" si="57"/>
        <v>55790.7</v>
      </c>
      <c r="X144" s="209">
        <f>IFERROR(VLOOKUP($B144,'Из ГУГЛа'!$B:$G,6,0)*Z144+Y144,VLOOKUP($B144,'Из ГУГЛа'!$B:$G,6,0))</f>
        <v>51460</v>
      </c>
      <c r="Y144" s="220">
        <f t="shared" si="96"/>
        <v>9970</v>
      </c>
      <c r="Z144" s="133">
        <v>1</v>
      </c>
      <c r="AA144" s="134"/>
      <c r="AB144" s="135">
        <f t="shared" si="50"/>
        <v>0.15103569218073032</v>
      </c>
      <c r="AC144" s="135">
        <f t="shared" si="51"/>
        <v>-8.415662650602404E-2</v>
      </c>
      <c r="AD144" s="135">
        <f t="shared" si="52"/>
        <v>6.1687641840313612E-2</v>
      </c>
      <c r="AE144" s="222">
        <v>51460</v>
      </c>
      <c r="AF144" s="98" t="s">
        <v>615</v>
      </c>
      <c r="AH144" s="98" t="s">
        <v>130</v>
      </c>
    </row>
    <row r="145" spans="1:34" ht="46.5" thickTop="1" thickBot="1">
      <c r="A145" s="125" t="str">
        <f>INDEX('Выгр Торг'!$A:$A,MATCH($B145,'Выгр Торг'!$B:$B,0))</f>
        <v>Руль анатомический "Ferrum" Cross Serie с обогревом для Лада Ларгус FL, Веста, XRAY</v>
      </c>
      <c r="B145" s="126">
        <v>132544</v>
      </c>
      <c r="C145" s="127">
        <f>VLOOKUP($B145,'Выгр Торг'!$B:$Q,C$1,0)</f>
        <v>166592</v>
      </c>
      <c r="D145" s="128" t="s">
        <v>130</v>
      </c>
      <c r="E145" s="125" t="str">
        <f>VLOOKUP($B145,'Выгр Торг'!$B:$Q,E$1,0)</f>
        <v>Руль анатомический "Ferrum" Cross Serie с обогревом для Лада Ларгус FL, Веста, XRAY (Фиолетовая нить, Чёрный глянец)</v>
      </c>
      <c r="F145" s="127" t="str">
        <f>VLOOKUP($B145,'Выгр Торг'!$B:$Q,F$1,0)</f>
        <v>Y</v>
      </c>
      <c r="G145" s="127" t="str">
        <f>VLOOKUP($B145,'Выгр Торг'!$B:$Q,G$1,0)</f>
        <v>1</v>
      </c>
      <c r="H145" s="40">
        <v>166591</v>
      </c>
      <c r="I145" s="156"/>
      <c r="J145" s="160"/>
      <c r="K145" s="161">
        <v>870</v>
      </c>
      <c r="L145" s="130">
        <f t="shared" si="114"/>
        <v>48470</v>
      </c>
      <c r="M145" s="130">
        <f t="shared" si="93"/>
        <v>49470</v>
      </c>
      <c r="N145" s="130">
        <f t="shared" si="94"/>
        <v>42470</v>
      </c>
      <c r="O145" s="132">
        <f t="shared" si="54"/>
        <v>1.0206313183412421</v>
      </c>
      <c r="P145" s="132">
        <f t="shared" si="104"/>
        <v>1.1499999999999999</v>
      </c>
      <c r="Q145" s="130">
        <f t="shared" si="95"/>
        <v>59936.021505376331</v>
      </c>
      <c r="R145" s="148">
        <f t="shared" si="56"/>
        <v>59990</v>
      </c>
      <c r="S145" s="127">
        <f>VLOOKUP($B145,'Выгр Торг'!$B:$Q,S$1,0)</f>
        <v>48470</v>
      </c>
      <c r="T145" s="127">
        <f>VLOOKUP($B145,'Выгр Торг'!$B:$Q,T$1,0)</f>
        <v>59990</v>
      </c>
      <c r="U145" s="94">
        <f t="shared" si="105"/>
        <v>0</v>
      </c>
      <c r="V145" s="94">
        <f t="shared" si="106"/>
        <v>0</v>
      </c>
      <c r="W145" s="153">
        <f t="shared" si="57"/>
        <v>55790.7</v>
      </c>
      <c r="X145" s="209">
        <f>IFERROR(VLOOKUP($B145,'Из ГУГЛа'!$B:$G,6,0)*Z145+Y145,VLOOKUP($B145,'Из ГУГЛа'!$B:$G,6,0))</f>
        <v>51460</v>
      </c>
      <c r="Y145" s="220">
        <f t="shared" si="96"/>
        <v>9970</v>
      </c>
      <c r="Z145" s="133">
        <v>1</v>
      </c>
      <c r="AA145" s="134"/>
      <c r="AB145" s="135">
        <f t="shared" si="50"/>
        <v>0.15103569218073032</v>
      </c>
      <c r="AC145" s="135">
        <f t="shared" si="51"/>
        <v>-8.415662650602404E-2</v>
      </c>
      <c r="AD145" s="135">
        <f t="shared" si="52"/>
        <v>6.1687641840313612E-2</v>
      </c>
      <c r="AE145" s="222">
        <v>51460</v>
      </c>
      <c r="AF145" s="98" t="s">
        <v>615</v>
      </c>
      <c r="AH145" s="98" t="s">
        <v>130</v>
      </c>
    </row>
    <row r="146" spans="1:34" ht="46.5" thickTop="1" thickBot="1">
      <c r="A146" s="125" t="str">
        <f>INDEX('Выгр Торг'!$A:$A,MATCH($B146,'Выгр Торг'!$B:$B,0))</f>
        <v>Руль анатомический "Ferrum" Cross Serie с обогревом для Лада Ларгус FL, Веста, XRAY</v>
      </c>
      <c r="B146" s="126">
        <v>132533</v>
      </c>
      <c r="C146" s="127">
        <f>VLOOKUP($B146,'Выгр Торг'!$B:$Q,C$1,0)</f>
        <v>166603</v>
      </c>
      <c r="D146" s="128" t="s">
        <v>130</v>
      </c>
      <c r="E146" s="125" t="str">
        <f>VLOOKUP($B146,'Выгр Торг'!$B:$Q,E$1,0)</f>
        <v>Руль анатомический "Ferrum" Cross Serie с обогревом для Лада Ларгус FL, Веста, XRAY (Белая нить, Чёрный глянец)</v>
      </c>
      <c r="F146" s="127" t="str">
        <f>VLOOKUP($B146,'Выгр Торг'!$B:$Q,F$1,0)</f>
        <v>Y</v>
      </c>
      <c r="G146" s="127" t="str">
        <f>VLOOKUP($B146,'Выгр Торг'!$B:$Q,G$1,0)</f>
        <v>1</v>
      </c>
      <c r="H146" s="40">
        <v>166591</v>
      </c>
      <c r="I146" s="156"/>
      <c r="J146" s="160"/>
      <c r="K146" s="161">
        <v>870</v>
      </c>
      <c r="L146" s="130">
        <f t="shared" si="114"/>
        <v>48470</v>
      </c>
      <c r="M146" s="130">
        <f t="shared" si="93"/>
        <v>49470</v>
      </c>
      <c r="N146" s="130">
        <f t="shared" si="94"/>
        <v>42470</v>
      </c>
      <c r="O146" s="132">
        <f t="shared" si="54"/>
        <v>1.0206313183412421</v>
      </c>
      <c r="P146" s="132">
        <f t="shared" si="104"/>
        <v>1.1499999999999999</v>
      </c>
      <c r="Q146" s="130">
        <f t="shared" si="95"/>
        <v>59936.021505376331</v>
      </c>
      <c r="R146" s="148">
        <f t="shared" si="56"/>
        <v>59990</v>
      </c>
      <c r="S146" s="127">
        <f>VLOOKUP($B146,'Выгр Торг'!$B:$Q,S$1,0)</f>
        <v>48470</v>
      </c>
      <c r="T146" s="127">
        <f>VLOOKUP($B146,'Выгр Торг'!$B:$Q,T$1,0)</f>
        <v>59990</v>
      </c>
      <c r="U146" s="94">
        <f t="shared" si="105"/>
        <v>0</v>
      </c>
      <c r="V146" s="94">
        <f t="shared" si="106"/>
        <v>0</v>
      </c>
      <c r="W146" s="153">
        <f t="shared" si="57"/>
        <v>55790.7</v>
      </c>
      <c r="X146" s="209">
        <f>IFERROR(VLOOKUP($B146,'Из ГУГЛа'!$B:$G,6,0)*Z146+Y146,VLOOKUP($B146,'Из ГУГЛа'!$B:$G,6,0))</f>
        <v>51460</v>
      </c>
      <c r="Y146" s="220">
        <f t="shared" si="96"/>
        <v>9970</v>
      </c>
      <c r="Z146" s="133">
        <v>1</v>
      </c>
      <c r="AA146" s="134"/>
      <c r="AB146" s="135">
        <f t="shared" si="50"/>
        <v>0.15103569218073032</v>
      </c>
      <c r="AC146" s="135">
        <f t="shared" si="51"/>
        <v>-8.415662650602404E-2</v>
      </c>
      <c r="AD146" s="135">
        <f t="shared" si="52"/>
        <v>6.1687641840313612E-2</v>
      </c>
      <c r="AE146" s="222">
        <v>51460</v>
      </c>
      <c r="AF146" s="98" t="s">
        <v>615</v>
      </c>
      <c r="AH146" s="98" t="s">
        <v>130</v>
      </c>
    </row>
    <row r="147" spans="1:34" ht="46.5" thickTop="1" thickBot="1">
      <c r="A147" s="125" t="str">
        <f>INDEX('Выгр Торг'!$A:$A,MATCH($B147,'Выгр Торг'!$B:$B,0))</f>
        <v>Руль анатомический "Ferrum" CROSS с обогревом для Лада Ларгус, Веста, XRAY</v>
      </c>
      <c r="B147" s="126">
        <v>132559</v>
      </c>
      <c r="C147" s="127">
        <f>VLOOKUP($B147,'Выгр Торг'!$B:$Q,C$1,0)</f>
        <v>165049</v>
      </c>
      <c r="D147" s="128" t="s">
        <v>126</v>
      </c>
      <c r="E147" s="125" t="str">
        <f>VLOOKUP($B147,'Выгр Торг'!$B:$Q,E$1,0)</f>
        <v>Руль анатомический "Ferrum" CROSS с обогревом для Лада Ларгус, Веста, XRAY (Чёрная нить, Чёрный глянец)</v>
      </c>
      <c r="F147" s="127" t="str">
        <f>VLOOKUP($B147,'Выгр Торг'!$B:$Q,F$1,0)</f>
        <v>Y</v>
      </c>
      <c r="G147" s="127" t="str">
        <f>VLOOKUP($B147,'Выгр Торг'!$B:$Q,G$1,0)</f>
        <v>1</v>
      </c>
      <c r="H147" s="40">
        <v>165049</v>
      </c>
      <c r="I147" s="156"/>
      <c r="J147" s="160">
        <v>7000</v>
      </c>
      <c r="K147" s="161">
        <v>0</v>
      </c>
      <c r="L147" s="130">
        <f t="shared" ref="L147:L149" si="115">M147-1000</f>
        <v>46000</v>
      </c>
      <c r="M147" s="131">
        <f>N147+J147</f>
        <v>47000</v>
      </c>
      <c r="N147" s="131">
        <v>40000</v>
      </c>
      <c r="O147" s="132">
        <f t="shared" si="54"/>
        <v>1.0217391304347827</v>
      </c>
      <c r="P147" s="132">
        <f t="shared" si="104"/>
        <v>1.1499999999999999</v>
      </c>
      <c r="Q147" s="147">
        <f t="shared" ref="Q147" si="116">L147*P147*100/93</f>
        <v>56881.720430107518</v>
      </c>
      <c r="R147" s="148">
        <f t="shared" si="56"/>
        <v>56890</v>
      </c>
      <c r="S147" s="127">
        <f>VLOOKUP($B147,'Выгр Торг'!$B:$Q,S$1,0)</f>
        <v>46000</v>
      </c>
      <c r="T147" s="127">
        <f>VLOOKUP($B147,'Выгр Торг'!$B:$Q,T$1,0)</f>
        <v>56890</v>
      </c>
      <c r="U147" s="94">
        <f t="shared" si="105"/>
        <v>0</v>
      </c>
      <c r="V147" s="94">
        <f t="shared" si="106"/>
        <v>0</v>
      </c>
      <c r="W147" s="153">
        <f t="shared" si="57"/>
        <v>52907.7</v>
      </c>
      <c r="X147" s="209">
        <f>IFERROR(VLOOKUP($B147,'Из ГУГЛа'!$B:$G,6,0)*Z147+Y147,VLOOKUP($B147,'Из ГУГЛа'!$B:$G,6,0))</f>
        <v>49090</v>
      </c>
      <c r="Y147" s="106">
        <f>(J147+K147)*$Y$2</f>
        <v>9100</v>
      </c>
      <c r="Z147" s="133">
        <v>1</v>
      </c>
      <c r="AA147" s="134"/>
      <c r="AB147" s="135">
        <f t="shared" si="50"/>
        <v>0.15016739130434775</v>
      </c>
      <c r="AC147" s="135">
        <f t="shared" si="51"/>
        <v>-7.7769403137095072E-2</v>
      </c>
      <c r="AD147" s="135">
        <f t="shared" si="52"/>
        <v>6.7173913043478306E-2</v>
      </c>
      <c r="AE147" s="221">
        <v>49090</v>
      </c>
      <c r="AF147" s="98" t="s">
        <v>614</v>
      </c>
      <c r="AH147" s="98" t="s">
        <v>126</v>
      </c>
    </row>
    <row r="148" spans="1:34" ht="46.5" thickTop="1" thickBot="1">
      <c r="A148" s="176" t="str">
        <f>INDEX('Выгр Торг'!$A:$A,MATCH($B148,'Выгр Торг'!$B:$B,0))</f>
        <v>Руль анатомический "Ferrum" CROSS с обогревом для Лада Ларгус, Веста, XRAY</v>
      </c>
      <c r="B148" s="178">
        <v>341420</v>
      </c>
      <c r="C148" s="179">
        <f>VLOOKUP($B148,'Выгр Торг'!$B:$Q,C$1,0)</f>
        <v>341420</v>
      </c>
      <c r="D148" s="189" t="s">
        <v>126</v>
      </c>
      <c r="E148" s="176" t="str">
        <f>VLOOKUP($B148,'Выгр Торг'!$B:$Q,E$1,0)</f>
        <v>Руль анатомический "Ferrum" CROSS с обогревом для Лада Ларгус, Веста, XRAY (Чёрная нить, Чёрный мат)</v>
      </c>
      <c r="F148" s="179" t="str">
        <f>VLOOKUP($B148,'Выгр Торг'!$B:$Q,F$1,0)</f>
        <v>Y</v>
      </c>
      <c r="G148" s="179" t="str">
        <f>VLOOKUP($B148,'Выгр Торг'!$B:$Q,G$1,0)</f>
        <v>1</v>
      </c>
      <c r="H148" s="177">
        <v>165049</v>
      </c>
      <c r="I148" s="156"/>
      <c r="J148" s="160">
        <v>830</v>
      </c>
      <c r="K148" s="161">
        <v>0</v>
      </c>
      <c r="L148" s="180">
        <f>M148-1000</f>
        <v>46830</v>
      </c>
      <c r="M148" s="180">
        <f t="shared" ref="M148:M172" si="117">INDEX($M:$M,MATCH($H148,$C:$C,0))+$K148+$J148</f>
        <v>47830</v>
      </c>
      <c r="N148" s="180">
        <f t="shared" ref="N148:N172" si="118">INDEX($N:$N,MATCH($H148,$C:$C,0))+$K148+$J148</f>
        <v>40830</v>
      </c>
      <c r="O148" s="107">
        <f>M148/L148</f>
        <v>1.0213538330130258</v>
      </c>
      <c r="P148" s="132">
        <f t="shared" si="104"/>
        <v>1.1499999999999999</v>
      </c>
      <c r="Q148" s="180">
        <f t="shared" ref="Q148:Q172" si="119">INDEX($Q:$Q,MATCH($H148,$C:$C,0))+($K148+$J148)*INDEX($P:$P,MATCH($H148,$C:$C,0))*100/93</f>
        <v>57908.064516129023</v>
      </c>
      <c r="R148" s="144">
        <f>IF(Q148&lt;=1000,(ROUNDUP(Q148,-2)-1),(ROUNDUP(Q148,-2)-10))</f>
        <v>57990</v>
      </c>
      <c r="S148" s="179">
        <f>VLOOKUP($B148,'Выгр Торг'!$B:$Q,S$1,0)</f>
        <v>46830</v>
      </c>
      <c r="T148" s="179">
        <f>VLOOKUP($B148,'Выгр Торг'!$B:$Q,T$1,0)</f>
        <v>57990</v>
      </c>
      <c r="U148" s="94">
        <f t="shared" si="105"/>
        <v>0</v>
      </c>
      <c r="V148" s="94">
        <f t="shared" si="106"/>
        <v>0</v>
      </c>
      <c r="W148" s="182">
        <f>R148*(1-$W$2)</f>
        <v>53930.7</v>
      </c>
      <c r="X148" s="218">
        <f>IFERROR(VLOOKUP($B148,'Из ГУГЛа'!$B:$G,6,0)*Z148+Y148,VLOOKUP($B148,'Из ГУГЛа'!$B:$G,6,0))</f>
        <v>49920</v>
      </c>
      <c r="Y148" s="220">
        <f t="shared" ref="Y148:Y172" si="120">INDEX($Y:$Y,MATCH($H148,$C:$C,0))+J148+K148</f>
        <v>9930</v>
      </c>
      <c r="Z148" s="133">
        <v>1</v>
      </c>
      <c r="AA148" s="133">
        <v>1300</v>
      </c>
      <c r="AB148" s="184">
        <f>IFERROR(W148/L148-1,"")</f>
        <v>0.15162716207559246</v>
      </c>
      <c r="AC148" s="184">
        <f>IFERROR((AE148-W148)/AE148,"")</f>
        <v>-8.0342548076923023E-2</v>
      </c>
      <c r="AD148" s="184">
        <f>IFERROR(IF(AE148="","",AE148/L148-1),"")</f>
        <v>6.5983344010249745E-2</v>
      </c>
      <c r="AE148" s="222">
        <v>49920</v>
      </c>
      <c r="AF148" s="98" t="s">
        <v>614</v>
      </c>
      <c r="AH148" s="98" t="s">
        <v>126</v>
      </c>
    </row>
    <row r="149" spans="1:34" ht="46.5" thickTop="1" thickBot="1">
      <c r="A149" s="125" t="str">
        <f>INDEX('Выгр Торг'!$A:$A,MATCH($B149,'Выгр Торг'!$B:$B,0))</f>
        <v>Руль анатомический "Ferrum" CROSS с обогревом для Лада Ларгус, Веста, XRAY</v>
      </c>
      <c r="B149" s="126">
        <v>341419</v>
      </c>
      <c r="C149" s="127">
        <f>VLOOKUP($B149,'Выгр Торг'!$B:$Q,C$1,0)</f>
        <v>341419</v>
      </c>
      <c r="D149" s="128" t="s">
        <v>126</v>
      </c>
      <c r="E149" s="125" t="str">
        <f>VLOOKUP($B149,'Выгр Торг'!$B:$Q,E$1,0)</f>
        <v>Руль анатомический "Ferrum" CROSS с обогревом для Лада Ларгус, Веста, XRAY (Белая нить, Чёрный мат)</v>
      </c>
      <c r="F149" s="127" t="str">
        <f>VLOOKUP($B149,'Выгр Торг'!$B:$Q,F$1,0)</f>
        <v>Y</v>
      </c>
      <c r="G149" s="127" t="str">
        <f>VLOOKUP($B149,'Выгр Торг'!$B:$Q,G$1,0)</f>
        <v>1</v>
      </c>
      <c r="H149" s="40">
        <v>165049</v>
      </c>
      <c r="I149" s="156"/>
      <c r="J149" s="160">
        <v>830</v>
      </c>
      <c r="K149" s="161">
        <v>870</v>
      </c>
      <c r="L149" s="130">
        <f t="shared" si="115"/>
        <v>47700</v>
      </c>
      <c r="M149" s="130">
        <f t="shared" si="117"/>
        <v>48700</v>
      </c>
      <c r="N149" s="130">
        <f t="shared" si="118"/>
        <v>41700</v>
      </c>
      <c r="O149" s="132">
        <f t="shared" si="54"/>
        <v>1.020964360587002</v>
      </c>
      <c r="P149" s="132">
        <f t="shared" si="104"/>
        <v>1.1499999999999999</v>
      </c>
      <c r="Q149" s="130">
        <f t="shared" si="119"/>
        <v>58983.870967741925</v>
      </c>
      <c r="R149" s="148">
        <f t="shared" si="56"/>
        <v>58990</v>
      </c>
      <c r="S149" s="127">
        <f>VLOOKUP($B149,'Выгр Торг'!$B:$Q,S$1,0)</f>
        <v>47700</v>
      </c>
      <c r="T149" s="127">
        <f>VLOOKUP($B149,'Выгр Торг'!$B:$Q,T$1,0)</f>
        <v>58990</v>
      </c>
      <c r="U149" s="94">
        <f t="shared" si="105"/>
        <v>0</v>
      </c>
      <c r="V149" s="94">
        <f t="shared" si="106"/>
        <v>0</v>
      </c>
      <c r="W149" s="153">
        <f t="shared" si="57"/>
        <v>54860.7</v>
      </c>
      <c r="X149" s="209">
        <f>IFERROR(VLOOKUP($B149,'Из ГУГЛа'!$B:$G,6,0)*Z149+Y149,VLOOKUP($B149,'Из ГУГЛа'!$B:$G,6,0))</f>
        <v>50790</v>
      </c>
      <c r="Y149" s="220">
        <f t="shared" si="120"/>
        <v>10800</v>
      </c>
      <c r="Z149" s="133">
        <v>1</v>
      </c>
      <c r="AA149" s="133">
        <v>1300</v>
      </c>
      <c r="AB149" s="135">
        <f t="shared" si="50"/>
        <v>0.15011949685534587</v>
      </c>
      <c r="AC149" s="135">
        <f t="shared" si="51"/>
        <v>-8.0147666863555761E-2</v>
      </c>
      <c r="AD149" s="135">
        <f t="shared" si="52"/>
        <v>6.4779874213836575E-2</v>
      </c>
      <c r="AE149" s="222">
        <v>50790</v>
      </c>
      <c r="AF149" s="98" t="s">
        <v>614</v>
      </c>
      <c r="AH149" s="98" t="s">
        <v>126</v>
      </c>
    </row>
    <row r="150" spans="1:34" ht="46.5" thickTop="1" thickBot="1">
      <c r="A150" s="176" t="str">
        <f>INDEX('Выгр Торг'!$A:$A,MATCH($B150,'Выгр Торг'!$B:$B,0))</f>
        <v>Руль анатомический "Ferrum" CROSS с обогревом для Лада Ларгус, Веста, XRAY</v>
      </c>
      <c r="B150" s="178">
        <v>341431</v>
      </c>
      <c r="C150" s="179">
        <f>VLOOKUP($B150,'Выгр Торг'!$B:$Q,C$1,0)</f>
        <v>341431</v>
      </c>
      <c r="D150" s="189" t="s">
        <v>126</v>
      </c>
      <c r="E150" s="176" t="str">
        <f>VLOOKUP($B150,'Выгр Торг'!$B:$Q,E$1,0)</f>
        <v>Руль анатомический "Ferrum" CROSS с обогревом для Лада Ларгус, Веста, XRAY (Жёлтая нить, Чёрный мат)</v>
      </c>
      <c r="F150" s="179" t="str">
        <f>VLOOKUP($B150,'Выгр Торг'!$B:$Q,F$1,0)</f>
        <v>Y</v>
      </c>
      <c r="G150" s="179" t="str">
        <f>VLOOKUP($B150,'Выгр Торг'!$B:$Q,G$1,0)</f>
        <v>1</v>
      </c>
      <c r="H150" s="177">
        <v>165049</v>
      </c>
      <c r="I150" s="156"/>
      <c r="J150" s="160">
        <v>830</v>
      </c>
      <c r="K150" s="161">
        <v>870</v>
      </c>
      <c r="L150" s="180">
        <f t="shared" ref="L150:L160" si="121">M150-1000</f>
        <v>47700</v>
      </c>
      <c r="M150" s="180">
        <f t="shared" si="117"/>
        <v>48700</v>
      </c>
      <c r="N150" s="180">
        <f t="shared" si="118"/>
        <v>41700</v>
      </c>
      <c r="O150" s="107">
        <f t="shared" ref="O150:O160" si="122">M150/L150</f>
        <v>1.020964360587002</v>
      </c>
      <c r="P150" s="132">
        <f t="shared" si="104"/>
        <v>1.1499999999999999</v>
      </c>
      <c r="Q150" s="180">
        <f t="shared" si="119"/>
        <v>58983.870967741925</v>
      </c>
      <c r="R150" s="144">
        <f t="shared" ref="R150:R160" si="123">IF(Q150&lt;=1000,(ROUNDUP(Q150,-2)-1),(ROUNDUP(Q150,-2)-10))</f>
        <v>58990</v>
      </c>
      <c r="S150" s="179">
        <f>VLOOKUP($B150,'Выгр Торг'!$B:$Q,S$1,0)</f>
        <v>47700</v>
      </c>
      <c r="T150" s="179">
        <f>VLOOKUP($B150,'Выгр Торг'!$B:$Q,T$1,0)</f>
        <v>58990</v>
      </c>
      <c r="U150" s="94">
        <f t="shared" si="105"/>
        <v>0</v>
      </c>
      <c r="V150" s="94">
        <f t="shared" si="106"/>
        <v>0</v>
      </c>
      <c r="W150" s="182">
        <f t="shared" ref="W150:W160" si="124">R150*(1-$W$2)</f>
        <v>54860.7</v>
      </c>
      <c r="X150" s="218">
        <f>IFERROR(VLOOKUP($B150,'Из ГУГЛа'!$B:$G,6,0)*Z150+Y150,VLOOKUP($B150,'Из ГУГЛа'!$B:$G,6,0))</f>
        <v>50790</v>
      </c>
      <c r="Y150" s="220">
        <f t="shared" si="120"/>
        <v>10800</v>
      </c>
      <c r="Z150" s="133">
        <v>1</v>
      </c>
      <c r="AA150" s="133">
        <v>1300</v>
      </c>
      <c r="AB150" s="184">
        <f t="shared" ref="AB150:AB160" si="125">IFERROR(W150/L150-1,"")</f>
        <v>0.15011949685534587</v>
      </c>
      <c r="AC150" s="184">
        <f t="shared" ref="AC150:AC160" si="126">IFERROR((AE150-W150)/AE150,"")</f>
        <v>-8.0147666863555761E-2</v>
      </c>
      <c r="AD150" s="184">
        <f t="shared" ref="AD150:AD160" si="127">IFERROR(IF(AE150="","",AE150/L150-1),"")</f>
        <v>6.4779874213836575E-2</v>
      </c>
      <c r="AE150" s="222">
        <v>50790</v>
      </c>
      <c r="AF150" s="98" t="s">
        <v>614</v>
      </c>
      <c r="AH150" s="98" t="s">
        <v>126</v>
      </c>
    </row>
    <row r="151" spans="1:34" ht="46.5" thickTop="1" thickBot="1">
      <c r="A151" s="176" t="str">
        <f>INDEX('Выгр Торг'!$A:$A,MATCH($B151,'Выгр Торг'!$B:$B,0))</f>
        <v>Руль анатомический "Ferrum" CROSS с обогревом для Лада Ларгус, Веста, XRAY</v>
      </c>
      <c r="B151" s="178">
        <v>341430</v>
      </c>
      <c r="C151" s="179">
        <f>VLOOKUP($B151,'Выгр Торг'!$B:$Q,C$1,0)</f>
        <v>341430</v>
      </c>
      <c r="D151" s="189" t="s">
        <v>126</v>
      </c>
      <c r="E151" s="176" t="str">
        <f>VLOOKUP($B151,'Выгр Торг'!$B:$Q,E$1,0)</f>
        <v>Руль анатомический "Ferrum" CROSS с обогревом для Лада Ларгус, Веста, XRAY (Зелёная нить, Чёрный мат)</v>
      </c>
      <c r="F151" s="179" t="str">
        <f>VLOOKUP($B151,'Выгр Торг'!$B:$Q,F$1,0)</f>
        <v>Y</v>
      </c>
      <c r="G151" s="179" t="str">
        <f>VLOOKUP($B151,'Выгр Торг'!$B:$Q,G$1,0)</f>
        <v>1</v>
      </c>
      <c r="H151" s="177">
        <v>165049</v>
      </c>
      <c r="I151" s="156"/>
      <c r="J151" s="160">
        <v>830</v>
      </c>
      <c r="K151" s="161">
        <v>870</v>
      </c>
      <c r="L151" s="180">
        <f t="shared" si="121"/>
        <v>47700</v>
      </c>
      <c r="M151" s="180">
        <f t="shared" si="117"/>
        <v>48700</v>
      </c>
      <c r="N151" s="180">
        <f t="shared" si="118"/>
        <v>41700</v>
      </c>
      <c r="O151" s="107">
        <f t="shared" si="122"/>
        <v>1.020964360587002</v>
      </c>
      <c r="P151" s="132">
        <f t="shared" si="104"/>
        <v>1.1499999999999999</v>
      </c>
      <c r="Q151" s="180">
        <f t="shared" si="119"/>
        <v>58983.870967741925</v>
      </c>
      <c r="R151" s="144">
        <f t="shared" si="123"/>
        <v>58990</v>
      </c>
      <c r="S151" s="179">
        <f>VLOOKUP($B151,'Выгр Торг'!$B:$Q,S$1,0)</f>
        <v>47700</v>
      </c>
      <c r="T151" s="179">
        <f>VLOOKUP($B151,'Выгр Торг'!$B:$Q,T$1,0)</f>
        <v>58990</v>
      </c>
      <c r="U151" s="94">
        <f t="shared" si="105"/>
        <v>0</v>
      </c>
      <c r="V151" s="94">
        <f t="shared" si="106"/>
        <v>0</v>
      </c>
      <c r="W151" s="182">
        <f t="shared" si="124"/>
        <v>54860.7</v>
      </c>
      <c r="X151" s="218">
        <f>IFERROR(VLOOKUP($B151,'Из ГУГЛа'!$B:$G,6,0)*Z151+Y151,VLOOKUP($B151,'Из ГУГЛа'!$B:$G,6,0))</f>
        <v>50790</v>
      </c>
      <c r="Y151" s="220">
        <f t="shared" si="120"/>
        <v>10800</v>
      </c>
      <c r="Z151" s="133">
        <v>1</v>
      </c>
      <c r="AA151" s="133">
        <v>1300</v>
      </c>
      <c r="AB151" s="184">
        <f t="shared" si="125"/>
        <v>0.15011949685534587</v>
      </c>
      <c r="AC151" s="184">
        <f t="shared" si="126"/>
        <v>-8.0147666863555761E-2</v>
      </c>
      <c r="AD151" s="184">
        <f t="shared" si="127"/>
        <v>6.4779874213836575E-2</v>
      </c>
      <c r="AE151" s="222">
        <v>50790</v>
      </c>
      <c r="AF151" s="98" t="s">
        <v>614</v>
      </c>
      <c r="AH151" s="98" t="s">
        <v>126</v>
      </c>
    </row>
    <row r="152" spans="1:34" ht="46.5" thickTop="1" thickBot="1">
      <c r="A152" s="176" t="str">
        <f>INDEX('Выгр Торг'!$A:$A,MATCH($B152,'Выгр Торг'!$B:$B,0))</f>
        <v>Руль анатомический "Ferrum" CROSS с обогревом для Лада Ларгус, Веста, XRAY</v>
      </c>
      <c r="B152" s="178">
        <v>341422</v>
      </c>
      <c r="C152" s="179">
        <f>VLOOKUP($B152,'Выгр Торг'!$B:$Q,C$1,0)</f>
        <v>341422</v>
      </c>
      <c r="D152" s="189" t="s">
        <v>126</v>
      </c>
      <c r="E152" s="176" t="str">
        <f>VLOOKUP($B152,'Выгр Торг'!$B:$Q,E$1,0)</f>
        <v>Руль анатомический "Ferrum" CROSS с обогревом для Лада Ларгус, Веста, XRAY (Коричневая нить, Чёрный мат)</v>
      </c>
      <c r="F152" s="179" t="str">
        <f>VLOOKUP($B152,'Выгр Торг'!$B:$Q,F$1,0)</f>
        <v>Y</v>
      </c>
      <c r="G152" s="179" t="str">
        <f>VLOOKUP($B152,'Выгр Торг'!$B:$Q,G$1,0)</f>
        <v>1</v>
      </c>
      <c r="H152" s="177">
        <v>165049</v>
      </c>
      <c r="I152" s="156"/>
      <c r="J152" s="160">
        <v>830</v>
      </c>
      <c r="K152" s="161">
        <v>870</v>
      </c>
      <c r="L152" s="180">
        <f t="shared" si="121"/>
        <v>47700</v>
      </c>
      <c r="M152" s="180">
        <f t="shared" si="117"/>
        <v>48700</v>
      </c>
      <c r="N152" s="180">
        <f t="shared" si="118"/>
        <v>41700</v>
      </c>
      <c r="O152" s="107">
        <f t="shared" si="122"/>
        <v>1.020964360587002</v>
      </c>
      <c r="P152" s="132">
        <f t="shared" si="104"/>
        <v>1.1499999999999999</v>
      </c>
      <c r="Q152" s="180">
        <f t="shared" si="119"/>
        <v>58983.870967741925</v>
      </c>
      <c r="R152" s="144">
        <f t="shared" si="123"/>
        <v>58990</v>
      </c>
      <c r="S152" s="179">
        <f>VLOOKUP($B152,'Выгр Торг'!$B:$Q,S$1,0)</f>
        <v>47700</v>
      </c>
      <c r="T152" s="179">
        <f>VLOOKUP($B152,'Выгр Торг'!$B:$Q,T$1,0)</f>
        <v>58990</v>
      </c>
      <c r="U152" s="94">
        <f t="shared" si="105"/>
        <v>0</v>
      </c>
      <c r="V152" s="94">
        <f t="shared" si="106"/>
        <v>0</v>
      </c>
      <c r="W152" s="182">
        <f t="shared" si="124"/>
        <v>54860.7</v>
      </c>
      <c r="X152" s="218">
        <f>IFERROR(VLOOKUP($B152,'Из ГУГЛа'!$B:$G,6,0)*Z152+Y152,VLOOKUP($B152,'Из ГУГЛа'!$B:$G,6,0))</f>
        <v>50790</v>
      </c>
      <c r="Y152" s="220">
        <f t="shared" si="120"/>
        <v>10800</v>
      </c>
      <c r="Z152" s="133">
        <v>1</v>
      </c>
      <c r="AA152" s="133">
        <v>1300</v>
      </c>
      <c r="AB152" s="184">
        <f t="shared" si="125"/>
        <v>0.15011949685534587</v>
      </c>
      <c r="AC152" s="184">
        <f t="shared" si="126"/>
        <v>-8.0147666863555761E-2</v>
      </c>
      <c r="AD152" s="184">
        <f t="shared" si="127"/>
        <v>6.4779874213836575E-2</v>
      </c>
      <c r="AE152" s="222">
        <v>50790</v>
      </c>
      <c r="AF152" s="98" t="s">
        <v>614</v>
      </c>
      <c r="AH152" s="98" t="s">
        <v>126</v>
      </c>
    </row>
    <row r="153" spans="1:34" ht="46.5" thickTop="1" thickBot="1">
      <c r="A153" s="176" t="str">
        <f>INDEX('Выгр Торг'!$A:$A,MATCH($B153,'Выгр Торг'!$B:$B,0))</f>
        <v>Руль анатомический "Ferrum" CROSS с обогревом для Лада Ларгус, Веста, XRAY</v>
      </c>
      <c r="B153" s="178">
        <v>341423</v>
      </c>
      <c r="C153" s="179">
        <f>VLOOKUP($B153,'Выгр Торг'!$B:$Q,C$1,0)</f>
        <v>341423</v>
      </c>
      <c r="D153" s="189" t="s">
        <v>126</v>
      </c>
      <c r="E153" s="176" t="str">
        <f>VLOOKUP($B153,'Выгр Торг'!$B:$Q,E$1,0)</f>
        <v>Руль анатомический "Ferrum" CROSS с обогревом для Лада Ларгус, Веста, XRAY (Красная нить, Чёрный мат)</v>
      </c>
      <c r="F153" s="179" t="str">
        <f>VLOOKUP($B153,'Выгр Торг'!$B:$Q,F$1,0)</f>
        <v>Y</v>
      </c>
      <c r="G153" s="179" t="str">
        <f>VLOOKUP($B153,'Выгр Торг'!$B:$Q,G$1,0)</f>
        <v>1</v>
      </c>
      <c r="H153" s="177">
        <v>165049</v>
      </c>
      <c r="I153" s="156"/>
      <c r="J153" s="160">
        <v>830</v>
      </c>
      <c r="K153" s="161">
        <v>870</v>
      </c>
      <c r="L153" s="180">
        <f t="shared" si="121"/>
        <v>47700</v>
      </c>
      <c r="M153" s="180">
        <f t="shared" si="117"/>
        <v>48700</v>
      </c>
      <c r="N153" s="180">
        <f t="shared" si="118"/>
        <v>41700</v>
      </c>
      <c r="O153" s="107">
        <f t="shared" si="122"/>
        <v>1.020964360587002</v>
      </c>
      <c r="P153" s="132">
        <f t="shared" si="104"/>
        <v>1.1499999999999999</v>
      </c>
      <c r="Q153" s="180">
        <f t="shared" si="119"/>
        <v>58983.870967741925</v>
      </c>
      <c r="R153" s="144">
        <f t="shared" si="123"/>
        <v>58990</v>
      </c>
      <c r="S153" s="179">
        <f>VLOOKUP($B153,'Выгр Торг'!$B:$Q,S$1,0)</f>
        <v>47700</v>
      </c>
      <c r="T153" s="179">
        <f>VLOOKUP($B153,'Выгр Торг'!$B:$Q,T$1,0)</f>
        <v>58990</v>
      </c>
      <c r="U153" s="94">
        <f t="shared" si="105"/>
        <v>0</v>
      </c>
      <c r="V153" s="94">
        <f t="shared" si="106"/>
        <v>0</v>
      </c>
      <c r="W153" s="182">
        <f t="shared" si="124"/>
        <v>54860.7</v>
      </c>
      <c r="X153" s="218">
        <f>IFERROR(VLOOKUP($B153,'Из ГУГЛа'!$B:$G,6,0)*Z153+Y153,VLOOKUP($B153,'Из ГУГЛа'!$B:$G,6,0))</f>
        <v>50790</v>
      </c>
      <c r="Y153" s="220">
        <f t="shared" si="120"/>
        <v>10800</v>
      </c>
      <c r="Z153" s="133">
        <v>1</v>
      </c>
      <c r="AA153" s="133">
        <v>1300</v>
      </c>
      <c r="AB153" s="184">
        <f t="shared" si="125"/>
        <v>0.15011949685534587</v>
      </c>
      <c r="AC153" s="184">
        <f t="shared" si="126"/>
        <v>-8.0147666863555761E-2</v>
      </c>
      <c r="AD153" s="184">
        <f t="shared" si="127"/>
        <v>6.4779874213836575E-2</v>
      </c>
      <c r="AE153" s="222">
        <v>50790</v>
      </c>
      <c r="AF153" s="98" t="s">
        <v>614</v>
      </c>
      <c r="AH153" s="98" t="s">
        <v>126</v>
      </c>
    </row>
    <row r="154" spans="1:34" ht="46.5" thickTop="1" thickBot="1">
      <c r="A154" s="176" t="str">
        <f>INDEX('Выгр Торг'!$A:$A,MATCH($B154,'Выгр Торг'!$B:$B,0))</f>
        <v>Руль анатомический "Ferrum" CROSS с обогревом для Лада Ларгус, Веста, XRAY</v>
      </c>
      <c r="B154" s="178">
        <v>341424</v>
      </c>
      <c r="C154" s="179">
        <f>VLOOKUP($B154,'Выгр Торг'!$B:$Q,C$1,0)</f>
        <v>341424</v>
      </c>
      <c r="D154" s="189" t="s">
        <v>126</v>
      </c>
      <c r="E154" s="176" t="str">
        <f>VLOOKUP($B154,'Выгр Торг'!$B:$Q,E$1,0)</f>
        <v>Руль анатомический "Ferrum" CROSS с обогревом для Лада Ларгус, Веста, XRAY (Оранжевая нить, Чёрный мат)</v>
      </c>
      <c r="F154" s="179" t="str">
        <f>VLOOKUP($B154,'Выгр Торг'!$B:$Q,F$1,0)</f>
        <v>Y</v>
      </c>
      <c r="G154" s="179" t="str">
        <f>VLOOKUP($B154,'Выгр Торг'!$B:$Q,G$1,0)</f>
        <v>1</v>
      </c>
      <c r="H154" s="177">
        <v>165049</v>
      </c>
      <c r="I154" s="156"/>
      <c r="J154" s="160">
        <v>830</v>
      </c>
      <c r="K154" s="161">
        <v>870</v>
      </c>
      <c r="L154" s="180">
        <f t="shared" si="121"/>
        <v>47700</v>
      </c>
      <c r="M154" s="180">
        <f t="shared" si="117"/>
        <v>48700</v>
      </c>
      <c r="N154" s="180">
        <f t="shared" si="118"/>
        <v>41700</v>
      </c>
      <c r="O154" s="107">
        <f t="shared" si="122"/>
        <v>1.020964360587002</v>
      </c>
      <c r="P154" s="132">
        <f t="shared" si="104"/>
        <v>1.1499999999999999</v>
      </c>
      <c r="Q154" s="180">
        <f t="shared" si="119"/>
        <v>58983.870967741925</v>
      </c>
      <c r="R154" s="144">
        <f t="shared" si="123"/>
        <v>58990</v>
      </c>
      <c r="S154" s="179">
        <f>VLOOKUP($B154,'Выгр Торг'!$B:$Q,S$1,0)</f>
        <v>47700</v>
      </c>
      <c r="T154" s="179">
        <f>VLOOKUP($B154,'Выгр Торг'!$B:$Q,T$1,0)</f>
        <v>58990</v>
      </c>
      <c r="U154" s="94">
        <f t="shared" si="105"/>
        <v>0</v>
      </c>
      <c r="V154" s="94">
        <f t="shared" si="106"/>
        <v>0</v>
      </c>
      <c r="W154" s="182">
        <f t="shared" si="124"/>
        <v>54860.7</v>
      </c>
      <c r="X154" s="218">
        <f>IFERROR(VLOOKUP($B154,'Из ГУГЛа'!$B:$G,6,0)*Z154+Y154,VLOOKUP($B154,'Из ГУГЛа'!$B:$G,6,0))</f>
        <v>50790</v>
      </c>
      <c r="Y154" s="220">
        <f t="shared" si="120"/>
        <v>10800</v>
      </c>
      <c r="Z154" s="133">
        <v>1</v>
      </c>
      <c r="AA154" s="133">
        <v>1300</v>
      </c>
      <c r="AB154" s="184">
        <f t="shared" si="125"/>
        <v>0.15011949685534587</v>
      </c>
      <c r="AC154" s="184">
        <f t="shared" si="126"/>
        <v>-8.0147666863555761E-2</v>
      </c>
      <c r="AD154" s="184">
        <f t="shared" si="127"/>
        <v>6.4779874213836575E-2</v>
      </c>
      <c r="AE154" s="222">
        <v>50790</v>
      </c>
      <c r="AF154" s="98" t="s">
        <v>614</v>
      </c>
      <c r="AH154" s="98" t="s">
        <v>126</v>
      </c>
    </row>
    <row r="155" spans="1:34" ht="46.5" thickTop="1" thickBot="1">
      <c r="A155" s="176" t="str">
        <f>INDEX('Выгр Торг'!$A:$A,MATCH($B155,'Выгр Торг'!$B:$B,0))</f>
        <v>Руль анатомический "Ferrum" CROSS с обогревом для Лада Ларгус, Веста, XRAY</v>
      </c>
      <c r="B155" s="178">
        <v>341425</v>
      </c>
      <c r="C155" s="179">
        <f>VLOOKUP($B155,'Выгр Торг'!$B:$Q,C$1,0)</f>
        <v>341425</v>
      </c>
      <c r="D155" s="189" t="s">
        <v>126</v>
      </c>
      <c r="E155" s="176" t="str">
        <f>VLOOKUP($B155,'Выгр Торг'!$B:$Q,E$1,0)</f>
        <v>Руль анатомический "Ferrum" CROSS с обогревом для Лада Ларгус, Веста, XRAY (Салатовая нить, Чёрный мат)</v>
      </c>
      <c r="F155" s="179" t="str">
        <f>VLOOKUP($B155,'Выгр Торг'!$B:$Q,F$1,0)</f>
        <v>Y</v>
      </c>
      <c r="G155" s="179" t="str">
        <f>VLOOKUP($B155,'Выгр Торг'!$B:$Q,G$1,0)</f>
        <v>1</v>
      </c>
      <c r="H155" s="177">
        <v>165049</v>
      </c>
      <c r="I155" s="156"/>
      <c r="J155" s="160">
        <v>830</v>
      </c>
      <c r="K155" s="161">
        <v>870</v>
      </c>
      <c r="L155" s="180">
        <f t="shared" si="121"/>
        <v>47700</v>
      </c>
      <c r="M155" s="180">
        <f t="shared" si="117"/>
        <v>48700</v>
      </c>
      <c r="N155" s="180">
        <f t="shared" si="118"/>
        <v>41700</v>
      </c>
      <c r="O155" s="107">
        <f t="shared" si="122"/>
        <v>1.020964360587002</v>
      </c>
      <c r="P155" s="132">
        <f t="shared" si="104"/>
        <v>1.1499999999999999</v>
      </c>
      <c r="Q155" s="180">
        <f t="shared" si="119"/>
        <v>58983.870967741925</v>
      </c>
      <c r="R155" s="144">
        <f t="shared" si="123"/>
        <v>58990</v>
      </c>
      <c r="S155" s="179">
        <f>VLOOKUP($B155,'Выгр Торг'!$B:$Q,S$1,0)</f>
        <v>47700</v>
      </c>
      <c r="T155" s="179">
        <f>VLOOKUP($B155,'Выгр Торг'!$B:$Q,T$1,0)</f>
        <v>58990</v>
      </c>
      <c r="U155" s="94">
        <f t="shared" si="105"/>
        <v>0</v>
      </c>
      <c r="V155" s="94">
        <f t="shared" si="106"/>
        <v>0</v>
      </c>
      <c r="W155" s="182">
        <f t="shared" si="124"/>
        <v>54860.7</v>
      </c>
      <c r="X155" s="218">
        <f>IFERROR(VLOOKUP($B155,'Из ГУГЛа'!$B:$G,6,0)*Z155+Y155,VLOOKUP($B155,'Из ГУГЛа'!$B:$G,6,0))</f>
        <v>50790</v>
      </c>
      <c r="Y155" s="220">
        <f t="shared" si="120"/>
        <v>10800</v>
      </c>
      <c r="Z155" s="133">
        <v>1</v>
      </c>
      <c r="AA155" s="133">
        <v>1300</v>
      </c>
      <c r="AB155" s="184">
        <f t="shared" si="125"/>
        <v>0.15011949685534587</v>
      </c>
      <c r="AC155" s="184">
        <f t="shared" si="126"/>
        <v>-8.0147666863555761E-2</v>
      </c>
      <c r="AD155" s="184">
        <f t="shared" si="127"/>
        <v>6.4779874213836575E-2</v>
      </c>
      <c r="AE155" s="222">
        <v>50790</v>
      </c>
      <c r="AF155" s="98" t="s">
        <v>614</v>
      </c>
      <c r="AH155" s="98" t="s">
        <v>126</v>
      </c>
    </row>
    <row r="156" spans="1:34" ht="46.5" thickTop="1" thickBot="1">
      <c r="A156" s="176" t="str">
        <f>INDEX('Выгр Торг'!$A:$A,MATCH($B156,'Выгр Торг'!$B:$B,0))</f>
        <v>Руль анатомический "Ferrum" CROSS с обогревом для Лада Ларгус, Веста, XRAY</v>
      </c>
      <c r="B156" s="178">
        <v>341428</v>
      </c>
      <c r="C156" s="179">
        <f>VLOOKUP($B156,'Выгр Торг'!$B:$Q,C$1,0)</f>
        <v>341428</v>
      </c>
      <c r="D156" s="189" t="s">
        <v>126</v>
      </c>
      <c r="E156" s="176" t="str">
        <f>VLOOKUP($B156,'Выгр Торг'!$B:$Q,E$1,0)</f>
        <v>Руль анатомический "Ferrum" CROSS с обогревом для Лада Ларгус, Веста, XRAY (Светло-серая нить, Чёрный мат)</v>
      </c>
      <c r="F156" s="179" t="str">
        <f>VLOOKUP($B156,'Выгр Торг'!$B:$Q,F$1,0)</f>
        <v>Y</v>
      </c>
      <c r="G156" s="179" t="str">
        <f>VLOOKUP($B156,'Выгр Торг'!$B:$Q,G$1,0)</f>
        <v>1</v>
      </c>
      <c r="H156" s="177">
        <v>165049</v>
      </c>
      <c r="I156" s="156"/>
      <c r="J156" s="160">
        <v>830</v>
      </c>
      <c r="K156" s="161">
        <v>870</v>
      </c>
      <c r="L156" s="180">
        <f t="shared" si="121"/>
        <v>47700</v>
      </c>
      <c r="M156" s="180">
        <f t="shared" si="117"/>
        <v>48700</v>
      </c>
      <c r="N156" s="180">
        <f t="shared" si="118"/>
        <v>41700</v>
      </c>
      <c r="O156" s="107">
        <f t="shared" si="122"/>
        <v>1.020964360587002</v>
      </c>
      <c r="P156" s="132">
        <f t="shared" si="104"/>
        <v>1.1499999999999999</v>
      </c>
      <c r="Q156" s="180">
        <f t="shared" si="119"/>
        <v>58983.870967741925</v>
      </c>
      <c r="R156" s="144">
        <f t="shared" si="123"/>
        <v>58990</v>
      </c>
      <c r="S156" s="179">
        <f>VLOOKUP($B156,'Выгр Торг'!$B:$Q,S$1,0)</f>
        <v>47700</v>
      </c>
      <c r="T156" s="179">
        <f>VLOOKUP($B156,'Выгр Торг'!$B:$Q,T$1,0)</f>
        <v>58990</v>
      </c>
      <c r="U156" s="94">
        <f t="shared" si="105"/>
        <v>0</v>
      </c>
      <c r="V156" s="94">
        <f t="shared" si="106"/>
        <v>0</v>
      </c>
      <c r="W156" s="182">
        <f t="shared" si="124"/>
        <v>54860.7</v>
      </c>
      <c r="X156" s="218">
        <f>IFERROR(VLOOKUP($B156,'Из ГУГЛа'!$B:$G,6,0)*Z156+Y156,VLOOKUP($B156,'Из ГУГЛа'!$B:$G,6,0))</f>
        <v>50790</v>
      </c>
      <c r="Y156" s="220">
        <f t="shared" si="120"/>
        <v>10800</v>
      </c>
      <c r="Z156" s="133">
        <v>1</v>
      </c>
      <c r="AA156" s="133">
        <v>1300</v>
      </c>
      <c r="AB156" s="184">
        <f t="shared" si="125"/>
        <v>0.15011949685534587</v>
      </c>
      <c r="AC156" s="184">
        <f t="shared" si="126"/>
        <v>-8.0147666863555761E-2</v>
      </c>
      <c r="AD156" s="184">
        <f t="shared" si="127"/>
        <v>6.4779874213836575E-2</v>
      </c>
      <c r="AE156" s="222">
        <v>50790</v>
      </c>
      <c r="AF156" s="98" t="s">
        <v>614</v>
      </c>
      <c r="AH156" s="98" t="s">
        <v>126</v>
      </c>
    </row>
    <row r="157" spans="1:34" ht="46.5" thickTop="1" thickBot="1">
      <c r="A157" s="176" t="str">
        <f>INDEX('Выгр Торг'!$A:$A,MATCH($B157,'Выгр Торг'!$B:$B,0))</f>
        <v>Руль анатомический "Ferrum" CROSS с обогревом для Лада Ларгус, Веста, XRAY</v>
      </c>
      <c r="B157" s="178">
        <v>341426</v>
      </c>
      <c r="C157" s="179">
        <f>VLOOKUP($B157,'Выгр Торг'!$B:$Q,C$1,0)</f>
        <v>341426</v>
      </c>
      <c r="D157" s="189" t="s">
        <v>126</v>
      </c>
      <c r="E157" s="176" t="str">
        <f>VLOOKUP($B157,'Выгр Торг'!$B:$Q,E$1,0)</f>
        <v>Руль анатомический "Ferrum" CROSS с обогревом для Лада Ларгус, Веста, XRAY (Сине-зелёная нить, Чёрный мат)</v>
      </c>
      <c r="F157" s="179" t="str">
        <f>VLOOKUP($B157,'Выгр Торг'!$B:$Q,F$1,0)</f>
        <v>Y</v>
      </c>
      <c r="G157" s="179" t="str">
        <f>VLOOKUP($B157,'Выгр Торг'!$B:$Q,G$1,0)</f>
        <v>1</v>
      </c>
      <c r="H157" s="177">
        <v>165049</v>
      </c>
      <c r="I157" s="156"/>
      <c r="J157" s="160">
        <v>830</v>
      </c>
      <c r="K157" s="161">
        <v>870</v>
      </c>
      <c r="L157" s="180">
        <f t="shared" si="121"/>
        <v>47700</v>
      </c>
      <c r="M157" s="180">
        <f t="shared" si="117"/>
        <v>48700</v>
      </c>
      <c r="N157" s="180">
        <f t="shared" si="118"/>
        <v>41700</v>
      </c>
      <c r="O157" s="107">
        <f t="shared" si="122"/>
        <v>1.020964360587002</v>
      </c>
      <c r="P157" s="132">
        <f t="shared" si="104"/>
        <v>1.1499999999999999</v>
      </c>
      <c r="Q157" s="180">
        <f t="shared" si="119"/>
        <v>58983.870967741925</v>
      </c>
      <c r="R157" s="144">
        <f t="shared" si="123"/>
        <v>58990</v>
      </c>
      <c r="S157" s="179">
        <f>VLOOKUP($B157,'Выгр Торг'!$B:$Q,S$1,0)</f>
        <v>47700</v>
      </c>
      <c r="T157" s="179">
        <f>VLOOKUP($B157,'Выгр Торг'!$B:$Q,T$1,0)</f>
        <v>58990</v>
      </c>
      <c r="U157" s="94">
        <f t="shared" si="105"/>
        <v>0</v>
      </c>
      <c r="V157" s="94">
        <f t="shared" si="106"/>
        <v>0</v>
      </c>
      <c r="W157" s="182">
        <f t="shared" si="124"/>
        <v>54860.7</v>
      </c>
      <c r="X157" s="218">
        <f>IFERROR(VLOOKUP($B157,'Из ГУГЛа'!$B:$G,6,0)*Z157+Y157,VLOOKUP($B157,'Из ГУГЛа'!$B:$G,6,0))</f>
        <v>50790</v>
      </c>
      <c r="Y157" s="220">
        <f t="shared" si="120"/>
        <v>10800</v>
      </c>
      <c r="Z157" s="133">
        <v>1</v>
      </c>
      <c r="AA157" s="133">
        <v>1300</v>
      </c>
      <c r="AB157" s="184">
        <f t="shared" si="125"/>
        <v>0.15011949685534587</v>
      </c>
      <c r="AC157" s="184">
        <f t="shared" si="126"/>
        <v>-8.0147666863555761E-2</v>
      </c>
      <c r="AD157" s="184">
        <f t="shared" si="127"/>
        <v>6.4779874213836575E-2</v>
      </c>
      <c r="AE157" s="222">
        <v>50790</v>
      </c>
      <c r="AF157" s="98" t="s">
        <v>614</v>
      </c>
      <c r="AH157" s="98" t="s">
        <v>126</v>
      </c>
    </row>
    <row r="158" spans="1:34" ht="46.5" thickTop="1" thickBot="1">
      <c r="A158" s="176" t="str">
        <f>INDEX('Выгр Торг'!$A:$A,MATCH($B158,'Выгр Торг'!$B:$B,0))</f>
        <v>Руль анатомический "Ferrum" CROSS с обогревом для Лада Ларгус, Веста, XRAY</v>
      </c>
      <c r="B158" s="178">
        <v>341427</v>
      </c>
      <c r="C158" s="179">
        <f>VLOOKUP($B158,'Выгр Торг'!$B:$Q,C$1,0)</f>
        <v>341427</v>
      </c>
      <c r="D158" s="189" t="s">
        <v>126</v>
      </c>
      <c r="E158" s="176" t="str">
        <f>VLOOKUP($B158,'Выгр Торг'!$B:$Q,E$1,0)</f>
        <v>Руль анатомический "Ferrum" CROSS с обогревом для Лада Ларгус, Веста, XRAY (Синяя нить, Чёрный мат)</v>
      </c>
      <c r="F158" s="179" t="str">
        <f>VLOOKUP($B158,'Выгр Торг'!$B:$Q,F$1,0)</f>
        <v>Y</v>
      </c>
      <c r="G158" s="179" t="str">
        <f>VLOOKUP($B158,'Выгр Торг'!$B:$Q,G$1,0)</f>
        <v>1</v>
      </c>
      <c r="H158" s="177">
        <v>165049</v>
      </c>
      <c r="I158" s="156"/>
      <c r="J158" s="160">
        <v>830</v>
      </c>
      <c r="K158" s="161">
        <v>870</v>
      </c>
      <c r="L158" s="180">
        <f t="shared" si="121"/>
        <v>47700</v>
      </c>
      <c r="M158" s="180">
        <f t="shared" si="117"/>
        <v>48700</v>
      </c>
      <c r="N158" s="180">
        <f t="shared" si="118"/>
        <v>41700</v>
      </c>
      <c r="O158" s="107">
        <f t="shared" si="122"/>
        <v>1.020964360587002</v>
      </c>
      <c r="P158" s="132">
        <f t="shared" si="104"/>
        <v>1.1499999999999999</v>
      </c>
      <c r="Q158" s="180">
        <f t="shared" si="119"/>
        <v>58983.870967741925</v>
      </c>
      <c r="R158" s="144">
        <f t="shared" si="123"/>
        <v>58990</v>
      </c>
      <c r="S158" s="179">
        <f>VLOOKUP($B158,'Выгр Торг'!$B:$Q,S$1,0)</f>
        <v>47700</v>
      </c>
      <c r="T158" s="179">
        <f>VLOOKUP($B158,'Выгр Торг'!$B:$Q,T$1,0)</f>
        <v>58990</v>
      </c>
      <c r="U158" s="94">
        <f t="shared" si="105"/>
        <v>0</v>
      </c>
      <c r="V158" s="94">
        <f t="shared" si="106"/>
        <v>0</v>
      </c>
      <c r="W158" s="182">
        <f t="shared" si="124"/>
        <v>54860.7</v>
      </c>
      <c r="X158" s="218">
        <f>IFERROR(VLOOKUP($B158,'Из ГУГЛа'!$B:$G,6,0)*Z158+Y158,VLOOKUP($B158,'Из ГУГЛа'!$B:$G,6,0))</f>
        <v>50790</v>
      </c>
      <c r="Y158" s="220">
        <f t="shared" si="120"/>
        <v>10800</v>
      </c>
      <c r="Z158" s="133">
        <v>1</v>
      </c>
      <c r="AA158" s="133">
        <v>1300</v>
      </c>
      <c r="AB158" s="184">
        <f t="shared" si="125"/>
        <v>0.15011949685534587</v>
      </c>
      <c r="AC158" s="184">
        <f t="shared" si="126"/>
        <v>-8.0147666863555761E-2</v>
      </c>
      <c r="AD158" s="184">
        <f t="shared" si="127"/>
        <v>6.4779874213836575E-2</v>
      </c>
      <c r="AE158" s="222">
        <v>50790</v>
      </c>
      <c r="AF158" s="98" t="s">
        <v>614</v>
      </c>
      <c r="AH158" s="98" t="s">
        <v>126</v>
      </c>
    </row>
    <row r="159" spans="1:34" ht="46.5" thickTop="1" thickBot="1">
      <c r="A159" s="176" t="str">
        <f>INDEX('Выгр Торг'!$A:$A,MATCH($B159,'Выгр Торг'!$B:$B,0))</f>
        <v>Руль анатомический "Ferrum" CROSS с обогревом для Лада Ларгус, Веста, XRAY</v>
      </c>
      <c r="B159" s="178">
        <v>341429</v>
      </c>
      <c r="C159" s="179">
        <f>VLOOKUP($B159,'Выгр Торг'!$B:$Q,C$1,0)</f>
        <v>341429</v>
      </c>
      <c r="D159" s="189" t="s">
        <v>126</v>
      </c>
      <c r="E159" s="176" t="str">
        <f>VLOOKUP($B159,'Выгр Торг'!$B:$Q,E$1,0)</f>
        <v>Руль анатомический "Ferrum" CROSS с обогревом для Лада Ларгус, Веста, XRAY (Тёмно-серая нить, Чёрный мат)</v>
      </c>
      <c r="F159" s="179" t="str">
        <f>VLOOKUP($B159,'Выгр Торг'!$B:$Q,F$1,0)</f>
        <v>Y</v>
      </c>
      <c r="G159" s="179" t="str">
        <f>VLOOKUP($B159,'Выгр Торг'!$B:$Q,G$1,0)</f>
        <v>1</v>
      </c>
      <c r="H159" s="177">
        <v>165049</v>
      </c>
      <c r="I159" s="156"/>
      <c r="J159" s="160">
        <v>830</v>
      </c>
      <c r="K159" s="161">
        <v>870</v>
      </c>
      <c r="L159" s="180">
        <f t="shared" si="121"/>
        <v>47700</v>
      </c>
      <c r="M159" s="180">
        <f t="shared" si="117"/>
        <v>48700</v>
      </c>
      <c r="N159" s="180">
        <f t="shared" si="118"/>
        <v>41700</v>
      </c>
      <c r="O159" s="107">
        <f t="shared" si="122"/>
        <v>1.020964360587002</v>
      </c>
      <c r="P159" s="132">
        <f t="shared" si="104"/>
        <v>1.1499999999999999</v>
      </c>
      <c r="Q159" s="180">
        <f t="shared" si="119"/>
        <v>58983.870967741925</v>
      </c>
      <c r="R159" s="144">
        <f t="shared" si="123"/>
        <v>58990</v>
      </c>
      <c r="S159" s="179">
        <f>VLOOKUP($B159,'Выгр Торг'!$B:$Q,S$1,0)</f>
        <v>47700</v>
      </c>
      <c r="T159" s="179">
        <f>VLOOKUP($B159,'Выгр Торг'!$B:$Q,T$1,0)</f>
        <v>58990</v>
      </c>
      <c r="U159" s="94">
        <f t="shared" si="105"/>
        <v>0</v>
      </c>
      <c r="V159" s="94">
        <f t="shared" si="106"/>
        <v>0</v>
      </c>
      <c r="W159" s="182">
        <f t="shared" si="124"/>
        <v>54860.7</v>
      </c>
      <c r="X159" s="218">
        <f>IFERROR(VLOOKUP($B159,'Из ГУГЛа'!$B:$G,6,0)*Z159+Y159,VLOOKUP($B159,'Из ГУГЛа'!$B:$G,6,0))</f>
        <v>50790</v>
      </c>
      <c r="Y159" s="220">
        <f t="shared" si="120"/>
        <v>10800</v>
      </c>
      <c r="Z159" s="133">
        <v>1</v>
      </c>
      <c r="AA159" s="133">
        <v>1300</v>
      </c>
      <c r="AB159" s="184">
        <f t="shared" si="125"/>
        <v>0.15011949685534587</v>
      </c>
      <c r="AC159" s="184">
        <f t="shared" si="126"/>
        <v>-8.0147666863555761E-2</v>
      </c>
      <c r="AD159" s="184">
        <f t="shared" si="127"/>
        <v>6.4779874213836575E-2</v>
      </c>
      <c r="AE159" s="222">
        <v>50790</v>
      </c>
      <c r="AF159" s="98" t="s">
        <v>614</v>
      </c>
      <c r="AH159" s="98" t="s">
        <v>126</v>
      </c>
    </row>
    <row r="160" spans="1:34" ht="46.5" thickTop="1" thickBot="1">
      <c r="A160" s="176" t="str">
        <f>INDEX('Выгр Торг'!$A:$A,MATCH($B160,'Выгр Торг'!$B:$B,0))</f>
        <v>Руль анатомический "Ferrum" CROSS с обогревом для Лада Ларгус, Веста, XRAY</v>
      </c>
      <c r="B160" s="178">
        <v>341421</v>
      </c>
      <c r="C160" s="179">
        <f>VLOOKUP($B160,'Выгр Торг'!$B:$Q,C$1,0)</f>
        <v>341421</v>
      </c>
      <c r="D160" s="189" t="s">
        <v>126</v>
      </c>
      <c r="E160" s="176" t="str">
        <f>VLOOKUP($B160,'Выгр Торг'!$B:$Q,E$1,0)</f>
        <v>Руль анатомический "Ferrum" CROSS с обогревом для Лада Ларгус, Веста, XRAY (Фиолетовая нить, Чёрный мат)</v>
      </c>
      <c r="F160" s="179" t="str">
        <f>VLOOKUP($B160,'Выгр Торг'!$B:$Q,F$1,0)</f>
        <v>Y</v>
      </c>
      <c r="G160" s="179" t="str">
        <f>VLOOKUP($B160,'Выгр Торг'!$B:$Q,G$1,0)</f>
        <v>1</v>
      </c>
      <c r="H160" s="177">
        <v>165049</v>
      </c>
      <c r="I160" s="156"/>
      <c r="J160" s="160">
        <v>830</v>
      </c>
      <c r="K160" s="161">
        <v>870</v>
      </c>
      <c r="L160" s="180">
        <f t="shared" si="121"/>
        <v>47700</v>
      </c>
      <c r="M160" s="180">
        <f t="shared" si="117"/>
        <v>48700</v>
      </c>
      <c r="N160" s="180">
        <f t="shared" si="118"/>
        <v>41700</v>
      </c>
      <c r="O160" s="107">
        <f t="shared" si="122"/>
        <v>1.020964360587002</v>
      </c>
      <c r="P160" s="132">
        <f t="shared" si="104"/>
        <v>1.1499999999999999</v>
      </c>
      <c r="Q160" s="180">
        <f t="shared" si="119"/>
        <v>58983.870967741925</v>
      </c>
      <c r="R160" s="144">
        <f t="shared" si="123"/>
        <v>58990</v>
      </c>
      <c r="S160" s="179">
        <f>VLOOKUP($B160,'Выгр Торг'!$B:$Q,S$1,0)</f>
        <v>47700</v>
      </c>
      <c r="T160" s="179">
        <f>VLOOKUP($B160,'Выгр Торг'!$B:$Q,T$1,0)</f>
        <v>58990</v>
      </c>
      <c r="U160" s="94">
        <f t="shared" si="105"/>
        <v>0</v>
      </c>
      <c r="V160" s="94">
        <f t="shared" si="106"/>
        <v>0</v>
      </c>
      <c r="W160" s="182">
        <f t="shared" si="124"/>
        <v>54860.7</v>
      </c>
      <c r="X160" s="218">
        <f>IFERROR(VLOOKUP($B160,'Из ГУГЛа'!$B:$G,6,0)*Z160+Y160,VLOOKUP($B160,'Из ГУГЛа'!$B:$G,6,0))</f>
        <v>50790</v>
      </c>
      <c r="Y160" s="220">
        <f t="shared" si="120"/>
        <v>10800</v>
      </c>
      <c r="Z160" s="133">
        <v>1</v>
      </c>
      <c r="AA160" s="133">
        <v>1300</v>
      </c>
      <c r="AB160" s="184">
        <f t="shared" si="125"/>
        <v>0.15011949685534587</v>
      </c>
      <c r="AC160" s="184">
        <f t="shared" si="126"/>
        <v>-8.0147666863555761E-2</v>
      </c>
      <c r="AD160" s="184">
        <f t="shared" si="127"/>
        <v>6.4779874213836575E-2</v>
      </c>
      <c r="AE160" s="222">
        <v>50790</v>
      </c>
      <c r="AF160" s="98" t="s">
        <v>614</v>
      </c>
      <c r="AH160" s="98" t="s">
        <v>126</v>
      </c>
    </row>
    <row r="161" spans="1:34" ht="46.5" thickTop="1" thickBot="1">
      <c r="A161" s="176" t="str">
        <f>INDEX('Выгр Торг'!$A:$A,MATCH($B161,'Выгр Торг'!$B:$B,0))</f>
        <v>Руль анатомический "Ferrum" CROSS с обогревом для Лада Ларгус, Веста, XRAY</v>
      </c>
      <c r="B161" s="178">
        <v>132548</v>
      </c>
      <c r="C161" s="179">
        <f>VLOOKUP($B161,'Выгр Торг'!$B:$Q,C$1,0)</f>
        <v>165056</v>
      </c>
      <c r="D161" s="189" t="s">
        <v>126</v>
      </c>
      <c r="E161" s="176" t="str">
        <f>VLOOKUP($B161,'Выгр Торг'!$B:$Q,E$1,0)</f>
        <v>Руль анатомический "Ferrum" CROSS с обогревом для Лада Ларгус, Веста, XRAY (Жёлтая нить, Чёрный глянец)</v>
      </c>
      <c r="F161" s="179" t="str">
        <f>VLOOKUP($B161,'Выгр Торг'!$B:$Q,F$1,0)</f>
        <v>Y</v>
      </c>
      <c r="G161" s="179" t="str">
        <f>VLOOKUP($B161,'Выгр Торг'!$B:$Q,G$1,0)</f>
        <v>1</v>
      </c>
      <c r="H161" s="177">
        <v>165049</v>
      </c>
      <c r="I161" s="156"/>
      <c r="J161" s="160"/>
      <c r="K161" s="161">
        <v>870</v>
      </c>
      <c r="L161" s="180">
        <f t="shared" ref="L161" si="128">M161-1000</f>
        <v>46870</v>
      </c>
      <c r="M161" s="180">
        <f t="shared" si="117"/>
        <v>47870</v>
      </c>
      <c r="N161" s="180">
        <f t="shared" si="118"/>
        <v>40870</v>
      </c>
      <c r="O161" s="107">
        <f t="shared" ref="O161" si="129">M161/L161</f>
        <v>1.0213356091316408</v>
      </c>
      <c r="P161" s="132">
        <f t="shared" si="104"/>
        <v>1.1499999999999999</v>
      </c>
      <c r="Q161" s="180">
        <f t="shared" si="119"/>
        <v>57957.52688172042</v>
      </c>
      <c r="R161" s="144">
        <f t="shared" ref="R161" si="130">IF(Q161&lt;=1000,(ROUNDUP(Q161,-2)-1),(ROUNDUP(Q161,-2)-10))</f>
        <v>57990</v>
      </c>
      <c r="S161" s="179">
        <f>VLOOKUP($B161,'Выгр Торг'!$B:$Q,S$1,0)</f>
        <v>46870</v>
      </c>
      <c r="T161" s="179">
        <f>VLOOKUP($B161,'Выгр Торг'!$B:$Q,T$1,0)</f>
        <v>57990</v>
      </c>
      <c r="U161" s="94">
        <f t="shared" si="105"/>
        <v>0</v>
      </c>
      <c r="V161" s="94">
        <f t="shared" si="106"/>
        <v>0</v>
      </c>
      <c r="W161" s="182">
        <f t="shared" ref="W161" si="131">R161*(1-$W$2)</f>
        <v>53930.7</v>
      </c>
      <c r="X161" s="218">
        <f>IFERROR(VLOOKUP($B161,'Из ГУГЛа'!$B:$G,6,0)*Z161+Y161,VLOOKUP($B161,'Из ГУГЛа'!$B:$G,6,0))</f>
        <v>49960</v>
      </c>
      <c r="Y161" s="220">
        <f t="shared" si="120"/>
        <v>9970</v>
      </c>
      <c r="Z161" s="133">
        <v>1</v>
      </c>
      <c r="AA161" s="133"/>
      <c r="AB161" s="184">
        <f t="shared" ref="AB161" si="132">IFERROR(W161/L161-1,"")</f>
        <v>0.1506443353957756</v>
      </c>
      <c r="AC161" s="184">
        <f t="shared" ref="AC161" si="133">IFERROR((AE161-W161)/AE161,"")</f>
        <v>-7.9477582065652461E-2</v>
      </c>
      <c r="AD161" s="184">
        <f t="shared" ref="AD161" si="134">IFERROR(IF(AE161="","",AE161/L161-1),"")</f>
        <v>6.5927032216769765E-2</v>
      </c>
      <c r="AE161" s="222">
        <v>49960</v>
      </c>
      <c r="AF161" s="98" t="s">
        <v>614</v>
      </c>
      <c r="AH161" s="98" t="s">
        <v>126</v>
      </c>
    </row>
    <row r="162" spans="1:34" ht="46.5" thickTop="1" thickBot="1">
      <c r="A162" s="125" t="str">
        <f>INDEX('Выгр Торг'!$A:$A,MATCH($B162,'Выгр Торг'!$B:$B,0))</f>
        <v>Руль анатомический "Ferrum" CROSS с обогревом для Лада Ларгус, Веста, XRAY</v>
      </c>
      <c r="B162" s="126">
        <v>132549</v>
      </c>
      <c r="C162" s="127">
        <f>VLOOKUP($B162,'Выгр Торг'!$B:$Q,C$1,0)</f>
        <v>165060</v>
      </c>
      <c r="D162" s="128" t="s">
        <v>126</v>
      </c>
      <c r="E162" s="125" t="str">
        <f>VLOOKUP($B162,'Выгр Торг'!$B:$Q,E$1,0)</f>
        <v>Руль анатомический "Ferrum" CROSS с обогревом для Лада Ларгус, Веста, XRAY (Зелёная нить, Чёрный глянец)</v>
      </c>
      <c r="F162" s="127" t="str">
        <f>VLOOKUP($B162,'Выгр Торг'!$B:$Q,F$1,0)</f>
        <v>Y</v>
      </c>
      <c r="G162" s="127" t="str">
        <f>VLOOKUP($B162,'Выгр Торг'!$B:$Q,G$1,0)</f>
        <v>1</v>
      </c>
      <c r="H162" s="40">
        <v>165049</v>
      </c>
      <c r="I162" s="156"/>
      <c r="J162" s="160"/>
      <c r="K162" s="161">
        <v>870</v>
      </c>
      <c r="L162" s="130">
        <f t="shared" ref="L162:L172" si="135">M162-1000</f>
        <v>46870</v>
      </c>
      <c r="M162" s="130">
        <f t="shared" si="117"/>
        <v>47870</v>
      </c>
      <c r="N162" s="130">
        <f t="shared" si="118"/>
        <v>40870</v>
      </c>
      <c r="O162" s="132">
        <f t="shared" si="54"/>
        <v>1.0213356091316408</v>
      </c>
      <c r="P162" s="132">
        <f t="shared" si="104"/>
        <v>1.1499999999999999</v>
      </c>
      <c r="Q162" s="130">
        <f t="shared" si="119"/>
        <v>57957.52688172042</v>
      </c>
      <c r="R162" s="148">
        <f t="shared" si="56"/>
        <v>57990</v>
      </c>
      <c r="S162" s="127">
        <f>VLOOKUP($B162,'Выгр Торг'!$B:$Q,S$1,0)</f>
        <v>46870</v>
      </c>
      <c r="T162" s="127">
        <f>VLOOKUP($B162,'Выгр Торг'!$B:$Q,T$1,0)</f>
        <v>57990</v>
      </c>
      <c r="U162" s="94">
        <f t="shared" si="105"/>
        <v>0</v>
      </c>
      <c r="V162" s="94">
        <f t="shared" si="106"/>
        <v>0</v>
      </c>
      <c r="W162" s="153">
        <f t="shared" si="57"/>
        <v>53930.7</v>
      </c>
      <c r="X162" s="209">
        <f>IFERROR(VLOOKUP($B162,'Из ГУГЛа'!$B:$G,6,0)*Z162+Y162,VLOOKUP($B162,'Из ГУГЛа'!$B:$G,6,0))</f>
        <v>49960</v>
      </c>
      <c r="Y162" s="220">
        <f t="shared" si="120"/>
        <v>9970</v>
      </c>
      <c r="Z162" s="133">
        <v>1</v>
      </c>
      <c r="AA162" s="134"/>
      <c r="AB162" s="135">
        <f t="shared" si="50"/>
        <v>0.1506443353957756</v>
      </c>
      <c r="AC162" s="135">
        <f t="shared" si="51"/>
        <v>-7.9477582065652461E-2</v>
      </c>
      <c r="AD162" s="135">
        <f t="shared" si="52"/>
        <v>6.5927032216769765E-2</v>
      </c>
      <c r="AE162" s="222">
        <v>49960</v>
      </c>
      <c r="AF162" s="98" t="s">
        <v>614</v>
      </c>
      <c r="AH162" s="98" t="s">
        <v>126</v>
      </c>
    </row>
    <row r="163" spans="1:34" ht="46.5" thickTop="1" thickBot="1">
      <c r="A163" s="125" t="str">
        <f>INDEX('Выгр Торг'!$A:$A,MATCH($B163,'Выгр Торг'!$B:$B,0))</f>
        <v>Руль анатомический "Ferrum" CROSS с обогревом для Лада Ларгус, Веста, XRAY</v>
      </c>
      <c r="B163" s="126">
        <v>132550</v>
      </c>
      <c r="C163" s="127">
        <f>VLOOKUP($B163,'Выгр Торг'!$B:$Q,C$1,0)</f>
        <v>165052</v>
      </c>
      <c r="D163" s="128" t="s">
        <v>126</v>
      </c>
      <c r="E163" s="125" t="str">
        <f>VLOOKUP($B163,'Выгр Торг'!$B:$Q,E$1,0)</f>
        <v>Руль анатомический "Ferrum" CROSS с обогревом для Лада Ларгус, Веста, XRAY (Коричневая нить, Чёрный глянец)</v>
      </c>
      <c r="F163" s="127" t="str">
        <f>VLOOKUP($B163,'Выгр Торг'!$B:$Q,F$1,0)</f>
        <v>Y</v>
      </c>
      <c r="G163" s="127" t="str">
        <f>VLOOKUP($B163,'Выгр Торг'!$B:$Q,G$1,0)</f>
        <v>1</v>
      </c>
      <c r="H163" s="40">
        <v>165049</v>
      </c>
      <c r="I163" s="156"/>
      <c r="J163" s="160"/>
      <c r="K163" s="161">
        <v>870</v>
      </c>
      <c r="L163" s="130">
        <f t="shared" si="135"/>
        <v>46870</v>
      </c>
      <c r="M163" s="130">
        <f t="shared" si="117"/>
        <v>47870</v>
      </c>
      <c r="N163" s="130">
        <f t="shared" si="118"/>
        <v>40870</v>
      </c>
      <c r="O163" s="132">
        <f t="shared" si="54"/>
        <v>1.0213356091316408</v>
      </c>
      <c r="P163" s="132">
        <f t="shared" si="104"/>
        <v>1.1499999999999999</v>
      </c>
      <c r="Q163" s="130">
        <f t="shared" si="119"/>
        <v>57957.52688172042</v>
      </c>
      <c r="R163" s="148">
        <f t="shared" si="56"/>
        <v>57990</v>
      </c>
      <c r="S163" s="127">
        <f>VLOOKUP($B163,'Выгр Торг'!$B:$Q,S$1,0)</f>
        <v>46870</v>
      </c>
      <c r="T163" s="127">
        <f>VLOOKUP($B163,'Выгр Торг'!$B:$Q,T$1,0)</f>
        <v>57990</v>
      </c>
      <c r="U163" s="94">
        <f t="shared" si="105"/>
        <v>0</v>
      </c>
      <c r="V163" s="94">
        <f t="shared" si="106"/>
        <v>0</v>
      </c>
      <c r="W163" s="153">
        <f t="shared" si="57"/>
        <v>53930.7</v>
      </c>
      <c r="X163" s="209">
        <f>IFERROR(VLOOKUP($B163,'Из ГУГЛа'!$B:$G,6,0)*Z163+Y163,VLOOKUP($B163,'Из ГУГЛа'!$B:$G,6,0))</f>
        <v>49960</v>
      </c>
      <c r="Y163" s="220">
        <f t="shared" si="120"/>
        <v>9970</v>
      </c>
      <c r="Z163" s="133">
        <v>1</v>
      </c>
      <c r="AA163" s="134"/>
      <c r="AB163" s="135">
        <f t="shared" si="50"/>
        <v>0.1506443353957756</v>
      </c>
      <c r="AC163" s="135">
        <f t="shared" si="51"/>
        <v>-7.9477582065652461E-2</v>
      </c>
      <c r="AD163" s="135">
        <f t="shared" si="52"/>
        <v>6.5927032216769765E-2</v>
      </c>
      <c r="AE163" s="222">
        <v>49960</v>
      </c>
      <c r="AF163" s="98" t="s">
        <v>614</v>
      </c>
      <c r="AH163" s="98" t="s">
        <v>126</v>
      </c>
    </row>
    <row r="164" spans="1:34" ht="46.5" thickTop="1" thickBot="1">
      <c r="A164" s="125" t="str">
        <f>INDEX('Выгр Торг'!$A:$A,MATCH($B164,'Выгр Торг'!$B:$B,0))</f>
        <v>Руль анатомический "Ferrum" CROSS с обогревом для Лада Ларгус, Веста, XRAY</v>
      </c>
      <c r="B164" s="126">
        <v>132551</v>
      </c>
      <c r="C164" s="127">
        <f>VLOOKUP($B164,'Выгр Торг'!$B:$Q,C$1,0)</f>
        <v>165059</v>
      </c>
      <c r="D164" s="128" t="s">
        <v>126</v>
      </c>
      <c r="E164" s="125" t="str">
        <f>VLOOKUP($B164,'Выгр Торг'!$B:$Q,E$1,0)</f>
        <v>Руль анатомический "Ferrum" CROSS с обогревом для Лада Ларгус, Веста, XRAY (Красная нить, Чёрный глянец)</v>
      </c>
      <c r="F164" s="127" t="str">
        <f>VLOOKUP($B164,'Выгр Торг'!$B:$Q,F$1,0)</f>
        <v>Y</v>
      </c>
      <c r="G164" s="127" t="str">
        <f>VLOOKUP($B164,'Выгр Торг'!$B:$Q,G$1,0)</f>
        <v>1</v>
      </c>
      <c r="H164" s="40">
        <v>165049</v>
      </c>
      <c r="I164" s="156"/>
      <c r="J164" s="160"/>
      <c r="K164" s="161">
        <v>870</v>
      </c>
      <c r="L164" s="130">
        <f t="shared" si="135"/>
        <v>46870</v>
      </c>
      <c r="M164" s="130">
        <f t="shared" si="117"/>
        <v>47870</v>
      </c>
      <c r="N164" s="130">
        <f t="shared" si="118"/>
        <v>40870</v>
      </c>
      <c r="O164" s="132">
        <f t="shared" si="54"/>
        <v>1.0213356091316408</v>
      </c>
      <c r="P164" s="132">
        <f t="shared" si="104"/>
        <v>1.1499999999999999</v>
      </c>
      <c r="Q164" s="130">
        <f t="shared" si="119"/>
        <v>57957.52688172042</v>
      </c>
      <c r="R164" s="148">
        <f t="shared" si="56"/>
        <v>57990</v>
      </c>
      <c r="S164" s="127">
        <f>VLOOKUP($B164,'Выгр Торг'!$B:$Q,S$1,0)</f>
        <v>46870</v>
      </c>
      <c r="T164" s="127">
        <f>VLOOKUP($B164,'Выгр Торг'!$B:$Q,T$1,0)</f>
        <v>57990</v>
      </c>
      <c r="U164" s="94">
        <f t="shared" si="105"/>
        <v>0</v>
      </c>
      <c r="V164" s="94">
        <f t="shared" si="106"/>
        <v>0</v>
      </c>
      <c r="W164" s="153">
        <f t="shared" si="57"/>
        <v>53930.7</v>
      </c>
      <c r="X164" s="209">
        <f>IFERROR(VLOOKUP($B164,'Из ГУГЛа'!$B:$G,6,0)*Z164+Y164,VLOOKUP($B164,'Из ГУГЛа'!$B:$G,6,0))</f>
        <v>49960</v>
      </c>
      <c r="Y164" s="220">
        <f t="shared" si="120"/>
        <v>9970</v>
      </c>
      <c r="Z164" s="133">
        <v>1</v>
      </c>
      <c r="AA164" s="134"/>
      <c r="AB164" s="135">
        <f t="shared" si="50"/>
        <v>0.1506443353957756</v>
      </c>
      <c r="AC164" s="135">
        <f t="shared" si="51"/>
        <v>-7.9477582065652461E-2</v>
      </c>
      <c r="AD164" s="135">
        <f t="shared" si="52"/>
        <v>6.5927032216769765E-2</v>
      </c>
      <c r="AE164" s="222">
        <v>49960</v>
      </c>
      <c r="AF164" s="98" t="s">
        <v>614</v>
      </c>
      <c r="AH164" s="98" t="s">
        <v>126</v>
      </c>
    </row>
    <row r="165" spans="1:34" ht="46.5" thickTop="1" thickBot="1">
      <c r="A165" s="125" t="str">
        <f>INDEX('Выгр Торг'!$A:$A,MATCH($B165,'Выгр Торг'!$B:$B,0))</f>
        <v>Руль анатомический "Ferrum" CROSS с обогревом для Лада Ларгус, Веста, XRAY</v>
      </c>
      <c r="B165" s="126">
        <v>132552</v>
      </c>
      <c r="C165" s="127">
        <f>VLOOKUP($B165,'Выгр Торг'!$B:$Q,C$1,0)</f>
        <v>165055</v>
      </c>
      <c r="D165" s="128" t="s">
        <v>126</v>
      </c>
      <c r="E165" s="125" t="str">
        <f>VLOOKUP($B165,'Выгр Торг'!$B:$Q,E$1,0)</f>
        <v>Руль анатомический "Ferrum" CROSS с обогревом для Лада Ларгус, Веста, XRAY (Оранжевая нить, Чёрный глянец)</v>
      </c>
      <c r="F165" s="127" t="str">
        <f>VLOOKUP($B165,'Выгр Торг'!$B:$Q,F$1,0)</f>
        <v>Y</v>
      </c>
      <c r="G165" s="127" t="str">
        <f>VLOOKUP($B165,'Выгр Торг'!$B:$Q,G$1,0)</f>
        <v>1</v>
      </c>
      <c r="H165" s="40">
        <v>165049</v>
      </c>
      <c r="I165" s="156"/>
      <c r="J165" s="160"/>
      <c r="K165" s="161">
        <v>870</v>
      </c>
      <c r="L165" s="130">
        <f t="shared" si="135"/>
        <v>46870</v>
      </c>
      <c r="M165" s="130">
        <f t="shared" si="117"/>
        <v>47870</v>
      </c>
      <c r="N165" s="130">
        <f t="shared" si="118"/>
        <v>40870</v>
      </c>
      <c r="O165" s="132">
        <f t="shared" si="54"/>
        <v>1.0213356091316408</v>
      </c>
      <c r="P165" s="132">
        <f t="shared" si="104"/>
        <v>1.1499999999999999</v>
      </c>
      <c r="Q165" s="130">
        <f t="shared" si="119"/>
        <v>57957.52688172042</v>
      </c>
      <c r="R165" s="148">
        <f t="shared" si="56"/>
        <v>57990</v>
      </c>
      <c r="S165" s="127">
        <f>VLOOKUP($B165,'Выгр Торг'!$B:$Q,S$1,0)</f>
        <v>46870</v>
      </c>
      <c r="T165" s="127">
        <f>VLOOKUP($B165,'Выгр Торг'!$B:$Q,T$1,0)</f>
        <v>57990</v>
      </c>
      <c r="U165" s="94">
        <f t="shared" si="105"/>
        <v>0</v>
      </c>
      <c r="V165" s="94">
        <f t="shared" si="106"/>
        <v>0</v>
      </c>
      <c r="W165" s="153">
        <f t="shared" si="57"/>
        <v>53930.7</v>
      </c>
      <c r="X165" s="209">
        <f>IFERROR(VLOOKUP($B165,'Из ГУГЛа'!$B:$G,6,0)*Z165+Y165,VLOOKUP($B165,'Из ГУГЛа'!$B:$G,6,0))</f>
        <v>49960</v>
      </c>
      <c r="Y165" s="220">
        <f t="shared" si="120"/>
        <v>9970</v>
      </c>
      <c r="Z165" s="133">
        <v>1</v>
      </c>
      <c r="AA165" s="134"/>
      <c r="AB165" s="135">
        <f t="shared" si="50"/>
        <v>0.1506443353957756</v>
      </c>
      <c r="AC165" s="135">
        <f t="shared" si="51"/>
        <v>-7.9477582065652461E-2</v>
      </c>
      <c r="AD165" s="135">
        <f t="shared" si="52"/>
        <v>6.5927032216769765E-2</v>
      </c>
      <c r="AE165" s="222">
        <v>49960</v>
      </c>
      <c r="AF165" s="98" t="s">
        <v>614</v>
      </c>
      <c r="AH165" s="98" t="s">
        <v>126</v>
      </c>
    </row>
    <row r="166" spans="1:34" ht="46.5" thickTop="1" thickBot="1">
      <c r="A166" s="125" t="str">
        <f>INDEX('Выгр Торг'!$A:$A,MATCH($B166,'Выгр Торг'!$B:$B,0))</f>
        <v>Руль анатомический "Ferrum" CROSS с обогревом для Лада Ларгус, Веста, XRAY</v>
      </c>
      <c r="B166" s="126">
        <v>132553</v>
      </c>
      <c r="C166" s="127">
        <f>VLOOKUP($B166,'Выгр Торг'!$B:$Q,C$1,0)</f>
        <v>165057</v>
      </c>
      <c r="D166" s="128" t="s">
        <v>126</v>
      </c>
      <c r="E166" s="125" t="str">
        <f>VLOOKUP($B166,'Выгр Торг'!$B:$Q,E$1,0)</f>
        <v>Руль анатомический "Ferrum" CROSS с обогревом для Лада Ларгус, Веста, XRAY (Салатовая нить, Чёрный глянец)</v>
      </c>
      <c r="F166" s="127" t="str">
        <f>VLOOKUP($B166,'Выгр Торг'!$B:$Q,F$1,0)</f>
        <v>Y</v>
      </c>
      <c r="G166" s="127" t="str">
        <f>VLOOKUP($B166,'Выгр Торг'!$B:$Q,G$1,0)</f>
        <v>1</v>
      </c>
      <c r="H166" s="40">
        <v>165049</v>
      </c>
      <c r="I166" s="156"/>
      <c r="J166" s="160"/>
      <c r="K166" s="161">
        <v>870</v>
      </c>
      <c r="L166" s="130">
        <f t="shared" si="135"/>
        <v>46870</v>
      </c>
      <c r="M166" s="130">
        <f t="shared" si="117"/>
        <v>47870</v>
      </c>
      <c r="N166" s="130">
        <f t="shared" si="118"/>
        <v>40870</v>
      </c>
      <c r="O166" s="132">
        <f t="shared" si="54"/>
        <v>1.0213356091316408</v>
      </c>
      <c r="P166" s="132">
        <f t="shared" si="104"/>
        <v>1.1499999999999999</v>
      </c>
      <c r="Q166" s="130">
        <f t="shared" si="119"/>
        <v>57957.52688172042</v>
      </c>
      <c r="R166" s="148">
        <f t="shared" si="56"/>
        <v>57990</v>
      </c>
      <c r="S166" s="127">
        <f>VLOOKUP($B166,'Выгр Торг'!$B:$Q,S$1,0)</f>
        <v>46870</v>
      </c>
      <c r="T166" s="127">
        <f>VLOOKUP($B166,'Выгр Торг'!$B:$Q,T$1,0)</f>
        <v>57990</v>
      </c>
      <c r="U166" s="94">
        <f t="shared" si="105"/>
        <v>0</v>
      </c>
      <c r="V166" s="94">
        <f t="shared" si="106"/>
        <v>0</v>
      </c>
      <c r="W166" s="153">
        <f t="shared" si="57"/>
        <v>53930.7</v>
      </c>
      <c r="X166" s="209">
        <f>IFERROR(VLOOKUP($B166,'Из ГУГЛа'!$B:$G,6,0)*Z166+Y166,VLOOKUP($B166,'Из ГУГЛа'!$B:$G,6,0))</f>
        <v>49960</v>
      </c>
      <c r="Y166" s="220">
        <f t="shared" si="120"/>
        <v>9970</v>
      </c>
      <c r="Z166" s="133">
        <v>1</v>
      </c>
      <c r="AA166" s="134"/>
      <c r="AB166" s="135">
        <f t="shared" si="50"/>
        <v>0.1506443353957756</v>
      </c>
      <c r="AC166" s="135">
        <f t="shared" si="51"/>
        <v>-7.9477582065652461E-2</v>
      </c>
      <c r="AD166" s="135">
        <f t="shared" si="52"/>
        <v>6.5927032216769765E-2</v>
      </c>
      <c r="AE166" s="222">
        <v>49960</v>
      </c>
      <c r="AF166" s="98" t="s">
        <v>614</v>
      </c>
      <c r="AH166" s="98" t="s">
        <v>126</v>
      </c>
    </row>
    <row r="167" spans="1:34" ht="46.5" thickTop="1" thickBot="1">
      <c r="A167" s="125" t="str">
        <f>INDEX('Выгр Торг'!$A:$A,MATCH($B167,'Выгр Торг'!$B:$B,0))</f>
        <v>Руль анатомический "Ferrum" CROSS с обогревом для Лада Ларгус, Веста, XRAY</v>
      </c>
      <c r="B167" s="126">
        <v>132554</v>
      </c>
      <c r="C167" s="127">
        <f>VLOOKUP($B167,'Выгр Торг'!$B:$Q,C$1,0)</f>
        <v>165058</v>
      </c>
      <c r="D167" s="128" t="s">
        <v>126</v>
      </c>
      <c r="E167" s="125" t="str">
        <f>VLOOKUP($B167,'Выгр Торг'!$B:$Q,E$1,0)</f>
        <v>Руль анатомический "Ferrum" CROSS с обогревом для Лада Ларгус, Веста, XRAY (Светло-серая нить, Чёрный глянец)</v>
      </c>
      <c r="F167" s="127" t="str">
        <f>VLOOKUP($B167,'Выгр Торг'!$B:$Q,F$1,0)</f>
        <v>Y</v>
      </c>
      <c r="G167" s="127" t="str">
        <f>VLOOKUP($B167,'Выгр Торг'!$B:$Q,G$1,0)</f>
        <v>1</v>
      </c>
      <c r="H167" s="40">
        <v>165049</v>
      </c>
      <c r="I167" s="156"/>
      <c r="J167" s="160"/>
      <c r="K167" s="161">
        <v>870</v>
      </c>
      <c r="L167" s="130">
        <f t="shared" si="135"/>
        <v>46870</v>
      </c>
      <c r="M167" s="130">
        <f t="shared" si="117"/>
        <v>47870</v>
      </c>
      <c r="N167" s="130">
        <f t="shared" si="118"/>
        <v>40870</v>
      </c>
      <c r="O167" s="132">
        <f t="shared" si="54"/>
        <v>1.0213356091316408</v>
      </c>
      <c r="P167" s="132">
        <f t="shared" si="104"/>
        <v>1.1499999999999999</v>
      </c>
      <c r="Q167" s="130">
        <f t="shared" si="119"/>
        <v>57957.52688172042</v>
      </c>
      <c r="R167" s="148">
        <f t="shared" si="56"/>
        <v>57990</v>
      </c>
      <c r="S167" s="127">
        <f>VLOOKUP($B167,'Выгр Торг'!$B:$Q,S$1,0)</f>
        <v>46870</v>
      </c>
      <c r="T167" s="127">
        <f>VLOOKUP($B167,'Выгр Торг'!$B:$Q,T$1,0)</f>
        <v>57990</v>
      </c>
      <c r="U167" s="94">
        <f t="shared" si="105"/>
        <v>0</v>
      </c>
      <c r="V167" s="94">
        <f t="shared" si="106"/>
        <v>0</v>
      </c>
      <c r="W167" s="153">
        <f t="shared" si="57"/>
        <v>53930.7</v>
      </c>
      <c r="X167" s="209">
        <f>IFERROR(VLOOKUP($B167,'Из ГУГЛа'!$B:$G,6,0)*Z167+Y167,VLOOKUP($B167,'Из ГУГЛа'!$B:$G,6,0))</f>
        <v>49960</v>
      </c>
      <c r="Y167" s="220">
        <f t="shared" si="120"/>
        <v>9970</v>
      </c>
      <c r="Z167" s="133">
        <v>1</v>
      </c>
      <c r="AA167" s="134"/>
      <c r="AB167" s="135">
        <f t="shared" si="50"/>
        <v>0.1506443353957756</v>
      </c>
      <c r="AC167" s="135">
        <f t="shared" si="51"/>
        <v>-7.9477582065652461E-2</v>
      </c>
      <c r="AD167" s="135">
        <f t="shared" si="52"/>
        <v>6.5927032216769765E-2</v>
      </c>
      <c r="AE167" s="222">
        <v>49960</v>
      </c>
      <c r="AF167" s="98" t="s">
        <v>614</v>
      </c>
      <c r="AH167" s="98" t="s">
        <v>126</v>
      </c>
    </row>
    <row r="168" spans="1:34" ht="46.5" thickTop="1" thickBot="1">
      <c r="A168" s="125" t="str">
        <f>INDEX('Выгр Торг'!$A:$A,MATCH($B168,'Выгр Торг'!$B:$B,0))</f>
        <v>Руль анатомический "Ferrum" CROSS с обогревом для Лада Ларгус, Веста, XRAY</v>
      </c>
      <c r="B168" s="126">
        <v>132555</v>
      </c>
      <c r="C168" s="127">
        <f>VLOOKUP($B168,'Выгр Торг'!$B:$Q,C$1,0)</f>
        <v>165054</v>
      </c>
      <c r="D168" s="128" t="s">
        <v>126</v>
      </c>
      <c r="E168" s="125" t="str">
        <f>VLOOKUP($B168,'Выгр Торг'!$B:$Q,E$1,0)</f>
        <v>Руль анатомический "Ferrum" CROSS с обогревом для Лада Ларгус, Веста, XRAY (Сине-зелёная нить, Чёрный глянец)</v>
      </c>
      <c r="F168" s="127" t="str">
        <f>VLOOKUP($B168,'Выгр Торг'!$B:$Q,F$1,0)</f>
        <v>Y</v>
      </c>
      <c r="G168" s="127" t="str">
        <f>VLOOKUP($B168,'Выгр Торг'!$B:$Q,G$1,0)</f>
        <v>1</v>
      </c>
      <c r="H168" s="40">
        <v>165049</v>
      </c>
      <c r="I168" s="156"/>
      <c r="J168" s="160"/>
      <c r="K168" s="161">
        <v>870</v>
      </c>
      <c r="L168" s="130">
        <f t="shared" si="135"/>
        <v>46870</v>
      </c>
      <c r="M168" s="130">
        <f t="shared" si="117"/>
        <v>47870</v>
      </c>
      <c r="N168" s="130">
        <f t="shared" si="118"/>
        <v>40870</v>
      </c>
      <c r="O168" s="132">
        <f t="shared" si="54"/>
        <v>1.0213356091316408</v>
      </c>
      <c r="P168" s="132">
        <f t="shared" si="104"/>
        <v>1.1499999999999999</v>
      </c>
      <c r="Q168" s="130">
        <f t="shared" si="119"/>
        <v>57957.52688172042</v>
      </c>
      <c r="R168" s="148">
        <f t="shared" si="56"/>
        <v>57990</v>
      </c>
      <c r="S168" s="127">
        <f>VLOOKUP($B168,'Выгр Торг'!$B:$Q,S$1,0)</f>
        <v>46870</v>
      </c>
      <c r="T168" s="127">
        <f>VLOOKUP($B168,'Выгр Торг'!$B:$Q,T$1,0)</f>
        <v>57990</v>
      </c>
      <c r="U168" s="94">
        <f t="shared" si="105"/>
        <v>0</v>
      </c>
      <c r="V168" s="94">
        <f t="shared" si="106"/>
        <v>0</v>
      </c>
      <c r="W168" s="153">
        <f t="shared" si="57"/>
        <v>53930.7</v>
      </c>
      <c r="X168" s="209">
        <f>IFERROR(VLOOKUP($B168,'Из ГУГЛа'!$B:$G,6,0)*Z168+Y168,VLOOKUP($B168,'Из ГУГЛа'!$B:$G,6,0))</f>
        <v>49960</v>
      </c>
      <c r="Y168" s="220">
        <f t="shared" si="120"/>
        <v>9970</v>
      </c>
      <c r="Z168" s="133">
        <v>1</v>
      </c>
      <c r="AA168" s="134"/>
      <c r="AB168" s="135">
        <f t="shared" si="50"/>
        <v>0.1506443353957756</v>
      </c>
      <c r="AC168" s="135">
        <f t="shared" si="51"/>
        <v>-7.9477582065652461E-2</v>
      </c>
      <c r="AD168" s="135">
        <f t="shared" si="52"/>
        <v>6.5927032216769765E-2</v>
      </c>
      <c r="AE168" s="222">
        <v>49960</v>
      </c>
      <c r="AF168" s="98" t="s">
        <v>614</v>
      </c>
      <c r="AH168" s="98" t="s">
        <v>126</v>
      </c>
    </row>
    <row r="169" spans="1:34" ht="46.5" thickTop="1" thickBot="1">
      <c r="A169" s="125" t="str">
        <f>INDEX('Выгр Торг'!$A:$A,MATCH($B169,'Выгр Торг'!$B:$B,0))</f>
        <v>Руль анатомический "Ferrum" CROSS с обогревом для Лада Ларгус, Веста, XRAY</v>
      </c>
      <c r="B169" s="126">
        <v>132556</v>
      </c>
      <c r="C169" s="127">
        <f>VLOOKUP($B169,'Выгр Торг'!$B:$Q,C$1,0)</f>
        <v>165053</v>
      </c>
      <c r="D169" s="128" t="s">
        <v>126</v>
      </c>
      <c r="E169" s="125" t="str">
        <f>VLOOKUP($B169,'Выгр Торг'!$B:$Q,E$1,0)</f>
        <v>Руль анатомический "Ferrum" CROSS с обогревом для Лада Ларгус, Веста, XRAY (Синяя нить, Чёрный глянец)</v>
      </c>
      <c r="F169" s="127" t="str">
        <f>VLOOKUP($B169,'Выгр Торг'!$B:$Q,F$1,0)</f>
        <v>Y</v>
      </c>
      <c r="G169" s="127" t="str">
        <f>VLOOKUP($B169,'Выгр Торг'!$B:$Q,G$1,0)</f>
        <v>1</v>
      </c>
      <c r="H169" s="40">
        <v>165049</v>
      </c>
      <c r="I169" s="156"/>
      <c r="J169" s="160"/>
      <c r="K169" s="161">
        <v>870</v>
      </c>
      <c r="L169" s="130">
        <f t="shared" si="135"/>
        <v>46870</v>
      </c>
      <c r="M169" s="130">
        <f t="shared" si="117"/>
        <v>47870</v>
      </c>
      <c r="N169" s="130">
        <f t="shared" si="118"/>
        <v>40870</v>
      </c>
      <c r="O169" s="132">
        <f t="shared" si="54"/>
        <v>1.0213356091316408</v>
      </c>
      <c r="P169" s="132">
        <f t="shared" si="104"/>
        <v>1.1499999999999999</v>
      </c>
      <c r="Q169" s="130">
        <f t="shared" si="119"/>
        <v>57957.52688172042</v>
      </c>
      <c r="R169" s="148">
        <f t="shared" si="56"/>
        <v>57990</v>
      </c>
      <c r="S169" s="127">
        <f>VLOOKUP($B169,'Выгр Торг'!$B:$Q,S$1,0)</f>
        <v>46870</v>
      </c>
      <c r="T169" s="127">
        <f>VLOOKUP($B169,'Выгр Торг'!$B:$Q,T$1,0)</f>
        <v>57990</v>
      </c>
      <c r="U169" s="94">
        <f t="shared" si="105"/>
        <v>0</v>
      </c>
      <c r="V169" s="94">
        <f t="shared" si="106"/>
        <v>0</v>
      </c>
      <c r="W169" s="153">
        <f t="shared" si="57"/>
        <v>53930.7</v>
      </c>
      <c r="X169" s="209">
        <f>IFERROR(VLOOKUP($B169,'Из ГУГЛа'!$B:$G,6,0)*Z169+Y169,VLOOKUP($B169,'Из ГУГЛа'!$B:$G,6,0))</f>
        <v>49960</v>
      </c>
      <c r="Y169" s="220">
        <f t="shared" si="120"/>
        <v>9970</v>
      </c>
      <c r="Z169" s="133">
        <v>1</v>
      </c>
      <c r="AA169" s="134"/>
      <c r="AB169" s="135">
        <f t="shared" si="50"/>
        <v>0.1506443353957756</v>
      </c>
      <c r="AC169" s="135">
        <f t="shared" si="51"/>
        <v>-7.9477582065652461E-2</v>
      </c>
      <c r="AD169" s="135">
        <f t="shared" si="52"/>
        <v>6.5927032216769765E-2</v>
      </c>
      <c r="AE169" s="222">
        <v>49960</v>
      </c>
      <c r="AF169" s="98" t="s">
        <v>614</v>
      </c>
      <c r="AH169" s="98" t="s">
        <v>126</v>
      </c>
    </row>
    <row r="170" spans="1:34" ht="46.5" thickTop="1" thickBot="1">
      <c r="A170" s="125" t="str">
        <f>INDEX('Выгр Торг'!$A:$A,MATCH($B170,'Выгр Торг'!$B:$B,0))</f>
        <v>Руль анатомический "Ferrum" CROSS с обогревом для Лада Ларгус, Веста, XRAY</v>
      </c>
      <c r="B170" s="126">
        <v>132557</v>
      </c>
      <c r="C170" s="127">
        <f>VLOOKUP($B170,'Выгр Торг'!$B:$Q,C$1,0)</f>
        <v>165051</v>
      </c>
      <c r="D170" s="128" t="s">
        <v>126</v>
      </c>
      <c r="E170" s="125" t="str">
        <f>VLOOKUP($B170,'Выгр Торг'!$B:$Q,E$1,0)</f>
        <v>Руль анатомический "Ferrum" CROSS с обогревом для Лада Ларгус, Веста, XRAY (Тёмно-серая нить, Чёрный глянец)</v>
      </c>
      <c r="F170" s="127" t="str">
        <f>VLOOKUP($B170,'Выгр Торг'!$B:$Q,F$1,0)</f>
        <v>Y</v>
      </c>
      <c r="G170" s="127" t="str">
        <f>VLOOKUP($B170,'Выгр Торг'!$B:$Q,G$1,0)</f>
        <v>1</v>
      </c>
      <c r="H170" s="40">
        <v>165049</v>
      </c>
      <c r="I170" s="156"/>
      <c r="J170" s="160"/>
      <c r="K170" s="161">
        <v>870</v>
      </c>
      <c r="L170" s="130">
        <f t="shared" si="135"/>
        <v>46870</v>
      </c>
      <c r="M170" s="130">
        <f t="shared" si="117"/>
        <v>47870</v>
      </c>
      <c r="N170" s="130">
        <f t="shared" si="118"/>
        <v>40870</v>
      </c>
      <c r="O170" s="132">
        <f t="shared" si="54"/>
        <v>1.0213356091316408</v>
      </c>
      <c r="P170" s="132">
        <f t="shared" si="104"/>
        <v>1.1499999999999999</v>
      </c>
      <c r="Q170" s="130">
        <f t="shared" si="119"/>
        <v>57957.52688172042</v>
      </c>
      <c r="R170" s="148">
        <f t="shared" si="56"/>
        <v>57990</v>
      </c>
      <c r="S170" s="127">
        <f>VLOOKUP($B170,'Выгр Торг'!$B:$Q,S$1,0)</f>
        <v>46870</v>
      </c>
      <c r="T170" s="127">
        <f>VLOOKUP($B170,'Выгр Торг'!$B:$Q,T$1,0)</f>
        <v>57990</v>
      </c>
      <c r="U170" s="94">
        <f t="shared" si="105"/>
        <v>0</v>
      </c>
      <c r="V170" s="94">
        <f t="shared" si="106"/>
        <v>0</v>
      </c>
      <c r="W170" s="153">
        <f t="shared" si="57"/>
        <v>53930.7</v>
      </c>
      <c r="X170" s="209">
        <f>IFERROR(VLOOKUP($B170,'Из ГУГЛа'!$B:$G,6,0)*Z170+Y170,VLOOKUP($B170,'Из ГУГЛа'!$B:$G,6,0))</f>
        <v>49960</v>
      </c>
      <c r="Y170" s="220">
        <f t="shared" si="120"/>
        <v>9970</v>
      </c>
      <c r="Z170" s="133">
        <v>1</v>
      </c>
      <c r="AA170" s="134"/>
      <c r="AB170" s="135">
        <f t="shared" si="50"/>
        <v>0.1506443353957756</v>
      </c>
      <c r="AC170" s="135">
        <f t="shared" si="51"/>
        <v>-7.9477582065652461E-2</v>
      </c>
      <c r="AD170" s="135">
        <f t="shared" si="52"/>
        <v>6.5927032216769765E-2</v>
      </c>
      <c r="AE170" s="222">
        <v>49960</v>
      </c>
      <c r="AF170" s="98" t="s">
        <v>614</v>
      </c>
      <c r="AH170" s="98" t="s">
        <v>126</v>
      </c>
    </row>
    <row r="171" spans="1:34" ht="46.5" thickTop="1" thickBot="1">
      <c r="A171" s="125" t="str">
        <f>INDEX('Выгр Торг'!$A:$A,MATCH($B171,'Выгр Торг'!$B:$B,0))</f>
        <v>Руль анатомический "Ferrum" CROSS с обогревом для Лада Ларгус, Веста, XRAY</v>
      </c>
      <c r="B171" s="126">
        <v>132558</v>
      </c>
      <c r="C171" s="127">
        <f>VLOOKUP($B171,'Выгр Торг'!$B:$Q,C$1,0)</f>
        <v>165050</v>
      </c>
      <c r="D171" s="128" t="s">
        <v>126</v>
      </c>
      <c r="E171" s="125" t="str">
        <f>VLOOKUP($B171,'Выгр Торг'!$B:$Q,E$1,0)</f>
        <v>Руль анатомический "Ferrum" CROSS с обогревом для Лада Ларгус, Веста, XRAY (Фиолетовая нить, Чёрный глянец)</v>
      </c>
      <c r="F171" s="127" t="str">
        <f>VLOOKUP($B171,'Выгр Торг'!$B:$Q,F$1,0)</f>
        <v>Y</v>
      </c>
      <c r="G171" s="127" t="str">
        <f>VLOOKUP($B171,'Выгр Торг'!$B:$Q,G$1,0)</f>
        <v>1</v>
      </c>
      <c r="H171" s="40">
        <v>165049</v>
      </c>
      <c r="I171" s="156"/>
      <c r="J171" s="160"/>
      <c r="K171" s="161">
        <v>870</v>
      </c>
      <c r="L171" s="130">
        <f t="shared" si="135"/>
        <v>46870</v>
      </c>
      <c r="M171" s="130">
        <f t="shared" si="117"/>
        <v>47870</v>
      </c>
      <c r="N171" s="130">
        <f t="shared" si="118"/>
        <v>40870</v>
      </c>
      <c r="O171" s="132">
        <f t="shared" si="54"/>
        <v>1.0213356091316408</v>
      </c>
      <c r="P171" s="132">
        <f t="shared" si="104"/>
        <v>1.1499999999999999</v>
      </c>
      <c r="Q171" s="130">
        <f t="shared" si="119"/>
        <v>57957.52688172042</v>
      </c>
      <c r="R171" s="148">
        <f t="shared" si="56"/>
        <v>57990</v>
      </c>
      <c r="S171" s="127">
        <f>VLOOKUP($B171,'Выгр Торг'!$B:$Q,S$1,0)</f>
        <v>46870</v>
      </c>
      <c r="T171" s="127">
        <f>VLOOKUP($B171,'Выгр Торг'!$B:$Q,T$1,0)</f>
        <v>57990</v>
      </c>
      <c r="U171" s="94">
        <f t="shared" si="105"/>
        <v>0</v>
      </c>
      <c r="V171" s="94">
        <f t="shared" si="106"/>
        <v>0</v>
      </c>
      <c r="W171" s="153">
        <f t="shared" si="57"/>
        <v>53930.7</v>
      </c>
      <c r="X171" s="209">
        <f>IFERROR(VLOOKUP($B171,'Из ГУГЛа'!$B:$G,6,0)*Z171+Y171,VLOOKUP($B171,'Из ГУГЛа'!$B:$G,6,0))</f>
        <v>49960</v>
      </c>
      <c r="Y171" s="220">
        <f t="shared" si="120"/>
        <v>9970</v>
      </c>
      <c r="Z171" s="133">
        <v>1</v>
      </c>
      <c r="AA171" s="134"/>
      <c r="AB171" s="135">
        <f t="shared" si="50"/>
        <v>0.1506443353957756</v>
      </c>
      <c r="AC171" s="135">
        <f t="shared" si="51"/>
        <v>-7.9477582065652461E-2</v>
      </c>
      <c r="AD171" s="135">
        <f t="shared" si="52"/>
        <v>6.5927032216769765E-2</v>
      </c>
      <c r="AE171" s="222">
        <v>49960</v>
      </c>
      <c r="AF171" s="98" t="s">
        <v>614</v>
      </c>
      <c r="AH171" s="98" t="s">
        <v>126</v>
      </c>
    </row>
    <row r="172" spans="1:34" ht="46.5" thickTop="1" thickBot="1">
      <c r="A172" s="125" t="str">
        <f>INDEX('Выгр Торг'!$A:$A,MATCH($B172,'Выгр Торг'!$B:$B,0))</f>
        <v>Руль анатомический "Ferrum" CROSS с обогревом для Лада Ларгус, Веста, XRAY</v>
      </c>
      <c r="B172" s="126">
        <v>132547</v>
      </c>
      <c r="C172" s="127">
        <f>VLOOKUP($B172,'Выгр Торг'!$B:$Q,C$1,0)</f>
        <v>165061</v>
      </c>
      <c r="D172" s="128" t="s">
        <v>126</v>
      </c>
      <c r="E172" s="125" t="str">
        <f>VLOOKUP($B172,'Выгр Торг'!$B:$Q,E$1,0)</f>
        <v>Руль анатомический "Ferrum" CROSS с обогревом для Лада Ларгус, Веста, XRAY (Белая нить, Чёрный глянец)</v>
      </c>
      <c r="F172" s="127" t="str">
        <f>VLOOKUP($B172,'Выгр Торг'!$B:$Q,F$1,0)</f>
        <v>Y</v>
      </c>
      <c r="G172" s="127" t="str">
        <f>VLOOKUP($B172,'Выгр Торг'!$B:$Q,G$1,0)</f>
        <v>1</v>
      </c>
      <c r="H172" s="40">
        <v>165049</v>
      </c>
      <c r="I172" s="156"/>
      <c r="J172" s="160"/>
      <c r="K172" s="161">
        <v>870</v>
      </c>
      <c r="L172" s="130">
        <f t="shared" si="135"/>
        <v>46870</v>
      </c>
      <c r="M172" s="130">
        <f t="shared" si="117"/>
        <v>47870</v>
      </c>
      <c r="N172" s="130">
        <f t="shared" si="118"/>
        <v>40870</v>
      </c>
      <c r="O172" s="132">
        <f t="shared" si="54"/>
        <v>1.0213356091316408</v>
      </c>
      <c r="P172" s="132">
        <f t="shared" si="104"/>
        <v>1.1499999999999999</v>
      </c>
      <c r="Q172" s="130">
        <f t="shared" si="119"/>
        <v>57957.52688172042</v>
      </c>
      <c r="R172" s="148">
        <f t="shared" si="56"/>
        <v>57990</v>
      </c>
      <c r="S172" s="127">
        <f>VLOOKUP($B172,'Выгр Торг'!$B:$Q,S$1,0)</f>
        <v>46870</v>
      </c>
      <c r="T172" s="127">
        <f>VLOOKUP($B172,'Выгр Торг'!$B:$Q,T$1,0)</f>
        <v>57990</v>
      </c>
      <c r="U172" s="94">
        <f t="shared" si="105"/>
        <v>0</v>
      </c>
      <c r="V172" s="94">
        <f t="shared" si="106"/>
        <v>0</v>
      </c>
      <c r="W172" s="153">
        <f t="shared" si="57"/>
        <v>53930.7</v>
      </c>
      <c r="X172" s="209">
        <f>IFERROR(VLOOKUP($B172,'Из ГУГЛа'!$B:$G,6,0)*Z172+Y172,VLOOKUP($B172,'Из ГУГЛа'!$B:$G,6,0))</f>
        <v>49960</v>
      </c>
      <c r="Y172" s="220">
        <f t="shared" si="120"/>
        <v>9970</v>
      </c>
      <c r="Z172" s="133">
        <v>1</v>
      </c>
      <c r="AA172" s="134"/>
      <c r="AB172" s="135">
        <f t="shared" si="50"/>
        <v>0.1506443353957756</v>
      </c>
      <c r="AC172" s="135">
        <f t="shared" si="51"/>
        <v>-7.9477582065652461E-2</v>
      </c>
      <c r="AD172" s="135">
        <f t="shared" si="52"/>
        <v>6.5927032216769765E-2</v>
      </c>
      <c r="AE172" s="222">
        <v>49960</v>
      </c>
      <c r="AF172" s="98" t="s">
        <v>614</v>
      </c>
      <c r="AH172" s="98" t="s">
        <v>126</v>
      </c>
    </row>
    <row r="173" spans="1:34" ht="61.5" thickTop="1" thickBot="1">
      <c r="A173" s="125" t="str">
        <f>INDEX('Выгр Торг'!$A:$A,MATCH($B173,'Выгр Торг'!$B:$B,0))</f>
        <v>Руль анатомический "Ferrum" Exclusive с обогревом (вставки из алькантары) для Лада Веста, Ларгус FL, XRAY</v>
      </c>
      <c r="B173" s="126">
        <v>132572</v>
      </c>
      <c r="C173" s="127">
        <f>VLOOKUP($B173,'Выгр Торг'!$B:$Q,C$1,0)</f>
        <v>166610</v>
      </c>
      <c r="D173" s="128" t="s">
        <v>135</v>
      </c>
      <c r="E173" s="125" t="str">
        <f>VLOOKUP($B173,'Выгр Торг'!$B:$Q,E$1,0)</f>
        <v>Руль анатомический "Ferrum" Exclusive с обогревом (вставки из алькантары) для Лада Ларгус FL, Веста, XRAY (Чёрная нить, Чёрный глянец)</v>
      </c>
      <c r="F173" s="127" t="str">
        <f>VLOOKUP($B173,'Выгр Торг'!$B:$Q,F$1,0)</f>
        <v>Y</v>
      </c>
      <c r="G173" s="127" t="str">
        <f>VLOOKUP($B173,'Выгр Торг'!$B:$Q,G$1,0)</f>
        <v>1</v>
      </c>
      <c r="H173" s="40">
        <v>166610</v>
      </c>
      <c r="I173" s="156"/>
      <c r="J173" s="160">
        <v>7000</v>
      </c>
      <c r="K173" s="161">
        <v>0</v>
      </c>
      <c r="L173" s="130">
        <f t="shared" ref="L173:L175" si="136">M173-1000</f>
        <v>48850</v>
      </c>
      <c r="M173" s="131">
        <f>N173+J173</f>
        <v>49850</v>
      </c>
      <c r="N173" s="131">
        <v>42850</v>
      </c>
      <c r="O173" s="132">
        <f t="shared" si="54"/>
        <v>1.0204708290685773</v>
      </c>
      <c r="P173" s="132">
        <f t="shared" si="104"/>
        <v>1.1499999999999999</v>
      </c>
      <c r="Q173" s="147">
        <f t="shared" ref="Q173" si="137">L173*P173*100/93</f>
        <v>60405.913978494616</v>
      </c>
      <c r="R173" s="148">
        <f t="shared" si="56"/>
        <v>60490</v>
      </c>
      <c r="S173" s="127">
        <f>VLOOKUP($B173,'Выгр Торг'!$B:$Q,S$1,0)</f>
        <v>48850</v>
      </c>
      <c r="T173" s="127">
        <f>VLOOKUP($B173,'Выгр Торг'!$B:$Q,T$1,0)</f>
        <v>60490</v>
      </c>
      <c r="U173" s="94">
        <f t="shared" si="105"/>
        <v>0</v>
      </c>
      <c r="V173" s="94">
        <f t="shared" si="106"/>
        <v>0</v>
      </c>
      <c r="W173" s="153">
        <f t="shared" si="57"/>
        <v>56255.7</v>
      </c>
      <c r="X173" s="209">
        <f>IFERROR(VLOOKUP($B173,'Из ГУГЛа'!$B:$G,6,0)*Z173+Y173,VLOOKUP($B173,'Из ГУГЛа'!$B:$G,6,0))</f>
        <v>51390</v>
      </c>
      <c r="Y173" s="106">
        <f>(J173+K173)*$Y$2</f>
        <v>9100</v>
      </c>
      <c r="Z173" s="133">
        <v>1</v>
      </c>
      <c r="AA173" s="134"/>
      <c r="AB173" s="135">
        <f t="shared" si="50"/>
        <v>0.15160081883316279</v>
      </c>
      <c r="AC173" s="135">
        <f t="shared" si="51"/>
        <v>-9.4681844716870925E-2</v>
      </c>
      <c r="AD173" s="135">
        <f t="shared" si="52"/>
        <v>5.199590583418634E-2</v>
      </c>
      <c r="AE173" s="221">
        <v>51390</v>
      </c>
      <c r="AF173" s="98" t="s">
        <v>623</v>
      </c>
      <c r="AH173" s="98" t="s">
        <v>135</v>
      </c>
    </row>
    <row r="174" spans="1:34" ht="61.5" thickTop="1" thickBot="1">
      <c r="A174" s="176" t="str">
        <f>INDEX('Выгр Торг'!$A:$A,MATCH($B174,'Выгр Торг'!$B:$B,0))</f>
        <v>Руль анатомический "Ferrum" Exclusive с обогревом (вставки из алькантары) для Лада Веста, Ларгус FL, XRAY</v>
      </c>
      <c r="B174" s="178">
        <v>341441</v>
      </c>
      <c r="C174" s="179">
        <f>VLOOKUP($B174,'Выгр Торг'!$B:$Q,C$1,0)</f>
        <v>341441</v>
      </c>
      <c r="D174" s="189" t="s">
        <v>135</v>
      </c>
      <c r="E174" s="176" t="str">
        <f>VLOOKUP($B174,'Выгр Торг'!$B:$Q,E$1,0)</f>
        <v>Руль анатомический "Ferrum" Exclusive с обогревом (вставки из алькантары) для Лада Веста, Ларгус FL, XRAY (Чёрная нить, Чёрный мат)</v>
      </c>
      <c r="F174" s="179" t="str">
        <f>VLOOKUP($B174,'Выгр Торг'!$B:$Q,F$1,0)</f>
        <v>Y</v>
      </c>
      <c r="G174" s="179" t="str">
        <f>VLOOKUP($B174,'Выгр Торг'!$B:$Q,G$1,0)</f>
        <v>1</v>
      </c>
      <c r="H174" s="177">
        <v>166610</v>
      </c>
      <c r="I174" s="156"/>
      <c r="J174" s="160">
        <v>830</v>
      </c>
      <c r="K174" s="161">
        <v>0</v>
      </c>
      <c r="L174" s="180">
        <f>M174-1000</f>
        <v>49680</v>
      </c>
      <c r="M174" s="180">
        <f t="shared" ref="M174:M198" si="138">INDEX($M:$M,MATCH($H174,$C:$C,0))+$K174+$J174</f>
        <v>50680</v>
      </c>
      <c r="N174" s="180">
        <f t="shared" ref="N174:N198" si="139">INDEX($N:$N,MATCH($H174,$C:$C,0))+$K174+$J174</f>
        <v>43680</v>
      </c>
      <c r="O174" s="107">
        <f>M174/L174</f>
        <v>1.0201288244766507</v>
      </c>
      <c r="P174" s="132">
        <f t="shared" si="104"/>
        <v>1.1499999999999999</v>
      </c>
      <c r="Q174" s="180">
        <f t="shared" ref="Q174:Q198" si="140">INDEX($Q:$Q,MATCH($H174,$C:$C,0))+($K174+$J174)*INDEX($P:$P,MATCH($H174,$C:$C,0))*100/93</f>
        <v>61432.258064516122</v>
      </c>
      <c r="R174" s="144">
        <f>IF(Q174&lt;=1000,(ROUNDUP(Q174,-2)-1),(ROUNDUP(Q174,-2)-10))</f>
        <v>61490</v>
      </c>
      <c r="S174" s="179">
        <f>VLOOKUP($B174,'Выгр Торг'!$B:$Q,S$1,0)</f>
        <v>49680</v>
      </c>
      <c r="T174" s="179">
        <f>VLOOKUP($B174,'Выгр Торг'!$B:$Q,T$1,0)</f>
        <v>61490</v>
      </c>
      <c r="U174" s="94">
        <f t="shared" si="105"/>
        <v>0</v>
      </c>
      <c r="V174" s="94">
        <f t="shared" si="106"/>
        <v>0</v>
      </c>
      <c r="W174" s="182">
        <f>R174*(1-$W$2)</f>
        <v>57185.7</v>
      </c>
      <c r="X174" s="218">
        <f>IFERROR(VLOOKUP($B174,'Из ГУГЛа'!$B:$G,6,0)*Z174+Y174,VLOOKUP($B174,'Из ГУГЛа'!$B:$G,6,0))</f>
        <v>52220</v>
      </c>
      <c r="Y174" s="220">
        <f t="shared" ref="Y174:Y198" si="141">INDEX($Y:$Y,MATCH($H174,$C:$C,0))+J174+K174</f>
        <v>9930</v>
      </c>
      <c r="Z174" s="133">
        <v>1</v>
      </c>
      <c r="AA174" s="133">
        <v>1300</v>
      </c>
      <c r="AB174" s="184">
        <f>IFERROR(W174/L174-1,"")</f>
        <v>0.15108091787439615</v>
      </c>
      <c r="AC174" s="184">
        <f>IFERROR((AE174-W174)/AE174,"")</f>
        <v>-9.5091918805055478E-2</v>
      </c>
      <c r="AD174" s="184">
        <f>IFERROR(IF(AE174="","",AE174/L174-1),"")</f>
        <v>5.1127214170692437E-2</v>
      </c>
      <c r="AE174" s="222">
        <v>52220</v>
      </c>
      <c r="AF174" s="98" t="s">
        <v>623</v>
      </c>
      <c r="AH174" s="98" t="s">
        <v>135</v>
      </c>
    </row>
    <row r="175" spans="1:34" ht="61.5" thickTop="1" thickBot="1">
      <c r="A175" s="125" t="str">
        <f>INDEX('Выгр Торг'!$A:$A,MATCH($B175,'Выгр Торг'!$B:$B,0))</f>
        <v>Руль анатомический "Ferrum" Exclusive с обогревом (вставки из алькантары) для Лада Веста, Ларгус FL, XRAY</v>
      </c>
      <c r="B175" s="126">
        <v>341440</v>
      </c>
      <c r="C175" s="127">
        <f>VLOOKUP($B175,'Выгр Торг'!$B:$Q,C$1,0)</f>
        <v>341440</v>
      </c>
      <c r="D175" s="128" t="s">
        <v>135</v>
      </c>
      <c r="E175" s="125" t="str">
        <f>VLOOKUP($B175,'Выгр Торг'!$B:$Q,E$1,0)</f>
        <v>Руль анатомический "Ferrum" Exclusive с обогревом (вставки из алькантары) для Лада Веста, Ларгус FL, XRAY (Белая нить, Чёрный мат)</v>
      </c>
      <c r="F175" s="127" t="str">
        <f>VLOOKUP($B175,'Выгр Торг'!$B:$Q,F$1,0)</f>
        <v>Y</v>
      </c>
      <c r="G175" s="127" t="str">
        <f>VLOOKUP($B175,'Выгр Торг'!$B:$Q,G$1,0)</f>
        <v>1</v>
      </c>
      <c r="H175" s="40">
        <v>166610</v>
      </c>
      <c r="I175" s="156"/>
      <c r="J175" s="160">
        <v>830</v>
      </c>
      <c r="K175" s="161">
        <v>870</v>
      </c>
      <c r="L175" s="130">
        <f t="shared" si="136"/>
        <v>50550</v>
      </c>
      <c r="M175" s="130">
        <f t="shared" si="138"/>
        <v>51550</v>
      </c>
      <c r="N175" s="130">
        <f t="shared" si="139"/>
        <v>44550</v>
      </c>
      <c r="O175" s="132">
        <f t="shared" si="54"/>
        <v>1.019782393669634</v>
      </c>
      <c r="P175" s="132">
        <f t="shared" si="104"/>
        <v>1.1499999999999999</v>
      </c>
      <c r="Q175" s="130">
        <f t="shared" si="140"/>
        <v>62508.064516129023</v>
      </c>
      <c r="R175" s="148">
        <f t="shared" si="56"/>
        <v>62590</v>
      </c>
      <c r="S175" s="127">
        <f>VLOOKUP($B175,'Выгр Торг'!$B:$Q,S$1,0)</f>
        <v>50550</v>
      </c>
      <c r="T175" s="127">
        <f>VLOOKUP($B175,'Выгр Торг'!$B:$Q,T$1,0)</f>
        <v>62590</v>
      </c>
      <c r="U175" s="94">
        <f t="shared" si="105"/>
        <v>0</v>
      </c>
      <c r="V175" s="94">
        <f t="shared" si="106"/>
        <v>0</v>
      </c>
      <c r="W175" s="153">
        <f t="shared" si="57"/>
        <v>58208.7</v>
      </c>
      <c r="X175" s="209">
        <f>IFERROR(VLOOKUP($B175,'Из ГУГЛа'!$B:$G,6,0)*Z175+Y175,VLOOKUP($B175,'Из ГУГЛа'!$B:$G,6,0))</f>
        <v>53090</v>
      </c>
      <c r="Y175" s="220">
        <f t="shared" si="141"/>
        <v>10800</v>
      </c>
      <c r="Z175" s="133">
        <v>1</v>
      </c>
      <c r="AA175" s="133">
        <v>1300</v>
      </c>
      <c r="AB175" s="135">
        <f t="shared" si="50"/>
        <v>0.15150741839762616</v>
      </c>
      <c r="AC175" s="135">
        <f t="shared" si="51"/>
        <v>-9.6415520813712505E-2</v>
      </c>
      <c r="AD175" s="135">
        <f t="shared" si="52"/>
        <v>5.0247279920870414E-2</v>
      </c>
      <c r="AE175" s="222">
        <v>53090</v>
      </c>
      <c r="AF175" s="98" t="s">
        <v>623</v>
      </c>
      <c r="AH175" s="98" t="s">
        <v>135</v>
      </c>
    </row>
    <row r="176" spans="1:34" ht="61.5" thickTop="1" thickBot="1">
      <c r="A176" s="176" t="str">
        <f>INDEX('Выгр Торг'!$A:$A,MATCH($B176,'Выгр Торг'!$B:$B,0))</f>
        <v>Руль анатомический "Ferrum" Exclusive с обогревом (вставки из алькантары) для Лада Веста, Ларгус FL, XRAY</v>
      </c>
      <c r="B176" s="178">
        <v>341452</v>
      </c>
      <c r="C176" s="179">
        <f>VLOOKUP($B176,'Выгр Торг'!$B:$Q,C$1,0)</f>
        <v>341452</v>
      </c>
      <c r="D176" s="189" t="s">
        <v>135</v>
      </c>
      <c r="E176" s="176" t="str">
        <f>VLOOKUP($B176,'Выгр Торг'!$B:$Q,E$1,0)</f>
        <v>Руль анатомический "Ferrum" Exclusive с обогревом (вставки из алькантары) для Лада Веста, Ларгус FL, XRAY (Жёлтая нить, Чёрный мат)</v>
      </c>
      <c r="F176" s="179" t="str">
        <f>VLOOKUP($B176,'Выгр Торг'!$B:$Q,F$1,0)</f>
        <v>Y</v>
      </c>
      <c r="G176" s="179" t="str">
        <f>VLOOKUP($B176,'Выгр Торг'!$B:$Q,G$1,0)</f>
        <v>1</v>
      </c>
      <c r="H176" s="177">
        <v>166610</v>
      </c>
      <c r="I176" s="156"/>
      <c r="J176" s="160">
        <v>830</v>
      </c>
      <c r="K176" s="161">
        <v>870</v>
      </c>
      <c r="L176" s="180">
        <f t="shared" ref="L176:L186" si="142">M176-1000</f>
        <v>50550</v>
      </c>
      <c r="M176" s="180">
        <f t="shared" si="138"/>
        <v>51550</v>
      </c>
      <c r="N176" s="180">
        <f t="shared" si="139"/>
        <v>44550</v>
      </c>
      <c r="O176" s="107">
        <f t="shared" ref="O176:O186" si="143">M176/L176</f>
        <v>1.019782393669634</v>
      </c>
      <c r="P176" s="132">
        <f t="shared" si="104"/>
        <v>1.1499999999999999</v>
      </c>
      <c r="Q176" s="180">
        <f t="shared" si="140"/>
        <v>62508.064516129023</v>
      </c>
      <c r="R176" s="144">
        <f t="shared" ref="R176:R186" si="144">IF(Q176&lt;=1000,(ROUNDUP(Q176,-2)-1),(ROUNDUP(Q176,-2)-10))</f>
        <v>62590</v>
      </c>
      <c r="S176" s="179">
        <f>VLOOKUP($B176,'Выгр Торг'!$B:$Q,S$1,0)</f>
        <v>50550</v>
      </c>
      <c r="T176" s="179">
        <f>VLOOKUP($B176,'Выгр Торг'!$B:$Q,T$1,0)</f>
        <v>62590</v>
      </c>
      <c r="U176" s="94">
        <f t="shared" si="105"/>
        <v>0</v>
      </c>
      <c r="V176" s="94">
        <f t="shared" si="106"/>
        <v>0</v>
      </c>
      <c r="W176" s="182">
        <f t="shared" ref="W176:W186" si="145">R176*(1-$W$2)</f>
        <v>58208.7</v>
      </c>
      <c r="X176" s="218">
        <f>IFERROR(VLOOKUP($B176,'Из ГУГЛа'!$B:$G,6,0)*Z176+Y176,VLOOKUP($B176,'Из ГУГЛа'!$B:$G,6,0))</f>
        <v>53090</v>
      </c>
      <c r="Y176" s="220">
        <f t="shared" si="141"/>
        <v>10800</v>
      </c>
      <c r="Z176" s="133">
        <v>1</v>
      </c>
      <c r="AA176" s="133">
        <v>1300</v>
      </c>
      <c r="AB176" s="184">
        <f t="shared" ref="AB176:AB186" si="146">IFERROR(W176/L176-1,"")</f>
        <v>0.15150741839762616</v>
      </c>
      <c r="AC176" s="184">
        <f t="shared" ref="AC176:AC186" si="147">IFERROR((AE176-W176)/AE176,"")</f>
        <v>-9.6415520813712505E-2</v>
      </c>
      <c r="AD176" s="184">
        <f t="shared" ref="AD176:AD186" si="148">IFERROR(IF(AE176="","",AE176/L176-1),"")</f>
        <v>5.0247279920870414E-2</v>
      </c>
      <c r="AE176" s="222">
        <v>53090</v>
      </c>
      <c r="AF176" s="98" t="s">
        <v>623</v>
      </c>
      <c r="AH176" s="98" t="s">
        <v>135</v>
      </c>
    </row>
    <row r="177" spans="1:34" ht="61.5" thickTop="1" thickBot="1">
      <c r="A177" s="176" t="str">
        <f>INDEX('Выгр Торг'!$A:$A,MATCH($B177,'Выгр Торг'!$B:$B,0))</f>
        <v>Руль анатомический "Ferrum" Exclusive с обогревом (вставки из алькантары) для Лада Веста, Ларгус FL, XRAY</v>
      </c>
      <c r="B177" s="178">
        <v>341451</v>
      </c>
      <c r="C177" s="179">
        <f>VLOOKUP($B177,'Выгр Торг'!$B:$Q,C$1,0)</f>
        <v>341451</v>
      </c>
      <c r="D177" s="189" t="s">
        <v>135</v>
      </c>
      <c r="E177" s="176" t="str">
        <f>VLOOKUP($B177,'Выгр Торг'!$B:$Q,E$1,0)</f>
        <v>Руль анатомический "Ferrum" Exclusive с обогревом (вставки из алькантары) для Лада Веста, Ларгус FL, XRAY (Зелёная нить, Чёрный мат)</v>
      </c>
      <c r="F177" s="179" t="str">
        <f>VLOOKUP($B177,'Выгр Торг'!$B:$Q,F$1,0)</f>
        <v>Y</v>
      </c>
      <c r="G177" s="179" t="str">
        <f>VLOOKUP($B177,'Выгр Торг'!$B:$Q,G$1,0)</f>
        <v>1</v>
      </c>
      <c r="H177" s="177">
        <v>166610</v>
      </c>
      <c r="I177" s="156"/>
      <c r="J177" s="160">
        <v>830</v>
      </c>
      <c r="K177" s="161">
        <v>870</v>
      </c>
      <c r="L177" s="180">
        <f t="shared" si="142"/>
        <v>50550</v>
      </c>
      <c r="M177" s="180">
        <f t="shared" si="138"/>
        <v>51550</v>
      </c>
      <c r="N177" s="180">
        <f t="shared" si="139"/>
        <v>44550</v>
      </c>
      <c r="O177" s="107">
        <f t="shared" si="143"/>
        <v>1.019782393669634</v>
      </c>
      <c r="P177" s="132">
        <f t="shared" si="104"/>
        <v>1.1499999999999999</v>
      </c>
      <c r="Q177" s="180">
        <f t="shared" si="140"/>
        <v>62508.064516129023</v>
      </c>
      <c r="R177" s="144">
        <f t="shared" si="144"/>
        <v>62590</v>
      </c>
      <c r="S177" s="179">
        <f>VLOOKUP($B177,'Выгр Торг'!$B:$Q,S$1,0)</f>
        <v>50550</v>
      </c>
      <c r="T177" s="179">
        <f>VLOOKUP($B177,'Выгр Торг'!$B:$Q,T$1,0)</f>
        <v>62590</v>
      </c>
      <c r="U177" s="94">
        <f t="shared" si="105"/>
        <v>0</v>
      </c>
      <c r="V177" s="94">
        <f t="shared" si="106"/>
        <v>0</v>
      </c>
      <c r="W177" s="182">
        <f t="shared" si="145"/>
        <v>58208.7</v>
      </c>
      <c r="X177" s="218">
        <f>IFERROR(VLOOKUP($B177,'Из ГУГЛа'!$B:$G,6,0)*Z177+Y177,VLOOKUP($B177,'Из ГУГЛа'!$B:$G,6,0))</f>
        <v>53090</v>
      </c>
      <c r="Y177" s="220">
        <f t="shared" si="141"/>
        <v>10800</v>
      </c>
      <c r="Z177" s="133">
        <v>1</v>
      </c>
      <c r="AA177" s="133">
        <v>1300</v>
      </c>
      <c r="AB177" s="184">
        <f t="shared" si="146"/>
        <v>0.15150741839762616</v>
      </c>
      <c r="AC177" s="184">
        <f t="shared" si="147"/>
        <v>-9.6415520813712505E-2</v>
      </c>
      <c r="AD177" s="184">
        <f t="shared" si="148"/>
        <v>5.0247279920870414E-2</v>
      </c>
      <c r="AE177" s="222">
        <v>53090</v>
      </c>
      <c r="AF177" s="98" t="s">
        <v>623</v>
      </c>
      <c r="AH177" s="98" t="s">
        <v>135</v>
      </c>
    </row>
    <row r="178" spans="1:34" ht="61.5" thickTop="1" thickBot="1">
      <c r="A178" s="176" t="str">
        <f>INDEX('Выгр Торг'!$A:$A,MATCH($B178,'Выгр Торг'!$B:$B,0))</f>
        <v>Руль анатомический "Ferrum" Exclusive с обогревом (вставки из алькантары) для Лада Веста, Ларгус FL, XRAY</v>
      </c>
      <c r="B178" s="178">
        <v>341443</v>
      </c>
      <c r="C178" s="179">
        <f>VLOOKUP($B178,'Выгр Торг'!$B:$Q,C$1,0)</f>
        <v>341443</v>
      </c>
      <c r="D178" s="189" t="s">
        <v>135</v>
      </c>
      <c r="E178" s="176" t="str">
        <f>VLOOKUP($B178,'Выгр Торг'!$B:$Q,E$1,0)</f>
        <v>Руль анатомический "Ferrum" Exclusive с обогревом (вставки из алькантары) для Лада Веста, Ларгус FL, XRAY (Коричневая нить, Чёрный мат)</v>
      </c>
      <c r="F178" s="179" t="str">
        <f>VLOOKUP($B178,'Выгр Торг'!$B:$Q,F$1,0)</f>
        <v>Y</v>
      </c>
      <c r="G178" s="179" t="str">
        <f>VLOOKUP($B178,'Выгр Торг'!$B:$Q,G$1,0)</f>
        <v>1</v>
      </c>
      <c r="H178" s="177">
        <v>166610</v>
      </c>
      <c r="I178" s="156"/>
      <c r="J178" s="160">
        <v>830</v>
      </c>
      <c r="K178" s="161">
        <v>870</v>
      </c>
      <c r="L178" s="180">
        <f t="shared" si="142"/>
        <v>50550</v>
      </c>
      <c r="M178" s="180">
        <f t="shared" si="138"/>
        <v>51550</v>
      </c>
      <c r="N178" s="180">
        <f t="shared" si="139"/>
        <v>44550</v>
      </c>
      <c r="O178" s="107">
        <f t="shared" si="143"/>
        <v>1.019782393669634</v>
      </c>
      <c r="P178" s="132">
        <f t="shared" si="104"/>
        <v>1.1499999999999999</v>
      </c>
      <c r="Q178" s="180">
        <f t="shared" si="140"/>
        <v>62508.064516129023</v>
      </c>
      <c r="R178" s="144">
        <f t="shared" si="144"/>
        <v>62590</v>
      </c>
      <c r="S178" s="179">
        <f>VLOOKUP($B178,'Выгр Торг'!$B:$Q,S$1,0)</f>
        <v>50550</v>
      </c>
      <c r="T178" s="179">
        <f>VLOOKUP($B178,'Выгр Торг'!$B:$Q,T$1,0)</f>
        <v>62590</v>
      </c>
      <c r="U178" s="94">
        <f t="shared" si="105"/>
        <v>0</v>
      </c>
      <c r="V178" s="94">
        <f t="shared" si="106"/>
        <v>0</v>
      </c>
      <c r="W178" s="182">
        <f t="shared" si="145"/>
        <v>58208.7</v>
      </c>
      <c r="X178" s="218">
        <f>IFERROR(VLOOKUP($B178,'Из ГУГЛа'!$B:$G,6,0)*Z178+Y178,VLOOKUP($B178,'Из ГУГЛа'!$B:$G,6,0))</f>
        <v>53090</v>
      </c>
      <c r="Y178" s="220">
        <f t="shared" si="141"/>
        <v>10800</v>
      </c>
      <c r="Z178" s="133">
        <v>1</v>
      </c>
      <c r="AA178" s="133">
        <v>1300</v>
      </c>
      <c r="AB178" s="184">
        <f t="shared" si="146"/>
        <v>0.15150741839762616</v>
      </c>
      <c r="AC178" s="184">
        <f t="shared" si="147"/>
        <v>-9.6415520813712505E-2</v>
      </c>
      <c r="AD178" s="184">
        <f t="shared" si="148"/>
        <v>5.0247279920870414E-2</v>
      </c>
      <c r="AE178" s="222">
        <v>53090</v>
      </c>
      <c r="AF178" s="98" t="s">
        <v>623</v>
      </c>
      <c r="AH178" s="98" t="s">
        <v>135</v>
      </c>
    </row>
    <row r="179" spans="1:34" ht="61.5" thickTop="1" thickBot="1">
      <c r="A179" s="176" t="str">
        <f>INDEX('Выгр Торг'!$A:$A,MATCH($B179,'Выгр Торг'!$B:$B,0))</f>
        <v>Руль анатомический "Ferrum" Exclusive с обогревом (вставки из алькантары) для Лада Веста, Ларгус FL, XRAY</v>
      </c>
      <c r="B179" s="178">
        <v>341444</v>
      </c>
      <c r="C179" s="179">
        <f>VLOOKUP($B179,'Выгр Торг'!$B:$Q,C$1,0)</f>
        <v>341444</v>
      </c>
      <c r="D179" s="189" t="s">
        <v>135</v>
      </c>
      <c r="E179" s="176" t="str">
        <f>VLOOKUP($B179,'Выгр Торг'!$B:$Q,E$1,0)</f>
        <v>Руль анатомический "Ferrum" Exclusive с обогревом (вставки из алькантары) для Лада Веста, Ларгус FL, XRAY (Красная нить, Чёрный мат)</v>
      </c>
      <c r="F179" s="179" t="str">
        <f>VLOOKUP($B179,'Выгр Торг'!$B:$Q,F$1,0)</f>
        <v>Y</v>
      </c>
      <c r="G179" s="179" t="str">
        <f>VLOOKUP($B179,'Выгр Торг'!$B:$Q,G$1,0)</f>
        <v>1</v>
      </c>
      <c r="H179" s="177">
        <v>166610</v>
      </c>
      <c r="I179" s="156"/>
      <c r="J179" s="160">
        <v>830</v>
      </c>
      <c r="K179" s="161">
        <v>870</v>
      </c>
      <c r="L179" s="180">
        <f t="shared" si="142"/>
        <v>50550</v>
      </c>
      <c r="M179" s="180">
        <f t="shared" si="138"/>
        <v>51550</v>
      </c>
      <c r="N179" s="180">
        <f t="shared" si="139"/>
        <v>44550</v>
      </c>
      <c r="O179" s="107">
        <f t="shared" si="143"/>
        <v>1.019782393669634</v>
      </c>
      <c r="P179" s="132">
        <f t="shared" si="104"/>
        <v>1.1499999999999999</v>
      </c>
      <c r="Q179" s="180">
        <f t="shared" si="140"/>
        <v>62508.064516129023</v>
      </c>
      <c r="R179" s="144">
        <f t="shared" si="144"/>
        <v>62590</v>
      </c>
      <c r="S179" s="179">
        <f>VLOOKUP($B179,'Выгр Торг'!$B:$Q,S$1,0)</f>
        <v>50550</v>
      </c>
      <c r="T179" s="179">
        <f>VLOOKUP($B179,'Выгр Торг'!$B:$Q,T$1,0)</f>
        <v>62590</v>
      </c>
      <c r="U179" s="94">
        <f t="shared" si="105"/>
        <v>0</v>
      </c>
      <c r="V179" s="94">
        <f t="shared" si="106"/>
        <v>0</v>
      </c>
      <c r="W179" s="182">
        <f t="shared" si="145"/>
        <v>58208.7</v>
      </c>
      <c r="X179" s="218">
        <f>IFERROR(VLOOKUP($B179,'Из ГУГЛа'!$B:$G,6,0)*Z179+Y179,VLOOKUP($B179,'Из ГУГЛа'!$B:$G,6,0))</f>
        <v>53090</v>
      </c>
      <c r="Y179" s="220">
        <f t="shared" si="141"/>
        <v>10800</v>
      </c>
      <c r="Z179" s="133">
        <v>1</v>
      </c>
      <c r="AA179" s="133">
        <v>1300</v>
      </c>
      <c r="AB179" s="184">
        <f t="shared" si="146"/>
        <v>0.15150741839762616</v>
      </c>
      <c r="AC179" s="184">
        <f t="shared" si="147"/>
        <v>-9.6415520813712505E-2</v>
      </c>
      <c r="AD179" s="184">
        <f t="shared" si="148"/>
        <v>5.0247279920870414E-2</v>
      </c>
      <c r="AE179" s="222">
        <v>53090</v>
      </c>
      <c r="AF179" s="98" t="s">
        <v>623</v>
      </c>
      <c r="AH179" s="98" t="s">
        <v>135</v>
      </c>
    </row>
    <row r="180" spans="1:34" ht="61.5" thickTop="1" thickBot="1">
      <c r="A180" s="176" t="str">
        <f>INDEX('Выгр Торг'!$A:$A,MATCH($B180,'Выгр Торг'!$B:$B,0))</f>
        <v>Руль анатомический "Ferrum" Exclusive с обогревом (вставки из алькантары) для Лада Веста, Ларгус FL, XRAY</v>
      </c>
      <c r="B180" s="178">
        <v>341445</v>
      </c>
      <c r="C180" s="179">
        <f>VLOOKUP($B180,'Выгр Торг'!$B:$Q,C$1,0)</f>
        <v>341445</v>
      </c>
      <c r="D180" s="189" t="s">
        <v>135</v>
      </c>
      <c r="E180" s="176" t="str">
        <f>VLOOKUP($B180,'Выгр Торг'!$B:$Q,E$1,0)</f>
        <v>Руль анатомический "Ferrum" Exclusive с обогревом (вставки из алькантары) для Лада Веста, Ларгус FL, XRAY (Оранжевая нить, Чёрный мат)</v>
      </c>
      <c r="F180" s="179" t="str">
        <f>VLOOKUP($B180,'Выгр Торг'!$B:$Q,F$1,0)</f>
        <v>Y</v>
      </c>
      <c r="G180" s="179" t="str">
        <f>VLOOKUP($B180,'Выгр Торг'!$B:$Q,G$1,0)</f>
        <v>1</v>
      </c>
      <c r="H180" s="177">
        <v>166610</v>
      </c>
      <c r="I180" s="156"/>
      <c r="J180" s="160">
        <v>830</v>
      </c>
      <c r="K180" s="161">
        <v>870</v>
      </c>
      <c r="L180" s="180">
        <f t="shared" si="142"/>
        <v>50550</v>
      </c>
      <c r="M180" s="180">
        <f t="shared" si="138"/>
        <v>51550</v>
      </c>
      <c r="N180" s="180">
        <f t="shared" si="139"/>
        <v>44550</v>
      </c>
      <c r="O180" s="107">
        <f t="shared" si="143"/>
        <v>1.019782393669634</v>
      </c>
      <c r="P180" s="132">
        <f t="shared" si="104"/>
        <v>1.1499999999999999</v>
      </c>
      <c r="Q180" s="180">
        <f t="shared" si="140"/>
        <v>62508.064516129023</v>
      </c>
      <c r="R180" s="144">
        <f t="shared" si="144"/>
        <v>62590</v>
      </c>
      <c r="S180" s="179">
        <f>VLOOKUP($B180,'Выгр Торг'!$B:$Q,S$1,0)</f>
        <v>50550</v>
      </c>
      <c r="T180" s="179">
        <f>VLOOKUP($B180,'Выгр Торг'!$B:$Q,T$1,0)</f>
        <v>62590</v>
      </c>
      <c r="U180" s="94">
        <f t="shared" si="105"/>
        <v>0</v>
      </c>
      <c r="V180" s="94">
        <f t="shared" si="106"/>
        <v>0</v>
      </c>
      <c r="W180" s="182">
        <f t="shared" si="145"/>
        <v>58208.7</v>
      </c>
      <c r="X180" s="218">
        <f>IFERROR(VLOOKUP($B180,'Из ГУГЛа'!$B:$G,6,0)*Z180+Y180,VLOOKUP($B180,'Из ГУГЛа'!$B:$G,6,0))</f>
        <v>53090</v>
      </c>
      <c r="Y180" s="220">
        <f t="shared" si="141"/>
        <v>10800</v>
      </c>
      <c r="Z180" s="133">
        <v>1</v>
      </c>
      <c r="AA180" s="133">
        <v>1300</v>
      </c>
      <c r="AB180" s="184">
        <f t="shared" si="146"/>
        <v>0.15150741839762616</v>
      </c>
      <c r="AC180" s="184">
        <f t="shared" si="147"/>
        <v>-9.6415520813712505E-2</v>
      </c>
      <c r="AD180" s="184">
        <f t="shared" si="148"/>
        <v>5.0247279920870414E-2</v>
      </c>
      <c r="AE180" s="222">
        <v>53090</v>
      </c>
      <c r="AF180" s="98" t="s">
        <v>623</v>
      </c>
      <c r="AH180" s="98" t="s">
        <v>135</v>
      </c>
    </row>
    <row r="181" spans="1:34" ht="61.5" thickTop="1" thickBot="1">
      <c r="A181" s="176" t="str">
        <f>INDEX('Выгр Торг'!$A:$A,MATCH($B181,'Выгр Торг'!$B:$B,0))</f>
        <v>Руль анатомический "Ferrum" Exclusive с обогревом (вставки из алькантары) для Лада Веста, Ларгус FL, XRAY</v>
      </c>
      <c r="B181" s="178">
        <v>341446</v>
      </c>
      <c r="C181" s="179">
        <f>VLOOKUP($B181,'Выгр Торг'!$B:$Q,C$1,0)</f>
        <v>341446</v>
      </c>
      <c r="D181" s="189" t="s">
        <v>135</v>
      </c>
      <c r="E181" s="176" t="str">
        <f>VLOOKUP($B181,'Выгр Торг'!$B:$Q,E$1,0)</f>
        <v>Руль анатомический "Ferrum" Exclusive с обогревом (вставки из алькантары) для Лада Веста, Ларгус FL, XRAY (Салатовая нить, Чёрный мат)</v>
      </c>
      <c r="F181" s="179" t="str">
        <f>VLOOKUP($B181,'Выгр Торг'!$B:$Q,F$1,0)</f>
        <v>Y</v>
      </c>
      <c r="G181" s="179" t="str">
        <f>VLOOKUP($B181,'Выгр Торг'!$B:$Q,G$1,0)</f>
        <v>1</v>
      </c>
      <c r="H181" s="177">
        <v>166610</v>
      </c>
      <c r="I181" s="156"/>
      <c r="J181" s="160">
        <v>830</v>
      </c>
      <c r="K181" s="161">
        <v>870</v>
      </c>
      <c r="L181" s="180">
        <f t="shared" si="142"/>
        <v>50550</v>
      </c>
      <c r="M181" s="180">
        <f t="shared" si="138"/>
        <v>51550</v>
      </c>
      <c r="N181" s="180">
        <f t="shared" si="139"/>
        <v>44550</v>
      </c>
      <c r="O181" s="107">
        <f t="shared" si="143"/>
        <v>1.019782393669634</v>
      </c>
      <c r="P181" s="132">
        <f t="shared" si="104"/>
        <v>1.1499999999999999</v>
      </c>
      <c r="Q181" s="180">
        <f t="shared" si="140"/>
        <v>62508.064516129023</v>
      </c>
      <c r="R181" s="144">
        <f t="shared" si="144"/>
        <v>62590</v>
      </c>
      <c r="S181" s="179">
        <f>VLOOKUP($B181,'Выгр Торг'!$B:$Q,S$1,0)</f>
        <v>50550</v>
      </c>
      <c r="T181" s="179">
        <f>VLOOKUP($B181,'Выгр Торг'!$B:$Q,T$1,0)</f>
        <v>62590</v>
      </c>
      <c r="U181" s="94">
        <f t="shared" si="105"/>
        <v>0</v>
      </c>
      <c r="V181" s="94">
        <f t="shared" si="106"/>
        <v>0</v>
      </c>
      <c r="W181" s="182">
        <f t="shared" si="145"/>
        <v>58208.7</v>
      </c>
      <c r="X181" s="218">
        <f>IFERROR(VLOOKUP($B181,'Из ГУГЛа'!$B:$G,6,0)*Z181+Y181,VLOOKUP($B181,'Из ГУГЛа'!$B:$G,6,0))</f>
        <v>53090</v>
      </c>
      <c r="Y181" s="220">
        <f t="shared" si="141"/>
        <v>10800</v>
      </c>
      <c r="Z181" s="133">
        <v>1</v>
      </c>
      <c r="AA181" s="133">
        <v>1300</v>
      </c>
      <c r="AB181" s="184">
        <f t="shared" si="146"/>
        <v>0.15150741839762616</v>
      </c>
      <c r="AC181" s="184">
        <f t="shared" si="147"/>
        <v>-9.6415520813712505E-2</v>
      </c>
      <c r="AD181" s="184">
        <f t="shared" si="148"/>
        <v>5.0247279920870414E-2</v>
      </c>
      <c r="AE181" s="222">
        <v>53090</v>
      </c>
      <c r="AF181" s="98" t="s">
        <v>623</v>
      </c>
      <c r="AH181" s="98" t="s">
        <v>135</v>
      </c>
    </row>
    <row r="182" spans="1:34" ht="61.5" thickTop="1" thickBot="1">
      <c r="A182" s="176" t="str">
        <f>INDEX('Выгр Торг'!$A:$A,MATCH($B182,'Выгр Торг'!$B:$B,0))</f>
        <v>Руль анатомический "Ferrum" Exclusive с обогревом (вставки из алькантары) для Лада Веста, Ларгус FL, XRAY</v>
      </c>
      <c r="B182" s="178">
        <v>341449</v>
      </c>
      <c r="C182" s="179">
        <f>VLOOKUP($B182,'Выгр Торг'!$B:$Q,C$1,0)</f>
        <v>341449</v>
      </c>
      <c r="D182" s="189" t="s">
        <v>135</v>
      </c>
      <c r="E182" s="176" t="str">
        <f>VLOOKUP($B182,'Выгр Торг'!$B:$Q,E$1,0)</f>
        <v>Руль анатомический "Ferrum" Exclusive с обогревом (вставки из алькантары) для Лада Веста, Ларгус FL, XRAY (Светло-серая нить, Чёрный мат)</v>
      </c>
      <c r="F182" s="179" t="str">
        <f>VLOOKUP($B182,'Выгр Торг'!$B:$Q,F$1,0)</f>
        <v>Y</v>
      </c>
      <c r="G182" s="179" t="str">
        <f>VLOOKUP($B182,'Выгр Торг'!$B:$Q,G$1,0)</f>
        <v>1</v>
      </c>
      <c r="H182" s="177">
        <v>166610</v>
      </c>
      <c r="I182" s="156"/>
      <c r="J182" s="160">
        <v>830</v>
      </c>
      <c r="K182" s="161">
        <v>870</v>
      </c>
      <c r="L182" s="180">
        <f t="shared" si="142"/>
        <v>50550</v>
      </c>
      <c r="M182" s="180">
        <f t="shared" si="138"/>
        <v>51550</v>
      </c>
      <c r="N182" s="180">
        <f t="shared" si="139"/>
        <v>44550</v>
      </c>
      <c r="O182" s="107">
        <f t="shared" si="143"/>
        <v>1.019782393669634</v>
      </c>
      <c r="P182" s="132">
        <f t="shared" si="104"/>
        <v>1.1499999999999999</v>
      </c>
      <c r="Q182" s="180">
        <f t="shared" si="140"/>
        <v>62508.064516129023</v>
      </c>
      <c r="R182" s="144">
        <f t="shared" si="144"/>
        <v>62590</v>
      </c>
      <c r="S182" s="179">
        <f>VLOOKUP($B182,'Выгр Торг'!$B:$Q,S$1,0)</f>
        <v>50550</v>
      </c>
      <c r="T182" s="179">
        <f>VLOOKUP($B182,'Выгр Торг'!$B:$Q,T$1,0)</f>
        <v>62590</v>
      </c>
      <c r="U182" s="94">
        <f t="shared" si="105"/>
        <v>0</v>
      </c>
      <c r="V182" s="94">
        <f t="shared" si="106"/>
        <v>0</v>
      </c>
      <c r="W182" s="182">
        <f t="shared" si="145"/>
        <v>58208.7</v>
      </c>
      <c r="X182" s="218">
        <f>IFERROR(VLOOKUP($B182,'Из ГУГЛа'!$B:$G,6,0)*Z182+Y182,VLOOKUP($B182,'Из ГУГЛа'!$B:$G,6,0))</f>
        <v>53090</v>
      </c>
      <c r="Y182" s="220">
        <f t="shared" si="141"/>
        <v>10800</v>
      </c>
      <c r="Z182" s="133">
        <v>1</v>
      </c>
      <c r="AA182" s="133">
        <v>1300</v>
      </c>
      <c r="AB182" s="184">
        <f t="shared" si="146"/>
        <v>0.15150741839762616</v>
      </c>
      <c r="AC182" s="184">
        <f t="shared" si="147"/>
        <v>-9.6415520813712505E-2</v>
      </c>
      <c r="AD182" s="184">
        <f t="shared" si="148"/>
        <v>5.0247279920870414E-2</v>
      </c>
      <c r="AE182" s="222">
        <v>53090</v>
      </c>
      <c r="AF182" s="98" t="s">
        <v>623</v>
      </c>
      <c r="AH182" s="98" t="s">
        <v>135</v>
      </c>
    </row>
    <row r="183" spans="1:34" ht="61.5" thickTop="1" thickBot="1">
      <c r="A183" s="176" t="str">
        <f>INDEX('Выгр Торг'!$A:$A,MATCH($B183,'Выгр Торг'!$B:$B,0))</f>
        <v>Руль анатомический "Ferrum" Exclusive с обогревом (вставки из алькантары) для Лада Веста, Ларгус FL, XRAY</v>
      </c>
      <c r="B183" s="178">
        <v>341447</v>
      </c>
      <c r="C183" s="179">
        <f>VLOOKUP($B183,'Выгр Торг'!$B:$Q,C$1,0)</f>
        <v>341447</v>
      </c>
      <c r="D183" s="189" t="s">
        <v>135</v>
      </c>
      <c r="E183" s="176" t="str">
        <f>VLOOKUP($B183,'Выгр Торг'!$B:$Q,E$1,0)</f>
        <v>Руль анатомический "Ferrum" Exclusive с обогревом (вставки из алькантары) для Лада Веста, Ларгус FL, XRAY (Сине-зелёная нить, Чёрный мат)</v>
      </c>
      <c r="F183" s="179" t="str">
        <f>VLOOKUP($B183,'Выгр Торг'!$B:$Q,F$1,0)</f>
        <v>Y</v>
      </c>
      <c r="G183" s="179" t="str">
        <f>VLOOKUP($B183,'Выгр Торг'!$B:$Q,G$1,0)</f>
        <v>1</v>
      </c>
      <c r="H183" s="177">
        <v>166610</v>
      </c>
      <c r="I183" s="156"/>
      <c r="J183" s="160">
        <v>830</v>
      </c>
      <c r="K183" s="161">
        <v>870</v>
      </c>
      <c r="L183" s="180">
        <f t="shared" si="142"/>
        <v>50550</v>
      </c>
      <c r="M183" s="180">
        <f t="shared" si="138"/>
        <v>51550</v>
      </c>
      <c r="N183" s="180">
        <f t="shared" si="139"/>
        <v>44550</v>
      </c>
      <c r="O183" s="107">
        <f t="shared" si="143"/>
        <v>1.019782393669634</v>
      </c>
      <c r="P183" s="132">
        <f t="shared" si="104"/>
        <v>1.1499999999999999</v>
      </c>
      <c r="Q183" s="180">
        <f t="shared" si="140"/>
        <v>62508.064516129023</v>
      </c>
      <c r="R183" s="144">
        <f t="shared" si="144"/>
        <v>62590</v>
      </c>
      <c r="S183" s="179">
        <f>VLOOKUP($B183,'Выгр Торг'!$B:$Q,S$1,0)</f>
        <v>50550</v>
      </c>
      <c r="T183" s="179">
        <f>VLOOKUP($B183,'Выгр Торг'!$B:$Q,T$1,0)</f>
        <v>62590</v>
      </c>
      <c r="U183" s="94">
        <f t="shared" si="105"/>
        <v>0</v>
      </c>
      <c r="V183" s="94">
        <f t="shared" si="106"/>
        <v>0</v>
      </c>
      <c r="W183" s="182">
        <f t="shared" si="145"/>
        <v>58208.7</v>
      </c>
      <c r="X183" s="218">
        <f>IFERROR(VLOOKUP($B183,'Из ГУГЛа'!$B:$G,6,0)*Z183+Y183,VLOOKUP($B183,'Из ГУГЛа'!$B:$G,6,0))</f>
        <v>53090</v>
      </c>
      <c r="Y183" s="220">
        <f t="shared" si="141"/>
        <v>10800</v>
      </c>
      <c r="Z183" s="133">
        <v>1</v>
      </c>
      <c r="AA183" s="133">
        <v>1300</v>
      </c>
      <c r="AB183" s="184">
        <f t="shared" si="146"/>
        <v>0.15150741839762616</v>
      </c>
      <c r="AC183" s="184">
        <f t="shared" si="147"/>
        <v>-9.6415520813712505E-2</v>
      </c>
      <c r="AD183" s="184">
        <f t="shared" si="148"/>
        <v>5.0247279920870414E-2</v>
      </c>
      <c r="AE183" s="222">
        <v>53090</v>
      </c>
      <c r="AF183" s="98" t="s">
        <v>623</v>
      </c>
      <c r="AH183" s="98" t="s">
        <v>135</v>
      </c>
    </row>
    <row r="184" spans="1:34" ht="61.5" thickTop="1" thickBot="1">
      <c r="A184" s="176" t="str">
        <f>INDEX('Выгр Торг'!$A:$A,MATCH($B184,'Выгр Торг'!$B:$B,0))</f>
        <v>Руль анатомический "Ferrum" Exclusive с обогревом (вставки из алькантары) для Лада Веста, Ларгус FL, XRAY</v>
      </c>
      <c r="B184" s="178">
        <v>341448</v>
      </c>
      <c r="C184" s="179">
        <f>VLOOKUP($B184,'Выгр Торг'!$B:$Q,C$1,0)</f>
        <v>341448</v>
      </c>
      <c r="D184" s="189" t="s">
        <v>135</v>
      </c>
      <c r="E184" s="176" t="str">
        <f>VLOOKUP($B184,'Выгр Торг'!$B:$Q,E$1,0)</f>
        <v>Руль анатомический "Ferrum" Exclusive с обогревом (вставки из алькантары) для Лада Веста, Ларгус FL, XRAY (Синяя нить, Чёрный мат)</v>
      </c>
      <c r="F184" s="179" t="str">
        <f>VLOOKUP($B184,'Выгр Торг'!$B:$Q,F$1,0)</f>
        <v>Y</v>
      </c>
      <c r="G184" s="179" t="str">
        <f>VLOOKUP($B184,'Выгр Торг'!$B:$Q,G$1,0)</f>
        <v>1</v>
      </c>
      <c r="H184" s="177">
        <v>166610</v>
      </c>
      <c r="I184" s="156"/>
      <c r="J184" s="160">
        <v>830</v>
      </c>
      <c r="K184" s="161">
        <v>870</v>
      </c>
      <c r="L184" s="180">
        <f t="shared" si="142"/>
        <v>50550</v>
      </c>
      <c r="M184" s="180">
        <f t="shared" si="138"/>
        <v>51550</v>
      </c>
      <c r="N184" s="180">
        <f t="shared" si="139"/>
        <v>44550</v>
      </c>
      <c r="O184" s="107">
        <f t="shared" si="143"/>
        <v>1.019782393669634</v>
      </c>
      <c r="P184" s="132">
        <f t="shared" si="104"/>
        <v>1.1499999999999999</v>
      </c>
      <c r="Q184" s="180">
        <f t="shared" si="140"/>
        <v>62508.064516129023</v>
      </c>
      <c r="R184" s="144">
        <f t="shared" si="144"/>
        <v>62590</v>
      </c>
      <c r="S184" s="179">
        <f>VLOOKUP($B184,'Выгр Торг'!$B:$Q,S$1,0)</f>
        <v>50550</v>
      </c>
      <c r="T184" s="179">
        <f>VLOOKUP($B184,'Выгр Торг'!$B:$Q,T$1,0)</f>
        <v>62590</v>
      </c>
      <c r="U184" s="94">
        <f t="shared" si="105"/>
        <v>0</v>
      </c>
      <c r="V184" s="94">
        <f t="shared" si="106"/>
        <v>0</v>
      </c>
      <c r="W184" s="182">
        <f t="shared" si="145"/>
        <v>58208.7</v>
      </c>
      <c r="X184" s="218">
        <f>IFERROR(VLOOKUP($B184,'Из ГУГЛа'!$B:$G,6,0)*Z184+Y184,VLOOKUP($B184,'Из ГУГЛа'!$B:$G,6,0))</f>
        <v>53090</v>
      </c>
      <c r="Y184" s="220">
        <f t="shared" si="141"/>
        <v>10800</v>
      </c>
      <c r="Z184" s="133">
        <v>1</v>
      </c>
      <c r="AA184" s="133">
        <v>1300</v>
      </c>
      <c r="AB184" s="184">
        <f t="shared" si="146"/>
        <v>0.15150741839762616</v>
      </c>
      <c r="AC184" s="184">
        <f t="shared" si="147"/>
        <v>-9.6415520813712505E-2</v>
      </c>
      <c r="AD184" s="184">
        <f t="shared" si="148"/>
        <v>5.0247279920870414E-2</v>
      </c>
      <c r="AE184" s="222">
        <v>53090</v>
      </c>
      <c r="AF184" s="98" t="s">
        <v>623</v>
      </c>
      <c r="AH184" s="98" t="s">
        <v>135</v>
      </c>
    </row>
    <row r="185" spans="1:34" ht="61.5" thickTop="1" thickBot="1">
      <c r="A185" s="176" t="str">
        <f>INDEX('Выгр Торг'!$A:$A,MATCH($B185,'Выгр Торг'!$B:$B,0))</f>
        <v>Руль анатомический "Ferrum" Exclusive с обогревом (вставки из алькантары) для Лада Веста, Ларгус FL, XRAY</v>
      </c>
      <c r="B185" s="178">
        <v>341450</v>
      </c>
      <c r="C185" s="179">
        <f>VLOOKUP($B185,'Выгр Торг'!$B:$Q,C$1,0)</f>
        <v>341450</v>
      </c>
      <c r="D185" s="189" t="s">
        <v>135</v>
      </c>
      <c r="E185" s="176" t="str">
        <f>VLOOKUP($B185,'Выгр Торг'!$B:$Q,E$1,0)</f>
        <v>Руль анатомический "Ferrum" Exclusive с обогревом (вставки из алькантары) для Лада Веста, Ларгус FL, XRAY (Тёмно-серая нить, Чёрный мат)</v>
      </c>
      <c r="F185" s="179" t="str">
        <f>VLOOKUP($B185,'Выгр Торг'!$B:$Q,F$1,0)</f>
        <v>Y</v>
      </c>
      <c r="G185" s="179" t="str">
        <f>VLOOKUP($B185,'Выгр Торг'!$B:$Q,G$1,0)</f>
        <v>1</v>
      </c>
      <c r="H185" s="177">
        <v>166610</v>
      </c>
      <c r="I185" s="156"/>
      <c r="J185" s="160">
        <v>830</v>
      </c>
      <c r="K185" s="161">
        <v>870</v>
      </c>
      <c r="L185" s="180">
        <f t="shared" si="142"/>
        <v>50550</v>
      </c>
      <c r="M185" s="180">
        <f t="shared" si="138"/>
        <v>51550</v>
      </c>
      <c r="N185" s="180">
        <f t="shared" si="139"/>
        <v>44550</v>
      </c>
      <c r="O185" s="107">
        <f t="shared" si="143"/>
        <v>1.019782393669634</v>
      </c>
      <c r="P185" s="132">
        <f t="shared" si="104"/>
        <v>1.1499999999999999</v>
      </c>
      <c r="Q185" s="180">
        <f t="shared" si="140"/>
        <v>62508.064516129023</v>
      </c>
      <c r="R185" s="144">
        <f t="shared" si="144"/>
        <v>62590</v>
      </c>
      <c r="S185" s="179">
        <f>VLOOKUP($B185,'Выгр Торг'!$B:$Q,S$1,0)</f>
        <v>50550</v>
      </c>
      <c r="T185" s="179">
        <f>VLOOKUP($B185,'Выгр Торг'!$B:$Q,T$1,0)</f>
        <v>62590</v>
      </c>
      <c r="U185" s="94">
        <f t="shared" si="105"/>
        <v>0</v>
      </c>
      <c r="V185" s="94">
        <f t="shared" si="106"/>
        <v>0</v>
      </c>
      <c r="W185" s="182">
        <f t="shared" si="145"/>
        <v>58208.7</v>
      </c>
      <c r="X185" s="218">
        <f>IFERROR(VLOOKUP($B185,'Из ГУГЛа'!$B:$G,6,0)*Z185+Y185,VLOOKUP($B185,'Из ГУГЛа'!$B:$G,6,0))</f>
        <v>53090</v>
      </c>
      <c r="Y185" s="220">
        <f t="shared" si="141"/>
        <v>10800</v>
      </c>
      <c r="Z185" s="133">
        <v>1</v>
      </c>
      <c r="AA185" s="133">
        <v>1300</v>
      </c>
      <c r="AB185" s="184">
        <f t="shared" si="146"/>
        <v>0.15150741839762616</v>
      </c>
      <c r="AC185" s="184">
        <f t="shared" si="147"/>
        <v>-9.6415520813712505E-2</v>
      </c>
      <c r="AD185" s="184">
        <f t="shared" si="148"/>
        <v>5.0247279920870414E-2</v>
      </c>
      <c r="AE185" s="222">
        <v>53090</v>
      </c>
      <c r="AF185" s="98" t="s">
        <v>623</v>
      </c>
      <c r="AH185" s="98" t="s">
        <v>135</v>
      </c>
    </row>
    <row r="186" spans="1:34" ht="61.5" thickTop="1" thickBot="1">
      <c r="A186" s="176" t="str">
        <f>INDEX('Выгр Торг'!$A:$A,MATCH($B186,'Выгр Торг'!$B:$B,0))</f>
        <v>Руль анатомический "Ferrum" Exclusive с обогревом (вставки из алькантары) для Лада Веста, Ларгус FL, XRAY</v>
      </c>
      <c r="B186" s="178">
        <v>341442</v>
      </c>
      <c r="C186" s="179">
        <f>VLOOKUP($B186,'Выгр Торг'!$B:$Q,C$1,0)</f>
        <v>341442</v>
      </c>
      <c r="D186" s="189" t="s">
        <v>135</v>
      </c>
      <c r="E186" s="176" t="str">
        <f>VLOOKUP($B186,'Выгр Торг'!$B:$Q,E$1,0)</f>
        <v>Руль анатомический "Ferrum" Exclusive с обогревом (вставки из алькантары) для Лада Веста, Ларгус FL, XRAY (Фиолетовая нить, Чёрный мат)</v>
      </c>
      <c r="F186" s="179" t="str">
        <f>VLOOKUP($B186,'Выгр Торг'!$B:$Q,F$1,0)</f>
        <v>Y</v>
      </c>
      <c r="G186" s="179" t="str">
        <f>VLOOKUP($B186,'Выгр Торг'!$B:$Q,G$1,0)</f>
        <v>1</v>
      </c>
      <c r="H186" s="177">
        <v>166610</v>
      </c>
      <c r="I186" s="156"/>
      <c r="J186" s="160">
        <v>830</v>
      </c>
      <c r="K186" s="161">
        <v>870</v>
      </c>
      <c r="L186" s="180">
        <f t="shared" si="142"/>
        <v>50550</v>
      </c>
      <c r="M186" s="180">
        <f t="shared" si="138"/>
        <v>51550</v>
      </c>
      <c r="N186" s="180">
        <f t="shared" si="139"/>
        <v>44550</v>
      </c>
      <c r="O186" s="107">
        <f t="shared" si="143"/>
        <v>1.019782393669634</v>
      </c>
      <c r="P186" s="132">
        <f t="shared" si="104"/>
        <v>1.1499999999999999</v>
      </c>
      <c r="Q186" s="180">
        <f t="shared" si="140"/>
        <v>62508.064516129023</v>
      </c>
      <c r="R186" s="144">
        <f t="shared" si="144"/>
        <v>62590</v>
      </c>
      <c r="S186" s="179">
        <f>VLOOKUP($B186,'Выгр Торг'!$B:$Q,S$1,0)</f>
        <v>50550</v>
      </c>
      <c r="T186" s="179">
        <f>VLOOKUP($B186,'Выгр Торг'!$B:$Q,T$1,0)</f>
        <v>62590</v>
      </c>
      <c r="U186" s="94">
        <f t="shared" si="105"/>
        <v>0</v>
      </c>
      <c r="V186" s="94">
        <f t="shared" si="106"/>
        <v>0</v>
      </c>
      <c r="W186" s="182">
        <f t="shared" si="145"/>
        <v>58208.7</v>
      </c>
      <c r="X186" s="218">
        <f>IFERROR(VLOOKUP($B186,'Из ГУГЛа'!$B:$G,6,0)*Z186+Y186,VLOOKUP($B186,'Из ГУГЛа'!$B:$G,6,0))</f>
        <v>53090</v>
      </c>
      <c r="Y186" s="220">
        <f t="shared" si="141"/>
        <v>10800</v>
      </c>
      <c r="Z186" s="133">
        <v>1</v>
      </c>
      <c r="AA186" s="133">
        <v>1300</v>
      </c>
      <c r="AB186" s="184">
        <f t="shared" si="146"/>
        <v>0.15150741839762616</v>
      </c>
      <c r="AC186" s="184">
        <f t="shared" si="147"/>
        <v>-9.6415520813712505E-2</v>
      </c>
      <c r="AD186" s="184">
        <f t="shared" si="148"/>
        <v>5.0247279920870414E-2</v>
      </c>
      <c r="AE186" s="222">
        <v>53090</v>
      </c>
      <c r="AF186" s="98" t="s">
        <v>623</v>
      </c>
      <c r="AH186" s="98" t="s">
        <v>135</v>
      </c>
    </row>
    <row r="187" spans="1:34" ht="61.5" thickTop="1" thickBot="1">
      <c r="A187" s="176" t="str">
        <f>INDEX('Выгр Торг'!$A:$A,MATCH($B187,'Выгр Торг'!$B:$B,0))</f>
        <v>Руль анатомический "Ferrum" Exclusive с обогревом (вставки из алькантары) для Лада Веста, Ларгус FL, XRAY</v>
      </c>
      <c r="B187" s="178">
        <v>132562</v>
      </c>
      <c r="C187" s="179">
        <f>VLOOKUP($B187,'Выгр Торг'!$B:$Q,C$1,0)</f>
        <v>166619</v>
      </c>
      <c r="D187" s="189" t="s">
        <v>135</v>
      </c>
      <c r="E187" s="176" t="str">
        <f>VLOOKUP($B187,'Выгр Торг'!$B:$Q,E$1,0)</f>
        <v>Руль анатомический "Ferrum" Exclusive с обогревом (вставки из алькантары) для Лада Ларгус FL, Веста, XRAY (Жёлтая нить, Чёрный глянец)</v>
      </c>
      <c r="F187" s="179" t="str">
        <f>VLOOKUP($B187,'Выгр Торг'!$B:$Q,F$1,0)</f>
        <v>Y</v>
      </c>
      <c r="G187" s="179" t="str">
        <f>VLOOKUP($B187,'Выгр Торг'!$B:$Q,G$1,0)</f>
        <v>1</v>
      </c>
      <c r="H187" s="177">
        <v>166610</v>
      </c>
      <c r="I187" s="156"/>
      <c r="J187" s="160"/>
      <c r="K187" s="161">
        <v>870</v>
      </c>
      <c r="L187" s="180">
        <f t="shared" ref="L187" si="149">M187-1000</f>
        <v>49720</v>
      </c>
      <c r="M187" s="180">
        <f t="shared" si="138"/>
        <v>50720</v>
      </c>
      <c r="N187" s="180">
        <f t="shared" si="139"/>
        <v>43720</v>
      </c>
      <c r="O187" s="107">
        <f t="shared" ref="O187" si="150">M187/L187</f>
        <v>1.0201126307320998</v>
      </c>
      <c r="P187" s="132">
        <f t="shared" si="104"/>
        <v>1.1499999999999999</v>
      </c>
      <c r="Q187" s="180">
        <f t="shared" si="140"/>
        <v>61481.720430107518</v>
      </c>
      <c r="R187" s="144">
        <f t="shared" ref="R187" si="151">IF(Q187&lt;=1000,(ROUNDUP(Q187,-2)-1),(ROUNDUP(Q187,-2)-10))</f>
        <v>61490</v>
      </c>
      <c r="S187" s="179">
        <f>VLOOKUP($B187,'Выгр Торг'!$B:$Q,S$1,0)</f>
        <v>49720</v>
      </c>
      <c r="T187" s="179">
        <f>VLOOKUP($B187,'Выгр Торг'!$B:$Q,T$1,0)</f>
        <v>61490</v>
      </c>
      <c r="U187" s="94">
        <f t="shared" si="105"/>
        <v>0</v>
      </c>
      <c r="V187" s="94">
        <f t="shared" si="106"/>
        <v>0</v>
      </c>
      <c r="W187" s="182">
        <f t="shared" ref="W187" si="152">R187*(1-$W$2)</f>
        <v>57185.7</v>
      </c>
      <c r="X187" s="218">
        <f>IFERROR(VLOOKUP($B187,'Из ГУГЛа'!$B:$G,6,0)*Z187+Y187,VLOOKUP($B187,'Из ГУГЛа'!$B:$G,6,0))</f>
        <v>52260</v>
      </c>
      <c r="Y187" s="220">
        <f t="shared" si="141"/>
        <v>9970</v>
      </c>
      <c r="Z187" s="133">
        <v>1</v>
      </c>
      <c r="AA187" s="133"/>
      <c r="AB187" s="184">
        <f t="shared" ref="AB187" si="153">IFERROR(W187/L187-1,"")</f>
        <v>0.15015486725663707</v>
      </c>
      <c r="AC187" s="184">
        <f t="shared" ref="AC187" si="154">IFERROR((AE187-W187)/AE187,"")</f>
        <v>-9.425373134328352E-2</v>
      </c>
      <c r="AD187" s="184">
        <f t="shared" ref="AD187" si="155">IFERROR(IF(AE187="","",AE187/L187-1),"")</f>
        <v>5.1086082059533355E-2</v>
      </c>
      <c r="AE187" s="222">
        <v>52260</v>
      </c>
      <c r="AF187" s="98" t="s">
        <v>623</v>
      </c>
      <c r="AH187" s="98" t="s">
        <v>135</v>
      </c>
    </row>
    <row r="188" spans="1:34" ht="61.5" thickTop="1" thickBot="1">
      <c r="A188" s="125" t="str">
        <f>INDEX('Выгр Торг'!$A:$A,MATCH($B188,'Выгр Торг'!$B:$B,0))</f>
        <v>Руль анатомический "Ferrum" Exclusive с обогревом (вставки из алькантары) для Лада Веста, Ларгус FL, XRAY</v>
      </c>
      <c r="B188" s="126">
        <v>132563</v>
      </c>
      <c r="C188" s="127">
        <f>VLOOKUP($B188,'Выгр Торг'!$B:$Q,C$1,0)</f>
        <v>166623</v>
      </c>
      <c r="D188" s="128" t="s">
        <v>135</v>
      </c>
      <c r="E188" s="125" t="str">
        <f>VLOOKUP($B188,'Выгр Торг'!$B:$Q,E$1,0)</f>
        <v>Руль анатомический "Ferrum" Exclusive с обогревом (вставки из алькантары) для Лада Ларгус FL, Веста, XRAY (Зелёная нить, Чёрный глянец)</v>
      </c>
      <c r="F188" s="127" t="str">
        <f>VLOOKUP($B188,'Выгр Торг'!$B:$Q,F$1,0)</f>
        <v>Y</v>
      </c>
      <c r="G188" s="127" t="str">
        <f>VLOOKUP($B188,'Выгр Торг'!$B:$Q,G$1,0)</f>
        <v>1</v>
      </c>
      <c r="H188" s="40">
        <v>166610</v>
      </c>
      <c r="I188" s="156"/>
      <c r="J188" s="160"/>
      <c r="K188" s="161">
        <v>870</v>
      </c>
      <c r="L188" s="130">
        <f t="shared" ref="L188:L198" si="156">M188-1000</f>
        <v>49720</v>
      </c>
      <c r="M188" s="130">
        <f t="shared" si="138"/>
        <v>50720</v>
      </c>
      <c r="N188" s="130">
        <f t="shared" si="139"/>
        <v>43720</v>
      </c>
      <c r="O188" s="132">
        <f t="shared" si="54"/>
        <v>1.0201126307320998</v>
      </c>
      <c r="P188" s="132">
        <f t="shared" si="104"/>
        <v>1.1499999999999999</v>
      </c>
      <c r="Q188" s="130">
        <f t="shared" si="140"/>
        <v>61481.720430107518</v>
      </c>
      <c r="R188" s="148">
        <f t="shared" si="56"/>
        <v>61490</v>
      </c>
      <c r="S188" s="127">
        <f>VLOOKUP($B188,'Выгр Торг'!$B:$Q,S$1,0)</f>
        <v>49720</v>
      </c>
      <c r="T188" s="127">
        <f>VLOOKUP($B188,'Выгр Торг'!$B:$Q,T$1,0)</f>
        <v>61490</v>
      </c>
      <c r="U188" s="94">
        <f t="shared" si="105"/>
        <v>0</v>
      </c>
      <c r="V188" s="94">
        <f t="shared" si="106"/>
        <v>0</v>
      </c>
      <c r="W188" s="153">
        <f t="shared" si="57"/>
        <v>57185.7</v>
      </c>
      <c r="X188" s="209">
        <f>IFERROR(VLOOKUP($B188,'Из ГУГЛа'!$B:$G,6,0)*Z188+Y188,VLOOKUP($B188,'Из ГУГЛа'!$B:$G,6,0))</f>
        <v>52260</v>
      </c>
      <c r="Y188" s="220">
        <f t="shared" si="141"/>
        <v>9970</v>
      </c>
      <c r="Z188" s="133">
        <v>1</v>
      </c>
      <c r="AA188" s="134"/>
      <c r="AB188" s="135">
        <f t="shared" si="50"/>
        <v>0.15015486725663707</v>
      </c>
      <c r="AC188" s="135">
        <f t="shared" si="51"/>
        <v>-9.425373134328352E-2</v>
      </c>
      <c r="AD188" s="135">
        <f t="shared" si="52"/>
        <v>5.1086082059533355E-2</v>
      </c>
      <c r="AE188" s="222">
        <v>52260</v>
      </c>
      <c r="AF188" s="98" t="s">
        <v>623</v>
      </c>
      <c r="AH188" s="98" t="s">
        <v>135</v>
      </c>
    </row>
    <row r="189" spans="1:34" ht="61.5" thickTop="1" thickBot="1">
      <c r="A189" s="125" t="str">
        <f>INDEX('Выгр Торг'!$A:$A,MATCH($B189,'Выгр Торг'!$B:$B,0))</f>
        <v>Руль анатомический "Ferrum" Exclusive с обогревом (вставки из алькантары) для Лада Веста, Ларгус FL, XRAY</v>
      </c>
      <c r="B189" s="126">
        <v>132564</v>
      </c>
      <c r="C189" s="127">
        <f>VLOOKUP($B189,'Выгр Торг'!$B:$Q,C$1,0)</f>
        <v>166615</v>
      </c>
      <c r="D189" s="128" t="s">
        <v>135</v>
      </c>
      <c r="E189" s="125" t="str">
        <f>VLOOKUP($B189,'Выгр Торг'!$B:$Q,E$1,0)</f>
        <v>Руль анатомический "Ferrum" Exclusive с обогревом (вставки из алькантары) для Лада Ларгус FL, Веста, XRAY (Коричневая нить, Чёрный глянец)</v>
      </c>
      <c r="F189" s="127" t="str">
        <f>VLOOKUP($B189,'Выгр Торг'!$B:$Q,F$1,0)</f>
        <v>Y</v>
      </c>
      <c r="G189" s="127" t="str">
        <f>VLOOKUP($B189,'Выгр Торг'!$B:$Q,G$1,0)</f>
        <v>1</v>
      </c>
      <c r="H189" s="40">
        <v>166610</v>
      </c>
      <c r="I189" s="156"/>
      <c r="J189" s="160"/>
      <c r="K189" s="161">
        <v>870</v>
      </c>
      <c r="L189" s="130">
        <f t="shared" si="156"/>
        <v>49720</v>
      </c>
      <c r="M189" s="130">
        <f t="shared" si="138"/>
        <v>50720</v>
      </c>
      <c r="N189" s="130">
        <f t="shared" si="139"/>
        <v>43720</v>
      </c>
      <c r="O189" s="132">
        <f t="shared" si="54"/>
        <v>1.0201126307320998</v>
      </c>
      <c r="P189" s="132">
        <f t="shared" si="104"/>
        <v>1.1499999999999999</v>
      </c>
      <c r="Q189" s="130">
        <f t="shared" si="140"/>
        <v>61481.720430107518</v>
      </c>
      <c r="R189" s="148">
        <f t="shared" si="56"/>
        <v>61490</v>
      </c>
      <c r="S189" s="127">
        <f>VLOOKUP($B189,'Выгр Торг'!$B:$Q,S$1,0)</f>
        <v>49720</v>
      </c>
      <c r="T189" s="127">
        <f>VLOOKUP($B189,'Выгр Торг'!$B:$Q,T$1,0)</f>
        <v>61490</v>
      </c>
      <c r="U189" s="94">
        <f t="shared" si="105"/>
        <v>0</v>
      </c>
      <c r="V189" s="94">
        <f t="shared" si="106"/>
        <v>0</v>
      </c>
      <c r="W189" s="153">
        <f t="shared" si="57"/>
        <v>57185.7</v>
      </c>
      <c r="X189" s="209">
        <f>IFERROR(VLOOKUP($B189,'Из ГУГЛа'!$B:$G,6,0)*Z189+Y189,VLOOKUP($B189,'Из ГУГЛа'!$B:$G,6,0))</f>
        <v>52260</v>
      </c>
      <c r="Y189" s="220">
        <f t="shared" si="141"/>
        <v>9970</v>
      </c>
      <c r="Z189" s="133">
        <v>1</v>
      </c>
      <c r="AA189" s="134"/>
      <c r="AB189" s="135">
        <f t="shared" si="50"/>
        <v>0.15015486725663707</v>
      </c>
      <c r="AC189" s="135">
        <f t="shared" si="51"/>
        <v>-9.425373134328352E-2</v>
      </c>
      <c r="AD189" s="135">
        <f t="shared" si="52"/>
        <v>5.1086082059533355E-2</v>
      </c>
      <c r="AE189" s="222">
        <v>52260</v>
      </c>
      <c r="AF189" s="98" t="s">
        <v>623</v>
      </c>
      <c r="AH189" s="98" t="s">
        <v>135</v>
      </c>
    </row>
    <row r="190" spans="1:34" ht="61.5" thickTop="1" thickBot="1">
      <c r="A190" s="125" t="str">
        <f>INDEX('Выгр Торг'!$A:$A,MATCH($B190,'Выгр Торг'!$B:$B,0))</f>
        <v>Руль анатомический "Ferrum" Exclusive с обогревом (вставки из алькантары) для Лада Веста, Ларгус FL, XRAY</v>
      </c>
      <c r="B190" s="126">
        <v>132565</v>
      </c>
      <c r="C190" s="127">
        <f>VLOOKUP($B190,'Выгр Торг'!$B:$Q,C$1,0)</f>
        <v>166622</v>
      </c>
      <c r="D190" s="128" t="s">
        <v>135</v>
      </c>
      <c r="E190" s="125" t="str">
        <f>VLOOKUP($B190,'Выгр Торг'!$B:$Q,E$1,0)</f>
        <v>Руль анатомический "Ferrum" Exclusive с обогревом (вставки из алькантары) для Лада Ларгус FL, Веста, XRAY (Красная нить, Чёрный глянец)</v>
      </c>
      <c r="F190" s="127" t="str">
        <f>VLOOKUP($B190,'Выгр Торг'!$B:$Q,F$1,0)</f>
        <v>Y</v>
      </c>
      <c r="G190" s="127" t="str">
        <f>VLOOKUP($B190,'Выгр Торг'!$B:$Q,G$1,0)</f>
        <v>1</v>
      </c>
      <c r="H190" s="40">
        <v>166610</v>
      </c>
      <c r="I190" s="156"/>
      <c r="J190" s="160"/>
      <c r="K190" s="161">
        <v>870</v>
      </c>
      <c r="L190" s="130">
        <f t="shared" si="156"/>
        <v>49720</v>
      </c>
      <c r="M190" s="130">
        <f t="shared" si="138"/>
        <v>50720</v>
      </c>
      <c r="N190" s="130">
        <f t="shared" si="139"/>
        <v>43720</v>
      </c>
      <c r="O190" s="132">
        <f t="shared" si="54"/>
        <v>1.0201126307320998</v>
      </c>
      <c r="P190" s="132">
        <f t="shared" si="104"/>
        <v>1.1499999999999999</v>
      </c>
      <c r="Q190" s="130">
        <f t="shared" si="140"/>
        <v>61481.720430107518</v>
      </c>
      <c r="R190" s="148">
        <f t="shared" si="56"/>
        <v>61490</v>
      </c>
      <c r="S190" s="127">
        <f>VLOOKUP($B190,'Выгр Торг'!$B:$Q,S$1,0)</f>
        <v>49720</v>
      </c>
      <c r="T190" s="127">
        <f>VLOOKUP($B190,'Выгр Торг'!$B:$Q,T$1,0)</f>
        <v>61490</v>
      </c>
      <c r="U190" s="94">
        <f t="shared" si="105"/>
        <v>0</v>
      </c>
      <c r="V190" s="94">
        <f t="shared" si="106"/>
        <v>0</v>
      </c>
      <c r="W190" s="153">
        <f t="shared" si="57"/>
        <v>57185.7</v>
      </c>
      <c r="X190" s="209">
        <f>IFERROR(VLOOKUP($B190,'Из ГУГЛа'!$B:$G,6,0)*Z190+Y190,VLOOKUP($B190,'Из ГУГЛа'!$B:$G,6,0))</f>
        <v>52260</v>
      </c>
      <c r="Y190" s="220">
        <f t="shared" si="141"/>
        <v>9970</v>
      </c>
      <c r="Z190" s="133">
        <v>1</v>
      </c>
      <c r="AA190" s="134"/>
      <c r="AB190" s="135">
        <f t="shared" si="50"/>
        <v>0.15015486725663707</v>
      </c>
      <c r="AC190" s="135">
        <f t="shared" si="51"/>
        <v>-9.425373134328352E-2</v>
      </c>
      <c r="AD190" s="135">
        <f t="shared" si="52"/>
        <v>5.1086082059533355E-2</v>
      </c>
      <c r="AE190" s="222">
        <v>52260</v>
      </c>
      <c r="AF190" s="98" t="s">
        <v>623</v>
      </c>
      <c r="AH190" s="98" t="s">
        <v>135</v>
      </c>
    </row>
    <row r="191" spans="1:34" ht="61.5" thickTop="1" thickBot="1">
      <c r="A191" s="125" t="str">
        <f>INDEX('Выгр Торг'!$A:$A,MATCH($B191,'Выгр Торг'!$B:$B,0))</f>
        <v>Руль анатомический "Ferrum" Exclusive с обогревом (вставки из алькантары) для Лада Веста, Ларгус FL, XRAY</v>
      </c>
      <c r="B191" s="126">
        <v>132566</v>
      </c>
      <c r="C191" s="127">
        <f>VLOOKUP($B191,'Выгр Торг'!$B:$Q,C$1,0)</f>
        <v>166618</v>
      </c>
      <c r="D191" s="128" t="s">
        <v>135</v>
      </c>
      <c r="E191" s="125" t="str">
        <f>VLOOKUP($B191,'Выгр Торг'!$B:$Q,E$1,0)</f>
        <v>Руль анатомический "Ferrum" Exclusive с обогревом (вставки из алькантары) для Лада Ларгус FL, Веста, XRAY (Оранжевая нить, Чёрный глянец)</v>
      </c>
      <c r="F191" s="127" t="str">
        <f>VLOOKUP($B191,'Выгр Торг'!$B:$Q,F$1,0)</f>
        <v>Y</v>
      </c>
      <c r="G191" s="127" t="str">
        <f>VLOOKUP($B191,'Выгр Торг'!$B:$Q,G$1,0)</f>
        <v>1</v>
      </c>
      <c r="H191" s="40">
        <v>166610</v>
      </c>
      <c r="I191" s="156"/>
      <c r="J191" s="160"/>
      <c r="K191" s="161">
        <v>870</v>
      </c>
      <c r="L191" s="130">
        <f t="shared" si="156"/>
        <v>49720</v>
      </c>
      <c r="M191" s="130">
        <f t="shared" si="138"/>
        <v>50720</v>
      </c>
      <c r="N191" s="130">
        <f t="shared" si="139"/>
        <v>43720</v>
      </c>
      <c r="O191" s="132">
        <f t="shared" si="54"/>
        <v>1.0201126307320998</v>
      </c>
      <c r="P191" s="132">
        <f t="shared" si="104"/>
        <v>1.1499999999999999</v>
      </c>
      <c r="Q191" s="130">
        <f t="shared" si="140"/>
        <v>61481.720430107518</v>
      </c>
      <c r="R191" s="148">
        <f t="shared" si="56"/>
        <v>61490</v>
      </c>
      <c r="S191" s="127">
        <f>VLOOKUP($B191,'Выгр Торг'!$B:$Q,S$1,0)</f>
        <v>49720</v>
      </c>
      <c r="T191" s="127">
        <f>VLOOKUP($B191,'Выгр Торг'!$B:$Q,T$1,0)</f>
        <v>61490</v>
      </c>
      <c r="U191" s="94">
        <f t="shared" si="105"/>
        <v>0</v>
      </c>
      <c r="V191" s="94">
        <f t="shared" si="106"/>
        <v>0</v>
      </c>
      <c r="W191" s="153">
        <f t="shared" si="57"/>
        <v>57185.7</v>
      </c>
      <c r="X191" s="209">
        <f>IFERROR(VLOOKUP($B191,'Из ГУГЛа'!$B:$G,6,0)*Z191+Y191,VLOOKUP($B191,'Из ГУГЛа'!$B:$G,6,0))</f>
        <v>52260</v>
      </c>
      <c r="Y191" s="220">
        <f t="shared" si="141"/>
        <v>9970</v>
      </c>
      <c r="Z191" s="133">
        <v>1</v>
      </c>
      <c r="AA191" s="134"/>
      <c r="AB191" s="135">
        <f t="shared" si="50"/>
        <v>0.15015486725663707</v>
      </c>
      <c r="AC191" s="135">
        <f t="shared" si="51"/>
        <v>-9.425373134328352E-2</v>
      </c>
      <c r="AD191" s="135">
        <f t="shared" si="52"/>
        <v>5.1086082059533355E-2</v>
      </c>
      <c r="AE191" s="222">
        <v>52260</v>
      </c>
      <c r="AF191" s="98" t="s">
        <v>623</v>
      </c>
      <c r="AH191" s="98" t="s">
        <v>135</v>
      </c>
    </row>
    <row r="192" spans="1:34" ht="61.5" thickTop="1" thickBot="1">
      <c r="A192" s="125" t="str">
        <f>INDEX('Выгр Торг'!$A:$A,MATCH($B192,'Выгр Торг'!$B:$B,0))</f>
        <v>Руль анатомический "Ferrum" Exclusive с обогревом (вставки из алькантары) для Лада Веста, Ларгус FL, XRAY</v>
      </c>
      <c r="B192" s="126">
        <v>132567</v>
      </c>
      <c r="C192" s="127">
        <f>VLOOKUP($B192,'Выгр Торг'!$B:$Q,C$1,0)</f>
        <v>166620</v>
      </c>
      <c r="D192" s="128" t="s">
        <v>135</v>
      </c>
      <c r="E192" s="125" t="str">
        <f>VLOOKUP($B192,'Выгр Торг'!$B:$Q,E$1,0)</f>
        <v>Руль анатомический "Ferrum" Exclusive с обогревом (вставки из алькантары) для Лада Ларгус FL, Веста, XRAY (Салатовая нить, Чёрный глянец)</v>
      </c>
      <c r="F192" s="127" t="str">
        <f>VLOOKUP($B192,'Выгр Торг'!$B:$Q,F$1,0)</f>
        <v>Y</v>
      </c>
      <c r="G192" s="127" t="str">
        <f>VLOOKUP($B192,'Выгр Торг'!$B:$Q,G$1,0)</f>
        <v>1</v>
      </c>
      <c r="H192" s="40">
        <v>166610</v>
      </c>
      <c r="I192" s="156"/>
      <c r="J192" s="160"/>
      <c r="K192" s="161">
        <v>870</v>
      </c>
      <c r="L192" s="130">
        <f t="shared" si="156"/>
        <v>49720</v>
      </c>
      <c r="M192" s="130">
        <f t="shared" si="138"/>
        <v>50720</v>
      </c>
      <c r="N192" s="130">
        <f t="shared" si="139"/>
        <v>43720</v>
      </c>
      <c r="O192" s="132">
        <f t="shared" si="54"/>
        <v>1.0201126307320998</v>
      </c>
      <c r="P192" s="132">
        <f t="shared" si="104"/>
        <v>1.1499999999999999</v>
      </c>
      <c r="Q192" s="130">
        <f t="shared" si="140"/>
        <v>61481.720430107518</v>
      </c>
      <c r="R192" s="148">
        <f t="shared" si="56"/>
        <v>61490</v>
      </c>
      <c r="S192" s="127">
        <f>VLOOKUP($B192,'Выгр Торг'!$B:$Q,S$1,0)</f>
        <v>49720</v>
      </c>
      <c r="T192" s="127">
        <f>VLOOKUP($B192,'Выгр Торг'!$B:$Q,T$1,0)</f>
        <v>61490</v>
      </c>
      <c r="U192" s="94">
        <f t="shared" si="105"/>
        <v>0</v>
      </c>
      <c r="V192" s="94">
        <f t="shared" si="106"/>
        <v>0</v>
      </c>
      <c r="W192" s="153">
        <f t="shared" si="57"/>
        <v>57185.7</v>
      </c>
      <c r="X192" s="209">
        <f>IFERROR(VLOOKUP($B192,'Из ГУГЛа'!$B:$G,6,0)*Z192+Y192,VLOOKUP($B192,'Из ГУГЛа'!$B:$G,6,0))</f>
        <v>52260</v>
      </c>
      <c r="Y192" s="220">
        <f t="shared" si="141"/>
        <v>9970</v>
      </c>
      <c r="Z192" s="133">
        <v>1</v>
      </c>
      <c r="AA192" s="134"/>
      <c r="AB192" s="135">
        <f t="shared" si="50"/>
        <v>0.15015486725663707</v>
      </c>
      <c r="AC192" s="135">
        <f t="shared" si="51"/>
        <v>-9.425373134328352E-2</v>
      </c>
      <c r="AD192" s="135">
        <f t="shared" si="52"/>
        <v>5.1086082059533355E-2</v>
      </c>
      <c r="AE192" s="222">
        <v>52260</v>
      </c>
      <c r="AF192" s="98" t="s">
        <v>623</v>
      </c>
      <c r="AH192" s="98" t="s">
        <v>135</v>
      </c>
    </row>
    <row r="193" spans="1:34" ht="61.5" thickTop="1" thickBot="1">
      <c r="A193" s="125" t="str">
        <f>INDEX('Выгр Торг'!$A:$A,MATCH($B193,'Выгр Торг'!$B:$B,0))</f>
        <v>Руль анатомический "Ferrum" Exclusive с обогревом (вставки из алькантары) для Лада Веста, Ларгус FL, XRAY</v>
      </c>
      <c r="B193" s="126">
        <v>132568</v>
      </c>
      <c r="C193" s="127">
        <f>VLOOKUP($B193,'Выгр Торг'!$B:$Q,C$1,0)</f>
        <v>166621</v>
      </c>
      <c r="D193" s="128" t="s">
        <v>135</v>
      </c>
      <c r="E193" s="125" t="str">
        <f>VLOOKUP($B193,'Выгр Торг'!$B:$Q,E$1,0)</f>
        <v>Руль анатомический "Ferrum" Exclusive с обогревом (вставки из алькантары) для Лада Ларгус FL, Веста, XRAY (Светло-серая нить, Чёрный глянец)</v>
      </c>
      <c r="F193" s="127" t="str">
        <f>VLOOKUP($B193,'Выгр Торг'!$B:$Q,F$1,0)</f>
        <v>Y</v>
      </c>
      <c r="G193" s="127" t="str">
        <f>VLOOKUP($B193,'Выгр Торг'!$B:$Q,G$1,0)</f>
        <v>1</v>
      </c>
      <c r="H193" s="40">
        <v>166610</v>
      </c>
      <c r="I193" s="156"/>
      <c r="J193" s="160"/>
      <c r="K193" s="161">
        <v>870</v>
      </c>
      <c r="L193" s="130">
        <f t="shared" si="156"/>
        <v>49720</v>
      </c>
      <c r="M193" s="130">
        <f t="shared" si="138"/>
        <v>50720</v>
      </c>
      <c r="N193" s="130">
        <f t="shared" si="139"/>
        <v>43720</v>
      </c>
      <c r="O193" s="132">
        <f t="shared" si="54"/>
        <v>1.0201126307320998</v>
      </c>
      <c r="P193" s="132">
        <f t="shared" si="104"/>
        <v>1.1499999999999999</v>
      </c>
      <c r="Q193" s="130">
        <f t="shared" si="140"/>
        <v>61481.720430107518</v>
      </c>
      <c r="R193" s="148">
        <f t="shared" si="56"/>
        <v>61490</v>
      </c>
      <c r="S193" s="127">
        <f>VLOOKUP($B193,'Выгр Торг'!$B:$Q,S$1,0)</f>
        <v>49720</v>
      </c>
      <c r="T193" s="127">
        <f>VLOOKUP($B193,'Выгр Торг'!$B:$Q,T$1,0)</f>
        <v>61490</v>
      </c>
      <c r="U193" s="94">
        <f t="shared" si="105"/>
        <v>0</v>
      </c>
      <c r="V193" s="94">
        <f t="shared" si="106"/>
        <v>0</v>
      </c>
      <c r="W193" s="153">
        <f t="shared" si="57"/>
        <v>57185.7</v>
      </c>
      <c r="X193" s="209">
        <f>IFERROR(VLOOKUP($B193,'Из ГУГЛа'!$B:$G,6,0)*Z193+Y193,VLOOKUP($B193,'Из ГУГЛа'!$B:$G,6,0))</f>
        <v>52260</v>
      </c>
      <c r="Y193" s="220">
        <f t="shared" si="141"/>
        <v>9970</v>
      </c>
      <c r="Z193" s="133">
        <v>1</v>
      </c>
      <c r="AA193" s="134"/>
      <c r="AB193" s="135">
        <f t="shared" si="50"/>
        <v>0.15015486725663707</v>
      </c>
      <c r="AC193" s="135">
        <f t="shared" si="51"/>
        <v>-9.425373134328352E-2</v>
      </c>
      <c r="AD193" s="135">
        <f t="shared" si="52"/>
        <v>5.1086082059533355E-2</v>
      </c>
      <c r="AE193" s="222">
        <v>52260</v>
      </c>
      <c r="AF193" s="98" t="s">
        <v>623</v>
      </c>
      <c r="AH193" s="98" t="s">
        <v>135</v>
      </c>
    </row>
    <row r="194" spans="1:34" ht="61.5" thickTop="1" thickBot="1">
      <c r="A194" s="125" t="str">
        <f>INDEX('Выгр Торг'!$A:$A,MATCH($B194,'Выгр Торг'!$B:$B,0))</f>
        <v>Руль анатомический "Ferrum" Exclusive с обогревом (вставки из алькантары) для Лада Веста, Ларгус FL, XRAY</v>
      </c>
      <c r="B194" s="126">
        <v>132569</v>
      </c>
      <c r="C194" s="127">
        <f>VLOOKUP($B194,'Выгр Торг'!$B:$Q,C$1,0)</f>
        <v>166617</v>
      </c>
      <c r="D194" s="128" t="s">
        <v>135</v>
      </c>
      <c r="E194" s="125" t="str">
        <f>VLOOKUP($B194,'Выгр Торг'!$B:$Q,E$1,0)</f>
        <v>Руль анатомический "Ferrum" Exclusive с обогревом (вставки из алькантары) для Лада Ларгус FL, Веста, XRAY (Сине-зелёная нить, Чёрный глянец)</v>
      </c>
      <c r="F194" s="127" t="str">
        <f>VLOOKUP($B194,'Выгр Торг'!$B:$Q,F$1,0)</f>
        <v>Y</v>
      </c>
      <c r="G194" s="127" t="str">
        <f>VLOOKUP($B194,'Выгр Торг'!$B:$Q,G$1,0)</f>
        <v>1</v>
      </c>
      <c r="H194" s="40">
        <v>166610</v>
      </c>
      <c r="I194" s="156"/>
      <c r="J194" s="160"/>
      <c r="K194" s="161">
        <v>870</v>
      </c>
      <c r="L194" s="130">
        <f t="shared" si="156"/>
        <v>49720</v>
      </c>
      <c r="M194" s="130">
        <f t="shared" si="138"/>
        <v>50720</v>
      </c>
      <c r="N194" s="130">
        <f t="shared" si="139"/>
        <v>43720</v>
      </c>
      <c r="O194" s="132">
        <f t="shared" si="54"/>
        <v>1.0201126307320998</v>
      </c>
      <c r="P194" s="132">
        <f t="shared" si="104"/>
        <v>1.1499999999999999</v>
      </c>
      <c r="Q194" s="130">
        <f t="shared" si="140"/>
        <v>61481.720430107518</v>
      </c>
      <c r="R194" s="148">
        <f t="shared" si="56"/>
        <v>61490</v>
      </c>
      <c r="S194" s="127">
        <f>VLOOKUP($B194,'Выгр Торг'!$B:$Q,S$1,0)</f>
        <v>49720</v>
      </c>
      <c r="T194" s="127">
        <f>VLOOKUP($B194,'Выгр Торг'!$B:$Q,T$1,0)</f>
        <v>61490</v>
      </c>
      <c r="U194" s="94">
        <f t="shared" si="105"/>
        <v>0</v>
      </c>
      <c r="V194" s="94">
        <f t="shared" si="106"/>
        <v>0</v>
      </c>
      <c r="W194" s="153">
        <f t="shared" si="57"/>
        <v>57185.7</v>
      </c>
      <c r="X194" s="209">
        <f>IFERROR(VLOOKUP($B194,'Из ГУГЛа'!$B:$G,6,0)*Z194+Y194,VLOOKUP($B194,'Из ГУГЛа'!$B:$G,6,0))</f>
        <v>52260</v>
      </c>
      <c r="Y194" s="220">
        <f t="shared" si="141"/>
        <v>9970</v>
      </c>
      <c r="Z194" s="133">
        <v>1</v>
      </c>
      <c r="AA194" s="134"/>
      <c r="AB194" s="135">
        <f t="shared" si="50"/>
        <v>0.15015486725663707</v>
      </c>
      <c r="AC194" s="135">
        <f t="shared" si="51"/>
        <v>-9.425373134328352E-2</v>
      </c>
      <c r="AD194" s="135">
        <f t="shared" si="52"/>
        <v>5.1086082059533355E-2</v>
      </c>
      <c r="AE194" s="222">
        <v>52260</v>
      </c>
      <c r="AF194" s="98" t="s">
        <v>623</v>
      </c>
      <c r="AH194" s="98" t="s">
        <v>135</v>
      </c>
    </row>
    <row r="195" spans="1:34" ht="61.5" thickTop="1" thickBot="1">
      <c r="A195" s="125" t="str">
        <f>INDEX('Выгр Торг'!$A:$A,MATCH($B195,'Выгр Торг'!$B:$B,0))</f>
        <v>Руль анатомический "Ferrum" Exclusive с обогревом (вставки из алькантары) для Лада Веста, Ларгус FL, XRAY</v>
      </c>
      <c r="B195" s="126">
        <v>132570</v>
      </c>
      <c r="C195" s="127">
        <f>VLOOKUP($B195,'Выгр Торг'!$B:$Q,C$1,0)</f>
        <v>166616</v>
      </c>
      <c r="D195" s="128" t="s">
        <v>135</v>
      </c>
      <c r="E195" s="125" t="str">
        <f>VLOOKUP($B195,'Выгр Торг'!$B:$Q,E$1,0)</f>
        <v>Руль анатомический "Ferrum" Exclusive с обогревом (вставки из алькантары) для Лада Ларгус FL, Веста, XRAY (Синяя нить, Чёрный глянец)</v>
      </c>
      <c r="F195" s="127" t="str">
        <f>VLOOKUP($B195,'Выгр Торг'!$B:$Q,F$1,0)</f>
        <v>Y</v>
      </c>
      <c r="G195" s="127" t="str">
        <f>VLOOKUP($B195,'Выгр Торг'!$B:$Q,G$1,0)</f>
        <v>1</v>
      </c>
      <c r="H195" s="40">
        <v>166610</v>
      </c>
      <c r="I195" s="156"/>
      <c r="J195" s="160"/>
      <c r="K195" s="161">
        <v>870</v>
      </c>
      <c r="L195" s="130">
        <f t="shared" si="156"/>
        <v>49720</v>
      </c>
      <c r="M195" s="130">
        <f t="shared" si="138"/>
        <v>50720</v>
      </c>
      <c r="N195" s="130">
        <f t="shared" si="139"/>
        <v>43720</v>
      </c>
      <c r="O195" s="132">
        <f t="shared" si="54"/>
        <v>1.0201126307320998</v>
      </c>
      <c r="P195" s="132">
        <f t="shared" si="104"/>
        <v>1.1499999999999999</v>
      </c>
      <c r="Q195" s="130">
        <f t="shared" si="140"/>
        <v>61481.720430107518</v>
      </c>
      <c r="R195" s="148">
        <f t="shared" si="56"/>
        <v>61490</v>
      </c>
      <c r="S195" s="127">
        <f>VLOOKUP($B195,'Выгр Торг'!$B:$Q,S$1,0)</f>
        <v>49720</v>
      </c>
      <c r="T195" s="127">
        <f>VLOOKUP($B195,'Выгр Торг'!$B:$Q,T$1,0)</f>
        <v>61490</v>
      </c>
      <c r="U195" s="94">
        <f t="shared" si="105"/>
        <v>0</v>
      </c>
      <c r="V195" s="94">
        <f t="shared" si="106"/>
        <v>0</v>
      </c>
      <c r="W195" s="153">
        <f t="shared" si="57"/>
        <v>57185.7</v>
      </c>
      <c r="X195" s="209">
        <f>IFERROR(VLOOKUP($B195,'Из ГУГЛа'!$B:$G,6,0)*Z195+Y195,VLOOKUP($B195,'Из ГУГЛа'!$B:$G,6,0))</f>
        <v>52260</v>
      </c>
      <c r="Y195" s="220">
        <f t="shared" si="141"/>
        <v>9970</v>
      </c>
      <c r="Z195" s="133">
        <v>1</v>
      </c>
      <c r="AA195" s="134"/>
      <c r="AB195" s="135">
        <f t="shared" si="50"/>
        <v>0.15015486725663707</v>
      </c>
      <c r="AC195" s="135">
        <f t="shared" si="51"/>
        <v>-9.425373134328352E-2</v>
      </c>
      <c r="AD195" s="135">
        <f t="shared" si="52"/>
        <v>5.1086082059533355E-2</v>
      </c>
      <c r="AE195" s="222">
        <v>52260</v>
      </c>
      <c r="AF195" s="98" t="s">
        <v>623</v>
      </c>
      <c r="AH195" s="98" t="s">
        <v>135</v>
      </c>
    </row>
    <row r="196" spans="1:34" ht="61.5" thickTop="1" thickBot="1">
      <c r="A196" s="125" t="str">
        <f>INDEX('Выгр Торг'!$A:$A,MATCH($B196,'Выгр Торг'!$B:$B,0))</f>
        <v>Руль анатомический "Ferrum" Exclusive с обогревом (вставки из алькантары) для Лада Веста, Ларгус FL, XRAY</v>
      </c>
      <c r="B196" s="126">
        <v>132571</v>
      </c>
      <c r="C196" s="127">
        <f>VLOOKUP($B196,'Выгр Торг'!$B:$Q,C$1,0)</f>
        <v>166614</v>
      </c>
      <c r="D196" s="128" t="s">
        <v>135</v>
      </c>
      <c r="E196" s="125" t="str">
        <f>VLOOKUP($B196,'Выгр Торг'!$B:$Q,E$1,0)</f>
        <v>Руль анатомический "Ferrum" Exclusive с обогревом (вставки из алькантары) для Лада Ларгус FL, Веста, XRAY (Тёмно-серая нить, Чёрный глянец)</v>
      </c>
      <c r="F196" s="127" t="str">
        <f>VLOOKUP($B196,'Выгр Торг'!$B:$Q,F$1,0)</f>
        <v>Y</v>
      </c>
      <c r="G196" s="127" t="str">
        <f>VLOOKUP($B196,'Выгр Торг'!$B:$Q,G$1,0)</f>
        <v>1</v>
      </c>
      <c r="H196" s="40">
        <v>166610</v>
      </c>
      <c r="I196" s="156"/>
      <c r="J196" s="160"/>
      <c r="K196" s="161">
        <v>870</v>
      </c>
      <c r="L196" s="130">
        <f t="shared" si="156"/>
        <v>49720</v>
      </c>
      <c r="M196" s="130">
        <f t="shared" si="138"/>
        <v>50720</v>
      </c>
      <c r="N196" s="130">
        <f t="shared" si="139"/>
        <v>43720</v>
      </c>
      <c r="O196" s="132">
        <f t="shared" si="54"/>
        <v>1.0201126307320998</v>
      </c>
      <c r="P196" s="132">
        <f t="shared" ref="P196:P259" si="157">IF(O196&lt;=$P$1,$P$1,O196)</f>
        <v>1.1499999999999999</v>
      </c>
      <c r="Q196" s="130">
        <f t="shared" si="140"/>
        <v>61481.720430107518</v>
      </c>
      <c r="R196" s="148">
        <f t="shared" si="56"/>
        <v>61490</v>
      </c>
      <c r="S196" s="127">
        <f>VLOOKUP($B196,'Выгр Торг'!$B:$Q,S$1,0)</f>
        <v>49720</v>
      </c>
      <c r="T196" s="127">
        <f>VLOOKUP($B196,'Выгр Торг'!$B:$Q,T$1,0)</f>
        <v>61490</v>
      </c>
      <c r="U196" s="94">
        <f t="shared" ref="U196:U259" si="158">S196-L196</f>
        <v>0</v>
      </c>
      <c r="V196" s="94">
        <f t="shared" ref="V196:V259" si="159">T196-R196</f>
        <v>0</v>
      </c>
      <c r="W196" s="153">
        <f t="shared" si="57"/>
        <v>57185.7</v>
      </c>
      <c r="X196" s="209">
        <f>IFERROR(VLOOKUP($B196,'Из ГУГЛа'!$B:$G,6,0)*Z196+Y196,VLOOKUP($B196,'Из ГУГЛа'!$B:$G,6,0))</f>
        <v>52260</v>
      </c>
      <c r="Y196" s="220">
        <f t="shared" si="141"/>
        <v>9970</v>
      </c>
      <c r="Z196" s="133">
        <v>1</v>
      </c>
      <c r="AA196" s="134"/>
      <c r="AB196" s="135">
        <f t="shared" si="50"/>
        <v>0.15015486725663707</v>
      </c>
      <c r="AC196" s="135">
        <f t="shared" si="51"/>
        <v>-9.425373134328352E-2</v>
      </c>
      <c r="AD196" s="135">
        <f t="shared" si="52"/>
        <v>5.1086082059533355E-2</v>
      </c>
      <c r="AE196" s="222">
        <v>52260</v>
      </c>
      <c r="AF196" s="98" t="s">
        <v>623</v>
      </c>
      <c r="AH196" s="98" t="s">
        <v>135</v>
      </c>
    </row>
    <row r="197" spans="1:34" ht="61.5" thickTop="1" thickBot="1">
      <c r="A197" s="125" t="str">
        <f>INDEX('Выгр Торг'!$A:$A,MATCH($B197,'Выгр Торг'!$B:$B,0))</f>
        <v>Руль анатомический "Ferrum" Exclusive с обогревом (вставки из алькантары) для Лада Веста, Ларгус FL, XRAY</v>
      </c>
      <c r="B197" s="126">
        <v>132573</v>
      </c>
      <c r="C197" s="127">
        <f>VLOOKUP($B197,'Выгр Торг'!$B:$Q,C$1,0)</f>
        <v>166613</v>
      </c>
      <c r="D197" s="128" t="s">
        <v>135</v>
      </c>
      <c r="E197" s="125" t="str">
        <f>VLOOKUP($B197,'Выгр Торг'!$B:$Q,E$1,0)</f>
        <v>Руль анатомический "Ferrum" Exclusive с обогревом (вставки из алькантары) для Лада Ларгус FL, Веста, XRAY (Фиолетовая нить, Чёрный глянец)</v>
      </c>
      <c r="F197" s="127" t="str">
        <f>VLOOKUP($B197,'Выгр Торг'!$B:$Q,F$1,0)</f>
        <v>Y</v>
      </c>
      <c r="G197" s="127" t="str">
        <f>VLOOKUP($B197,'Выгр Торг'!$B:$Q,G$1,0)</f>
        <v>1</v>
      </c>
      <c r="H197" s="40">
        <v>166610</v>
      </c>
      <c r="I197" s="156"/>
      <c r="J197" s="160"/>
      <c r="K197" s="161">
        <v>870</v>
      </c>
      <c r="L197" s="130">
        <f t="shared" si="156"/>
        <v>49720</v>
      </c>
      <c r="M197" s="130">
        <f t="shared" si="138"/>
        <v>50720</v>
      </c>
      <c r="N197" s="130">
        <f t="shared" si="139"/>
        <v>43720</v>
      </c>
      <c r="O197" s="132">
        <f t="shared" si="54"/>
        <v>1.0201126307320998</v>
      </c>
      <c r="P197" s="132">
        <f t="shared" si="157"/>
        <v>1.1499999999999999</v>
      </c>
      <c r="Q197" s="130">
        <f t="shared" si="140"/>
        <v>61481.720430107518</v>
      </c>
      <c r="R197" s="148">
        <f t="shared" si="56"/>
        <v>61490</v>
      </c>
      <c r="S197" s="127">
        <f>VLOOKUP($B197,'Выгр Торг'!$B:$Q,S$1,0)</f>
        <v>49720</v>
      </c>
      <c r="T197" s="127">
        <f>VLOOKUP($B197,'Выгр Торг'!$B:$Q,T$1,0)</f>
        <v>61490</v>
      </c>
      <c r="U197" s="94">
        <f t="shared" si="158"/>
        <v>0</v>
      </c>
      <c r="V197" s="94">
        <f t="shared" si="159"/>
        <v>0</v>
      </c>
      <c r="W197" s="153">
        <f>R197*(1-$W$2)</f>
        <v>57185.7</v>
      </c>
      <c r="X197" s="209">
        <f>IFERROR(VLOOKUP($B197,'Из ГУГЛа'!$B:$G,6,0)*Z197+Y197,VLOOKUP($B197,'Из ГУГЛа'!$B:$G,6,0))</f>
        <v>52260</v>
      </c>
      <c r="Y197" s="220">
        <f t="shared" si="141"/>
        <v>9970</v>
      </c>
      <c r="Z197" s="133">
        <v>1</v>
      </c>
      <c r="AA197" s="134"/>
      <c r="AB197" s="135">
        <f t="shared" ref="AB197:AB325" si="160">IFERROR(W197/L197-1,"")</f>
        <v>0.15015486725663707</v>
      </c>
      <c r="AC197" s="135">
        <f t="shared" ref="AC197:AC325" si="161">IFERROR((AE197-W197)/AE197,"")</f>
        <v>-9.425373134328352E-2</v>
      </c>
      <c r="AD197" s="135">
        <f t="shared" ref="AD197:AD325" si="162">IFERROR(IF(AE197="","",AE197/L197-1),"")</f>
        <v>5.1086082059533355E-2</v>
      </c>
      <c r="AE197" s="222">
        <v>52260</v>
      </c>
      <c r="AF197" s="98" t="s">
        <v>623</v>
      </c>
      <c r="AH197" s="98" t="s">
        <v>135</v>
      </c>
    </row>
    <row r="198" spans="1:34" ht="61.5" thickTop="1" thickBot="1">
      <c r="A198" s="125" t="str">
        <f>INDEX('Выгр Торг'!$A:$A,MATCH($B198,'Выгр Торг'!$B:$B,0))</f>
        <v>Руль анатомический "Ferrum" Exclusive с обогревом (вставки из алькантары) для Лада Веста, Ларгус FL, XRAY</v>
      </c>
      <c r="B198" s="126">
        <v>132561</v>
      </c>
      <c r="C198" s="127">
        <f>VLOOKUP($B198,'Выгр Торг'!$B:$Q,C$1,0)</f>
        <v>166624</v>
      </c>
      <c r="D198" s="128" t="s">
        <v>135</v>
      </c>
      <c r="E198" s="125" t="str">
        <f>VLOOKUP($B198,'Выгр Торг'!$B:$Q,E$1,0)</f>
        <v>Руль анатомический "Ferrum" Exclusive с обогревом (вставки из алькантары) для Лада Ларгус FL, Веста, XRAY (Белая нить, Чёрный глянец)</v>
      </c>
      <c r="F198" s="127" t="str">
        <f>VLOOKUP($B198,'Выгр Торг'!$B:$Q,F$1,0)</f>
        <v>Y</v>
      </c>
      <c r="G198" s="127" t="str">
        <f>VLOOKUP($B198,'Выгр Торг'!$B:$Q,G$1,0)</f>
        <v>1</v>
      </c>
      <c r="H198" s="40">
        <v>166610</v>
      </c>
      <c r="I198" s="156"/>
      <c r="J198" s="160"/>
      <c r="K198" s="161">
        <v>870</v>
      </c>
      <c r="L198" s="130">
        <f t="shared" si="156"/>
        <v>49720</v>
      </c>
      <c r="M198" s="130">
        <f t="shared" si="138"/>
        <v>50720</v>
      </c>
      <c r="N198" s="130">
        <f t="shared" si="139"/>
        <v>43720</v>
      </c>
      <c r="O198" s="132">
        <f t="shared" si="54"/>
        <v>1.0201126307320998</v>
      </c>
      <c r="P198" s="132">
        <f t="shared" si="157"/>
        <v>1.1499999999999999</v>
      </c>
      <c r="Q198" s="130">
        <f t="shared" si="140"/>
        <v>61481.720430107518</v>
      </c>
      <c r="R198" s="148">
        <f t="shared" si="56"/>
        <v>61490</v>
      </c>
      <c r="S198" s="127">
        <f>VLOOKUP($B198,'Выгр Торг'!$B:$Q,S$1,0)</f>
        <v>49720</v>
      </c>
      <c r="T198" s="127">
        <f>VLOOKUP($B198,'Выгр Торг'!$B:$Q,T$1,0)</f>
        <v>61490</v>
      </c>
      <c r="U198" s="94">
        <f t="shared" si="158"/>
        <v>0</v>
      </c>
      <c r="V198" s="94">
        <f t="shared" si="159"/>
        <v>0</v>
      </c>
      <c r="W198" s="153">
        <f t="shared" si="57"/>
        <v>57185.7</v>
      </c>
      <c r="X198" s="209">
        <f>IFERROR(VLOOKUP($B198,'Из ГУГЛа'!$B:$G,6,0)*Z198+Y198,VLOOKUP($B198,'Из ГУГЛа'!$B:$G,6,0))</f>
        <v>52260</v>
      </c>
      <c r="Y198" s="220">
        <f t="shared" si="141"/>
        <v>9970</v>
      </c>
      <c r="Z198" s="133">
        <v>1</v>
      </c>
      <c r="AA198" s="134"/>
      <c r="AB198" s="135">
        <f t="shared" si="160"/>
        <v>0.15015486725663707</v>
      </c>
      <c r="AC198" s="135">
        <f t="shared" si="161"/>
        <v>-9.425373134328352E-2</v>
      </c>
      <c r="AD198" s="135">
        <f t="shared" si="162"/>
        <v>5.1086082059533355E-2</v>
      </c>
      <c r="AE198" s="222">
        <v>52260</v>
      </c>
      <c r="AF198" s="98" t="s">
        <v>623</v>
      </c>
      <c r="AH198" s="98" t="s">
        <v>135</v>
      </c>
    </row>
    <row r="199" spans="1:34" ht="46.5" thickTop="1" thickBot="1">
      <c r="A199" s="125" t="str">
        <f>INDEX('Выгр Торг'!$A:$A,MATCH($B199,'Выгр Торг'!$B:$B,0))</f>
        <v>Руль анатомический "Ferrum" Exclusive с обогревом для Лада Ларгус FL, Веста, XRAY</v>
      </c>
      <c r="B199" s="126">
        <v>132587</v>
      </c>
      <c r="C199" s="127">
        <f>VLOOKUP($B199,'Выгр Торг'!$B:$Q,C$1,0)</f>
        <v>166639</v>
      </c>
      <c r="D199" s="128" t="s">
        <v>131</v>
      </c>
      <c r="E199" s="125" t="str">
        <f>VLOOKUP($B199,'Выгр Торг'!$B:$Q,E$1,0)</f>
        <v>Руль анатомический "Ferrum" Exclusive с обогревом для Лада Ларгус FL, Веста, XRAY (Чёрная нить, Чёрный глянец)</v>
      </c>
      <c r="F199" s="127" t="str">
        <f>VLOOKUP($B199,'Выгр Торг'!$B:$Q,F$1,0)</f>
        <v>Y</v>
      </c>
      <c r="G199" s="127" t="str">
        <f>VLOOKUP($B199,'Выгр Торг'!$B:$Q,G$1,0)</f>
        <v>1ск5</v>
      </c>
      <c r="H199" s="40">
        <v>166639</v>
      </c>
      <c r="I199" s="156"/>
      <c r="J199" s="160">
        <v>7000</v>
      </c>
      <c r="K199" s="161">
        <v>0</v>
      </c>
      <c r="L199" s="130">
        <f t="shared" ref="L199:L201" si="163">M199-1000</f>
        <v>47600</v>
      </c>
      <c r="M199" s="131">
        <f>N199+J199</f>
        <v>48600</v>
      </c>
      <c r="N199" s="131">
        <v>41600</v>
      </c>
      <c r="O199" s="132">
        <f t="shared" ref="O199:O302" si="164">M199/L199</f>
        <v>1.0210084033613445</v>
      </c>
      <c r="P199" s="132">
        <f t="shared" si="157"/>
        <v>1.1499999999999999</v>
      </c>
      <c r="Q199" s="147">
        <f t="shared" ref="Q199" si="165">L199*P199*100/93</f>
        <v>58860.21505376343</v>
      </c>
      <c r="R199" s="148">
        <f t="shared" ref="R199:R302" si="166">IF(Q199&lt;=1000,(ROUNDUP(Q199,-2)-1),(ROUNDUP(Q199,-2)-10))</f>
        <v>58890</v>
      </c>
      <c r="S199" s="127">
        <f>VLOOKUP($B199,'Выгр Торг'!$B:$Q,S$1,0)</f>
        <v>47600</v>
      </c>
      <c r="T199" s="127">
        <f>VLOOKUP($B199,'Выгр Торг'!$B:$Q,T$1,0)</f>
        <v>58890</v>
      </c>
      <c r="U199" s="94">
        <f t="shared" si="158"/>
        <v>0</v>
      </c>
      <c r="V199" s="94">
        <f t="shared" si="159"/>
        <v>0</v>
      </c>
      <c r="W199" s="153">
        <f t="shared" ref="W199:W327" si="167">R199*(1-$W$2)</f>
        <v>54767.7</v>
      </c>
      <c r="X199" s="209">
        <f>IFERROR(VLOOKUP($B199,'Из ГУГЛа'!$B:$G,6,0)*Z199+Y199,VLOOKUP($B199,'Из ГУГЛа'!$B:$G,6,0))</f>
        <v>51390</v>
      </c>
      <c r="Y199" s="106">
        <f>(J199+K199)*$Y$2</f>
        <v>9100</v>
      </c>
      <c r="Z199" s="133">
        <v>1</v>
      </c>
      <c r="AA199" s="134"/>
      <c r="AB199" s="135">
        <f t="shared" si="160"/>
        <v>0.15058193277310927</v>
      </c>
      <c r="AC199" s="135">
        <f t="shared" si="161"/>
        <v>-6.5726795096322191E-2</v>
      </c>
      <c r="AD199" s="135">
        <f t="shared" si="162"/>
        <v>7.9621848739495737E-2</v>
      </c>
      <c r="AE199" s="221">
        <v>51390</v>
      </c>
      <c r="AF199" s="98" t="s">
        <v>624</v>
      </c>
      <c r="AH199" s="98" t="s">
        <v>131</v>
      </c>
    </row>
    <row r="200" spans="1:34" ht="46.5" thickTop="1" thickBot="1">
      <c r="A200" s="176" t="str">
        <f>INDEX('Выгр Торг'!$A:$A,MATCH($B200,'Выгр Торг'!$B:$B,0))</f>
        <v>Руль анатомический "Ferrum" Exclusive с обогревом для Лада Ларгус FL, Веста, XRAY</v>
      </c>
      <c r="B200" s="178">
        <v>341455</v>
      </c>
      <c r="C200" s="179">
        <f>VLOOKUP($B200,'Выгр Торг'!$B:$Q,C$1,0)</f>
        <v>341455</v>
      </c>
      <c r="D200" s="189" t="s">
        <v>131</v>
      </c>
      <c r="E200" s="176" t="str">
        <f>VLOOKUP($B200,'Выгр Торг'!$B:$Q,E$1,0)</f>
        <v>Руль анатомический "Ferrum" Exclusive с обогревом для Лада Ларгус FL, Веста, XRAY (Чёрная нить, Чёрный мат)</v>
      </c>
      <c r="F200" s="179" t="str">
        <f>VLOOKUP($B200,'Выгр Торг'!$B:$Q,F$1,0)</f>
        <v>Y</v>
      </c>
      <c r="G200" s="179" t="str">
        <f>VLOOKUP($B200,'Выгр Торг'!$B:$Q,G$1,0)</f>
        <v>1</v>
      </c>
      <c r="H200" s="177">
        <v>166639</v>
      </c>
      <c r="I200" s="156"/>
      <c r="J200" s="160">
        <v>830</v>
      </c>
      <c r="K200" s="161">
        <v>0</v>
      </c>
      <c r="L200" s="180">
        <f>M200-1000</f>
        <v>48430</v>
      </c>
      <c r="M200" s="180">
        <f t="shared" ref="M200:M224" si="168">INDEX($M:$M,MATCH($H200,$C:$C,0))+$K200+$J200</f>
        <v>49430</v>
      </c>
      <c r="N200" s="180">
        <f t="shared" ref="N200:N224" si="169">INDEX($N:$N,MATCH($H200,$C:$C,0))+$K200+$J200</f>
        <v>42430</v>
      </c>
      <c r="O200" s="107">
        <f>M200/L200</f>
        <v>1.0206483584555028</v>
      </c>
      <c r="P200" s="132">
        <f t="shared" si="157"/>
        <v>1.1499999999999999</v>
      </c>
      <c r="Q200" s="180">
        <f t="shared" ref="Q200:Q224" si="170">INDEX($Q:$Q,MATCH($H200,$C:$C,0))+($K200+$J200)*INDEX($P:$P,MATCH($H200,$C:$C,0))*100/93</f>
        <v>59886.559139784935</v>
      </c>
      <c r="R200" s="144">
        <f>IF(Q200&lt;=1000,(ROUNDUP(Q200,-2)-1),(ROUNDUP(Q200,-2)-10))</f>
        <v>59890</v>
      </c>
      <c r="S200" s="179">
        <f>VLOOKUP($B200,'Выгр Торг'!$B:$Q,S$1,0)</f>
        <v>48430</v>
      </c>
      <c r="T200" s="179">
        <f>VLOOKUP($B200,'Выгр Торг'!$B:$Q,T$1,0)</f>
        <v>59890</v>
      </c>
      <c r="U200" s="94">
        <f t="shared" si="158"/>
        <v>0</v>
      </c>
      <c r="V200" s="94">
        <f t="shared" si="159"/>
        <v>0</v>
      </c>
      <c r="W200" s="182">
        <f>R200*(1-$W$2)</f>
        <v>55697.7</v>
      </c>
      <c r="X200" s="218">
        <f>IFERROR(VLOOKUP($B200,'Из ГУГЛа'!$B:$G,6,0)*Z200+Y200,VLOOKUP($B200,'Из ГУГЛа'!$B:$G,6,0))</f>
        <v>52220</v>
      </c>
      <c r="Y200" s="220">
        <f t="shared" ref="Y200:Y224" si="171">INDEX($Y:$Y,MATCH($H200,$C:$C,0))+J200+K200</f>
        <v>9930</v>
      </c>
      <c r="Z200" s="133">
        <v>1</v>
      </c>
      <c r="AA200" s="133">
        <v>1300</v>
      </c>
      <c r="AB200" s="184">
        <f>IFERROR(W200/L200-1,"")</f>
        <v>0.15006607474705747</v>
      </c>
      <c r="AC200" s="184">
        <f>IFERROR((AE200-W200)/AE200,"")</f>
        <v>-6.6597089237839857E-2</v>
      </c>
      <c r="AD200" s="184">
        <f>IFERROR(IF(AE200="","",AE200/L200-1),"")</f>
        <v>7.8257278546355558E-2</v>
      </c>
      <c r="AE200" s="222">
        <v>52220</v>
      </c>
      <c r="AF200" s="98" t="s">
        <v>624</v>
      </c>
      <c r="AH200" s="98" t="s">
        <v>131</v>
      </c>
    </row>
    <row r="201" spans="1:34" ht="46.5" thickTop="1" thickBot="1">
      <c r="A201" s="125" t="str">
        <f>INDEX('Выгр Торг'!$A:$A,MATCH($B201,'Выгр Торг'!$B:$B,0))</f>
        <v>Руль анатомический "Ferrum" Exclusive с обогревом для Лада Ларгус FL, Веста, XRAY</v>
      </c>
      <c r="B201" s="126">
        <v>341454</v>
      </c>
      <c r="C201" s="127">
        <f>VLOOKUP($B201,'Выгр Торг'!$B:$Q,C$1,0)</f>
        <v>341454</v>
      </c>
      <c r="D201" s="128" t="s">
        <v>131</v>
      </c>
      <c r="E201" s="125" t="str">
        <f>VLOOKUP($B201,'Выгр Торг'!$B:$Q,E$1,0)</f>
        <v>Руль анатомический "Ferrum" Exclusive с обогревом для Лада Ларгус FL, Веста, XRAY (Белая нить, Чёрный мат)</v>
      </c>
      <c r="F201" s="127" t="str">
        <f>VLOOKUP($B201,'Выгр Торг'!$B:$Q,F$1,0)</f>
        <v>Y</v>
      </c>
      <c r="G201" s="127" t="str">
        <f>VLOOKUP($B201,'Выгр Торг'!$B:$Q,G$1,0)</f>
        <v>1</v>
      </c>
      <c r="H201" s="40">
        <v>166639</v>
      </c>
      <c r="I201" s="156"/>
      <c r="J201" s="160">
        <v>830</v>
      </c>
      <c r="K201" s="161">
        <v>870</v>
      </c>
      <c r="L201" s="130">
        <f t="shared" si="163"/>
        <v>49300</v>
      </c>
      <c r="M201" s="130">
        <f t="shared" si="168"/>
        <v>50300</v>
      </c>
      <c r="N201" s="130">
        <f t="shared" si="169"/>
        <v>43300</v>
      </c>
      <c r="O201" s="132">
        <f t="shared" si="164"/>
        <v>1.0202839756592292</v>
      </c>
      <c r="P201" s="132">
        <f t="shared" si="157"/>
        <v>1.1499999999999999</v>
      </c>
      <c r="Q201" s="130">
        <f t="shared" si="170"/>
        <v>60962.365591397836</v>
      </c>
      <c r="R201" s="148">
        <f t="shared" si="166"/>
        <v>60990</v>
      </c>
      <c r="S201" s="127">
        <f>VLOOKUP($B201,'Выгр Торг'!$B:$Q,S$1,0)</f>
        <v>49300</v>
      </c>
      <c r="T201" s="127">
        <f>VLOOKUP($B201,'Выгр Торг'!$B:$Q,T$1,0)</f>
        <v>60990</v>
      </c>
      <c r="U201" s="94">
        <f t="shared" si="158"/>
        <v>0</v>
      </c>
      <c r="V201" s="94">
        <f t="shared" si="159"/>
        <v>0</v>
      </c>
      <c r="W201" s="153">
        <f t="shared" si="167"/>
        <v>56720.7</v>
      </c>
      <c r="X201" s="209">
        <f>IFERROR(VLOOKUP($B201,'Из ГУГЛа'!$B:$G,6,0)*Z201+Y201,VLOOKUP($B201,'Из ГУГЛа'!$B:$G,6,0))</f>
        <v>53090</v>
      </c>
      <c r="Y201" s="220">
        <f t="shared" si="171"/>
        <v>10800</v>
      </c>
      <c r="Z201" s="133">
        <v>1</v>
      </c>
      <c r="AA201" s="133">
        <v>1300</v>
      </c>
      <c r="AB201" s="135">
        <f t="shared" si="160"/>
        <v>0.15052129817444215</v>
      </c>
      <c r="AC201" s="135">
        <f t="shared" si="161"/>
        <v>-6.83876436240346E-2</v>
      </c>
      <c r="AD201" s="135">
        <f t="shared" si="162"/>
        <v>7.6876267748478666E-2</v>
      </c>
      <c r="AE201" s="222">
        <v>53090</v>
      </c>
      <c r="AF201" s="98" t="s">
        <v>624</v>
      </c>
      <c r="AH201" s="98" t="s">
        <v>131</v>
      </c>
    </row>
    <row r="202" spans="1:34" ht="46.5" thickTop="1" thickBot="1">
      <c r="A202" s="176" t="str">
        <f>INDEX('Выгр Торг'!$A:$A,MATCH($B202,'Выгр Торг'!$B:$B,0))</f>
        <v>Руль анатомический "Ferrum" Exclusive с обогревом для Лада Ларгус FL, Веста, XRAY</v>
      </c>
      <c r="B202" s="178">
        <v>341466</v>
      </c>
      <c r="C202" s="179">
        <f>VLOOKUP($B202,'Выгр Торг'!$B:$Q,C$1,0)</f>
        <v>341466</v>
      </c>
      <c r="D202" s="189" t="s">
        <v>131</v>
      </c>
      <c r="E202" s="176" t="str">
        <f>VLOOKUP($B202,'Выгр Торг'!$B:$Q,E$1,0)</f>
        <v>Руль анатомический "Ferrum" Exclusive с обогревом для Лада Ларгус FL, Веста, XRAY (Жёлтая нить, Чёрный мат)</v>
      </c>
      <c r="F202" s="179" t="str">
        <f>VLOOKUP($B202,'Выгр Торг'!$B:$Q,F$1,0)</f>
        <v>Y</v>
      </c>
      <c r="G202" s="179" t="str">
        <f>VLOOKUP($B202,'Выгр Торг'!$B:$Q,G$1,0)</f>
        <v>1</v>
      </c>
      <c r="H202" s="177">
        <v>166639</v>
      </c>
      <c r="I202" s="156"/>
      <c r="J202" s="160">
        <v>830</v>
      </c>
      <c r="K202" s="161">
        <v>870</v>
      </c>
      <c r="L202" s="180">
        <f t="shared" ref="L202:L213" si="172">M202-1000</f>
        <v>49300</v>
      </c>
      <c r="M202" s="180">
        <f t="shared" si="168"/>
        <v>50300</v>
      </c>
      <c r="N202" s="180">
        <f t="shared" si="169"/>
        <v>43300</v>
      </c>
      <c r="O202" s="107">
        <f t="shared" ref="O202:O213" si="173">M202/L202</f>
        <v>1.0202839756592292</v>
      </c>
      <c r="P202" s="132">
        <f t="shared" si="157"/>
        <v>1.1499999999999999</v>
      </c>
      <c r="Q202" s="180">
        <f t="shared" si="170"/>
        <v>60962.365591397836</v>
      </c>
      <c r="R202" s="144">
        <f t="shared" ref="R202:R213" si="174">IF(Q202&lt;=1000,(ROUNDUP(Q202,-2)-1),(ROUNDUP(Q202,-2)-10))</f>
        <v>60990</v>
      </c>
      <c r="S202" s="179">
        <f>VLOOKUP($B202,'Выгр Торг'!$B:$Q,S$1,0)</f>
        <v>49300</v>
      </c>
      <c r="T202" s="179">
        <f>VLOOKUP($B202,'Выгр Торг'!$B:$Q,T$1,0)</f>
        <v>60990</v>
      </c>
      <c r="U202" s="94">
        <f t="shared" si="158"/>
        <v>0</v>
      </c>
      <c r="V202" s="94">
        <f t="shared" si="159"/>
        <v>0</v>
      </c>
      <c r="W202" s="182">
        <f t="shared" ref="W202:W213" si="175">R202*(1-$W$2)</f>
        <v>56720.7</v>
      </c>
      <c r="X202" s="218">
        <f>IFERROR(VLOOKUP($B202,'Из ГУГЛа'!$B:$G,6,0)*Z202+Y202,VLOOKUP($B202,'Из ГУГЛа'!$B:$G,6,0))</f>
        <v>53090</v>
      </c>
      <c r="Y202" s="220">
        <f t="shared" si="171"/>
        <v>10800</v>
      </c>
      <c r="Z202" s="133">
        <v>1</v>
      </c>
      <c r="AA202" s="133">
        <v>1300</v>
      </c>
      <c r="AB202" s="184">
        <f t="shared" ref="AB202:AB213" si="176">IFERROR(W202/L202-1,"")</f>
        <v>0.15052129817444215</v>
      </c>
      <c r="AC202" s="184">
        <f t="shared" ref="AC202:AC213" si="177">IFERROR((AE202-W202)/AE202,"")</f>
        <v>-6.83876436240346E-2</v>
      </c>
      <c r="AD202" s="184">
        <f t="shared" ref="AD202:AD213" si="178">IFERROR(IF(AE202="","",AE202/L202-1),"")</f>
        <v>7.6876267748478666E-2</v>
      </c>
      <c r="AE202" s="222">
        <v>53090</v>
      </c>
      <c r="AF202" s="98" t="s">
        <v>624</v>
      </c>
      <c r="AH202" s="98" t="s">
        <v>131</v>
      </c>
    </row>
    <row r="203" spans="1:34" ht="46.5" thickTop="1" thickBot="1">
      <c r="A203" s="176" t="str">
        <f>INDEX('Выгр Торг'!$A:$A,MATCH($B203,'Выгр Торг'!$B:$B,0))</f>
        <v>Руль анатомический "Ferrum" Exclusive с обогревом для Лада Ларгус FL, Веста, XRAY</v>
      </c>
      <c r="B203" s="178">
        <v>341465</v>
      </c>
      <c r="C203" s="179">
        <f>VLOOKUP($B203,'Выгр Торг'!$B:$Q,C$1,0)</f>
        <v>341465</v>
      </c>
      <c r="D203" s="189" t="s">
        <v>131</v>
      </c>
      <c r="E203" s="176" t="str">
        <f>VLOOKUP($B203,'Выгр Торг'!$B:$Q,E$1,0)</f>
        <v>Руль анатомический "Ferrum" Exclusive с обогревом для Лада Ларгус FL, Веста, XRAY (Зелёная нить, Чёрный мат)</v>
      </c>
      <c r="F203" s="179" t="str">
        <f>VLOOKUP($B203,'Выгр Торг'!$B:$Q,F$1,0)</f>
        <v>Y</v>
      </c>
      <c r="G203" s="179" t="str">
        <f>VLOOKUP($B203,'Выгр Торг'!$B:$Q,G$1,0)</f>
        <v>1</v>
      </c>
      <c r="H203" s="177">
        <v>166639</v>
      </c>
      <c r="I203" s="156"/>
      <c r="J203" s="160">
        <v>830</v>
      </c>
      <c r="K203" s="161">
        <v>870</v>
      </c>
      <c r="L203" s="180">
        <f t="shared" si="172"/>
        <v>49300</v>
      </c>
      <c r="M203" s="180">
        <f t="shared" si="168"/>
        <v>50300</v>
      </c>
      <c r="N203" s="180">
        <f t="shared" si="169"/>
        <v>43300</v>
      </c>
      <c r="O203" s="107">
        <f t="shared" si="173"/>
        <v>1.0202839756592292</v>
      </c>
      <c r="P203" s="132">
        <f t="shared" si="157"/>
        <v>1.1499999999999999</v>
      </c>
      <c r="Q203" s="180">
        <f t="shared" si="170"/>
        <v>60962.365591397836</v>
      </c>
      <c r="R203" s="144">
        <f t="shared" si="174"/>
        <v>60990</v>
      </c>
      <c r="S203" s="179">
        <f>VLOOKUP($B203,'Выгр Торг'!$B:$Q,S$1,0)</f>
        <v>49300</v>
      </c>
      <c r="T203" s="179">
        <f>VLOOKUP($B203,'Выгр Торг'!$B:$Q,T$1,0)</f>
        <v>60990</v>
      </c>
      <c r="U203" s="94">
        <f t="shared" si="158"/>
        <v>0</v>
      </c>
      <c r="V203" s="94">
        <f t="shared" si="159"/>
        <v>0</v>
      </c>
      <c r="W203" s="182">
        <f t="shared" si="175"/>
        <v>56720.7</v>
      </c>
      <c r="X203" s="218">
        <f>IFERROR(VLOOKUP($B203,'Из ГУГЛа'!$B:$G,6,0)*Z203+Y203,VLOOKUP($B203,'Из ГУГЛа'!$B:$G,6,0))</f>
        <v>53090</v>
      </c>
      <c r="Y203" s="220">
        <f t="shared" si="171"/>
        <v>10800</v>
      </c>
      <c r="Z203" s="133">
        <v>1</v>
      </c>
      <c r="AA203" s="133">
        <v>1300</v>
      </c>
      <c r="AB203" s="184">
        <f t="shared" si="176"/>
        <v>0.15052129817444215</v>
      </c>
      <c r="AC203" s="184">
        <f t="shared" si="177"/>
        <v>-6.83876436240346E-2</v>
      </c>
      <c r="AD203" s="184">
        <f t="shared" si="178"/>
        <v>7.6876267748478666E-2</v>
      </c>
      <c r="AE203" s="222">
        <v>53090</v>
      </c>
      <c r="AF203" s="98" t="s">
        <v>624</v>
      </c>
      <c r="AH203" s="98" t="s">
        <v>131</v>
      </c>
    </row>
    <row r="204" spans="1:34" ht="46.5" thickTop="1" thickBot="1">
      <c r="A204" s="176" t="str">
        <f>INDEX('Выгр Торг'!$A:$A,MATCH($B204,'Выгр Торг'!$B:$B,0))</f>
        <v>Руль анатомический "Ferrum" Exclusive с обогревом для Лада Ларгус FL, Веста, XRAY</v>
      </c>
      <c r="B204" s="178">
        <v>341457</v>
      </c>
      <c r="C204" s="179">
        <f>VLOOKUP($B204,'Выгр Торг'!$B:$Q,C$1,0)</f>
        <v>341457</v>
      </c>
      <c r="D204" s="189" t="s">
        <v>131</v>
      </c>
      <c r="E204" s="176" t="str">
        <f>VLOOKUP($B204,'Выгр Торг'!$B:$Q,E$1,0)</f>
        <v>Руль анатомический "Ferrum" Exclusive с обогревом для Лада Ларгус FL, Веста, XRAY (Коричневая нить, Чёрный мат)</v>
      </c>
      <c r="F204" s="179" t="str">
        <f>VLOOKUP($B204,'Выгр Торг'!$B:$Q,F$1,0)</f>
        <v>Y</v>
      </c>
      <c r="G204" s="179" t="str">
        <f>VLOOKUP($B204,'Выгр Торг'!$B:$Q,G$1,0)</f>
        <v>1</v>
      </c>
      <c r="H204" s="177">
        <v>166639</v>
      </c>
      <c r="I204" s="156"/>
      <c r="J204" s="160">
        <v>830</v>
      </c>
      <c r="K204" s="161">
        <v>870</v>
      </c>
      <c r="L204" s="180">
        <f t="shared" si="172"/>
        <v>49300</v>
      </c>
      <c r="M204" s="180">
        <f t="shared" si="168"/>
        <v>50300</v>
      </c>
      <c r="N204" s="180">
        <f t="shared" si="169"/>
        <v>43300</v>
      </c>
      <c r="O204" s="107">
        <f t="shared" si="173"/>
        <v>1.0202839756592292</v>
      </c>
      <c r="P204" s="132">
        <f t="shared" si="157"/>
        <v>1.1499999999999999</v>
      </c>
      <c r="Q204" s="180">
        <f t="shared" si="170"/>
        <v>60962.365591397836</v>
      </c>
      <c r="R204" s="144">
        <f t="shared" si="174"/>
        <v>60990</v>
      </c>
      <c r="S204" s="179">
        <f>VLOOKUP($B204,'Выгр Торг'!$B:$Q,S$1,0)</f>
        <v>49300</v>
      </c>
      <c r="T204" s="179">
        <f>VLOOKUP($B204,'Выгр Торг'!$B:$Q,T$1,0)</f>
        <v>60990</v>
      </c>
      <c r="U204" s="94">
        <f t="shared" si="158"/>
        <v>0</v>
      </c>
      <c r="V204" s="94">
        <f t="shared" si="159"/>
        <v>0</v>
      </c>
      <c r="W204" s="182">
        <f t="shared" si="175"/>
        <v>56720.7</v>
      </c>
      <c r="X204" s="218">
        <f>IFERROR(VLOOKUP($B204,'Из ГУГЛа'!$B:$G,6,0)*Z204+Y204,VLOOKUP($B204,'Из ГУГЛа'!$B:$G,6,0))</f>
        <v>53090</v>
      </c>
      <c r="Y204" s="220">
        <f t="shared" si="171"/>
        <v>10800</v>
      </c>
      <c r="Z204" s="133">
        <v>1</v>
      </c>
      <c r="AA204" s="133">
        <v>1300</v>
      </c>
      <c r="AB204" s="184">
        <f t="shared" si="176"/>
        <v>0.15052129817444215</v>
      </c>
      <c r="AC204" s="184">
        <f t="shared" si="177"/>
        <v>-6.83876436240346E-2</v>
      </c>
      <c r="AD204" s="184">
        <f t="shared" si="178"/>
        <v>7.6876267748478666E-2</v>
      </c>
      <c r="AE204" s="222">
        <v>53090</v>
      </c>
      <c r="AF204" s="98" t="s">
        <v>624</v>
      </c>
      <c r="AH204" s="98" t="s">
        <v>131</v>
      </c>
    </row>
    <row r="205" spans="1:34" ht="46.5" thickTop="1" thickBot="1">
      <c r="A205" s="176" t="str">
        <f>INDEX('Выгр Торг'!$A:$A,MATCH($B205,'Выгр Торг'!$B:$B,0))</f>
        <v>Руль анатомический "Ferrum" Exclusive с обогревом для Лада Ларгус FL, Веста, XRAY</v>
      </c>
      <c r="B205" s="178">
        <v>341458</v>
      </c>
      <c r="C205" s="179">
        <f>VLOOKUP($B205,'Выгр Торг'!$B:$Q,C$1,0)</f>
        <v>341458</v>
      </c>
      <c r="D205" s="189" t="s">
        <v>131</v>
      </c>
      <c r="E205" s="176" t="str">
        <f>VLOOKUP($B205,'Выгр Торг'!$B:$Q,E$1,0)</f>
        <v>Руль анатомический "Ferrum" Exclusive с обогревом для Лада Ларгус FL, Веста, XRAY (Красная нить, Чёрный мат)</v>
      </c>
      <c r="F205" s="179" t="str">
        <f>VLOOKUP($B205,'Выгр Торг'!$B:$Q,F$1,0)</f>
        <v>Y</v>
      </c>
      <c r="G205" s="179" t="str">
        <f>VLOOKUP($B205,'Выгр Торг'!$B:$Q,G$1,0)</f>
        <v>1</v>
      </c>
      <c r="H205" s="177">
        <v>166639</v>
      </c>
      <c r="I205" s="156"/>
      <c r="J205" s="160">
        <v>830</v>
      </c>
      <c r="K205" s="161">
        <v>870</v>
      </c>
      <c r="L205" s="180">
        <f t="shared" si="172"/>
        <v>49300</v>
      </c>
      <c r="M205" s="180">
        <f t="shared" si="168"/>
        <v>50300</v>
      </c>
      <c r="N205" s="180">
        <f t="shared" si="169"/>
        <v>43300</v>
      </c>
      <c r="O205" s="107">
        <f t="shared" si="173"/>
        <v>1.0202839756592292</v>
      </c>
      <c r="P205" s="132">
        <f t="shared" si="157"/>
        <v>1.1499999999999999</v>
      </c>
      <c r="Q205" s="180">
        <f t="shared" si="170"/>
        <v>60962.365591397836</v>
      </c>
      <c r="R205" s="144">
        <f t="shared" si="174"/>
        <v>60990</v>
      </c>
      <c r="S205" s="179">
        <f>VLOOKUP($B205,'Выгр Торг'!$B:$Q,S$1,0)</f>
        <v>49300</v>
      </c>
      <c r="T205" s="179">
        <f>VLOOKUP($B205,'Выгр Торг'!$B:$Q,T$1,0)</f>
        <v>60990</v>
      </c>
      <c r="U205" s="94">
        <f t="shared" si="158"/>
        <v>0</v>
      </c>
      <c r="V205" s="94">
        <f t="shared" si="159"/>
        <v>0</v>
      </c>
      <c r="W205" s="182">
        <f t="shared" si="175"/>
        <v>56720.7</v>
      </c>
      <c r="X205" s="218">
        <f>IFERROR(VLOOKUP($B205,'Из ГУГЛа'!$B:$G,6,0)*Z205+Y205,VLOOKUP($B205,'Из ГУГЛа'!$B:$G,6,0))</f>
        <v>53090</v>
      </c>
      <c r="Y205" s="220">
        <f t="shared" si="171"/>
        <v>10800</v>
      </c>
      <c r="Z205" s="133">
        <v>1</v>
      </c>
      <c r="AA205" s="133">
        <v>1300</v>
      </c>
      <c r="AB205" s="184">
        <f t="shared" si="176"/>
        <v>0.15052129817444215</v>
      </c>
      <c r="AC205" s="184">
        <f t="shared" si="177"/>
        <v>-6.83876436240346E-2</v>
      </c>
      <c r="AD205" s="184">
        <f t="shared" si="178"/>
        <v>7.6876267748478666E-2</v>
      </c>
      <c r="AE205" s="222">
        <v>53090</v>
      </c>
      <c r="AF205" s="98" t="s">
        <v>624</v>
      </c>
      <c r="AH205" s="98" t="s">
        <v>131</v>
      </c>
    </row>
    <row r="206" spans="1:34" ht="46.5" thickTop="1" thickBot="1">
      <c r="A206" s="176" t="str">
        <f>INDEX('Выгр Торг'!$A:$A,MATCH($B206,'Выгр Торг'!$B:$B,0))</f>
        <v>Руль анатомический "Ferrum" Exclusive с обогревом для Лада Ларгус FL, Веста, XRAY</v>
      </c>
      <c r="B206" s="178">
        <v>341459</v>
      </c>
      <c r="C206" s="179">
        <f>VLOOKUP($B206,'Выгр Торг'!$B:$Q,C$1,0)</f>
        <v>341459</v>
      </c>
      <c r="D206" s="189" t="s">
        <v>131</v>
      </c>
      <c r="E206" s="176" t="str">
        <f>VLOOKUP($B206,'Выгр Торг'!$B:$Q,E$1,0)</f>
        <v>Руль анатомический "Ferrum" Exclusive с обогревом для Лада Ларгус FL, Веста, XRAY (Оранжевая нить, Чёрный мат)</v>
      </c>
      <c r="F206" s="179" t="str">
        <f>VLOOKUP($B206,'Выгр Торг'!$B:$Q,F$1,0)</f>
        <v>Y</v>
      </c>
      <c r="G206" s="179" t="str">
        <f>VLOOKUP($B206,'Выгр Торг'!$B:$Q,G$1,0)</f>
        <v>1</v>
      </c>
      <c r="H206" s="177">
        <v>166639</v>
      </c>
      <c r="I206" s="156"/>
      <c r="J206" s="160">
        <v>830</v>
      </c>
      <c r="K206" s="161">
        <v>870</v>
      </c>
      <c r="L206" s="180">
        <f t="shared" si="172"/>
        <v>49300</v>
      </c>
      <c r="M206" s="180">
        <f t="shared" si="168"/>
        <v>50300</v>
      </c>
      <c r="N206" s="180">
        <f t="shared" si="169"/>
        <v>43300</v>
      </c>
      <c r="O206" s="107">
        <f t="shared" si="173"/>
        <v>1.0202839756592292</v>
      </c>
      <c r="P206" s="132">
        <f t="shared" si="157"/>
        <v>1.1499999999999999</v>
      </c>
      <c r="Q206" s="180">
        <f t="shared" si="170"/>
        <v>60962.365591397836</v>
      </c>
      <c r="R206" s="144">
        <f t="shared" si="174"/>
        <v>60990</v>
      </c>
      <c r="S206" s="179">
        <f>VLOOKUP($B206,'Выгр Торг'!$B:$Q,S$1,0)</f>
        <v>49300</v>
      </c>
      <c r="T206" s="179">
        <f>VLOOKUP($B206,'Выгр Торг'!$B:$Q,T$1,0)</f>
        <v>60990</v>
      </c>
      <c r="U206" s="94">
        <f t="shared" si="158"/>
        <v>0</v>
      </c>
      <c r="V206" s="94">
        <f t="shared" si="159"/>
        <v>0</v>
      </c>
      <c r="W206" s="182">
        <f t="shared" si="175"/>
        <v>56720.7</v>
      </c>
      <c r="X206" s="218">
        <f>IFERROR(VLOOKUP($B206,'Из ГУГЛа'!$B:$G,6,0)*Z206+Y206,VLOOKUP($B206,'Из ГУГЛа'!$B:$G,6,0))</f>
        <v>53090</v>
      </c>
      <c r="Y206" s="220">
        <f t="shared" si="171"/>
        <v>10800</v>
      </c>
      <c r="Z206" s="133">
        <v>1</v>
      </c>
      <c r="AA206" s="133">
        <v>1300</v>
      </c>
      <c r="AB206" s="184">
        <f t="shared" si="176"/>
        <v>0.15052129817444215</v>
      </c>
      <c r="AC206" s="184">
        <f t="shared" si="177"/>
        <v>-6.83876436240346E-2</v>
      </c>
      <c r="AD206" s="184">
        <f t="shared" si="178"/>
        <v>7.6876267748478666E-2</v>
      </c>
      <c r="AE206" s="222">
        <v>53090</v>
      </c>
      <c r="AF206" s="98" t="s">
        <v>624</v>
      </c>
      <c r="AH206" s="98" t="s">
        <v>131</v>
      </c>
    </row>
    <row r="207" spans="1:34" ht="46.5" thickTop="1" thickBot="1">
      <c r="A207" s="176" t="str">
        <f>INDEX('Выгр Торг'!$A:$A,MATCH($B207,'Выгр Торг'!$B:$B,0))</f>
        <v>Руль анатомический "Ferrum" Exclusive с обогревом для Лада Ларгус FL, Веста, XRAY</v>
      </c>
      <c r="B207" s="178">
        <v>341460</v>
      </c>
      <c r="C207" s="179">
        <f>VLOOKUP($B207,'Выгр Торг'!$B:$Q,C$1,0)</f>
        <v>341460</v>
      </c>
      <c r="D207" s="189" t="s">
        <v>131</v>
      </c>
      <c r="E207" s="176" t="str">
        <f>VLOOKUP($B207,'Выгр Торг'!$B:$Q,E$1,0)</f>
        <v>Руль анатомический "Ferrum" Exclusive с обогревом для Лада Ларгус FL, Веста, XRAY (Салатовая нить, Чёрный мат)</v>
      </c>
      <c r="F207" s="179" t="str">
        <f>VLOOKUP($B207,'Выгр Торг'!$B:$Q,F$1,0)</f>
        <v>Y</v>
      </c>
      <c r="G207" s="179" t="str">
        <f>VLOOKUP($B207,'Выгр Торг'!$B:$Q,G$1,0)</f>
        <v>1</v>
      </c>
      <c r="H207" s="177">
        <v>166639</v>
      </c>
      <c r="I207" s="156"/>
      <c r="J207" s="160">
        <v>830</v>
      </c>
      <c r="K207" s="161">
        <v>870</v>
      </c>
      <c r="L207" s="180">
        <f t="shared" si="172"/>
        <v>49300</v>
      </c>
      <c r="M207" s="180">
        <f t="shared" si="168"/>
        <v>50300</v>
      </c>
      <c r="N207" s="180">
        <f t="shared" si="169"/>
        <v>43300</v>
      </c>
      <c r="O207" s="107">
        <f t="shared" si="173"/>
        <v>1.0202839756592292</v>
      </c>
      <c r="P207" s="132">
        <f t="shared" si="157"/>
        <v>1.1499999999999999</v>
      </c>
      <c r="Q207" s="180">
        <f t="shared" si="170"/>
        <v>60962.365591397836</v>
      </c>
      <c r="R207" s="144">
        <f t="shared" si="174"/>
        <v>60990</v>
      </c>
      <c r="S207" s="179">
        <f>VLOOKUP($B207,'Выгр Торг'!$B:$Q,S$1,0)</f>
        <v>49300</v>
      </c>
      <c r="T207" s="179">
        <f>VLOOKUP($B207,'Выгр Торг'!$B:$Q,T$1,0)</f>
        <v>60990</v>
      </c>
      <c r="U207" s="94">
        <f t="shared" si="158"/>
        <v>0</v>
      </c>
      <c r="V207" s="94">
        <f t="shared" si="159"/>
        <v>0</v>
      </c>
      <c r="W207" s="182">
        <f t="shared" si="175"/>
        <v>56720.7</v>
      </c>
      <c r="X207" s="218">
        <f>IFERROR(VLOOKUP($B207,'Из ГУГЛа'!$B:$G,6,0)*Z207+Y207,VLOOKUP($B207,'Из ГУГЛа'!$B:$G,6,0))</f>
        <v>53090</v>
      </c>
      <c r="Y207" s="220">
        <f t="shared" si="171"/>
        <v>10800</v>
      </c>
      <c r="Z207" s="133">
        <v>1</v>
      </c>
      <c r="AA207" s="133">
        <v>1300</v>
      </c>
      <c r="AB207" s="184">
        <f t="shared" si="176"/>
        <v>0.15052129817444215</v>
      </c>
      <c r="AC207" s="184">
        <f t="shared" si="177"/>
        <v>-6.83876436240346E-2</v>
      </c>
      <c r="AD207" s="184">
        <f t="shared" si="178"/>
        <v>7.6876267748478666E-2</v>
      </c>
      <c r="AE207" s="222">
        <v>53090</v>
      </c>
      <c r="AF207" s="98" t="s">
        <v>624</v>
      </c>
      <c r="AH207" s="98" t="s">
        <v>131</v>
      </c>
    </row>
    <row r="208" spans="1:34" ht="46.5" thickTop="1" thickBot="1">
      <c r="A208" s="176" t="str">
        <f>INDEX('Выгр Торг'!$A:$A,MATCH($B208,'Выгр Торг'!$B:$B,0))</f>
        <v>Руль анатомический "Ferrum" Exclusive с обогревом для Лада Ларгус FL, Веста, XRAY</v>
      </c>
      <c r="B208" s="178">
        <v>341463</v>
      </c>
      <c r="C208" s="179">
        <f>VLOOKUP($B208,'Выгр Торг'!$B:$Q,C$1,0)</f>
        <v>341463</v>
      </c>
      <c r="D208" s="189" t="s">
        <v>131</v>
      </c>
      <c r="E208" s="176" t="str">
        <f>VLOOKUP($B208,'Выгр Торг'!$B:$Q,E$1,0)</f>
        <v>Руль анатомический "Ferrum" Exclusive с обогревом для Лада Ларгус FL, Веста, XRAY (Светло-серая нить, Чёрный мат)</v>
      </c>
      <c r="F208" s="179" t="str">
        <f>VLOOKUP($B208,'Выгр Торг'!$B:$Q,F$1,0)</f>
        <v>Y</v>
      </c>
      <c r="G208" s="179" t="str">
        <f>VLOOKUP($B208,'Выгр Торг'!$B:$Q,G$1,0)</f>
        <v>1</v>
      </c>
      <c r="H208" s="177">
        <v>166639</v>
      </c>
      <c r="I208" s="156"/>
      <c r="J208" s="160">
        <v>830</v>
      </c>
      <c r="K208" s="161">
        <v>870</v>
      </c>
      <c r="L208" s="180">
        <f t="shared" si="172"/>
        <v>49300</v>
      </c>
      <c r="M208" s="180">
        <f t="shared" si="168"/>
        <v>50300</v>
      </c>
      <c r="N208" s="180">
        <f t="shared" si="169"/>
        <v>43300</v>
      </c>
      <c r="O208" s="107">
        <f t="shared" si="173"/>
        <v>1.0202839756592292</v>
      </c>
      <c r="P208" s="132">
        <f t="shared" si="157"/>
        <v>1.1499999999999999</v>
      </c>
      <c r="Q208" s="180">
        <f t="shared" si="170"/>
        <v>60962.365591397836</v>
      </c>
      <c r="R208" s="144">
        <f t="shared" si="174"/>
        <v>60990</v>
      </c>
      <c r="S208" s="179">
        <f>VLOOKUP($B208,'Выгр Торг'!$B:$Q,S$1,0)</f>
        <v>49300</v>
      </c>
      <c r="T208" s="179">
        <f>VLOOKUP($B208,'Выгр Торг'!$B:$Q,T$1,0)</f>
        <v>60990</v>
      </c>
      <c r="U208" s="94">
        <f t="shared" si="158"/>
        <v>0</v>
      </c>
      <c r="V208" s="94">
        <f t="shared" si="159"/>
        <v>0</v>
      </c>
      <c r="W208" s="182">
        <f t="shared" si="175"/>
        <v>56720.7</v>
      </c>
      <c r="X208" s="218">
        <f>IFERROR(VLOOKUP($B208,'Из ГУГЛа'!$B:$G,6,0)*Z208+Y208,VLOOKUP($B208,'Из ГУГЛа'!$B:$G,6,0))</f>
        <v>53090</v>
      </c>
      <c r="Y208" s="220">
        <f t="shared" si="171"/>
        <v>10800</v>
      </c>
      <c r="Z208" s="133">
        <v>1</v>
      </c>
      <c r="AA208" s="133">
        <v>1300</v>
      </c>
      <c r="AB208" s="184">
        <f t="shared" si="176"/>
        <v>0.15052129817444215</v>
      </c>
      <c r="AC208" s="184">
        <f t="shared" si="177"/>
        <v>-6.83876436240346E-2</v>
      </c>
      <c r="AD208" s="184">
        <f t="shared" si="178"/>
        <v>7.6876267748478666E-2</v>
      </c>
      <c r="AE208" s="222">
        <v>53090</v>
      </c>
      <c r="AF208" s="98" t="s">
        <v>624</v>
      </c>
      <c r="AH208" s="98" t="s">
        <v>131</v>
      </c>
    </row>
    <row r="209" spans="1:34" ht="46.5" thickTop="1" thickBot="1">
      <c r="A209" s="176" t="str">
        <f>INDEX('Выгр Торг'!$A:$A,MATCH($B209,'Выгр Торг'!$B:$B,0))</f>
        <v>Руль анатомический "Ferrum" Exclusive с обогревом для Лада Ларгус FL, Веста, XRAY</v>
      </c>
      <c r="B209" s="178">
        <v>341461</v>
      </c>
      <c r="C209" s="179">
        <f>VLOOKUP($B209,'Выгр Торг'!$B:$Q,C$1,0)</f>
        <v>341461</v>
      </c>
      <c r="D209" s="189" t="s">
        <v>131</v>
      </c>
      <c r="E209" s="176" t="str">
        <f>VLOOKUP($B209,'Выгр Торг'!$B:$Q,E$1,0)</f>
        <v>Руль анатомический "Ferrum" Exclusive с обогревом для Лада Ларгус FL, Веста, XRAY (Сине-зелёная нить, Чёрный мат)</v>
      </c>
      <c r="F209" s="179" t="str">
        <f>VLOOKUP($B209,'Выгр Торг'!$B:$Q,F$1,0)</f>
        <v>Y</v>
      </c>
      <c r="G209" s="179" t="str">
        <f>VLOOKUP($B209,'Выгр Торг'!$B:$Q,G$1,0)</f>
        <v>1</v>
      </c>
      <c r="H209" s="177">
        <v>166639</v>
      </c>
      <c r="I209" s="156"/>
      <c r="J209" s="160">
        <v>830</v>
      </c>
      <c r="K209" s="161">
        <v>870</v>
      </c>
      <c r="L209" s="180">
        <f t="shared" si="172"/>
        <v>49300</v>
      </c>
      <c r="M209" s="180">
        <f t="shared" si="168"/>
        <v>50300</v>
      </c>
      <c r="N209" s="180">
        <f t="shared" si="169"/>
        <v>43300</v>
      </c>
      <c r="O209" s="107">
        <f t="shared" si="173"/>
        <v>1.0202839756592292</v>
      </c>
      <c r="P209" s="132">
        <f t="shared" si="157"/>
        <v>1.1499999999999999</v>
      </c>
      <c r="Q209" s="180">
        <f t="shared" si="170"/>
        <v>60962.365591397836</v>
      </c>
      <c r="R209" s="144">
        <f t="shared" si="174"/>
        <v>60990</v>
      </c>
      <c r="S209" s="179">
        <f>VLOOKUP($B209,'Выгр Торг'!$B:$Q,S$1,0)</f>
        <v>49300</v>
      </c>
      <c r="T209" s="179">
        <f>VLOOKUP($B209,'Выгр Торг'!$B:$Q,T$1,0)</f>
        <v>60990</v>
      </c>
      <c r="U209" s="94">
        <f t="shared" si="158"/>
        <v>0</v>
      </c>
      <c r="V209" s="94">
        <f t="shared" si="159"/>
        <v>0</v>
      </c>
      <c r="W209" s="182">
        <f t="shared" si="175"/>
        <v>56720.7</v>
      </c>
      <c r="X209" s="218">
        <f>IFERROR(VLOOKUP($B209,'Из ГУГЛа'!$B:$G,6,0)*Z209+Y209,VLOOKUP($B209,'Из ГУГЛа'!$B:$G,6,0))</f>
        <v>53090</v>
      </c>
      <c r="Y209" s="220">
        <f t="shared" si="171"/>
        <v>10800</v>
      </c>
      <c r="Z209" s="133">
        <v>1</v>
      </c>
      <c r="AA209" s="133">
        <v>1300</v>
      </c>
      <c r="AB209" s="184">
        <f t="shared" si="176"/>
        <v>0.15052129817444215</v>
      </c>
      <c r="AC209" s="184">
        <f t="shared" si="177"/>
        <v>-6.83876436240346E-2</v>
      </c>
      <c r="AD209" s="184">
        <f t="shared" si="178"/>
        <v>7.6876267748478666E-2</v>
      </c>
      <c r="AE209" s="222">
        <v>53090</v>
      </c>
      <c r="AF209" s="98" t="s">
        <v>624</v>
      </c>
      <c r="AH209" s="98" t="s">
        <v>131</v>
      </c>
    </row>
    <row r="210" spans="1:34" ht="46.5" thickTop="1" thickBot="1">
      <c r="A210" s="176" t="str">
        <f>INDEX('Выгр Торг'!$A:$A,MATCH($B210,'Выгр Торг'!$B:$B,0))</f>
        <v>Руль анатомический "Ferrum" Exclusive с обогревом для Лада Ларгус FL, Веста, XRAY</v>
      </c>
      <c r="B210" s="178">
        <v>341462</v>
      </c>
      <c r="C210" s="179">
        <f>VLOOKUP($B210,'Выгр Торг'!$B:$Q,C$1,0)</f>
        <v>341462</v>
      </c>
      <c r="D210" s="189" t="s">
        <v>131</v>
      </c>
      <c r="E210" s="176" t="str">
        <f>VLOOKUP($B210,'Выгр Торг'!$B:$Q,E$1,0)</f>
        <v>Руль анатомический "Ferrum" Exclusive с обогревом для Лада Ларгус FL, Веста, XRAY (Синяя нить, Чёрный мат)</v>
      </c>
      <c r="F210" s="179" t="str">
        <f>VLOOKUP($B210,'Выгр Торг'!$B:$Q,F$1,0)</f>
        <v>Y</v>
      </c>
      <c r="G210" s="179" t="str">
        <f>VLOOKUP($B210,'Выгр Торг'!$B:$Q,G$1,0)</f>
        <v>1</v>
      </c>
      <c r="H210" s="177">
        <v>166639</v>
      </c>
      <c r="I210" s="156"/>
      <c r="J210" s="160">
        <v>830</v>
      </c>
      <c r="K210" s="161">
        <v>870</v>
      </c>
      <c r="L210" s="180">
        <f t="shared" si="172"/>
        <v>49300</v>
      </c>
      <c r="M210" s="180">
        <f t="shared" si="168"/>
        <v>50300</v>
      </c>
      <c r="N210" s="180">
        <f t="shared" si="169"/>
        <v>43300</v>
      </c>
      <c r="O210" s="107">
        <f t="shared" si="173"/>
        <v>1.0202839756592292</v>
      </c>
      <c r="P210" s="132">
        <f t="shared" si="157"/>
        <v>1.1499999999999999</v>
      </c>
      <c r="Q210" s="180">
        <f t="shared" si="170"/>
        <v>60962.365591397836</v>
      </c>
      <c r="R210" s="144">
        <f t="shared" si="174"/>
        <v>60990</v>
      </c>
      <c r="S210" s="179">
        <f>VLOOKUP($B210,'Выгр Торг'!$B:$Q,S$1,0)</f>
        <v>49300</v>
      </c>
      <c r="T210" s="179">
        <f>VLOOKUP($B210,'Выгр Торг'!$B:$Q,T$1,0)</f>
        <v>60990</v>
      </c>
      <c r="U210" s="94">
        <f t="shared" si="158"/>
        <v>0</v>
      </c>
      <c r="V210" s="94">
        <f t="shared" si="159"/>
        <v>0</v>
      </c>
      <c r="W210" s="182">
        <f t="shared" si="175"/>
        <v>56720.7</v>
      </c>
      <c r="X210" s="218">
        <f>IFERROR(VLOOKUP($B210,'Из ГУГЛа'!$B:$G,6,0)*Z210+Y210,VLOOKUP($B210,'Из ГУГЛа'!$B:$G,6,0))</f>
        <v>53090</v>
      </c>
      <c r="Y210" s="220">
        <f t="shared" si="171"/>
        <v>10800</v>
      </c>
      <c r="Z210" s="133">
        <v>1</v>
      </c>
      <c r="AA210" s="133">
        <v>1300</v>
      </c>
      <c r="AB210" s="184">
        <f t="shared" si="176"/>
        <v>0.15052129817444215</v>
      </c>
      <c r="AC210" s="184">
        <f t="shared" si="177"/>
        <v>-6.83876436240346E-2</v>
      </c>
      <c r="AD210" s="184">
        <f t="shared" si="178"/>
        <v>7.6876267748478666E-2</v>
      </c>
      <c r="AE210" s="222">
        <v>53090</v>
      </c>
      <c r="AF210" s="98" t="s">
        <v>624</v>
      </c>
      <c r="AH210" s="98" t="s">
        <v>131</v>
      </c>
    </row>
    <row r="211" spans="1:34" ht="46.5" thickTop="1" thickBot="1">
      <c r="A211" s="176" t="str">
        <f>INDEX('Выгр Торг'!$A:$A,MATCH($B211,'Выгр Торг'!$B:$B,0))</f>
        <v>Руль анатомический "Ferrum" Exclusive с обогревом для Лада Ларгус FL, Веста, XRAY</v>
      </c>
      <c r="B211" s="178">
        <v>341464</v>
      </c>
      <c r="C211" s="179">
        <f>VLOOKUP($B211,'Выгр Торг'!$B:$Q,C$1,0)</f>
        <v>341464</v>
      </c>
      <c r="D211" s="189" t="s">
        <v>131</v>
      </c>
      <c r="E211" s="176" t="str">
        <f>VLOOKUP($B211,'Выгр Торг'!$B:$Q,E$1,0)</f>
        <v>Руль анатомический "Ferrum" Exclusive с обогревом для Лада Ларгус FL, Веста, XRAY (Тёмно-серая нить, Чёрный мат)</v>
      </c>
      <c r="F211" s="179" t="str">
        <f>VLOOKUP($B211,'Выгр Торг'!$B:$Q,F$1,0)</f>
        <v>Y</v>
      </c>
      <c r="G211" s="179" t="str">
        <f>VLOOKUP($B211,'Выгр Торг'!$B:$Q,G$1,0)</f>
        <v>1</v>
      </c>
      <c r="H211" s="177">
        <v>166639</v>
      </c>
      <c r="I211" s="156"/>
      <c r="J211" s="160">
        <v>830</v>
      </c>
      <c r="K211" s="161">
        <v>870</v>
      </c>
      <c r="L211" s="180">
        <f t="shared" si="172"/>
        <v>49300</v>
      </c>
      <c r="M211" s="180">
        <f t="shared" si="168"/>
        <v>50300</v>
      </c>
      <c r="N211" s="180">
        <f t="shared" si="169"/>
        <v>43300</v>
      </c>
      <c r="O211" s="107">
        <f t="shared" si="173"/>
        <v>1.0202839756592292</v>
      </c>
      <c r="P211" s="132">
        <f t="shared" si="157"/>
        <v>1.1499999999999999</v>
      </c>
      <c r="Q211" s="180">
        <f t="shared" si="170"/>
        <v>60962.365591397836</v>
      </c>
      <c r="R211" s="144">
        <f t="shared" si="174"/>
        <v>60990</v>
      </c>
      <c r="S211" s="179">
        <f>VLOOKUP($B211,'Выгр Торг'!$B:$Q,S$1,0)</f>
        <v>49300</v>
      </c>
      <c r="T211" s="179">
        <f>VLOOKUP($B211,'Выгр Торг'!$B:$Q,T$1,0)</f>
        <v>60990</v>
      </c>
      <c r="U211" s="94">
        <f t="shared" si="158"/>
        <v>0</v>
      </c>
      <c r="V211" s="94">
        <f t="shared" si="159"/>
        <v>0</v>
      </c>
      <c r="W211" s="182">
        <f t="shared" si="175"/>
        <v>56720.7</v>
      </c>
      <c r="X211" s="218">
        <f>IFERROR(VLOOKUP($B211,'Из ГУГЛа'!$B:$G,6,0)*Z211+Y211,VLOOKUP($B211,'Из ГУГЛа'!$B:$G,6,0))</f>
        <v>53090</v>
      </c>
      <c r="Y211" s="220">
        <f t="shared" si="171"/>
        <v>10800</v>
      </c>
      <c r="Z211" s="133">
        <v>1</v>
      </c>
      <c r="AA211" s="133">
        <v>1300</v>
      </c>
      <c r="AB211" s="184">
        <f t="shared" si="176"/>
        <v>0.15052129817444215</v>
      </c>
      <c r="AC211" s="184">
        <f t="shared" si="177"/>
        <v>-6.83876436240346E-2</v>
      </c>
      <c r="AD211" s="184">
        <f t="shared" si="178"/>
        <v>7.6876267748478666E-2</v>
      </c>
      <c r="AE211" s="222">
        <v>53090</v>
      </c>
      <c r="AF211" s="98" t="s">
        <v>624</v>
      </c>
      <c r="AH211" s="98" t="s">
        <v>131</v>
      </c>
    </row>
    <row r="212" spans="1:34" ht="46.5" thickTop="1" thickBot="1">
      <c r="A212" s="176" t="str">
        <f>INDEX('Выгр Торг'!$A:$A,MATCH($B212,'Выгр Торг'!$B:$B,0))</f>
        <v>Руль анатомический "Ferrum" Exclusive с обогревом для Лада Ларгус FL, Веста, XRAY</v>
      </c>
      <c r="B212" s="178">
        <v>341456</v>
      </c>
      <c r="C212" s="179">
        <f>VLOOKUP($B212,'Выгр Торг'!$B:$Q,C$1,0)</f>
        <v>341456</v>
      </c>
      <c r="D212" s="189" t="s">
        <v>131</v>
      </c>
      <c r="E212" s="176" t="str">
        <f>VLOOKUP($B212,'Выгр Торг'!$B:$Q,E$1,0)</f>
        <v>Руль анатомический "Ferrum" Exclusive с обогревом для Лада Ларгус FL, Веста, XRAY (Фиолетовая нить, Чёрный мат)</v>
      </c>
      <c r="F212" s="179" t="str">
        <f>VLOOKUP($B212,'Выгр Торг'!$B:$Q,F$1,0)</f>
        <v>Y</v>
      </c>
      <c r="G212" s="179" t="str">
        <f>VLOOKUP($B212,'Выгр Торг'!$B:$Q,G$1,0)</f>
        <v>1</v>
      </c>
      <c r="H212" s="177">
        <v>166639</v>
      </c>
      <c r="I212" s="156"/>
      <c r="J212" s="160">
        <v>830</v>
      </c>
      <c r="K212" s="161">
        <v>870</v>
      </c>
      <c r="L212" s="180">
        <f t="shared" si="172"/>
        <v>49300</v>
      </c>
      <c r="M212" s="180">
        <f t="shared" si="168"/>
        <v>50300</v>
      </c>
      <c r="N212" s="180">
        <f t="shared" si="169"/>
        <v>43300</v>
      </c>
      <c r="O212" s="107">
        <f t="shared" si="173"/>
        <v>1.0202839756592292</v>
      </c>
      <c r="P212" s="132">
        <f t="shared" si="157"/>
        <v>1.1499999999999999</v>
      </c>
      <c r="Q212" s="180">
        <f t="shared" si="170"/>
        <v>60962.365591397836</v>
      </c>
      <c r="R212" s="144">
        <f t="shared" si="174"/>
        <v>60990</v>
      </c>
      <c r="S212" s="179">
        <f>VLOOKUP($B212,'Выгр Торг'!$B:$Q,S$1,0)</f>
        <v>49300</v>
      </c>
      <c r="T212" s="179">
        <f>VLOOKUP($B212,'Выгр Торг'!$B:$Q,T$1,0)</f>
        <v>60990</v>
      </c>
      <c r="U212" s="94">
        <f t="shared" si="158"/>
        <v>0</v>
      </c>
      <c r="V212" s="94">
        <f t="shared" si="159"/>
        <v>0</v>
      </c>
      <c r="W212" s="182">
        <f t="shared" si="175"/>
        <v>56720.7</v>
      </c>
      <c r="X212" s="218">
        <f>IFERROR(VLOOKUP($B212,'Из ГУГЛа'!$B:$G,6,0)*Z212+Y212,VLOOKUP($B212,'Из ГУГЛа'!$B:$G,6,0))</f>
        <v>53090</v>
      </c>
      <c r="Y212" s="220">
        <f t="shared" si="171"/>
        <v>10800</v>
      </c>
      <c r="Z212" s="133">
        <v>1</v>
      </c>
      <c r="AA212" s="133">
        <v>1300</v>
      </c>
      <c r="AB212" s="184">
        <f t="shared" si="176"/>
        <v>0.15052129817444215</v>
      </c>
      <c r="AC212" s="184">
        <f t="shared" si="177"/>
        <v>-6.83876436240346E-2</v>
      </c>
      <c r="AD212" s="184">
        <f t="shared" si="178"/>
        <v>7.6876267748478666E-2</v>
      </c>
      <c r="AE212" s="222">
        <v>53090</v>
      </c>
      <c r="AF212" s="98" t="s">
        <v>624</v>
      </c>
      <c r="AH212" s="98" t="s">
        <v>131</v>
      </c>
    </row>
    <row r="213" spans="1:34" ht="46.5" thickTop="1" thickBot="1">
      <c r="A213" s="176" t="str">
        <f>INDEX('Выгр Торг'!$A:$A,MATCH($B213,'Выгр Торг'!$B:$B,0))</f>
        <v>Руль анатомический "Ferrum" Exclusive с обогревом для Лада Ларгус FL, Веста, XRAY</v>
      </c>
      <c r="B213" s="178">
        <v>132576</v>
      </c>
      <c r="C213" s="179">
        <f>VLOOKUP($B213,'Выгр Торг'!$B:$Q,C$1,0)</f>
        <v>166648</v>
      </c>
      <c r="D213" s="189" t="s">
        <v>131</v>
      </c>
      <c r="E213" s="176" t="str">
        <f>VLOOKUP($B213,'Выгр Торг'!$B:$Q,E$1,0)</f>
        <v>Руль анатомический "Ferrum" Exclusive с обогревом для Лада Ларгус FL, Веста, XRAY (Жёлтая нить, Чёрный глянец)</v>
      </c>
      <c r="F213" s="179" t="str">
        <f>VLOOKUP($B213,'Выгр Торг'!$B:$Q,F$1,0)</f>
        <v>Y</v>
      </c>
      <c r="G213" s="179" t="str">
        <f>VLOOKUP($B213,'Выгр Торг'!$B:$Q,G$1,0)</f>
        <v>1</v>
      </c>
      <c r="H213" s="177">
        <v>166639</v>
      </c>
      <c r="I213" s="156"/>
      <c r="J213" s="160"/>
      <c r="K213" s="161">
        <v>870</v>
      </c>
      <c r="L213" s="180">
        <f t="shared" si="172"/>
        <v>48470</v>
      </c>
      <c r="M213" s="180">
        <f t="shared" si="168"/>
        <v>49470</v>
      </c>
      <c r="N213" s="180">
        <f t="shared" si="169"/>
        <v>42470</v>
      </c>
      <c r="O213" s="107">
        <f t="shared" si="173"/>
        <v>1.0206313183412421</v>
      </c>
      <c r="P213" s="132">
        <f t="shared" si="157"/>
        <v>1.1499999999999999</v>
      </c>
      <c r="Q213" s="180">
        <f t="shared" si="170"/>
        <v>59936.021505376331</v>
      </c>
      <c r="R213" s="144">
        <f t="shared" si="174"/>
        <v>59990</v>
      </c>
      <c r="S213" s="179">
        <f>VLOOKUP($B213,'Выгр Торг'!$B:$Q,S$1,0)</f>
        <v>48470</v>
      </c>
      <c r="T213" s="179">
        <f>VLOOKUP($B213,'Выгр Торг'!$B:$Q,T$1,0)</f>
        <v>59990</v>
      </c>
      <c r="U213" s="94">
        <f t="shared" si="158"/>
        <v>0</v>
      </c>
      <c r="V213" s="94">
        <f t="shared" si="159"/>
        <v>0</v>
      </c>
      <c r="W213" s="182">
        <f t="shared" si="175"/>
        <v>55790.7</v>
      </c>
      <c r="X213" s="218">
        <f>IFERROR(VLOOKUP($B213,'Из ГУГЛа'!$B:$G,6,0)*Z213+Y213,VLOOKUP($B213,'Из ГУГЛа'!$B:$G,6,0))</f>
        <v>52260</v>
      </c>
      <c r="Y213" s="220">
        <f t="shared" si="171"/>
        <v>9970</v>
      </c>
      <c r="Z213" s="133">
        <v>1</v>
      </c>
      <c r="AA213" s="133"/>
      <c r="AB213" s="184">
        <f t="shared" si="176"/>
        <v>0.15103569218073032</v>
      </c>
      <c r="AC213" s="184">
        <f t="shared" si="177"/>
        <v>-6.7560275545350115E-2</v>
      </c>
      <c r="AD213" s="184">
        <f t="shared" si="178"/>
        <v>7.8192696513307292E-2</v>
      </c>
      <c r="AE213" s="222">
        <v>52260</v>
      </c>
      <c r="AF213" s="98" t="s">
        <v>624</v>
      </c>
      <c r="AH213" s="98" t="s">
        <v>131</v>
      </c>
    </row>
    <row r="214" spans="1:34" ht="46.5" thickTop="1" thickBot="1">
      <c r="A214" s="125" t="str">
        <f>INDEX('Выгр Торг'!$A:$A,MATCH($B214,'Выгр Торг'!$B:$B,0))</f>
        <v>Руль анатомический "Ferrum" Exclusive с обогревом для Лада Ларгус FL, Веста, XRAY</v>
      </c>
      <c r="B214" s="126">
        <v>132577</v>
      </c>
      <c r="C214" s="127">
        <f>VLOOKUP($B214,'Выгр Торг'!$B:$Q,C$1,0)</f>
        <v>166652</v>
      </c>
      <c r="D214" s="128" t="s">
        <v>131</v>
      </c>
      <c r="E214" s="125" t="str">
        <f>VLOOKUP($B214,'Выгр Торг'!$B:$Q,E$1,0)</f>
        <v>Руль анатомический "Ferrum" Exclusive с обогревом для Лада Ларгус FL, Веста, XRAY (Зелёная нить, Чёрный глянец)</v>
      </c>
      <c r="F214" s="127" t="str">
        <f>VLOOKUP($B214,'Выгр Торг'!$B:$Q,F$1,0)</f>
        <v>Y</v>
      </c>
      <c r="G214" s="127" t="str">
        <f>VLOOKUP($B214,'Выгр Торг'!$B:$Q,G$1,0)</f>
        <v>1</v>
      </c>
      <c r="H214" s="40">
        <v>166639</v>
      </c>
      <c r="I214" s="156"/>
      <c r="J214" s="160"/>
      <c r="K214" s="161">
        <v>870</v>
      </c>
      <c r="L214" s="130">
        <f t="shared" ref="L214:L224" si="179">M214-1000</f>
        <v>48470</v>
      </c>
      <c r="M214" s="130">
        <f t="shared" si="168"/>
        <v>49470</v>
      </c>
      <c r="N214" s="130">
        <f t="shared" si="169"/>
        <v>42470</v>
      </c>
      <c r="O214" s="132">
        <f t="shared" si="164"/>
        <v>1.0206313183412421</v>
      </c>
      <c r="P214" s="132">
        <f t="shared" si="157"/>
        <v>1.1499999999999999</v>
      </c>
      <c r="Q214" s="130">
        <f t="shared" si="170"/>
        <v>59936.021505376331</v>
      </c>
      <c r="R214" s="148">
        <f t="shared" si="166"/>
        <v>59990</v>
      </c>
      <c r="S214" s="127">
        <f>VLOOKUP($B214,'Выгр Торг'!$B:$Q,S$1,0)</f>
        <v>48470</v>
      </c>
      <c r="T214" s="127">
        <f>VLOOKUP($B214,'Выгр Торг'!$B:$Q,T$1,0)</f>
        <v>59990</v>
      </c>
      <c r="U214" s="94">
        <f t="shared" si="158"/>
        <v>0</v>
      </c>
      <c r="V214" s="94">
        <f t="shared" si="159"/>
        <v>0</v>
      </c>
      <c r="W214" s="153">
        <f t="shared" si="167"/>
        <v>55790.7</v>
      </c>
      <c r="X214" s="209">
        <f>IFERROR(VLOOKUP($B214,'Из ГУГЛа'!$B:$G,6,0)*Z214+Y214,VLOOKUP($B214,'Из ГУГЛа'!$B:$G,6,0))</f>
        <v>52260</v>
      </c>
      <c r="Y214" s="220">
        <f t="shared" si="171"/>
        <v>9970</v>
      </c>
      <c r="Z214" s="133">
        <v>1</v>
      </c>
      <c r="AA214" s="134"/>
      <c r="AB214" s="135">
        <f t="shared" si="160"/>
        <v>0.15103569218073032</v>
      </c>
      <c r="AC214" s="135">
        <f t="shared" si="161"/>
        <v>-6.7560275545350115E-2</v>
      </c>
      <c r="AD214" s="135">
        <f t="shared" si="162"/>
        <v>7.8192696513307292E-2</v>
      </c>
      <c r="AE214" s="222">
        <v>52260</v>
      </c>
      <c r="AF214" s="98" t="s">
        <v>624</v>
      </c>
      <c r="AH214" s="98" t="s">
        <v>131</v>
      </c>
    </row>
    <row r="215" spans="1:34" ht="46.5" thickTop="1" thickBot="1">
      <c r="A215" s="125" t="str">
        <f>INDEX('Выгр Торг'!$A:$A,MATCH($B215,'Выгр Торг'!$B:$B,0))</f>
        <v>Руль анатомический "Ferrum" Exclusive с обогревом для Лада Ларгус FL, Веста, XRAY</v>
      </c>
      <c r="B215" s="126">
        <v>132578</v>
      </c>
      <c r="C215" s="127">
        <f>VLOOKUP($B215,'Выгр Торг'!$B:$Q,C$1,0)</f>
        <v>166644</v>
      </c>
      <c r="D215" s="128" t="s">
        <v>131</v>
      </c>
      <c r="E215" s="125" t="str">
        <f>VLOOKUP($B215,'Выгр Торг'!$B:$Q,E$1,0)</f>
        <v>Руль анатомический "Ferrum" Exclusive с обогревом для Лада Ларгус FL, Веста, XRAY (Коричневая нить, Чёрный глянец)</v>
      </c>
      <c r="F215" s="127" t="str">
        <f>VLOOKUP($B215,'Выгр Торг'!$B:$Q,F$1,0)</f>
        <v>Y</v>
      </c>
      <c r="G215" s="127" t="str">
        <f>VLOOKUP($B215,'Выгр Торг'!$B:$Q,G$1,0)</f>
        <v>1</v>
      </c>
      <c r="H215" s="40">
        <v>166639</v>
      </c>
      <c r="I215" s="156"/>
      <c r="J215" s="160"/>
      <c r="K215" s="161">
        <v>870</v>
      </c>
      <c r="L215" s="130">
        <f t="shared" si="179"/>
        <v>48470</v>
      </c>
      <c r="M215" s="130">
        <f t="shared" si="168"/>
        <v>49470</v>
      </c>
      <c r="N215" s="130">
        <f t="shared" si="169"/>
        <v>42470</v>
      </c>
      <c r="O215" s="132">
        <f t="shared" si="164"/>
        <v>1.0206313183412421</v>
      </c>
      <c r="P215" s="132">
        <f t="shared" si="157"/>
        <v>1.1499999999999999</v>
      </c>
      <c r="Q215" s="130">
        <f t="shared" si="170"/>
        <v>59936.021505376331</v>
      </c>
      <c r="R215" s="148">
        <f t="shared" si="166"/>
        <v>59990</v>
      </c>
      <c r="S215" s="127">
        <f>VLOOKUP($B215,'Выгр Торг'!$B:$Q,S$1,0)</f>
        <v>48470</v>
      </c>
      <c r="T215" s="127">
        <f>VLOOKUP($B215,'Выгр Торг'!$B:$Q,T$1,0)</f>
        <v>59990</v>
      </c>
      <c r="U215" s="94">
        <f t="shared" si="158"/>
        <v>0</v>
      </c>
      <c r="V215" s="94">
        <f t="shared" si="159"/>
        <v>0</v>
      </c>
      <c r="W215" s="153">
        <f t="shared" si="167"/>
        <v>55790.7</v>
      </c>
      <c r="X215" s="209">
        <f>IFERROR(VLOOKUP($B215,'Из ГУГЛа'!$B:$G,6,0)*Z215+Y215,VLOOKUP($B215,'Из ГУГЛа'!$B:$G,6,0))</f>
        <v>52260</v>
      </c>
      <c r="Y215" s="220">
        <f t="shared" si="171"/>
        <v>9970</v>
      </c>
      <c r="Z215" s="133">
        <v>1</v>
      </c>
      <c r="AA215" s="134"/>
      <c r="AB215" s="135">
        <f t="shared" si="160"/>
        <v>0.15103569218073032</v>
      </c>
      <c r="AC215" s="135">
        <f t="shared" si="161"/>
        <v>-6.7560275545350115E-2</v>
      </c>
      <c r="AD215" s="135">
        <f t="shared" si="162"/>
        <v>7.8192696513307292E-2</v>
      </c>
      <c r="AE215" s="222">
        <v>52260</v>
      </c>
      <c r="AF215" s="98" t="s">
        <v>624</v>
      </c>
      <c r="AH215" s="98" t="s">
        <v>131</v>
      </c>
    </row>
    <row r="216" spans="1:34" ht="46.5" thickTop="1" thickBot="1">
      <c r="A216" s="125" t="str">
        <f>INDEX('Выгр Торг'!$A:$A,MATCH($B216,'Выгр Торг'!$B:$B,0))</f>
        <v>Руль анатомический "Ferrum" Exclusive с обогревом для Лада Ларгус FL, Веста, XRAY</v>
      </c>
      <c r="B216" s="126">
        <v>132579</v>
      </c>
      <c r="C216" s="127">
        <f>VLOOKUP($B216,'Выгр Торг'!$B:$Q,C$1,0)</f>
        <v>166651</v>
      </c>
      <c r="D216" s="128" t="s">
        <v>131</v>
      </c>
      <c r="E216" s="125" t="str">
        <f>VLOOKUP($B216,'Выгр Торг'!$B:$Q,E$1,0)</f>
        <v>Руль анатомический "Ferrum" Exclusive с обогревом для Лада Ларгус FL, Веста, XRAY (Красная нить, Чёрный глянец)</v>
      </c>
      <c r="F216" s="127" t="str">
        <f>VLOOKUP($B216,'Выгр Торг'!$B:$Q,F$1,0)</f>
        <v>Y</v>
      </c>
      <c r="G216" s="127" t="str">
        <f>VLOOKUP($B216,'Выгр Торг'!$B:$Q,G$1,0)</f>
        <v>1</v>
      </c>
      <c r="H216" s="40">
        <v>166639</v>
      </c>
      <c r="I216" s="156"/>
      <c r="J216" s="160"/>
      <c r="K216" s="161">
        <v>870</v>
      </c>
      <c r="L216" s="130">
        <f t="shared" si="179"/>
        <v>48470</v>
      </c>
      <c r="M216" s="130">
        <f t="shared" si="168"/>
        <v>49470</v>
      </c>
      <c r="N216" s="130">
        <f t="shared" si="169"/>
        <v>42470</v>
      </c>
      <c r="O216" s="132">
        <f t="shared" si="164"/>
        <v>1.0206313183412421</v>
      </c>
      <c r="P216" s="132">
        <f t="shared" si="157"/>
        <v>1.1499999999999999</v>
      </c>
      <c r="Q216" s="130">
        <f t="shared" si="170"/>
        <v>59936.021505376331</v>
      </c>
      <c r="R216" s="148">
        <f t="shared" si="166"/>
        <v>59990</v>
      </c>
      <c r="S216" s="127">
        <f>VLOOKUP($B216,'Выгр Торг'!$B:$Q,S$1,0)</f>
        <v>48470</v>
      </c>
      <c r="T216" s="127">
        <f>VLOOKUP($B216,'Выгр Торг'!$B:$Q,T$1,0)</f>
        <v>59990</v>
      </c>
      <c r="U216" s="94">
        <f t="shared" si="158"/>
        <v>0</v>
      </c>
      <c r="V216" s="94">
        <f t="shared" si="159"/>
        <v>0</v>
      </c>
      <c r="W216" s="153">
        <f t="shared" si="167"/>
        <v>55790.7</v>
      </c>
      <c r="X216" s="209">
        <f>IFERROR(VLOOKUP($B216,'Из ГУГЛа'!$B:$G,6,0)*Z216+Y216,VLOOKUP($B216,'Из ГУГЛа'!$B:$G,6,0))</f>
        <v>52260</v>
      </c>
      <c r="Y216" s="220">
        <f t="shared" si="171"/>
        <v>9970</v>
      </c>
      <c r="Z216" s="133">
        <v>1</v>
      </c>
      <c r="AA216" s="134"/>
      <c r="AB216" s="135">
        <f t="shared" si="160"/>
        <v>0.15103569218073032</v>
      </c>
      <c r="AC216" s="135">
        <f t="shared" si="161"/>
        <v>-6.7560275545350115E-2</v>
      </c>
      <c r="AD216" s="135">
        <f t="shared" si="162"/>
        <v>7.8192696513307292E-2</v>
      </c>
      <c r="AE216" s="222">
        <v>52260</v>
      </c>
      <c r="AF216" s="98" t="s">
        <v>624</v>
      </c>
      <c r="AH216" s="98" t="s">
        <v>131</v>
      </c>
    </row>
    <row r="217" spans="1:34" ht="46.5" thickTop="1" thickBot="1">
      <c r="A217" s="125" t="str">
        <f>INDEX('Выгр Торг'!$A:$A,MATCH($B217,'Выгр Торг'!$B:$B,0))</f>
        <v>Руль анатомический "Ferrum" Exclusive с обогревом для Лада Ларгус FL, Веста, XRAY</v>
      </c>
      <c r="B217" s="126">
        <v>132580</v>
      </c>
      <c r="C217" s="127">
        <f>VLOOKUP($B217,'Выгр Торг'!$B:$Q,C$1,0)</f>
        <v>166647</v>
      </c>
      <c r="D217" s="128" t="s">
        <v>131</v>
      </c>
      <c r="E217" s="125" t="str">
        <f>VLOOKUP($B217,'Выгр Торг'!$B:$Q,E$1,0)</f>
        <v>Руль анатомический "Ferrum" Exclusive с обогревом для Лада Ларгус FL, Веста, XRAY (Оранжевая нить, Чёрный глянец)</v>
      </c>
      <c r="F217" s="127" t="str">
        <f>VLOOKUP($B217,'Выгр Торг'!$B:$Q,F$1,0)</f>
        <v>Y</v>
      </c>
      <c r="G217" s="127" t="str">
        <f>VLOOKUP($B217,'Выгр Торг'!$B:$Q,G$1,0)</f>
        <v>1</v>
      </c>
      <c r="H217" s="40">
        <v>166639</v>
      </c>
      <c r="I217" s="156"/>
      <c r="J217" s="160"/>
      <c r="K217" s="161">
        <v>870</v>
      </c>
      <c r="L217" s="130">
        <f t="shared" si="179"/>
        <v>48470</v>
      </c>
      <c r="M217" s="130">
        <f t="shared" si="168"/>
        <v>49470</v>
      </c>
      <c r="N217" s="130">
        <f t="shared" si="169"/>
        <v>42470</v>
      </c>
      <c r="O217" s="132">
        <f t="shared" si="164"/>
        <v>1.0206313183412421</v>
      </c>
      <c r="P217" s="132">
        <f t="shared" si="157"/>
        <v>1.1499999999999999</v>
      </c>
      <c r="Q217" s="130">
        <f t="shared" si="170"/>
        <v>59936.021505376331</v>
      </c>
      <c r="R217" s="148">
        <f t="shared" si="166"/>
        <v>59990</v>
      </c>
      <c r="S217" s="127">
        <f>VLOOKUP($B217,'Выгр Торг'!$B:$Q,S$1,0)</f>
        <v>48470</v>
      </c>
      <c r="T217" s="127">
        <f>VLOOKUP($B217,'Выгр Торг'!$B:$Q,T$1,0)</f>
        <v>59990</v>
      </c>
      <c r="U217" s="94">
        <f t="shared" si="158"/>
        <v>0</v>
      </c>
      <c r="V217" s="94">
        <f t="shared" si="159"/>
        <v>0</v>
      </c>
      <c r="W217" s="153">
        <f t="shared" si="167"/>
        <v>55790.7</v>
      </c>
      <c r="X217" s="209">
        <f>IFERROR(VLOOKUP($B217,'Из ГУГЛа'!$B:$G,6,0)*Z217+Y217,VLOOKUP($B217,'Из ГУГЛа'!$B:$G,6,0))</f>
        <v>52260</v>
      </c>
      <c r="Y217" s="220">
        <f t="shared" si="171"/>
        <v>9970</v>
      </c>
      <c r="Z217" s="133">
        <v>1</v>
      </c>
      <c r="AA217" s="134"/>
      <c r="AB217" s="135">
        <f t="shared" si="160"/>
        <v>0.15103569218073032</v>
      </c>
      <c r="AC217" s="135">
        <f t="shared" si="161"/>
        <v>-6.7560275545350115E-2</v>
      </c>
      <c r="AD217" s="135">
        <f t="shared" si="162"/>
        <v>7.8192696513307292E-2</v>
      </c>
      <c r="AE217" s="222">
        <v>52260</v>
      </c>
      <c r="AF217" s="98" t="s">
        <v>624</v>
      </c>
      <c r="AH217" s="98" t="s">
        <v>131</v>
      </c>
    </row>
    <row r="218" spans="1:34" ht="46.5" thickTop="1" thickBot="1">
      <c r="A218" s="125" t="str">
        <f>INDEX('Выгр Торг'!$A:$A,MATCH($B218,'Выгр Торг'!$B:$B,0))</f>
        <v>Руль анатомический "Ferrum" Exclusive с обогревом для Лада Ларгус FL, Веста, XRAY</v>
      </c>
      <c r="B218" s="126">
        <v>132581</v>
      </c>
      <c r="C218" s="127">
        <f>VLOOKUP($B218,'Выгр Торг'!$B:$Q,C$1,0)</f>
        <v>166649</v>
      </c>
      <c r="D218" s="128" t="s">
        <v>131</v>
      </c>
      <c r="E218" s="125" t="str">
        <f>VLOOKUP($B218,'Выгр Торг'!$B:$Q,E$1,0)</f>
        <v>Руль анатомический "Ferrum" Exclusive с обогревом для Лада Ларгус FL, Веста, XRAY (Салатовая нить, Чёрный глянец)</v>
      </c>
      <c r="F218" s="127" t="str">
        <f>VLOOKUP($B218,'Выгр Торг'!$B:$Q,F$1,0)</f>
        <v>Y</v>
      </c>
      <c r="G218" s="127" t="str">
        <f>VLOOKUP($B218,'Выгр Торг'!$B:$Q,G$1,0)</f>
        <v>1</v>
      </c>
      <c r="H218" s="40">
        <v>166639</v>
      </c>
      <c r="I218" s="156"/>
      <c r="J218" s="160"/>
      <c r="K218" s="161">
        <v>870</v>
      </c>
      <c r="L218" s="130">
        <f t="shared" si="179"/>
        <v>48470</v>
      </c>
      <c r="M218" s="130">
        <f t="shared" si="168"/>
        <v>49470</v>
      </c>
      <c r="N218" s="130">
        <f t="shared" si="169"/>
        <v>42470</v>
      </c>
      <c r="O218" s="132">
        <f t="shared" si="164"/>
        <v>1.0206313183412421</v>
      </c>
      <c r="P218" s="132">
        <f t="shared" si="157"/>
        <v>1.1499999999999999</v>
      </c>
      <c r="Q218" s="130">
        <f t="shared" si="170"/>
        <v>59936.021505376331</v>
      </c>
      <c r="R218" s="148">
        <f t="shared" si="166"/>
        <v>59990</v>
      </c>
      <c r="S218" s="127">
        <f>VLOOKUP($B218,'Выгр Торг'!$B:$Q,S$1,0)</f>
        <v>48470</v>
      </c>
      <c r="T218" s="127">
        <f>VLOOKUP($B218,'Выгр Торг'!$B:$Q,T$1,0)</f>
        <v>59990</v>
      </c>
      <c r="U218" s="94">
        <f t="shared" si="158"/>
        <v>0</v>
      </c>
      <c r="V218" s="94">
        <f t="shared" si="159"/>
        <v>0</v>
      </c>
      <c r="W218" s="153">
        <f t="shared" si="167"/>
        <v>55790.7</v>
      </c>
      <c r="X218" s="209">
        <f>IFERROR(VLOOKUP($B218,'Из ГУГЛа'!$B:$G,6,0)*Z218+Y218,VLOOKUP($B218,'Из ГУГЛа'!$B:$G,6,0))</f>
        <v>52260</v>
      </c>
      <c r="Y218" s="220">
        <f t="shared" si="171"/>
        <v>9970</v>
      </c>
      <c r="Z218" s="133">
        <v>1</v>
      </c>
      <c r="AA218" s="134"/>
      <c r="AB218" s="135">
        <f t="shared" si="160"/>
        <v>0.15103569218073032</v>
      </c>
      <c r="AC218" s="135">
        <f t="shared" si="161"/>
        <v>-6.7560275545350115E-2</v>
      </c>
      <c r="AD218" s="135">
        <f t="shared" si="162"/>
        <v>7.8192696513307292E-2</v>
      </c>
      <c r="AE218" s="222">
        <v>52260</v>
      </c>
      <c r="AF218" s="98" t="s">
        <v>624</v>
      </c>
      <c r="AH218" s="98" t="s">
        <v>131</v>
      </c>
    </row>
    <row r="219" spans="1:34" ht="46.5" thickTop="1" thickBot="1">
      <c r="A219" s="125" t="str">
        <f>INDEX('Выгр Торг'!$A:$A,MATCH($B219,'Выгр Торг'!$B:$B,0))</f>
        <v>Руль анатомический "Ferrum" Exclusive с обогревом для Лада Ларгус FL, Веста, XRAY</v>
      </c>
      <c r="B219" s="126">
        <v>132582</v>
      </c>
      <c r="C219" s="127">
        <f>VLOOKUP($B219,'Выгр Торг'!$B:$Q,C$1,0)</f>
        <v>166650</v>
      </c>
      <c r="D219" s="128" t="s">
        <v>131</v>
      </c>
      <c r="E219" s="125" t="str">
        <f>VLOOKUP($B219,'Выгр Торг'!$B:$Q,E$1,0)</f>
        <v>Руль анатомический "Ferrum" Exclusive с обогревом для Лада Ларгус FL, Веста, XRAY (Светло-серая нить, Чёрный глянец)</v>
      </c>
      <c r="F219" s="127" t="str">
        <f>VLOOKUP($B219,'Выгр Торг'!$B:$Q,F$1,0)</f>
        <v>Y</v>
      </c>
      <c r="G219" s="127" t="str">
        <f>VLOOKUP($B219,'Выгр Торг'!$B:$Q,G$1,0)</f>
        <v>1</v>
      </c>
      <c r="H219" s="40">
        <v>166639</v>
      </c>
      <c r="I219" s="156"/>
      <c r="J219" s="160"/>
      <c r="K219" s="161">
        <v>870</v>
      </c>
      <c r="L219" s="130">
        <f t="shared" si="179"/>
        <v>48470</v>
      </c>
      <c r="M219" s="130">
        <f t="shared" si="168"/>
        <v>49470</v>
      </c>
      <c r="N219" s="130">
        <f t="shared" si="169"/>
        <v>42470</v>
      </c>
      <c r="O219" s="132">
        <f t="shared" si="164"/>
        <v>1.0206313183412421</v>
      </c>
      <c r="P219" s="132">
        <f t="shared" si="157"/>
        <v>1.1499999999999999</v>
      </c>
      <c r="Q219" s="130">
        <f t="shared" si="170"/>
        <v>59936.021505376331</v>
      </c>
      <c r="R219" s="148">
        <f t="shared" si="166"/>
        <v>59990</v>
      </c>
      <c r="S219" s="127">
        <f>VLOOKUP($B219,'Выгр Торг'!$B:$Q,S$1,0)</f>
        <v>48470</v>
      </c>
      <c r="T219" s="127">
        <f>VLOOKUP($B219,'Выгр Торг'!$B:$Q,T$1,0)</f>
        <v>59990</v>
      </c>
      <c r="U219" s="94">
        <f t="shared" si="158"/>
        <v>0</v>
      </c>
      <c r="V219" s="94">
        <f t="shared" si="159"/>
        <v>0</v>
      </c>
      <c r="W219" s="153">
        <f t="shared" si="167"/>
        <v>55790.7</v>
      </c>
      <c r="X219" s="209">
        <f>IFERROR(VLOOKUP($B219,'Из ГУГЛа'!$B:$G,6,0)*Z219+Y219,VLOOKUP($B219,'Из ГУГЛа'!$B:$G,6,0))</f>
        <v>52260</v>
      </c>
      <c r="Y219" s="220">
        <f t="shared" si="171"/>
        <v>9970</v>
      </c>
      <c r="Z219" s="133">
        <v>1</v>
      </c>
      <c r="AA219" s="134"/>
      <c r="AB219" s="135">
        <f t="shared" si="160"/>
        <v>0.15103569218073032</v>
      </c>
      <c r="AC219" s="135">
        <f t="shared" si="161"/>
        <v>-6.7560275545350115E-2</v>
      </c>
      <c r="AD219" s="135">
        <f t="shared" si="162"/>
        <v>7.8192696513307292E-2</v>
      </c>
      <c r="AE219" s="222">
        <v>52260</v>
      </c>
      <c r="AF219" s="98" t="s">
        <v>624</v>
      </c>
      <c r="AH219" s="98" t="s">
        <v>131</v>
      </c>
    </row>
    <row r="220" spans="1:34" ht="46.5" thickTop="1" thickBot="1">
      <c r="A220" s="125" t="str">
        <f>INDEX('Выгр Торг'!$A:$A,MATCH($B220,'Выгр Торг'!$B:$B,0))</f>
        <v>Руль анатомический "Ferrum" Exclusive с обогревом для Лада Ларгус FL, Веста, XRAY</v>
      </c>
      <c r="B220" s="126">
        <v>132583</v>
      </c>
      <c r="C220" s="127">
        <f>VLOOKUP($B220,'Выгр Торг'!$B:$Q,C$1,0)</f>
        <v>166646</v>
      </c>
      <c r="D220" s="128" t="s">
        <v>131</v>
      </c>
      <c r="E220" s="125" t="str">
        <f>VLOOKUP($B220,'Выгр Торг'!$B:$Q,E$1,0)</f>
        <v>Руль анатомический "Ferrum" Exclusive с обогревом для Лада Ларгус FL, Веста, XRAY (Сине-зелёная нить, Чёрный глянец)</v>
      </c>
      <c r="F220" s="127" t="str">
        <f>VLOOKUP($B220,'Выгр Торг'!$B:$Q,F$1,0)</f>
        <v>Y</v>
      </c>
      <c r="G220" s="127" t="str">
        <f>VLOOKUP($B220,'Выгр Торг'!$B:$Q,G$1,0)</f>
        <v>1</v>
      </c>
      <c r="H220" s="40">
        <v>166639</v>
      </c>
      <c r="I220" s="156"/>
      <c r="J220" s="160"/>
      <c r="K220" s="161">
        <v>870</v>
      </c>
      <c r="L220" s="130">
        <f t="shared" si="179"/>
        <v>48470</v>
      </c>
      <c r="M220" s="130">
        <f t="shared" si="168"/>
        <v>49470</v>
      </c>
      <c r="N220" s="130">
        <f t="shared" si="169"/>
        <v>42470</v>
      </c>
      <c r="O220" s="132">
        <f t="shared" si="164"/>
        <v>1.0206313183412421</v>
      </c>
      <c r="P220" s="132">
        <f t="shared" si="157"/>
        <v>1.1499999999999999</v>
      </c>
      <c r="Q220" s="130">
        <f t="shared" si="170"/>
        <v>59936.021505376331</v>
      </c>
      <c r="R220" s="148">
        <f t="shared" si="166"/>
        <v>59990</v>
      </c>
      <c r="S220" s="127">
        <f>VLOOKUP($B220,'Выгр Торг'!$B:$Q,S$1,0)</f>
        <v>48470</v>
      </c>
      <c r="T220" s="127">
        <f>VLOOKUP($B220,'Выгр Торг'!$B:$Q,T$1,0)</f>
        <v>59990</v>
      </c>
      <c r="U220" s="94">
        <f t="shared" si="158"/>
        <v>0</v>
      </c>
      <c r="V220" s="94">
        <f t="shared" si="159"/>
        <v>0</v>
      </c>
      <c r="W220" s="153">
        <f t="shared" si="167"/>
        <v>55790.7</v>
      </c>
      <c r="X220" s="209">
        <f>IFERROR(VLOOKUP($B220,'Из ГУГЛа'!$B:$G,6,0)*Z220+Y220,VLOOKUP($B220,'Из ГУГЛа'!$B:$G,6,0))</f>
        <v>52260</v>
      </c>
      <c r="Y220" s="220">
        <f t="shared" si="171"/>
        <v>9970</v>
      </c>
      <c r="Z220" s="133">
        <v>1</v>
      </c>
      <c r="AA220" s="134"/>
      <c r="AB220" s="135">
        <f t="shared" si="160"/>
        <v>0.15103569218073032</v>
      </c>
      <c r="AC220" s="135">
        <f t="shared" si="161"/>
        <v>-6.7560275545350115E-2</v>
      </c>
      <c r="AD220" s="135">
        <f t="shared" si="162"/>
        <v>7.8192696513307292E-2</v>
      </c>
      <c r="AE220" s="222">
        <v>52260</v>
      </c>
      <c r="AF220" s="98" t="s">
        <v>624</v>
      </c>
      <c r="AH220" s="98" t="s">
        <v>131</v>
      </c>
    </row>
    <row r="221" spans="1:34" ht="46.5" thickTop="1" thickBot="1">
      <c r="A221" s="125" t="str">
        <f>INDEX('Выгр Торг'!$A:$A,MATCH($B221,'Выгр Торг'!$B:$B,0))</f>
        <v>Руль анатомический "Ferrum" Exclusive с обогревом для Лада Ларгус FL, Веста, XRAY</v>
      </c>
      <c r="B221" s="126">
        <v>132584</v>
      </c>
      <c r="C221" s="127">
        <f>VLOOKUP($B221,'Выгр Торг'!$B:$Q,C$1,0)</f>
        <v>166645</v>
      </c>
      <c r="D221" s="128" t="s">
        <v>131</v>
      </c>
      <c r="E221" s="125" t="str">
        <f>VLOOKUP($B221,'Выгр Торг'!$B:$Q,E$1,0)</f>
        <v>Руль анатомический "Ferrum" Exclusive с обогревом для Лада Ларгус FL, Веста, XRAY (Синяя нить, Чёрный глянец)</v>
      </c>
      <c r="F221" s="127" t="str">
        <f>VLOOKUP($B221,'Выгр Торг'!$B:$Q,F$1,0)</f>
        <v>Y</v>
      </c>
      <c r="G221" s="127" t="str">
        <f>VLOOKUP($B221,'Выгр Торг'!$B:$Q,G$1,0)</f>
        <v>1</v>
      </c>
      <c r="H221" s="40">
        <v>166639</v>
      </c>
      <c r="I221" s="156"/>
      <c r="J221" s="160"/>
      <c r="K221" s="161">
        <v>870</v>
      </c>
      <c r="L221" s="130">
        <f t="shared" si="179"/>
        <v>48470</v>
      </c>
      <c r="M221" s="130">
        <f t="shared" si="168"/>
        <v>49470</v>
      </c>
      <c r="N221" s="130">
        <f t="shared" si="169"/>
        <v>42470</v>
      </c>
      <c r="O221" s="132">
        <f t="shared" si="164"/>
        <v>1.0206313183412421</v>
      </c>
      <c r="P221" s="132">
        <f t="shared" si="157"/>
        <v>1.1499999999999999</v>
      </c>
      <c r="Q221" s="130">
        <f t="shared" si="170"/>
        <v>59936.021505376331</v>
      </c>
      <c r="R221" s="148">
        <f t="shared" si="166"/>
        <v>59990</v>
      </c>
      <c r="S221" s="127">
        <f>VLOOKUP($B221,'Выгр Торг'!$B:$Q,S$1,0)</f>
        <v>48470</v>
      </c>
      <c r="T221" s="127">
        <f>VLOOKUP($B221,'Выгр Торг'!$B:$Q,T$1,0)</f>
        <v>59990</v>
      </c>
      <c r="U221" s="94">
        <f t="shared" si="158"/>
        <v>0</v>
      </c>
      <c r="V221" s="94">
        <f t="shared" si="159"/>
        <v>0</v>
      </c>
      <c r="W221" s="153">
        <f t="shared" si="167"/>
        <v>55790.7</v>
      </c>
      <c r="X221" s="209">
        <f>IFERROR(VLOOKUP($B221,'Из ГУГЛа'!$B:$G,6,0)*Z221+Y221,VLOOKUP($B221,'Из ГУГЛа'!$B:$G,6,0))</f>
        <v>52260</v>
      </c>
      <c r="Y221" s="220">
        <f t="shared" si="171"/>
        <v>9970</v>
      </c>
      <c r="Z221" s="133">
        <v>1</v>
      </c>
      <c r="AA221" s="134"/>
      <c r="AB221" s="135">
        <f t="shared" si="160"/>
        <v>0.15103569218073032</v>
      </c>
      <c r="AC221" s="135">
        <f t="shared" si="161"/>
        <v>-6.7560275545350115E-2</v>
      </c>
      <c r="AD221" s="135">
        <f t="shared" si="162"/>
        <v>7.8192696513307292E-2</v>
      </c>
      <c r="AE221" s="222">
        <v>52260</v>
      </c>
      <c r="AF221" s="98" t="s">
        <v>624</v>
      </c>
      <c r="AH221" s="98" t="s">
        <v>131</v>
      </c>
    </row>
    <row r="222" spans="1:34" ht="46.5" thickTop="1" thickBot="1">
      <c r="A222" s="125" t="str">
        <f>INDEX('Выгр Торг'!$A:$A,MATCH($B222,'Выгр Торг'!$B:$B,0))</f>
        <v>Руль анатомический "Ferrum" Exclusive с обогревом для Лада Ларгус FL, Веста, XRAY</v>
      </c>
      <c r="B222" s="126">
        <v>132585</v>
      </c>
      <c r="C222" s="127">
        <f>VLOOKUP($B222,'Выгр Торг'!$B:$Q,C$1,0)</f>
        <v>166643</v>
      </c>
      <c r="D222" s="128" t="s">
        <v>131</v>
      </c>
      <c r="E222" s="125" t="str">
        <f>VLOOKUP($B222,'Выгр Торг'!$B:$Q,E$1,0)</f>
        <v>Руль анатомический "Ferrum" Exclusive с обогревом для Лада Ларгус FL, Веста, XRAY (Тёмно-серая нить, Чёрный глянец)</v>
      </c>
      <c r="F222" s="127" t="str">
        <f>VLOOKUP($B222,'Выгр Торг'!$B:$Q,F$1,0)</f>
        <v>Y</v>
      </c>
      <c r="G222" s="127" t="str">
        <f>VLOOKUP($B222,'Выгр Торг'!$B:$Q,G$1,0)</f>
        <v>1</v>
      </c>
      <c r="H222" s="40">
        <v>166639</v>
      </c>
      <c r="I222" s="156"/>
      <c r="J222" s="160"/>
      <c r="K222" s="161">
        <v>870</v>
      </c>
      <c r="L222" s="130">
        <f t="shared" si="179"/>
        <v>48470</v>
      </c>
      <c r="M222" s="130">
        <f t="shared" si="168"/>
        <v>49470</v>
      </c>
      <c r="N222" s="130">
        <f t="shared" si="169"/>
        <v>42470</v>
      </c>
      <c r="O222" s="132">
        <f t="shared" si="164"/>
        <v>1.0206313183412421</v>
      </c>
      <c r="P222" s="132">
        <f t="shared" si="157"/>
        <v>1.1499999999999999</v>
      </c>
      <c r="Q222" s="130">
        <f t="shared" si="170"/>
        <v>59936.021505376331</v>
      </c>
      <c r="R222" s="148">
        <f t="shared" si="166"/>
        <v>59990</v>
      </c>
      <c r="S222" s="127">
        <f>VLOOKUP($B222,'Выгр Торг'!$B:$Q,S$1,0)</f>
        <v>48470</v>
      </c>
      <c r="T222" s="127">
        <f>VLOOKUP($B222,'Выгр Торг'!$B:$Q,T$1,0)</f>
        <v>59990</v>
      </c>
      <c r="U222" s="94">
        <f t="shared" si="158"/>
        <v>0</v>
      </c>
      <c r="V222" s="94">
        <f t="shared" si="159"/>
        <v>0</v>
      </c>
      <c r="W222" s="153">
        <f t="shared" si="167"/>
        <v>55790.7</v>
      </c>
      <c r="X222" s="209">
        <f>IFERROR(VLOOKUP($B222,'Из ГУГЛа'!$B:$G,6,0)*Z222+Y222,VLOOKUP($B222,'Из ГУГЛа'!$B:$G,6,0))</f>
        <v>52260</v>
      </c>
      <c r="Y222" s="220">
        <f t="shared" si="171"/>
        <v>9970</v>
      </c>
      <c r="Z222" s="133">
        <v>1</v>
      </c>
      <c r="AA222" s="134"/>
      <c r="AB222" s="135">
        <f t="shared" si="160"/>
        <v>0.15103569218073032</v>
      </c>
      <c r="AC222" s="135">
        <f t="shared" si="161"/>
        <v>-6.7560275545350115E-2</v>
      </c>
      <c r="AD222" s="135">
        <f t="shared" si="162"/>
        <v>7.8192696513307292E-2</v>
      </c>
      <c r="AE222" s="222">
        <v>52260</v>
      </c>
      <c r="AF222" s="98" t="s">
        <v>624</v>
      </c>
      <c r="AH222" s="98" t="s">
        <v>131</v>
      </c>
    </row>
    <row r="223" spans="1:34" ht="46.5" thickTop="1" thickBot="1">
      <c r="A223" s="125" t="str">
        <f>INDEX('Выгр Торг'!$A:$A,MATCH($B223,'Выгр Торг'!$B:$B,0))</f>
        <v>Руль анатомический "Ferrum" Exclusive с обогревом для Лада Ларгус FL, Веста, XRAY</v>
      </c>
      <c r="B223" s="126">
        <v>132586</v>
      </c>
      <c r="C223" s="127">
        <f>VLOOKUP($B223,'Выгр Торг'!$B:$Q,C$1,0)</f>
        <v>166642</v>
      </c>
      <c r="D223" s="128" t="s">
        <v>131</v>
      </c>
      <c r="E223" s="125" t="str">
        <f>VLOOKUP($B223,'Выгр Торг'!$B:$Q,E$1,0)</f>
        <v>Руль анатомический "Ferrum" Exclusive с обогревом для Лада Ларгус FL, Веста, XRAY (Фиолетовая нить, Чёрный глянец)</v>
      </c>
      <c r="F223" s="127" t="str">
        <f>VLOOKUP($B223,'Выгр Торг'!$B:$Q,F$1,0)</f>
        <v>Y</v>
      </c>
      <c r="G223" s="127" t="str">
        <f>VLOOKUP($B223,'Выгр Торг'!$B:$Q,G$1,0)</f>
        <v>1</v>
      </c>
      <c r="H223" s="40">
        <v>166639</v>
      </c>
      <c r="I223" s="156"/>
      <c r="J223" s="160"/>
      <c r="K223" s="161">
        <v>870</v>
      </c>
      <c r="L223" s="130">
        <f t="shared" si="179"/>
        <v>48470</v>
      </c>
      <c r="M223" s="130">
        <f t="shared" si="168"/>
        <v>49470</v>
      </c>
      <c r="N223" s="130">
        <f t="shared" si="169"/>
        <v>42470</v>
      </c>
      <c r="O223" s="132">
        <f t="shared" si="164"/>
        <v>1.0206313183412421</v>
      </c>
      <c r="P223" s="132">
        <f t="shared" si="157"/>
        <v>1.1499999999999999</v>
      </c>
      <c r="Q223" s="130">
        <f t="shared" si="170"/>
        <v>59936.021505376331</v>
      </c>
      <c r="R223" s="148">
        <f t="shared" si="166"/>
        <v>59990</v>
      </c>
      <c r="S223" s="127">
        <f>VLOOKUP($B223,'Выгр Торг'!$B:$Q,S$1,0)</f>
        <v>48470</v>
      </c>
      <c r="T223" s="127">
        <f>VLOOKUP($B223,'Выгр Торг'!$B:$Q,T$1,0)</f>
        <v>59990</v>
      </c>
      <c r="U223" s="94">
        <f t="shared" si="158"/>
        <v>0</v>
      </c>
      <c r="V223" s="94">
        <f t="shared" si="159"/>
        <v>0</v>
      </c>
      <c r="W223" s="153">
        <f t="shared" si="167"/>
        <v>55790.7</v>
      </c>
      <c r="X223" s="209">
        <f>IFERROR(VLOOKUP($B223,'Из ГУГЛа'!$B:$G,6,0)*Z223+Y223,VLOOKUP($B223,'Из ГУГЛа'!$B:$G,6,0))</f>
        <v>52260</v>
      </c>
      <c r="Y223" s="220">
        <f t="shared" si="171"/>
        <v>9970</v>
      </c>
      <c r="Z223" s="133">
        <v>1</v>
      </c>
      <c r="AA223" s="134"/>
      <c r="AB223" s="135">
        <f t="shared" si="160"/>
        <v>0.15103569218073032</v>
      </c>
      <c r="AC223" s="135">
        <f t="shared" si="161"/>
        <v>-6.7560275545350115E-2</v>
      </c>
      <c r="AD223" s="135">
        <f t="shared" si="162"/>
        <v>7.8192696513307292E-2</v>
      </c>
      <c r="AE223" s="222">
        <v>52260</v>
      </c>
      <c r="AF223" s="98" t="s">
        <v>624</v>
      </c>
      <c r="AH223" s="98" t="s">
        <v>131</v>
      </c>
    </row>
    <row r="224" spans="1:34" ht="46.5" thickTop="1" thickBot="1">
      <c r="A224" s="125" t="str">
        <f>INDEX('Выгр Торг'!$A:$A,MATCH($B224,'Выгр Торг'!$B:$B,0))</f>
        <v>Руль анатомический "Ferrum" Exclusive с обогревом для Лада Ларгус FL, Веста, XRAY</v>
      </c>
      <c r="B224" s="126">
        <v>132575</v>
      </c>
      <c r="C224" s="127">
        <f>VLOOKUP($B224,'Выгр Торг'!$B:$Q,C$1,0)</f>
        <v>166653</v>
      </c>
      <c r="D224" s="128" t="s">
        <v>131</v>
      </c>
      <c r="E224" s="125" t="str">
        <f>VLOOKUP($B224,'Выгр Торг'!$B:$Q,E$1,0)</f>
        <v>Руль анатомический "Ferrum" Exclusive с обогревом для Лада Ларгус FL, Веста, XRAY (Белая нить, Чёрный глянец)</v>
      </c>
      <c r="F224" s="127" t="str">
        <f>VLOOKUP($B224,'Выгр Торг'!$B:$Q,F$1,0)</f>
        <v>Y</v>
      </c>
      <c r="G224" s="127" t="str">
        <f>VLOOKUP($B224,'Выгр Торг'!$B:$Q,G$1,0)</f>
        <v>1</v>
      </c>
      <c r="H224" s="40">
        <v>166639</v>
      </c>
      <c r="I224" s="156"/>
      <c r="J224" s="160"/>
      <c r="K224" s="161">
        <v>870</v>
      </c>
      <c r="L224" s="130">
        <f t="shared" si="179"/>
        <v>48470</v>
      </c>
      <c r="M224" s="130">
        <f t="shared" si="168"/>
        <v>49470</v>
      </c>
      <c r="N224" s="130">
        <f t="shared" si="169"/>
        <v>42470</v>
      </c>
      <c r="O224" s="132">
        <f t="shared" si="164"/>
        <v>1.0206313183412421</v>
      </c>
      <c r="P224" s="132">
        <f t="shared" si="157"/>
        <v>1.1499999999999999</v>
      </c>
      <c r="Q224" s="130">
        <f t="shared" si="170"/>
        <v>59936.021505376331</v>
      </c>
      <c r="R224" s="148">
        <f t="shared" si="166"/>
        <v>59990</v>
      </c>
      <c r="S224" s="127">
        <f>VLOOKUP($B224,'Выгр Торг'!$B:$Q,S$1,0)</f>
        <v>48470</v>
      </c>
      <c r="T224" s="127">
        <f>VLOOKUP($B224,'Выгр Торг'!$B:$Q,T$1,0)</f>
        <v>59990</v>
      </c>
      <c r="U224" s="94">
        <f t="shared" si="158"/>
        <v>0</v>
      </c>
      <c r="V224" s="94">
        <f t="shared" si="159"/>
        <v>0</v>
      </c>
      <c r="W224" s="153">
        <f t="shared" si="167"/>
        <v>55790.7</v>
      </c>
      <c r="X224" s="209">
        <f>IFERROR(VLOOKUP($B224,'Из ГУГЛа'!$B:$G,6,0)*Z224+Y224,VLOOKUP($B224,'Из ГУГЛа'!$B:$G,6,0))</f>
        <v>52260</v>
      </c>
      <c r="Y224" s="220">
        <f t="shared" si="171"/>
        <v>9970</v>
      </c>
      <c r="Z224" s="133">
        <v>1</v>
      </c>
      <c r="AA224" s="134"/>
      <c r="AB224" s="135">
        <f t="shared" si="160"/>
        <v>0.15103569218073032</v>
      </c>
      <c r="AC224" s="135">
        <f t="shared" si="161"/>
        <v>-6.7560275545350115E-2</v>
      </c>
      <c r="AD224" s="135">
        <f t="shared" si="162"/>
        <v>7.8192696513307292E-2</v>
      </c>
      <c r="AE224" s="222">
        <v>52260</v>
      </c>
      <c r="AF224" s="98" t="s">
        <v>624</v>
      </c>
      <c r="AH224" s="98" t="s">
        <v>131</v>
      </c>
    </row>
    <row r="225" spans="1:34" ht="46.5" thickTop="1" thickBot="1">
      <c r="A225" s="125" t="str">
        <f>INDEX('Выгр Торг'!$A:$A,MATCH($B225,'Выгр Торг'!$B:$B,0))</f>
        <v>Руль анатомический "Ferrum" Grand Premium (с обогревом) для Лада Ларгус FL, Веста, XRAY</v>
      </c>
      <c r="B225" s="126">
        <v>132602</v>
      </c>
      <c r="C225" s="127">
        <f>VLOOKUP($B225,'Выгр Торг'!$B:$Q,C$1,0)</f>
        <v>166685</v>
      </c>
      <c r="D225" s="128" t="s">
        <v>129</v>
      </c>
      <c r="E225" s="125" t="str">
        <f>VLOOKUP($B225,'Выгр Торг'!$B:$Q,E$1,0)</f>
        <v>Руль анатомический "Ferrum" Grand Premium (с обогревом) для Лада Ларгус FL, Веста, XRAY (Чёрная нить, Чёрный глянец)</v>
      </c>
      <c r="F225" s="127" t="str">
        <f>VLOOKUP($B225,'Выгр Торг'!$B:$Q,F$1,0)</f>
        <v>Y</v>
      </c>
      <c r="G225" s="127" t="str">
        <f>VLOOKUP($B225,'Выгр Торг'!$B:$Q,G$1,0)</f>
        <v>1</v>
      </c>
      <c r="H225" s="40">
        <v>166685</v>
      </c>
      <c r="I225" s="156"/>
      <c r="J225" s="160">
        <v>7000</v>
      </c>
      <c r="K225" s="161">
        <v>0</v>
      </c>
      <c r="L225" s="130">
        <f t="shared" ref="L225:L226" si="180">M225-1000</f>
        <v>46400</v>
      </c>
      <c r="M225" s="131">
        <f>N225+J225</f>
        <v>47400</v>
      </c>
      <c r="N225" s="131">
        <v>40400</v>
      </c>
      <c r="O225" s="132">
        <f t="shared" si="164"/>
        <v>1.021551724137931</v>
      </c>
      <c r="P225" s="132">
        <f t="shared" si="157"/>
        <v>1.1499999999999999</v>
      </c>
      <c r="Q225" s="147">
        <f t="shared" ref="Q225" si="181">L225*P225*100/93</f>
        <v>57376.344086021498</v>
      </c>
      <c r="R225" s="148">
        <f t="shared" si="166"/>
        <v>57390</v>
      </c>
      <c r="S225" s="127">
        <f>VLOOKUP($B225,'Выгр Торг'!$B:$Q,S$1,0)</f>
        <v>46400</v>
      </c>
      <c r="T225" s="127">
        <f>VLOOKUP($B225,'Выгр Торг'!$B:$Q,T$1,0)</f>
        <v>57390</v>
      </c>
      <c r="U225" s="94">
        <f t="shared" si="158"/>
        <v>0</v>
      </c>
      <c r="V225" s="94">
        <f t="shared" si="159"/>
        <v>0</v>
      </c>
      <c r="W225" s="153">
        <f t="shared" si="167"/>
        <v>53372.7</v>
      </c>
      <c r="X225" s="209">
        <f>IFERROR(VLOOKUP($B225,'Из ГУГЛа'!$B:$G,6,0)*Z225+Y225,VLOOKUP($B225,'Из ГУГЛа'!$B:$G,6,0))</f>
        <v>50590</v>
      </c>
      <c r="Y225" s="106">
        <f>(J225+K225)*$Y$2</f>
        <v>9100</v>
      </c>
      <c r="Z225" s="133">
        <v>1</v>
      </c>
      <c r="AA225" s="134"/>
      <c r="AB225" s="135">
        <f t="shared" si="160"/>
        <v>0.15027370689655162</v>
      </c>
      <c r="AC225" s="135">
        <f t="shared" si="161"/>
        <v>-5.5004941688080594E-2</v>
      </c>
      <c r="AD225" s="135">
        <f t="shared" si="162"/>
        <v>9.0301724137931139E-2</v>
      </c>
      <c r="AE225" s="221">
        <v>50590</v>
      </c>
      <c r="AF225" s="98" t="s">
        <v>620</v>
      </c>
      <c r="AH225" s="98" t="s">
        <v>129</v>
      </c>
    </row>
    <row r="226" spans="1:34" ht="46.5" thickTop="1" thickBot="1">
      <c r="A226" s="125" t="str">
        <f>INDEX('Выгр Торг'!$A:$A,MATCH($B226,'Выгр Торг'!$B:$B,0))</f>
        <v>Руль анатомический "Ferrum" Grand Premium (с обогревом) для Лада Ларгус FL, Веста, XRAY</v>
      </c>
      <c r="B226" s="126">
        <v>341473</v>
      </c>
      <c r="C226" s="127">
        <f>VLOOKUP($B226,'Выгр Торг'!$B:$Q,C$1,0)</f>
        <v>341473</v>
      </c>
      <c r="D226" s="128" t="s">
        <v>129</v>
      </c>
      <c r="E226" s="125" t="str">
        <f>VLOOKUP($B226,'Выгр Торг'!$B:$Q,E$1,0)</f>
        <v>Руль анатомический "Ferrum" Grand Premium (с обогревом) для Лада Ларгус FL, Веста, XRAY (Чёрная нить, Чёрный мат)</v>
      </c>
      <c r="F226" s="127" t="str">
        <f>VLOOKUP($B226,'Выгр Торг'!$B:$Q,F$1,0)</f>
        <v>Y</v>
      </c>
      <c r="G226" s="127" t="str">
        <f>VLOOKUP($B226,'Выгр Торг'!$B:$Q,G$1,0)</f>
        <v>1</v>
      </c>
      <c r="H226" s="40">
        <v>166685</v>
      </c>
      <c r="I226" s="156"/>
      <c r="J226" s="160">
        <v>830</v>
      </c>
      <c r="K226" s="161">
        <v>0</v>
      </c>
      <c r="L226" s="130">
        <f t="shared" si="180"/>
        <v>47230</v>
      </c>
      <c r="M226" s="130">
        <f t="shared" ref="M226:M250" si="182">INDEX($M:$M,MATCH($H226,$C:$C,0))+$K226+$J226</f>
        <v>48230</v>
      </c>
      <c r="N226" s="130">
        <f t="shared" ref="N226:N250" si="183">INDEX($N:$N,MATCH($H226,$C:$C,0))+$K226+$J226</f>
        <v>41230</v>
      </c>
      <c r="O226" s="132">
        <f t="shared" si="164"/>
        <v>1.0211729832733432</v>
      </c>
      <c r="P226" s="132">
        <f t="shared" si="157"/>
        <v>1.1499999999999999</v>
      </c>
      <c r="Q226" s="130">
        <f t="shared" ref="Q226:Q250" si="184">INDEX($Q:$Q,MATCH($H226,$C:$C,0))+($K226+$J226)*INDEX($P:$P,MATCH($H226,$C:$C,0))*100/93</f>
        <v>58402.688172043003</v>
      </c>
      <c r="R226" s="148">
        <f t="shared" si="166"/>
        <v>58490</v>
      </c>
      <c r="S226" s="127">
        <f>VLOOKUP($B226,'Выгр Торг'!$B:$Q,S$1,0)</f>
        <v>47230</v>
      </c>
      <c r="T226" s="127">
        <f>VLOOKUP($B226,'Выгр Торг'!$B:$Q,T$1,0)</f>
        <v>58490</v>
      </c>
      <c r="U226" s="94">
        <f t="shared" si="158"/>
        <v>0</v>
      </c>
      <c r="V226" s="94">
        <f t="shared" si="159"/>
        <v>0</v>
      </c>
      <c r="W226" s="153">
        <f t="shared" si="167"/>
        <v>54395.7</v>
      </c>
      <c r="X226" s="209">
        <f>IFERROR(VLOOKUP($B226,'Из ГУГЛа'!$B:$G,6,0)*Z226+Y226,VLOOKUP($B226,'Из ГУГЛа'!$B:$G,6,0))</f>
        <v>51420</v>
      </c>
      <c r="Y226" s="220">
        <f t="shared" ref="Y226:Y250" si="185">INDEX($Y:$Y,MATCH($H226,$C:$C,0))+J226+K226</f>
        <v>9930</v>
      </c>
      <c r="Z226" s="133">
        <v>1</v>
      </c>
      <c r="AA226" s="133">
        <v>1300</v>
      </c>
      <c r="AB226" s="135">
        <f t="shared" si="160"/>
        <v>0.15171924624179534</v>
      </c>
      <c r="AC226" s="135">
        <f t="shared" si="161"/>
        <v>-5.787047841306879E-2</v>
      </c>
      <c r="AD226" s="135">
        <f t="shared" si="162"/>
        <v>8.8714799915308173E-2</v>
      </c>
      <c r="AE226" s="222">
        <v>51420</v>
      </c>
      <c r="AF226" s="98" t="s">
        <v>620</v>
      </c>
      <c r="AH226" s="98" t="s">
        <v>129</v>
      </c>
    </row>
    <row r="227" spans="1:34" ht="46.5" thickTop="1" thickBot="1">
      <c r="A227" s="176" t="str">
        <f>INDEX('Выгр Торг'!$A:$A,MATCH($B227,'Выгр Торг'!$B:$B,0))</f>
        <v>Руль анатомический "Ferrum" Grand Premium (с обогревом) для Лада Ларгус FL, Веста, XRAY</v>
      </c>
      <c r="B227" s="178">
        <v>341484</v>
      </c>
      <c r="C227" s="179">
        <f>VLOOKUP($B227,'Выгр Торг'!$B:$Q,C$1,0)</f>
        <v>341484</v>
      </c>
      <c r="D227" s="189" t="s">
        <v>129</v>
      </c>
      <c r="E227" s="176" t="str">
        <f>VLOOKUP($B227,'Выгр Торг'!$B:$Q,E$1,0)</f>
        <v>Руль анатомический "Ferrum" Grand Premium (с обогревом) для Лада Ларгус FL, Веста, XRAY (Жёлтая нить, Чёрный мат)</v>
      </c>
      <c r="F227" s="179" t="str">
        <f>VLOOKUP($B227,'Выгр Торг'!$B:$Q,F$1,0)</f>
        <v>Y</v>
      </c>
      <c r="G227" s="179" t="str">
        <f>VLOOKUP($B227,'Выгр Торг'!$B:$Q,G$1,0)</f>
        <v>1</v>
      </c>
      <c r="H227" s="177">
        <v>166685</v>
      </c>
      <c r="I227" s="156"/>
      <c r="J227" s="160">
        <v>830</v>
      </c>
      <c r="K227" s="161">
        <v>870</v>
      </c>
      <c r="L227" s="180">
        <f t="shared" ref="L227:L239" si="186">M227-1000</f>
        <v>48100</v>
      </c>
      <c r="M227" s="180">
        <f t="shared" si="182"/>
        <v>49100</v>
      </c>
      <c r="N227" s="180">
        <f t="shared" si="183"/>
        <v>42100</v>
      </c>
      <c r="O227" s="107">
        <f t="shared" ref="O227:O239" si="187">M227/L227</f>
        <v>1.0207900207900207</v>
      </c>
      <c r="P227" s="132">
        <f t="shared" si="157"/>
        <v>1.1499999999999999</v>
      </c>
      <c r="Q227" s="180">
        <f t="shared" si="184"/>
        <v>59478.494623655904</v>
      </c>
      <c r="R227" s="144">
        <f t="shared" ref="R227:R239" si="188">IF(Q227&lt;=1000,(ROUNDUP(Q227,-2)-1),(ROUNDUP(Q227,-2)-10))</f>
        <v>59490</v>
      </c>
      <c r="S227" s="179">
        <f>VLOOKUP($B227,'Выгр Торг'!$B:$Q,S$1,0)</f>
        <v>48100</v>
      </c>
      <c r="T227" s="179">
        <f>VLOOKUP($B227,'Выгр Торг'!$B:$Q,T$1,0)</f>
        <v>59490</v>
      </c>
      <c r="U227" s="94">
        <f t="shared" si="158"/>
        <v>0</v>
      </c>
      <c r="V227" s="94">
        <f t="shared" si="159"/>
        <v>0</v>
      </c>
      <c r="W227" s="182">
        <f t="shared" ref="W227:W239" si="189">R227*(1-$W$2)</f>
        <v>55325.7</v>
      </c>
      <c r="X227" s="218">
        <f>IFERROR(VLOOKUP($B227,'Из ГУГЛа'!$B:$G,6,0)*Z227+Y227,VLOOKUP($B227,'Из ГУГЛа'!$B:$G,6,0))</f>
        <v>52290</v>
      </c>
      <c r="Y227" s="220">
        <f t="shared" si="185"/>
        <v>10800</v>
      </c>
      <c r="Z227" s="133">
        <v>1</v>
      </c>
      <c r="AA227" s="133">
        <v>1300</v>
      </c>
      <c r="AB227" s="184">
        <f t="shared" ref="AB227:AB239" si="190">IFERROR(W227/L227-1,"")</f>
        <v>0.1502224532224532</v>
      </c>
      <c r="AC227" s="184">
        <f t="shared" ref="AC227:AC239" si="191">IFERROR((AE227-W227)/AE227,"")</f>
        <v>-5.8055077452667761E-2</v>
      </c>
      <c r="AD227" s="184">
        <f t="shared" ref="AD227:AD239" si="192">IFERROR(IF(AE227="","",AE227/L227-1),"")</f>
        <v>8.7110187110187143E-2</v>
      </c>
      <c r="AE227" s="222">
        <v>52290</v>
      </c>
      <c r="AF227" s="98" t="s">
        <v>620</v>
      </c>
      <c r="AH227" s="98" t="s">
        <v>129</v>
      </c>
    </row>
    <row r="228" spans="1:34" ht="46.5" thickTop="1" thickBot="1">
      <c r="A228" s="176" t="str">
        <f>INDEX('Выгр Торг'!$A:$A,MATCH($B228,'Выгр Торг'!$B:$B,0))</f>
        <v>Руль анатомический "Ferrum" Grand Premium (с обогревом) для Лада Ларгус FL, Веста, XRAY</v>
      </c>
      <c r="B228" s="178">
        <v>341483</v>
      </c>
      <c r="C228" s="179">
        <f>VLOOKUP($B228,'Выгр Торг'!$B:$Q,C$1,0)</f>
        <v>341483</v>
      </c>
      <c r="D228" s="189" t="s">
        <v>129</v>
      </c>
      <c r="E228" s="176" t="str">
        <f>VLOOKUP($B228,'Выгр Торг'!$B:$Q,E$1,0)</f>
        <v>Руль анатомический "Ferrum" Grand Premium (с обогревом) для Лада Ларгус FL, Веста, XRAY (Зелёная нить, Чёрный мат)</v>
      </c>
      <c r="F228" s="179" t="str">
        <f>VLOOKUP($B228,'Выгр Торг'!$B:$Q,F$1,0)</f>
        <v>Y</v>
      </c>
      <c r="G228" s="179" t="str">
        <f>VLOOKUP($B228,'Выгр Торг'!$B:$Q,G$1,0)</f>
        <v>1</v>
      </c>
      <c r="H228" s="177">
        <v>166685</v>
      </c>
      <c r="I228" s="156"/>
      <c r="J228" s="160">
        <v>830</v>
      </c>
      <c r="K228" s="161">
        <v>870</v>
      </c>
      <c r="L228" s="180">
        <f t="shared" si="186"/>
        <v>48100</v>
      </c>
      <c r="M228" s="180">
        <f t="shared" si="182"/>
        <v>49100</v>
      </c>
      <c r="N228" s="180">
        <f t="shared" si="183"/>
        <v>42100</v>
      </c>
      <c r="O228" s="107">
        <f t="shared" si="187"/>
        <v>1.0207900207900207</v>
      </c>
      <c r="P228" s="132">
        <f t="shared" si="157"/>
        <v>1.1499999999999999</v>
      </c>
      <c r="Q228" s="180">
        <f t="shared" si="184"/>
        <v>59478.494623655904</v>
      </c>
      <c r="R228" s="144">
        <f t="shared" si="188"/>
        <v>59490</v>
      </c>
      <c r="S228" s="179">
        <f>VLOOKUP($B228,'Выгр Торг'!$B:$Q,S$1,0)</f>
        <v>48100</v>
      </c>
      <c r="T228" s="179">
        <f>VLOOKUP($B228,'Выгр Торг'!$B:$Q,T$1,0)</f>
        <v>59490</v>
      </c>
      <c r="U228" s="94">
        <f t="shared" si="158"/>
        <v>0</v>
      </c>
      <c r="V228" s="94">
        <f t="shared" si="159"/>
        <v>0</v>
      </c>
      <c r="W228" s="182">
        <f t="shared" si="189"/>
        <v>55325.7</v>
      </c>
      <c r="X228" s="218">
        <f>IFERROR(VLOOKUP($B228,'Из ГУГЛа'!$B:$G,6,0)*Z228+Y228,VLOOKUP($B228,'Из ГУГЛа'!$B:$G,6,0))</f>
        <v>52290</v>
      </c>
      <c r="Y228" s="220">
        <f t="shared" si="185"/>
        <v>10800</v>
      </c>
      <c r="Z228" s="133">
        <v>1</v>
      </c>
      <c r="AA228" s="133">
        <v>1300</v>
      </c>
      <c r="AB228" s="184">
        <f t="shared" si="190"/>
        <v>0.1502224532224532</v>
      </c>
      <c r="AC228" s="184">
        <f t="shared" si="191"/>
        <v>-5.8055077452667761E-2</v>
      </c>
      <c r="AD228" s="184">
        <f t="shared" si="192"/>
        <v>8.7110187110187143E-2</v>
      </c>
      <c r="AE228" s="222">
        <v>52290</v>
      </c>
      <c r="AF228" s="98" t="s">
        <v>620</v>
      </c>
      <c r="AH228" s="98" t="s">
        <v>129</v>
      </c>
    </row>
    <row r="229" spans="1:34" ht="46.5" thickTop="1" thickBot="1">
      <c r="A229" s="176" t="str">
        <f>INDEX('Выгр Торг'!$A:$A,MATCH($B229,'Выгр Торг'!$B:$B,0))</f>
        <v>Руль анатомический "Ferrum" Grand Premium (с обогревом) для Лада Ларгус FL, Веста, XRAY</v>
      </c>
      <c r="B229" s="178">
        <v>341475</v>
      </c>
      <c r="C229" s="179">
        <f>VLOOKUP($B229,'Выгр Торг'!$B:$Q,C$1,0)</f>
        <v>341475</v>
      </c>
      <c r="D229" s="189" t="s">
        <v>129</v>
      </c>
      <c r="E229" s="176" t="str">
        <f>VLOOKUP($B229,'Выгр Торг'!$B:$Q,E$1,0)</f>
        <v>Руль анатомический "Ferrum" Grand Premium (с обогревом) для Лада Ларгус FL, Веста, XRAY (Коричневая нить, Чёрный мат)</v>
      </c>
      <c r="F229" s="179" t="str">
        <f>VLOOKUP($B229,'Выгр Торг'!$B:$Q,F$1,0)</f>
        <v>Y</v>
      </c>
      <c r="G229" s="179" t="str">
        <f>VLOOKUP($B229,'Выгр Торг'!$B:$Q,G$1,0)</f>
        <v>1</v>
      </c>
      <c r="H229" s="177">
        <v>166685</v>
      </c>
      <c r="I229" s="156"/>
      <c r="J229" s="160">
        <v>830</v>
      </c>
      <c r="K229" s="161">
        <v>870</v>
      </c>
      <c r="L229" s="180">
        <f t="shared" si="186"/>
        <v>48100</v>
      </c>
      <c r="M229" s="180">
        <f t="shared" si="182"/>
        <v>49100</v>
      </c>
      <c r="N229" s="180">
        <f t="shared" si="183"/>
        <v>42100</v>
      </c>
      <c r="O229" s="107">
        <f t="shared" si="187"/>
        <v>1.0207900207900207</v>
      </c>
      <c r="P229" s="132">
        <f t="shared" si="157"/>
        <v>1.1499999999999999</v>
      </c>
      <c r="Q229" s="180">
        <f t="shared" si="184"/>
        <v>59478.494623655904</v>
      </c>
      <c r="R229" s="144">
        <f t="shared" si="188"/>
        <v>59490</v>
      </c>
      <c r="S229" s="179">
        <f>VLOOKUP($B229,'Выгр Торг'!$B:$Q,S$1,0)</f>
        <v>48100</v>
      </c>
      <c r="T229" s="179">
        <f>VLOOKUP($B229,'Выгр Торг'!$B:$Q,T$1,0)</f>
        <v>59490</v>
      </c>
      <c r="U229" s="94">
        <f t="shared" si="158"/>
        <v>0</v>
      </c>
      <c r="V229" s="94">
        <f t="shared" si="159"/>
        <v>0</v>
      </c>
      <c r="W229" s="182">
        <f t="shared" si="189"/>
        <v>55325.7</v>
      </c>
      <c r="X229" s="218">
        <f>IFERROR(VLOOKUP($B229,'Из ГУГЛа'!$B:$G,6,0)*Z229+Y229,VLOOKUP($B229,'Из ГУГЛа'!$B:$G,6,0))</f>
        <v>52290</v>
      </c>
      <c r="Y229" s="220">
        <f t="shared" si="185"/>
        <v>10800</v>
      </c>
      <c r="Z229" s="133">
        <v>1</v>
      </c>
      <c r="AA229" s="133">
        <v>1300</v>
      </c>
      <c r="AB229" s="184">
        <f t="shared" si="190"/>
        <v>0.1502224532224532</v>
      </c>
      <c r="AC229" s="184">
        <f t="shared" si="191"/>
        <v>-5.8055077452667761E-2</v>
      </c>
      <c r="AD229" s="184">
        <f t="shared" si="192"/>
        <v>8.7110187110187143E-2</v>
      </c>
      <c r="AE229" s="222">
        <v>52290</v>
      </c>
      <c r="AF229" s="98" t="s">
        <v>620</v>
      </c>
      <c r="AH229" s="98" t="s">
        <v>129</v>
      </c>
    </row>
    <row r="230" spans="1:34" ht="46.5" thickTop="1" thickBot="1">
      <c r="A230" s="176" t="str">
        <f>INDEX('Выгр Торг'!$A:$A,MATCH($B230,'Выгр Торг'!$B:$B,0))</f>
        <v>Руль анатомический "Ferrum" Grand Premium (с обогревом) для Лада Ларгус FL, Веста, XRAY</v>
      </c>
      <c r="B230" s="178">
        <v>341476</v>
      </c>
      <c r="C230" s="179">
        <f>VLOOKUP($B230,'Выгр Торг'!$B:$Q,C$1,0)</f>
        <v>341476</v>
      </c>
      <c r="D230" s="189" t="s">
        <v>129</v>
      </c>
      <c r="E230" s="176" t="str">
        <f>VLOOKUP($B230,'Выгр Торг'!$B:$Q,E$1,0)</f>
        <v>Руль анатомический "Ferrum" Grand Premium (с обогревом) для Лада Ларгус FL, Веста, XRAY (Красная нить, Чёрный мат)</v>
      </c>
      <c r="F230" s="179" t="str">
        <f>VLOOKUP($B230,'Выгр Торг'!$B:$Q,F$1,0)</f>
        <v>Y</v>
      </c>
      <c r="G230" s="179" t="str">
        <f>VLOOKUP($B230,'Выгр Торг'!$B:$Q,G$1,0)</f>
        <v>1</v>
      </c>
      <c r="H230" s="177">
        <v>166685</v>
      </c>
      <c r="I230" s="156"/>
      <c r="J230" s="160">
        <v>830</v>
      </c>
      <c r="K230" s="161">
        <v>870</v>
      </c>
      <c r="L230" s="180">
        <f t="shared" si="186"/>
        <v>48100</v>
      </c>
      <c r="M230" s="180">
        <f t="shared" si="182"/>
        <v>49100</v>
      </c>
      <c r="N230" s="180">
        <f t="shared" si="183"/>
        <v>42100</v>
      </c>
      <c r="O230" s="107">
        <f t="shared" si="187"/>
        <v>1.0207900207900207</v>
      </c>
      <c r="P230" s="132">
        <f t="shared" si="157"/>
        <v>1.1499999999999999</v>
      </c>
      <c r="Q230" s="180">
        <f t="shared" si="184"/>
        <v>59478.494623655904</v>
      </c>
      <c r="R230" s="144">
        <f t="shared" si="188"/>
        <v>59490</v>
      </c>
      <c r="S230" s="179">
        <f>VLOOKUP($B230,'Выгр Торг'!$B:$Q,S$1,0)</f>
        <v>48100</v>
      </c>
      <c r="T230" s="179">
        <f>VLOOKUP($B230,'Выгр Торг'!$B:$Q,T$1,0)</f>
        <v>59490</v>
      </c>
      <c r="U230" s="94">
        <f t="shared" si="158"/>
        <v>0</v>
      </c>
      <c r="V230" s="94">
        <f t="shared" si="159"/>
        <v>0</v>
      </c>
      <c r="W230" s="182">
        <f t="shared" si="189"/>
        <v>55325.7</v>
      </c>
      <c r="X230" s="218">
        <f>IFERROR(VLOOKUP($B230,'Из ГУГЛа'!$B:$G,6,0)*Z230+Y230,VLOOKUP($B230,'Из ГУГЛа'!$B:$G,6,0))</f>
        <v>52290</v>
      </c>
      <c r="Y230" s="220">
        <f t="shared" si="185"/>
        <v>10800</v>
      </c>
      <c r="Z230" s="133">
        <v>1</v>
      </c>
      <c r="AA230" s="133">
        <v>1300</v>
      </c>
      <c r="AB230" s="184">
        <f t="shared" si="190"/>
        <v>0.1502224532224532</v>
      </c>
      <c r="AC230" s="184">
        <f t="shared" si="191"/>
        <v>-5.8055077452667761E-2</v>
      </c>
      <c r="AD230" s="184">
        <f t="shared" si="192"/>
        <v>8.7110187110187143E-2</v>
      </c>
      <c r="AE230" s="222">
        <v>52290</v>
      </c>
      <c r="AF230" s="98" t="s">
        <v>620</v>
      </c>
      <c r="AH230" s="98" t="s">
        <v>129</v>
      </c>
    </row>
    <row r="231" spans="1:34" ht="46.5" thickTop="1" thickBot="1">
      <c r="A231" s="176" t="str">
        <f>INDEX('Выгр Торг'!$A:$A,MATCH($B231,'Выгр Торг'!$B:$B,0))</f>
        <v>Руль анатомический "Ferrum" Grand Premium (с обогревом) для Лада Ларгус FL, Веста, XRAY</v>
      </c>
      <c r="B231" s="178">
        <v>341477</v>
      </c>
      <c r="C231" s="179">
        <f>VLOOKUP($B231,'Выгр Торг'!$B:$Q,C$1,0)</f>
        <v>341477</v>
      </c>
      <c r="D231" s="189" t="s">
        <v>129</v>
      </c>
      <c r="E231" s="176" t="str">
        <f>VLOOKUP($B231,'Выгр Торг'!$B:$Q,E$1,0)</f>
        <v>Руль анатомический "Ferrum" Grand Premium (с обогревом) для Лада Ларгус FL, Веста, XRAY (Оранжевая нить, Чёрный мат)</v>
      </c>
      <c r="F231" s="179" t="str">
        <f>VLOOKUP($B231,'Выгр Торг'!$B:$Q,F$1,0)</f>
        <v>Y</v>
      </c>
      <c r="G231" s="179" t="str">
        <f>VLOOKUP($B231,'Выгр Торг'!$B:$Q,G$1,0)</f>
        <v>1</v>
      </c>
      <c r="H231" s="177">
        <v>166685</v>
      </c>
      <c r="I231" s="156"/>
      <c r="J231" s="160">
        <v>830</v>
      </c>
      <c r="K231" s="161">
        <v>870</v>
      </c>
      <c r="L231" s="180">
        <f t="shared" si="186"/>
        <v>48100</v>
      </c>
      <c r="M231" s="180">
        <f t="shared" si="182"/>
        <v>49100</v>
      </c>
      <c r="N231" s="180">
        <f t="shared" si="183"/>
        <v>42100</v>
      </c>
      <c r="O231" s="107">
        <f t="shared" si="187"/>
        <v>1.0207900207900207</v>
      </c>
      <c r="P231" s="132">
        <f t="shared" si="157"/>
        <v>1.1499999999999999</v>
      </c>
      <c r="Q231" s="180">
        <f t="shared" si="184"/>
        <v>59478.494623655904</v>
      </c>
      <c r="R231" s="144">
        <f t="shared" si="188"/>
        <v>59490</v>
      </c>
      <c r="S231" s="179">
        <f>VLOOKUP($B231,'Выгр Торг'!$B:$Q,S$1,0)</f>
        <v>48100</v>
      </c>
      <c r="T231" s="179">
        <f>VLOOKUP($B231,'Выгр Торг'!$B:$Q,T$1,0)</f>
        <v>59490</v>
      </c>
      <c r="U231" s="94">
        <f t="shared" si="158"/>
        <v>0</v>
      </c>
      <c r="V231" s="94">
        <f t="shared" si="159"/>
        <v>0</v>
      </c>
      <c r="W231" s="182">
        <f t="shared" si="189"/>
        <v>55325.7</v>
      </c>
      <c r="X231" s="218">
        <f>IFERROR(VLOOKUP($B231,'Из ГУГЛа'!$B:$G,6,0)*Z231+Y231,VLOOKUP($B231,'Из ГУГЛа'!$B:$G,6,0))</f>
        <v>52290</v>
      </c>
      <c r="Y231" s="220">
        <f t="shared" si="185"/>
        <v>10800</v>
      </c>
      <c r="Z231" s="133">
        <v>1</v>
      </c>
      <c r="AA231" s="133">
        <v>1300</v>
      </c>
      <c r="AB231" s="184">
        <f t="shared" si="190"/>
        <v>0.1502224532224532</v>
      </c>
      <c r="AC231" s="184">
        <f t="shared" si="191"/>
        <v>-5.8055077452667761E-2</v>
      </c>
      <c r="AD231" s="184">
        <f t="shared" si="192"/>
        <v>8.7110187110187143E-2</v>
      </c>
      <c r="AE231" s="222">
        <v>52290</v>
      </c>
      <c r="AF231" s="98" t="s">
        <v>620</v>
      </c>
      <c r="AH231" s="98" t="s">
        <v>129</v>
      </c>
    </row>
    <row r="232" spans="1:34" ht="46.5" thickTop="1" thickBot="1">
      <c r="A232" s="176" t="str">
        <f>INDEX('Выгр Торг'!$A:$A,MATCH($B232,'Выгр Торг'!$B:$B,0))</f>
        <v>Руль анатомический "Ferrum" Grand Premium (с обогревом) для Лада Ларгус FL, Веста, XRAY</v>
      </c>
      <c r="B232" s="178">
        <v>341478</v>
      </c>
      <c r="C232" s="179">
        <f>VLOOKUP($B232,'Выгр Торг'!$B:$Q,C$1,0)</f>
        <v>341478</v>
      </c>
      <c r="D232" s="189" t="s">
        <v>129</v>
      </c>
      <c r="E232" s="176" t="str">
        <f>VLOOKUP($B232,'Выгр Торг'!$B:$Q,E$1,0)</f>
        <v>Руль анатомический "Ferrum" Grand Premium (с обогревом) для Лада Ларгус FL, Веста, XRAY (Салатовая нить, Чёрный мат)</v>
      </c>
      <c r="F232" s="179" t="str">
        <f>VLOOKUP($B232,'Выгр Торг'!$B:$Q,F$1,0)</f>
        <v>Y</v>
      </c>
      <c r="G232" s="179" t="str">
        <f>VLOOKUP($B232,'Выгр Торг'!$B:$Q,G$1,0)</f>
        <v>1</v>
      </c>
      <c r="H232" s="177">
        <v>166685</v>
      </c>
      <c r="I232" s="156"/>
      <c r="J232" s="160">
        <v>830</v>
      </c>
      <c r="K232" s="161">
        <v>870</v>
      </c>
      <c r="L232" s="180">
        <f t="shared" si="186"/>
        <v>48100</v>
      </c>
      <c r="M232" s="180">
        <f t="shared" si="182"/>
        <v>49100</v>
      </c>
      <c r="N232" s="180">
        <f t="shared" si="183"/>
        <v>42100</v>
      </c>
      <c r="O232" s="107">
        <f t="shared" si="187"/>
        <v>1.0207900207900207</v>
      </c>
      <c r="P232" s="132">
        <f t="shared" si="157"/>
        <v>1.1499999999999999</v>
      </c>
      <c r="Q232" s="180">
        <f t="shared" si="184"/>
        <v>59478.494623655904</v>
      </c>
      <c r="R232" s="144">
        <f t="shared" si="188"/>
        <v>59490</v>
      </c>
      <c r="S232" s="179">
        <f>VLOOKUP($B232,'Выгр Торг'!$B:$Q,S$1,0)</f>
        <v>48100</v>
      </c>
      <c r="T232" s="179">
        <f>VLOOKUP($B232,'Выгр Торг'!$B:$Q,T$1,0)</f>
        <v>59490</v>
      </c>
      <c r="U232" s="94">
        <f t="shared" si="158"/>
        <v>0</v>
      </c>
      <c r="V232" s="94">
        <f t="shared" si="159"/>
        <v>0</v>
      </c>
      <c r="W232" s="182">
        <f t="shared" si="189"/>
        <v>55325.7</v>
      </c>
      <c r="X232" s="218">
        <f>IFERROR(VLOOKUP($B232,'Из ГУГЛа'!$B:$G,6,0)*Z232+Y232,VLOOKUP($B232,'Из ГУГЛа'!$B:$G,6,0))</f>
        <v>52290</v>
      </c>
      <c r="Y232" s="220">
        <f t="shared" si="185"/>
        <v>10800</v>
      </c>
      <c r="Z232" s="133">
        <v>1</v>
      </c>
      <c r="AA232" s="133">
        <v>1300</v>
      </c>
      <c r="AB232" s="184">
        <f t="shared" si="190"/>
        <v>0.1502224532224532</v>
      </c>
      <c r="AC232" s="184">
        <f t="shared" si="191"/>
        <v>-5.8055077452667761E-2</v>
      </c>
      <c r="AD232" s="184">
        <f t="shared" si="192"/>
        <v>8.7110187110187143E-2</v>
      </c>
      <c r="AE232" s="222">
        <v>52290</v>
      </c>
      <c r="AF232" s="98" t="s">
        <v>620</v>
      </c>
      <c r="AH232" s="98" t="s">
        <v>129</v>
      </c>
    </row>
    <row r="233" spans="1:34" ht="46.5" thickTop="1" thickBot="1">
      <c r="A233" s="176" t="str">
        <f>INDEX('Выгр Торг'!$A:$A,MATCH($B233,'Выгр Торг'!$B:$B,0))</f>
        <v>Руль анатомический "Ferrum" Grand Premium (с обогревом) для Лада Ларгус FL, Веста, XRAY</v>
      </c>
      <c r="B233" s="178">
        <v>341481</v>
      </c>
      <c r="C233" s="179">
        <f>VLOOKUP($B233,'Выгр Торг'!$B:$Q,C$1,0)</f>
        <v>341481</v>
      </c>
      <c r="D233" s="189" t="s">
        <v>129</v>
      </c>
      <c r="E233" s="176" t="str">
        <f>VLOOKUP($B233,'Выгр Торг'!$B:$Q,E$1,0)</f>
        <v>Руль анатомический "Ferrum" Grand Premium (с обогревом) для Лада Ларгус FL, Веста, XRAY (Светло-серая нить, Чёрный мат)</v>
      </c>
      <c r="F233" s="179" t="str">
        <f>VLOOKUP($B233,'Выгр Торг'!$B:$Q,F$1,0)</f>
        <v>Y</v>
      </c>
      <c r="G233" s="179" t="str">
        <f>VLOOKUP($B233,'Выгр Торг'!$B:$Q,G$1,0)</f>
        <v>1</v>
      </c>
      <c r="H233" s="177">
        <v>166685</v>
      </c>
      <c r="I233" s="156"/>
      <c r="J233" s="160">
        <v>830</v>
      </c>
      <c r="K233" s="161">
        <v>870</v>
      </c>
      <c r="L233" s="180">
        <f t="shared" si="186"/>
        <v>48100</v>
      </c>
      <c r="M233" s="180">
        <f t="shared" si="182"/>
        <v>49100</v>
      </c>
      <c r="N233" s="180">
        <f t="shared" si="183"/>
        <v>42100</v>
      </c>
      <c r="O233" s="107">
        <f t="shared" si="187"/>
        <v>1.0207900207900207</v>
      </c>
      <c r="P233" s="132">
        <f t="shared" si="157"/>
        <v>1.1499999999999999</v>
      </c>
      <c r="Q233" s="180">
        <f t="shared" si="184"/>
        <v>59478.494623655904</v>
      </c>
      <c r="R233" s="144">
        <f t="shared" si="188"/>
        <v>59490</v>
      </c>
      <c r="S233" s="179">
        <f>VLOOKUP($B233,'Выгр Торг'!$B:$Q,S$1,0)</f>
        <v>48100</v>
      </c>
      <c r="T233" s="179">
        <f>VLOOKUP($B233,'Выгр Торг'!$B:$Q,T$1,0)</f>
        <v>59490</v>
      </c>
      <c r="U233" s="94">
        <f t="shared" si="158"/>
        <v>0</v>
      </c>
      <c r="V233" s="94">
        <f t="shared" si="159"/>
        <v>0</v>
      </c>
      <c r="W233" s="182">
        <f t="shared" si="189"/>
        <v>55325.7</v>
      </c>
      <c r="X233" s="218">
        <f>IFERROR(VLOOKUP($B233,'Из ГУГЛа'!$B:$G,6,0)*Z233+Y233,VLOOKUP($B233,'Из ГУГЛа'!$B:$G,6,0))</f>
        <v>52290</v>
      </c>
      <c r="Y233" s="220">
        <f t="shared" si="185"/>
        <v>10800</v>
      </c>
      <c r="Z233" s="133">
        <v>1</v>
      </c>
      <c r="AA233" s="133">
        <v>1300</v>
      </c>
      <c r="AB233" s="184">
        <f t="shared" si="190"/>
        <v>0.1502224532224532</v>
      </c>
      <c r="AC233" s="184">
        <f t="shared" si="191"/>
        <v>-5.8055077452667761E-2</v>
      </c>
      <c r="AD233" s="184">
        <f t="shared" si="192"/>
        <v>8.7110187110187143E-2</v>
      </c>
      <c r="AE233" s="222">
        <v>52290</v>
      </c>
      <c r="AF233" s="98" t="s">
        <v>620</v>
      </c>
      <c r="AH233" s="98" t="s">
        <v>129</v>
      </c>
    </row>
    <row r="234" spans="1:34" ht="46.5" thickTop="1" thickBot="1">
      <c r="A234" s="176" t="str">
        <f>INDEX('Выгр Торг'!$A:$A,MATCH($B234,'Выгр Торг'!$B:$B,0))</f>
        <v>Руль анатомический "Ferrum" Grand Premium (с обогревом) для Лада Ларгус FL, Веста, XRAY</v>
      </c>
      <c r="B234" s="178">
        <v>341479</v>
      </c>
      <c r="C234" s="179">
        <f>VLOOKUP($B234,'Выгр Торг'!$B:$Q,C$1,0)</f>
        <v>341479</v>
      </c>
      <c r="D234" s="189" t="s">
        <v>129</v>
      </c>
      <c r="E234" s="176" t="str">
        <f>VLOOKUP($B234,'Выгр Торг'!$B:$Q,E$1,0)</f>
        <v>Руль анатомический "Ferrum" Grand Premium (с обогревом) для Лада Ларгус FL, Веста, XRAY (Сине-зелёная нить, Чёрный мат)</v>
      </c>
      <c r="F234" s="179" t="str">
        <f>VLOOKUP($B234,'Выгр Торг'!$B:$Q,F$1,0)</f>
        <v>Y</v>
      </c>
      <c r="G234" s="179" t="str">
        <f>VLOOKUP($B234,'Выгр Торг'!$B:$Q,G$1,0)</f>
        <v>1</v>
      </c>
      <c r="H234" s="177">
        <v>166685</v>
      </c>
      <c r="I234" s="156"/>
      <c r="J234" s="160">
        <v>830</v>
      </c>
      <c r="K234" s="161">
        <v>870</v>
      </c>
      <c r="L234" s="180">
        <f t="shared" si="186"/>
        <v>48100</v>
      </c>
      <c r="M234" s="180">
        <f t="shared" si="182"/>
        <v>49100</v>
      </c>
      <c r="N234" s="180">
        <f t="shared" si="183"/>
        <v>42100</v>
      </c>
      <c r="O234" s="107">
        <f t="shared" si="187"/>
        <v>1.0207900207900207</v>
      </c>
      <c r="P234" s="132">
        <f t="shared" si="157"/>
        <v>1.1499999999999999</v>
      </c>
      <c r="Q234" s="180">
        <f t="shared" si="184"/>
        <v>59478.494623655904</v>
      </c>
      <c r="R234" s="144">
        <f t="shared" si="188"/>
        <v>59490</v>
      </c>
      <c r="S234" s="179">
        <f>VLOOKUP($B234,'Выгр Торг'!$B:$Q,S$1,0)</f>
        <v>48100</v>
      </c>
      <c r="T234" s="179">
        <f>VLOOKUP($B234,'Выгр Торг'!$B:$Q,T$1,0)</f>
        <v>59490</v>
      </c>
      <c r="U234" s="94">
        <f t="shared" si="158"/>
        <v>0</v>
      </c>
      <c r="V234" s="94">
        <f t="shared" si="159"/>
        <v>0</v>
      </c>
      <c r="W234" s="182">
        <f t="shared" si="189"/>
        <v>55325.7</v>
      </c>
      <c r="X234" s="218">
        <f>IFERROR(VLOOKUP($B234,'Из ГУГЛа'!$B:$G,6,0)*Z234+Y234,VLOOKUP($B234,'Из ГУГЛа'!$B:$G,6,0))</f>
        <v>52290</v>
      </c>
      <c r="Y234" s="220">
        <f t="shared" si="185"/>
        <v>10800</v>
      </c>
      <c r="Z234" s="133">
        <v>1</v>
      </c>
      <c r="AA234" s="133">
        <v>1300</v>
      </c>
      <c r="AB234" s="184">
        <f t="shared" si="190"/>
        <v>0.1502224532224532</v>
      </c>
      <c r="AC234" s="184">
        <f t="shared" si="191"/>
        <v>-5.8055077452667761E-2</v>
      </c>
      <c r="AD234" s="184">
        <f t="shared" si="192"/>
        <v>8.7110187110187143E-2</v>
      </c>
      <c r="AE234" s="222">
        <v>52290</v>
      </c>
      <c r="AF234" s="98" t="s">
        <v>620</v>
      </c>
      <c r="AH234" s="98" t="s">
        <v>129</v>
      </c>
    </row>
    <row r="235" spans="1:34" ht="46.5" thickTop="1" thickBot="1">
      <c r="A235" s="176" t="str">
        <f>INDEX('Выгр Торг'!$A:$A,MATCH($B235,'Выгр Торг'!$B:$B,0))</f>
        <v>Руль анатомический "Ferrum" Grand Premium (с обогревом) для Лада Ларгус FL, Веста, XRAY</v>
      </c>
      <c r="B235" s="178">
        <v>341480</v>
      </c>
      <c r="C235" s="179">
        <f>VLOOKUP($B235,'Выгр Торг'!$B:$Q,C$1,0)</f>
        <v>341480</v>
      </c>
      <c r="D235" s="189" t="s">
        <v>129</v>
      </c>
      <c r="E235" s="176" t="str">
        <f>VLOOKUP($B235,'Выгр Торг'!$B:$Q,E$1,0)</f>
        <v>Руль анатомический "Ferrum" Grand Premium (с обогревом) для Лада Ларгус FL, Веста, XRAY (Синяя нить, Чёрный мат)</v>
      </c>
      <c r="F235" s="179" t="str">
        <f>VLOOKUP($B235,'Выгр Торг'!$B:$Q,F$1,0)</f>
        <v>Y</v>
      </c>
      <c r="G235" s="179" t="str">
        <f>VLOOKUP($B235,'Выгр Торг'!$B:$Q,G$1,0)</f>
        <v>1</v>
      </c>
      <c r="H235" s="177">
        <v>166685</v>
      </c>
      <c r="I235" s="156"/>
      <c r="J235" s="160">
        <v>830</v>
      </c>
      <c r="K235" s="161">
        <v>870</v>
      </c>
      <c r="L235" s="180">
        <f t="shared" si="186"/>
        <v>48100</v>
      </c>
      <c r="M235" s="180">
        <f t="shared" si="182"/>
        <v>49100</v>
      </c>
      <c r="N235" s="180">
        <f t="shared" si="183"/>
        <v>42100</v>
      </c>
      <c r="O235" s="107">
        <f t="shared" si="187"/>
        <v>1.0207900207900207</v>
      </c>
      <c r="P235" s="132">
        <f t="shared" si="157"/>
        <v>1.1499999999999999</v>
      </c>
      <c r="Q235" s="180">
        <f t="shared" si="184"/>
        <v>59478.494623655904</v>
      </c>
      <c r="R235" s="144">
        <f t="shared" si="188"/>
        <v>59490</v>
      </c>
      <c r="S235" s="179">
        <f>VLOOKUP($B235,'Выгр Торг'!$B:$Q,S$1,0)</f>
        <v>48100</v>
      </c>
      <c r="T235" s="179">
        <f>VLOOKUP($B235,'Выгр Торг'!$B:$Q,T$1,0)</f>
        <v>59490</v>
      </c>
      <c r="U235" s="94">
        <f t="shared" si="158"/>
        <v>0</v>
      </c>
      <c r="V235" s="94">
        <f t="shared" si="159"/>
        <v>0</v>
      </c>
      <c r="W235" s="182">
        <f t="shared" si="189"/>
        <v>55325.7</v>
      </c>
      <c r="X235" s="218">
        <f>IFERROR(VLOOKUP($B235,'Из ГУГЛа'!$B:$G,6,0)*Z235+Y235,VLOOKUP($B235,'Из ГУГЛа'!$B:$G,6,0))</f>
        <v>52290</v>
      </c>
      <c r="Y235" s="220">
        <f t="shared" si="185"/>
        <v>10800</v>
      </c>
      <c r="Z235" s="133">
        <v>1</v>
      </c>
      <c r="AA235" s="133">
        <v>1300</v>
      </c>
      <c r="AB235" s="184">
        <f t="shared" si="190"/>
        <v>0.1502224532224532</v>
      </c>
      <c r="AC235" s="184">
        <f t="shared" si="191"/>
        <v>-5.8055077452667761E-2</v>
      </c>
      <c r="AD235" s="184">
        <f t="shared" si="192"/>
        <v>8.7110187110187143E-2</v>
      </c>
      <c r="AE235" s="222">
        <v>52290</v>
      </c>
      <c r="AF235" s="98" t="s">
        <v>620</v>
      </c>
      <c r="AH235" s="98" t="s">
        <v>129</v>
      </c>
    </row>
    <row r="236" spans="1:34" ht="46.5" thickTop="1" thickBot="1">
      <c r="A236" s="176" t="str">
        <f>INDEX('Выгр Торг'!$A:$A,MATCH($B236,'Выгр Торг'!$B:$B,0))</f>
        <v>Руль анатомический "Ferrum" Grand Premium (с обогревом) для Лада Ларгус FL, Веста, XRAY</v>
      </c>
      <c r="B236" s="178">
        <v>341482</v>
      </c>
      <c r="C236" s="179">
        <f>VLOOKUP($B236,'Выгр Торг'!$B:$Q,C$1,0)</f>
        <v>341482</v>
      </c>
      <c r="D236" s="189" t="s">
        <v>129</v>
      </c>
      <c r="E236" s="176" t="str">
        <f>VLOOKUP($B236,'Выгр Торг'!$B:$Q,E$1,0)</f>
        <v>Руль анатомический "Ferrum" Grand Premium (с обогревом) для Лада Ларгус FL, Веста, XRAY (Тёмно-серая нить, Чёрный мат)</v>
      </c>
      <c r="F236" s="179" t="str">
        <f>VLOOKUP($B236,'Выгр Торг'!$B:$Q,F$1,0)</f>
        <v>Y</v>
      </c>
      <c r="G236" s="179" t="str">
        <f>VLOOKUP($B236,'Выгр Торг'!$B:$Q,G$1,0)</f>
        <v>1</v>
      </c>
      <c r="H236" s="177">
        <v>166685</v>
      </c>
      <c r="I236" s="156"/>
      <c r="J236" s="160">
        <v>830</v>
      </c>
      <c r="K236" s="161">
        <v>870</v>
      </c>
      <c r="L236" s="180">
        <f t="shared" si="186"/>
        <v>48100</v>
      </c>
      <c r="M236" s="180">
        <f t="shared" si="182"/>
        <v>49100</v>
      </c>
      <c r="N236" s="180">
        <f t="shared" si="183"/>
        <v>42100</v>
      </c>
      <c r="O236" s="107">
        <f t="shared" si="187"/>
        <v>1.0207900207900207</v>
      </c>
      <c r="P236" s="132">
        <f t="shared" si="157"/>
        <v>1.1499999999999999</v>
      </c>
      <c r="Q236" s="180">
        <f t="shared" si="184"/>
        <v>59478.494623655904</v>
      </c>
      <c r="R236" s="144">
        <f t="shared" si="188"/>
        <v>59490</v>
      </c>
      <c r="S236" s="179">
        <f>VLOOKUP($B236,'Выгр Торг'!$B:$Q,S$1,0)</f>
        <v>48100</v>
      </c>
      <c r="T236" s="179">
        <f>VLOOKUP($B236,'Выгр Торг'!$B:$Q,T$1,0)</f>
        <v>59490</v>
      </c>
      <c r="U236" s="94">
        <f t="shared" si="158"/>
        <v>0</v>
      </c>
      <c r="V236" s="94">
        <f t="shared" si="159"/>
        <v>0</v>
      </c>
      <c r="W236" s="182">
        <f t="shared" si="189"/>
        <v>55325.7</v>
      </c>
      <c r="X236" s="218">
        <f>IFERROR(VLOOKUP($B236,'Из ГУГЛа'!$B:$G,6,0)*Z236+Y236,VLOOKUP($B236,'Из ГУГЛа'!$B:$G,6,0))</f>
        <v>52290</v>
      </c>
      <c r="Y236" s="220">
        <f t="shared" si="185"/>
        <v>10800</v>
      </c>
      <c r="Z236" s="133">
        <v>1</v>
      </c>
      <c r="AA236" s="133">
        <v>1300</v>
      </c>
      <c r="AB236" s="184">
        <f t="shared" si="190"/>
        <v>0.1502224532224532</v>
      </c>
      <c r="AC236" s="184">
        <f t="shared" si="191"/>
        <v>-5.8055077452667761E-2</v>
      </c>
      <c r="AD236" s="184">
        <f t="shared" si="192"/>
        <v>8.7110187110187143E-2</v>
      </c>
      <c r="AE236" s="222">
        <v>52290</v>
      </c>
      <c r="AF236" s="98" t="s">
        <v>620</v>
      </c>
      <c r="AH236" s="98" t="s">
        <v>129</v>
      </c>
    </row>
    <row r="237" spans="1:34" ht="46.5" thickTop="1" thickBot="1">
      <c r="A237" s="176" t="str">
        <f>INDEX('Выгр Торг'!$A:$A,MATCH($B237,'Выгр Торг'!$B:$B,0))</f>
        <v>Руль анатомический "Ferrum" Grand Premium (с обогревом) для Лада Ларгус FL, Веста, XRAY</v>
      </c>
      <c r="B237" s="178">
        <v>341474</v>
      </c>
      <c r="C237" s="179">
        <f>VLOOKUP($B237,'Выгр Торг'!$B:$Q,C$1,0)</f>
        <v>341474</v>
      </c>
      <c r="D237" s="189" t="s">
        <v>129</v>
      </c>
      <c r="E237" s="176" t="str">
        <f>VLOOKUP($B237,'Выгр Торг'!$B:$Q,E$1,0)</f>
        <v>Руль анатомический "Ferrum" Grand Premium (с обогревом) для Лада Ларгус FL, Веста, XRAY (Фиолетовая нить, Чёрный мат)</v>
      </c>
      <c r="F237" s="179" t="str">
        <f>VLOOKUP($B237,'Выгр Торг'!$B:$Q,F$1,0)</f>
        <v>Y</v>
      </c>
      <c r="G237" s="179" t="str">
        <f>VLOOKUP($B237,'Выгр Торг'!$B:$Q,G$1,0)</f>
        <v>1</v>
      </c>
      <c r="H237" s="177">
        <v>166685</v>
      </c>
      <c r="I237" s="156"/>
      <c r="J237" s="160">
        <v>830</v>
      </c>
      <c r="K237" s="161">
        <v>870</v>
      </c>
      <c r="L237" s="180">
        <f t="shared" si="186"/>
        <v>48100</v>
      </c>
      <c r="M237" s="180">
        <f t="shared" si="182"/>
        <v>49100</v>
      </c>
      <c r="N237" s="180">
        <f t="shared" si="183"/>
        <v>42100</v>
      </c>
      <c r="O237" s="107">
        <f t="shared" si="187"/>
        <v>1.0207900207900207</v>
      </c>
      <c r="P237" s="132">
        <f t="shared" si="157"/>
        <v>1.1499999999999999</v>
      </c>
      <c r="Q237" s="180">
        <f t="shared" si="184"/>
        <v>59478.494623655904</v>
      </c>
      <c r="R237" s="144">
        <f t="shared" si="188"/>
        <v>59490</v>
      </c>
      <c r="S237" s="179">
        <f>VLOOKUP($B237,'Выгр Торг'!$B:$Q,S$1,0)</f>
        <v>48100</v>
      </c>
      <c r="T237" s="179">
        <f>VLOOKUP($B237,'Выгр Торг'!$B:$Q,T$1,0)</f>
        <v>59490</v>
      </c>
      <c r="U237" s="94">
        <f t="shared" si="158"/>
        <v>0</v>
      </c>
      <c r="V237" s="94">
        <f t="shared" si="159"/>
        <v>0</v>
      </c>
      <c r="W237" s="182">
        <f t="shared" si="189"/>
        <v>55325.7</v>
      </c>
      <c r="X237" s="218">
        <f>IFERROR(VLOOKUP($B237,'Из ГУГЛа'!$B:$G,6,0)*Z237+Y237,VLOOKUP($B237,'Из ГУГЛа'!$B:$G,6,0))</f>
        <v>52290</v>
      </c>
      <c r="Y237" s="220">
        <f t="shared" si="185"/>
        <v>10800</v>
      </c>
      <c r="Z237" s="133">
        <v>1</v>
      </c>
      <c r="AA237" s="133">
        <v>1300</v>
      </c>
      <c r="AB237" s="184">
        <f t="shared" si="190"/>
        <v>0.1502224532224532</v>
      </c>
      <c r="AC237" s="184">
        <f t="shared" si="191"/>
        <v>-5.8055077452667761E-2</v>
      </c>
      <c r="AD237" s="184">
        <f t="shared" si="192"/>
        <v>8.7110187110187143E-2</v>
      </c>
      <c r="AE237" s="222">
        <v>52290</v>
      </c>
      <c r="AF237" s="98" t="s">
        <v>620</v>
      </c>
      <c r="AH237" s="98" t="s">
        <v>129</v>
      </c>
    </row>
    <row r="238" spans="1:34" ht="46.5" thickTop="1" thickBot="1">
      <c r="A238" s="176" t="str">
        <f>INDEX('Выгр Торг'!$A:$A,MATCH($B238,'Выгр Торг'!$B:$B,0))</f>
        <v>Руль анатомический "Ferrum" Grand Premium (с обогревом) для Лада Ларгус FL, Веста, XRAY</v>
      </c>
      <c r="B238" s="178">
        <v>341472</v>
      </c>
      <c r="C238" s="179">
        <f>VLOOKUP($B238,'Выгр Торг'!$B:$Q,C$1,0)</f>
        <v>341472</v>
      </c>
      <c r="D238" s="189" t="s">
        <v>129</v>
      </c>
      <c r="E238" s="176" t="str">
        <f>VLOOKUP($B238,'Выгр Торг'!$B:$Q,E$1,0)</f>
        <v>Руль анатомический "Ferrum" Grand Premium (с обогревом) для Лада Ларгус FL, Веста, XRAY (Белая нить, Чёрный мат)</v>
      </c>
      <c r="F238" s="179" t="str">
        <f>VLOOKUP($B238,'Выгр Торг'!$B:$Q,F$1,0)</f>
        <v>Y</v>
      </c>
      <c r="G238" s="179" t="str">
        <f>VLOOKUP($B238,'Выгр Торг'!$B:$Q,G$1,0)</f>
        <v>1</v>
      </c>
      <c r="H238" s="177">
        <v>166685</v>
      </c>
      <c r="I238" s="156"/>
      <c r="J238" s="160">
        <v>830</v>
      </c>
      <c r="K238" s="161">
        <v>870</v>
      </c>
      <c r="L238" s="180">
        <f t="shared" si="186"/>
        <v>48100</v>
      </c>
      <c r="M238" s="180">
        <f t="shared" si="182"/>
        <v>49100</v>
      </c>
      <c r="N238" s="180">
        <f t="shared" si="183"/>
        <v>42100</v>
      </c>
      <c r="O238" s="107">
        <f t="shared" si="187"/>
        <v>1.0207900207900207</v>
      </c>
      <c r="P238" s="132">
        <f t="shared" si="157"/>
        <v>1.1499999999999999</v>
      </c>
      <c r="Q238" s="180">
        <f t="shared" si="184"/>
        <v>59478.494623655904</v>
      </c>
      <c r="R238" s="144">
        <f t="shared" si="188"/>
        <v>59490</v>
      </c>
      <c r="S238" s="179">
        <f>VLOOKUP($B238,'Выгр Торг'!$B:$Q,S$1,0)</f>
        <v>48100</v>
      </c>
      <c r="T238" s="179">
        <f>VLOOKUP($B238,'Выгр Торг'!$B:$Q,T$1,0)</f>
        <v>59490</v>
      </c>
      <c r="U238" s="94">
        <f t="shared" si="158"/>
        <v>0</v>
      </c>
      <c r="V238" s="94">
        <f t="shared" si="159"/>
        <v>0</v>
      </c>
      <c r="W238" s="182">
        <f t="shared" si="189"/>
        <v>55325.7</v>
      </c>
      <c r="X238" s="218">
        <f>IFERROR(VLOOKUP($B238,'Из ГУГЛа'!$B:$G,6,0)*Z238+Y238,VLOOKUP($B238,'Из ГУГЛа'!$B:$G,6,0))</f>
        <v>52290</v>
      </c>
      <c r="Y238" s="220">
        <f t="shared" si="185"/>
        <v>10800</v>
      </c>
      <c r="Z238" s="133">
        <v>1</v>
      </c>
      <c r="AA238" s="133">
        <v>1300</v>
      </c>
      <c r="AB238" s="184">
        <f t="shared" si="190"/>
        <v>0.1502224532224532</v>
      </c>
      <c r="AC238" s="184">
        <f t="shared" si="191"/>
        <v>-5.8055077452667761E-2</v>
      </c>
      <c r="AD238" s="184">
        <f t="shared" si="192"/>
        <v>8.7110187110187143E-2</v>
      </c>
      <c r="AE238" s="222">
        <v>52290</v>
      </c>
      <c r="AF238" s="98" t="s">
        <v>620</v>
      </c>
      <c r="AH238" s="98" t="s">
        <v>129</v>
      </c>
    </row>
    <row r="239" spans="1:34" ht="46.5" thickTop="1" thickBot="1">
      <c r="A239" s="176" t="str">
        <f>INDEX('Выгр Торг'!$A:$A,MATCH($B239,'Выгр Торг'!$B:$B,0))</f>
        <v>Руль анатомический "Ferrum" Grand Premium (с обогревом) для Лада Ларгус FL, Веста, XRAY</v>
      </c>
      <c r="B239" s="178">
        <v>132591</v>
      </c>
      <c r="C239" s="179">
        <f>VLOOKUP($B239,'Выгр Торг'!$B:$Q,C$1,0)</f>
        <v>166693</v>
      </c>
      <c r="D239" s="189" t="s">
        <v>129</v>
      </c>
      <c r="E239" s="176" t="str">
        <f>VLOOKUP($B239,'Выгр Торг'!$B:$Q,E$1,0)</f>
        <v>Руль анатомический "Ferrum" Grand Premium (с обогревом) для Лада Ларгус FL, Веста, XRAY (Жёлтая нить, Чёрный глянец)</v>
      </c>
      <c r="F239" s="179" t="str">
        <f>VLOOKUP($B239,'Выгр Торг'!$B:$Q,F$1,0)</f>
        <v>Y</v>
      </c>
      <c r="G239" s="179" t="str">
        <f>VLOOKUP($B239,'Выгр Торг'!$B:$Q,G$1,0)</f>
        <v>1</v>
      </c>
      <c r="H239" s="177">
        <v>166685</v>
      </c>
      <c r="I239" s="156"/>
      <c r="J239" s="160"/>
      <c r="K239" s="161">
        <v>870</v>
      </c>
      <c r="L239" s="180">
        <f t="shared" si="186"/>
        <v>47270</v>
      </c>
      <c r="M239" s="180">
        <f t="shared" si="182"/>
        <v>48270</v>
      </c>
      <c r="N239" s="180">
        <f t="shared" si="183"/>
        <v>41270</v>
      </c>
      <c r="O239" s="107">
        <f t="shared" si="187"/>
        <v>1.0211550666384599</v>
      </c>
      <c r="P239" s="132">
        <f t="shared" si="157"/>
        <v>1.1499999999999999</v>
      </c>
      <c r="Q239" s="180">
        <f t="shared" si="184"/>
        <v>58452.150537634399</v>
      </c>
      <c r="R239" s="144">
        <f t="shared" si="188"/>
        <v>58490</v>
      </c>
      <c r="S239" s="179">
        <f>VLOOKUP($B239,'Выгр Торг'!$B:$Q,S$1,0)</f>
        <v>47270</v>
      </c>
      <c r="T239" s="179">
        <f>VLOOKUP($B239,'Выгр Торг'!$B:$Q,T$1,0)</f>
        <v>58490</v>
      </c>
      <c r="U239" s="94">
        <f t="shared" si="158"/>
        <v>0</v>
      </c>
      <c r="V239" s="94">
        <f t="shared" si="159"/>
        <v>0</v>
      </c>
      <c r="W239" s="182">
        <f t="shared" si="189"/>
        <v>54395.7</v>
      </c>
      <c r="X239" s="218">
        <f>IFERROR(VLOOKUP($B239,'Из ГУГЛа'!$B:$G,6,0)*Z239+Y239,VLOOKUP($B239,'Из ГУГЛа'!$B:$G,6,0))</f>
        <v>51460</v>
      </c>
      <c r="Y239" s="220">
        <f t="shared" si="185"/>
        <v>9970</v>
      </c>
      <c r="Z239" s="133">
        <v>1</v>
      </c>
      <c r="AA239" s="133"/>
      <c r="AB239" s="184">
        <f t="shared" si="190"/>
        <v>0.15074465834567374</v>
      </c>
      <c r="AC239" s="184">
        <f t="shared" si="191"/>
        <v>-5.7048192771084277E-2</v>
      </c>
      <c r="AD239" s="184">
        <f t="shared" si="192"/>
        <v>8.8639729215147067E-2</v>
      </c>
      <c r="AE239" s="222">
        <v>51460</v>
      </c>
      <c r="AF239" s="98" t="s">
        <v>620</v>
      </c>
      <c r="AH239" s="98" t="s">
        <v>129</v>
      </c>
    </row>
    <row r="240" spans="1:34" ht="46.5" thickTop="1" thickBot="1">
      <c r="A240" s="125" t="str">
        <f>INDEX('Выгр Торг'!$A:$A,MATCH($B240,'Выгр Торг'!$B:$B,0))</f>
        <v>Руль анатомический "Ferrum" Grand Premium (с обогревом) для Лада Ларгус FL, Веста, XRAY</v>
      </c>
      <c r="B240" s="126">
        <v>132592</v>
      </c>
      <c r="C240" s="127">
        <f>VLOOKUP($B240,'Выгр Торг'!$B:$Q,C$1,0)</f>
        <v>166697</v>
      </c>
      <c r="D240" s="128" t="s">
        <v>129</v>
      </c>
      <c r="E240" s="125" t="str">
        <f>VLOOKUP($B240,'Выгр Торг'!$B:$Q,E$1,0)</f>
        <v>Руль анатомический "Ferrum" Grand Premium (с обогревом) для Лада Ларгус FL, Веста, XRAY (Зелёная нить, Чёрный глянец)</v>
      </c>
      <c r="F240" s="127" t="str">
        <f>VLOOKUP($B240,'Выгр Торг'!$B:$Q,F$1,0)</f>
        <v>Y</v>
      </c>
      <c r="G240" s="127" t="str">
        <f>VLOOKUP($B240,'Выгр Торг'!$B:$Q,G$1,0)</f>
        <v>1</v>
      </c>
      <c r="H240" s="40">
        <v>166685</v>
      </c>
      <c r="I240" s="156"/>
      <c r="J240" s="160"/>
      <c r="K240" s="161">
        <v>870</v>
      </c>
      <c r="L240" s="130">
        <f t="shared" ref="L240:L250" si="193">M240-1000</f>
        <v>47270</v>
      </c>
      <c r="M240" s="130">
        <f t="shared" si="182"/>
        <v>48270</v>
      </c>
      <c r="N240" s="130">
        <f t="shared" si="183"/>
        <v>41270</v>
      </c>
      <c r="O240" s="132">
        <f t="shared" si="164"/>
        <v>1.0211550666384599</v>
      </c>
      <c r="P240" s="132">
        <f t="shared" si="157"/>
        <v>1.1499999999999999</v>
      </c>
      <c r="Q240" s="130">
        <f t="shared" si="184"/>
        <v>58452.150537634399</v>
      </c>
      <c r="R240" s="148">
        <f t="shared" si="166"/>
        <v>58490</v>
      </c>
      <c r="S240" s="127">
        <f>VLOOKUP($B240,'Выгр Торг'!$B:$Q,S$1,0)</f>
        <v>47270</v>
      </c>
      <c r="T240" s="127">
        <f>VLOOKUP($B240,'Выгр Торг'!$B:$Q,T$1,0)</f>
        <v>58490</v>
      </c>
      <c r="U240" s="94">
        <f t="shared" si="158"/>
        <v>0</v>
      </c>
      <c r="V240" s="94">
        <f t="shared" si="159"/>
        <v>0</v>
      </c>
      <c r="W240" s="153">
        <f t="shared" si="167"/>
        <v>54395.7</v>
      </c>
      <c r="X240" s="209">
        <f>IFERROR(VLOOKUP($B240,'Из ГУГЛа'!$B:$G,6,0)*Z240+Y240,VLOOKUP($B240,'Из ГУГЛа'!$B:$G,6,0))</f>
        <v>51460</v>
      </c>
      <c r="Y240" s="220">
        <f t="shared" si="185"/>
        <v>9970</v>
      </c>
      <c r="Z240" s="133">
        <v>1</v>
      </c>
      <c r="AA240" s="134"/>
      <c r="AB240" s="135">
        <f t="shared" si="160"/>
        <v>0.15074465834567374</v>
      </c>
      <c r="AC240" s="135">
        <f t="shared" si="161"/>
        <v>-5.7048192771084277E-2</v>
      </c>
      <c r="AD240" s="135">
        <f t="shared" si="162"/>
        <v>8.8639729215147067E-2</v>
      </c>
      <c r="AE240" s="222">
        <v>51460</v>
      </c>
      <c r="AF240" s="98" t="s">
        <v>620</v>
      </c>
      <c r="AH240" s="98" t="s">
        <v>129</v>
      </c>
    </row>
    <row r="241" spans="1:34" ht="46.5" thickTop="1" thickBot="1">
      <c r="A241" s="125" t="str">
        <f>INDEX('Выгр Торг'!$A:$A,MATCH($B241,'Выгр Торг'!$B:$B,0))</f>
        <v>Руль анатомический "Ferrum" Grand Premium (с обогревом) для Лада Ларгус FL, Веста, XRAY</v>
      </c>
      <c r="B241" s="126">
        <v>132593</v>
      </c>
      <c r="C241" s="127">
        <f>VLOOKUP($B241,'Выгр Торг'!$B:$Q,C$1,0)</f>
        <v>166689</v>
      </c>
      <c r="D241" s="128" t="s">
        <v>129</v>
      </c>
      <c r="E241" s="125" t="str">
        <f>VLOOKUP($B241,'Выгр Торг'!$B:$Q,E$1,0)</f>
        <v>Руль анатомический "Ferrum" Grand Premium (с обогревом) для Лада Ларгус FL, Веста, XRAY (Коричневая нить, Чёрный глянец)</v>
      </c>
      <c r="F241" s="127" t="str">
        <f>VLOOKUP($B241,'Выгр Торг'!$B:$Q,F$1,0)</f>
        <v>Y</v>
      </c>
      <c r="G241" s="127" t="str">
        <f>VLOOKUP($B241,'Выгр Торг'!$B:$Q,G$1,0)</f>
        <v>1</v>
      </c>
      <c r="H241" s="40">
        <v>166685</v>
      </c>
      <c r="I241" s="156"/>
      <c r="J241" s="160"/>
      <c r="K241" s="161">
        <v>870</v>
      </c>
      <c r="L241" s="130">
        <f t="shared" si="193"/>
        <v>47270</v>
      </c>
      <c r="M241" s="130">
        <f t="shared" si="182"/>
        <v>48270</v>
      </c>
      <c r="N241" s="130">
        <f t="shared" si="183"/>
        <v>41270</v>
      </c>
      <c r="O241" s="132">
        <f t="shared" si="164"/>
        <v>1.0211550666384599</v>
      </c>
      <c r="P241" s="132">
        <f t="shared" si="157"/>
        <v>1.1499999999999999</v>
      </c>
      <c r="Q241" s="130">
        <f t="shared" si="184"/>
        <v>58452.150537634399</v>
      </c>
      <c r="R241" s="148">
        <f t="shared" si="166"/>
        <v>58490</v>
      </c>
      <c r="S241" s="127">
        <f>VLOOKUP($B241,'Выгр Торг'!$B:$Q,S$1,0)</f>
        <v>47270</v>
      </c>
      <c r="T241" s="127">
        <f>VLOOKUP($B241,'Выгр Торг'!$B:$Q,T$1,0)</f>
        <v>58490</v>
      </c>
      <c r="U241" s="94">
        <f t="shared" si="158"/>
        <v>0</v>
      </c>
      <c r="V241" s="94">
        <f t="shared" si="159"/>
        <v>0</v>
      </c>
      <c r="W241" s="153">
        <f t="shared" si="167"/>
        <v>54395.7</v>
      </c>
      <c r="X241" s="209">
        <f>IFERROR(VLOOKUP($B241,'Из ГУГЛа'!$B:$G,6,0)*Z241+Y241,VLOOKUP($B241,'Из ГУГЛа'!$B:$G,6,0))</f>
        <v>51460</v>
      </c>
      <c r="Y241" s="220">
        <f t="shared" si="185"/>
        <v>9970</v>
      </c>
      <c r="Z241" s="133">
        <v>1</v>
      </c>
      <c r="AA241" s="134"/>
      <c r="AB241" s="135">
        <f t="shared" si="160"/>
        <v>0.15074465834567374</v>
      </c>
      <c r="AC241" s="135">
        <f t="shared" si="161"/>
        <v>-5.7048192771084277E-2</v>
      </c>
      <c r="AD241" s="135">
        <f t="shared" si="162"/>
        <v>8.8639729215147067E-2</v>
      </c>
      <c r="AE241" s="222">
        <v>51460</v>
      </c>
      <c r="AF241" s="98" t="s">
        <v>620</v>
      </c>
      <c r="AH241" s="98" t="s">
        <v>129</v>
      </c>
    </row>
    <row r="242" spans="1:34" ht="46.5" thickTop="1" thickBot="1">
      <c r="A242" s="125" t="str">
        <f>INDEX('Выгр Торг'!$A:$A,MATCH($B242,'Выгр Торг'!$B:$B,0))</f>
        <v>Руль анатомический "Ferrum" Grand Premium (с обогревом) для Лада Ларгус FL, Веста, XRAY</v>
      </c>
      <c r="B242" s="126">
        <v>132594</v>
      </c>
      <c r="C242" s="127">
        <f>VLOOKUP($B242,'Выгр Торг'!$B:$Q,C$1,0)</f>
        <v>166696</v>
      </c>
      <c r="D242" s="128" t="s">
        <v>129</v>
      </c>
      <c r="E242" s="125" t="str">
        <f>VLOOKUP($B242,'Выгр Торг'!$B:$Q,E$1,0)</f>
        <v>Руль анатомический "Ferrum" Grand Premium (с обогревом) для Лада Ларгус FL, Веста, XRAY (Красная нить, Чёрный глянец)</v>
      </c>
      <c r="F242" s="127" t="str">
        <f>VLOOKUP($B242,'Выгр Торг'!$B:$Q,F$1,0)</f>
        <v>Y</v>
      </c>
      <c r="G242" s="127" t="str">
        <f>VLOOKUP($B242,'Выгр Торг'!$B:$Q,G$1,0)</f>
        <v>1</v>
      </c>
      <c r="H242" s="40">
        <v>166685</v>
      </c>
      <c r="I242" s="156"/>
      <c r="J242" s="160"/>
      <c r="K242" s="161">
        <v>870</v>
      </c>
      <c r="L242" s="130">
        <f t="shared" si="193"/>
        <v>47270</v>
      </c>
      <c r="M242" s="130">
        <f t="shared" si="182"/>
        <v>48270</v>
      </c>
      <c r="N242" s="130">
        <f t="shared" si="183"/>
        <v>41270</v>
      </c>
      <c r="O242" s="132">
        <f t="shared" si="164"/>
        <v>1.0211550666384599</v>
      </c>
      <c r="P242" s="132">
        <f t="shared" si="157"/>
        <v>1.1499999999999999</v>
      </c>
      <c r="Q242" s="130">
        <f t="shared" si="184"/>
        <v>58452.150537634399</v>
      </c>
      <c r="R242" s="148">
        <f t="shared" si="166"/>
        <v>58490</v>
      </c>
      <c r="S242" s="127">
        <f>VLOOKUP($B242,'Выгр Торг'!$B:$Q,S$1,0)</f>
        <v>47270</v>
      </c>
      <c r="T242" s="127">
        <f>VLOOKUP($B242,'Выгр Торг'!$B:$Q,T$1,0)</f>
        <v>58490</v>
      </c>
      <c r="U242" s="94">
        <f t="shared" si="158"/>
        <v>0</v>
      </c>
      <c r="V242" s="94">
        <f t="shared" si="159"/>
        <v>0</v>
      </c>
      <c r="W242" s="153">
        <f t="shared" si="167"/>
        <v>54395.7</v>
      </c>
      <c r="X242" s="209">
        <f>IFERROR(VLOOKUP($B242,'Из ГУГЛа'!$B:$G,6,0)*Z242+Y242,VLOOKUP($B242,'Из ГУГЛа'!$B:$G,6,0))</f>
        <v>51460</v>
      </c>
      <c r="Y242" s="220">
        <f t="shared" si="185"/>
        <v>9970</v>
      </c>
      <c r="Z242" s="133">
        <v>1</v>
      </c>
      <c r="AA242" s="134"/>
      <c r="AB242" s="135">
        <f t="shared" si="160"/>
        <v>0.15074465834567374</v>
      </c>
      <c r="AC242" s="135">
        <f t="shared" si="161"/>
        <v>-5.7048192771084277E-2</v>
      </c>
      <c r="AD242" s="135">
        <f t="shared" si="162"/>
        <v>8.8639729215147067E-2</v>
      </c>
      <c r="AE242" s="222">
        <v>51460</v>
      </c>
      <c r="AF242" s="98" t="s">
        <v>620</v>
      </c>
      <c r="AH242" s="98" t="s">
        <v>129</v>
      </c>
    </row>
    <row r="243" spans="1:34" ht="46.5" thickTop="1" thickBot="1">
      <c r="A243" s="125" t="str">
        <f>INDEX('Выгр Торг'!$A:$A,MATCH($B243,'Выгр Торг'!$B:$B,0))</f>
        <v>Руль анатомический "Ferrum" Grand Premium (с обогревом) для Лада Ларгус FL, Веста, XRAY</v>
      </c>
      <c r="B243" s="126">
        <v>132595</v>
      </c>
      <c r="C243" s="127">
        <f>VLOOKUP($B243,'Выгр Торг'!$B:$Q,C$1,0)</f>
        <v>166692</v>
      </c>
      <c r="D243" s="128" t="s">
        <v>129</v>
      </c>
      <c r="E243" s="125" t="str">
        <f>VLOOKUP($B243,'Выгр Торг'!$B:$Q,E$1,0)</f>
        <v>Руль анатомический "Ferrum" Grand Premium (с обогревом) для Лада Ларгус FL, Веста, XRAY (Оранжевая нить, Чёрный глянец)</v>
      </c>
      <c r="F243" s="127" t="str">
        <f>VLOOKUP($B243,'Выгр Торг'!$B:$Q,F$1,0)</f>
        <v>Y</v>
      </c>
      <c r="G243" s="127" t="str">
        <f>VLOOKUP($B243,'Выгр Торг'!$B:$Q,G$1,0)</f>
        <v>1</v>
      </c>
      <c r="H243" s="40">
        <v>166685</v>
      </c>
      <c r="I243" s="156"/>
      <c r="J243" s="160"/>
      <c r="K243" s="161">
        <v>870</v>
      </c>
      <c r="L243" s="130">
        <f t="shared" si="193"/>
        <v>47270</v>
      </c>
      <c r="M243" s="130">
        <f t="shared" si="182"/>
        <v>48270</v>
      </c>
      <c r="N243" s="130">
        <f t="shared" si="183"/>
        <v>41270</v>
      </c>
      <c r="O243" s="132">
        <f t="shared" si="164"/>
        <v>1.0211550666384599</v>
      </c>
      <c r="P243" s="132">
        <f t="shared" si="157"/>
        <v>1.1499999999999999</v>
      </c>
      <c r="Q243" s="130">
        <f t="shared" si="184"/>
        <v>58452.150537634399</v>
      </c>
      <c r="R243" s="148">
        <f t="shared" si="166"/>
        <v>58490</v>
      </c>
      <c r="S243" s="127">
        <f>VLOOKUP($B243,'Выгр Торг'!$B:$Q,S$1,0)</f>
        <v>47270</v>
      </c>
      <c r="T243" s="127">
        <f>VLOOKUP($B243,'Выгр Торг'!$B:$Q,T$1,0)</f>
        <v>58490</v>
      </c>
      <c r="U243" s="94">
        <f t="shared" si="158"/>
        <v>0</v>
      </c>
      <c r="V243" s="94">
        <f t="shared" si="159"/>
        <v>0</v>
      </c>
      <c r="W243" s="153">
        <f t="shared" si="167"/>
        <v>54395.7</v>
      </c>
      <c r="X243" s="209">
        <f>IFERROR(VLOOKUP($B243,'Из ГУГЛа'!$B:$G,6,0)*Z243+Y243,VLOOKUP($B243,'Из ГУГЛа'!$B:$G,6,0))</f>
        <v>51460</v>
      </c>
      <c r="Y243" s="220">
        <f t="shared" si="185"/>
        <v>9970</v>
      </c>
      <c r="Z243" s="133">
        <v>1</v>
      </c>
      <c r="AA243" s="134"/>
      <c r="AB243" s="135">
        <f t="shared" si="160"/>
        <v>0.15074465834567374</v>
      </c>
      <c r="AC243" s="135">
        <f t="shared" si="161"/>
        <v>-5.7048192771084277E-2</v>
      </c>
      <c r="AD243" s="135">
        <f t="shared" si="162"/>
        <v>8.8639729215147067E-2</v>
      </c>
      <c r="AE243" s="222">
        <v>51460</v>
      </c>
      <c r="AF243" s="98" t="s">
        <v>620</v>
      </c>
      <c r="AH243" s="98" t="s">
        <v>129</v>
      </c>
    </row>
    <row r="244" spans="1:34" ht="46.5" thickTop="1" thickBot="1">
      <c r="A244" s="125" t="str">
        <f>INDEX('Выгр Торг'!$A:$A,MATCH($B244,'Выгр Торг'!$B:$B,0))</f>
        <v>Руль анатомический "Ferrum" Grand Premium (с обогревом) для Лада Ларгус FL, Веста, XRAY</v>
      </c>
      <c r="B244" s="126">
        <v>132596</v>
      </c>
      <c r="C244" s="127">
        <f>VLOOKUP($B244,'Выгр Торг'!$B:$Q,C$1,0)</f>
        <v>166694</v>
      </c>
      <c r="D244" s="128" t="s">
        <v>129</v>
      </c>
      <c r="E244" s="125" t="str">
        <f>VLOOKUP($B244,'Выгр Торг'!$B:$Q,E$1,0)</f>
        <v>Руль анатомический "Ferrum" Grand Premium (с обогревом) для Лада Ларгус FL, Веста, XRAY (Салатовая нить, Чёрный глянец)</v>
      </c>
      <c r="F244" s="127" t="str">
        <f>VLOOKUP($B244,'Выгр Торг'!$B:$Q,F$1,0)</f>
        <v>Y</v>
      </c>
      <c r="G244" s="127" t="str">
        <f>VLOOKUP($B244,'Выгр Торг'!$B:$Q,G$1,0)</f>
        <v>1</v>
      </c>
      <c r="H244" s="40">
        <v>166685</v>
      </c>
      <c r="I244" s="156"/>
      <c r="J244" s="160"/>
      <c r="K244" s="161">
        <v>870</v>
      </c>
      <c r="L244" s="130">
        <f t="shared" si="193"/>
        <v>47270</v>
      </c>
      <c r="M244" s="130">
        <f t="shared" si="182"/>
        <v>48270</v>
      </c>
      <c r="N244" s="130">
        <f t="shared" si="183"/>
        <v>41270</v>
      </c>
      <c r="O244" s="132">
        <f t="shared" si="164"/>
        <v>1.0211550666384599</v>
      </c>
      <c r="P244" s="132">
        <f t="shared" si="157"/>
        <v>1.1499999999999999</v>
      </c>
      <c r="Q244" s="130">
        <f t="shared" si="184"/>
        <v>58452.150537634399</v>
      </c>
      <c r="R244" s="148">
        <f t="shared" si="166"/>
        <v>58490</v>
      </c>
      <c r="S244" s="127">
        <f>VLOOKUP($B244,'Выгр Торг'!$B:$Q,S$1,0)</f>
        <v>47270</v>
      </c>
      <c r="T244" s="127">
        <f>VLOOKUP($B244,'Выгр Торг'!$B:$Q,T$1,0)</f>
        <v>58490</v>
      </c>
      <c r="U244" s="94">
        <f t="shared" si="158"/>
        <v>0</v>
      </c>
      <c r="V244" s="94">
        <f t="shared" si="159"/>
        <v>0</v>
      </c>
      <c r="W244" s="153">
        <f t="shared" si="167"/>
        <v>54395.7</v>
      </c>
      <c r="X244" s="209">
        <f>IFERROR(VLOOKUP($B244,'Из ГУГЛа'!$B:$G,6,0)*Z244+Y244,VLOOKUP($B244,'Из ГУГЛа'!$B:$G,6,0))</f>
        <v>51460</v>
      </c>
      <c r="Y244" s="220">
        <f t="shared" si="185"/>
        <v>9970</v>
      </c>
      <c r="Z244" s="133">
        <v>1</v>
      </c>
      <c r="AA244" s="134"/>
      <c r="AB244" s="135">
        <f t="shared" si="160"/>
        <v>0.15074465834567374</v>
      </c>
      <c r="AC244" s="135">
        <f t="shared" si="161"/>
        <v>-5.7048192771084277E-2</v>
      </c>
      <c r="AD244" s="135">
        <f t="shared" si="162"/>
        <v>8.8639729215147067E-2</v>
      </c>
      <c r="AE244" s="222">
        <v>51460</v>
      </c>
      <c r="AF244" s="98" t="s">
        <v>620</v>
      </c>
      <c r="AH244" s="98" t="s">
        <v>129</v>
      </c>
    </row>
    <row r="245" spans="1:34" ht="46.5" thickTop="1" thickBot="1">
      <c r="A245" s="125" t="str">
        <f>INDEX('Выгр Торг'!$A:$A,MATCH($B245,'Выгр Торг'!$B:$B,0))</f>
        <v>Руль анатомический "Ferrum" Grand Premium (с обогревом) для Лада Ларгус FL, Веста, XRAY</v>
      </c>
      <c r="B245" s="126">
        <v>132597</v>
      </c>
      <c r="C245" s="127">
        <f>VLOOKUP($B245,'Выгр Торг'!$B:$Q,C$1,0)</f>
        <v>166695</v>
      </c>
      <c r="D245" s="128" t="s">
        <v>129</v>
      </c>
      <c r="E245" s="125" t="str">
        <f>VLOOKUP($B245,'Выгр Торг'!$B:$Q,E$1,0)</f>
        <v>Руль анатомический "Ferrum" Grand Premium (с обогревом) для Лада Ларгус FL, Веста, XRAY (Светло-серая нить, Чёрный глянец)</v>
      </c>
      <c r="F245" s="127" t="str">
        <f>VLOOKUP($B245,'Выгр Торг'!$B:$Q,F$1,0)</f>
        <v>Y</v>
      </c>
      <c r="G245" s="127" t="str">
        <f>VLOOKUP($B245,'Выгр Торг'!$B:$Q,G$1,0)</f>
        <v>1</v>
      </c>
      <c r="H245" s="40">
        <v>166685</v>
      </c>
      <c r="I245" s="156"/>
      <c r="J245" s="160"/>
      <c r="K245" s="161">
        <v>870</v>
      </c>
      <c r="L245" s="130">
        <f t="shared" si="193"/>
        <v>47270</v>
      </c>
      <c r="M245" s="130">
        <f t="shared" si="182"/>
        <v>48270</v>
      </c>
      <c r="N245" s="130">
        <f t="shared" si="183"/>
        <v>41270</v>
      </c>
      <c r="O245" s="132">
        <f t="shared" si="164"/>
        <v>1.0211550666384599</v>
      </c>
      <c r="P245" s="132">
        <f t="shared" si="157"/>
        <v>1.1499999999999999</v>
      </c>
      <c r="Q245" s="130">
        <f t="shared" si="184"/>
        <v>58452.150537634399</v>
      </c>
      <c r="R245" s="148">
        <f t="shared" si="166"/>
        <v>58490</v>
      </c>
      <c r="S245" s="127">
        <f>VLOOKUP($B245,'Выгр Торг'!$B:$Q,S$1,0)</f>
        <v>47270</v>
      </c>
      <c r="T245" s="127">
        <f>VLOOKUP($B245,'Выгр Торг'!$B:$Q,T$1,0)</f>
        <v>58490</v>
      </c>
      <c r="U245" s="94">
        <f t="shared" si="158"/>
        <v>0</v>
      </c>
      <c r="V245" s="94">
        <f t="shared" si="159"/>
        <v>0</v>
      </c>
      <c r="W245" s="153">
        <f t="shared" si="167"/>
        <v>54395.7</v>
      </c>
      <c r="X245" s="209">
        <f>IFERROR(VLOOKUP($B245,'Из ГУГЛа'!$B:$G,6,0)*Z245+Y245,VLOOKUP($B245,'Из ГУГЛа'!$B:$G,6,0))</f>
        <v>51460</v>
      </c>
      <c r="Y245" s="220">
        <f t="shared" si="185"/>
        <v>9970</v>
      </c>
      <c r="Z245" s="133">
        <v>1</v>
      </c>
      <c r="AA245" s="134"/>
      <c r="AB245" s="135">
        <f t="shared" si="160"/>
        <v>0.15074465834567374</v>
      </c>
      <c r="AC245" s="135">
        <f t="shared" si="161"/>
        <v>-5.7048192771084277E-2</v>
      </c>
      <c r="AD245" s="135">
        <f t="shared" si="162"/>
        <v>8.8639729215147067E-2</v>
      </c>
      <c r="AE245" s="222">
        <v>51460</v>
      </c>
      <c r="AF245" s="98" t="s">
        <v>620</v>
      </c>
      <c r="AH245" s="98" t="s">
        <v>129</v>
      </c>
    </row>
    <row r="246" spans="1:34" ht="46.5" thickTop="1" thickBot="1">
      <c r="A246" s="125" t="str">
        <f>INDEX('Выгр Торг'!$A:$A,MATCH($B246,'Выгр Торг'!$B:$B,0))</f>
        <v>Руль анатомический "Ferrum" Grand Premium (с обогревом) для Лада Ларгус FL, Веста, XRAY</v>
      </c>
      <c r="B246" s="126">
        <v>132598</v>
      </c>
      <c r="C246" s="127">
        <f>VLOOKUP($B246,'Выгр Торг'!$B:$Q,C$1,0)</f>
        <v>166691</v>
      </c>
      <c r="D246" s="128" t="s">
        <v>129</v>
      </c>
      <c r="E246" s="125" t="str">
        <f>VLOOKUP($B246,'Выгр Торг'!$B:$Q,E$1,0)</f>
        <v>Руль анатомический "Ferrum" Grand Premium (с обогревом) для Лада Ларгус FL, Веста, XRAY (Сине-зелёная нить, Чёрный глянец)</v>
      </c>
      <c r="F246" s="127" t="str">
        <f>VLOOKUP($B246,'Выгр Торг'!$B:$Q,F$1,0)</f>
        <v>Y</v>
      </c>
      <c r="G246" s="127" t="str">
        <f>VLOOKUP($B246,'Выгр Торг'!$B:$Q,G$1,0)</f>
        <v>1</v>
      </c>
      <c r="H246" s="40">
        <v>166685</v>
      </c>
      <c r="I246" s="156"/>
      <c r="J246" s="160"/>
      <c r="K246" s="161">
        <v>870</v>
      </c>
      <c r="L246" s="130">
        <f t="shared" si="193"/>
        <v>47270</v>
      </c>
      <c r="M246" s="130">
        <f t="shared" si="182"/>
        <v>48270</v>
      </c>
      <c r="N246" s="130">
        <f t="shared" si="183"/>
        <v>41270</v>
      </c>
      <c r="O246" s="132">
        <f t="shared" si="164"/>
        <v>1.0211550666384599</v>
      </c>
      <c r="P246" s="132">
        <f t="shared" si="157"/>
        <v>1.1499999999999999</v>
      </c>
      <c r="Q246" s="130">
        <f t="shared" si="184"/>
        <v>58452.150537634399</v>
      </c>
      <c r="R246" s="148">
        <f t="shared" si="166"/>
        <v>58490</v>
      </c>
      <c r="S246" s="127">
        <f>VLOOKUP($B246,'Выгр Торг'!$B:$Q,S$1,0)</f>
        <v>47270</v>
      </c>
      <c r="T246" s="127">
        <f>VLOOKUP($B246,'Выгр Торг'!$B:$Q,T$1,0)</f>
        <v>58490</v>
      </c>
      <c r="U246" s="94">
        <f t="shared" si="158"/>
        <v>0</v>
      </c>
      <c r="V246" s="94">
        <f t="shared" si="159"/>
        <v>0</v>
      </c>
      <c r="W246" s="153">
        <f t="shared" si="167"/>
        <v>54395.7</v>
      </c>
      <c r="X246" s="209">
        <f>IFERROR(VLOOKUP($B246,'Из ГУГЛа'!$B:$G,6,0)*Z246+Y246,VLOOKUP($B246,'Из ГУГЛа'!$B:$G,6,0))</f>
        <v>51460</v>
      </c>
      <c r="Y246" s="220">
        <f t="shared" si="185"/>
        <v>9970</v>
      </c>
      <c r="Z246" s="133">
        <v>1</v>
      </c>
      <c r="AA246" s="134"/>
      <c r="AB246" s="135">
        <f t="shared" si="160"/>
        <v>0.15074465834567374</v>
      </c>
      <c r="AC246" s="135">
        <f t="shared" si="161"/>
        <v>-5.7048192771084277E-2</v>
      </c>
      <c r="AD246" s="135">
        <f t="shared" si="162"/>
        <v>8.8639729215147067E-2</v>
      </c>
      <c r="AE246" s="222">
        <v>51460</v>
      </c>
      <c r="AF246" s="98" t="s">
        <v>620</v>
      </c>
      <c r="AH246" s="98" t="s">
        <v>129</v>
      </c>
    </row>
    <row r="247" spans="1:34" ht="46.5" thickTop="1" thickBot="1">
      <c r="A247" s="125" t="str">
        <f>INDEX('Выгр Торг'!$A:$A,MATCH($B247,'Выгр Торг'!$B:$B,0))</f>
        <v>Руль анатомический "Ferrum" Grand Premium (с обогревом) для Лада Ларгус FL, Веста, XRAY</v>
      </c>
      <c r="B247" s="126">
        <v>132599</v>
      </c>
      <c r="C247" s="127">
        <f>VLOOKUP($B247,'Выгр Торг'!$B:$Q,C$1,0)</f>
        <v>166690</v>
      </c>
      <c r="D247" s="128" t="s">
        <v>129</v>
      </c>
      <c r="E247" s="125" t="str">
        <f>VLOOKUP($B247,'Выгр Торг'!$B:$Q,E$1,0)</f>
        <v>Руль анатомический "Ferrum" Grand Premium (с обогревом) для Лада Ларгус FL, Веста, XRAY (Синяя нить, Чёрный глянец)</v>
      </c>
      <c r="F247" s="127" t="str">
        <f>VLOOKUP($B247,'Выгр Торг'!$B:$Q,F$1,0)</f>
        <v>Y</v>
      </c>
      <c r="G247" s="127" t="str">
        <f>VLOOKUP($B247,'Выгр Торг'!$B:$Q,G$1,0)</f>
        <v>1</v>
      </c>
      <c r="H247" s="40">
        <v>166685</v>
      </c>
      <c r="I247" s="156"/>
      <c r="J247" s="160"/>
      <c r="K247" s="161">
        <v>870</v>
      </c>
      <c r="L247" s="130">
        <f t="shared" si="193"/>
        <v>47270</v>
      </c>
      <c r="M247" s="130">
        <f t="shared" si="182"/>
        <v>48270</v>
      </c>
      <c r="N247" s="130">
        <f t="shared" si="183"/>
        <v>41270</v>
      </c>
      <c r="O247" s="132">
        <f t="shared" si="164"/>
        <v>1.0211550666384599</v>
      </c>
      <c r="P247" s="132">
        <f t="shared" si="157"/>
        <v>1.1499999999999999</v>
      </c>
      <c r="Q247" s="130">
        <f t="shared" si="184"/>
        <v>58452.150537634399</v>
      </c>
      <c r="R247" s="148">
        <f t="shared" si="166"/>
        <v>58490</v>
      </c>
      <c r="S247" s="127">
        <f>VLOOKUP($B247,'Выгр Торг'!$B:$Q,S$1,0)</f>
        <v>47270</v>
      </c>
      <c r="T247" s="127">
        <f>VLOOKUP($B247,'Выгр Торг'!$B:$Q,T$1,0)</f>
        <v>58490</v>
      </c>
      <c r="U247" s="94">
        <f t="shared" si="158"/>
        <v>0</v>
      </c>
      <c r="V247" s="94">
        <f t="shared" si="159"/>
        <v>0</v>
      </c>
      <c r="W247" s="153">
        <f t="shared" si="167"/>
        <v>54395.7</v>
      </c>
      <c r="X247" s="209">
        <f>IFERROR(VLOOKUP($B247,'Из ГУГЛа'!$B:$G,6,0)*Z247+Y247,VLOOKUP($B247,'Из ГУГЛа'!$B:$G,6,0))</f>
        <v>51460</v>
      </c>
      <c r="Y247" s="220">
        <f t="shared" si="185"/>
        <v>9970</v>
      </c>
      <c r="Z247" s="133">
        <v>1</v>
      </c>
      <c r="AA247" s="134"/>
      <c r="AB247" s="135">
        <f t="shared" si="160"/>
        <v>0.15074465834567374</v>
      </c>
      <c r="AC247" s="135">
        <f t="shared" si="161"/>
        <v>-5.7048192771084277E-2</v>
      </c>
      <c r="AD247" s="135">
        <f t="shared" si="162"/>
        <v>8.8639729215147067E-2</v>
      </c>
      <c r="AE247" s="222">
        <v>51460</v>
      </c>
      <c r="AF247" s="98" t="s">
        <v>620</v>
      </c>
      <c r="AH247" s="98" t="s">
        <v>129</v>
      </c>
    </row>
    <row r="248" spans="1:34" ht="46.5" thickTop="1" thickBot="1">
      <c r="A248" s="125" t="str">
        <f>INDEX('Выгр Торг'!$A:$A,MATCH($B248,'Выгр Торг'!$B:$B,0))</f>
        <v>Руль анатомический "Ferrum" Grand Premium (с обогревом) для Лада Ларгус FL, Веста, XRAY</v>
      </c>
      <c r="B248" s="126">
        <v>132600</v>
      </c>
      <c r="C248" s="127">
        <f>VLOOKUP($B248,'Выгр Торг'!$B:$Q,C$1,0)</f>
        <v>166688</v>
      </c>
      <c r="D248" s="128" t="s">
        <v>129</v>
      </c>
      <c r="E248" s="125" t="str">
        <f>VLOOKUP($B248,'Выгр Торг'!$B:$Q,E$1,0)</f>
        <v>Руль анатомический "Ferrum" Grand Premium (с обогревом) для Лада Ларгус FL, Веста, XRAY (Тёмно-серая нить, Чёрный глянец)</v>
      </c>
      <c r="F248" s="127" t="str">
        <f>VLOOKUP($B248,'Выгр Торг'!$B:$Q,F$1,0)</f>
        <v>Y</v>
      </c>
      <c r="G248" s="127" t="str">
        <f>VLOOKUP($B248,'Выгр Торг'!$B:$Q,G$1,0)</f>
        <v>1</v>
      </c>
      <c r="H248" s="40">
        <v>166685</v>
      </c>
      <c r="I248" s="156"/>
      <c r="J248" s="160"/>
      <c r="K248" s="161">
        <v>870</v>
      </c>
      <c r="L248" s="130">
        <f t="shared" si="193"/>
        <v>47270</v>
      </c>
      <c r="M248" s="130">
        <f t="shared" si="182"/>
        <v>48270</v>
      </c>
      <c r="N248" s="130">
        <f t="shared" si="183"/>
        <v>41270</v>
      </c>
      <c r="O248" s="132">
        <f t="shared" si="164"/>
        <v>1.0211550666384599</v>
      </c>
      <c r="P248" s="132">
        <f t="shared" si="157"/>
        <v>1.1499999999999999</v>
      </c>
      <c r="Q248" s="130">
        <f t="shared" si="184"/>
        <v>58452.150537634399</v>
      </c>
      <c r="R248" s="148">
        <f t="shared" si="166"/>
        <v>58490</v>
      </c>
      <c r="S248" s="127">
        <f>VLOOKUP($B248,'Выгр Торг'!$B:$Q,S$1,0)</f>
        <v>47270</v>
      </c>
      <c r="T248" s="127">
        <f>VLOOKUP($B248,'Выгр Торг'!$B:$Q,T$1,0)</f>
        <v>58490</v>
      </c>
      <c r="U248" s="94">
        <f t="shared" si="158"/>
        <v>0</v>
      </c>
      <c r="V248" s="94">
        <f t="shared" si="159"/>
        <v>0</v>
      </c>
      <c r="W248" s="153">
        <f t="shared" si="167"/>
        <v>54395.7</v>
      </c>
      <c r="X248" s="209">
        <f>IFERROR(VLOOKUP($B248,'Из ГУГЛа'!$B:$G,6,0)*Z248+Y248,VLOOKUP($B248,'Из ГУГЛа'!$B:$G,6,0))</f>
        <v>51460</v>
      </c>
      <c r="Y248" s="220">
        <f t="shared" si="185"/>
        <v>9970</v>
      </c>
      <c r="Z248" s="133">
        <v>1</v>
      </c>
      <c r="AA248" s="134"/>
      <c r="AB248" s="135">
        <f t="shared" si="160"/>
        <v>0.15074465834567374</v>
      </c>
      <c r="AC248" s="135">
        <f t="shared" si="161"/>
        <v>-5.7048192771084277E-2</v>
      </c>
      <c r="AD248" s="135">
        <f t="shared" si="162"/>
        <v>8.8639729215147067E-2</v>
      </c>
      <c r="AE248" s="222">
        <v>51460</v>
      </c>
      <c r="AF248" s="98" t="s">
        <v>620</v>
      </c>
      <c r="AH248" s="98" t="s">
        <v>129</v>
      </c>
    </row>
    <row r="249" spans="1:34" ht="46.5" thickTop="1" thickBot="1">
      <c r="A249" s="125" t="str">
        <f>INDEX('Выгр Торг'!$A:$A,MATCH($B249,'Выгр Торг'!$B:$B,0))</f>
        <v>Руль анатомический "Ferrum" Grand Premium (с обогревом) для Лада Ларгус FL, Веста, XRAY</v>
      </c>
      <c r="B249" s="126">
        <v>132601</v>
      </c>
      <c r="C249" s="127">
        <f>VLOOKUP($B249,'Выгр Торг'!$B:$Q,C$1,0)</f>
        <v>166687</v>
      </c>
      <c r="D249" s="128" t="s">
        <v>129</v>
      </c>
      <c r="E249" s="125" t="str">
        <f>VLOOKUP($B249,'Выгр Торг'!$B:$Q,E$1,0)</f>
        <v>Руль анатомический "Ferrum" Grand Premium (с обогревом) для Лада Ларгус FL, Веста, XRAY (Фиолетовая нить, Чёрный глянец)</v>
      </c>
      <c r="F249" s="127" t="str">
        <f>VLOOKUP($B249,'Выгр Торг'!$B:$Q,F$1,0)</f>
        <v>Y</v>
      </c>
      <c r="G249" s="127" t="str">
        <f>VLOOKUP($B249,'Выгр Торг'!$B:$Q,G$1,0)</f>
        <v>1</v>
      </c>
      <c r="H249" s="40">
        <v>166685</v>
      </c>
      <c r="I249" s="156"/>
      <c r="J249" s="160"/>
      <c r="K249" s="161">
        <v>870</v>
      </c>
      <c r="L249" s="130">
        <f t="shared" si="193"/>
        <v>47270</v>
      </c>
      <c r="M249" s="130">
        <f t="shared" si="182"/>
        <v>48270</v>
      </c>
      <c r="N249" s="130">
        <f t="shared" si="183"/>
        <v>41270</v>
      </c>
      <c r="O249" s="132">
        <f t="shared" si="164"/>
        <v>1.0211550666384599</v>
      </c>
      <c r="P249" s="132">
        <f t="shared" si="157"/>
        <v>1.1499999999999999</v>
      </c>
      <c r="Q249" s="130">
        <f t="shared" si="184"/>
        <v>58452.150537634399</v>
      </c>
      <c r="R249" s="148">
        <f t="shared" si="166"/>
        <v>58490</v>
      </c>
      <c r="S249" s="127">
        <f>VLOOKUP($B249,'Выгр Торг'!$B:$Q,S$1,0)</f>
        <v>47270</v>
      </c>
      <c r="T249" s="127">
        <f>VLOOKUP($B249,'Выгр Торг'!$B:$Q,T$1,0)</f>
        <v>58490</v>
      </c>
      <c r="U249" s="94">
        <f t="shared" si="158"/>
        <v>0</v>
      </c>
      <c r="V249" s="94">
        <f t="shared" si="159"/>
        <v>0</v>
      </c>
      <c r="W249" s="153">
        <f t="shared" si="167"/>
        <v>54395.7</v>
      </c>
      <c r="X249" s="209">
        <f>IFERROR(VLOOKUP($B249,'Из ГУГЛа'!$B:$G,6,0)*Z249+Y249,VLOOKUP($B249,'Из ГУГЛа'!$B:$G,6,0))</f>
        <v>51460</v>
      </c>
      <c r="Y249" s="220">
        <f t="shared" si="185"/>
        <v>9970</v>
      </c>
      <c r="Z249" s="133">
        <v>1</v>
      </c>
      <c r="AA249" s="134"/>
      <c r="AB249" s="135">
        <f t="shared" si="160"/>
        <v>0.15074465834567374</v>
      </c>
      <c r="AC249" s="135">
        <f t="shared" si="161"/>
        <v>-5.7048192771084277E-2</v>
      </c>
      <c r="AD249" s="135">
        <f t="shared" si="162"/>
        <v>8.8639729215147067E-2</v>
      </c>
      <c r="AE249" s="222">
        <v>51460</v>
      </c>
      <c r="AF249" s="98" t="s">
        <v>620</v>
      </c>
      <c r="AH249" s="98" t="s">
        <v>129</v>
      </c>
    </row>
    <row r="250" spans="1:34" ht="46.5" thickTop="1" thickBot="1">
      <c r="A250" s="125" t="str">
        <f>INDEX('Выгр Торг'!$A:$A,MATCH($B250,'Выгр Торг'!$B:$B,0))</f>
        <v>Руль анатомический "Ferrum" Grand Premium (с обогревом) для Лада Ларгус FL, Веста, XRAY</v>
      </c>
      <c r="B250" s="126">
        <v>132590</v>
      </c>
      <c r="C250" s="127">
        <f>VLOOKUP($B250,'Выгр Торг'!$B:$Q,C$1,0)</f>
        <v>166698</v>
      </c>
      <c r="D250" s="128" t="s">
        <v>129</v>
      </c>
      <c r="E250" s="125" t="str">
        <f>VLOOKUP($B250,'Выгр Торг'!$B:$Q,E$1,0)</f>
        <v>Руль анатомический) "Ferrum" Grand Premium (с обогревом) для Лада Ларгус FL, Веста, XRAY (Белая нить, Чёрный глянец)</v>
      </c>
      <c r="F250" s="127" t="str">
        <f>VLOOKUP($B250,'Выгр Торг'!$B:$Q,F$1,0)</f>
        <v>Y</v>
      </c>
      <c r="G250" s="127" t="str">
        <f>VLOOKUP($B250,'Выгр Торг'!$B:$Q,G$1,0)</f>
        <v>1</v>
      </c>
      <c r="H250" s="40">
        <v>166685</v>
      </c>
      <c r="I250" s="156"/>
      <c r="J250" s="160"/>
      <c r="K250" s="161">
        <v>870</v>
      </c>
      <c r="L250" s="130">
        <f t="shared" si="193"/>
        <v>47270</v>
      </c>
      <c r="M250" s="130">
        <f t="shared" si="182"/>
        <v>48270</v>
      </c>
      <c r="N250" s="130">
        <f t="shared" si="183"/>
        <v>41270</v>
      </c>
      <c r="O250" s="132">
        <f t="shared" si="164"/>
        <v>1.0211550666384599</v>
      </c>
      <c r="P250" s="132">
        <f t="shared" si="157"/>
        <v>1.1499999999999999</v>
      </c>
      <c r="Q250" s="130">
        <f t="shared" si="184"/>
        <v>58452.150537634399</v>
      </c>
      <c r="R250" s="148">
        <f t="shared" si="166"/>
        <v>58490</v>
      </c>
      <c r="S250" s="127">
        <f>VLOOKUP($B250,'Выгр Торг'!$B:$Q,S$1,0)</f>
        <v>47270</v>
      </c>
      <c r="T250" s="127">
        <f>VLOOKUP($B250,'Выгр Торг'!$B:$Q,T$1,0)</f>
        <v>58490</v>
      </c>
      <c r="U250" s="94">
        <f t="shared" si="158"/>
        <v>0</v>
      </c>
      <c r="V250" s="94">
        <f t="shared" si="159"/>
        <v>0</v>
      </c>
      <c r="W250" s="153">
        <f t="shared" si="167"/>
        <v>54395.7</v>
      </c>
      <c r="X250" s="209">
        <f>IFERROR(VLOOKUP($B250,'Из ГУГЛа'!$B:$G,6,0)*Z250+Y250,VLOOKUP($B250,'Из ГУГЛа'!$B:$G,6,0))</f>
        <v>51460</v>
      </c>
      <c r="Y250" s="220">
        <f t="shared" si="185"/>
        <v>9970</v>
      </c>
      <c r="Z250" s="133">
        <v>1</v>
      </c>
      <c r="AA250" s="134"/>
      <c r="AB250" s="135">
        <f t="shared" si="160"/>
        <v>0.15074465834567374</v>
      </c>
      <c r="AC250" s="135">
        <f t="shared" si="161"/>
        <v>-5.7048192771084277E-2</v>
      </c>
      <c r="AD250" s="135">
        <f t="shared" si="162"/>
        <v>8.8639729215147067E-2</v>
      </c>
      <c r="AE250" s="222">
        <v>51460</v>
      </c>
      <c r="AF250" s="98" t="s">
        <v>620</v>
      </c>
      <c r="AH250" s="98" t="s">
        <v>129</v>
      </c>
    </row>
    <row r="251" spans="1:34" ht="61.5" thickTop="1" thickBot="1">
      <c r="A251" s="125" t="str">
        <f>INDEX('Выгр Торг'!$A:$A,MATCH($B251,'Выгр Торг'!$B:$B,0))</f>
        <v>Руль анатомический "Ferrum" Grand Premium с обогревом (вставки из алькантары) для Лада Ларгус FL, Веста, XRAY</v>
      </c>
      <c r="B251" s="126">
        <v>132616</v>
      </c>
      <c r="C251" s="127">
        <f>VLOOKUP($B251,'Выгр Торг'!$B:$Q,C$1,0)</f>
        <v>166662</v>
      </c>
      <c r="D251" s="128" t="s">
        <v>133</v>
      </c>
      <c r="E251" s="125" t="str">
        <f>VLOOKUP($B251,'Выгр Торг'!$B:$Q,E$1,0)</f>
        <v>Руль анатомический "Ferrum" Grand Premium с обогревом (вставки из алькантары) для Лада Ларгус FL, Веста, XRAY (Чёрная нить, Чёрный глянец)</v>
      </c>
      <c r="F251" s="127" t="str">
        <f>VLOOKUP($B251,'Выгр Торг'!$B:$Q,F$1,0)</f>
        <v>Y</v>
      </c>
      <c r="G251" s="127" t="str">
        <f>VLOOKUP($B251,'Выгр Торг'!$B:$Q,G$1,0)</f>
        <v>1</v>
      </c>
      <c r="H251" s="40">
        <v>166662</v>
      </c>
      <c r="I251" s="156"/>
      <c r="J251" s="160">
        <v>7000</v>
      </c>
      <c r="K251" s="161">
        <v>0</v>
      </c>
      <c r="L251" s="130">
        <f t="shared" ref="L251:L253" si="194">M251-1000</f>
        <v>48850</v>
      </c>
      <c r="M251" s="131">
        <f>N251+J251</f>
        <v>49850</v>
      </c>
      <c r="N251" s="131">
        <v>42850</v>
      </c>
      <c r="O251" s="132">
        <f t="shared" si="164"/>
        <v>1.0204708290685773</v>
      </c>
      <c r="P251" s="132">
        <f t="shared" si="157"/>
        <v>1.1499999999999999</v>
      </c>
      <c r="Q251" s="147">
        <f t="shared" ref="Q251" si="195">L251*P251*100/93</f>
        <v>60405.913978494616</v>
      </c>
      <c r="R251" s="148">
        <f t="shared" si="166"/>
        <v>60490</v>
      </c>
      <c r="S251" s="127">
        <f>VLOOKUP($B251,'Выгр Торг'!$B:$Q,S$1,0)</f>
        <v>48850</v>
      </c>
      <c r="T251" s="127">
        <f>VLOOKUP($B251,'Выгр Торг'!$B:$Q,T$1,0)</f>
        <v>60490</v>
      </c>
      <c r="U251" s="94">
        <f t="shared" si="158"/>
        <v>0</v>
      </c>
      <c r="V251" s="94">
        <f t="shared" si="159"/>
        <v>0</v>
      </c>
      <c r="W251" s="153">
        <f t="shared" si="167"/>
        <v>56255.7</v>
      </c>
      <c r="X251" s="209">
        <f>IFERROR(VLOOKUP($B251,'Из ГУГЛа'!$B:$G,6,0)*Z251+Y251,VLOOKUP($B251,'Из ГУГЛа'!$B:$G,6,0))</f>
        <v>51390</v>
      </c>
      <c r="Y251" s="106">
        <f>(J251+K251)*$Y$2</f>
        <v>9100</v>
      </c>
      <c r="Z251" s="133">
        <v>1</v>
      </c>
      <c r="AA251" s="134"/>
      <c r="AB251" s="135">
        <f t="shared" si="160"/>
        <v>0.15160081883316279</v>
      </c>
      <c r="AC251" s="135">
        <f t="shared" si="161"/>
        <v>-9.4681844716870925E-2</v>
      </c>
      <c r="AD251" s="135">
        <f t="shared" si="162"/>
        <v>5.199590583418634E-2</v>
      </c>
      <c r="AE251" s="221">
        <v>51390</v>
      </c>
      <c r="AF251" s="98" t="s">
        <v>621</v>
      </c>
      <c r="AH251" s="98" t="s">
        <v>133</v>
      </c>
    </row>
    <row r="252" spans="1:34" ht="61.5" thickTop="1" thickBot="1">
      <c r="A252" s="176" t="str">
        <f>INDEX('Выгр Торг'!$A:$A,MATCH($B252,'Выгр Торг'!$B:$B,0))</f>
        <v>Руль анатомический "Ferrum" Grand Premium с обогревом (вставки из алькантары) для Лада Ларгус FL, Веста, XRAY</v>
      </c>
      <c r="B252" s="178">
        <v>341495</v>
      </c>
      <c r="C252" s="179">
        <f>VLOOKUP($B252,'Выгр Торг'!$B:$Q,C$1,0)</f>
        <v>341495</v>
      </c>
      <c r="D252" s="189" t="s">
        <v>133</v>
      </c>
      <c r="E252" s="176" t="str">
        <f>VLOOKUP($B252,'Выгр Торг'!$B:$Q,E$1,0)</f>
        <v>Руль анатомический "Ferrum" Grand Premium с обогревом (вставки из алькантары) для Лада Ларгус FL, Веста, XRAY (Чёрная нить, Чёрный мат)</v>
      </c>
      <c r="F252" s="179" t="str">
        <f>VLOOKUP($B252,'Выгр Торг'!$B:$Q,F$1,0)</f>
        <v>Y</v>
      </c>
      <c r="G252" s="179" t="str">
        <f>VLOOKUP($B252,'Выгр Торг'!$B:$Q,G$1,0)</f>
        <v>1</v>
      </c>
      <c r="H252" s="177">
        <v>166662</v>
      </c>
      <c r="I252" s="156"/>
      <c r="J252" s="160">
        <v>830</v>
      </c>
      <c r="K252" s="161">
        <v>0</v>
      </c>
      <c r="L252" s="180">
        <f>M252-1000</f>
        <v>49680</v>
      </c>
      <c r="M252" s="180">
        <f t="shared" ref="M252:M276" si="196">INDEX($M:$M,MATCH($H252,$C:$C,0))+$K252+$J252</f>
        <v>50680</v>
      </c>
      <c r="N252" s="180">
        <f t="shared" ref="N252:N276" si="197">INDEX($N:$N,MATCH($H252,$C:$C,0))+$K252+$J252</f>
        <v>43680</v>
      </c>
      <c r="O252" s="107">
        <f>M252/L252</f>
        <v>1.0201288244766507</v>
      </c>
      <c r="P252" s="132">
        <f t="shared" si="157"/>
        <v>1.1499999999999999</v>
      </c>
      <c r="Q252" s="180">
        <f t="shared" ref="Q252:Q276" si="198">INDEX($Q:$Q,MATCH($H252,$C:$C,0))+($K252+$J252)*INDEX($P:$P,MATCH($H252,$C:$C,0))*100/93</f>
        <v>61432.258064516122</v>
      </c>
      <c r="R252" s="144">
        <f>IF(Q252&lt;=1000,(ROUNDUP(Q252,-2)-1),(ROUNDUP(Q252,-2)-10))</f>
        <v>61490</v>
      </c>
      <c r="S252" s="179">
        <f>VLOOKUP($B252,'Выгр Торг'!$B:$Q,S$1,0)</f>
        <v>49680</v>
      </c>
      <c r="T252" s="179">
        <f>VLOOKUP($B252,'Выгр Торг'!$B:$Q,T$1,0)</f>
        <v>61490</v>
      </c>
      <c r="U252" s="94">
        <f t="shared" si="158"/>
        <v>0</v>
      </c>
      <c r="V252" s="94">
        <f t="shared" si="159"/>
        <v>0</v>
      </c>
      <c r="W252" s="182">
        <f>R252*(1-$W$2)</f>
        <v>57185.7</v>
      </c>
      <c r="X252" s="218">
        <f>IFERROR(VLOOKUP($B252,'Из ГУГЛа'!$B:$G,6,0)*Z252+Y252,VLOOKUP($B252,'Из ГУГЛа'!$B:$G,6,0))</f>
        <v>52220</v>
      </c>
      <c r="Y252" s="220">
        <f t="shared" ref="Y252:Y276" si="199">INDEX($Y:$Y,MATCH($H252,$C:$C,0))+J252+K252</f>
        <v>9930</v>
      </c>
      <c r="Z252" s="133">
        <v>1</v>
      </c>
      <c r="AA252" s="133">
        <v>1300</v>
      </c>
      <c r="AB252" s="184">
        <f>IFERROR(W252/L252-1,"")</f>
        <v>0.15108091787439615</v>
      </c>
      <c r="AC252" s="184">
        <f>IFERROR((AE252-W252)/AE252,"")</f>
        <v>-9.5091918805055478E-2</v>
      </c>
      <c r="AD252" s="184">
        <f>IFERROR(IF(AE252="","",AE252/L252-1),"")</f>
        <v>5.1127214170692437E-2</v>
      </c>
      <c r="AE252" s="222">
        <v>52220</v>
      </c>
      <c r="AF252" s="98" t="s">
        <v>621</v>
      </c>
      <c r="AH252" s="98" t="s">
        <v>133</v>
      </c>
    </row>
    <row r="253" spans="1:34" ht="61.5" thickTop="1" thickBot="1">
      <c r="A253" s="125" t="str">
        <f>INDEX('Выгр Торг'!$A:$A,MATCH($B253,'Выгр Торг'!$B:$B,0))</f>
        <v>Руль анатомический "Ferrum" Grand Premium с обогревом (вставки из алькантары) для Лада Ларгус FL, Веста, XRAY</v>
      </c>
      <c r="B253" s="126">
        <v>341494</v>
      </c>
      <c r="C253" s="127">
        <f>VLOOKUP($B253,'Выгр Торг'!$B:$Q,C$1,0)</f>
        <v>341494</v>
      </c>
      <c r="D253" s="128" t="s">
        <v>133</v>
      </c>
      <c r="E253" s="125" t="str">
        <f>VLOOKUP($B253,'Выгр Торг'!$B:$Q,E$1,0)</f>
        <v>Руль анатомический "Ferrum" Grand Premium с обогревом (вставки из алькантары) для Лада Ларгус FL, Веста, XRAY (Белая нить, Чёрный мат)</v>
      </c>
      <c r="F253" s="127" t="str">
        <f>VLOOKUP($B253,'Выгр Торг'!$B:$Q,F$1,0)</f>
        <v>Y</v>
      </c>
      <c r="G253" s="127" t="str">
        <f>VLOOKUP($B253,'Выгр Торг'!$B:$Q,G$1,0)</f>
        <v>1</v>
      </c>
      <c r="H253" s="40">
        <v>166662</v>
      </c>
      <c r="I253" s="156"/>
      <c r="J253" s="160">
        <v>830</v>
      </c>
      <c r="K253" s="161">
        <v>870</v>
      </c>
      <c r="L253" s="130">
        <f t="shared" si="194"/>
        <v>50550</v>
      </c>
      <c r="M253" s="130">
        <f t="shared" si="196"/>
        <v>51550</v>
      </c>
      <c r="N253" s="130">
        <f t="shared" si="197"/>
        <v>44550</v>
      </c>
      <c r="O253" s="132">
        <f t="shared" si="164"/>
        <v>1.019782393669634</v>
      </c>
      <c r="P253" s="132">
        <f t="shared" si="157"/>
        <v>1.1499999999999999</v>
      </c>
      <c r="Q253" s="130">
        <f t="shared" si="198"/>
        <v>62508.064516129023</v>
      </c>
      <c r="R253" s="148">
        <f t="shared" si="166"/>
        <v>62590</v>
      </c>
      <c r="S253" s="127">
        <f>VLOOKUP($B253,'Выгр Торг'!$B:$Q,S$1,0)</f>
        <v>50550</v>
      </c>
      <c r="T253" s="127">
        <f>VLOOKUP($B253,'Выгр Торг'!$B:$Q,T$1,0)</f>
        <v>62590</v>
      </c>
      <c r="U253" s="94">
        <f t="shared" si="158"/>
        <v>0</v>
      </c>
      <c r="V253" s="94">
        <f t="shared" si="159"/>
        <v>0</v>
      </c>
      <c r="W253" s="153">
        <f t="shared" si="167"/>
        <v>58208.7</v>
      </c>
      <c r="X253" s="209">
        <f>IFERROR(VLOOKUP($B253,'Из ГУГЛа'!$B:$G,6,0)*Z253+Y253,VLOOKUP($B253,'Из ГУГЛа'!$B:$G,6,0))</f>
        <v>53090</v>
      </c>
      <c r="Y253" s="220">
        <f t="shared" si="199"/>
        <v>10800</v>
      </c>
      <c r="Z253" s="133">
        <v>1</v>
      </c>
      <c r="AA253" s="133">
        <v>1300</v>
      </c>
      <c r="AB253" s="135">
        <f t="shared" si="160"/>
        <v>0.15150741839762616</v>
      </c>
      <c r="AC253" s="135">
        <f t="shared" si="161"/>
        <v>-9.6415520813712505E-2</v>
      </c>
      <c r="AD253" s="135">
        <f t="shared" si="162"/>
        <v>5.0247279920870414E-2</v>
      </c>
      <c r="AE253" s="222">
        <v>53090</v>
      </c>
      <c r="AF253" s="98" t="s">
        <v>621</v>
      </c>
      <c r="AH253" s="98" t="s">
        <v>133</v>
      </c>
    </row>
    <row r="254" spans="1:34" ht="61.5" thickTop="1" thickBot="1">
      <c r="A254" s="176" t="str">
        <f>INDEX('Выгр Торг'!$A:$A,MATCH($B254,'Выгр Торг'!$B:$B,0))</f>
        <v>Руль анатомический "Ferrum" Grand Premium с обогревом (вставки из алькантары) для Лада Ларгус FL, Веста, XRAY</v>
      </c>
      <c r="B254" s="178">
        <v>341506</v>
      </c>
      <c r="C254" s="179">
        <f>VLOOKUP($B254,'Выгр Торг'!$B:$Q,C$1,0)</f>
        <v>341506</v>
      </c>
      <c r="D254" s="189" t="s">
        <v>133</v>
      </c>
      <c r="E254" s="176" t="str">
        <f>VLOOKUP($B254,'Выгр Торг'!$B:$Q,E$1,0)</f>
        <v>Руль анатомический "Ferrum" Grand Premium с обогревом (вставки из алькантары) для Лада Ларгус FL, Веста, XRAY (Жёлтая нить, Чёрный мат)</v>
      </c>
      <c r="F254" s="179" t="str">
        <f>VLOOKUP($B254,'Выгр Торг'!$B:$Q,F$1,0)</f>
        <v>Y</v>
      </c>
      <c r="G254" s="179" t="str">
        <f>VLOOKUP($B254,'Выгр Торг'!$B:$Q,G$1,0)</f>
        <v>1</v>
      </c>
      <c r="H254" s="177">
        <v>166662</v>
      </c>
      <c r="I254" s="156"/>
      <c r="J254" s="160">
        <v>830</v>
      </c>
      <c r="K254" s="161">
        <v>870</v>
      </c>
      <c r="L254" s="180">
        <f t="shared" ref="L254:L265" si="200">M254-1000</f>
        <v>50550</v>
      </c>
      <c r="M254" s="180">
        <f t="shared" si="196"/>
        <v>51550</v>
      </c>
      <c r="N254" s="180">
        <f t="shared" si="197"/>
        <v>44550</v>
      </c>
      <c r="O254" s="107">
        <f t="shared" ref="O254:O265" si="201">M254/L254</f>
        <v>1.019782393669634</v>
      </c>
      <c r="P254" s="132">
        <f t="shared" si="157"/>
        <v>1.1499999999999999</v>
      </c>
      <c r="Q254" s="180">
        <f t="shared" si="198"/>
        <v>62508.064516129023</v>
      </c>
      <c r="R254" s="144">
        <f t="shared" ref="R254:R265" si="202">IF(Q254&lt;=1000,(ROUNDUP(Q254,-2)-1),(ROUNDUP(Q254,-2)-10))</f>
        <v>62590</v>
      </c>
      <c r="S254" s="179">
        <f>VLOOKUP($B254,'Выгр Торг'!$B:$Q,S$1,0)</f>
        <v>50550</v>
      </c>
      <c r="T254" s="179">
        <f>VLOOKUP($B254,'Выгр Торг'!$B:$Q,T$1,0)</f>
        <v>62590</v>
      </c>
      <c r="U254" s="94">
        <f t="shared" si="158"/>
        <v>0</v>
      </c>
      <c r="V254" s="94">
        <f t="shared" si="159"/>
        <v>0</v>
      </c>
      <c r="W254" s="182">
        <f t="shared" ref="W254:W265" si="203">R254*(1-$W$2)</f>
        <v>58208.7</v>
      </c>
      <c r="X254" s="218">
        <f>IFERROR(VLOOKUP($B254,'Из ГУГЛа'!$B:$G,6,0)*Z254+Y254,VLOOKUP($B254,'Из ГУГЛа'!$B:$G,6,0))</f>
        <v>53090</v>
      </c>
      <c r="Y254" s="220">
        <f t="shared" si="199"/>
        <v>10800</v>
      </c>
      <c r="Z254" s="133">
        <v>1</v>
      </c>
      <c r="AA254" s="133">
        <v>1300</v>
      </c>
      <c r="AB254" s="184">
        <f t="shared" ref="AB254:AB265" si="204">IFERROR(W254/L254-1,"")</f>
        <v>0.15150741839762616</v>
      </c>
      <c r="AC254" s="184">
        <f t="shared" ref="AC254:AC265" si="205">IFERROR((AE254-W254)/AE254,"")</f>
        <v>-9.6415520813712505E-2</v>
      </c>
      <c r="AD254" s="184">
        <f t="shared" ref="AD254:AD265" si="206">IFERROR(IF(AE254="","",AE254/L254-1),"")</f>
        <v>5.0247279920870414E-2</v>
      </c>
      <c r="AE254" s="222">
        <v>53090</v>
      </c>
      <c r="AF254" s="98" t="s">
        <v>621</v>
      </c>
      <c r="AH254" s="98" t="s">
        <v>133</v>
      </c>
    </row>
    <row r="255" spans="1:34" ht="61.5" thickTop="1" thickBot="1">
      <c r="A255" s="176" t="str">
        <f>INDEX('Выгр Торг'!$A:$A,MATCH($B255,'Выгр Торг'!$B:$B,0))</f>
        <v>Руль анатомический "Ferrum" Grand Premium с обогревом (вставки из алькантары) для Лада Ларгус FL, Веста, XRAY</v>
      </c>
      <c r="B255" s="178">
        <v>341505</v>
      </c>
      <c r="C255" s="179">
        <f>VLOOKUP($B255,'Выгр Торг'!$B:$Q,C$1,0)</f>
        <v>341505</v>
      </c>
      <c r="D255" s="189" t="s">
        <v>133</v>
      </c>
      <c r="E255" s="176" t="str">
        <f>VLOOKUP($B255,'Выгр Торг'!$B:$Q,E$1,0)</f>
        <v>Руль анатомический "Ferrum" Grand Premium с обогревом (вставки из алькантары) для Лада Ларгус FL, Веста, XRAY (Зелёная нить, Чёрный мат)</v>
      </c>
      <c r="F255" s="179" t="str">
        <f>VLOOKUP($B255,'Выгр Торг'!$B:$Q,F$1,0)</f>
        <v>Y</v>
      </c>
      <c r="G255" s="179" t="str">
        <f>VLOOKUP($B255,'Выгр Торг'!$B:$Q,G$1,0)</f>
        <v>1</v>
      </c>
      <c r="H255" s="177">
        <v>166662</v>
      </c>
      <c r="I255" s="156"/>
      <c r="J255" s="160">
        <v>830</v>
      </c>
      <c r="K255" s="161">
        <v>870</v>
      </c>
      <c r="L255" s="180">
        <f t="shared" si="200"/>
        <v>50550</v>
      </c>
      <c r="M255" s="180">
        <f t="shared" si="196"/>
        <v>51550</v>
      </c>
      <c r="N255" s="180">
        <f t="shared" si="197"/>
        <v>44550</v>
      </c>
      <c r="O255" s="107">
        <f t="shared" si="201"/>
        <v>1.019782393669634</v>
      </c>
      <c r="P255" s="132">
        <f t="shared" si="157"/>
        <v>1.1499999999999999</v>
      </c>
      <c r="Q255" s="180">
        <f t="shared" si="198"/>
        <v>62508.064516129023</v>
      </c>
      <c r="R255" s="144">
        <f t="shared" si="202"/>
        <v>62590</v>
      </c>
      <c r="S255" s="179">
        <f>VLOOKUP($B255,'Выгр Торг'!$B:$Q,S$1,0)</f>
        <v>50550</v>
      </c>
      <c r="T255" s="179">
        <f>VLOOKUP($B255,'Выгр Торг'!$B:$Q,T$1,0)</f>
        <v>62590</v>
      </c>
      <c r="U255" s="94">
        <f t="shared" si="158"/>
        <v>0</v>
      </c>
      <c r="V255" s="94">
        <f t="shared" si="159"/>
        <v>0</v>
      </c>
      <c r="W255" s="182">
        <f t="shared" si="203"/>
        <v>58208.7</v>
      </c>
      <c r="X255" s="218">
        <f>IFERROR(VLOOKUP($B255,'Из ГУГЛа'!$B:$G,6,0)*Z255+Y255,VLOOKUP($B255,'Из ГУГЛа'!$B:$G,6,0))</f>
        <v>53090</v>
      </c>
      <c r="Y255" s="220">
        <f t="shared" si="199"/>
        <v>10800</v>
      </c>
      <c r="Z255" s="133">
        <v>1</v>
      </c>
      <c r="AA255" s="133">
        <v>1300</v>
      </c>
      <c r="AB255" s="184">
        <f t="shared" si="204"/>
        <v>0.15150741839762616</v>
      </c>
      <c r="AC255" s="184">
        <f t="shared" si="205"/>
        <v>-9.6415520813712505E-2</v>
      </c>
      <c r="AD255" s="184">
        <f t="shared" si="206"/>
        <v>5.0247279920870414E-2</v>
      </c>
      <c r="AE255" s="222">
        <v>53090</v>
      </c>
      <c r="AF255" s="98" t="s">
        <v>621</v>
      </c>
      <c r="AH255" s="98" t="s">
        <v>133</v>
      </c>
    </row>
    <row r="256" spans="1:34" ht="61.5" thickTop="1" thickBot="1">
      <c r="A256" s="176" t="str">
        <f>INDEX('Выгр Торг'!$A:$A,MATCH($B256,'Выгр Торг'!$B:$B,0))</f>
        <v>Руль анатомический "Ferrum" Grand Premium с обогревом (вставки из алькантары) для Лада Ларгус FL, Веста, XRAY</v>
      </c>
      <c r="B256" s="178">
        <v>341497</v>
      </c>
      <c r="C256" s="179">
        <f>VLOOKUP($B256,'Выгр Торг'!$B:$Q,C$1,0)</f>
        <v>341497</v>
      </c>
      <c r="D256" s="189" t="s">
        <v>133</v>
      </c>
      <c r="E256" s="176" t="str">
        <f>VLOOKUP($B256,'Выгр Торг'!$B:$Q,E$1,0)</f>
        <v>Руль анатомический "Ferrum" Grand Premium с обогревом (вставки из алькантары) для Лада Ларгус FL, Веста, XRAY (Коричневая нить, Чёрный мат)</v>
      </c>
      <c r="F256" s="179" t="str">
        <f>VLOOKUP($B256,'Выгр Торг'!$B:$Q,F$1,0)</f>
        <v>Y</v>
      </c>
      <c r="G256" s="179" t="str">
        <f>VLOOKUP($B256,'Выгр Торг'!$B:$Q,G$1,0)</f>
        <v>1</v>
      </c>
      <c r="H256" s="177">
        <v>166662</v>
      </c>
      <c r="I256" s="156"/>
      <c r="J256" s="160">
        <v>830</v>
      </c>
      <c r="K256" s="161">
        <v>870</v>
      </c>
      <c r="L256" s="180">
        <f t="shared" si="200"/>
        <v>50550</v>
      </c>
      <c r="M256" s="180">
        <f t="shared" si="196"/>
        <v>51550</v>
      </c>
      <c r="N256" s="180">
        <f t="shared" si="197"/>
        <v>44550</v>
      </c>
      <c r="O256" s="107">
        <f t="shared" si="201"/>
        <v>1.019782393669634</v>
      </c>
      <c r="P256" s="132">
        <f t="shared" si="157"/>
        <v>1.1499999999999999</v>
      </c>
      <c r="Q256" s="180">
        <f t="shared" si="198"/>
        <v>62508.064516129023</v>
      </c>
      <c r="R256" s="144">
        <f t="shared" si="202"/>
        <v>62590</v>
      </c>
      <c r="S256" s="179">
        <f>VLOOKUP($B256,'Выгр Торг'!$B:$Q,S$1,0)</f>
        <v>50550</v>
      </c>
      <c r="T256" s="179">
        <f>VLOOKUP($B256,'Выгр Торг'!$B:$Q,T$1,0)</f>
        <v>62590</v>
      </c>
      <c r="U256" s="94">
        <f t="shared" si="158"/>
        <v>0</v>
      </c>
      <c r="V256" s="94">
        <f t="shared" si="159"/>
        <v>0</v>
      </c>
      <c r="W256" s="182">
        <f t="shared" si="203"/>
        <v>58208.7</v>
      </c>
      <c r="X256" s="218">
        <f>IFERROR(VLOOKUP($B256,'Из ГУГЛа'!$B:$G,6,0)*Z256+Y256,VLOOKUP($B256,'Из ГУГЛа'!$B:$G,6,0))</f>
        <v>53090</v>
      </c>
      <c r="Y256" s="220">
        <f t="shared" si="199"/>
        <v>10800</v>
      </c>
      <c r="Z256" s="133">
        <v>1</v>
      </c>
      <c r="AA256" s="133">
        <v>1300</v>
      </c>
      <c r="AB256" s="184">
        <f t="shared" si="204"/>
        <v>0.15150741839762616</v>
      </c>
      <c r="AC256" s="184">
        <f t="shared" si="205"/>
        <v>-9.6415520813712505E-2</v>
      </c>
      <c r="AD256" s="184">
        <f t="shared" si="206"/>
        <v>5.0247279920870414E-2</v>
      </c>
      <c r="AE256" s="222">
        <v>53090</v>
      </c>
      <c r="AF256" s="98" t="s">
        <v>621</v>
      </c>
      <c r="AH256" s="98" t="s">
        <v>133</v>
      </c>
    </row>
    <row r="257" spans="1:34" ht="61.5" thickTop="1" thickBot="1">
      <c r="A257" s="176" t="str">
        <f>INDEX('Выгр Торг'!$A:$A,MATCH($B257,'Выгр Торг'!$B:$B,0))</f>
        <v>Руль анатомический "Ferrum" Grand Premium с обогревом (вставки из алькантары) для Лада Ларгус FL, Веста, XRAY</v>
      </c>
      <c r="B257" s="178">
        <v>341498</v>
      </c>
      <c r="C257" s="179">
        <f>VLOOKUP($B257,'Выгр Торг'!$B:$Q,C$1,0)</f>
        <v>341498</v>
      </c>
      <c r="D257" s="189" t="s">
        <v>133</v>
      </c>
      <c r="E257" s="176" t="str">
        <f>VLOOKUP($B257,'Выгр Торг'!$B:$Q,E$1,0)</f>
        <v>Руль анатомический "Ferrum" Grand Premium с обогревом (вставки из алькантары) для Лада Ларгус FL, Веста, XRAY (Красная нить, Чёрный мат)</v>
      </c>
      <c r="F257" s="179" t="str">
        <f>VLOOKUP($B257,'Выгр Торг'!$B:$Q,F$1,0)</f>
        <v>Y</v>
      </c>
      <c r="G257" s="179" t="str">
        <f>VLOOKUP($B257,'Выгр Торг'!$B:$Q,G$1,0)</f>
        <v>1</v>
      </c>
      <c r="H257" s="177">
        <v>166662</v>
      </c>
      <c r="I257" s="156"/>
      <c r="J257" s="160">
        <v>830</v>
      </c>
      <c r="K257" s="161">
        <v>870</v>
      </c>
      <c r="L257" s="180">
        <f t="shared" si="200"/>
        <v>50550</v>
      </c>
      <c r="M257" s="180">
        <f t="shared" si="196"/>
        <v>51550</v>
      </c>
      <c r="N257" s="180">
        <f t="shared" si="197"/>
        <v>44550</v>
      </c>
      <c r="O257" s="107">
        <f t="shared" si="201"/>
        <v>1.019782393669634</v>
      </c>
      <c r="P257" s="132">
        <f t="shared" si="157"/>
        <v>1.1499999999999999</v>
      </c>
      <c r="Q257" s="180">
        <f t="shared" si="198"/>
        <v>62508.064516129023</v>
      </c>
      <c r="R257" s="144">
        <f t="shared" si="202"/>
        <v>62590</v>
      </c>
      <c r="S257" s="179">
        <f>VLOOKUP($B257,'Выгр Торг'!$B:$Q,S$1,0)</f>
        <v>50550</v>
      </c>
      <c r="T257" s="179">
        <f>VLOOKUP($B257,'Выгр Торг'!$B:$Q,T$1,0)</f>
        <v>62590</v>
      </c>
      <c r="U257" s="94">
        <f t="shared" si="158"/>
        <v>0</v>
      </c>
      <c r="V257" s="94">
        <f t="shared" si="159"/>
        <v>0</v>
      </c>
      <c r="W257" s="182">
        <f t="shared" si="203"/>
        <v>58208.7</v>
      </c>
      <c r="X257" s="218">
        <f>IFERROR(VLOOKUP($B257,'Из ГУГЛа'!$B:$G,6,0)*Z257+Y257,VLOOKUP($B257,'Из ГУГЛа'!$B:$G,6,0))</f>
        <v>53090</v>
      </c>
      <c r="Y257" s="220">
        <f t="shared" si="199"/>
        <v>10800</v>
      </c>
      <c r="Z257" s="133">
        <v>1</v>
      </c>
      <c r="AA257" s="133">
        <v>1300</v>
      </c>
      <c r="AB257" s="184">
        <f t="shared" si="204"/>
        <v>0.15150741839762616</v>
      </c>
      <c r="AC257" s="184">
        <f t="shared" si="205"/>
        <v>-9.6415520813712505E-2</v>
      </c>
      <c r="AD257" s="184">
        <f t="shared" si="206"/>
        <v>5.0247279920870414E-2</v>
      </c>
      <c r="AE257" s="222">
        <v>53090</v>
      </c>
      <c r="AF257" s="98" t="s">
        <v>621</v>
      </c>
      <c r="AH257" s="98" t="s">
        <v>133</v>
      </c>
    </row>
    <row r="258" spans="1:34" ht="61.5" thickTop="1" thickBot="1">
      <c r="A258" s="176" t="str">
        <f>INDEX('Выгр Торг'!$A:$A,MATCH($B258,'Выгр Торг'!$B:$B,0))</f>
        <v>Руль анатомический "Ferrum" Grand Premium с обогревом (вставки из алькантары) для Лада Ларгус FL, Веста, XRAY</v>
      </c>
      <c r="B258" s="178">
        <v>341499</v>
      </c>
      <c r="C258" s="179">
        <f>VLOOKUP($B258,'Выгр Торг'!$B:$Q,C$1,0)</f>
        <v>341499</v>
      </c>
      <c r="D258" s="189" t="s">
        <v>133</v>
      </c>
      <c r="E258" s="176" t="str">
        <f>VLOOKUP($B258,'Выгр Торг'!$B:$Q,E$1,0)</f>
        <v>Руль анатомический "Ferrum" Grand Premium с обогревом (вставки из алькантары) для Лада Ларгус FL, Веста, XRAY (Оранжевая нить, Чёрный мат)</v>
      </c>
      <c r="F258" s="179" t="str">
        <f>VLOOKUP($B258,'Выгр Торг'!$B:$Q,F$1,0)</f>
        <v>Y</v>
      </c>
      <c r="G258" s="179" t="str">
        <f>VLOOKUP($B258,'Выгр Торг'!$B:$Q,G$1,0)</f>
        <v>1</v>
      </c>
      <c r="H258" s="177">
        <v>166662</v>
      </c>
      <c r="I258" s="156"/>
      <c r="J258" s="160">
        <v>830</v>
      </c>
      <c r="K258" s="161">
        <v>870</v>
      </c>
      <c r="L258" s="180">
        <f t="shared" si="200"/>
        <v>50550</v>
      </c>
      <c r="M258" s="180">
        <f t="shared" si="196"/>
        <v>51550</v>
      </c>
      <c r="N258" s="180">
        <f t="shared" si="197"/>
        <v>44550</v>
      </c>
      <c r="O258" s="107">
        <f t="shared" si="201"/>
        <v>1.019782393669634</v>
      </c>
      <c r="P258" s="132">
        <f t="shared" si="157"/>
        <v>1.1499999999999999</v>
      </c>
      <c r="Q258" s="180">
        <f t="shared" si="198"/>
        <v>62508.064516129023</v>
      </c>
      <c r="R258" s="144">
        <f t="shared" si="202"/>
        <v>62590</v>
      </c>
      <c r="S258" s="179">
        <f>VLOOKUP($B258,'Выгр Торг'!$B:$Q,S$1,0)</f>
        <v>50550</v>
      </c>
      <c r="T258" s="179">
        <f>VLOOKUP($B258,'Выгр Торг'!$B:$Q,T$1,0)</f>
        <v>62590</v>
      </c>
      <c r="U258" s="94">
        <f t="shared" si="158"/>
        <v>0</v>
      </c>
      <c r="V258" s="94">
        <f t="shared" si="159"/>
        <v>0</v>
      </c>
      <c r="W258" s="182">
        <f t="shared" si="203"/>
        <v>58208.7</v>
      </c>
      <c r="X258" s="218">
        <f>IFERROR(VLOOKUP($B258,'Из ГУГЛа'!$B:$G,6,0)*Z258+Y258,VLOOKUP($B258,'Из ГУГЛа'!$B:$G,6,0))</f>
        <v>53090</v>
      </c>
      <c r="Y258" s="220">
        <f t="shared" si="199"/>
        <v>10800</v>
      </c>
      <c r="Z258" s="133">
        <v>1</v>
      </c>
      <c r="AA258" s="133">
        <v>1300</v>
      </c>
      <c r="AB258" s="184">
        <f t="shared" si="204"/>
        <v>0.15150741839762616</v>
      </c>
      <c r="AC258" s="184">
        <f t="shared" si="205"/>
        <v>-9.6415520813712505E-2</v>
      </c>
      <c r="AD258" s="184">
        <f t="shared" si="206"/>
        <v>5.0247279920870414E-2</v>
      </c>
      <c r="AE258" s="222">
        <v>53090</v>
      </c>
      <c r="AF258" s="98" t="s">
        <v>621</v>
      </c>
      <c r="AH258" s="98" t="s">
        <v>133</v>
      </c>
    </row>
    <row r="259" spans="1:34" ht="61.5" thickTop="1" thickBot="1">
      <c r="A259" s="176" t="str">
        <f>INDEX('Выгр Торг'!$A:$A,MATCH($B259,'Выгр Торг'!$B:$B,0))</f>
        <v>Руль анатомический "Ferrum" Grand Premium с обогревом (вставки из алькантары) для Лада Ларгус FL, Веста, XRAY</v>
      </c>
      <c r="B259" s="178">
        <v>341500</v>
      </c>
      <c r="C259" s="179">
        <f>VLOOKUP($B259,'Выгр Торг'!$B:$Q,C$1,0)</f>
        <v>341500</v>
      </c>
      <c r="D259" s="189" t="s">
        <v>133</v>
      </c>
      <c r="E259" s="176" t="str">
        <f>VLOOKUP($B259,'Выгр Торг'!$B:$Q,E$1,0)</f>
        <v>Руль анатомический "Ferrum" Grand Premium с обогревом (вставки из алькантары) для Лада Ларгус FL, Веста, XRAY (Салатовая нить, Чёрный мат)</v>
      </c>
      <c r="F259" s="179" t="str">
        <f>VLOOKUP($B259,'Выгр Торг'!$B:$Q,F$1,0)</f>
        <v>Y</v>
      </c>
      <c r="G259" s="179" t="str">
        <f>VLOOKUP($B259,'Выгр Торг'!$B:$Q,G$1,0)</f>
        <v>1</v>
      </c>
      <c r="H259" s="177">
        <v>166662</v>
      </c>
      <c r="I259" s="156"/>
      <c r="J259" s="160">
        <v>830</v>
      </c>
      <c r="K259" s="161">
        <v>870</v>
      </c>
      <c r="L259" s="180">
        <f t="shared" si="200"/>
        <v>50550</v>
      </c>
      <c r="M259" s="180">
        <f t="shared" si="196"/>
        <v>51550</v>
      </c>
      <c r="N259" s="180">
        <f t="shared" si="197"/>
        <v>44550</v>
      </c>
      <c r="O259" s="107">
        <f t="shared" si="201"/>
        <v>1.019782393669634</v>
      </c>
      <c r="P259" s="132">
        <f t="shared" si="157"/>
        <v>1.1499999999999999</v>
      </c>
      <c r="Q259" s="180">
        <f t="shared" si="198"/>
        <v>62508.064516129023</v>
      </c>
      <c r="R259" s="144">
        <f t="shared" si="202"/>
        <v>62590</v>
      </c>
      <c r="S259" s="179">
        <f>VLOOKUP($B259,'Выгр Торг'!$B:$Q,S$1,0)</f>
        <v>50550</v>
      </c>
      <c r="T259" s="179">
        <f>VLOOKUP($B259,'Выгр Торг'!$B:$Q,T$1,0)</f>
        <v>62590</v>
      </c>
      <c r="U259" s="94">
        <f t="shared" si="158"/>
        <v>0</v>
      </c>
      <c r="V259" s="94">
        <f t="shared" si="159"/>
        <v>0</v>
      </c>
      <c r="W259" s="182">
        <f t="shared" si="203"/>
        <v>58208.7</v>
      </c>
      <c r="X259" s="218">
        <f>IFERROR(VLOOKUP($B259,'Из ГУГЛа'!$B:$G,6,0)*Z259+Y259,VLOOKUP($B259,'Из ГУГЛа'!$B:$G,6,0))</f>
        <v>53090</v>
      </c>
      <c r="Y259" s="220">
        <f t="shared" si="199"/>
        <v>10800</v>
      </c>
      <c r="Z259" s="133">
        <v>1</v>
      </c>
      <c r="AA259" s="133">
        <v>1300</v>
      </c>
      <c r="AB259" s="184">
        <f t="shared" si="204"/>
        <v>0.15150741839762616</v>
      </c>
      <c r="AC259" s="184">
        <f t="shared" si="205"/>
        <v>-9.6415520813712505E-2</v>
      </c>
      <c r="AD259" s="184">
        <f t="shared" si="206"/>
        <v>5.0247279920870414E-2</v>
      </c>
      <c r="AE259" s="222">
        <v>53090</v>
      </c>
      <c r="AF259" s="98" t="s">
        <v>621</v>
      </c>
      <c r="AH259" s="98" t="s">
        <v>133</v>
      </c>
    </row>
    <row r="260" spans="1:34" ht="61.5" thickTop="1" thickBot="1">
      <c r="A260" s="176" t="str">
        <f>INDEX('Выгр Торг'!$A:$A,MATCH($B260,'Выгр Торг'!$B:$B,0))</f>
        <v>Руль анатомический "Ferrum" Grand Premium с обогревом (вставки из алькантары) для Лада Ларгус FL, Веста, XRAY</v>
      </c>
      <c r="B260" s="178">
        <v>341503</v>
      </c>
      <c r="C260" s="179">
        <f>VLOOKUP($B260,'Выгр Торг'!$B:$Q,C$1,0)</f>
        <v>341503</v>
      </c>
      <c r="D260" s="189" t="s">
        <v>133</v>
      </c>
      <c r="E260" s="176" t="str">
        <f>VLOOKUP($B260,'Выгр Торг'!$B:$Q,E$1,0)</f>
        <v>Руль анатомический "Ferrum" Grand Premium с обогревом (вставки из алькантары) для Лада Ларгус FL, Веста, XRAY (Светло-серая нить, Чёрный мат)</v>
      </c>
      <c r="F260" s="179" t="str">
        <f>VLOOKUP($B260,'Выгр Торг'!$B:$Q,F$1,0)</f>
        <v>Y</v>
      </c>
      <c r="G260" s="179" t="str">
        <f>VLOOKUP($B260,'Выгр Торг'!$B:$Q,G$1,0)</f>
        <v>1</v>
      </c>
      <c r="H260" s="177">
        <v>166662</v>
      </c>
      <c r="I260" s="156"/>
      <c r="J260" s="160">
        <v>830</v>
      </c>
      <c r="K260" s="161">
        <v>870</v>
      </c>
      <c r="L260" s="180">
        <f t="shared" si="200"/>
        <v>50550</v>
      </c>
      <c r="M260" s="180">
        <f t="shared" si="196"/>
        <v>51550</v>
      </c>
      <c r="N260" s="180">
        <f t="shared" si="197"/>
        <v>44550</v>
      </c>
      <c r="O260" s="107">
        <f t="shared" si="201"/>
        <v>1.019782393669634</v>
      </c>
      <c r="P260" s="132">
        <f t="shared" ref="P260:P323" si="207">IF(O260&lt;=$P$1,$P$1,O260)</f>
        <v>1.1499999999999999</v>
      </c>
      <c r="Q260" s="180">
        <f t="shared" si="198"/>
        <v>62508.064516129023</v>
      </c>
      <c r="R260" s="144">
        <f t="shared" si="202"/>
        <v>62590</v>
      </c>
      <c r="S260" s="179">
        <f>VLOOKUP($B260,'Выгр Торг'!$B:$Q,S$1,0)</f>
        <v>50550</v>
      </c>
      <c r="T260" s="179">
        <f>VLOOKUP($B260,'Выгр Торг'!$B:$Q,T$1,0)</f>
        <v>62590</v>
      </c>
      <c r="U260" s="94">
        <f t="shared" ref="U260:U323" si="208">S260-L260</f>
        <v>0</v>
      </c>
      <c r="V260" s="94">
        <f t="shared" ref="V260:V323" si="209">T260-R260</f>
        <v>0</v>
      </c>
      <c r="W260" s="182">
        <f t="shared" si="203"/>
        <v>58208.7</v>
      </c>
      <c r="X260" s="218">
        <f>IFERROR(VLOOKUP($B260,'Из ГУГЛа'!$B:$G,6,0)*Z260+Y260,VLOOKUP($B260,'Из ГУГЛа'!$B:$G,6,0))</f>
        <v>53090</v>
      </c>
      <c r="Y260" s="220">
        <f t="shared" si="199"/>
        <v>10800</v>
      </c>
      <c r="Z260" s="133">
        <v>1</v>
      </c>
      <c r="AA260" s="133">
        <v>1300</v>
      </c>
      <c r="AB260" s="184">
        <f t="shared" si="204"/>
        <v>0.15150741839762616</v>
      </c>
      <c r="AC260" s="184">
        <f t="shared" si="205"/>
        <v>-9.6415520813712505E-2</v>
      </c>
      <c r="AD260" s="184">
        <f t="shared" si="206"/>
        <v>5.0247279920870414E-2</v>
      </c>
      <c r="AE260" s="222">
        <v>53090</v>
      </c>
      <c r="AF260" s="98" t="s">
        <v>621</v>
      </c>
      <c r="AH260" s="98" t="s">
        <v>133</v>
      </c>
    </row>
    <row r="261" spans="1:34" ht="61.5" thickTop="1" thickBot="1">
      <c r="A261" s="176" t="str">
        <f>INDEX('Выгр Торг'!$A:$A,MATCH($B261,'Выгр Торг'!$B:$B,0))</f>
        <v>Руль анатомический "Ferrum" Grand Premium с обогревом (вставки из алькантары) для Лада Ларгус FL, Веста, XRAY</v>
      </c>
      <c r="B261" s="178">
        <v>341501</v>
      </c>
      <c r="C261" s="179">
        <f>VLOOKUP($B261,'Выгр Торг'!$B:$Q,C$1,0)</f>
        <v>341501</v>
      </c>
      <c r="D261" s="189" t="s">
        <v>133</v>
      </c>
      <c r="E261" s="176" t="str">
        <f>VLOOKUP($B261,'Выгр Торг'!$B:$Q,E$1,0)</f>
        <v>Руль анатомический "Ferrum" Grand Premium с обогревом (вставки из алькантары) для Лада Ларгус FL, Веста, XRAY (Сине-зелёная нить, Чёрный мат)</v>
      </c>
      <c r="F261" s="179" t="str">
        <f>VLOOKUP($B261,'Выгр Торг'!$B:$Q,F$1,0)</f>
        <v>Y</v>
      </c>
      <c r="G261" s="179" t="str">
        <f>VLOOKUP($B261,'Выгр Торг'!$B:$Q,G$1,0)</f>
        <v>1</v>
      </c>
      <c r="H261" s="177">
        <v>166662</v>
      </c>
      <c r="I261" s="156"/>
      <c r="J261" s="160">
        <v>830</v>
      </c>
      <c r="K261" s="161">
        <v>870</v>
      </c>
      <c r="L261" s="180">
        <f t="shared" si="200"/>
        <v>50550</v>
      </c>
      <c r="M261" s="180">
        <f t="shared" si="196"/>
        <v>51550</v>
      </c>
      <c r="N261" s="180">
        <f t="shared" si="197"/>
        <v>44550</v>
      </c>
      <c r="O261" s="107">
        <f t="shared" si="201"/>
        <v>1.019782393669634</v>
      </c>
      <c r="P261" s="132">
        <f t="shared" si="207"/>
        <v>1.1499999999999999</v>
      </c>
      <c r="Q261" s="180">
        <f t="shared" si="198"/>
        <v>62508.064516129023</v>
      </c>
      <c r="R261" s="144">
        <f t="shared" si="202"/>
        <v>62590</v>
      </c>
      <c r="S261" s="179">
        <f>VLOOKUP($B261,'Выгр Торг'!$B:$Q,S$1,0)</f>
        <v>50550</v>
      </c>
      <c r="T261" s="179">
        <f>VLOOKUP($B261,'Выгр Торг'!$B:$Q,T$1,0)</f>
        <v>62590</v>
      </c>
      <c r="U261" s="94">
        <f t="shared" si="208"/>
        <v>0</v>
      </c>
      <c r="V261" s="94">
        <f t="shared" si="209"/>
        <v>0</v>
      </c>
      <c r="W261" s="182">
        <f t="shared" si="203"/>
        <v>58208.7</v>
      </c>
      <c r="X261" s="218">
        <f>IFERROR(VLOOKUP($B261,'Из ГУГЛа'!$B:$G,6,0)*Z261+Y261,VLOOKUP($B261,'Из ГУГЛа'!$B:$G,6,0))</f>
        <v>53090</v>
      </c>
      <c r="Y261" s="220">
        <f t="shared" si="199"/>
        <v>10800</v>
      </c>
      <c r="Z261" s="133">
        <v>1</v>
      </c>
      <c r="AA261" s="133">
        <v>1300</v>
      </c>
      <c r="AB261" s="184">
        <f t="shared" si="204"/>
        <v>0.15150741839762616</v>
      </c>
      <c r="AC261" s="184">
        <f t="shared" si="205"/>
        <v>-9.6415520813712505E-2</v>
      </c>
      <c r="AD261" s="184">
        <f t="shared" si="206"/>
        <v>5.0247279920870414E-2</v>
      </c>
      <c r="AE261" s="222">
        <v>53090</v>
      </c>
      <c r="AF261" s="98" t="s">
        <v>621</v>
      </c>
      <c r="AH261" s="98" t="s">
        <v>133</v>
      </c>
    </row>
    <row r="262" spans="1:34" ht="61.5" thickTop="1" thickBot="1">
      <c r="A262" s="176" t="str">
        <f>INDEX('Выгр Торг'!$A:$A,MATCH($B262,'Выгр Торг'!$B:$B,0))</f>
        <v>Руль анатомический "Ferrum" Grand Premium с обогревом (вставки из алькантары) для Лада Ларгус FL, Веста, XRAY</v>
      </c>
      <c r="B262" s="178">
        <v>341502</v>
      </c>
      <c r="C262" s="179">
        <f>VLOOKUP($B262,'Выгр Торг'!$B:$Q,C$1,0)</f>
        <v>341502</v>
      </c>
      <c r="D262" s="189" t="s">
        <v>133</v>
      </c>
      <c r="E262" s="176" t="str">
        <f>VLOOKUP($B262,'Выгр Торг'!$B:$Q,E$1,0)</f>
        <v>Руль анатомический "Ferrum" Grand Premium с обогревом (вставки из алькантары) для Лада Ларгус FL, Веста, XRAY (Синяя нить, Чёрный мат)</v>
      </c>
      <c r="F262" s="179" t="str">
        <f>VLOOKUP($B262,'Выгр Торг'!$B:$Q,F$1,0)</f>
        <v>Y</v>
      </c>
      <c r="G262" s="179" t="str">
        <f>VLOOKUP($B262,'Выгр Торг'!$B:$Q,G$1,0)</f>
        <v>1</v>
      </c>
      <c r="H262" s="177">
        <v>166662</v>
      </c>
      <c r="I262" s="156"/>
      <c r="J262" s="160">
        <v>830</v>
      </c>
      <c r="K262" s="161">
        <v>870</v>
      </c>
      <c r="L262" s="180">
        <f t="shared" si="200"/>
        <v>50550</v>
      </c>
      <c r="M262" s="180">
        <f t="shared" si="196"/>
        <v>51550</v>
      </c>
      <c r="N262" s="180">
        <f t="shared" si="197"/>
        <v>44550</v>
      </c>
      <c r="O262" s="107">
        <f t="shared" si="201"/>
        <v>1.019782393669634</v>
      </c>
      <c r="P262" s="132">
        <f t="shared" si="207"/>
        <v>1.1499999999999999</v>
      </c>
      <c r="Q262" s="180">
        <f t="shared" si="198"/>
        <v>62508.064516129023</v>
      </c>
      <c r="R262" s="144">
        <f t="shared" si="202"/>
        <v>62590</v>
      </c>
      <c r="S262" s="179">
        <f>VLOOKUP($B262,'Выгр Торг'!$B:$Q,S$1,0)</f>
        <v>50550</v>
      </c>
      <c r="T262" s="179">
        <f>VLOOKUP($B262,'Выгр Торг'!$B:$Q,T$1,0)</f>
        <v>62590</v>
      </c>
      <c r="U262" s="94">
        <f t="shared" si="208"/>
        <v>0</v>
      </c>
      <c r="V262" s="94">
        <f t="shared" si="209"/>
        <v>0</v>
      </c>
      <c r="W262" s="182">
        <f t="shared" si="203"/>
        <v>58208.7</v>
      </c>
      <c r="X262" s="218">
        <f>IFERROR(VLOOKUP($B262,'Из ГУГЛа'!$B:$G,6,0)*Z262+Y262,VLOOKUP($B262,'Из ГУГЛа'!$B:$G,6,0))</f>
        <v>53090</v>
      </c>
      <c r="Y262" s="220">
        <f t="shared" si="199"/>
        <v>10800</v>
      </c>
      <c r="Z262" s="133">
        <v>1</v>
      </c>
      <c r="AA262" s="133">
        <v>1300</v>
      </c>
      <c r="AB262" s="184">
        <f t="shared" si="204"/>
        <v>0.15150741839762616</v>
      </c>
      <c r="AC262" s="184">
        <f t="shared" si="205"/>
        <v>-9.6415520813712505E-2</v>
      </c>
      <c r="AD262" s="184">
        <f t="shared" si="206"/>
        <v>5.0247279920870414E-2</v>
      </c>
      <c r="AE262" s="222">
        <v>53090</v>
      </c>
      <c r="AF262" s="98" t="s">
        <v>621</v>
      </c>
      <c r="AH262" s="98" t="s">
        <v>133</v>
      </c>
    </row>
    <row r="263" spans="1:34" ht="61.5" thickTop="1" thickBot="1">
      <c r="A263" s="176" t="str">
        <f>INDEX('Выгр Торг'!$A:$A,MATCH($B263,'Выгр Торг'!$B:$B,0))</f>
        <v>Руль анатомический "Ferrum" Grand Premium с обогревом (вставки из алькантары) для Лада Ларгус FL, Веста, XRAY</v>
      </c>
      <c r="B263" s="178">
        <v>341504</v>
      </c>
      <c r="C263" s="179">
        <f>VLOOKUP($B263,'Выгр Торг'!$B:$Q,C$1,0)</f>
        <v>341504</v>
      </c>
      <c r="D263" s="189" t="s">
        <v>133</v>
      </c>
      <c r="E263" s="176" t="str">
        <f>VLOOKUP($B263,'Выгр Торг'!$B:$Q,E$1,0)</f>
        <v>Руль анатомический "Ferrum" Grand Premium с обогревом (вставки из алькантары) для Лада Ларгус FL, Веста, XRAY (Тёмно-серая нить, Чёрный мат)</v>
      </c>
      <c r="F263" s="179" t="str">
        <f>VLOOKUP($B263,'Выгр Торг'!$B:$Q,F$1,0)</f>
        <v>Y</v>
      </c>
      <c r="G263" s="179" t="str">
        <f>VLOOKUP($B263,'Выгр Торг'!$B:$Q,G$1,0)</f>
        <v>1</v>
      </c>
      <c r="H263" s="177">
        <v>166662</v>
      </c>
      <c r="I263" s="156"/>
      <c r="J263" s="160">
        <v>830</v>
      </c>
      <c r="K263" s="161">
        <v>870</v>
      </c>
      <c r="L263" s="180">
        <f t="shared" si="200"/>
        <v>50550</v>
      </c>
      <c r="M263" s="180">
        <f t="shared" si="196"/>
        <v>51550</v>
      </c>
      <c r="N263" s="180">
        <f t="shared" si="197"/>
        <v>44550</v>
      </c>
      <c r="O263" s="107">
        <f t="shared" si="201"/>
        <v>1.019782393669634</v>
      </c>
      <c r="P263" s="132">
        <f t="shared" si="207"/>
        <v>1.1499999999999999</v>
      </c>
      <c r="Q263" s="180">
        <f t="shared" si="198"/>
        <v>62508.064516129023</v>
      </c>
      <c r="R263" s="144">
        <f t="shared" si="202"/>
        <v>62590</v>
      </c>
      <c r="S263" s="179">
        <f>VLOOKUP($B263,'Выгр Торг'!$B:$Q,S$1,0)</f>
        <v>50550</v>
      </c>
      <c r="T263" s="179">
        <f>VLOOKUP($B263,'Выгр Торг'!$B:$Q,T$1,0)</f>
        <v>62590</v>
      </c>
      <c r="U263" s="94">
        <f t="shared" si="208"/>
        <v>0</v>
      </c>
      <c r="V263" s="94">
        <f t="shared" si="209"/>
        <v>0</v>
      </c>
      <c r="W263" s="182">
        <f t="shared" si="203"/>
        <v>58208.7</v>
      </c>
      <c r="X263" s="218">
        <f>IFERROR(VLOOKUP($B263,'Из ГУГЛа'!$B:$G,6,0)*Z263+Y263,VLOOKUP($B263,'Из ГУГЛа'!$B:$G,6,0))</f>
        <v>53090</v>
      </c>
      <c r="Y263" s="220">
        <f t="shared" si="199"/>
        <v>10800</v>
      </c>
      <c r="Z263" s="133">
        <v>1</v>
      </c>
      <c r="AA263" s="133">
        <v>1300</v>
      </c>
      <c r="AB263" s="184">
        <f t="shared" si="204"/>
        <v>0.15150741839762616</v>
      </c>
      <c r="AC263" s="184">
        <f t="shared" si="205"/>
        <v>-9.6415520813712505E-2</v>
      </c>
      <c r="AD263" s="184">
        <f t="shared" si="206"/>
        <v>5.0247279920870414E-2</v>
      </c>
      <c r="AE263" s="222">
        <v>53090</v>
      </c>
      <c r="AF263" s="98" t="s">
        <v>621</v>
      </c>
      <c r="AH263" s="98" t="s">
        <v>133</v>
      </c>
    </row>
    <row r="264" spans="1:34" ht="61.5" thickTop="1" thickBot="1">
      <c r="A264" s="176" t="str">
        <f>INDEX('Выгр Торг'!$A:$A,MATCH($B264,'Выгр Торг'!$B:$B,0))</f>
        <v>Руль анатомический "Ferrum" Grand Premium с обогревом (вставки из алькантары) для Лада Ларгус FL, Веста, XRAY</v>
      </c>
      <c r="B264" s="178">
        <v>341496</v>
      </c>
      <c r="C264" s="179">
        <f>VLOOKUP($B264,'Выгр Торг'!$B:$Q,C$1,0)</f>
        <v>341496</v>
      </c>
      <c r="D264" s="189" t="s">
        <v>133</v>
      </c>
      <c r="E264" s="176" t="str">
        <f>VLOOKUP($B264,'Выгр Торг'!$B:$Q,E$1,0)</f>
        <v>Руль анатомический "Ferrum" Grand Premium с обогревом (вставки из алькантары) для Лада Ларгус FL, Веста, XRAY (Фиолетовая нить, Чёрный мат)</v>
      </c>
      <c r="F264" s="179" t="str">
        <f>VLOOKUP($B264,'Выгр Торг'!$B:$Q,F$1,0)</f>
        <v>Y</v>
      </c>
      <c r="G264" s="179" t="str">
        <f>VLOOKUP($B264,'Выгр Торг'!$B:$Q,G$1,0)</f>
        <v>1</v>
      </c>
      <c r="H264" s="177">
        <v>166662</v>
      </c>
      <c r="I264" s="156"/>
      <c r="J264" s="160">
        <v>830</v>
      </c>
      <c r="K264" s="161">
        <v>870</v>
      </c>
      <c r="L264" s="180">
        <f t="shared" si="200"/>
        <v>50550</v>
      </c>
      <c r="M264" s="180">
        <f t="shared" si="196"/>
        <v>51550</v>
      </c>
      <c r="N264" s="180">
        <f t="shared" si="197"/>
        <v>44550</v>
      </c>
      <c r="O264" s="107">
        <f t="shared" si="201"/>
        <v>1.019782393669634</v>
      </c>
      <c r="P264" s="132">
        <f t="shared" si="207"/>
        <v>1.1499999999999999</v>
      </c>
      <c r="Q264" s="180">
        <f t="shared" si="198"/>
        <v>62508.064516129023</v>
      </c>
      <c r="R264" s="144">
        <f t="shared" si="202"/>
        <v>62590</v>
      </c>
      <c r="S264" s="179">
        <f>VLOOKUP($B264,'Выгр Торг'!$B:$Q,S$1,0)</f>
        <v>50550</v>
      </c>
      <c r="T264" s="179">
        <f>VLOOKUP($B264,'Выгр Торг'!$B:$Q,T$1,0)</f>
        <v>62590</v>
      </c>
      <c r="U264" s="94">
        <f t="shared" si="208"/>
        <v>0</v>
      </c>
      <c r="V264" s="94">
        <f t="shared" si="209"/>
        <v>0</v>
      </c>
      <c r="W264" s="182">
        <f t="shared" si="203"/>
        <v>58208.7</v>
      </c>
      <c r="X264" s="218">
        <f>IFERROR(VLOOKUP($B264,'Из ГУГЛа'!$B:$G,6,0)*Z264+Y264,VLOOKUP($B264,'Из ГУГЛа'!$B:$G,6,0))</f>
        <v>53090</v>
      </c>
      <c r="Y264" s="220">
        <f t="shared" si="199"/>
        <v>10800</v>
      </c>
      <c r="Z264" s="133">
        <v>1</v>
      </c>
      <c r="AA264" s="133">
        <v>1300</v>
      </c>
      <c r="AB264" s="184">
        <f t="shared" si="204"/>
        <v>0.15150741839762616</v>
      </c>
      <c r="AC264" s="184">
        <f t="shared" si="205"/>
        <v>-9.6415520813712505E-2</v>
      </c>
      <c r="AD264" s="184">
        <f t="shared" si="206"/>
        <v>5.0247279920870414E-2</v>
      </c>
      <c r="AE264" s="222">
        <v>53090</v>
      </c>
      <c r="AF264" s="98" t="s">
        <v>621</v>
      </c>
      <c r="AH264" s="98" t="s">
        <v>133</v>
      </c>
    </row>
    <row r="265" spans="1:34" ht="61.5" thickTop="1" thickBot="1">
      <c r="A265" s="176" t="str">
        <f>INDEX('Выгр Торг'!$A:$A,MATCH($B265,'Выгр Торг'!$B:$B,0))</f>
        <v>Руль анатомический "Ferrum" Grand Premium с обогревом (вставки из алькантары) для Лада Ларгус FL, Веста, XRAY</v>
      </c>
      <c r="B265" s="178">
        <v>132605</v>
      </c>
      <c r="C265" s="179">
        <f>VLOOKUP($B265,'Выгр Торг'!$B:$Q,C$1,0)</f>
        <v>166671</v>
      </c>
      <c r="D265" s="189" t="s">
        <v>133</v>
      </c>
      <c r="E265" s="176" t="str">
        <f>VLOOKUP($B265,'Выгр Торг'!$B:$Q,E$1,0)</f>
        <v>Руль анатомический "Ferrum" Grand Premium с обогревом (вставки из алькантары) для Лада Ларгус FL, Веста, XRAY (Жёлтая нить, Чёрный глянец)</v>
      </c>
      <c r="F265" s="179" t="str">
        <f>VLOOKUP($B265,'Выгр Торг'!$B:$Q,F$1,0)</f>
        <v>Y</v>
      </c>
      <c r="G265" s="179" t="str">
        <f>VLOOKUP($B265,'Выгр Торг'!$B:$Q,G$1,0)</f>
        <v>1</v>
      </c>
      <c r="H265" s="177">
        <v>166662</v>
      </c>
      <c r="I265" s="156"/>
      <c r="J265" s="160"/>
      <c r="K265" s="161">
        <v>870</v>
      </c>
      <c r="L265" s="180">
        <f t="shared" si="200"/>
        <v>49720</v>
      </c>
      <c r="M265" s="180">
        <f t="shared" si="196"/>
        <v>50720</v>
      </c>
      <c r="N265" s="180">
        <f t="shared" si="197"/>
        <v>43720</v>
      </c>
      <c r="O265" s="107">
        <f t="shared" si="201"/>
        <v>1.0201126307320998</v>
      </c>
      <c r="P265" s="132">
        <f t="shared" si="207"/>
        <v>1.1499999999999999</v>
      </c>
      <c r="Q265" s="180">
        <f t="shared" si="198"/>
        <v>61481.720430107518</v>
      </c>
      <c r="R265" s="144">
        <f t="shared" si="202"/>
        <v>61490</v>
      </c>
      <c r="S265" s="179">
        <f>VLOOKUP($B265,'Выгр Торг'!$B:$Q,S$1,0)</f>
        <v>49720</v>
      </c>
      <c r="T265" s="179">
        <f>VLOOKUP($B265,'Выгр Торг'!$B:$Q,T$1,0)</f>
        <v>61490</v>
      </c>
      <c r="U265" s="94">
        <f t="shared" si="208"/>
        <v>0</v>
      </c>
      <c r="V265" s="94">
        <f t="shared" si="209"/>
        <v>0</v>
      </c>
      <c r="W265" s="182">
        <f t="shared" si="203"/>
        <v>57185.7</v>
      </c>
      <c r="X265" s="218">
        <f>IFERROR(VLOOKUP($B265,'Из ГУГЛа'!$B:$G,6,0)*Z265+Y265,VLOOKUP($B265,'Из ГУГЛа'!$B:$G,6,0))</f>
        <v>52260</v>
      </c>
      <c r="Y265" s="220">
        <f t="shared" si="199"/>
        <v>9970</v>
      </c>
      <c r="Z265" s="133">
        <v>1</v>
      </c>
      <c r="AA265" s="133"/>
      <c r="AB265" s="184">
        <f t="shared" si="204"/>
        <v>0.15015486725663707</v>
      </c>
      <c r="AC265" s="184">
        <f t="shared" si="205"/>
        <v>-9.425373134328352E-2</v>
      </c>
      <c r="AD265" s="184">
        <f t="shared" si="206"/>
        <v>5.1086082059533355E-2</v>
      </c>
      <c r="AE265" s="222">
        <v>52260</v>
      </c>
      <c r="AF265" s="98" t="s">
        <v>621</v>
      </c>
      <c r="AH265" s="98" t="s">
        <v>133</v>
      </c>
    </row>
    <row r="266" spans="1:34" ht="61.5" thickTop="1" thickBot="1">
      <c r="A266" s="125" t="str">
        <f>INDEX('Выгр Торг'!$A:$A,MATCH($B266,'Выгр Торг'!$B:$B,0))</f>
        <v>Руль анатомический "Ferrum" Grand Premium с обогревом (вставки из алькантары) для Лада Ларгус FL, Веста, XRAY</v>
      </c>
      <c r="B266" s="126">
        <v>132606</v>
      </c>
      <c r="C266" s="127">
        <f>VLOOKUP($B266,'Выгр Торг'!$B:$Q,C$1,0)</f>
        <v>166675</v>
      </c>
      <c r="D266" s="128" t="s">
        <v>133</v>
      </c>
      <c r="E266" s="125" t="str">
        <f>VLOOKUP($B266,'Выгр Торг'!$B:$Q,E$1,0)</f>
        <v>Руль анатомический "Ferrum" Grand Premium с обогревом (вставки из алькантары) для Лада Ларгус FL, Веста, XRAY (Зелёная нить, Чёрный глянец)</v>
      </c>
      <c r="F266" s="127" t="str">
        <f>VLOOKUP($B266,'Выгр Торг'!$B:$Q,F$1,0)</f>
        <v>Y</v>
      </c>
      <c r="G266" s="127" t="str">
        <f>VLOOKUP($B266,'Выгр Торг'!$B:$Q,G$1,0)</f>
        <v>1</v>
      </c>
      <c r="H266" s="40">
        <v>166662</v>
      </c>
      <c r="I266" s="156"/>
      <c r="J266" s="160"/>
      <c r="K266" s="161">
        <v>870</v>
      </c>
      <c r="L266" s="130">
        <f t="shared" ref="L266:L276" si="210">M266-1000</f>
        <v>49720</v>
      </c>
      <c r="M266" s="130">
        <f t="shared" si="196"/>
        <v>50720</v>
      </c>
      <c r="N266" s="130">
        <f t="shared" si="197"/>
        <v>43720</v>
      </c>
      <c r="O266" s="132">
        <f t="shared" si="164"/>
        <v>1.0201126307320998</v>
      </c>
      <c r="P266" s="132">
        <f t="shared" si="207"/>
        <v>1.1499999999999999</v>
      </c>
      <c r="Q266" s="130">
        <f t="shared" si="198"/>
        <v>61481.720430107518</v>
      </c>
      <c r="R266" s="148">
        <f t="shared" si="166"/>
        <v>61490</v>
      </c>
      <c r="S266" s="127">
        <f>VLOOKUP($B266,'Выгр Торг'!$B:$Q,S$1,0)</f>
        <v>49720</v>
      </c>
      <c r="T266" s="127">
        <f>VLOOKUP($B266,'Выгр Торг'!$B:$Q,T$1,0)</f>
        <v>61490</v>
      </c>
      <c r="U266" s="94">
        <f t="shared" si="208"/>
        <v>0</v>
      </c>
      <c r="V266" s="94">
        <f t="shared" si="209"/>
        <v>0</v>
      </c>
      <c r="W266" s="153">
        <f t="shared" si="167"/>
        <v>57185.7</v>
      </c>
      <c r="X266" s="209">
        <f>IFERROR(VLOOKUP($B266,'Из ГУГЛа'!$B:$G,6,0)*Z266+Y266,VLOOKUP($B266,'Из ГУГЛа'!$B:$G,6,0))</f>
        <v>52260</v>
      </c>
      <c r="Y266" s="220">
        <f t="shared" si="199"/>
        <v>9970</v>
      </c>
      <c r="Z266" s="133">
        <v>1</v>
      </c>
      <c r="AA266" s="134"/>
      <c r="AB266" s="135">
        <f t="shared" si="160"/>
        <v>0.15015486725663707</v>
      </c>
      <c r="AC266" s="135">
        <f t="shared" si="161"/>
        <v>-9.425373134328352E-2</v>
      </c>
      <c r="AD266" s="135">
        <f t="shared" si="162"/>
        <v>5.1086082059533355E-2</v>
      </c>
      <c r="AE266" s="222">
        <v>52260</v>
      </c>
      <c r="AF266" s="98" t="s">
        <v>621</v>
      </c>
      <c r="AH266" s="98" t="s">
        <v>133</v>
      </c>
    </row>
    <row r="267" spans="1:34" ht="61.5" thickTop="1" thickBot="1">
      <c r="A267" s="125" t="str">
        <f>INDEX('Выгр Торг'!$A:$A,MATCH($B267,'Выгр Торг'!$B:$B,0))</f>
        <v>Руль анатомический "Ferrum" Grand Premium с обогревом (вставки из алькантары) для Лада Ларгус FL, Веста, XRAY</v>
      </c>
      <c r="B267" s="126">
        <v>132607</v>
      </c>
      <c r="C267" s="127">
        <f>VLOOKUP($B267,'Выгр Торг'!$B:$Q,C$1,0)</f>
        <v>166667</v>
      </c>
      <c r="D267" s="128" t="s">
        <v>133</v>
      </c>
      <c r="E267" s="125" t="str">
        <f>VLOOKUP($B267,'Выгр Торг'!$B:$Q,E$1,0)</f>
        <v>Руль анатомический "Ferrum" Grand Premium с обогревом (вставки из алькантары) для Лада Ларгус FL, Веста, XRAY (Коричневая нить, Чёрный глянец)</v>
      </c>
      <c r="F267" s="127" t="str">
        <f>VLOOKUP($B267,'Выгр Торг'!$B:$Q,F$1,0)</f>
        <v>Y</v>
      </c>
      <c r="G267" s="127" t="str">
        <f>VLOOKUP($B267,'Выгр Торг'!$B:$Q,G$1,0)</f>
        <v>1</v>
      </c>
      <c r="H267" s="40">
        <v>166662</v>
      </c>
      <c r="I267" s="156"/>
      <c r="J267" s="160"/>
      <c r="K267" s="161">
        <v>870</v>
      </c>
      <c r="L267" s="130">
        <f t="shared" si="210"/>
        <v>49720</v>
      </c>
      <c r="M267" s="130">
        <f t="shared" si="196"/>
        <v>50720</v>
      </c>
      <c r="N267" s="130">
        <f t="shared" si="197"/>
        <v>43720</v>
      </c>
      <c r="O267" s="132">
        <f t="shared" si="164"/>
        <v>1.0201126307320998</v>
      </c>
      <c r="P267" s="132">
        <f t="shared" si="207"/>
        <v>1.1499999999999999</v>
      </c>
      <c r="Q267" s="130">
        <f t="shared" si="198"/>
        <v>61481.720430107518</v>
      </c>
      <c r="R267" s="148">
        <f t="shared" si="166"/>
        <v>61490</v>
      </c>
      <c r="S267" s="127">
        <f>VLOOKUP($B267,'Выгр Торг'!$B:$Q,S$1,0)</f>
        <v>49720</v>
      </c>
      <c r="T267" s="127">
        <f>VLOOKUP($B267,'Выгр Торг'!$B:$Q,T$1,0)</f>
        <v>61490</v>
      </c>
      <c r="U267" s="94">
        <f t="shared" si="208"/>
        <v>0</v>
      </c>
      <c r="V267" s="94">
        <f t="shared" si="209"/>
        <v>0</v>
      </c>
      <c r="W267" s="153">
        <f t="shared" si="167"/>
        <v>57185.7</v>
      </c>
      <c r="X267" s="209">
        <f>IFERROR(VLOOKUP($B267,'Из ГУГЛа'!$B:$G,6,0)*Z267+Y267,VLOOKUP($B267,'Из ГУГЛа'!$B:$G,6,0))</f>
        <v>52260</v>
      </c>
      <c r="Y267" s="220">
        <f t="shared" si="199"/>
        <v>9970</v>
      </c>
      <c r="Z267" s="133">
        <v>1</v>
      </c>
      <c r="AA267" s="134"/>
      <c r="AB267" s="135">
        <f t="shared" si="160"/>
        <v>0.15015486725663707</v>
      </c>
      <c r="AC267" s="135">
        <f t="shared" si="161"/>
        <v>-9.425373134328352E-2</v>
      </c>
      <c r="AD267" s="135">
        <f t="shared" si="162"/>
        <v>5.1086082059533355E-2</v>
      </c>
      <c r="AE267" s="222">
        <v>52260</v>
      </c>
      <c r="AF267" s="98" t="s">
        <v>621</v>
      </c>
      <c r="AH267" s="98" t="s">
        <v>133</v>
      </c>
    </row>
    <row r="268" spans="1:34" ht="61.5" thickTop="1" thickBot="1">
      <c r="A268" s="125" t="str">
        <f>INDEX('Выгр Торг'!$A:$A,MATCH($B268,'Выгр Торг'!$B:$B,0))</f>
        <v>Руль анатомический "Ferrum" Grand Premium с обогревом (вставки из алькантары) для Лада Ларгус FL, Веста, XRAY</v>
      </c>
      <c r="B268" s="126">
        <v>132608</v>
      </c>
      <c r="C268" s="127">
        <f>VLOOKUP($B268,'Выгр Торг'!$B:$Q,C$1,0)</f>
        <v>166674</v>
      </c>
      <c r="D268" s="128" t="s">
        <v>133</v>
      </c>
      <c r="E268" s="125" t="str">
        <f>VLOOKUP($B268,'Выгр Торг'!$B:$Q,E$1,0)</f>
        <v>Руль анатомический "Ferrum" Grand Premium с обогревом (вставки из алькантары) для Лада Ларгус FL, Веста, XRAY (Красная нить, Чёрный глянец)</v>
      </c>
      <c r="F268" s="127" t="str">
        <f>VLOOKUP($B268,'Выгр Торг'!$B:$Q,F$1,0)</f>
        <v>Y</v>
      </c>
      <c r="G268" s="127" t="str">
        <f>VLOOKUP($B268,'Выгр Торг'!$B:$Q,G$1,0)</f>
        <v>1</v>
      </c>
      <c r="H268" s="40">
        <v>166662</v>
      </c>
      <c r="I268" s="156"/>
      <c r="J268" s="160"/>
      <c r="K268" s="161">
        <v>870</v>
      </c>
      <c r="L268" s="130">
        <f t="shared" si="210"/>
        <v>49720</v>
      </c>
      <c r="M268" s="130">
        <f t="shared" si="196"/>
        <v>50720</v>
      </c>
      <c r="N268" s="130">
        <f t="shared" si="197"/>
        <v>43720</v>
      </c>
      <c r="O268" s="132">
        <f t="shared" si="164"/>
        <v>1.0201126307320998</v>
      </c>
      <c r="P268" s="132">
        <f t="shared" si="207"/>
        <v>1.1499999999999999</v>
      </c>
      <c r="Q268" s="130">
        <f t="shared" si="198"/>
        <v>61481.720430107518</v>
      </c>
      <c r="R268" s="148">
        <f t="shared" si="166"/>
        <v>61490</v>
      </c>
      <c r="S268" s="127">
        <f>VLOOKUP($B268,'Выгр Торг'!$B:$Q,S$1,0)</f>
        <v>49720</v>
      </c>
      <c r="T268" s="127">
        <f>VLOOKUP($B268,'Выгр Торг'!$B:$Q,T$1,0)</f>
        <v>61490</v>
      </c>
      <c r="U268" s="94">
        <f t="shared" si="208"/>
        <v>0</v>
      </c>
      <c r="V268" s="94">
        <f t="shared" si="209"/>
        <v>0</v>
      </c>
      <c r="W268" s="153">
        <f t="shared" si="167"/>
        <v>57185.7</v>
      </c>
      <c r="X268" s="209">
        <f>IFERROR(VLOOKUP($B268,'Из ГУГЛа'!$B:$G,6,0)*Z268+Y268,VLOOKUP($B268,'Из ГУГЛа'!$B:$G,6,0))</f>
        <v>52260</v>
      </c>
      <c r="Y268" s="220">
        <f t="shared" si="199"/>
        <v>9970</v>
      </c>
      <c r="Z268" s="133">
        <v>1</v>
      </c>
      <c r="AA268" s="134"/>
      <c r="AB268" s="135">
        <f t="shared" si="160"/>
        <v>0.15015486725663707</v>
      </c>
      <c r="AC268" s="135">
        <f t="shared" si="161"/>
        <v>-9.425373134328352E-2</v>
      </c>
      <c r="AD268" s="135">
        <f t="shared" si="162"/>
        <v>5.1086082059533355E-2</v>
      </c>
      <c r="AE268" s="222">
        <v>52260</v>
      </c>
      <c r="AF268" s="98" t="s">
        <v>621</v>
      </c>
      <c r="AH268" s="98" t="s">
        <v>133</v>
      </c>
    </row>
    <row r="269" spans="1:34" ht="61.5" thickTop="1" thickBot="1">
      <c r="A269" s="125" t="str">
        <f>INDEX('Выгр Торг'!$A:$A,MATCH($B269,'Выгр Торг'!$B:$B,0))</f>
        <v>Руль анатомический "Ferrum" Grand Premium с обогревом (вставки из алькантары) для Лада Ларгус FL, Веста, XRAY</v>
      </c>
      <c r="B269" s="126">
        <v>132609</v>
      </c>
      <c r="C269" s="127">
        <f>VLOOKUP($B269,'Выгр Торг'!$B:$Q,C$1,0)</f>
        <v>166670</v>
      </c>
      <c r="D269" s="128" t="s">
        <v>133</v>
      </c>
      <c r="E269" s="125" t="str">
        <f>VLOOKUP($B269,'Выгр Торг'!$B:$Q,E$1,0)</f>
        <v>Руль анатомический "Ferrum" Grand Premium с обогревом (вставки из алькантары) для Лада Ларгус FL, Веста, XRAY (Оранжевая нить, Чёрный глянец)</v>
      </c>
      <c r="F269" s="127" t="str">
        <f>VLOOKUP($B269,'Выгр Торг'!$B:$Q,F$1,0)</f>
        <v>Y</v>
      </c>
      <c r="G269" s="127" t="str">
        <f>VLOOKUP($B269,'Выгр Торг'!$B:$Q,G$1,0)</f>
        <v>1</v>
      </c>
      <c r="H269" s="40">
        <v>166662</v>
      </c>
      <c r="I269" s="156"/>
      <c r="J269" s="160"/>
      <c r="K269" s="161">
        <v>870</v>
      </c>
      <c r="L269" s="130">
        <f t="shared" si="210"/>
        <v>49720</v>
      </c>
      <c r="M269" s="130">
        <f t="shared" si="196"/>
        <v>50720</v>
      </c>
      <c r="N269" s="130">
        <f t="shared" si="197"/>
        <v>43720</v>
      </c>
      <c r="O269" s="132">
        <f t="shared" si="164"/>
        <v>1.0201126307320998</v>
      </c>
      <c r="P269" s="132">
        <f t="shared" si="207"/>
        <v>1.1499999999999999</v>
      </c>
      <c r="Q269" s="130">
        <f t="shared" si="198"/>
        <v>61481.720430107518</v>
      </c>
      <c r="R269" s="148">
        <f t="shared" si="166"/>
        <v>61490</v>
      </c>
      <c r="S269" s="127">
        <f>VLOOKUP($B269,'Выгр Торг'!$B:$Q,S$1,0)</f>
        <v>49720</v>
      </c>
      <c r="T269" s="127">
        <f>VLOOKUP($B269,'Выгр Торг'!$B:$Q,T$1,0)</f>
        <v>61490</v>
      </c>
      <c r="U269" s="94">
        <f t="shared" si="208"/>
        <v>0</v>
      </c>
      <c r="V269" s="94">
        <f t="shared" si="209"/>
        <v>0</v>
      </c>
      <c r="W269" s="153">
        <f t="shared" si="167"/>
        <v>57185.7</v>
      </c>
      <c r="X269" s="209">
        <f>IFERROR(VLOOKUP($B269,'Из ГУГЛа'!$B:$G,6,0)*Z269+Y269,VLOOKUP($B269,'Из ГУГЛа'!$B:$G,6,0))</f>
        <v>52260</v>
      </c>
      <c r="Y269" s="220">
        <f t="shared" si="199"/>
        <v>9970</v>
      </c>
      <c r="Z269" s="133">
        <v>1</v>
      </c>
      <c r="AA269" s="134"/>
      <c r="AB269" s="135">
        <f t="shared" si="160"/>
        <v>0.15015486725663707</v>
      </c>
      <c r="AC269" s="135">
        <f t="shared" si="161"/>
        <v>-9.425373134328352E-2</v>
      </c>
      <c r="AD269" s="135">
        <f t="shared" si="162"/>
        <v>5.1086082059533355E-2</v>
      </c>
      <c r="AE269" s="222">
        <v>52260</v>
      </c>
      <c r="AF269" s="98" t="s">
        <v>621</v>
      </c>
      <c r="AH269" s="98" t="s">
        <v>133</v>
      </c>
    </row>
    <row r="270" spans="1:34" ht="61.5" thickTop="1" thickBot="1">
      <c r="A270" s="125" t="str">
        <f>INDEX('Выгр Торг'!$A:$A,MATCH($B270,'Выгр Торг'!$B:$B,0))</f>
        <v>Руль анатомический "Ferrum" Grand Premium с обогревом (вставки из алькантары) для Лада Ларгус FL, Веста, XRAY</v>
      </c>
      <c r="B270" s="126">
        <v>132610</v>
      </c>
      <c r="C270" s="127">
        <f>VLOOKUP($B270,'Выгр Торг'!$B:$Q,C$1,0)</f>
        <v>166672</v>
      </c>
      <c r="D270" s="128" t="s">
        <v>133</v>
      </c>
      <c r="E270" s="125" t="str">
        <f>VLOOKUP($B270,'Выгр Торг'!$B:$Q,E$1,0)</f>
        <v>Руль анатомический "Ferrum" Grand Premium с обогревом (вставки из алькантары) для Лада Ларгус FL, Веста, XRAY (Салатовая нить, Чёрный глянец)</v>
      </c>
      <c r="F270" s="127" t="str">
        <f>VLOOKUP($B270,'Выгр Торг'!$B:$Q,F$1,0)</f>
        <v>Y</v>
      </c>
      <c r="G270" s="127" t="str">
        <f>VLOOKUP($B270,'Выгр Торг'!$B:$Q,G$1,0)</f>
        <v>1</v>
      </c>
      <c r="H270" s="40">
        <v>166662</v>
      </c>
      <c r="I270" s="156"/>
      <c r="J270" s="160"/>
      <c r="K270" s="161">
        <v>870</v>
      </c>
      <c r="L270" s="130">
        <f t="shared" si="210"/>
        <v>49720</v>
      </c>
      <c r="M270" s="130">
        <f t="shared" si="196"/>
        <v>50720</v>
      </c>
      <c r="N270" s="130">
        <f t="shared" si="197"/>
        <v>43720</v>
      </c>
      <c r="O270" s="132">
        <f t="shared" si="164"/>
        <v>1.0201126307320998</v>
      </c>
      <c r="P270" s="132">
        <f t="shared" si="207"/>
        <v>1.1499999999999999</v>
      </c>
      <c r="Q270" s="130">
        <f t="shared" si="198"/>
        <v>61481.720430107518</v>
      </c>
      <c r="R270" s="148">
        <f t="shared" si="166"/>
        <v>61490</v>
      </c>
      <c r="S270" s="127">
        <f>VLOOKUP($B270,'Выгр Торг'!$B:$Q,S$1,0)</f>
        <v>49720</v>
      </c>
      <c r="T270" s="127">
        <f>VLOOKUP($B270,'Выгр Торг'!$B:$Q,T$1,0)</f>
        <v>61490</v>
      </c>
      <c r="U270" s="94">
        <f t="shared" si="208"/>
        <v>0</v>
      </c>
      <c r="V270" s="94">
        <f t="shared" si="209"/>
        <v>0</v>
      </c>
      <c r="W270" s="153">
        <f t="shared" si="167"/>
        <v>57185.7</v>
      </c>
      <c r="X270" s="209">
        <f>IFERROR(VLOOKUP($B270,'Из ГУГЛа'!$B:$G,6,0)*Z270+Y270,VLOOKUP($B270,'Из ГУГЛа'!$B:$G,6,0))</f>
        <v>52260</v>
      </c>
      <c r="Y270" s="220">
        <f t="shared" si="199"/>
        <v>9970</v>
      </c>
      <c r="Z270" s="133">
        <v>1</v>
      </c>
      <c r="AA270" s="134"/>
      <c r="AB270" s="135">
        <f t="shared" si="160"/>
        <v>0.15015486725663707</v>
      </c>
      <c r="AC270" s="135">
        <f t="shared" si="161"/>
        <v>-9.425373134328352E-2</v>
      </c>
      <c r="AD270" s="135">
        <f t="shared" si="162"/>
        <v>5.1086082059533355E-2</v>
      </c>
      <c r="AE270" s="222">
        <v>52260</v>
      </c>
      <c r="AF270" s="98" t="s">
        <v>621</v>
      </c>
      <c r="AH270" s="98" t="s">
        <v>133</v>
      </c>
    </row>
    <row r="271" spans="1:34" ht="61.5" thickTop="1" thickBot="1">
      <c r="A271" s="125" t="str">
        <f>INDEX('Выгр Торг'!$A:$A,MATCH($B271,'Выгр Торг'!$B:$B,0))</f>
        <v>Руль анатомический "Ferrum" Grand Premium с обогревом (вставки из алькантары) для Лада Ларгус FL, Веста, XRAY</v>
      </c>
      <c r="B271" s="126">
        <v>132611</v>
      </c>
      <c r="C271" s="127">
        <f>VLOOKUP($B271,'Выгр Торг'!$B:$Q,C$1,0)</f>
        <v>166673</v>
      </c>
      <c r="D271" s="128" t="s">
        <v>133</v>
      </c>
      <c r="E271" s="125" t="str">
        <f>VLOOKUP($B271,'Выгр Торг'!$B:$Q,E$1,0)</f>
        <v>Руль анатомический "Ferrum" Grand Premium с обогревом (вставки из алькантары) для Лада Ларгус FL, Веста, XRAY (Светло-серая нить, Чёрный глянец)</v>
      </c>
      <c r="F271" s="127" t="str">
        <f>VLOOKUP($B271,'Выгр Торг'!$B:$Q,F$1,0)</f>
        <v>Y</v>
      </c>
      <c r="G271" s="127" t="str">
        <f>VLOOKUP($B271,'Выгр Торг'!$B:$Q,G$1,0)</f>
        <v>1</v>
      </c>
      <c r="H271" s="40">
        <v>166662</v>
      </c>
      <c r="I271" s="156"/>
      <c r="J271" s="160"/>
      <c r="K271" s="161">
        <v>870</v>
      </c>
      <c r="L271" s="130">
        <f t="shared" si="210"/>
        <v>49720</v>
      </c>
      <c r="M271" s="130">
        <f t="shared" si="196"/>
        <v>50720</v>
      </c>
      <c r="N271" s="130">
        <f t="shared" si="197"/>
        <v>43720</v>
      </c>
      <c r="O271" s="132">
        <f t="shared" si="164"/>
        <v>1.0201126307320998</v>
      </c>
      <c r="P271" s="132">
        <f t="shared" si="207"/>
        <v>1.1499999999999999</v>
      </c>
      <c r="Q271" s="130">
        <f t="shared" si="198"/>
        <v>61481.720430107518</v>
      </c>
      <c r="R271" s="148">
        <f t="shared" si="166"/>
        <v>61490</v>
      </c>
      <c r="S271" s="127">
        <f>VLOOKUP($B271,'Выгр Торг'!$B:$Q,S$1,0)</f>
        <v>49720</v>
      </c>
      <c r="T271" s="127">
        <f>VLOOKUP($B271,'Выгр Торг'!$B:$Q,T$1,0)</f>
        <v>61490</v>
      </c>
      <c r="U271" s="94">
        <f t="shared" si="208"/>
        <v>0</v>
      </c>
      <c r="V271" s="94">
        <f t="shared" si="209"/>
        <v>0</v>
      </c>
      <c r="W271" s="153">
        <f t="shared" si="167"/>
        <v>57185.7</v>
      </c>
      <c r="X271" s="209">
        <f>IFERROR(VLOOKUP($B271,'Из ГУГЛа'!$B:$G,6,0)*Z271+Y271,VLOOKUP($B271,'Из ГУГЛа'!$B:$G,6,0))</f>
        <v>52260</v>
      </c>
      <c r="Y271" s="220">
        <f t="shared" si="199"/>
        <v>9970</v>
      </c>
      <c r="Z271" s="133">
        <v>1</v>
      </c>
      <c r="AA271" s="134"/>
      <c r="AB271" s="135">
        <f t="shared" si="160"/>
        <v>0.15015486725663707</v>
      </c>
      <c r="AC271" s="135">
        <f t="shared" si="161"/>
        <v>-9.425373134328352E-2</v>
      </c>
      <c r="AD271" s="135">
        <f t="shared" si="162"/>
        <v>5.1086082059533355E-2</v>
      </c>
      <c r="AE271" s="222">
        <v>52260</v>
      </c>
      <c r="AF271" s="98" t="s">
        <v>621</v>
      </c>
      <c r="AH271" s="98" t="s">
        <v>133</v>
      </c>
    </row>
    <row r="272" spans="1:34" ht="61.5" thickTop="1" thickBot="1">
      <c r="A272" s="125" t="str">
        <f>INDEX('Выгр Торг'!$A:$A,MATCH($B272,'Выгр Торг'!$B:$B,0))</f>
        <v>Руль анатомический "Ferrum" Grand Premium с обогревом (вставки из алькантары) для Лада Ларгус FL, Веста, XRAY</v>
      </c>
      <c r="B272" s="126">
        <v>132612</v>
      </c>
      <c r="C272" s="127">
        <f>VLOOKUP($B272,'Выгр Торг'!$B:$Q,C$1,0)</f>
        <v>166669</v>
      </c>
      <c r="D272" s="128" t="s">
        <v>133</v>
      </c>
      <c r="E272" s="125" t="str">
        <f>VLOOKUP($B272,'Выгр Торг'!$B:$Q,E$1,0)</f>
        <v>Руль анатомический "Ferrum" Grand Premium с обогревом (вставки из алькантары) для Лада Ларгус FL, Веста, XRAY (Сине-зелёная нить, Чёрный глянец)</v>
      </c>
      <c r="F272" s="127" t="str">
        <f>VLOOKUP($B272,'Выгр Торг'!$B:$Q,F$1,0)</f>
        <v>Y</v>
      </c>
      <c r="G272" s="127" t="str">
        <f>VLOOKUP($B272,'Выгр Торг'!$B:$Q,G$1,0)</f>
        <v>1</v>
      </c>
      <c r="H272" s="40">
        <v>166662</v>
      </c>
      <c r="I272" s="156"/>
      <c r="J272" s="160"/>
      <c r="K272" s="161">
        <v>870</v>
      </c>
      <c r="L272" s="130">
        <f t="shared" si="210"/>
        <v>49720</v>
      </c>
      <c r="M272" s="130">
        <f t="shared" si="196"/>
        <v>50720</v>
      </c>
      <c r="N272" s="130">
        <f t="shared" si="197"/>
        <v>43720</v>
      </c>
      <c r="O272" s="132">
        <f t="shared" si="164"/>
        <v>1.0201126307320998</v>
      </c>
      <c r="P272" s="132">
        <f t="shared" si="207"/>
        <v>1.1499999999999999</v>
      </c>
      <c r="Q272" s="130">
        <f t="shared" si="198"/>
        <v>61481.720430107518</v>
      </c>
      <c r="R272" s="148">
        <f t="shared" si="166"/>
        <v>61490</v>
      </c>
      <c r="S272" s="127">
        <f>VLOOKUP($B272,'Выгр Торг'!$B:$Q,S$1,0)</f>
        <v>49720</v>
      </c>
      <c r="T272" s="127">
        <f>VLOOKUP($B272,'Выгр Торг'!$B:$Q,T$1,0)</f>
        <v>61490</v>
      </c>
      <c r="U272" s="94">
        <f t="shared" si="208"/>
        <v>0</v>
      </c>
      <c r="V272" s="94">
        <f t="shared" si="209"/>
        <v>0</v>
      </c>
      <c r="W272" s="153">
        <f t="shared" si="167"/>
        <v>57185.7</v>
      </c>
      <c r="X272" s="209">
        <f>IFERROR(VLOOKUP($B272,'Из ГУГЛа'!$B:$G,6,0)*Z272+Y272,VLOOKUP($B272,'Из ГУГЛа'!$B:$G,6,0))</f>
        <v>52260</v>
      </c>
      <c r="Y272" s="220">
        <f t="shared" si="199"/>
        <v>9970</v>
      </c>
      <c r="Z272" s="133">
        <v>1</v>
      </c>
      <c r="AA272" s="134"/>
      <c r="AB272" s="135">
        <f t="shared" si="160"/>
        <v>0.15015486725663707</v>
      </c>
      <c r="AC272" s="135">
        <f t="shared" si="161"/>
        <v>-9.425373134328352E-2</v>
      </c>
      <c r="AD272" s="135">
        <f t="shared" si="162"/>
        <v>5.1086082059533355E-2</v>
      </c>
      <c r="AE272" s="222">
        <v>52260</v>
      </c>
      <c r="AF272" s="98" t="s">
        <v>621</v>
      </c>
      <c r="AH272" s="98" t="s">
        <v>133</v>
      </c>
    </row>
    <row r="273" spans="1:34" ht="61.5" thickTop="1" thickBot="1">
      <c r="A273" s="125" t="str">
        <f>INDEX('Выгр Торг'!$A:$A,MATCH($B273,'Выгр Торг'!$B:$B,0))</f>
        <v>Руль анатомический "Ferrum" Grand Premium с обогревом (вставки из алькантары) для Лада Ларгус FL, Веста, XRAY</v>
      </c>
      <c r="B273" s="126">
        <v>132613</v>
      </c>
      <c r="C273" s="127">
        <f>VLOOKUP($B273,'Выгр Торг'!$B:$Q,C$1,0)</f>
        <v>166668</v>
      </c>
      <c r="D273" s="128" t="s">
        <v>133</v>
      </c>
      <c r="E273" s="125" t="str">
        <f>VLOOKUP($B273,'Выгр Торг'!$B:$Q,E$1,0)</f>
        <v>Руль анатомический "Ferrum" Grand Premium с обогревом (вставки из алькантары) для Лада Ларгус FL, Веста, XRAY (Синяя нить, Чёрный глянец)</v>
      </c>
      <c r="F273" s="127" t="str">
        <f>VLOOKUP($B273,'Выгр Торг'!$B:$Q,F$1,0)</f>
        <v>Y</v>
      </c>
      <c r="G273" s="127" t="str">
        <f>VLOOKUP($B273,'Выгр Торг'!$B:$Q,G$1,0)</f>
        <v>1</v>
      </c>
      <c r="H273" s="40">
        <v>166662</v>
      </c>
      <c r="I273" s="156"/>
      <c r="J273" s="160"/>
      <c r="K273" s="161">
        <v>870</v>
      </c>
      <c r="L273" s="130">
        <f t="shared" si="210"/>
        <v>49720</v>
      </c>
      <c r="M273" s="130">
        <f t="shared" si="196"/>
        <v>50720</v>
      </c>
      <c r="N273" s="130">
        <f t="shared" si="197"/>
        <v>43720</v>
      </c>
      <c r="O273" s="132">
        <f t="shared" si="164"/>
        <v>1.0201126307320998</v>
      </c>
      <c r="P273" s="132">
        <f t="shared" si="207"/>
        <v>1.1499999999999999</v>
      </c>
      <c r="Q273" s="130">
        <f t="shared" si="198"/>
        <v>61481.720430107518</v>
      </c>
      <c r="R273" s="148">
        <f t="shared" si="166"/>
        <v>61490</v>
      </c>
      <c r="S273" s="127">
        <f>VLOOKUP($B273,'Выгр Торг'!$B:$Q,S$1,0)</f>
        <v>49720</v>
      </c>
      <c r="T273" s="127">
        <f>VLOOKUP($B273,'Выгр Торг'!$B:$Q,T$1,0)</f>
        <v>61490</v>
      </c>
      <c r="U273" s="94">
        <f t="shared" si="208"/>
        <v>0</v>
      </c>
      <c r="V273" s="94">
        <f t="shared" si="209"/>
        <v>0</v>
      </c>
      <c r="W273" s="153">
        <f t="shared" si="167"/>
        <v>57185.7</v>
      </c>
      <c r="X273" s="209">
        <f>IFERROR(VLOOKUP($B273,'Из ГУГЛа'!$B:$G,6,0)*Z273+Y273,VLOOKUP($B273,'Из ГУГЛа'!$B:$G,6,0))</f>
        <v>52260</v>
      </c>
      <c r="Y273" s="220">
        <f t="shared" si="199"/>
        <v>9970</v>
      </c>
      <c r="Z273" s="133">
        <v>1</v>
      </c>
      <c r="AA273" s="134"/>
      <c r="AB273" s="135">
        <f t="shared" si="160"/>
        <v>0.15015486725663707</v>
      </c>
      <c r="AC273" s="135">
        <f t="shared" si="161"/>
        <v>-9.425373134328352E-2</v>
      </c>
      <c r="AD273" s="135">
        <f t="shared" si="162"/>
        <v>5.1086082059533355E-2</v>
      </c>
      <c r="AE273" s="222">
        <v>52260</v>
      </c>
      <c r="AF273" s="98" t="s">
        <v>621</v>
      </c>
      <c r="AH273" s="98" t="s">
        <v>133</v>
      </c>
    </row>
    <row r="274" spans="1:34" ht="61.5" thickTop="1" thickBot="1">
      <c r="A274" s="125" t="str">
        <f>INDEX('Выгр Торг'!$A:$A,MATCH($B274,'Выгр Торг'!$B:$B,0))</f>
        <v>Руль анатомический "Ferrum" Grand Premium с обогревом (вставки из алькантары) для Лада Ларгус FL, Веста, XRAY</v>
      </c>
      <c r="B274" s="126">
        <v>132614</v>
      </c>
      <c r="C274" s="127">
        <f>VLOOKUP($B274,'Выгр Торг'!$B:$Q,C$1,0)</f>
        <v>166666</v>
      </c>
      <c r="D274" s="128" t="s">
        <v>133</v>
      </c>
      <c r="E274" s="125" t="str">
        <f>VLOOKUP($B274,'Выгр Торг'!$B:$Q,E$1,0)</f>
        <v>Руль анатомический "Ferrum" Grand Premium с обогревом (вставки из алькантары) для Лада Ларгус FL, Веста, XRAY (Тёмно-серая нить, Чёрный глянец)</v>
      </c>
      <c r="F274" s="127" t="str">
        <f>VLOOKUP($B274,'Выгр Торг'!$B:$Q,F$1,0)</f>
        <v>Y</v>
      </c>
      <c r="G274" s="127" t="str">
        <f>VLOOKUP($B274,'Выгр Торг'!$B:$Q,G$1,0)</f>
        <v>1</v>
      </c>
      <c r="H274" s="40">
        <v>166662</v>
      </c>
      <c r="I274" s="156"/>
      <c r="J274" s="160"/>
      <c r="K274" s="161">
        <v>870</v>
      </c>
      <c r="L274" s="130">
        <f t="shared" si="210"/>
        <v>49720</v>
      </c>
      <c r="M274" s="130">
        <f t="shared" si="196"/>
        <v>50720</v>
      </c>
      <c r="N274" s="130">
        <f t="shared" si="197"/>
        <v>43720</v>
      </c>
      <c r="O274" s="132">
        <f t="shared" si="164"/>
        <v>1.0201126307320998</v>
      </c>
      <c r="P274" s="132">
        <f t="shared" si="207"/>
        <v>1.1499999999999999</v>
      </c>
      <c r="Q274" s="130">
        <f t="shared" si="198"/>
        <v>61481.720430107518</v>
      </c>
      <c r="R274" s="148">
        <f t="shared" si="166"/>
        <v>61490</v>
      </c>
      <c r="S274" s="127">
        <f>VLOOKUP($B274,'Выгр Торг'!$B:$Q,S$1,0)</f>
        <v>49720</v>
      </c>
      <c r="T274" s="127">
        <f>VLOOKUP($B274,'Выгр Торг'!$B:$Q,T$1,0)</f>
        <v>61490</v>
      </c>
      <c r="U274" s="94">
        <f t="shared" si="208"/>
        <v>0</v>
      </c>
      <c r="V274" s="94">
        <f t="shared" si="209"/>
        <v>0</v>
      </c>
      <c r="W274" s="153">
        <f t="shared" si="167"/>
        <v>57185.7</v>
      </c>
      <c r="X274" s="209">
        <f>IFERROR(VLOOKUP($B274,'Из ГУГЛа'!$B:$G,6,0)*Z274+Y274,VLOOKUP($B274,'Из ГУГЛа'!$B:$G,6,0))</f>
        <v>52260</v>
      </c>
      <c r="Y274" s="220">
        <f t="shared" si="199"/>
        <v>9970</v>
      </c>
      <c r="Z274" s="133">
        <v>1</v>
      </c>
      <c r="AA274" s="134"/>
      <c r="AB274" s="135">
        <f t="shared" si="160"/>
        <v>0.15015486725663707</v>
      </c>
      <c r="AC274" s="135">
        <f t="shared" si="161"/>
        <v>-9.425373134328352E-2</v>
      </c>
      <c r="AD274" s="135">
        <f t="shared" si="162"/>
        <v>5.1086082059533355E-2</v>
      </c>
      <c r="AE274" s="222">
        <v>52260</v>
      </c>
      <c r="AF274" s="98" t="s">
        <v>621</v>
      </c>
      <c r="AH274" s="98" t="s">
        <v>133</v>
      </c>
    </row>
    <row r="275" spans="1:34" ht="61.5" thickTop="1" thickBot="1">
      <c r="A275" s="125" t="str">
        <f>INDEX('Выгр Торг'!$A:$A,MATCH($B275,'Выгр Торг'!$B:$B,0))</f>
        <v>Руль анатомический "Ferrum" Grand Premium с обогревом (вставки из алькантары) для Лада Ларгус FL, Веста, XRAY</v>
      </c>
      <c r="B275" s="126">
        <v>132615</v>
      </c>
      <c r="C275" s="127">
        <f>VLOOKUP($B275,'Выгр Торг'!$B:$Q,C$1,0)</f>
        <v>166665</v>
      </c>
      <c r="D275" s="128" t="s">
        <v>133</v>
      </c>
      <c r="E275" s="125" t="str">
        <f>VLOOKUP($B275,'Выгр Торг'!$B:$Q,E$1,0)</f>
        <v>Руль анатомический "Ferrum" Grand Premium с обогревом (вставки из алькантары) для Лада Ларгус FL, Веста, XRAY (Фиолетовая нить, Чёрный глянец)</v>
      </c>
      <c r="F275" s="127" t="str">
        <f>VLOOKUP($B275,'Выгр Торг'!$B:$Q,F$1,0)</f>
        <v>Y</v>
      </c>
      <c r="G275" s="127" t="str">
        <f>VLOOKUP($B275,'Выгр Торг'!$B:$Q,G$1,0)</f>
        <v>1</v>
      </c>
      <c r="H275" s="40">
        <v>166662</v>
      </c>
      <c r="I275" s="156"/>
      <c r="J275" s="160"/>
      <c r="K275" s="161">
        <v>870</v>
      </c>
      <c r="L275" s="130">
        <f t="shared" si="210"/>
        <v>49720</v>
      </c>
      <c r="M275" s="130">
        <f t="shared" si="196"/>
        <v>50720</v>
      </c>
      <c r="N275" s="130">
        <f t="shared" si="197"/>
        <v>43720</v>
      </c>
      <c r="O275" s="132">
        <f t="shared" si="164"/>
        <v>1.0201126307320998</v>
      </c>
      <c r="P275" s="132">
        <f t="shared" si="207"/>
        <v>1.1499999999999999</v>
      </c>
      <c r="Q275" s="130">
        <f t="shared" si="198"/>
        <v>61481.720430107518</v>
      </c>
      <c r="R275" s="148">
        <f t="shared" si="166"/>
        <v>61490</v>
      </c>
      <c r="S275" s="127">
        <f>VLOOKUP($B275,'Выгр Торг'!$B:$Q,S$1,0)</f>
        <v>49720</v>
      </c>
      <c r="T275" s="127">
        <f>VLOOKUP($B275,'Выгр Торг'!$B:$Q,T$1,0)</f>
        <v>61490</v>
      </c>
      <c r="U275" s="94">
        <f t="shared" si="208"/>
        <v>0</v>
      </c>
      <c r="V275" s="94">
        <f t="shared" si="209"/>
        <v>0</v>
      </c>
      <c r="W275" s="153">
        <f t="shared" si="167"/>
        <v>57185.7</v>
      </c>
      <c r="X275" s="209">
        <f>IFERROR(VLOOKUP($B275,'Из ГУГЛа'!$B:$G,6,0)*Z275+Y275,VLOOKUP($B275,'Из ГУГЛа'!$B:$G,6,0))</f>
        <v>52260</v>
      </c>
      <c r="Y275" s="220">
        <f t="shared" si="199"/>
        <v>9970</v>
      </c>
      <c r="Z275" s="133">
        <v>1</v>
      </c>
      <c r="AA275" s="134"/>
      <c r="AB275" s="135">
        <f t="shared" si="160"/>
        <v>0.15015486725663707</v>
      </c>
      <c r="AC275" s="135">
        <f t="shared" si="161"/>
        <v>-9.425373134328352E-2</v>
      </c>
      <c r="AD275" s="135">
        <f t="shared" si="162"/>
        <v>5.1086082059533355E-2</v>
      </c>
      <c r="AE275" s="222">
        <v>52260</v>
      </c>
      <c r="AF275" s="98" t="s">
        <v>621</v>
      </c>
      <c r="AH275" s="98" t="s">
        <v>133</v>
      </c>
    </row>
    <row r="276" spans="1:34" ht="61.5" thickTop="1" thickBot="1">
      <c r="A276" s="125" t="str">
        <f>INDEX('Выгр Торг'!$A:$A,MATCH($B276,'Выгр Торг'!$B:$B,0))</f>
        <v>Руль анатомический "Ferrum" Grand Premium с обогревом (вставки из алькантары) для Лада Ларгус FL, Веста, XRAY</v>
      </c>
      <c r="B276" s="126">
        <v>132604</v>
      </c>
      <c r="C276" s="127">
        <f>VLOOKUP($B276,'Выгр Торг'!$B:$Q,C$1,0)</f>
        <v>166676</v>
      </c>
      <c r="D276" s="128" t="s">
        <v>133</v>
      </c>
      <c r="E276" s="125" t="str">
        <f>VLOOKUP($B276,'Выгр Торг'!$B:$Q,E$1,0)</f>
        <v>Руль анатомический "Ferrum" Grand Premium с обогревом (вставки из алькантары) для Лада Ларгус FL, Веста, XRAY (Белая нить, Чёрный глянец)</v>
      </c>
      <c r="F276" s="127" t="str">
        <f>VLOOKUP($B276,'Выгр Торг'!$B:$Q,F$1,0)</f>
        <v>Y</v>
      </c>
      <c r="G276" s="127" t="str">
        <f>VLOOKUP($B276,'Выгр Торг'!$B:$Q,G$1,0)</f>
        <v>1</v>
      </c>
      <c r="H276" s="40">
        <v>166662</v>
      </c>
      <c r="I276" s="156"/>
      <c r="J276" s="160"/>
      <c r="K276" s="161">
        <v>870</v>
      </c>
      <c r="L276" s="130">
        <f t="shared" si="210"/>
        <v>49720</v>
      </c>
      <c r="M276" s="130">
        <f t="shared" si="196"/>
        <v>50720</v>
      </c>
      <c r="N276" s="130">
        <f t="shared" si="197"/>
        <v>43720</v>
      </c>
      <c r="O276" s="132">
        <f t="shared" si="164"/>
        <v>1.0201126307320998</v>
      </c>
      <c r="P276" s="132">
        <f t="shared" si="207"/>
        <v>1.1499999999999999</v>
      </c>
      <c r="Q276" s="130">
        <f t="shared" si="198"/>
        <v>61481.720430107518</v>
      </c>
      <c r="R276" s="148">
        <f t="shared" si="166"/>
        <v>61490</v>
      </c>
      <c r="S276" s="127">
        <f>VLOOKUP($B276,'Выгр Торг'!$B:$Q,S$1,0)</f>
        <v>49720</v>
      </c>
      <c r="T276" s="127">
        <f>VLOOKUP($B276,'Выгр Торг'!$B:$Q,T$1,0)</f>
        <v>61490</v>
      </c>
      <c r="U276" s="94">
        <f t="shared" si="208"/>
        <v>0</v>
      </c>
      <c r="V276" s="94">
        <f t="shared" si="209"/>
        <v>0</v>
      </c>
      <c r="W276" s="153">
        <f t="shared" si="167"/>
        <v>57185.7</v>
      </c>
      <c r="X276" s="209">
        <f>IFERROR(VLOOKUP($B276,'Из ГУГЛа'!$B:$G,6,0)*Z276+Y276,VLOOKUP($B276,'Из ГУГЛа'!$B:$G,6,0))</f>
        <v>52260</v>
      </c>
      <c r="Y276" s="220">
        <f t="shared" si="199"/>
        <v>9970</v>
      </c>
      <c r="Z276" s="133">
        <v>1</v>
      </c>
      <c r="AA276" s="134"/>
      <c r="AB276" s="135">
        <f t="shared" si="160"/>
        <v>0.15015486725663707</v>
      </c>
      <c r="AC276" s="135">
        <f t="shared" si="161"/>
        <v>-9.425373134328352E-2</v>
      </c>
      <c r="AD276" s="135">
        <f t="shared" si="162"/>
        <v>5.1086082059533355E-2</v>
      </c>
      <c r="AE276" s="222">
        <v>52260</v>
      </c>
      <c r="AF276" s="98" t="s">
        <v>621</v>
      </c>
      <c r="AH276" s="98" t="s">
        <v>133</v>
      </c>
    </row>
    <row r="277" spans="1:34" ht="61.5" thickTop="1" thickBot="1">
      <c r="A277" s="125" t="str">
        <f>INDEX('Выгр Торг'!$A:$A,MATCH($B277,'Выгр Торг'!$B:$B,0))</f>
        <v>Руль анатомический "Ferrum" Grand Sport с обогревом (вставки из алькантары) для Лада Ларгус FL, Веста, XRAY</v>
      </c>
      <c r="B277" s="126">
        <v>132630</v>
      </c>
      <c r="C277" s="127">
        <f>VLOOKUP($B277,'Выгр Торг'!$B:$Q,C$1,0)</f>
        <v>166713</v>
      </c>
      <c r="D277" s="128" t="s">
        <v>132</v>
      </c>
      <c r="E277" s="125" t="str">
        <f>VLOOKUP($B277,'Выгр Торг'!$B:$Q,E$1,0)</f>
        <v>Руль анатомический "Ferrum" Grand Sport с обогревом (вставки из алькантары) для Лада Ларгус FL, Веста, XRAY (Чёрная нить, Чёрный глянец)</v>
      </c>
      <c r="F277" s="127" t="str">
        <f>VLOOKUP($B277,'Выгр Торг'!$B:$Q,F$1,0)</f>
        <v>Y</v>
      </c>
      <c r="G277" s="127" t="str">
        <f>VLOOKUP($B277,'Выгр Торг'!$B:$Q,G$1,0)</f>
        <v>1</v>
      </c>
      <c r="H277" s="40">
        <v>166713</v>
      </c>
      <c r="I277" s="156"/>
      <c r="J277" s="160">
        <v>7000</v>
      </c>
      <c r="K277" s="161">
        <v>0</v>
      </c>
      <c r="L277" s="130">
        <f t="shared" ref="L277:L279" si="211">M277-1000</f>
        <v>48850</v>
      </c>
      <c r="M277" s="131">
        <f>N277+J277</f>
        <v>49850</v>
      </c>
      <c r="N277" s="131">
        <v>42850</v>
      </c>
      <c r="O277" s="132">
        <f t="shared" si="164"/>
        <v>1.0204708290685773</v>
      </c>
      <c r="P277" s="132">
        <f t="shared" si="207"/>
        <v>1.1499999999999999</v>
      </c>
      <c r="Q277" s="147">
        <f t="shared" ref="Q277" si="212">L277*P277*100/93</f>
        <v>60405.913978494616</v>
      </c>
      <c r="R277" s="148">
        <f t="shared" si="166"/>
        <v>60490</v>
      </c>
      <c r="S277" s="127">
        <f>VLOOKUP($B277,'Выгр Торг'!$B:$Q,S$1,0)</f>
        <v>48850</v>
      </c>
      <c r="T277" s="127">
        <f>VLOOKUP($B277,'Выгр Торг'!$B:$Q,T$1,0)</f>
        <v>60490</v>
      </c>
      <c r="U277" s="94">
        <f t="shared" si="208"/>
        <v>0</v>
      </c>
      <c r="V277" s="94">
        <f t="shared" si="209"/>
        <v>0</v>
      </c>
      <c r="W277" s="153">
        <f t="shared" si="167"/>
        <v>56255.7</v>
      </c>
      <c r="X277" s="209">
        <f>IFERROR(VLOOKUP($B277,'Из ГУГЛа'!$B:$G,6,0)*Z277+Y277,VLOOKUP($B277,'Из ГУГЛа'!$B:$G,6,0))</f>
        <v>51390</v>
      </c>
      <c r="Y277" s="106">
        <f>(J277+K277)*$Y$2</f>
        <v>9100</v>
      </c>
      <c r="Z277" s="133">
        <v>1</v>
      </c>
      <c r="AA277" s="134"/>
      <c r="AB277" s="135">
        <f t="shared" si="160"/>
        <v>0.15160081883316279</v>
      </c>
      <c r="AC277" s="135">
        <f t="shared" si="161"/>
        <v>-9.4681844716870925E-2</v>
      </c>
      <c r="AD277" s="135">
        <f t="shared" si="162"/>
        <v>5.199590583418634E-2</v>
      </c>
      <c r="AE277" s="221">
        <v>51390</v>
      </c>
      <c r="AF277" s="98" t="s">
        <v>622</v>
      </c>
      <c r="AH277" s="98" t="s">
        <v>132</v>
      </c>
    </row>
    <row r="278" spans="1:34" ht="61.5" thickTop="1" thickBot="1">
      <c r="A278" s="176" t="str">
        <f>INDEX('Выгр Торг'!$A:$A,MATCH($B278,'Выгр Торг'!$B:$B,0))</f>
        <v>Руль анатомический "Ferrum" Grand Sport с обогревом (вставки из алькантары) для Лада Ларгус FL, Веста, XRAY</v>
      </c>
      <c r="B278" s="178">
        <v>341550</v>
      </c>
      <c r="C278" s="179">
        <f>VLOOKUP($B278,'Выгр Торг'!$B:$Q,C$1,0)</f>
        <v>341550</v>
      </c>
      <c r="D278" s="189" t="s">
        <v>132</v>
      </c>
      <c r="E278" s="176" t="str">
        <f>VLOOKUP($B278,'Выгр Торг'!$B:$Q,E$1,0)</f>
        <v>Руль анатомический "Ferrum" Grand Sport с обогревом (вставки из алькантары) для Лада Ларгус FL, Веста, XRAY (Чёрная нить, Чёрный мат)</v>
      </c>
      <c r="F278" s="179" t="str">
        <f>VLOOKUP($B278,'Выгр Торг'!$B:$Q,F$1,0)</f>
        <v>Y</v>
      </c>
      <c r="G278" s="179" t="str">
        <f>VLOOKUP($B278,'Выгр Торг'!$B:$Q,G$1,0)</f>
        <v>1</v>
      </c>
      <c r="H278" s="177">
        <v>166713</v>
      </c>
      <c r="I278" s="156"/>
      <c r="J278" s="160">
        <v>830</v>
      </c>
      <c r="K278" s="161">
        <v>0</v>
      </c>
      <c r="L278" s="180">
        <f>M278-1000</f>
        <v>49680</v>
      </c>
      <c r="M278" s="180">
        <f t="shared" ref="M278:M302" si="213">INDEX($M:$M,MATCH($H278,$C:$C,0))+$K278+$J278</f>
        <v>50680</v>
      </c>
      <c r="N278" s="180">
        <f t="shared" ref="N278:N302" si="214">INDEX($N:$N,MATCH($H278,$C:$C,0))+$K278+$J278</f>
        <v>43680</v>
      </c>
      <c r="O278" s="107">
        <f>M278/L278</f>
        <v>1.0201288244766507</v>
      </c>
      <c r="P278" s="132">
        <f t="shared" si="207"/>
        <v>1.1499999999999999</v>
      </c>
      <c r="Q278" s="180">
        <f t="shared" ref="Q278:Q302" si="215">INDEX($Q:$Q,MATCH($H278,$C:$C,0))+($K278+$J278)*INDEX($P:$P,MATCH($H278,$C:$C,0))*100/93</f>
        <v>61432.258064516122</v>
      </c>
      <c r="R278" s="144">
        <f>IF(Q278&lt;=1000,(ROUNDUP(Q278,-2)-1),(ROUNDUP(Q278,-2)-10))</f>
        <v>61490</v>
      </c>
      <c r="S278" s="179">
        <f>VLOOKUP($B278,'Выгр Торг'!$B:$Q,S$1,0)</f>
        <v>49680</v>
      </c>
      <c r="T278" s="179">
        <f>VLOOKUP($B278,'Выгр Торг'!$B:$Q,T$1,0)</f>
        <v>61490</v>
      </c>
      <c r="U278" s="94">
        <f t="shared" si="208"/>
        <v>0</v>
      </c>
      <c r="V278" s="94">
        <f t="shared" si="209"/>
        <v>0</v>
      </c>
      <c r="W278" s="182">
        <f>R278*(1-$W$2)</f>
        <v>57185.7</v>
      </c>
      <c r="X278" s="218">
        <f>IFERROR(VLOOKUP($B278,'Из ГУГЛа'!$B:$G,6,0)*Z278+Y278,VLOOKUP($B278,'Из ГУГЛа'!$B:$G,6,0))</f>
        <v>52220</v>
      </c>
      <c r="Y278" s="220">
        <f t="shared" ref="Y278:Y302" si="216">INDEX($Y:$Y,MATCH($H278,$C:$C,0))+J278+K278</f>
        <v>9930</v>
      </c>
      <c r="Z278" s="133">
        <v>1</v>
      </c>
      <c r="AA278" s="133">
        <v>1300</v>
      </c>
      <c r="AB278" s="184">
        <f>IFERROR(W278/L278-1,"")</f>
        <v>0.15108091787439615</v>
      </c>
      <c r="AC278" s="184">
        <f>IFERROR((AE278-W278)/AE278,"")</f>
        <v>-9.5091918805055478E-2</v>
      </c>
      <c r="AD278" s="184">
        <f>IFERROR(IF(AE278="","",AE278/L278-1),"")</f>
        <v>5.1127214170692437E-2</v>
      </c>
      <c r="AE278" s="222">
        <v>52220</v>
      </c>
      <c r="AF278" s="98" t="s">
        <v>622</v>
      </c>
      <c r="AH278" s="98" t="s">
        <v>132</v>
      </c>
    </row>
    <row r="279" spans="1:34" ht="61.5" thickTop="1" thickBot="1">
      <c r="A279" s="125" t="str">
        <f>INDEX('Выгр Торг'!$A:$A,MATCH($B279,'Выгр Торг'!$B:$B,0))</f>
        <v>Руль анатомический "Ferrum" Grand Sport с обогревом (вставки из алькантары) для Лада Ларгус FL, Веста, XRAY</v>
      </c>
      <c r="B279" s="126">
        <v>341549</v>
      </c>
      <c r="C279" s="127">
        <f>VLOOKUP($B279,'Выгр Торг'!$B:$Q,C$1,0)</f>
        <v>341549</v>
      </c>
      <c r="D279" s="128" t="s">
        <v>132</v>
      </c>
      <c r="E279" s="125" t="str">
        <f>VLOOKUP($B279,'Выгр Торг'!$B:$Q,E$1,0)</f>
        <v>Руль анатомический "Ferrum" Grand Sport с обогревом (вставки из алькантары) для Лада Ларгус FL, Веста, XRAY (Белая нить, Чёрный мат)</v>
      </c>
      <c r="F279" s="127" t="str">
        <f>VLOOKUP($B279,'Выгр Торг'!$B:$Q,F$1,0)</f>
        <v>Y</v>
      </c>
      <c r="G279" s="127" t="str">
        <f>VLOOKUP($B279,'Выгр Торг'!$B:$Q,G$1,0)</f>
        <v>1</v>
      </c>
      <c r="H279" s="40">
        <v>166713</v>
      </c>
      <c r="I279" s="156"/>
      <c r="J279" s="160">
        <v>830</v>
      </c>
      <c r="K279" s="161">
        <v>870</v>
      </c>
      <c r="L279" s="130">
        <f t="shared" si="211"/>
        <v>50550</v>
      </c>
      <c r="M279" s="130">
        <f t="shared" si="213"/>
        <v>51550</v>
      </c>
      <c r="N279" s="130">
        <f t="shared" si="214"/>
        <v>44550</v>
      </c>
      <c r="O279" s="132">
        <f t="shared" si="164"/>
        <v>1.019782393669634</v>
      </c>
      <c r="P279" s="132">
        <f t="shared" si="207"/>
        <v>1.1499999999999999</v>
      </c>
      <c r="Q279" s="130">
        <f t="shared" si="215"/>
        <v>62508.064516129023</v>
      </c>
      <c r="R279" s="148">
        <f t="shared" si="166"/>
        <v>62590</v>
      </c>
      <c r="S279" s="127">
        <f>VLOOKUP($B279,'Выгр Торг'!$B:$Q,S$1,0)</f>
        <v>50550</v>
      </c>
      <c r="T279" s="127">
        <f>VLOOKUP($B279,'Выгр Торг'!$B:$Q,T$1,0)</f>
        <v>62590</v>
      </c>
      <c r="U279" s="94">
        <f t="shared" si="208"/>
        <v>0</v>
      </c>
      <c r="V279" s="94">
        <f t="shared" si="209"/>
        <v>0</v>
      </c>
      <c r="W279" s="153">
        <f t="shared" si="167"/>
        <v>58208.7</v>
      </c>
      <c r="X279" s="209">
        <f>IFERROR(VLOOKUP($B279,'Из ГУГЛа'!$B:$G,6,0)*Z279+Y279,VLOOKUP($B279,'Из ГУГЛа'!$B:$G,6,0))</f>
        <v>53090</v>
      </c>
      <c r="Y279" s="220">
        <f t="shared" si="216"/>
        <v>10800</v>
      </c>
      <c r="Z279" s="133">
        <v>1</v>
      </c>
      <c r="AA279" s="133">
        <v>1300</v>
      </c>
      <c r="AB279" s="135">
        <f t="shared" si="160"/>
        <v>0.15150741839762616</v>
      </c>
      <c r="AC279" s="135">
        <f t="shared" si="161"/>
        <v>-9.6415520813712505E-2</v>
      </c>
      <c r="AD279" s="135">
        <f t="shared" si="162"/>
        <v>5.0247279920870414E-2</v>
      </c>
      <c r="AE279" s="222">
        <v>53090</v>
      </c>
      <c r="AF279" s="98" t="s">
        <v>622</v>
      </c>
      <c r="AH279" s="98" t="s">
        <v>132</v>
      </c>
    </row>
    <row r="280" spans="1:34" ht="61.5" thickTop="1" thickBot="1">
      <c r="A280" s="176" t="str">
        <f>INDEX('Выгр Торг'!$A:$A,MATCH($B280,'Выгр Торг'!$B:$B,0))</f>
        <v>Руль анатомический "Ferrum" Grand Sport с обогревом (вставки из алькантары) для Лада Ларгус FL, Веста, XRAY</v>
      </c>
      <c r="B280" s="178">
        <v>341561</v>
      </c>
      <c r="C280" s="179">
        <f>VLOOKUP($B280,'Выгр Торг'!$B:$Q,C$1,0)</f>
        <v>341561</v>
      </c>
      <c r="D280" s="189" t="s">
        <v>132</v>
      </c>
      <c r="E280" s="176" t="str">
        <f>VLOOKUP($B280,'Выгр Торг'!$B:$Q,E$1,0)</f>
        <v>Руль анатомический "Ferrum" Grand Sport с обогревом (вставки из алькантары) для Лада Ларгус FL, Веста, XRAY (Жёлтая нить, Чёрный мат)</v>
      </c>
      <c r="F280" s="179" t="str">
        <f>VLOOKUP($B280,'Выгр Торг'!$B:$Q,F$1,0)</f>
        <v>Y</v>
      </c>
      <c r="G280" s="179" t="str">
        <f>VLOOKUP($B280,'Выгр Торг'!$B:$Q,G$1,0)</f>
        <v>1</v>
      </c>
      <c r="H280" s="177">
        <v>166713</v>
      </c>
      <c r="I280" s="156"/>
      <c r="J280" s="160">
        <v>830</v>
      </c>
      <c r="K280" s="161">
        <v>870</v>
      </c>
      <c r="L280" s="180">
        <f t="shared" ref="L280:L291" si="217">M280-1000</f>
        <v>50550</v>
      </c>
      <c r="M280" s="180">
        <f t="shared" si="213"/>
        <v>51550</v>
      </c>
      <c r="N280" s="180">
        <f t="shared" si="214"/>
        <v>44550</v>
      </c>
      <c r="O280" s="107">
        <f t="shared" ref="O280:O291" si="218">M280/L280</f>
        <v>1.019782393669634</v>
      </c>
      <c r="P280" s="132">
        <f t="shared" si="207"/>
        <v>1.1499999999999999</v>
      </c>
      <c r="Q280" s="180">
        <f t="shared" si="215"/>
        <v>62508.064516129023</v>
      </c>
      <c r="R280" s="144">
        <f t="shared" ref="R280:R291" si="219">IF(Q280&lt;=1000,(ROUNDUP(Q280,-2)-1),(ROUNDUP(Q280,-2)-10))</f>
        <v>62590</v>
      </c>
      <c r="S280" s="179">
        <f>VLOOKUP($B280,'Выгр Торг'!$B:$Q,S$1,0)</f>
        <v>50550</v>
      </c>
      <c r="T280" s="179">
        <f>VLOOKUP($B280,'Выгр Торг'!$B:$Q,T$1,0)</f>
        <v>62590</v>
      </c>
      <c r="U280" s="94">
        <f t="shared" si="208"/>
        <v>0</v>
      </c>
      <c r="V280" s="94">
        <f t="shared" si="209"/>
        <v>0</v>
      </c>
      <c r="W280" s="182">
        <f t="shared" ref="W280:W291" si="220">R280*(1-$W$2)</f>
        <v>58208.7</v>
      </c>
      <c r="X280" s="218">
        <f>IFERROR(VLOOKUP($B280,'Из ГУГЛа'!$B:$G,6,0)*Z280+Y280,VLOOKUP($B280,'Из ГУГЛа'!$B:$G,6,0))</f>
        <v>53090</v>
      </c>
      <c r="Y280" s="220">
        <f t="shared" si="216"/>
        <v>10800</v>
      </c>
      <c r="Z280" s="133">
        <v>1</v>
      </c>
      <c r="AA280" s="133">
        <v>1300</v>
      </c>
      <c r="AB280" s="184">
        <f t="shared" ref="AB280:AB291" si="221">IFERROR(W280/L280-1,"")</f>
        <v>0.15150741839762616</v>
      </c>
      <c r="AC280" s="184">
        <f t="shared" ref="AC280:AC291" si="222">IFERROR((AE280-W280)/AE280,"")</f>
        <v>-9.6415520813712505E-2</v>
      </c>
      <c r="AD280" s="184">
        <f t="shared" ref="AD280:AD291" si="223">IFERROR(IF(AE280="","",AE280/L280-1),"")</f>
        <v>5.0247279920870414E-2</v>
      </c>
      <c r="AE280" s="222">
        <v>53090</v>
      </c>
      <c r="AF280" s="98" t="s">
        <v>622</v>
      </c>
      <c r="AH280" s="98" t="s">
        <v>132</v>
      </c>
    </row>
    <row r="281" spans="1:34" ht="61.5" thickTop="1" thickBot="1">
      <c r="A281" s="176" t="str">
        <f>INDEX('Выгр Торг'!$A:$A,MATCH($B281,'Выгр Торг'!$B:$B,0))</f>
        <v>Руль анатомический "Ferrum" Grand Sport с обогревом (вставки из алькантары) для Лада Ларгус FL, Веста, XRAY</v>
      </c>
      <c r="B281" s="178">
        <v>341560</v>
      </c>
      <c r="C281" s="179">
        <f>VLOOKUP($B281,'Выгр Торг'!$B:$Q,C$1,0)</f>
        <v>341560</v>
      </c>
      <c r="D281" s="189" t="s">
        <v>132</v>
      </c>
      <c r="E281" s="176" t="str">
        <f>VLOOKUP($B281,'Выгр Торг'!$B:$Q,E$1,0)</f>
        <v>Руль анатомический "Ferrum" Grand Sport с обогревом (вставки из алькантары) для Лада Ларгус FL, Веста, XRAY (Зелёная нить, Чёрный мат)</v>
      </c>
      <c r="F281" s="179" t="str">
        <f>VLOOKUP($B281,'Выгр Торг'!$B:$Q,F$1,0)</f>
        <v>Y</v>
      </c>
      <c r="G281" s="179" t="str">
        <f>VLOOKUP($B281,'Выгр Торг'!$B:$Q,G$1,0)</f>
        <v>1</v>
      </c>
      <c r="H281" s="177">
        <v>166713</v>
      </c>
      <c r="I281" s="156"/>
      <c r="J281" s="160">
        <v>830</v>
      </c>
      <c r="K281" s="161">
        <v>870</v>
      </c>
      <c r="L281" s="180">
        <f t="shared" si="217"/>
        <v>50550</v>
      </c>
      <c r="M281" s="180">
        <f t="shared" si="213"/>
        <v>51550</v>
      </c>
      <c r="N281" s="180">
        <f t="shared" si="214"/>
        <v>44550</v>
      </c>
      <c r="O281" s="107">
        <f t="shared" si="218"/>
        <v>1.019782393669634</v>
      </c>
      <c r="P281" s="132">
        <f t="shared" si="207"/>
        <v>1.1499999999999999</v>
      </c>
      <c r="Q281" s="180">
        <f t="shared" si="215"/>
        <v>62508.064516129023</v>
      </c>
      <c r="R281" s="144">
        <f t="shared" si="219"/>
        <v>62590</v>
      </c>
      <c r="S281" s="179">
        <f>VLOOKUP($B281,'Выгр Торг'!$B:$Q,S$1,0)</f>
        <v>50550</v>
      </c>
      <c r="T281" s="179">
        <f>VLOOKUP($B281,'Выгр Торг'!$B:$Q,T$1,0)</f>
        <v>62590</v>
      </c>
      <c r="U281" s="94">
        <f t="shared" si="208"/>
        <v>0</v>
      </c>
      <c r="V281" s="94">
        <f t="shared" si="209"/>
        <v>0</v>
      </c>
      <c r="W281" s="182">
        <f t="shared" si="220"/>
        <v>58208.7</v>
      </c>
      <c r="X281" s="218">
        <f>IFERROR(VLOOKUP($B281,'Из ГУГЛа'!$B:$G,6,0)*Z281+Y281,VLOOKUP($B281,'Из ГУГЛа'!$B:$G,6,0))</f>
        <v>53090</v>
      </c>
      <c r="Y281" s="220">
        <f t="shared" si="216"/>
        <v>10800</v>
      </c>
      <c r="Z281" s="133">
        <v>1</v>
      </c>
      <c r="AA281" s="133">
        <v>1300</v>
      </c>
      <c r="AB281" s="184">
        <f t="shared" si="221"/>
        <v>0.15150741839762616</v>
      </c>
      <c r="AC281" s="184">
        <f t="shared" si="222"/>
        <v>-9.6415520813712505E-2</v>
      </c>
      <c r="AD281" s="184">
        <f t="shared" si="223"/>
        <v>5.0247279920870414E-2</v>
      </c>
      <c r="AE281" s="222">
        <v>53090</v>
      </c>
      <c r="AF281" s="98" t="s">
        <v>622</v>
      </c>
      <c r="AH281" s="98" t="s">
        <v>132</v>
      </c>
    </row>
    <row r="282" spans="1:34" ht="61.5" thickTop="1" thickBot="1">
      <c r="A282" s="176" t="str">
        <f>INDEX('Выгр Торг'!$A:$A,MATCH($B282,'Выгр Торг'!$B:$B,0))</f>
        <v>Руль анатомический "Ferrum" Grand Sport с обогревом (вставки из алькантары) для Лада Ларгус FL, Веста, XRAY</v>
      </c>
      <c r="B282" s="178">
        <v>341552</v>
      </c>
      <c r="C282" s="179">
        <f>VLOOKUP($B282,'Выгр Торг'!$B:$Q,C$1,0)</f>
        <v>341552</v>
      </c>
      <c r="D282" s="189" t="s">
        <v>132</v>
      </c>
      <c r="E282" s="176" t="str">
        <f>VLOOKUP($B282,'Выгр Торг'!$B:$Q,E$1,0)</f>
        <v>Руль анатомический "Ferrum" Grand Sport с обогревом (вставки из алькантары) для Лада Ларгус FL, Веста, XRAY (Коричневая нить, Чёрный мат)</v>
      </c>
      <c r="F282" s="179" t="str">
        <f>VLOOKUP($B282,'Выгр Торг'!$B:$Q,F$1,0)</f>
        <v>Y</v>
      </c>
      <c r="G282" s="179" t="str">
        <f>VLOOKUP($B282,'Выгр Торг'!$B:$Q,G$1,0)</f>
        <v>1</v>
      </c>
      <c r="H282" s="177">
        <v>166713</v>
      </c>
      <c r="I282" s="156"/>
      <c r="J282" s="160">
        <v>830</v>
      </c>
      <c r="K282" s="161">
        <v>870</v>
      </c>
      <c r="L282" s="180">
        <f t="shared" si="217"/>
        <v>50550</v>
      </c>
      <c r="M282" s="180">
        <f t="shared" si="213"/>
        <v>51550</v>
      </c>
      <c r="N282" s="180">
        <f t="shared" si="214"/>
        <v>44550</v>
      </c>
      <c r="O282" s="107">
        <f t="shared" si="218"/>
        <v>1.019782393669634</v>
      </c>
      <c r="P282" s="132">
        <f t="shared" si="207"/>
        <v>1.1499999999999999</v>
      </c>
      <c r="Q282" s="180">
        <f t="shared" si="215"/>
        <v>62508.064516129023</v>
      </c>
      <c r="R282" s="144">
        <f t="shared" si="219"/>
        <v>62590</v>
      </c>
      <c r="S282" s="179">
        <f>VLOOKUP($B282,'Выгр Торг'!$B:$Q,S$1,0)</f>
        <v>50550</v>
      </c>
      <c r="T282" s="179">
        <f>VLOOKUP($B282,'Выгр Торг'!$B:$Q,T$1,0)</f>
        <v>62590</v>
      </c>
      <c r="U282" s="94">
        <f t="shared" si="208"/>
        <v>0</v>
      </c>
      <c r="V282" s="94">
        <f t="shared" si="209"/>
        <v>0</v>
      </c>
      <c r="W282" s="182">
        <f t="shared" si="220"/>
        <v>58208.7</v>
      </c>
      <c r="X282" s="218">
        <f>IFERROR(VLOOKUP($B282,'Из ГУГЛа'!$B:$G,6,0)*Z282+Y282,VLOOKUP($B282,'Из ГУГЛа'!$B:$G,6,0))</f>
        <v>53090</v>
      </c>
      <c r="Y282" s="220">
        <f t="shared" si="216"/>
        <v>10800</v>
      </c>
      <c r="Z282" s="133">
        <v>1</v>
      </c>
      <c r="AA282" s="133">
        <v>1300</v>
      </c>
      <c r="AB282" s="184">
        <f t="shared" si="221"/>
        <v>0.15150741839762616</v>
      </c>
      <c r="AC282" s="184">
        <f t="shared" si="222"/>
        <v>-9.6415520813712505E-2</v>
      </c>
      <c r="AD282" s="184">
        <f t="shared" si="223"/>
        <v>5.0247279920870414E-2</v>
      </c>
      <c r="AE282" s="222">
        <v>53090</v>
      </c>
      <c r="AF282" s="98" t="s">
        <v>622</v>
      </c>
      <c r="AH282" s="98" t="s">
        <v>132</v>
      </c>
    </row>
    <row r="283" spans="1:34" ht="61.5" thickTop="1" thickBot="1">
      <c r="A283" s="176" t="str">
        <f>INDEX('Выгр Торг'!$A:$A,MATCH($B283,'Выгр Торг'!$B:$B,0))</f>
        <v>Руль анатомический "Ferrum" Grand Sport с обогревом (вставки из алькантары) для Лада Ларгус FL, Веста, XRAY</v>
      </c>
      <c r="B283" s="178">
        <v>341553</v>
      </c>
      <c r="C283" s="179">
        <f>VLOOKUP($B283,'Выгр Торг'!$B:$Q,C$1,0)</f>
        <v>341553</v>
      </c>
      <c r="D283" s="189" t="s">
        <v>132</v>
      </c>
      <c r="E283" s="176" t="str">
        <f>VLOOKUP($B283,'Выгр Торг'!$B:$Q,E$1,0)</f>
        <v>Руль анатомический "Ferrum" Grand Sport с обогревом (вставки из алькантары) для Лада Ларгус FL, Веста, XRAY (Красная нить, Чёрный мат)</v>
      </c>
      <c r="F283" s="179" t="str">
        <f>VLOOKUP($B283,'Выгр Торг'!$B:$Q,F$1,0)</f>
        <v>Y</v>
      </c>
      <c r="G283" s="179" t="str">
        <f>VLOOKUP($B283,'Выгр Торг'!$B:$Q,G$1,0)</f>
        <v>1</v>
      </c>
      <c r="H283" s="177">
        <v>166713</v>
      </c>
      <c r="I283" s="156"/>
      <c r="J283" s="160">
        <v>830</v>
      </c>
      <c r="K283" s="161">
        <v>870</v>
      </c>
      <c r="L283" s="180">
        <f t="shared" si="217"/>
        <v>50550</v>
      </c>
      <c r="M283" s="180">
        <f t="shared" si="213"/>
        <v>51550</v>
      </c>
      <c r="N283" s="180">
        <f t="shared" si="214"/>
        <v>44550</v>
      </c>
      <c r="O283" s="107">
        <f t="shared" si="218"/>
        <v>1.019782393669634</v>
      </c>
      <c r="P283" s="132">
        <f t="shared" si="207"/>
        <v>1.1499999999999999</v>
      </c>
      <c r="Q283" s="180">
        <f t="shared" si="215"/>
        <v>62508.064516129023</v>
      </c>
      <c r="R283" s="144">
        <f t="shared" si="219"/>
        <v>62590</v>
      </c>
      <c r="S283" s="179">
        <f>VLOOKUP($B283,'Выгр Торг'!$B:$Q,S$1,0)</f>
        <v>50550</v>
      </c>
      <c r="T283" s="179">
        <f>VLOOKUP($B283,'Выгр Торг'!$B:$Q,T$1,0)</f>
        <v>62590</v>
      </c>
      <c r="U283" s="94">
        <f t="shared" si="208"/>
        <v>0</v>
      </c>
      <c r="V283" s="94">
        <f t="shared" si="209"/>
        <v>0</v>
      </c>
      <c r="W283" s="182">
        <f t="shared" si="220"/>
        <v>58208.7</v>
      </c>
      <c r="X283" s="218">
        <f>IFERROR(VLOOKUP($B283,'Из ГУГЛа'!$B:$G,6,0)*Z283+Y283,VLOOKUP($B283,'Из ГУГЛа'!$B:$G,6,0))</f>
        <v>53090</v>
      </c>
      <c r="Y283" s="220">
        <f t="shared" si="216"/>
        <v>10800</v>
      </c>
      <c r="Z283" s="133">
        <v>1</v>
      </c>
      <c r="AA283" s="133">
        <v>1300</v>
      </c>
      <c r="AB283" s="184">
        <f t="shared" si="221"/>
        <v>0.15150741839762616</v>
      </c>
      <c r="AC283" s="184">
        <f t="shared" si="222"/>
        <v>-9.6415520813712505E-2</v>
      </c>
      <c r="AD283" s="184">
        <f t="shared" si="223"/>
        <v>5.0247279920870414E-2</v>
      </c>
      <c r="AE283" s="222">
        <v>53090</v>
      </c>
      <c r="AF283" s="98" t="s">
        <v>622</v>
      </c>
      <c r="AH283" s="98" t="s">
        <v>132</v>
      </c>
    </row>
    <row r="284" spans="1:34" ht="61.5" thickTop="1" thickBot="1">
      <c r="A284" s="176" t="str">
        <f>INDEX('Выгр Торг'!$A:$A,MATCH($B284,'Выгр Торг'!$B:$B,0))</f>
        <v>Руль анатомический "Ferrum" Grand Sport с обогревом (вставки из алькантары) для Лада Ларгус FL, Веста, XRAY</v>
      </c>
      <c r="B284" s="178">
        <v>341554</v>
      </c>
      <c r="C284" s="179">
        <f>VLOOKUP($B284,'Выгр Торг'!$B:$Q,C$1,0)</f>
        <v>341554</v>
      </c>
      <c r="D284" s="189" t="s">
        <v>132</v>
      </c>
      <c r="E284" s="176" t="str">
        <f>VLOOKUP($B284,'Выгр Торг'!$B:$Q,E$1,0)</f>
        <v>Руль анатомический "Ferrum" Grand Sport с обогревом (вставки из алькантары) для Лада Ларгус FL, Веста, XRAY (Оранжевая нить, Чёрный мат)</v>
      </c>
      <c r="F284" s="179" t="str">
        <f>VLOOKUP($B284,'Выгр Торг'!$B:$Q,F$1,0)</f>
        <v>Y</v>
      </c>
      <c r="G284" s="179" t="str">
        <f>VLOOKUP($B284,'Выгр Торг'!$B:$Q,G$1,0)</f>
        <v>1</v>
      </c>
      <c r="H284" s="177">
        <v>166713</v>
      </c>
      <c r="I284" s="156"/>
      <c r="J284" s="160">
        <v>830</v>
      </c>
      <c r="K284" s="161">
        <v>870</v>
      </c>
      <c r="L284" s="180">
        <f t="shared" si="217"/>
        <v>50550</v>
      </c>
      <c r="M284" s="180">
        <f t="shared" si="213"/>
        <v>51550</v>
      </c>
      <c r="N284" s="180">
        <f t="shared" si="214"/>
        <v>44550</v>
      </c>
      <c r="O284" s="107">
        <f t="shared" si="218"/>
        <v>1.019782393669634</v>
      </c>
      <c r="P284" s="132">
        <f t="shared" si="207"/>
        <v>1.1499999999999999</v>
      </c>
      <c r="Q284" s="180">
        <f t="shared" si="215"/>
        <v>62508.064516129023</v>
      </c>
      <c r="R284" s="144">
        <f t="shared" si="219"/>
        <v>62590</v>
      </c>
      <c r="S284" s="179">
        <f>VLOOKUP($B284,'Выгр Торг'!$B:$Q,S$1,0)</f>
        <v>50550</v>
      </c>
      <c r="T284" s="179">
        <f>VLOOKUP($B284,'Выгр Торг'!$B:$Q,T$1,0)</f>
        <v>62590</v>
      </c>
      <c r="U284" s="94">
        <f t="shared" si="208"/>
        <v>0</v>
      </c>
      <c r="V284" s="94">
        <f t="shared" si="209"/>
        <v>0</v>
      </c>
      <c r="W284" s="182">
        <f t="shared" si="220"/>
        <v>58208.7</v>
      </c>
      <c r="X284" s="218">
        <f>IFERROR(VLOOKUP($B284,'Из ГУГЛа'!$B:$G,6,0)*Z284+Y284,VLOOKUP($B284,'Из ГУГЛа'!$B:$G,6,0))</f>
        <v>53090</v>
      </c>
      <c r="Y284" s="220">
        <f t="shared" si="216"/>
        <v>10800</v>
      </c>
      <c r="Z284" s="133">
        <v>1</v>
      </c>
      <c r="AA284" s="133">
        <v>1300</v>
      </c>
      <c r="AB284" s="184">
        <f t="shared" si="221"/>
        <v>0.15150741839762616</v>
      </c>
      <c r="AC284" s="184">
        <f t="shared" si="222"/>
        <v>-9.6415520813712505E-2</v>
      </c>
      <c r="AD284" s="184">
        <f t="shared" si="223"/>
        <v>5.0247279920870414E-2</v>
      </c>
      <c r="AE284" s="222">
        <v>53090</v>
      </c>
      <c r="AF284" s="98" t="s">
        <v>622</v>
      </c>
      <c r="AH284" s="98" t="s">
        <v>132</v>
      </c>
    </row>
    <row r="285" spans="1:34" ht="61.5" thickTop="1" thickBot="1">
      <c r="A285" s="176" t="str">
        <f>INDEX('Выгр Торг'!$A:$A,MATCH($B285,'Выгр Торг'!$B:$B,0))</f>
        <v>Руль анатомический "Ferrum" Grand Sport с обогревом (вставки из алькантары) для Лада Ларгус FL, Веста, XRAY</v>
      </c>
      <c r="B285" s="178">
        <v>341555</v>
      </c>
      <c r="C285" s="179">
        <f>VLOOKUP($B285,'Выгр Торг'!$B:$Q,C$1,0)</f>
        <v>341555</v>
      </c>
      <c r="D285" s="189" t="s">
        <v>132</v>
      </c>
      <c r="E285" s="176" t="str">
        <f>VLOOKUP($B285,'Выгр Торг'!$B:$Q,E$1,0)</f>
        <v>Руль анатомический "Ferrum" Grand Sport с обогревом (вставки из алькантары) для Лада Ларгус FL, Веста, XRAY (Салатовая нить, Чёрный мат)</v>
      </c>
      <c r="F285" s="179" t="str">
        <f>VLOOKUP($B285,'Выгр Торг'!$B:$Q,F$1,0)</f>
        <v>Y</v>
      </c>
      <c r="G285" s="179" t="str">
        <f>VLOOKUP($B285,'Выгр Торг'!$B:$Q,G$1,0)</f>
        <v>1</v>
      </c>
      <c r="H285" s="177">
        <v>166713</v>
      </c>
      <c r="I285" s="156"/>
      <c r="J285" s="160">
        <v>830</v>
      </c>
      <c r="K285" s="161">
        <v>870</v>
      </c>
      <c r="L285" s="180">
        <f t="shared" si="217"/>
        <v>50550</v>
      </c>
      <c r="M285" s="180">
        <f t="shared" si="213"/>
        <v>51550</v>
      </c>
      <c r="N285" s="180">
        <f t="shared" si="214"/>
        <v>44550</v>
      </c>
      <c r="O285" s="107">
        <f t="shared" si="218"/>
        <v>1.019782393669634</v>
      </c>
      <c r="P285" s="132">
        <f t="shared" si="207"/>
        <v>1.1499999999999999</v>
      </c>
      <c r="Q285" s="180">
        <f t="shared" si="215"/>
        <v>62508.064516129023</v>
      </c>
      <c r="R285" s="144">
        <f t="shared" si="219"/>
        <v>62590</v>
      </c>
      <c r="S285" s="179">
        <f>VLOOKUP($B285,'Выгр Торг'!$B:$Q,S$1,0)</f>
        <v>50550</v>
      </c>
      <c r="T285" s="179">
        <f>VLOOKUP($B285,'Выгр Торг'!$B:$Q,T$1,0)</f>
        <v>62590</v>
      </c>
      <c r="U285" s="94">
        <f t="shared" si="208"/>
        <v>0</v>
      </c>
      <c r="V285" s="94">
        <f t="shared" si="209"/>
        <v>0</v>
      </c>
      <c r="W285" s="182">
        <f t="shared" si="220"/>
        <v>58208.7</v>
      </c>
      <c r="X285" s="218">
        <f>IFERROR(VLOOKUP($B285,'Из ГУГЛа'!$B:$G,6,0)*Z285+Y285,VLOOKUP($B285,'Из ГУГЛа'!$B:$G,6,0))</f>
        <v>53090</v>
      </c>
      <c r="Y285" s="220">
        <f t="shared" si="216"/>
        <v>10800</v>
      </c>
      <c r="Z285" s="133">
        <v>1</v>
      </c>
      <c r="AA285" s="133">
        <v>1300</v>
      </c>
      <c r="AB285" s="184">
        <f t="shared" si="221"/>
        <v>0.15150741839762616</v>
      </c>
      <c r="AC285" s="184">
        <f t="shared" si="222"/>
        <v>-9.6415520813712505E-2</v>
      </c>
      <c r="AD285" s="184">
        <f t="shared" si="223"/>
        <v>5.0247279920870414E-2</v>
      </c>
      <c r="AE285" s="222">
        <v>53090</v>
      </c>
      <c r="AF285" s="98" t="s">
        <v>622</v>
      </c>
      <c r="AH285" s="98" t="s">
        <v>132</v>
      </c>
    </row>
    <row r="286" spans="1:34" ht="61.5" thickTop="1" thickBot="1">
      <c r="A286" s="176" t="str">
        <f>INDEX('Выгр Торг'!$A:$A,MATCH($B286,'Выгр Торг'!$B:$B,0))</f>
        <v>Руль анатомический "Ferrum" Grand Sport с обогревом (вставки из алькантары) для Лада Ларгус FL, Веста, XRAY</v>
      </c>
      <c r="B286" s="178">
        <v>341558</v>
      </c>
      <c r="C286" s="179">
        <f>VLOOKUP($B286,'Выгр Торг'!$B:$Q,C$1,0)</f>
        <v>341558</v>
      </c>
      <c r="D286" s="189" t="s">
        <v>132</v>
      </c>
      <c r="E286" s="176" t="str">
        <f>VLOOKUP($B286,'Выгр Торг'!$B:$Q,E$1,0)</f>
        <v>Руль анатомический "Ferrum" Grand Sport с обогревом (вставки из алькантары) для Лада Ларгус FL, Веста, XRAY (Светло-серая нить, Чёрный мат)</v>
      </c>
      <c r="F286" s="179" t="str">
        <f>VLOOKUP($B286,'Выгр Торг'!$B:$Q,F$1,0)</f>
        <v>Y</v>
      </c>
      <c r="G286" s="179" t="str">
        <f>VLOOKUP($B286,'Выгр Торг'!$B:$Q,G$1,0)</f>
        <v>1</v>
      </c>
      <c r="H286" s="177">
        <v>166713</v>
      </c>
      <c r="I286" s="156"/>
      <c r="J286" s="160">
        <v>830</v>
      </c>
      <c r="K286" s="161">
        <v>870</v>
      </c>
      <c r="L286" s="180">
        <f t="shared" si="217"/>
        <v>50550</v>
      </c>
      <c r="M286" s="180">
        <f t="shared" si="213"/>
        <v>51550</v>
      </c>
      <c r="N286" s="180">
        <f t="shared" si="214"/>
        <v>44550</v>
      </c>
      <c r="O286" s="107">
        <f t="shared" si="218"/>
        <v>1.019782393669634</v>
      </c>
      <c r="P286" s="132">
        <f t="shared" si="207"/>
        <v>1.1499999999999999</v>
      </c>
      <c r="Q286" s="180">
        <f t="shared" si="215"/>
        <v>62508.064516129023</v>
      </c>
      <c r="R286" s="144">
        <f t="shared" si="219"/>
        <v>62590</v>
      </c>
      <c r="S286" s="179">
        <f>VLOOKUP($B286,'Выгр Торг'!$B:$Q,S$1,0)</f>
        <v>50550</v>
      </c>
      <c r="T286" s="179">
        <f>VLOOKUP($B286,'Выгр Торг'!$B:$Q,T$1,0)</f>
        <v>62590</v>
      </c>
      <c r="U286" s="94">
        <f t="shared" si="208"/>
        <v>0</v>
      </c>
      <c r="V286" s="94">
        <f t="shared" si="209"/>
        <v>0</v>
      </c>
      <c r="W286" s="182">
        <f t="shared" si="220"/>
        <v>58208.7</v>
      </c>
      <c r="X286" s="218">
        <f>IFERROR(VLOOKUP($B286,'Из ГУГЛа'!$B:$G,6,0)*Z286+Y286,VLOOKUP($B286,'Из ГУГЛа'!$B:$G,6,0))</f>
        <v>53090</v>
      </c>
      <c r="Y286" s="220">
        <f t="shared" si="216"/>
        <v>10800</v>
      </c>
      <c r="Z286" s="133">
        <v>1</v>
      </c>
      <c r="AA286" s="133">
        <v>1300</v>
      </c>
      <c r="AB286" s="184">
        <f t="shared" si="221"/>
        <v>0.15150741839762616</v>
      </c>
      <c r="AC286" s="184">
        <f t="shared" si="222"/>
        <v>-9.6415520813712505E-2</v>
      </c>
      <c r="AD286" s="184">
        <f t="shared" si="223"/>
        <v>5.0247279920870414E-2</v>
      </c>
      <c r="AE286" s="222">
        <v>53090</v>
      </c>
      <c r="AF286" s="98" t="s">
        <v>622</v>
      </c>
      <c r="AH286" s="98" t="s">
        <v>132</v>
      </c>
    </row>
    <row r="287" spans="1:34" ht="61.5" thickTop="1" thickBot="1">
      <c r="A287" s="176" t="str">
        <f>INDEX('Выгр Торг'!$A:$A,MATCH($B287,'Выгр Торг'!$B:$B,0))</f>
        <v>Руль анатомический "Ferrum" Grand Sport с обогревом (вставки из алькантары) для Лада Ларгус FL, Веста, XRAY</v>
      </c>
      <c r="B287" s="178">
        <v>341556</v>
      </c>
      <c r="C287" s="179">
        <f>VLOOKUP($B287,'Выгр Торг'!$B:$Q,C$1,0)</f>
        <v>341556</v>
      </c>
      <c r="D287" s="189" t="s">
        <v>132</v>
      </c>
      <c r="E287" s="176" t="str">
        <f>VLOOKUP($B287,'Выгр Торг'!$B:$Q,E$1,0)</f>
        <v>Руль анатомический "Ferrum" Grand Sport с обогревом (вставки из алькантары) для Лада Ларгус FL, Веста, XRAY (Сине-зелёная нить, Чёрный мат)</v>
      </c>
      <c r="F287" s="179" t="str">
        <f>VLOOKUP($B287,'Выгр Торг'!$B:$Q,F$1,0)</f>
        <v>Y</v>
      </c>
      <c r="G287" s="179" t="str">
        <f>VLOOKUP($B287,'Выгр Торг'!$B:$Q,G$1,0)</f>
        <v>1</v>
      </c>
      <c r="H287" s="177">
        <v>166713</v>
      </c>
      <c r="I287" s="156"/>
      <c r="J287" s="160">
        <v>830</v>
      </c>
      <c r="K287" s="161">
        <v>870</v>
      </c>
      <c r="L287" s="180">
        <f t="shared" si="217"/>
        <v>50550</v>
      </c>
      <c r="M287" s="180">
        <f t="shared" si="213"/>
        <v>51550</v>
      </c>
      <c r="N287" s="180">
        <f t="shared" si="214"/>
        <v>44550</v>
      </c>
      <c r="O287" s="107">
        <f t="shared" si="218"/>
        <v>1.019782393669634</v>
      </c>
      <c r="P287" s="132">
        <f t="shared" si="207"/>
        <v>1.1499999999999999</v>
      </c>
      <c r="Q287" s="180">
        <f t="shared" si="215"/>
        <v>62508.064516129023</v>
      </c>
      <c r="R287" s="144">
        <f t="shared" si="219"/>
        <v>62590</v>
      </c>
      <c r="S287" s="179">
        <f>VLOOKUP($B287,'Выгр Торг'!$B:$Q,S$1,0)</f>
        <v>50550</v>
      </c>
      <c r="T287" s="179">
        <f>VLOOKUP($B287,'Выгр Торг'!$B:$Q,T$1,0)</f>
        <v>62590</v>
      </c>
      <c r="U287" s="94">
        <f t="shared" si="208"/>
        <v>0</v>
      </c>
      <c r="V287" s="94">
        <f t="shared" si="209"/>
        <v>0</v>
      </c>
      <c r="W287" s="182">
        <f t="shared" si="220"/>
        <v>58208.7</v>
      </c>
      <c r="X287" s="218">
        <f>IFERROR(VLOOKUP($B287,'Из ГУГЛа'!$B:$G,6,0)*Z287+Y287,VLOOKUP($B287,'Из ГУГЛа'!$B:$G,6,0))</f>
        <v>53090</v>
      </c>
      <c r="Y287" s="220">
        <f t="shared" si="216"/>
        <v>10800</v>
      </c>
      <c r="Z287" s="133">
        <v>1</v>
      </c>
      <c r="AA287" s="133">
        <v>1300</v>
      </c>
      <c r="AB287" s="184">
        <f t="shared" si="221"/>
        <v>0.15150741839762616</v>
      </c>
      <c r="AC287" s="184">
        <f t="shared" si="222"/>
        <v>-9.6415520813712505E-2</v>
      </c>
      <c r="AD287" s="184">
        <f t="shared" si="223"/>
        <v>5.0247279920870414E-2</v>
      </c>
      <c r="AE287" s="222">
        <v>53090</v>
      </c>
      <c r="AF287" s="98" t="s">
        <v>622</v>
      </c>
      <c r="AH287" s="98" t="s">
        <v>132</v>
      </c>
    </row>
    <row r="288" spans="1:34" ht="61.5" thickTop="1" thickBot="1">
      <c r="A288" s="176" t="str">
        <f>INDEX('Выгр Торг'!$A:$A,MATCH($B288,'Выгр Торг'!$B:$B,0))</f>
        <v>Руль анатомический "Ferrum" Grand Sport с обогревом (вставки из алькантары) для Лада Ларгус FL, Веста, XRAY</v>
      </c>
      <c r="B288" s="178">
        <v>341557</v>
      </c>
      <c r="C288" s="179">
        <f>VLOOKUP($B288,'Выгр Торг'!$B:$Q,C$1,0)</f>
        <v>341557</v>
      </c>
      <c r="D288" s="189" t="s">
        <v>132</v>
      </c>
      <c r="E288" s="176" t="str">
        <f>VLOOKUP($B288,'Выгр Торг'!$B:$Q,E$1,0)</f>
        <v>Руль анатомический "Ferrum" Grand Sport с обогревом (вставки из алькантары) для Лада Ларгус FL, Веста, XRAY (Синяя нить, Чёрный мат)</v>
      </c>
      <c r="F288" s="179" t="str">
        <f>VLOOKUP($B288,'Выгр Торг'!$B:$Q,F$1,0)</f>
        <v>Y</v>
      </c>
      <c r="G288" s="179" t="str">
        <f>VLOOKUP($B288,'Выгр Торг'!$B:$Q,G$1,0)</f>
        <v>1</v>
      </c>
      <c r="H288" s="177">
        <v>166713</v>
      </c>
      <c r="I288" s="156"/>
      <c r="J288" s="160">
        <v>830</v>
      </c>
      <c r="K288" s="161">
        <v>870</v>
      </c>
      <c r="L288" s="180">
        <f t="shared" si="217"/>
        <v>50550</v>
      </c>
      <c r="M288" s="180">
        <f t="shared" si="213"/>
        <v>51550</v>
      </c>
      <c r="N288" s="180">
        <f t="shared" si="214"/>
        <v>44550</v>
      </c>
      <c r="O288" s="107">
        <f t="shared" si="218"/>
        <v>1.019782393669634</v>
      </c>
      <c r="P288" s="132">
        <f t="shared" si="207"/>
        <v>1.1499999999999999</v>
      </c>
      <c r="Q288" s="180">
        <f t="shared" si="215"/>
        <v>62508.064516129023</v>
      </c>
      <c r="R288" s="144">
        <f t="shared" si="219"/>
        <v>62590</v>
      </c>
      <c r="S288" s="179">
        <f>VLOOKUP($B288,'Выгр Торг'!$B:$Q,S$1,0)</f>
        <v>50550</v>
      </c>
      <c r="T288" s="179">
        <f>VLOOKUP($B288,'Выгр Торг'!$B:$Q,T$1,0)</f>
        <v>62590</v>
      </c>
      <c r="U288" s="94">
        <f t="shared" si="208"/>
        <v>0</v>
      </c>
      <c r="V288" s="94">
        <f t="shared" si="209"/>
        <v>0</v>
      </c>
      <c r="W288" s="182">
        <f t="shared" si="220"/>
        <v>58208.7</v>
      </c>
      <c r="X288" s="218">
        <f>IFERROR(VLOOKUP($B288,'Из ГУГЛа'!$B:$G,6,0)*Z288+Y288,VLOOKUP($B288,'Из ГУГЛа'!$B:$G,6,0))</f>
        <v>53090</v>
      </c>
      <c r="Y288" s="220">
        <f t="shared" si="216"/>
        <v>10800</v>
      </c>
      <c r="Z288" s="133">
        <v>1</v>
      </c>
      <c r="AA288" s="133">
        <v>1300</v>
      </c>
      <c r="AB288" s="184">
        <f t="shared" si="221"/>
        <v>0.15150741839762616</v>
      </c>
      <c r="AC288" s="184">
        <f t="shared" si="222"/>
        <v>-9.6415520813712505E-2</v>
      </c>
      <c r="AD288" s="184">
        <f t="shared" si="223"/>
        <v>5.0247279920870414E-2</v>
      </c>
      <c r="AE288" s="222">
        <v>53090</v>
      </c>
      <c r="AF288" s="98" t="s">
        <v>622</v>
      </c>
      <c r="AH288" s="98" t="s">
        <v>132</v>
      </c>
    </row>
    <row r="289" spans="1:34" ht="61.5" thickTop="1" thickBot="1">
      <c r="A289" s="176" t="str">
        <f>INDEX('Выгр Торг'!$A:$A,MATCH($B289,'Выгр Торг'!$B:$B,0))</f>
        <v>Руль анатомический "Ferrum" Grand Sport с обогревом (вставки из алькантары) для Лада Ларгус FL, Веста, XRAY</v>
      </c>
      <c r="B289" s="178">
        <v>341559</v>
      </c>
      <c r="C289" s="179">
        <f>VLOOKUP($B289,'Выгр Торг'!$B:$Q,C$1,0)</f>
        <v>341559</v>
      </c>
      <c r="D289" s="189" t="s">
        <v>132</v>
      </c>
      <c r="E289" s="176" t="str">
        <f>VLOOKUP($B289,'Выгр Торг'!$B:$Q,E$1,0)</f>
        <v>Руль анатомический "Ferrum" Grand Sport с обогревом (вставки из алькантары) для Лада Ларгус FL, Веста, XRAY (Тёмно-серая нить, Чёрный мат)</v>
      </c>
      <c r="F289" s="179" t="str">
        <f>VLOOKUP($B289,'Выгр Торг'!$B:$Q,F$1,0)</f>
        <v>Y</v>
      </c>
      <c r="G289" s="179" t="str">
        <f>VLOOKUP($B289,'Выгр Торг'!$B:$Q,G$1,0)</f>
        <v>1</v>
      </c>
      <c r="H289" s="177">
        <v>166713</v>
      </c>
      <c r="I289" s="156"/>
      <c r="J289" s="160">
        <v>830</v>
      </c>
      <c r="K289" s="161">
        <v>870</v>
      </c>
      <c r="L289" s="180">
        <f t="shared" si="217"/>
        <v>50550</v>
      </c>
      <c r="M289" s="180">
        <f t="shared" si="213"/>
        <v>51550</v>
      </c>
      <c r="N289" s="180">
        <f t="shared" si="214"/>
        <v>44550</v>
      </c>
      <c r="O289" s="107">
        <f t="shared" si="218"/>
        <v>1.019782393669634</v>
      </c>
      <c r="P289" s="132">
        <f t="shared" si="207"/>
        <v>1.1499999999999999</v>
      </c>
      <c r="Q289" s="180">
        <f t="shared" si="215"/>
        <v>62508.064516129023</v>
      </c>
      <c r="R289" s="144">
        <f t="shared" si="219"/>
        <v>62590</v>
      </c>
      <c r="S289" s="179">
        <f>VLOOKUP($B289,'Выгр Торг'!$B:$Q,S$1,0)</f>
        <v>50550</v>
      </c>
      <c r="T289" s="179">
        <f>VLOOKUP($B289,'Выгр Торг'!$B:$Q,T$1,0)</f>
        <v>62590</v>
      </c>
      <c r="U289" s="94">
        <f t="shared" si="208"/>
        <v>0</v>
      </c>
      <c r="V289" s="94">
        <f t="shared" si="209"/>
        <v>0</v>
      </c>
      <c r="W289" s="182">
        <f t="shared" si="220"/>
        <v>58208.7</v>
      </c>
      <c r="X289" s="218">
        <f>IFERROR(VLOOKUP($B289,'Из ГУГЛа'!$B:$G,6,0)*Z289+Y289,VLOOKUP($B289,'Из ГУГЛа'!$B:$G,6,0))</f>
        <v>53090</v>
      </c>
      <c r="Y289" s="220">
        <f t="shared" si="216"/>
        <v>10800</v>
      </c>
      <c r="Z289" s="133">
        <v>1</v>
      </c>
      <c r="AA289" s="133">
        <v>1300</v>
      </c>
      <c r="AB289" s="184">
        <f t="shared" si="221"/>
        <v>0.15150741839762616</v>
      </c>
      <c r="AC289" s="184">
        <f t="shared" si="222"/>
        <v>-9.6415520813712505E-2</v>
      </c>
      <c r="AD289" s="184">
        <f t="shared" si="223"/>
        <v>5.0247279920870414E-2</v>
      </c>
      <c r="AE289" s="222">
        <v>53090</v>
      </c>
      <c r="AF289" s="98" t="s">
        <v>622</v>
      </c>
      <c r="AH289" s="98" t="s">
        <v>132</v>
      </c>
    </row>
    <row r="290" spans="1:34" ht="61.5" thickTop="1" thickBot="1">
      <c r="A290" s="176" t="str">
        <f>INDEX('Выгр Торг'!$A:$A,MATCH($B290,'Выгр Торг'!$B:$B,0))</f>
        <v>Руль анатомический "Ferrum" Grand Sport с обогревом (вставки из алькантары) для Лада Ларгус FL, Веста, XRAY</v>
      </c>
      <c r="B290" s="178">
        <v>341551</v>
      </c>
      <c r="C290" s="179">
        <f>VLOOKUP($B290,'Выгр Торг'!$B:$Q,C$1,0)</f>
        <v>341551</v>
      </c>
      <c r="D290" s="189" t="s">
        <v>132</v>
      </c>
      <c r="E290" s="176" t="str">
        <f>VLOOKUP($B290,'Выгр Торг'!$B:$Q,E$1,0)</f>
        <v>Руль анатомический "Ferrum" Grand Sport с обогревом (вставки из алькантары) для Лада Ларгус FL, Веста, XRAY (Фиолетовая нить, Чёрный мат)</v>
      </c>
      <c r="F290" s="179" t="str">
        <f>VLOOKUP($B290,'Выгр Торг'!$B:$Q,F$1,0)</f>
        <v>Y</v>
      </c>
      <c r="G290" s="179" t="str">
        <f>VLOOKUP($B290,'Выгр Торг'!$B:$Q,G$1,0)</f>
        <v>1</v>
      </c>
      <c r="H290" s="177">
        <v>166713</v>
      </c>
      <c r="I290" s="156"/>
      <c r="J290" s="160">
        <v>830</v>
      </c>
      <c r="K290" s="161">
        <v>870</v>
      </c>
      <c r="L290" s="180">
        <f t="shared" si="217"/>
        <v>50550</v>
      </c>
      <c r="M290" s="180">
        <f t="shared" si="213"/>
        <v>51550</v>
      </c>
      <c r="N290" s="180">
        <f t="shared" si="214"/>
        <v>44550</v>
      </c>
      <c r="O290" s="107">
        <f t="shared" si="218"/>
        <v>1.019782393669634</v>
      </c>
      <c r="P290" s="132">
        <f t="shared" si="207"/>
        <v>1.1499999999999999</v>
      </c>
      <c r="Q290" s="180">
        <f t="shared" si="215"/>
        <v>62508.064516129023</v>
      </c>
      <c r="R290" s="144">
        <f t="shared" si="219"/>
        <v>62590</v>
      </c>
      <c r="S290" s="179">
        <f>VLOOKUP($B290,'Выгр Торг'!$B:$Q,S$1,0)</f>
        <v>50550</v>
      </c>
      <c r="T290" s="179">
        <f>VLOOKUP($B290,'Выгр Торг'!$B:$Q,T$1,0)</f>
        <v>62590</v>
      </c>
      <c r="U290" s="94">
        <f t="shared" si="208"/>
        <v>0</v>
      </c>
      <c r="V290" s="94">
        <f t="shared" si="209"/>
        <v>0</v>
      </c>
      <c r="W290" s="182">
        <f t="shared" si="220"/>
        <v>58208.7</v>
      </c>
      <c r="X290" s="218">
        <f>IFERROR(VLOOKUP($B290,'Из ГУГЛа'!$B:$G,6,0)*Z290+Y290,VLOOKUP($B290,'Из ГУГЛа'!$B:$G,6,0))</f>
        <v>53090</v>
      </c>
      <c r="Y290" s="220">
        <f t="shared" si="216"/>
        <v>10800</v>
      </c>
      <c r="Z290" s="133">
        <v>1</v>
      </c>
      <c r="AA290" s="133">
        <v>1300</v>
      </c>
      <c r="AB290" s="184">
        <f t="shared" si="221"/>
        <v>0.15150741839762616</v>
      </c>
      <c r="AC290" s="184">
        <f t="shared" si="222"/>
        <v>-9.6415520813712505E-2</v>
      </c>
      <c r="AD290" s="184">
        <f t="shared" si="223"/>
        <v>5.0247279920870414E-2</v>
      </c>
      <c r="AE290" s="222">
        <v>53090</v>
      </c>
      <c r="AF290" s="98" t="s">
        <v>622</v>
      </c>
      <c r="AH290" s="98" t="s">
        <v>132</v>
      </c>
    </row>
    <row r="291" spans="1:34" ht="61.5" thickTop="1" thickBot="1">
      <c r="A291" s="176" t="str">
        <f>INDEX('Выгр Торг'!$A:$A,MATCH($B291,'Выгр Торг'!$B:$B,0))</f>
        <v>Руль анатомический "Ferrum" Grand Sport с обогревом (вставки из алькантары) для Лада Ларгус FL, Веста, XRAY</v>
      </c>
      <c r="B291" s="178">
        <v>132619</v>
      </c>
      <c r="C291" s="179">
        <f>VLOOKUP($B291,'Выгр Торг'!$B:$Q,C$1,0)</f>
        <v>166722</v>
      </c>
      <c r="D291" s="189" t="s">
        <v>132</v>
      </c>
      <c r="E291" s="176" t="str">
        <f>VLOOKUP($B291,'Выгр Торг'!$B:$Q,E$1,0)</f>
        <v>Руль анатомический "Ferrum" Grand Sport с обогревом (вставки из алькантары) для Лада Ларгус FL, Веста, XRAY (Жёлтая нить, Чёрный глянец)</v>
      </c>
      <c r="F291" s="179" t="str">
        <f>VLOOKUP($B291,'Выгр Торг'!$B:$Q,F$1,0)</f>
        <v>Y</v>
      </c>
      <c r="G291" s="179" t="str">
        <f>VLOOKUP($B291,'Выгр Торг'!$B:$Q,G$1,0)</f>
        <v>1</v>
      </c>
      <c r="H291" s="177">
        <v>166713</v>
      </c>
      <c r="I291" s="156"/>
      <c r="J291" s="160"/>
      <c r="K291" s="161">
        <v>870</v>
      </c>
      <c r="L291" s="180">
        <f t="shared" si="217"/>
        <v>49720</v>
      </c>
      <c r="M291" s="180">
        <f t="shared" si="213"/>
        <v>50720</v>
      </c>
      <c r="N291" s="180">
        <f t="shared" si="214"/>
        <v>43720</v>
      </c>
      <c r="O291" s="107">
        <f t="shared" si="218"/>
        <v>1.0201126307320998</v>
      </c>
      <c r="P291" s="132">
        <f t="shared" si="207"/>
        <v>1.1499999999999999</v>
      </c>
      <c r="Q291" s="180">
        <f t="shared" si="215"/>
        <v>61481.720430107518</v>
      </c>
      <c r="R291" s="144">
        <f t="shared" si="219"/>
        <v>61490</v>
      </c>
      <c r="S291" s="179">
        <f>VLOOKUP($B291,'Выгр Торг'!$B:$Q,S$1,0)</f>
        <v>49720</v>
      </c>
      <c r="T291" s="179">
        <f>VLOOKUP($B291,'Выгр Торг'!$B:$Q,T$1,0)</f>
        <v>61490</v>
      </c>
      <c r="U291" s="94">
        <f t="shared" si="208"/>
        <v>0</v>
      </c>
      <c r="V291" s="94">
        <f t="shared" si="209"/>
        <v>0</v>
      </c>
      <c r="W291" s="182">
        <f t="shared" si="220"/>
        <v>57185.7</v>
      </c>
      <c r="X291" s="218">
        <f>IFERROR(VLOOKUP($B291,'Из ГУГЛа'!$B:$G,6,0)*Z291+Y291,VLOOKUP($B291,'Из ГУГЛа'!$B:$G,6,0))</f>
        <v>52260</v>
      </c>
      <c r="Y291" s="220">
        <f t="shared" si="216"/>
        <v>9970</v>
      </c>
      <c r="Z291" s="133">
        <v>1</v>
      </c>
      <c r="AA291" s="133"/>
      <c r="AB291" s="184">
        <f t="shared" si="221"/>
        <v>0.15015486725663707</v>
      </c>
      <c r="AC291" s="184">
        <f t="shared" si="222"/>
        <v>-9.425373134328352E-2</v>
      </c>
      <c r="AD291" s="184">
        <f t="shared" si="223"/>
        <v>5.1086082059533355E-2</v>
      </c>
      <c r="AE291" s="222">
        <v>52260</v>
      </c>
      <c r="AF291" s="98" t="s">
        <v>622</v>
      </c>
      <c r="AH291" s="98" t="s">
        <v>132</v>
      </c>
    </row>
    <row r="292" spans="1:34" ht="61.5" thickTop="1" thickBot="1">
      <c r="A292" s="125" t="str">
        <f>INDEX('Выгр Торг'!$A:$A,MATCH($B292,'Выгр Торг'!$B:$B,0))</f>
        <v>Руль анатомический "Ferrum" Grand Sport с обогревом (вставки из алькантары) для Лада Ларгус FL, Веста, XRAY</v>
      </c>
      <c r="B292" s="126">
        <v>132620</v>
      </c>
      <c r="C292" s="127">
        <f>VLOOKUP($B292,'Выгр Торг'!$B:$Q,C$1,0)</f>
        <v>166726</v>
      </c>
      <c r="D292" s="128" t="s">
        <v>132</v>
      </c>
      <c r="E292" s="125" t="str">
        <f>VLOOKUP($B292,'Выгр Торг'!$B:$Q,E$1,0)</f>
        <v>Руль анатомический "Ferrum" Grand Sport с обогревом (вставки из алькантары) для Лада Ларгус FL, Веста, XRAY (Зелёная нить, Чёрный глянец)</v>
      </c>
      <c r="F292" s="127" t="str">
        <f>VLOOKUP($B292,'Выгр Торг'!$B:$Q,F$1,0)</f>
        <v>Y</v>
      </c>
      <c r="G292" s="127" t="str">
        <f>VLOOKUP($B292,'Выгр Торг'!$B:$Q,G$1,0)</f>
        <v>1</v>
      </c>
      <c r="H292" s="40">
        <v>166713</v>
      </c>
      <c r="I292" s="156"/>
      <c r="J292" s="160"/>
      <c r="K292" s="161">
        <v>870</v>
      </c>
      <c r="L292" s="130">
        <f t="shared" ref="L292:L302" si="224">M292-1000</f>
        <v>49720</v>
      </c>
      <c r="M292" s="130">
        <f t="shared" si="213"/>
        <v>50720</v>
      </c>
      <c r="N292" s="130">
        <f t="shared" si="214"/>
        <v>43720</v>
      </c>
      <c r="O292" s="132">
        <f t="shared" si="164"/>
        <v>1.0201126307320998</v>
      </c>
      <c r="P292" s="132">
        <f t="shared" si="207"/>
        <v>1.1499999999999999</v>
      </c>
      <c r="Q292" s="130">
        <f t="shared" si="215"/>
        <v>61481.720430107518</v>
      </c>
      <c r="R292" s="148">
        <f t="shared" si="166"/>
        <v>61490</v>
      </c>
      <c r="S292" s="127">
        <f>VLOOKUP($B292,'Выгр Торг'!$B:$Q,S$1,0)</f>
        <v>49720</v>
      </c>
      <c r="T292" s="127">
        <f>VLOOKUP($B292,'Выгр Торг'!$B:$Q,T$1,0)</f>
        <v>61490</v>
      </c>
      <c r="U292" s="94">
        <f t="shared" si="208"/>
        <v>0</v>
      </c>
      <c r="V292" s="94">
        <f t="shared" si="209"/>
        <v>0</v>
      </c>
      <c r="W292" s="153">
        <f t="shared" si="167"/>
        <v>57185.7</v>
      </c>
      <c r="X292" s="209">
        <f>IFERROR(VLOOKUP($B292,'Из ГУГЛа'!$B:$G,6,0)*Z292+Y292,VLOOKUP($B292,'Из ГУГЛа'!$B:$G,6,0))</f>
        <v>52260</v>
      </c>
      <c r="Y292" s="220">
        <f t="shared" si="216"/>
        <v>9970</v>
      </c>
      <c r="Z292" s="133">
        <v>1</v>
      </c>
      <c r="AA292" s="134"/>
      <c r="AB292" s="135">
        <f t="shared" si="160"/>
        <v>0.15015486725663707</v>
      </c>
      <c r="AC292" s="135">
        <f t="shared" si="161"/>
        <v>-9.425373134328352E-2</v>
      </c>
      <c r="AD292" s="135">
        <f t="shared" si="162"/>
        <v>5.1086082059533355E-2</v>
      </c>
      <c r="AE292" s="222">
        <v>52260</v>
      </c>
      <c r="AF292" s="98" t="s">
        <v>622</v>
      </c>
      <c r="AH292" s="98" t="s">
        <v>132</v>
      </c>
    </row>
    <row r="293" spans="1:34" ht="61.5" thickTop="1" thickBot="1">
      <c r="A293" s="125" t="str">
        <f>INDEX('Выгр Торг'!$A:$A,MATCH($B293,'Выгр Торг'!$B:$B,0))</f>
        <v>Руль анатомический "Ferrum" Grand Sport с обогревом (вставки из алькантары) для Лада Ларгус FL, Веста, XRAY</v>
      </c>
      <c r="B293" s="126">
        <v>132621</v>
      </c>
      <c r="C293" s="127">
        <f>VLOOKUP($B293,'Выгр Торг'!$B:$Q,C$1,0)</f>
        <v>166718</v>
      </c>
      <c r="D293" s="128" t="s">
        <v>132</v>
      </c>
      <c r="E293" s="125" t="str">
        <f>VLOOKUP($B293,'Выгр Торг'!$B:$Q,E$1,0)</f>
        <v>Руль анатомический "Ferrum" Grand Sport с обогревом (вставки из алькантары) для Лада Ларгус FL, Веста, XRAY (Коричневая нить, Чёрный глянец)</v>
      </c>
      <c r="F293" s="127" t="str">
        <f>VLOOKUP($B293,'Выгр Торг'!$B:$Q,F$1,0)</f>
        <v>Y</v>
      </c>
      <c r="G293" s="127" t="str">
        <f>VLOOKUP($B293,'Выгр Торг'!$B:$Q,G$1,0)</f>
        <v>1</v>
      </c>
      <c r="H293" s="40">
        <v>166713</v>
      </c>
      <c r="I293" s="156"/>
      <c r="J293" s="160"/>
      <c r="K293" s="161">
        <v>870</v>
      </c>
      <c r="L293" s="130">
        <f t="shared" si="224"/>
        <v>49720</v>
      </c>
      <c r="M293" s="130">
        <f t="shared" si="213"/>
        <v>50720</v>
      </c>
      <c r="N293" s="130">
        <f t="shared" si="214"/>
        <v>43720</v>
      </c>
      <c r="O293" s="132">
        <f t="shared" si="164"/>
        <v>1.0201126307320998</v>
      </c>
      <c r="P293" s="132">
        <f t="shared" si="207"/>
        <v>1.1499999999999999</v>
      </c>
      <c r="Q293" s="130">
        <f t="shared" si="215"/>
        <v>61481.720430107518</v>
      </c>
      <c r="R293" s="148">
        <f t="shared" si="166"/>
        <v>61490</v>
      </c>
      <c r="S293" s="127">
        <f>VLOOKUP($B293,'Выгр Торг'!$B:$Q,S$1,0)</f>
        <v>49720</v>
      </c>
      <c r="T293" s="127">
        <f>VLOOKUP($B293,'Выгр Торг'!$B:$Q,T$1,0)</f>
        <v>61490</v>
      </c>
      <c r="U293" s="94">
        <f t="shared" si="208"/>
        <v>0</v>
      </c>
      <c r="V293" s="94">
        <f t="shared" si="209"/>
        <v>0</v>
      </c>
      <c r="W293" s="153">
        <f t="shared" si="167"/>
        <v>57185.7</v>
      </c>
      <c r="X293" s="209">
        <f>IFERROR(VLOOKUP($B293,'Из ГУГЛа'!$B:$G,6,0)*Z293+Y293,VLOOKUP($B293,'Из ГУГЛа'!$B:$G,6,0))</f>
        <v>52260</v>
      </c>
      <c r="Y293" s="220">
        <f t="shared" si="216"/>
        <v>9970</v>
      </c>
      <c r="Z293" s="133">
        <v>1</v>
      </c>
      <c r="AA293" s="134"/>
      <c r="AB293" s="135">
        <f t="shared" si="160"/>
        <v>0.15015486725663707</v>
      </c>
      <c r="AC293" s="135">
        <f t="shared" si="161"/>
        <v>-9.425373134328352E-2</v>
      </c>
      <c r="AD293" s="135">
        <f t="shared" si="162"/>
        <v>5.1086082059533355E-2</v>
      </c>
      <c r="AE293" s="222">
        <v>52260</v>
      </c>
      <c r="AF293" s="98" t="s">
        <v>622</v>
      </c>
      <c r="AH293" s="98" t="s">
        <v>132</v>
      </c>
    </row>
    <row r="294" spans="1:34" ht="61.5" thickTop="1" thickBot="1">
      <c r="A294" s="125" t="str">
        <f>INDEX('Выгр Торг'!$A:$A,MATCH($B294,'Выгр Торг'!$B:$B,0))</f>
        <v>Руль анатомический "Ferrum" Grand Sport с обогревом (вставки из алькантары) для Лада Ларгус FL, Веста, XRAY</v>
      </c>
      <c r="B294" s="126">
        <v>132622</v>
      </c>
      <c r="C294" s="127">
        <f>VLOOKUP($B294,'Выгр Торг'!$B:$Q,C$1,0)</f>
        <v>166725</v>
      </c>
      <c r="D294" s="128" t="s">
        <v>132</v>
      </c>
      <c r="E294" s="125" t="str">
        <f>VLOOKUP($B294,'Выгр Торг'!$B:$Q,E$1,0)</f>
        <v>Руль анатомический "Ferrum" Grand Sport с обогревом (вставки из алькантары) для Лада Ларгус FL, Веста, XRAY (Красная нить, Чёрный глянец)</v>
      </c>
      <c r="F294" s="127" t="str">
        <f>VLOOKUP($B294,'Выгр Торг'!$B:$Q,F$1,0)</f>
        <v>Y</v>
      </c>
      <c r="G294" s="127" t="str">
        <f>VLOOKUP($B294,'Выгр Торг'!$B:$Q,G$1,0)</f>
        <v>1</v>
      </c>
      <c r="H294" s="40">
        <v>166713</v>
      </c>
      <c r="I294" s="156"/>
      <c r="J294" s="160"/>
      <c r="K294" s="161">
        <v>870</v>
      </c>
      <c r="L294" s="130">
        <f t="shared" si="224"/>
        <v>49720</v>
      </c>
      <c r="M294" s="130">
        <f t="shared" si="213"/>
        <v>50720</v>
      </c>
      <c r="N294" s="130">
        <f t="shared" si="214"/>
        <v>43720</v>
      </c>
      <c r="O294" s="132">
        <f t="shared" si="164"/>
        <v>1.0201126307320998</v>
      </c>
      <c r="P294" s="132">
        <f t="shared" si="207"/>
        <v>1.1499999999999999</v>
      </c>
      <c r="Q294" s="130">
        <f t="shared" si="215"/>
        <v>61481.720430107518</v>
      </c>
      <c r="R294" s="148">
        <f t="shared" si="166"/>
        <v>61490</v>
      </c>
      <c r="S294" s="127">
        <f>VLOOKUP($B294,'Выгр Торг'!$B:$Q,S$1,0)</f>
        <v>49720</v>
      </c>
      <c r="T294" s="127">
        <f>VLOOKUP($B294,'Выгр Торг'!$B:$Q,T$1,0)</f>
        <v>61490</v>
      </c>
      <c r="U294" s="94">
        <f t="shared" si="208"/>
        <v>0</v>
      </c>
      <c r="V294" s="94">
        <f t="shared" si="209"/>
        <v>0</v>
      </c>
      <c r="W294" s="153">
        <f t="shared" si="167"/>
        <v>57185.7</v>
      </c>
      <c r="X294" s="209">
        <f>IFERROR(VLOOKUP($B294,'Из ГУГЛа'!$B:$G,6,0)*Z294+Y294,VLOOKUP($B294,'Из ГУГЛа'!$B:$G,6,0))</f>
        <v>52260</v>
      </c>
      <c r="Y294" s="220">
        <f t="shared" si="216"/>
        <v>9970</v>
      </c>
      <c r="Z294" s="133">
        <v>1</v>
      </c>
      <c r="AA294" s="134"/>
      <c r="AB294" s="135">
        <f t="shared" si="160"/>
        <v>0.15015486725663707</v>
      </c>
      <c r="AC294" s="135">
        <f t="shared" si="161"/>
        <v>-9.425373134328352E-2</v>
      </c>
      <c r="AD294" s="135">
        <f t="shared" si="162"/>
        <v>5.1086082059533355E-2</v>
      </c>
      <c r="AE294" s="222">
        <v>52260</v>
      </c>
      <c r="AF294" s="98" t="s">
        <v>622</v>
      </c>
      <c r="AH294" s="98" t="s">
        <v>132</v>
      </c>
    </row>
    <row r="295" spans="1:34" ht="61.5" thickTop="1" thickBot="1">
      <c r="A295" s="125" t="str">
        <f>INDEX('Выгр Торг'!$A:$A,MATCH($B295,'Выгр Торг'!$B:$B,0))</f>
        <v>Руль анатомический "Ferrum" Grand Sport с обогревом (вставки из алькантары) для Лада Ларгус FL, Веста, XRAY</v>
      </c>
      <c r="B295" s="126">
        <v>132623</v>
      </c>
      <c r="C295" s="127">
        <f>VLOOKUP($B295,'Выгр Торг'!$B:$Q,C$1,0)</f>
        <v>166721</v>
      </c>
      <c r="D295" s="128" t="s">
        <v>132</v>
      </c>
      <c r="E295" s="125" t="str">
        <f>VLOOKUP($B295,'Выгр Торг'!$B:$Q,E$1,0)</f>
        <v>Руль анатомический "Ferrum" Grand Sport с обогревом (вставки из алькантары) для Лада Ларгус FL, Веста, XRAY (Оранжевая нить, Чёрный глянец)</v>
      </c>
      <c r="F295" s="127" t="str">
        <f>VLOOKUP($B295,'Выгр Торг'!$B:$Q,F$1,0)</f>
        <v>Y</v>
      </c>
      <c r="G295" s="127" t="str">
        <f>VLOOKUP($B295,'Выгр Торг'!$B:$Q,G$1,0)</f>
        <v>1</v>
      </c>
      <c r="H295" s="40">
        <v>166713</v>
      </c>
      <c r="I295" s="156"/>
      <c r="J295" s="160"/>
      <c r="K295" s="161">
        <v>870</v>
      </c>
      <c r="L295" s="130">
        <f t="shared" si="224"/>
        <v>49720</v>
      </c>
      <c r="M295" s="130">
        <f t="shared" si="213"/>
        <v>50720</v>
      </c>
      <c r="N295" s="130">
        <f t="shared" si="214"/>
        <v>43720</v>
      </c>
      <c r="O295" s="132">
        <f t="shared" si="164"/>
        <v>1.0201126307320998</v>
      </c>
      <c r="P295" s="132">
        <f t="shared" si="207"/>
        <v>1.1499999999999999</v>
      </c>
      <c r="Q295" s="130">
        <f t="shared" si="215"/>
        <v>61481.720430107518</v>
      </c>
      <c r="R295" s="148">
        <f t="shared" si="166"/>
        <v>61490</v>
      </c>
      <c r="S295" s="127">
        <f>VLOOKUP($B295,'Выгр Торг'!$B:$Q,S$1,0)</f>
        <v>49720</v>
      </c>
      <c r="T295" s="127">
        <f>VLOOKUP($B295,'Выгр Торг'!$B:$Q,T$1,0)</f>
        <v>61490</v>
      </c>
      <c r="U295" s="94">
        <f t="shared" si="208"/>
        <v>0</v>
      </c>
      <c r="V295" s="94">
        <f t="shared" si="209"/>
        <v>0</v>
      </c>
      <c r="W295" s="153">
        <f t="shared" si="167"/>
        <v>57185.7</v>
      </c>
      <c r="X295" s="209">
        <f>IFERROR(VLOOKUP($B295,'Из ГУГЛа'!$B:$G,6,0)*Z295+Y295,VLOOKUP($B295,'Из ГУГЛа'!$B:$G,6,0))</f>
        <v>52260</v>
      </c>
      <c r="Y295" s="220">
        <f t="shared" si="216"/>
        <v>9970</v>
      </c>
      <c r="Z295" s="133">
        <v>1</v>
      </c>
      <c r="AA295" s="134"/>
      <c r="AB295" s="135">
        <f t="shared" si="160"/>
        <v>0.15015486725663707</v>
      </c>
      <c r="AC295" s="135">
        <f t="shared" si="161"/>
        <v>-9.425373134328352E-2</v>
      </c>
      <c r="AD295" s="135">
        <f t="shared" si="162"/>
        <v>5.1086082059533355E-2</v>
      </c>
      <c r="AE295" s="222">
        <v>52260</v>
      </c>
      <c r="AF295" s="98" t="s">
        <v>622</v>
      </c>
      <c r="AH295" s="98" t="s">
        <v>132</v>
      </c>
    </row>
    <row r="296" spans="1:34" ht="61.5" thickTop="1" thickBot="1">
      <c r="A296" s="125" t="str">
        <f>INDEX('Выгр Торг'!$A:$A,MATCH($B296,'Выгр Торг'!$B:$B,0))</f>
        <v>Руль анатомический "Ferrum" Grand Sport с обогревом (вставки из алькантары) для Лада Ларгус FL, Веста, XRAY</v>
      </c>
      <c r="B296" s="126">
        <v>132624</v>
      </c>
      <c r="C296" s="127">
        <f>VLOOKUP($B296,'Выгр Торг'!$B:$Q,C$1,0)</f>
        <v>166723</v>
      </c>
      <c r="D296" s="128" t="s">
        <v>132</v>
      </c>
      <c r="E296" s="125" t="str">
        <f>VLOOKUP($B296,'Выгр Торг'!$B:$Q,E$1,0)</f>
        <v>Руль анатомический "Ferrum" Grand Sport с обогревом (вставки из алькантары) для Лада Ларгус FL, Веста, XRAY (Салатовая нить, Чёрный глянец)</v>
      </c>
      <c r="F296" s="127" t="str">
        <f>VLOOKUP($B296,'Выгр Торг'!$B:$Q,F$1,0)</f>
        <v>Y</v>
      </c>
      <c r="G296" s="127" t="str">
        <f>VLOOKUP($B296,'Выгр Торг'!$B:$Q,G$1,0)</f>
        <v>1</v>
      </c>
      <c r="H296" s="40">
        <v>166713</v>
      </c>
      <c r="I296" s="156"/>
      <c r="J296" s="160"/>
      <c r="K296" s="161">
        <v>870</v>
      </c>
      <c r="L296" s="130">
        <f t="shared" si="224"/>
        <v>49720</v>
      </c>
      <c r="M296" s="130">
        <f t="shared" si="213"/>
        <v>50720</v>
      </c>
      <c r="N296" s="130">
        <f t="shared" si="214"/>
        <v>43720</v>
      </c>
      <c r="O296" s="132">
        <f t="shared" si="164"/>
        <v>1.0201126307320998</v>
      </c>
      <c r="P296" s="132">
        <f t="shared" si="207"/>
        <v>1.1499999999999999</v>
      </c>
      <c r="Q296" s="130">
        <f t="shared" si="215"/>
        <v>61481.720430107518</v>
      </c>
      <c r="R296" s="148">
        <f t="shared" si="166"/>
        <v>61490</v>
      </c>
      <c r="S296" s="127">
        <f>VLOOKUP($B296,'Выгр Торг'!$B:$Q,S$1,0)</f>
        <v>49720</v>
      </c>
      <c r="T296" s="127">
        <f>VLOOKUP($B296,'Выгр Торг'!$B:$Q,T$1,0)</f>
        <v>61490</v>
      </c>
      <c r="U296" s="94">
        <f t="shared" si="208"/>
        <v>0</v>
      </c>
      <c r="V296" s="94">
        <f t="shared" si="209"/>
        <v>0</v>
      </c>
      <c r="W296" s="153">
        <f t="shared" si="167"/>
        <v>57185.7</v>
      </c>
      <c r="X296" s="209">
        <f>IFERROR(VLOOKUP($B296,'Из ГУГЛа'!$B:$G,6,0)*Z296+Y296,VLOOKUP($B296,'Из ГУГЛа'!$B:$G,6,0))</f>
        <v>52260</v>
      </c>
      <c r="Y296" s="220">
        <f t="shared" si="216"/>
        <v>9970</v>
      </c>
      <c r="Z296" s="133">
        <v>1</v>
      </c>
      <c r="AA296" s="134"/>
      <c r="AB296" s="135">
        <f t="shared" si="160"/>
        <v>0.15015486725663707</v>
      </c>
      <c r="AC296" s="135">
        <f t="shared" si="161"/>
        <v>-9.425373134328352E-2</v>
      </c>
      <c r="AD296" s="135">
        <f t="shared" si="162"/>
        <v>5.1086082059533355E-2</v>
      </c>
      <c r="AE296" s="222">
        <v>52260</v>
      </c>
      <c r="AF296" s="98" t="s">
        <v>622</v>
      </c>
      <c r="AH296" s="98" t="s">
        <v>132</v>
      </c>
    </row>
    <row r="297" spans="1:34" ht="61.5" thickTop="1" thickBot="1">
      <c r="A297" s="125" t="str">
        <f>INDEX('Выгр Торг'!$A:$A,MATCH($B297,'Выгр Торг'!$B:$B,0))</f>
        <v>Руль анатомический "Ferrum" Grand Sport с обогревом (вставки из алькантары) для Лада Ларгус FL, Веста, XRAY</v>
      </c>
      <c r="B297" s="126">
        <v>132625</v>
      </c>
      <c r="C297" s="127">
        <f>VLOOKUP($B297,'Выгр Торг'!$B:$Q,C$1,0)</f>
        <v>166724</v>
      </c>
      <c r="D297" s="128" t="s">
        <v>132</v>
      </c>
      <c r="E297" s="125" t="str">
        <f>VLOOKUP($B297,'Выгр Торг'!$B:$Q,E$1,0)</f>
        <v>Руль анатомический "Ferrum" Grand Sport с обогревом (вставки из алькантары) для Лада Ларгус FL, Веста, XRAY (Светло-серая нить, Чёрный глянец)</v>
      </c>
      <c r="F297" s="127" t="str">
        <f>VLOOKUP($B297,'Выгр Торг'!$B:$Q,F$1,0)</f>
        <v>Y</v>
      </c>
      <c r="G297" s="127" t="str">
        <f>VLOOKUP($B297,'Выгр Торг'!$B:$Q,G$1,0)</f>
        <v>1</v>
      </c>
      <c r="H297" s="40">
        <v>166713</v>
      </c>
      <c r="I297" s="156"/>
      <c r="J297" s="160"/>
      <c r="K297" s="161">
        <v>870</v>
      </c>
      <c r="L297" s="130">
        <f t="shared" si="224"/>
        <v>49720</v>
      </c>
      <c r="M297" s="130">
        <f t="shared" si="213"/>
        <v>50720</v>
      </c>
      <c r="N297" s="130">
        <f t="shared" si="214"/>
        <v>43720</v>
      </c>
      <c r="O297" s="132">
        <f t="shared" si="164"/>
        <v>1.0201126307320998</v>
      </c>
      <c r="P297" s="132">
        <f t="shared" si="207"/>
        <v>1.1499999999999999</v>
      </c>
      <c r="Q297" s="130">
        <f t="shared" si="215"/>
        <v>61481.720430107518</v>
      </c>
      <c r="R297" s="148">
        <f t="shared" si="166"/>
        <v>61490</v>
      </c>
      <c r="S297" s="127">
        <f>VLOOKUP($B297,'Выгр Торг'!$B:$Q,S$1,0)</f>
        <v>49720</v>
      </c>
      <c r="T297" s="127">
        <f>VLOOKUP($B297,'Выгр Торг'!$B:$Q,T$1,0)</f>
        <v>61490</v>
      </c>
      <c r="U297" s="94">
        <f t="shared" si="208"/>
        <v>0</v>
      </c>
      <c r="V297" s="94">
        <f t="shared" si="209"/>
        <v>0</v>
      </c>
      <c r="W297" s="153">
        <f t="shared" si="167"/>
        <v>57185.7</v>
      </c>
      <c r="X297" s="209">
        <f>IFERROR(VLOOKUP($B297,'Из ГУГЛа'!$B:$G,6,0)*Z297+Y297,VLOOKUP($B297,'Из ГУГЛа'!$B:$G,6,0))</f>
        <v>52260</v>
      </c>
      <c r="Y297" s="220">
        <f t="shared" si="216"/>
        <v>9970</v>
      </c>
      <c r="Z297" s="133">
        <v>1</v>
      </c>
      <c r="AA297" s="134"/>
      <c r="AB297" s="135">
        <f t="shared" si="160"/>
        <v>0.15015486725663707</v>
      </c>
      <c r="AC297" s="135">
        <f t="shared" si="161"/>
        <v>-9.425373134328352E-2</v>
      </c>
      <c r="AD297" s="135">
        <f t="shared" si="162"/>
        <v>5.1086082059533355E-2</v>
      </c>
      <c r="AE297" s="222">
        <v>52260</v>
      </c>
      <c r="AF297" s="98" t="s">
        <v>622</v>
      </c>
      <c r="AH297" s="98" t="s">
        <v>132</v>
      </c>
    </row>
    <row r="298" spans="1:34" ht="61.5" thickTop="1" thickBot="1">
      <c r="A298" s="125" t="str">
        <f>INDEX('Выгр Торг'!$A:$A,MATCH($B298,'Выгр Торг'!$B:$B,0))</f>
        <v>Руль анатомический "Ferrum" Grand Sport с обогревом (вставки из алькантары) для Лада Ларгус FL, Веста, XRAY</v>
      </c>
      <c r="B298" s="126">
        <v>132626</v>
      </c>
      <c r="C298" s="127">
        <f>VLOOKUP($B298,'Выгр Торг'!$B:$Q,C$1,0)</f>
        <v>166720</v>
      </c>
      <c r="D298" s="128" t="s">
        <v>132</v>
      </c>
      <c r="E298" s="125" t="str">
        <f>VLOOKUP($B298,'Выгр Торг'!$B:$Q,E$1,0)</f>
        <v>Руль анатомический "Ferrum" Grand Sport с обогревом (вставки из алькантары) для Лада Ларгус FL, Веста, XRAY (Сине-зелёная нить, Чёрный глянец)</v>
      </c>
      <c r="F298" s="127" t="str">
        <f>VLOOKUP($B298,'Выгр Торг'!$B:$Q,F$1,0)</f>
        <v>Y</v>
      </c>
      <c r="G298" s="127" t="str">
        <f>VLOOKUP($B298,'Выгр Торг'!$B:$Q,G$1,0)</f>
        <v>1</v>
      </c>
      <c r="H298" s="40">
        <v>166713</v>
      </c>
      <c r="I298" s="156"/>
      <c r="J298" s="160"/>
      <c r="K298" s="161">
        <v>870</v>
      </c>
      <c r="L298" s="130">
        <f t="shared" si="224"/>
        <v>49720</v>
      </c>
      <c r="M298" s="130">
        <f t="shared" si="213"/>
        <v>50720</v>
      </c>
      <c r="N298" s="130">
        <f t="shared" si="214"/>
        <v>43720</v>
      </c>
      <c r="O298" s="132">
        <f t="shared" si="164"/>
        <v>1.0201126307320998</v>
      </c>
      <c r="P298" s="132">
        <f t="shared" si="207"/>
        <v>1.1499999999999999</v>
      </c>
      <c r="Q298" s="130">
        <f t="shared" si="215"/>
        <v>61481.720430107518</v>
      </c>
      <c r="R298" s="148">
        <f t="shared" si="166"/>
        <v>61490</v>
      </c>
      <c r="S298" s="127">
        <f>VLOOKUP($B298,'Выгр Торг'!$B:$Q,S$1,0)</f>
        <v>49720</v>
      </c>
      <c r="T298" s="127">
        <f>VLOOKUP($B298,'Выгр Торг'!$B:$Q,T$1,0)</f>
        <v>61490</v>
      </c>
      <c r="U298" s="94">
        <f t="shared" si="208"/>
        <v>0</v>
      </c>
      <c r="V298" s="94">
        <f t="shared" si="209"/>
        <v>0</v>
      </c>
      <c r="W298" s="153">
        <f t="shared" si="167"/>
        <v>57185.7</v>
      </c>
      <c r="X298" s="209">
        <f>IFERROR(VLOOKUP($B298,'Из ГУГЛа'!$B:$G,6,0)*Z298+Y298,VLOOKUP($B298,'Из ГУГЛа'!$B:$G,6,0))</f>
        <v>52260</v>
      </c>
      <c r="Y298" s="220">
        <f t="shared" si="216"/>
        <v>9970</v>
      </c>
      <c r="Z298" s="133">
        <v>1</v>
      </c>
      <c r="AA298" s="134"/>
      <c r="AB298" s="135">
        <f t="shared" si="160"/>
        <v>0.15015486725663707</v>
      </c>
      <c r="AC298" s="135">
        <f t="shared" si="161"/>
        <v>-9.425373134328352E-2</v>
      </c>
      <c r="AD298" s="135">
        <f t="shared" si="162"/>
        <v>5.1086082059533355E-2</v>
      </c>
      <c r="AE298" s="222">
        <v>52260</v>
      </c>
      <c r="AF298" s="98" t="s">
        <v>622</v>
      </c>
      <c r="AH298" s="98" t="s">
        <v>132</v>
      </c>
    </row>
    <row r="299" spans="1:34" ht="61.5" thickTop="1" thickBot="1">
      <c r="A299" s="125" t="str">
        <f>INDEX('Выгр Торг'!$A:$A,MATCH($B299,'Выгр Торг'!$B:$B,0))</f>
        <v>Руль анатомический "Ferrum" Grand Sport с обогревом (вставки из алькантары) для Лада Ларгус FL, Веста, XRAY</v>
      </c>
      <c r="B299" s="126">
        <v>132627</v>
      </c>
      <c r="C299" s="127">
        <f>VLOOKUP($B299,'Выгр Торг'!$B:$Q,C$1,0)</f>
        <v>166719</v>
      </c>
      <c r="D299" s="128" t="s">
        <v>132</v>
      </c>
      <c r="E299" s="125" t="str">
        <f>VLOOKUP($B299,'Выгр Торг'!$B:$Q,E$1,0)</f>
        <v>Руль анатомический "Ferrum" Grand Sport с обогревом (вставки из алькантары) для Лада Ларгус FL, Веста, XRAY (Синяя нить, Чёрный глянец)</v>
      </c>
      <c r="F299" s="127" t="str">
        <f>VLOOKUP($B299,'Выгр Торг'!$B:$Q,F$1,0)</f>
        <v>Y</v>
      </c>
      <c r="G299" s="127" t="str">
        <f>VLOOKUP($B299,'Выгр Торг'!$B:$Q,G$1,0)</f>
        <v>1</v>
      </c>
      <c r="H299" s="40">
        <v>166713</v>
      </c>
      <c r="I299" s="156"/>
      <c r="J299" s="160"/>
      <c r="K299" s="161">
        <v>870</v>
      </c>
      <c r="L299" s="130">
        <f t="shared" si="224"/>
        <v>49720</v>
      </c>
      <c r="M299" s="130">
        <f t="shared" si="213"/>
        <v>50720</v>
      </c>
      <c r="N299" s="130">
        <f t="shared" si="214"/>
        <v>43720</v>
      </c>
      <c r="O299" s="132">
        <f t="shared" si="164"/>
        <v>1.0201126307320998</v>
      </c>
      <c r="P299" s="132">
        <f t="shared" si="207"/>
        <v>1.1499999999999999</v>
      </c>
      <c r="Q299" s="130">
        <f t="shared" si="215"/>
        <v>61481.720430107518</v>
      </c>
      <c r="R299" s="148">
        <f t="shared" si="166"/>
        <v>61490</v>
      </c>
      <c r="S299" s="127">
        <f>VLOOKUP($B299,'Выгр Торг'!$B:$Q,S$1,0)</f>
        <v>49720</v>
      </c>
      <c r="T299" s="127">
        <f>VLOOKUP($B299,'Выгр Торг'!$B:$Q,T$1,0)</f>
        <v>61490</v>
      </c>
      <c r="U299" s="94">
        <f t="shared" si="208"/>
        <v>0</v>
      </c>
      <c r="V299" s="94">
        <f t="shared" si="209"/>
        <v>0</v>
      </c>
      <c r="W299" s="153">
        <f t="shared" si="167"/>
        <v>57185.7</v>
      </c>
      <c r="X299" s="209">
        <f>IFERROR(VLOOKUP($B299,'Из ГУГЛа'!$B:$G,6,0)*Z299+Y299,VLOOKUP($B299,'Из ГУГЛа'!$B:$G,6,0))</f>
        <v>52260</v>
      </c>
      <c r="Y299" s="220">
        <f t="shared" si="216"/>
        <v>9970</v>
      </c>
      <c r="Z299" s="133">
        <v>1</v>
      </c>
      <c r="AA299" s="134"/>
      <c r="AB299" s="135">
        <f t="shared" si="160"/>
        <v>0.15015486725663707</v>
      </c>
      <c r="AC299" s="135">
        <f t="shared" si="161"/>
        <v>-9.425373134328352E-2</v>
      </c>
      <c r="AD299" s="135">
        <f t="shared" si="162"/>
        <v>5.1086082059533355E-2</v>
      </c>
      <c r="AE299" s="222">
        <v>52260</v>
      </c>
      <c r="AF299" s="98" t="s">
        <v>622</v>
      </c>
      <c r="AH299" s="98" t="s">
        <v>132</v>
      </c>
    </row>
    <row r="300" spans="1:34" ht="61.5" thickTop="1" thickBot="1">
      <c r="A300" s="125" t="str">
        <f>INDEX('Выгр Торг'!$A:$A,MATCH($B300,'Выгр Торг'!$B:$B,0))</f>
        <v>Руль анатомический "Ferrum" Grand Sport с обогревом (вставки из алькантары) для Лада Ларгус FL, Веста, XRAY</v>
      </c>
      <c r="B300" s="126">
        <v>132628</v>
      </c>
      <c r="C300" s="127">
        <f>VLOOKUP($B300,'Выгр Торг'!$B:$Q,C$1,0)</f>
        <v>166717</v>
      </c>
      <c r="D300" s="128" t="s">
        <v>132</v>
      </c>
      <c r="E300" s="125" t="str">
        <f>VLOOKUP($B300,'Выгр Торг'!$B:$Q,E$1,0)</f>
        <v>Руль анатомический "Ferrum" Grand Sport с обогревом (вставки из алькантары) для Лада Ларгус FL, Веста, XRAY (Тёмно-серая нить, Чёрный глянец)</v>
      </c>
      <c r="F300" s="127" t="str">
        <f>VLOOKUP($B300,'Выгр Торг'!$B:$Q,F$1,0)</f>
        <v>Y</v>
      </c>
      <c r="G300" s="127" t="str">
        <f>VLOOKUP($B300,'Выгр Торг'!$B:$Q,G$1,0)</f>
        <v>1</v>
      </c>
      <c r="H300" s="40">
        <v>166713</v>
      </c>
      <c r="I300" s="156"/>
      <c r="J300" s="160"/>
      <c r="K300" s="161">
        <v>870</v>
      </c>
      <c r="L300" s="130">
        <f t="shared" si="224"/>
        <v>49720</v>
      </c>
      <c r="M300" s="130">
        <f t="shared" si="213"/>
        <v>50720</v>
      </c>
      <c r="N300" s="130">
        <f t="shared" si="214"/>
        <v>43720</v>
      </c>
      <c r="O300" s="132">
        <f t="shared" si="164"/>
        <v>1.0201126307320998</v>
      </c>
      <c r="P300" s="132">
        <f t="shared" si="207"/>
        <v>1.1499999999999999</v>
      </c>
      <c r="Q300" s="130">
        <f t="shared" si="215"/>
        <v>61481.720430107518</v>
      </c>
      <c r="R300" s="148">
        <f t="shared" si="166"/>
        <v>61490</v>
      </c>
      <c r="S300" s="127">
        <f>VLOOKUP($B300,'Выгр Торг'!$B:$Q,S$1,0)</f>
        <v>49720</v>
      </c>
      <c r="T300" s="127">
        <f>VLOOKUP($B300,'Выгр Торг'!$B:$Q,T$1,0)</f>
        <v>61490</v>
      </c>
      <c r="U300" s="94">
        <f t="shared" si="208"/>
        <v>0</v>
      </c>
      <c r="V300" s="94">
        <f t="shared" si="209"/>
        <v>0</v>
      </c>
      <c r="W300" s="153">
        <f t="shared" si="167"/>
        <v>57185.7</v>
      </c>
      <c r="X300" s="209">
        <f>IFERROR(VLOOKUP($B300,'Из ГУГЛа'!$B:$G,6,0)*Z300+Y300,VLOOKUP($B300,'Из ГУГЛа'!$B:$G,6,0))</f>
        <v>52260</v>
      </c>
      <c r="Y300" s="220">
        <f t="shared" si="216"/>
        <v>9970</v>
      </c>
      <c r="Z300" s="133">
        <v>1</v>
      </c>
      <c r="AA300" s="134"/>
      <c r="AB300" s="135">
        <f t="shared" si="160"/>
        <v>0.15015486725663707</v>
      </c>
      <c r="AC300" s="135">
        <f t="shared" si="161"/>
        <v>-9.425373134328352E-2</v>
      </c>
      <c r="AD300" s="135">
        <f t="shared" si="162"/>
        <v>5.1086082059533355E-2</v>
      </c>
      <c r="AE300" s="222">
        <v>52260</v>
      </c>
      <c r="AF300" s="98" t="s">
        <v>622</v>
      </c>
      <c r="AH300" s="98" t="s">
        <v>132</v>
      </c>
    </row>
    <row r="301" spans="1:34" ht="61.5" thickTop="1" thickBot="1">
      <c r="A301" s="125" t="str">
        <f>INDEX('Выгр Торг'!$A:$A,MATCH($B301,'Выгр Торг'!$B:$B,0))</f>
        <v>Руль анатомический "Ferrum" Grand Sport с обогревом (вставки из алькантары) для Лада Ларгус FL, Веста, XRAY</v>
      </c>
      <c r="B301" s="126">
        <v>132629</v>
      </c>
      <c r="C301" s="127">
        <f>VLOOKUP($B301,'Выгр Торг'!$B:$Q,C$1,0)</f>
        <v>166716</v>
      </c>
      <c r="D301" s="128" t="s">
        <v>132</v>
      </c>
      <c r="E301" s="125" t="str">
        <f>VLOOKUP($B301,'Выгр Торг'!$B:$Q,E$1,0)</f>
        <v>Руль анатомический "Ferrum" Grand Sport с обогревом (вставки из алькантары) для Лада Ларгус FL, Веста, XRAY (Фиолетовая нить, Чёрный глянец)</v>
      </c>
      <c r="F301" s="127" t="str">
        <f>VLOOKUP($B301,'Выгр Торг'!$B:$Q,F$1,0)</f>
        <v>Y</v>
      </c>
      <c r="G301" s="127" t="str">
        <f>VLOOKUP($B301,'Выгр Торг'!$B:$Q,G$1,0)</f>
        <v>1</v>
      </c>
      <c r="H301" s="40">
        <v>166713</v>
      </c>
      <c r="I301" s="156"/>
      <c r="J301" s="160"/>
      <c r="K301" s="161">
        <v>870</v>
      </c>
      <c r="L301" s="130">
        <f t="shared" si="224"/>
        <v>49720</v>
      </c>
      <c r="M301" s="130">
        <f t="shared" si="213"/>
        <v>50720</v>
      </c>
      <c r="N301" s="130">
        <f t="shared" si="214"/>
        <v>43720</v>
      </c>
      <c r="O301" s="132">
        <f t="shared" si="164"/>
        <v>1.0201126307320998</v>
      </c>
      <c r="P301" s="132">
        <f t="shared" si="207"/>
        <v>1.1499999999999999</v>
      </c>
      <c r="Q301" s="130">
        <f t="shared" si="215"/>
        <v>61481.720430107518</v>
      </c>
      <c r="R301" s="148">
        <f t="shared" si="166"/>
        <v>61490</v>
      </c>
      <c r="S301" s="127">
        <f>VLOOKUP($B301,'Выгр Торг'!$B:$Q,S$1,0)</f>
        <v>49720</v>
      </c>
      <c r="T301" s="127">
        <f>VLOOKUP($B301,'Выгр Торг'!$B:$Q,T$1,0)</f>
        <v>61490</v>
      </c>
      <c r="U301" s="94">
        <f t="shared" si="208"/>
        <v>0</v>
      </c>
      <c r="V301" s="94">
        <f t="shared" si="209"/>
        <v>0</v>
      </c>
      <c r="W301" s="153">
        <f t="shared" si="167"/>
        <v>57185.7</v>
      </c>
      <c r="X301" s="209">
        <f>IFERROR(VLOOKUP($B301,'Из ГУГЛа'!$B:$G,6,0)*Z301+Y301,VLOOKUP($B301,'Из ГУГЛа'!$B:$G,6,0))</f>
        <v>52260</v>
      </c>
      <c r="Y301" s="220">
        <f t="shared" si="216"/>
        <v>9970</v>
      </c>
      <c r="Z301" s="133">
        <v>1</v>
      </c>
      <c r="AA301" s="134"/>
      <c r="AB301" s="135">
        <f t="shared" si="160"/>
        <v>0.15015486725663707</v>
      </c>
      <c r="AC301" s="135">
        <f t="shared" si="161"/>
        <v>-9.425373134328352E-2</v>
      </c>
      <c r="AD301" s="135">
        <f t="shared" si="162"/>
        <v>5.1086082059533355E-2</v>
      </c>
      <c r="AE301" s="222">
        <v>52260</v>
      </c>
      <c r="AF301" s="98" t="s">
        <v>622</v>
      </c>
      <c r="AH301" s="98" t="s">
        <v>132</v>
      </c>
    </row>
    <row r="302" spans="1:34" ht="61.5" thickTop="1" thickBot="1">
      <c r="A302" s="125" t="str">
        <f>INDEX('Выгр Торг'!$A:$A,MATCH($B302,'Выгр Торг'!$B:$B,0))</f>
        <v>Руль анатомический "Ferrum" Grand Sport с обогревом (вставки из алькантары) для Лада Ларгус FL, Веста, XRAY</v>
      </c>
      <c r="B302" s="126">
        <v>132618</v>
      </c>
      <c r="C302" s="127">
        <f>VLOOKUP($B302,'Выгр Торг'!$B:$Q,C$1,0)</f>
        <v>166727</v>
      </c>
      <c r="D302" s="128" t="s">
        <v>132</v>
      </c>
      <c r="E302" s="125" t="str">
        <f>VLOOKUP($B302,'Выгр Торг'!$B:$Q,E$1,0)</f>
        <v>Руль анатомический "Ferrum" Grand Sport с обогревом (вставки из алькантары) для Лада Ларгус FL, Веста, XRAY (Белая нить, Чёрный глянец)</v>
      </c>
      <c r="F302" s="127" t="str">
        <f>VLOOKUP($B302,'Выгр Торг'!$B:$Q,F$1,0)</f>
        <v>Y</v>
      </c>
      <c r="G302" s="127" t="str">
        <f>VLOOKUP($B302,'Выгр Торг'!$B:$Q,G$1,0)</f>
        <v>1</v>
      </c>
      <c r="H302" s="40">
        <v>166713</v>
      </c>
      <c r="I302" s="156"/>
      <c r="J302" s="160"/>
      <c r="K302" s="161">
        <v>870</v>
      </c>
      <c r="L302" s="130">
        <f t="shared" si="224"/>
        <v>49720</v>
      </c>
      <c r="M302" s="130">
        <f t="shared" si="213"/>
        <v>50720</v>
      </c>
      <c r="N302" s="130">
        <f t="shared" si="214"/>
        <v>43720</v>
      </c>
      <c r="O302" s="132">
        <f t="shared" si="164"/>
        <v>1.0201126307320998</v>
      </c>
      <c r="P302" s="132">
        <f t="shared" si="207"/>
        <v>1.1499999999999999</v>
      </c>
      <c r="Q302" s="130">
        <f t="shared" si="215"/>
        <v>61481.720430107518</v>
      </c>
      <c r="R302" s="148">
        <f t="shared" si="166"/>
        <v>61490</v>
      </c>
      <c r="S302" s="127">
        <f>VLOOKUP($B302,'Выгр Торг'!$B:$Q,S$1,0)</f>
        <v>49720</v>
      </c>
      <c r="T302" s="127">
        <f>VLOOKUP($B302,'Выгр Торг'!$B:$Q,T$1,0)</f>
        <v>61490</v>
      </c>
      <c r="U302" s="94">
        <f t="shared" si="208"/>
        <v>0</v>
      </c>
      <c r="V302" s="94">
        <f t="shared" si="209"/>
        <v>0</v>
      </c>
      <c r="W302" s="153">
        <f t="shared" si="167"/>
        <v>57185.7</v>
      </c>
      <c r="X302" s="209">
        <f>IFERROR(VLOOKUP($B302,'Из ГУГЛа'!$B:$G,6,0)*Z302+Y302,VLOOKUP($B302,'Из ГУГЛа'!$B:$G,6,0))</f>
        <v>52260</v>
      </c>
      <c r="Y302" s="220">
        <f t="shared" si="216"/>
        <v>9970</v>
      </c>
      <c r="Z302" s="133">
        <v>1</v>
      </c>
      <c r="AA302" s="134"/>
      <c r="AB302" s="135">
        <f t="shared" si="160"/>
        <v>0.15015486725663707</v>
      </c>
      <c r="AC302" s="135">
        <f t="shared" si="161"/>
        <v>-9.425373134328352E-2</v>
      </c>
      <c r="AD302" s="135">
        <f t="shared" si="162"/>
        <v>5.1086082059533355E-2</v>
      </c>
      <c r="AE302" s="222">
        <v>52260</v>
      </c>
      <c r="AF302" s="98" t="s">
        <v>622</v>
      </c>
      <c r="AH302" s="98" t="s">
        <v>132</v>
      </c>
    </row>
    <row r="303" spans="1:34" ht="61.5" thickTop="1" thickBot="1">
      <c r="A303" s="125" t="str">
        <f>INDEX('Выгр Торг'!$A:$A,MATCH($B303,'Выгр Торг'!$B:$B,0))</f>
        <v>Руль анатомический "Ferrum" Limited Edition карбон, вставки алькантара для Лада Ларгус FL, Веста, XRAY</v>
      </c>
      <c r="B303" s="126">
        <v>132657</v>
      </c>
      <c r="C303" s="127">
        <f>VLOOKUP($B303,'Выгр Торг'!$B:$Q,C$1,0)</f>
        <v>166803</v>
      </c>
      <c r="D303" s="139" t="s">
        <v>476</v>
      </c>
      <c r="E303" s="125" t="str">
        <f>VLOOKUP($B303,'Выгр Торг'!$B:$Q,E$1,0)</f>
        <v>Руль анатомический "Ferrum" Limited Edition карбоновое (вставки из алькантары) для Лада Ларгус FL, Веста, XRAY (Чёрная нить, Чёрный глянец)</v>
      </c>
      <c r="F303" s="127" t="str">
        <f>VLOOKUP($B303,'Выгр Торг'!$B:$Q,F$1,0)</f>
        <v>Y</v>
      </c>
      <c r="G303" s="127" t="str">
        <f>VLOOKUP($B303,'Выгр Торг'!$B:$Q,G$1,0)</f>
        <v>1</v>
      </c>
      <c r="H303" s="40">
        <v>166803</v>
      </c>
      <c r="I303" s="156"/>
      <c r="J303" s="160">
        <v>7000</v>
      </c>
      <c r="K303" s="161">
        <v>0</v>
      </c>
      <c r="L303" s="130">
        <f t="shared" ref="L303" si="225">M303-1000</f>
        <v>41500</v>
      </c>
      <c r="M303" s="131">
        <f>N303+J303</f>
        <v>42500</v>
      </c>
      <c r="N303" s="131">
        <v>35500</v>
      </c>
      <c r="O303" s="132">
        <f>M303/L303</f>
        <v>1.0240963855421688</v>
      </c>
      <c r="P303" s="132">
        <f t="shared" si="207"/>
        <v>1.1499999999999999</v>
      </c>
      <c r="Q303" s="147">
        <f t="shared" ref="Q303" si="226">L303*P303*100/93</f>
        <v>51317.20430107526</v>
      </c>
      <c r="R303" s="148">
        <f>IF(Q303&lt;=1000,(ROUNDUP(Q303,-2)-1),(ROUNDUP(Q303,-2)-10))</f>
        <v>51390</v>
      </c>
      <c r="S303" s="127">
        <f>VLOOKUP($B303,'Выгр Торг'!$B:$Q,S$1,0)</f>
        <v>41500</v>
      </c>
      <c r="T303" s="127">
        <f>VLOOKUP($B303,'Выгр Торг'!$B:$Q,T$1,0)</f>
        <v>51390</v>
      </c>
      <c r="U303" s="94">
        <f t="shared" si="208"/>
        <v>0</v>
      </c>
      <c r="V303" s="94">
        <f t="shared" si="209"/>
        <v>0</v>
      </c>
      <c r="W303" s="153">
        <f>R303*(1-$W$2)</f>
        <v>47792.7</v>
      </c>
      <c r="X303" s="209">
        <f>IFERROR(VLOOKUP($B303,'Из ГУГЛа'!$B:$G,6,0)*Z303+Y303,VLOOKUP($B303,'Из ГУГЛа'!$B:$G,6,0))</f>
        <v>52890</v>
      </c>
      <c r="Y303" s="106">
        <f>(J303+K303)*$Y$2</f>
        <v>9100</v>
      </c>
      <c r="Z303" s="133">
        <v>1</v>
      </c>
      <c r="AA303" s="134"/>
      <c r="AB303" s="135">
        <f t="shared" si="160"/>
        <v>0.15163132530120471</v>
      </c>
      <c r="AC303" s="135">
        <f t="shared" si="161"/>
        <v>9.6375496313102715E-2</v>
      </c>
      <c r="AD303" s="135">
        <f t="shared" si="162"/>
        <v>0.27445783132530122</v>
      </c>
      <c r="AE303" s="221">
        <v>52890</v>
      </c>
      <c r="AF303" s="98" t="s">
        <v>649</v>
      </c>
      <c r="AH303" s="98" t="s">
        <v>476</v>
      </c>
    </row>
    <row r="304" spans="1:34" ht="61.5" thickTop="1" thickBot="1">
      <c r="A304" s="176" t="str">
        <f>INDEX('Выгр Торг'!$A:$A,MATCH($B304,'Выгр Торг'!$B:$B,0))</f>
        <v>Руль анатомический "Ferrum" Limited Edition карбон, вставки алькантара для Лада Ларгус FL, Веста, XRAY</v>
      </c>
      <c r="B304" s="178">
        <v>341583</v>
      </c>
      <c r="C304" s="179">
        <f>VLOOKUP($B304,'Выгр Торг'!$B:$Q,C$1,0)</f>
        <v>341583</v>
      </c>
      <c r="D304" s="189" t="s">
        <v>476</v>
      </c>
      <c r="E304" s="176" t="str">
        <f>VLOOKUP($B304,'Выгр Торг'!$B:$Q,E$1,0)</f>
        <v>Руль анатомический "Ferrum" Limited Edition карбон, вставки алькантара для Лада Ларгус FL, Веста, XRAY (Чёрная нить, Чёрный мат)</v>
      </c>
      <c r="F304" s="179" t="str">
        <f>VLOOKUP($B304,'Выгр Торг'!$B:$Q,F$1,0)</f>
        <v>Y</v>
      </c>
      <c r="G304" s="179" t="str">
        <f>VLOOKUP($B304,'Выгр Торг'!$B:$Q,G$1,0)</f>
        <v>1</v>
      </c>
      <c r="H304" s="177">
        <v>166803</v>
      </c>
      <c r="I304" s="156"/>
      <c r="J304" s="160">
        <v>830</v>
      </c>
      <c r="K304" s="161">
        <v>0</v>
      </c>
      <c r="L304" s="180">
        <f>M304-1000</f>
        <v>42330</v>
      </c>
      <c r="M304" s="180">
        <f t="shared" ref="M304:M328" si="227">INDEX($M:$M,MATCH($H304,$C:$C,0))+$K304+$J304</f>
        <v>43330</v>
      </c>
      <c r="N304" s="180">
        <f t="shared" ref="N304:N328" si="228">INDEX($N:$N,MATCH($H304,$C:$C,0))+$K304+$J304</f>
        <v>36330</v>
      </c>
      <c r="O304" s="107">
        <f>M304/L304</f>
        <v>1.023623907394283</v>
      </c>
      <c r="P304" s="132">
        <f t="shared" si="207"/>
        <v>1.1499999999999999</v>
      </c>
      <c r="Q304" s="180">
        <f t="shared" ref="Q304:Q328" si="229">INDEX($Q:$Q,MATCH($H304,$C:$C,0))+($K304+$J304)*INDEX($P:$P,MATCH($H304,$C:$C,0))*100/93</f>
        <v>52343.548387096766</v>
      </c>
      <c r="R304" s="144">
        <f>IF(Q304&lt;=1000,(ROUNDUP(Q304,-2)-1),(ROUNDUP(Q304,-2)-10))</f>
        <v>52390</v>
      </c>
      <c r="S304" s="179">
        <f>VLOOKUP($B304,'Выгр Торг'!$B:$Q,S$1,0)</f>
        <v>42330</v>
      </c>
      <c r="T304" s="179">
        <f>VLOOKUP($B304,'Выгр Торг'!$B:$Q,T$1,0)</f>
        <v>52390</v>
      </c>
      <c r="U304" s="94">
        <f t="shared" si="208"/>
        <v>0</v>
      </c>
      <c r="V304" s="94">
        <f t="shared" si="209"/>
        <v>0</v>
      </c>
      <c r="W304" s="182">
        <f>R304*(1-$W$2)</f>
        <v>48722.7</v>
      </c>
      <c r="X304" s="218">
        <f>IFERROR(VLOOKUP($B304,'Из ГУГЛа'!$B:$G,6,0)*Z304+Y304,VLOOKUP($B304,'Из ГУГЛа'!$B:$G,6,0))</f>
        <v>53720</v>
      </c>
      <c r="Y304" s="220">
        <f t="shared" ref="Y304:Y328" si="230">INDEX($Y:$Y,MATCH($H304,$C:$C,0))+J304+K304</f>
        <v>9930</v>
      </c>
      <c r="Z304" s="133">
        <v>1</v>
      </c>
      <c r="AA304" s="133">
        <v>1300</v>
      </c>
      <c r="AB304" s="184">
        <f>IFERROR(W304/L304-1,"")</f>
        <v>0.15102055279943305</v>
      </c>
      <c r="AC304" s="184">
        <f>IFERROR((AE304-W304)/AE304,"")</f>
        <v>9.3024944154877193E-2</v>
      </c>
      <c r="AD304" s="184">
        <f>IFERROR(IF(AE304="","",AE304/L304-1),"")</f>
        <v>0.26907630522088355</v>
      </c>
      <c r="AE304" s="222">
        <v>53720</v>
      </c>
      <c r="AF304" s="98" t="s">
        <v>649</v>
      </c>
      <c r="AH304" s="98" t="s">
        <v>476</v>
      </c>
    </row>
    <row r="305" spans="1:34" ht="61.5" thickTop="1" thickBot="1">
      <c r="A305" s="125" t="str">
        <f>INDEX('Выгр Торг'!$A:$A,MATCH($B305,'Выгр Торг'!$B:$B,0))</f>
        <v>Руль анатомический "Ferrum" Limited Edition карбон, вставки алькантара для Лада Ларгус FL, Веста, XRAY</v>
      </c>
      <c r="B305" s="126">
        <v>341582</v>
      </c>
      <c r="C305" s="127">
        <f>VLOOKUP($B305,'Выгр Торг'!$B:$Q,C$1,0)</f>
        <v>341582</v>
      </c>
      <c r="D305" s="128" t="s">
        <v>476</v>
      </c>
      <c r="E305" s="125" t="str">
        <f>VLOOKUP($B305,'Выгр Торг'!$B:$Q,E$1,0)</f>
        <v>Руль анатомический "Ferrum" Limited Edition карбон, вставки алькантара для Лада Ларгус FL, Веста, XRAY (Белая нить, Чёрный мат)</v>
      </c>
      <c r="F305" s="127" t="str">
        <f>VLOOKUP($B305,'Выгр Торг'!$B:$Q,F$1,0)</f>
        <v>Y</v>
      </c>
      <c r="G305" s="127" t="str">
        <f>VLOOKUP($B305,'Выгр Торг'!$B:$Q,G$1,0)</f>
        <v>1</v>
      </c>
      <c r="H305" s="40">
        <v>166803</v>
      </c>
      <c r="I305" s="156"/>
      <c r="J305" s="160">
        <v>830</v>
      </c>
      <c r="K305" s="161">
        <v>870</v>
      </c>
      <c r="L305" s="130">
        <f t="shared" ref="L305" si="231">M305-1000</f>
        <v>43200</v>
      </c>
      <c r="M305" s="130">
        <f t="shared" si="227"/>
        <v>44200</v>
      </c>
      <c r="N305" s="130">
        <f t="shared" si="228"/>
        <v>37200</v>
      </c>
      <c r="O305" s="132">
        <f t="shared" ref="O305:O328" si="232">M305/L305</f>
        <v>1.0231481481481481</v>
      </c>
      <c r="P305" s="132">
        <f t="shared" si="207"/>
        <v>1.1499999999999999</v>
      </c>
      <c r="Q305" s="130">
        <f t="shared" si="229"/>
        <v>53419.354838709667</v>
      </c>
      <c r="R305" s="148">
        <f t="shared" ref="R305:R328" si="233">IF(Q305&lt;=1000,(ROUNDUP(Q305,-2)-1),(ROUNDUP(Q305,-2)-10))</f>
        <v>53490</v>
      </c>
      <c r="S305" s="127">
        <f>VLOOKUP($B305,'Выгр Торг'!$B:$Q,S$1,0)</f>
        <v>43200</v>
      </c>
      <c r="T305" s="127">
        <f>VLOOKUP($B305,'Выгр Торг'!$B:$Q,T$1,0)</f>
        <v>53490</v>
      </c>
      <c r="U305" s="94">
        <f t="shared" si="208"/>
        <v>0</v>
      </c>
      <c r="V305" s="94">
        <f t="shared" si="209"/>
        <v>0</v>
      </c>
      <c r="W305" s="153">
        <f t="shared" si="167"/>
        <v>49745.7</v>
      </c>
      <c r="X305" s="209">
        <f>IFERROR(VLOOKUP($B305,'Из ГУГЛа'!$B:$G,6,0)*Z305+Y305,VLOOKUP($B305,'Из ГУГЛа'!$B:$G,6,0))</f>
        <v>54590</v>
      </c>
      <c r="Y305" s="220">
        <f t="shared" si="230"/>
        <v>10800</v>
      </c>
      <c r="Z305" s="133">
        <v>1</v>
      </c>
      <c r="AA305" s="133">
        <v>1300</v>
      </c>
      <c r="AB305" s="135">
        <f t="shared" si="160"/>
        <v>0.15152083333333333</v>
      </c>
      <c r="AC305" s="135">
        <f t="shared" si="161"/>
        <v>8.8739695915002803E-2</v>
      </c>
      <c r="AD305" s="135">
        <f t="shared" si="162"/>
        <v>0.2636574074074074</v>
      </c>
      <c r="AE305" s="222">
        <v>54590</v>
      </c>
      <c r="AF305" s="98" t="s">
        <v>649</v>
      </c>
      <c r="AH305" s="98" t="s">
        <v>476</v>
      </c>
    </row>
    <row r="306" spans="1:34" ht="61.5" thickTop="1" thickBot="1">
      <c r="A306" s="176" t="str">
        <f>INDEX('Выгр Торг'!$A:$A,MATCH($B306,'Выгр Торг'!$B:$B,0))</f>
        <v>Руль анатомический "Ferrum" Limited Edition карбон, вставки алькантара для Лада Ларгус FL, Веста, XRAY</v>
      </c>
      <c r="B306" s="178">
        <v>341594</v>
      </c>
      <c r="C306" s="179">
        <f>VLOOKUP($B306,'Выгр Торг'!$B:$Q,C$1,0)</f>
        <v>341594</v>
      </c>
      <c r="D306" s="189" t="s">
        <v>476</v>
      </c>
      <c r="E306" s="176" t="str">
        <f>VLOOKUP($B306,'Выгр Торг'!$B:$Q,E$1,0)</f>
        <v>Руль анатомический "Ferrum" Limited Edition карбон, вставки алькантара для Лада Ларгус FL, Веста, XRAY (Жёлтая нить, Чёрный мат)</v>
      </c>
      <c r="F306" s="179" t="str">
        <f>VLOOKUP($B306,'Выгр Торг'!$B:$Q,F$1,0)</f>
        <v>Y</v>
      </c>
      <c r="G306" s="179" t="str">
        <f>VLOOKUP($B306,'Выгр Торг'!$B:$Q,G$1,0)</f>
        <v>1</v>
      </c>
      <c r="H306" s="177">
        <v>166803</v>
      </c>
      <c r="I306" s="156"/>
      <c r="J306" s="160">
        <v>830</v>
      </c>
      <c r="K306" s="161">
        <v>870</v>
      </c>
      <c r="L306" s="180">
        <f t="shared" ref="L306:L317" si="234">M306-1000</f>
        <v>43200</v>
      </c>
      <c r="M306" s="180">
        <f t="shared" si="227"/>
        <v>44200</v>
      </c>
      <c r="N306" s="180">
        <f t="shared" si="228"/>
        <v>37200</v>
      </c>
      <c r="O306" s="107">
        <f t="shared" ref="O306:O317" si="235">M306/L306</f>
        <v>1.0231481481481481</v>
      </c>
      <c r="P306" s="132">
        <f t="shared" si="207"/>
        <v>1.1499999999999999</v>
      </c>
      <c r="Q306" s="180">
        <f t="shared" si="229"/>
        <v>53419.354838709667</v>
      </c>
      <c r="R306" s="144">
        <f t="shared" ref="R306:R317" si="236">IF(Q306&lt;=1000,(ROUNDUP(Q306,-2)-1),(ROUNDUP(Q306,-2)-10))</f>
        <v>53490</v>
      </c>
      <c r="S306" s="179">
        <f>VLOOKUP($B306,'Выгр Торг'!$B:$Q,S$1,0)</f>
        <v>43200</v>
      </c>
      <c r="T306" s="179">
        <f>VLOOKUP($B306,'Выгр Торг'!$B:$Q,T$1,0)</f>
        <v>53490</v>
      </c>
      <c r="U306" s="94">
        <f t="shared" si="208"/>
        <v>0</v>
      </c>
      <c r="V306" s="94">
        <f t="shared" si="209"/>
        <v>0</v>
      </c>
      <c r="W306" s="182">
        <f t="shared" ref="W306:W317" si="237">R306*(1-$W$2)</f>
        <v>49745.7</v>
      </c>
      <c r="X306" s="218">
        <f>IFERROR(VLOOKUP($B306,'Из ГУГЛа'!$B:$G,6,0)*Z306+Y306,VLOOKUP($B306,'Из ГУГЛа'!$B:$G,6,0))</f>
        <v>54590</v>
      </c>
      <c r="Y306" s="220">
        <f t="shared" si="230"/>
        <v>10800</v>
      </c>
      <c r="Z306" s="133">
        <v>1</v>
      </c>
      <c r="AA306" s="133">
        <v>1300</v>
      </c>
      <c r="AB306" s="184">
        <f t="shared" ref="AB306:AB317" si="238">IFERROR(W306/L306-1,"")</f>
        <v>0.15152083333333333</v>
      </c>
      <c r="AC306" s="184">
        <f t="shared" ref="AC306:AC317" si="239">IFERROR((AE306-W306)/AE306,"")</f>
        <v>8.8739695915002803E-2</v>
      </c>
      <c r="AD306" s="184">
        <f t="shared" ref="AD306:AD317" si="240">IFERROR(IF(AE306="","",AE306/L306-1),"")</f>
        <v>0.2636574074074074</v>
      </c>
      <c r="AE306" s="222">
        <v>54590</v>
      </c>
      <c r="AF306" s="98" t="s">
        <v>649</v>
      </c>
      <c r="AH306" s="98" t="s">
        <v>476</v>
      </c>
    </row>
    <row r="307" spans="1:34" ht="61.5" thickTop="1" thickBot="1">
      <c r="A307" s="176" t="str">
        <f>INDEX('Выгр Торг'!$A:$A,MATCH($B307,'Выгр Торг'!$B:$B,0))</f>
        <v>Руль анатомический "Ferrum" Limited Edition карбон, вставки алькантара для Лада Ларгус FL, Веста, XRAY</v>
      </c>
      <c r="B307" s="178">
        <v>341593</v>
      </c>
      <c r="C307" s="179">
        <f>VLOOKUP($B307,'Выгр Торг'!$B:$Q,C$1,0)</f>
        <v>341593</v>
      </c>
      <c r="D307" s="189" t="s">
        <v>476</v>
      </c>
      <c r="E307" s="176" t="str">
        <f>VLOOKUP($B307,'Выгр Торг'!$B:$Q,E$1,0)</f>
        <v>Руль анатомический "Ferrum" Limited Edition карбон, вставки алькантара для Лада Ларгус FL, Веста, XRAY (Зелёная нить, Чёрный мат)</v>
      </c>
      <c r="F307" s="179" t="str">
        <f>VLOOKUP($B307,'Выгр Торг'!$B:$Q,F$1,0)</f>
        <v>Y</v>
      </c>
      <c r="G307" s="179" t="str">
        <f>VLOOKUP($B307,'Выгр Торг'!$B:$Q,G$1,0)</f>
        <v>1</v>
      </c>
      <c r="H307" s="177">
        <v>166803</v>
      </c>
      <c r="I307" s="156"/>
      <c r="J307" s="160">
        <v>830</v>
      </c>
      <c r="K307" s="161">
        <v>870</v>
      </c>
      <c r="L307" s="180">
        <f t="shared" si="234"/>
        <v>43200</v>
      </c>
      <c r="M307" s="180">
        <f t="shared" si="227"/>
        <v>44200</v>
      </c>
      <c r="N307" s="180">
        <f t="shared" si="228"/>
        <v>37200</v>
      </c>
      <c r="O307" s="107">
        <f t="shared" si="235"/>
        <v>1.0231481481481481</v>
      </c>
      <c r="P307" s="132">
        <f t="shared" si="207"/>
        <v>1.1499999999999999</v>
      </c>
      <c r="Q307" s="180">
        <f t="shared" si="229"/>
        <v>53419.354838709667</v>
      </c>
      <c r="R307" s="144">
        <f t="shared" si="236"/>
        <v>53490</v>
      </c>
      <c r="S307" s="179">
        <f>VLOOKUP($B307,'Выгр Торг'!$B:$Q,S$1,0)</f>
        <v>43200</v>
      </c>
      <c r="T307" s="179">
        <f>VLOOKUP($B307,'Выгр Торг'!$B:$Q,T$1,0)</f>
        <v>53490</v>
      </c>
      <c r="U307" s="94">
        <f t="shared" si="208"/>
        <v>0</v>
      </c>
      <c r="V307" s="94">
        <f t="shared" si="209"/>
        <v>0</v>
      </c>
      <c r="W307" s="182">
        <f t="shared" si="237"/>
        <v>49745.7</v>
      </c>
      <c r="X307" s="218">
        <f>IFERROR(VLOOKUP($B307,'Из ГУГЛа'!$B:$G,6,0)*Z307+Y307,VLOOKUP($B307,'Из ГУГЛа'!$B:$G,6,0))</f>
        <v>54590</v>
      </c>
      <c r="Y307" s="220">
        <f t="shared" si="230"/>
        <v>10800</v>
      </c>
      <c r="Z307" s="133">
        <v>1</v>
      </c>
      <c r="AA307" s="133">
        <v>1300</v>
      </c>
      <c r="AB307" s="184">
        <f t="shared" si="238"/>
        <v>0.15152083333333333</v>
      </c>
      <c r="AC307" s="184">
        <f t="shared" si="239"/>
        <v>8.8739695915002803E-2</v>
      </c>
      <c r="AD307" s="184">
        <f t="shared" si="240"/>
        <v>0.2636574074074074</v>
      </c>
      <c r="AE307" s="222">
        <v>54590</v>
      </c>
      <c r="AF307" s="98" t="s">
        <v>649</v>
      </c>
      <c r="AH307" s="98" t="s">
        <v>476</v>
      </c>
    </row>
    <row r="308" spans="1:34" ht="61.5" thickTop="1" thickBot="1">
      <c r="A308" s="176" t="str">
        <f>INDEX('Выгр Торг'!$A:$A,MATCH($B308,'Выгр Торг'!$B:$B,0))</f>
        <v>Руль анатомический "Ferrum" Limited Edition карбон, вставки алькантара для Лада Ларгус FL, Веста, XRAY</v>
      </c>
      <c r="B308" s="178">
        <v>341585</v>
      </c>
      <c r="C308" s="179">
        <f>VLOOKUP($B308,'Выгр Торг'!$B:$Q,C$1,0)</f>
        <v>341585</v>
      </c>
      <c r="D308" s="189" t="s">
        <v>476</v>
      </c>
      <c r="E308" s="176" t="str">
        <f>VLOOKUP($B308,'Выгр Торг'!$B:$Q,E$1,0)</f>
        <v>Руль анатомический "Ferrum" Limited Edition карбон, вставки алькантара для Лада Ларгус FL, Веста, XRAY (Коричневая нить, Чёрный мат)</v>
      </c>
      <c r="F308" s="179" t="str">
        <f>VLOOKUP($B308,'Выгр Торг'!$B:$Q,F$1,0)</f>
        <v>Y</v>
      </c>
      <c r="G308" s="179" t="str">
        <f>VLOOKUP($B308,'Выгр Торг'!$B:$Q,G$1,0)</f>
        <v>1</v>
      </c>
      <c r="H308" s="177">
        <v>166803</v>
      </c>
      <c r="I308" s="156"/>
      <c r="J308" s="160">
        <v>830</v>
      </c>
      <c r="K308" s="161">
        <v>870</v>
      </c>
      <c r="L308" s="180">
        <f t="shared" si="234"/>
        <v>43200</v>
      </c>
      <c r="M308" s="180">
        <f t="shared" si="227"/>
        <v>44200</v>
      </c>
      <c r="N308" s="180">
        <f t="shared" si="228"/>
        <v>37200</v>
      </c>
      <c r="O308" s="107">
        <f t="shared" si="235"/>
        <v>1.0231481481481481</v>
      </c>
      <c r="P308" s="132">
        <f t="shared" si="207"/>
        <v>1.1499999999999999</v>
      </c>
      <c r="Q308" s="180">
        <f t="shared" si="229"/>
        <v>53419.354838709667</v>
      </c>
      <c r="R308" s="144">
        <f t="shared" si="236"/>
        <v>53490</v>
      </c>
      <c r="S308" s="179">
        <f>VLOOKUP($B308,'Выгр Торг'!$B:$Q,S$1,0)</f>
        <v>43200</v>
      </c>
      <c r="T308" s="179">
        <f>VLOOKUP($B308,'Выгр Торг'!$B:$Q,T$1,0)</f>
        <v>53490</v>
      </c>
      <c r="U308" s="94">
        <f t="shared" si="208"/>
        <v>0</v>
      </c>
      <c r="V308" s="94">
        <f t="shared" si="209"/>
        <v>0</v>
      </c>
      <c r="W308" s="182">
        <f t="shared" si="237"/>
        <v>49745.7</v>
      </c>
      <c r="X308" s="218">
        <f>IFERROR(VLOOKUP($B308,'Из ГУГЛа'!$B:$G,6,0)*Z308+Y308,VLOOKUP($B308,'Из ГУГЛа'!$B:$G,6,0))</f>
        <v>54590</v>
      </c>
      <c r="Y308" s="220">
        <f t="shared" si="230"/>
        <v>10800</v>
      </c>
      <c r="Z308" s="133">
        <v>1</v>
      </c>
      <c r="AA308" s="133">
        <v>1300</v>
      </c>
      <c r="AB308" s="184">
        <f t="shared" si="238"/>
        <v>0.15152083333333333</v>
      </c>
      <c r="AC308" s="184">
        <f t="shared" si="239"/>
        <v>8.8739695915002803E-2</v>
      </c>
      <c r="AD308" s="184">
        <f t="shared" si="240"/>
        <v>0.2636574074074074</v>
      </c>
      <c r="AE308" s="222">
        <v>54590</v>
      </c>
      <c r="AF308" s="98" t="s">
        <v>649</v>
      </c>
      <c r="AH308" s="98" t="s">
        <v>476</v>
      </c>
    </row>
    <row r="309" spans="1:34" ht="61.5" thickTop="1" thickBot="1">
      <c r="A309" s="176" t="str">
        <f>INDEX('Выгр Торг'!$A:$A,MATCH($B309,'Выгр Торг'!$B:$B,0))</f>
        <v>Руль анатомический "Ferrum" Limited Edition карбон, вставки алькантара для Лада Ларгус FL, Веста, XRAY</v>
      </c>
      <c r="B309" s="178">
        <v>341586</v>
      </c>
      <c r="C309" s="179">
        <f>VLOOKUP($B309,'Выгр Торг'!$B:$Q,C$1,0)</f>
        <v>341586</v>
      </c>
      <c r="D309" s="189" t="s">
        <v>476</v>
      </c>
      <c r="E309" s="176" t="str">
        <f>VLOOKUP($B309,'Выгр Торг'!$B:$Q,E$1,0)</f>
        <v>Руль анатомический "Ferrum" Limited Edition карбон, вставки алькантара для Лада Ларгус FL, Веста, XRAY (Красная нить, Чёрный мат)</v>
      </c>
      <c r="F309" s="179" t="str">
        <f>VLOOKUP($B309,'Выгр Торг'!$B:$Q,F$1,0)</f>
        <v>Y</v>
      </c>
      <c r="G309" s="179" t="str">
        <f>VLOOKUP($B309,'Выгр Торг'!$B:$Q,G$1,0)</f>
        <v>1</v>
      </c>
      <c r="H309" s="177">
        <v>166803</v>
      </c>
      <c r="I309" s="156"/>
      <c r="J309" s="160">
        <v>830</v>
      </c>
      <c r="K309" s="161">
        <v>870</v>
      </c>
      <c r="L309" s="180">
        <f t="shared" si="234"/>
        <v>43200</v>
      </c>
      <c r="M309" s="180">
        <f t="shared" si="227"/>
        <v>44200</v>
      </c>
      <c r="N309" s="180">
        <f t="shared" si="228"/>
        <v>37200</v>
      </c>
      <c r="O309" s="107">
        <f t="shared" si="235"/>
        <v>1.0231481481481481</v>
      </c>
      <c r="P309" s="132">
        <f t="shared" si="207"/>
        <v>1.1499999999999999</v>
      </c>
      <c r="Q309" s="180">
        <f t="shared" si="229"/>
        <v>53419.354838709667</v>
      </c>
      <c r="R309" s="144">
        <f t="shared" si="236"/>
        <v>53490</v>
      </c>
      <c r="S309" s="179">
        <f>VLOOKUP($B309,'Выгр Торг'!$B:$Q,S$1,0)</f>
        <v>43200</v>
      </c>
      <c r="T309" s="179">
        <f>VLOOKUP($B309,'Выгр Торг'!$B:$Q,T$1,0)</f>
        <v>53490</v>
      </c>
      <c r="U309" s="94">
        <f t="shared" si="208"/>
        <v>0</v>
      </c>
      <c r="V309" s="94">
        <f t="shared" si="209"/>
        <v>0</v>
      </c>
      <c r="W309" s="182">
        <f t="shared" si="237"/>
        <v>49745.7</v>
      </c>
      <c r="X309" s="218">
        <f>IFERROR(VLOOKUP($B309,'Из ГУГЛа'!$B:$G,6,0)*Z309+Y309,VLOOKUP($B309,'Из ГУГЛа'!$B:$G,6,0))</f>
        <v>54590</v>
      </c>
      <c r="Y309" s="220">
        <f t="shared" si="230"/>
        <v>10800</v>
      </c>
      <c r="Z309" s="133">
        <v>1</v>
      </c>
      <c r="AA309" s="133">
        <v>1300</v>
      </c>
      <c r="AB309" s="184">
        <f t="shared" si="238"/>
        <v>0.15152083333333333</v>
      </c>
      <c r="AC309" s="184">
        <f t="shared" si="239"/>
        <v>8.8739695915002803E-2</v>
      </c>
      <c r="AD309" s="184">
        <f t="shared" si="240"/>
        <v>0.2636574074074074</v>
      </c>
      <c r="AE309" s="222">
        <v>54590</v>
      </c>
      <c r="AF309" s="98" t="s">
        <v>649</v>
      </c>
      <c r="AH309" s="98" t="s">
        <v>476</v>
      </c>
    </row>
    <row r="310" spans="1:34" ht="61.5" thickTop="1" thickBot="1">
      <c r="A310" s="176" t="str">
        <f>INDEX('Выгр Торг'!$A:$A,MATCH($B310,'Выгр Торг'!$B:$B,0))</f>
        <v>Руль анатомический "Ferrum" Limited Edition карбон, вставки алькантара для Лада Ларгус FL, Веста, XRAY</v>
      </c>
      <c r="B310" s="178">
        <v>341587</v>
      </c>
      <c r="C310" s="179">
        <f>VLOOKUP($B310,'Выгр Торг'!$B:$Q,C$1,0)</f>
        <v>341587</v>
      </c>
      <c r="D310" s="189" t="s">
        <v>476</v>
      </c>
      <c r="E310" s="176" t="str">
        <f>VLOOKUP($B310,'Выгр Торг'!$B:$Q,E$1,0)</f>
        <v>Руль анатомический "Ferrum" Limited Edition карбон, вставки алькантара для Лада Ларгус FL, Веста, XRAY (Оранжевая нить, Чёрный мат)</v>
      </c>
      <c r="F310" s="179" t="str">
        <f>VLOOKUP($B310,'Выгр Торг'!$B:$Q,F$1,0)</f>
        <v>Y</v>
      </c>
      <c r="G310" s="179" t="str">
        <f>VLOOKUP($B310,'Выгр Торг'!$B:$Q,G$1,0)</f>
        <v>1</v>
      </c>
      <c r="H310" s="177">
        <v>166803</v>
      </c>
      <c r="I310" s="156"/>
      <c r="J310" s="160">
        <v>830</v>
      </c>
      <c r="K310" s="161">
        <v>870</v>
      </c>
      <c r="L310" s="180">
        <f t="shared" si="234"/>
        <v>43200</v>
      </c>
      <c r="M310" s="180">
        <f t="shared" si="227"/>
        <v>44200</v>
      </c>
      <c r="N310" s="180">
        <f t="shared" si="228"/>
        <v>37200</v>
      </c>
      <c r="O310" s="107">
        <f t="shared" si="235"/>
        <v>1.0231481481481481</v>
      </c>
      <c r="P310" s="132">
        <f t="shared" si="207"/>
        <v>1.1499999999999999</v>
      </c>
      <c r="Q310" s="180">
        <f t="shared" si="229"/>
        <v>53419.354838709667</v>
      </c>
      <c r="R310" s="144">
        <f t="shared" si="236"/>
        <v>53490</v>
      </c>
      <c r="S310" s="179">
        <f>VLOOKUP($B310,'Выгр Торг'!$B:$Q,S$1,0)</f>
        <v>43200</v>
      </c>
      <c r="T310" s="179">
        <f>VLOOKUP($B310,'Выгр Торг'!$B:$Q,T$1,0)</f>
        <v>53490</v>
      </c>
      <c r="U310" s="94">
        <f t="shared" si="208"/>
        <v>0</v>
      </c>
      <c r="V310" s="94">
        <f t="shared" si="209"/>
        <v>0</v>
      </c>
      <c r="W310" s="182">
        <f t="shared" si="237"/>
        <v>49745.7</v>
      </c>
      <c r="X310" s="218">
        <f>IFERROR(VLOOKUP($B310,'Из ГУГЛа'!$B:$G,6,0)*Z310+Y310,VLOOKUP($B310,'Из ГУГЛа'!$B:$G,6,0))</f>
        <v>54590</v>
      </c>
      <c r="Y310" s="220">
        <f t="shared" si="230"/>
        <v>10800</v>
      </c>
      <c r="Z310" s="133">
        <v>1</v>
      </c>
      <c r="AA310" s="133">
        <v>1300</v>
      </c>
      <c r="AB310" s="184">
        <f t="shared" si="238"/>
        <v>0.15152083333333333</v>
      </c>
      <c r="AC310" s="184">
        <f t="shared" si="239"/>
        <v>8.8739695915002803E-2</v>
      </c>
      <c r="AD310" s="184">
        <f t="shared" si="240"/>
        <v>0.2636574074074074</v>
      </c>
      <c r="AE310" s="222">
        <v>54590</v>
      </c>
      <c r="AF310" s="98" t="s">
        <v>649</v>
      </c>
      <c r="AH310" s="98" t="s">
        <v>476</v>
      </c>
    </row>
    <row r="311" spans="1:34" ht="61.5" thickTop="1" thickBot="1">
      <c r="A311" s="176" t="str">
        <f>INDEX('Выгр Торг'!$A:$A,MATCH($B311,'Выгр Торг'!$B:$B,0))</f>
        <v>Руль анатомический "Ferrum" Limited Edition карбон, вставки алькантара для Лада Ларгус FL, Веста, XRAY</v>
      </c>
      <c r="B311" s="178">
        <v>341588</v>
      </c>
      <c r="C311" s="179">
        <f>VLOOKUP($B311,'Выгр Торг'!$B:$Q,C$1,0)</f>
        <v>341588</v>
      </c>
      <c r="D311" s="189" t="s">
        <v>476</v>
      </c>
      <c r="E311" s="176" t="str">
        <f>VLOOKUP($B311,'Выгр Торг'!$B:$Q,E$1,0)</f>
        <v>Руль анатомический "Ferrum" Limited Edition карбон, вставки алькантара для Лада Ларгус FL, Веста, XRAY (Салатовая нить, Чёрный мат)</v>
      </c>
      <c r="F311" s="179" t="str">
        <f>VLOOKUP($B311,'Выгр Торг'!$B:$Q,F$1,0)</f>
        <v>Y</v>
      </c>
      <c r="G311" s="179" t="str">
        <f>VLOOKUP($B311,'Выгр Торг'!$B:$Q,G$1,0)</f>
        <v>1</v>
      </c>
      <c r="H311" s="177">
        <v>166803</v>
      </c>
      <c r="I311" s="156"/>
      <c r="J311" s="160">
        <v>830</v>
      </c>
      <c r="K311" s="161">
        <v>870</v>
      </c>
      <c r="L311" s="180">
        <f t="shared" si="234"/>
        <v>43200</v>
      </c>
      <c r="M311" s="180">
        <f t="shared" si="227"/>
        <v>44200</v>
      </c>
      <c r="N311" s="180">
        <f t="shared" si="228"/>
        <v>37200</v>
      </c>
      <c r="O311" s="107">
        <f t="shared" si="235"/>
        <v>1.0231481481481481</v>
      </c>
      <c r="P311" s="132">
        <f t="shared" si="207"/>
        <v>1.1499999999999999</v>
      </c>
      <c r="Q311" s="180">
        <f t="shared" si="229"/>
        <v>53419.354838709667</v>
      </c>
      <c r="R311" s="144">
        <f t="shared" si="236"/>
        <v>53490</v>
      </c>
      <c r="S311" s="179">
        <f>VLOOKUP($B311,'Выгр Торг'!$B:$Q,S$1,0)</f>
        <v>43200</v>
      </c>
      <c r="T311" s="179">
        <f>VLOOKUP($B311,'Выгр Торг'!$B:$Q,T$1,0)</f>
        <v>53490</v>
      </c>
      <c r="U311" s="94">
        <f t="shared" si="208"/>
        <v>0</v>
      </c>
      <c r="V311" s="94">
        <f t="shared" si="209"/>
        <v>0</v>
      </c>
      <c r="W311" s="182">
        <f t="shared" si="237"/>
        <v>49745.7</v>
      </c>
      <c r="X311" s="218">
        <f>IFERROR(VLOOKUP($B311,'Из ГУГЛа'!$B:$G,6,0)*Z311+Y311,VLOOKUP($B311,'Из ГУГЛа'!$B:$G,6,0))</f>
        <v>54590</v>
      </c>
      <c r="Y311" s="220">
        <f t="shared" si="230"/>
        <v>10800</v>
      </c>
      <c r="Z311" s="133">
        <v>1</v>
      </c>
      <c r="AA311" s="133">
        <v>1300</v>
      </c>
      <c r="AB311" s="184">
        <f t="shared" si="238"/>
        <v>0.15152083333333333</v>
      </c>
      <c r="AC311" s="184">
        <f t="shared" si="239"/>
        <v>8.8739695915002803E-2</v>
      </c>
      <c r="AD311" s="184">
        <f t="shared" si="240"/>
        <v>0.2636574074074074</v>
      </c>
      <c r="AE311" s="222">
        <v>54590</v>
      </c>
      <c r="AF311" s="98" t="s">
        <v>649</v>
      </c>
      <c r="AH311" s="98" t="s">
        <v>476</v>
      </c>
    </row>
    <row r="312" spans="1:34" ht="61.5" thickTop="1" thickBot="1">
      <c r="A312" s="176" t="str">
        <f>INDEX('Выгр Торг'!$A:$A,MATCH($B312,'Выгр Торг'!$B:$B,0))</f>
        <v>Руль анатомический "Ferrum" Limited Edition карбон, вставки алькантара для Лада Ларгус FL, Веста, XRAY</v>
      </c>
      <c r="B312" s="178">
        <v>341591</v>
      </c>
      <c r="C312" s="179">
        <f>VLOOKUP($B312,'Выгр Торг'!$B:$Q,C$1,0)</f>
        <v>341591</v>
      </c>
      <c r="D312" s="189" t="s">
        <v>476</v>
      </c>
      <c r="E312" s="176" t="str">
        <f>VLOOKUP($B312,'Выгр Торг'!$B:$Q,E$1,0)</f>
        <v>Руль анатомический "Ferrum" Limited Edition карбон, вставки алькантара для Лада Ларгус FL, Веста, XRAY (Светло-серая нить, Чёрный мат)</v>
      </c>
      <c r="F312" s="179" t="str">
        <f>VLOOKUP($B312,'Выгр Торг'!$B:$Q,F$1,0)</f>
        <v>Y</v>
      </c>
      <c r="G312" s="179" t="str">
        <f>VLOOKUP($B312,'Выгр Торг'!$B:$Q,G$1,0)</f>
        <v>1</v>
      </c>
      <c r="H312" s="177">
        <v>166803</v>
      </c>
      <c r="I312" s="156"/>
      <c r="J312" s="160">
        <v>830</v>
      </c>
      <c r="K312" s="161">
        <v>870</v>
      </c>
      <c r="L312" s="180">
        <f t="shared" si="234"/>
        <v>43200</v>
      </c>
      <c r="M312" s="180">
        <f t="shared" si="227"/>
        <v>44200</v>
      </c>
      <c r="N312" s="180">
        <f t="shared" si="228"/>
        <v>37200</v>
      </c>
      <c r="O312" s="107">
        <f t="shared" si="235"/>
        <v>1.0231481481481481</v>
      </c>
      <c r="P312" s="132">
        <f t="shared" si="207"/>
        <v>1.1499999999999999</v>
      </c>
      <c r="Q312" s="180">
        <f t="shared" si="229"/>
        <v>53419.354838709667</v>
      </c>
      <c r="R312" s="144">
        <f t="shared" si="236"/>
        <v>53490</v>
      </c>
      <c r="S312" s="179">
        <f>VLOOKUP($B312,'Выгр Торг'!$B:$Q,S$1,0)</f>
        <v>43200</v>
      </c>
      <c r="T312" s="179">
        <f>VLOOKUP($B312,'Выгр Торг'!$B:$Q,T$1,0)</f>
        <v>53490</v>
      </c>
      <c r="U312" s="94">
        <f t="shared" si="208"/>
        <v>0</v>
      </c>
      <c r="V312" s="94">
        <f t="shared" si="209"/>
        <v>0</v>
      </c>
      <c r="W312" s="182">
        <f t="shared" si="237"/>
        <v>49745.7</v>
      </c>
      <c r="X312" s="218">
        <f>IFERROR(VLOOKUP($B312,'Из ГУГЛа'!$B:$G,6,0)*Z312+Y312,VLOOKUP($B312,'Из ГУГЛа'!$B:$G,6,0))</f>
        <v>54590</v>
      </c>
      <c r="Y312" s="220">
        <f t="shared" si="230"/>
        <v>10800</v>
      </c>
      <c r="Z312" s="133">
        <v>1</v>
      </c>
      <c r="AA312" s="133">
        <v>1300</v>
      </c>
      <c r="AB312" s="184">
        <f t="shared" si="238"/>
        <v>0.15152083333333333</v>
      </c>
      <c r="AC312" s="184">
        <f t="shared" si="239"/>
        <v>8.8739695915002803E-2</v>
      </c>
      <c r="AD312" s="184">
        <f t="shared" si="240"/>
        <v>0.2636574074074074</v>
      </c>
      <c r="AE312" s="222">
        <v>54590</v>
      </c>
      <c r="AF312" s="98" t="s">
        <v>649</v>
      </c>
      <c r="AH312" s="98" t="s">
        <v>476</v>
      </c>
    </row>
    <row r="313" spans="1:34" ht="61.5" thickTop="1" thickBot="1">
      <c r="A313" s="176" t="str">
        <f>INDEX('Выгр Торг'!$A:$A,MATCH($B313,'Выгр Торг'!$B:$B,0))</f>
        <v>Руль анатомический "Ferrum" Limited Edition карбон, вставки алькантара для Лада Ларгус FL, Веста, XRAY</v>
      </c>
      <c r="B313" s="178">
        <v>341589</v>
      </c>
      <c r="C313" s="179">
        <f>VLOOKUP($B313,'Выгр Торг'!$B:$Q,C$1,0)</f>
        <v>341589</v>
      </c>
      <c r="D313" s="189" t="s">
        <v>476</v>
      </c>
      <c r="E313" s="176" t="str">
        <f>VLOOKUP($B313,'Выгр Торг'!$B:$Q,E$1,0)</f>
        <v>Руль анатомический "Ferrum" Limited Edition карбон, вставки алькантара для Лада Ларгус FL, Веста, XRAY (Сине-зелёная нить, Чёрный мат)</v>
      </c>
      <c r="F313" s="179" t="str">
        <f>VLOOKUP($B313,'Выгр Торг'!$B:$Q,F$1,0)</f>
        <v>Y</v>
      </c>
      <c r="G313" s="179" t="str">
        <f>VLOOKUP($B313,'Выгр Торг'!$B:$Q,G$1,0)</f>
        <v>1</v>
      </c>
      <c r="H313" s="177">
        <v>166803</v>
      </c>
      <c r="I313" s="156"/>
      <c r="J313" s="160">
        <v>830</v>
      </c>
      <c r="K313" s="161">
        <v>870</v>
      </c>
      <c r="L313" s="180">
        <f t="shared" si="234"/>
        <v>43200</v>
      </c>
      <c r="M313" s="180">
        <f t="shared" si="227"/>
        <v>44200</v>
      </c>
      <c r="N313" s="180">
        <f t="shared" si="228"/>
        <v>37200</v>
      </c>
      <c r="O313" s="107">
        <f t="shared" si="235"/>
        <v>1.0231481481481481</v>
      </c>
      <c r="P313" s="132">
        <f t="shared" si="207"/>
        <v>1.1499999999999999</v>
      </c>
      <c r="Q313" s="180">
        <f t="shared" si="229"/>
        <v>53419.354838709667</v>
      </c>
      <c r="R313" s="144">
        <f t="shared" si="236"/>
        <v>53490</v>
      </c>
      <c r="S313" s="179">
        <f>VLOOKUP($B313,'Выгр Торг'!$B:$Q,S$1,0)</f>
        <v>43200</v>
      </c>
      <c r="T313" s="179">
        <f>VLOOKUP($B313,'Выгр Торг'!$B:$Q,T$1,0)</f>
        <v>53490</v>
      </c>
      <c r="U313" s="94">
        <f t="shared" si="208"/>
        <v>0</v>
      </c>
      <c r="V313" s="94">
        <f t="shared" si="209"/>
        <v>0</v>
      </c>
      <c r="W313" s="182">
        <f t="shared" si="237"/>
        <v>49745.7</v>
      </c>
      <c r="X313" s="218">
        <f>IFERROR(VLOOKUP($B313,'Из ГУГЛа'!$B:$G,6,0)*Z313+Y313,VLOOKUP($B313,'Из ГУГЛа'!$B:$G,6,0))</f>
        <v>54590</v>
      </c>
      <c r="Y313" s="220">
        <f t="shared" si="230"/>
        <v>10800</v>
      </c>
      <c r="Z313" s="133">
        <v>1</v>
      </c>
      <c r="AA313" s="133">
        <v>1300</v>
      </c>
      <c r="AB313" s="184">
        <f t="shared" si="238"/>
        <v>0.15152083333333333</v>
      </c>
      <c r="AC313" s="184">
        <f t="shared" si="239"/>
        <v>8.8739695915002803E-2</v>
      </c>
      <c r="AD313" s="184">
        <f t="shared" si="240"/>
        <v>0.2636574074074074</v>
      </c>
      <c r="AE313" s="222">
        <v>54590</v>
      </c>
      <c r="AF313" s="98" t="s">
        <v>649</v>
      </c>
      <c r="AH313" s="98" t="s">
        <v>476</v>
      </c>
    </row>
    <row r="314" spans="1:34" ht="61.5" thickTop="1" thickBot="1">
      <c r="A314" s="176" t="str">
        <f>INDEX('Выгр Торг'!$A:$A,MATCH($B314,'Выгр Торг'!$B:$B,0))</f>
        <v>Руль анатомический "Ferrum" Limited Edition карбон, вставки алькантара для Лада Ларгус FL, Веста, XRAY</v>
      </c>
      <c r="B314" s="178">
        <v>341590</v>
      </c>
      <c r="C314" s="179">
        <f>VLOOKUP($B314,'Выгр Торг'!$B:$Q,C$1,0)</f>
        <v>341590</v>
      </c>
      <c r="D314" s="189" t="s">
        <v>476</v>
      </c>
      <c r="E314" s="176" t="str">
        <f>VLOOKUP($B314,'Выгр Торг'!$B:$Q,E$1,0)</f>
        <v>Руль анатомический "Ferrum" Limited Edition карбон, вставки алькантара для Лада Ларгус FL, Веста, XRAY (Синяя нить, Чёрный мат)</v>
      </c>
      <c r="F314" s="179" t="str">
        <f>VLOOKUP($B314,'Выгр Торг'!$B:$Q,F$1,0)</f>
        <v>Y</v>
      </c>
      <c r="G314" s="179" t="str">
        <f>VLOOKUP($B314,'Выгр Торг'!$B:$Q,G$1,0)</f>
        <v>1</v>
      </c>
      <c r="H314" s="177">
        <v>166803</v>
      </c>
      <c r="I314" s="156"/>
      <c r="J314" s="160">
        <v>830</v>
      </c>
      <c r="K314" s="161">
        <v>870</v>
      </c>
      <c r="L314" s="180">
        <f t="shared" si="234"/>
        <v>43200</v>
      </c>
      <c r="M314" s="180">
        <f t="shared" si="227"/>
        <v>44200</v>
      </c>
      <c r="N314" s="180">
        <f t="shared" si="228"/>
        <v>37200</v>
      </c>
      <c r="O314" s="107">
        <f t="shared" si="235"/>
        <v>1.0231481481481481</v>
      </c>
      <c r="P314" s="132">
        <f t="shared" si="207"/>
        <v>1.1499999999999999</v>
      </c>
      <c r="Q314" s="180">
        <f t="shared" si="229"/>
        <v>53419.354838709667</v>
      </c>
      <c r="R314" s="144">
        <f t="shared" si="236"/>
        <v>53490</v>
      </c>
      <c r="S314" s="179">
        <f>VLOOKUP($B314,'Выгр Торг'!$B:$Q,S$1,0)</f>
        <v>43200</v>
      </c>
      <c r="T314" s="179">
        <f>VLOOKUP($B314,'Выгр Торг'!$B:$Q,T$1,0)</f>
        <v>53490</v>
      </c>
      <c r="U314" s="94">
        <f t="shared" si="208"/>
        <v>0</v>
      </c>
      <c r="V314" s="94">
        <f t="shared" si="209"/>
        <v>0</v>
      </c>
      <c r="W314" s="182">
        <f t="shared" si="237"/>
        <v>49745.7</v>
      </c>
      <c r="X314" s="218">
        <f>IFERROR(VLOOKUP($B314,'Из ГУГЛа'!$B:$G,6,0)*Z314+Y314,VLOOKUP($B314,'Из ГУГЛа'!$B:$G,6,0))</f>
        <v>54590</v>
      </c>
      <c r="Y314" s="220">
        <f t="shared" si="230"/>
        <v>10800</v>
      </c>
      <c r="Z314" s="133">
        <v>1</v>
      </c>
      <c r="AA314" s="133">
        <v>1300</v>
      </c>
      <c r="AB314" s="184">
        <f t="shared" si="238"/>
        <v>0.15152083333333333</v>
      </c>
      <c r="AC314" s="184">
        <f t="shared" si="239"/>
        <v>8.8739695915002803E-2</v>
      </c>
      <c r="AD314" s="184">
        <f t="shared" si="240"/>
        <v>0.2636574074074074</v>
      </c>
      <c r="AE314" s="222">
        <v>54590</v>
      </c>
      <c r="AF314" s="98" t="s">
        <v>649</v>
      </c>
      <c r="AH314" s="98" t="s">
        <v>476</v>
      </c>
    </row>
    <row r="315" spans="1:34" ht="61.5" thickTop="1" thickBot="1">
      <c r="A315" s="176" t="str">
        <f>INDEX('Выгр Торг'!$A:$A,MATCH($B315,'Выгр Торг'!$B:$B,0))</f>
        <v>Руль анатомический "Ferrum" Limited Edition карбон, вставки алькантара для Лада Ларгус FL, Веста, XRAY</v>
      </c>
      <c r="B315" s="178">
        <v>341592</v>
      </c>
      <c r="C315" s="179">
        <f>VLOOKUP($B315,'Выгр Торг'!$B:$Q,C$1,0)</f>
        <v>341592</v>
      </c>
      <c r="D315" s="189" t="s">
        <v>476</v>
      </c>
      <c r="E315" s="176" t="str">
        <f>VLOOKUP($B315,'Выгр Торг'!$B:$Q,E$1,0)</f>
        <v>Руль анатомический "Ferrum" Limited Edition карбон, вставки алькантара для Лада Ларгус FL, Веста, XRAY (Тёмно-серая нить, Чёрный мат)</v>
      </c>
      <c r="F315" s="179" t="str">
        <f>VLOOKUP($B315,'Выгр Торг'!$B:$Q,F$1,0)</f>
        <v>Y</v>
      </c>
      <c r="G315" s="179" t="str">
        <f>VLOOKUP($B315,'Выгр Торг'!$B:$Q,G$1,0)</f>
        <v>1</v>
      </c>
      <c r="H315" s="177">
        <v>166803</v>
      </c>
      <c r="I315" s="156"/>
      <c r="J315" s="160">
        <v>830</v>
      </c>
      <c r="K315" s="161">
        <v>870</v>
      </c>
      <c r="L315" s="180">
        <f t="shared" si="234"/>
        <v>43200</v>
      </c>
      <c r="M315" s="180">
        <f t="shared" si="227"/>
        <v>44200</v>
      </c>
      <c r="N315" s="180">
        <f t="shared" si="228"/>
        <v>37200</v>
      </c>
      <c r="O315" s="107">
        <f t="shared" si="235"/>
        <v>1.0231481481481481</v>
      </c>
      <c r="P315" s="132">
        <f t="shared" si="207"/>
        <v>1.1499999999999999</v>
      </c>
      <c r="Q315" s="180">
        <f t="shared" si="229"/>
        <v>53419.354838709667</v>
      </c>
      <c r="R315" s="144">
        <f t="shared" si="236"/>
        <v>53490</v>
      </c>
      <c r="S315" s="179">
        <f>VLOOKUP($B315,'Выгр Торг'!$B:$Q,S$1,0)</f>
        <v>43200</v>
      </c>
      <c r="T315" s="179">
        <f>VLOOKUP($B315,'Выгр Торг'!$B:$Q,T$1,0)</f>
        <v>53490</v>
      </c>
      <c r="U315" s="94">
        <f t="shared" si="208"/>
        <v>0</v>
      </c>
      <c r="V315" s="94">
        <f t="shared" si="209"/>
        <v>0</v>
      </c>
      <c r="W315" s="182">
        <f t="shared" si="237"/>
        <v>49745.7</v>
      </c>
      <c r="X315" s="218">
        <f>IFERROR(VLOOKUP($B315,'Из ГУГЛа'!$B:$G,6,0)*Z315+Y315,VLOOKUP($B315,'Из ГУГЛа'!$B:$G,6,0))</f>
        <v>54590</v>
      </c>
      <c r="Y315" s="220">
        <f t="shared" si="230"/>
        <v>10800</v>
      </c>
      <c r="Z315" s="133">
        <v>1</v>
      </c>
      <c r="AA315" s="133">
        <v>1300</v>
      </c>
      <c r="AB315" s="184">
        <f t="shared" si="238"/>
        <v>0.15152083333333333</v>
      </c>
      <c r="AC315" s="184">
        <f t="shared" si="239"/>
        <v>8.8739695915002803E-2</v>
      </c>
      <c r="AD315" s="184">
        <f t="shared" si="240"/>
        <v>0.2636574074074074</v>
      </c>
      <c r="AE315" s="222">
        <v>54590</v>
      </c>
      <c r="AF315" s="98" t="s">
        <v>649</v>
      </c>
      <c r="AH315" s="98" t="s">
        <v>476</v>
      </c>
    </row>
    <row r="316" spans="1:34" ht="61.5" thickTop="1" thickBot="1">
      <c r="A316" s="176" t="str">
        <f>INDEX('Выгр Торг'!$A:$A,MATCH($B316,'Выгр Торг'!$B:$B,0))</f>
        <v>Руль анатомический "Ferrum" Limited Edition карбон, вставки алькантара для Лада Ларгус FL, Веста, XRAY</v>
      </c>
      <c r="B316" s="178">
        <v>341584</v>
      </c>
      <c r="C316" s="179">
        <f>VLOOKUP($B316,'Выгр Торг'!$B:$Q,C$1,0)</f>
        <v>341584</v>
      </c>
      <c r="D316" s="189" t="s">
        <v>476</v>
      </c>
      <c r="E316" s="176" t="str">
        <f>VLOOKUP($B316,'Выгр Торг'!$B:$Q,E$1,0)</f>
        <v>Руль анатомический "Ferrum" Limited Edition карбон, вставки алькантара для Лада Ларгус FL, Веста, XRAY (Фиолетовая нить, Чёрный мат)</v>
      </c>
      <c r="F316" s="179" t="str">
        <f>VLOOKUP($B316,'Выгр Торг'!$B:$Q,F$1,0)</f>
        <v>Y</v>
      </c>
      <c r="G316" s="179" t="str">
        <f>VLOOKUP($B316,'Выгр Торг'!$B:$Q,G$1,0)</f>
        <v>1</v>
      </c>
      <c r="H316" s="177">
        <v>166803</v>
      </c>
      <c r="I316" s="156"/>
      <c r="J316" s="160">
        <v>830</v>
      </c>
      <c r="K316" s="161">
        <v>870</v>
      </c>
      <c r="L316" s="180">
        <f t="shared" si="234"/>
        <v>43200</v>
      </c>
      <c r="M316" s="180">
        <f t="shared" si="227"/>
        <v>44200</v>
      </c>
      <c r="N316" s="180">
        <f t="shared" si="228"/>
        <v>37200</v>
      </c>
      <c r="O316" s="107">
        <f t="shared" si="235"/>
        <v>1.0231481481481481</v>
      </c>
      <c r="P316" s="132">
        <f t="shared" si="207"/>
        <v>1.1499999999999999</v>
      </c>
      <c r="Q316" s="180">
        <f t="shared" si="229"/>
        <v>53419.354838709667</v>
      </c>
      <c r="R316" s="144">
        <f t="shared" si="236"/>
        <v>53490</v>
      </c>
      <c r="S316" s="179">
        <f>VLOOKUP($B316,'Выгр Торг'!$B:$Q,S$1,0)</f>
        <v>43200</v>
      </c>
      <c r="T316" s="179">
        <f>VLOOKUP($B316,'Выгр Торг'!$B:$Q,T$1,0)</f>
        <v>53490</v>
      </c>
      <c r="U316" s="94">
        <f t="shared" si="208"/>
        <v>0</v>
      </c>
      <c r="V316" s="94">
        <f t="shared" si="209"/>
        <v>0</v>
      </c>
      <c r="W316" s="182">
        <f t="shared" si="237"/>
        <v>49745.7</v>
      </c>
      <c r="X316" s="218">
        <f>IFERROR(VLOOKUP($B316,'Из ГУГЛа'!$B:$G,6,0)*Z316+Y316,VLOOKUP($B316,'Из ГУГЛа'!$B:$G,6,0))</f>
        <v>54590</v>
      </c>
      <c r="Y316" s="220">
        <f t="shared" si="230"/>
        <v>10800</v>
      </c>
      <c r="Z316" s="133">
        <v>1</v>
      </c>
      <c r="AA316" s="133">
        <v>1300</v>
      </c>
      <c r="AB316" s="184">
        <f t="shared" si="238"/>
        <v>0.15152083333333333</v>
      </c>
      <c r="AC316" s="184">
        <f t="shared" si="239"/>
        <v>8.8739695915002803E-2</v>
      </c>
      <c r="AD316" s="184">
        <f t="shared" si="240"/>
        <v>0.2636574074074074</v>
      </c>
      <c r="AE316" s="222">
        <v>54590</v>
      </c>
      <c r="AF316" s="98" t="s">
        <v>649</v>
      </c>
      <c r="AH316" s="98" t="s">
        <v>476</v>
      </c>
    </row>
    <row r="317" spans="1:34" ht="61.5" thickTop="1" thickBot="1">
      <c r="A317" s="176" t="str">
        <f>INDEX('Выгр Торг'!$A:$A,MATCH($B317,'Выгр Торг'!$B:$B,0))</f>
        <v>Руль анатомический "Ferrum" Limited Edition карбон, вставки алькантара для Лада Ларгус FL, Веста, XRAY</v>
      </c>
      <c r="B317" s="178">
        <v>132646</v>
      </c>
      <c r="C317" s="179">
        <f>VLOOKUP($B317,'Выгр Торг'!$B:$Q,C$1,0)</f>
        <v>166811</v>
      </c>
      <c r="D317" s="189" t="s">
        <v>476</v>
      </c>
      <c r="E317" s="176" t="str">
        <f>VLOOKUP($B317,'Выгр Торг'!$B:$Q,E$1,0)</f>
        <v>Руль анатомический "Ferrum" Limited Edition карбоновое (вставки из алькантары) для Лада Ларгус FL, Веста, XRAY (Жёлтая нить, Чёрный глянец)</v>
      </c>
      <c r="F317" s="179" t="str">
        <f>VLOOKUP($B317,'Выгр Торг'!$B:$Q,F$1,0)</f>
        <v>Y</v>
      </c>
      <c r="G317" s="179" t="str">
        <f>VLOOKUP($B317,'Выгр Торг'!$B:$Q,G$1,0)</f>
        <v>1</v>
      </c>
      <c r="H317" s="177">
        <v>166803</v>
      </c>
      <c r="I317" s="156"/>
      <c r="J317" s="160"/>
      <c r="K317" s="161">
        <v>870</v>
      </c>
      <c r="L317" s="180">
        <f t="shared" si="234"/>
        <v>42370</v>
      </c>
      <c r="M317" s="180">
        <f t="shared" si="227"/>
        <v>43370</v>
      </c>
      <c r="N317" s="180">
        <f t="shared" si="228"/>
        <v>36370</v>
      </c>
      <c r="O317" s="107">
        <f t="shared" si="235"/>
        <v>1.0236016049091339</v>
      </c>
      <c r="P317" s="132">
        <f t="shared" si="207"/>
        <v>1.1499999999999999</v>
      </c>
      <c r="Q317" s="180">
        <f t="shared" si="229"/>
        <v>52393.010752688162</v>
      </c>
      <c r="R317" s="144">
        <f t="shared" si="236"/>
        <v>52390</v>
      </c>
      <c r="S317" s="179">
        <f>VLOOKUP($B317,'Выгр Торг'!$B:$Q,S$1,0)</f>
        <v>42370</v>
      </c>
      <c r="T317" s="179">
        <f>VLOOKUP($B317,'Выгр Торг'!$B:$Q,T$1,0)</f>
        <v>52390</v>
      </c>
      <c r="U317" s="94">
        <f t="shared" si="208"/>
        <v>0</v>
      </c>
      <c r="V317" s="94">
        <f t="shared" si="209"/>
        <v>0</v>
      </c>
      <c r="W317" s="182">
        <f t="shared" si="237"/>
        <v>48722.7</v>
      </c>
      <c r="X317" s="218">
        <f>IFERROR(VLOOKUP($B317,'Из ГУГЛа'!$B:$G,6,0)*Z317+Y317,VLOOKUP($B317,'Из ГУГЛа'!$B:$G,6,0))</f>
        <v>53760</v>
      </c>
      <c r="Y317" s="220">
        <f t="shared" si="230"/>
        <v>9970</v>
      </c>
      <c r="Z317" s="133">
        <v>1</v>
      </c>
      <c r="AA317" s="133"/>
      <c r="AB317" s="184">
        <f t="shared" si="238"/>
        <v>0.14993391550625446</v>
      </c>
      <c r="AC317" s="184">
        <f t="shared" si="239"/>
        <v>9.3699776785714339E-2</v>
      </c>
      <c r="AD317" s="184">
        <f t="shared" si="240"/>
        <v>0.26882227991503416</v>
      </c>
      <c r="AE317" s="222">
        <v>53760</v>
      </c>
      <c r="AF317" s="98" t="s">
        <v>649</v>
      </c>
      <c r="AH317" s="98" t="s">
        <v>476</v>
      </c>
    </row>
    <row r="318" spans="1:34" ht="61.5" thickTop="1" thickBot="1">
      <c r="A318" s="125" t="str">
        <f>INDEX('Выгр Торг'!$A:$A,MATCH($B318,'Выгр Торг'!$B:$B,0))</f>
        <v>Руль анатомический "Ferrum" Limited Edition карбон, вставки алькантара для Лада Ларгус FL, Веста, XRAY</v>
      </c>
      <c r="B318" s="126">
        <v>132647</v>
      </c>
      <c r="C318" s="127">
        <f>VLOOKUP($B318,'Выгр Торг'!$B:$Q,C$1,0)</f>
        <v>166815</v>
      </c>
      <c r="D318" s="128" t="s">
        <v>476</v>
      </c>
      <c r="E318" s="125" t="str">
        <f>VLOOKUP($B318,'Выгр Торг'!$B:$Q,E$1,0)</f>
        <v>Руль анатомический "Ferrum" Limited Edition карбоновое (вставки из алькантары) для Лада Ларгус FL, Веста, XRAY (Зелёная нить, Чёрный глянец)</v>
      </c>
      <c r="F318" s="127" t="str">
        <f>VLOOKUP($B318,'Выгр Торг'!$B:$Q,F$1,0)</f>
        <v>Y</v>
      </c>
      <c r="G318" s="127" t="str">
        <f>VLOOKUP($B318,'Выгр Торг'!$B:$Q,G$1,0)</f>
        <v>1</v>
      </c>
      <c r="H318" s="40">
        <v>166803</v>
      </c>
      <c r="I318" s="156"/>
      <c r="J318" s="160"/>
      <c r="K318" s="161">
        <v>870</v>
      </c>
      <c r="L318" s="130">
        <f t="shared" ref="L318:L406" si="241">M318-1000</f>
        <v>42370</v>
      </c>
      <c r="M318" s="130">
        <f t="shared" si="227"/>
        <v>43370</v>
      </c>
      <c r="N318" s="130">
        <f t="shared" si="228"/>
        <v>36370</v>
      </c>
      <c r="O318" s="132">
        <f t="shared" si="232"/>
        <v>1.0236016049091339</v>
      </c>
      <c r="P318" s="132">
        <f t="shared" si="207"/>
        <v>1.1499999999999999</v>
      </c>
      <c r="Q318" s="130">
        <f t="shared" si="229"/>
        <v>52393.010752688162</v>
      </c>
      <c r="R318" s="148">
        <f t="shared" si="233"/>
        <v>52390</v>
      </c>
      <c r="S318" s="127">
        <f>VLOOKUP($B318,'Выгр Торг'!$B:$Q,S$1,0)</f>
        <v>42370</v>
      </c>
      <c r="T318" s="127">
        <f>VLOOKUP($B318,'Выгр Торг'!$B:$Q,T$1,0)</f>
        <v>52390</v>
      </c>
      <c r="U318" s="94">
        <f t="shared" si="208"/>
        <v>0</v>
      </c>
      <c r="V318" s="94">
        <f t="shared" si="209"/>
        <v>0</v>
      </c>
      <c r="W318" s="153">
        <f t="shared" si="167"/>
        <v>48722.7</v>
      </c>
      <c r="X318" s="209">
        <f>IFERROR(VLOOKUP($B318,'Из ГУГЛа'!$B:$G,6,0)*Z318+Y318,VLOOKUP($B318,'Из ГУГЛа'!$B:$G,6,0))</f>
        <v>53760</v>
      </c>
      <c r="Y318" s="220">
        <f t="shared" si="230"/>
        <v>9970</v>
      </c>
      <c r="Z318" s="133">
        <v>1</v>
      </c>
      <c r="AA318" s="134"/>
      <c r="AB318" s="135">
        <f t="shared" si="160"/>
        <v>0.14993391550625446</v>
      </c>
      <c r="AC318" s="135">
        <f t="shared" si="161"/>
        <v>9.3699776785714339E-2</v>
      </c>
      <c r="AD318" s="135">
        <f t="shared" si="162"/>
        <v>0.26882227991503416</v>
      </c>
      <c r="AE318" s="222">
        <v>53760</v>
      </c>
      <c r="AF318" s="98" t="s">
        <v>649</v>
      </c>
      <c r="AH318" s="98" t="s">
        <v>476</v>
      </c>
    </row>
    <row r="319" spans="1:34" ht="61.5" thickTop="1" thickBot="1">
      <c r="A319" s="125" t="str">
        <f>INDEX('Выгр Торг'!$A:$A,MATCH($B319,'Выгр Торг'!$B:$B,0))</f>
        <v>Руль анатомический "Ferrum" Limited Edition карбон, вставки алькантара для Лада Ларгус FL, Веста, XRAY</v>
      </c>
      <c r="B319" s="126">
        <v>132648</v>
      </c>
      <c r="C319" s="127">
        <f>VLOOKUP($B319,'Выгр Торг'!$B:$Q,C$1,0)</f>
        <v>166807</v>
      </c>
      <c r="D319" s="128" t="s">
        <v>476</v>
      </c>
      <c r="E319" s="125" t="str">
        <f>VLOOKUP($B319,'Выгр Торг'!$B:$Q,E$1,0)</f>
        <v>Руль анатомический "Ferrum" Limited Edition карбоновое (вставки из алькантары) для Лада Ларгус FL, Веста, XRAY (Коричневая нить, Чёрный глянец)</v>
      </c>
      <c r="F319" s="127" t="str">
        <f>VLOOKUP($B319,'Выгр Торг'!$B:$Q,F$1,0)</f>
        <v>Y</v>
      </c>
      <c r="G319" s="127" t="str">
        <f>VLOOKUP($B319,'Выгр Торг'!$B:$Q,G$1,0)</f>
        <v>1</v>
      </c>
      <c r="H319" s="40">
        <v>166803</v>
      </c>
      <c r="I319" s="156"/>
      <c r="J319" s="160"/>
      <c r="K319" s="161">
        <v>870</v>
      </c>
      <c r="L319" s="130">
        <f t="shared" si="241"/>
        <v>42370</v>
      </c>
      <c r="M319" s="130">
        <f t="shared" si="227"/>
        <v>43370</v>
      </c>
      <c r="N319" s="130">
        <f t="shared" si="228"/>
        <v>36370</v>
      </c>
      <c r="O319" s="132">
        <f t="shared" si="232"/>
        <v>1.0236016049091339</v>
      </c>
      <c r="P319" s="132">
        <f t="shared" si="207"/>
        <v>1.1499999999999999</v>
      </c>
      <c r="Q319" s="130">
        <f t="shared" si="229"/>
        <v>52393.010752688162</v>
      </c>
      <c r="R319" s="148">
        <f t="shared" si="233"/>
        <v>52390</v>
      </c>
      <c r="S319" s="127">
        <f>VLOOKUP($B319,'Выгр Торг'!$B:$Q,S$1,0)</f>
        <v>42370</v>
      </c>
      <c r="T319" s="127">
        <f>VLOOKUP($B319,'Выгр Торг'!$B:$Q,T$1,0)</f>
        <v>52390</v>
      </c>
      <c r="U319" s="94">
        <f t="shared" si="208"/>
        <v>0</v>
      </c>
      <c r="V319" s="94">
        <f t="shared" si="209"/>
        <v>0</v>
      </c>
      <c r="W319" s="153">
        <f t="shared" si="167"/>
        <v>48722.7</v>
      </c>
      <c r="X319" s="209">
        <f>IFERROR(VLOOKUP($B319,'Из ГУГЛа'!$B:$G,6,0)*Z319+Y319,VLOOKUP($B319,'Из ГУГЛа'!$B:$G,6,0))</f>
        <v>53760</v>
      </c>
      <c r="Y319" s="220">
        <f t="shared" si="230"/>
        <v>9970</v>
      </c>
      <c r="Z319" s="133">
        <v>1</v>
      </c>
      <c r="AA319" s="134"/>
      <c r="AB319" s="135">
        <f t="shared" si="160"/>
        <v>0.14993391550625446</v>
      </c>
      <c r="AC319" s="135">
        <f t="shared" si="161"/>
        <v>9.3699776785714339E-2</v>
      </c>
      <c r="AD319" s="135">
        <f t="shared" si="162"/>
        <v>0.26882227991503416</v>
      </c>
      <c r="AE319" s="222">
        <v>53760</v>
      </c>
      <c r="AF319" s="98" t="s">
        <v>649</v>
      </c>
      <c r="AH319" s="98" t="s">
        <v>476</v>
      </c>
    </row>
    <row r="320" spans="1:34" ht="61.5" thickTop="1" thickBot="1">
      <c r="A320" s="125" t="str">
        <f>INDEX('Выгр Торг'!$A:$A,MATCH($B320,'Выгр Торг'!$B:$B,0))</f>
        <v>Руль анатомический "Ferrum" Limited Edition карбон, вставки алькантара для Лада Ларгус FL, Веста, XRAY</v>
      </c>
      <c r="B320" s="126">
        <v>132649</v>
      </c>
      <c r="C320" s="127">
        <f>VLOOKUP($B320,'Выгр Торг'!$B:$Q,C$1,0)</f>
        <v>166814</v>
      </c>
      <c r="D320" s="128" t="s">
        <v>476</v>
      </c>
      <c r="E320" s="125" t="str">
        <f>VLOOKUP($B320,'Выгр Торг'!$B:$Q,E$1,0)</f>
        <v>Руль анатомический "Ferrum" Limited Edition карбоновое (вставки из алькантары) для Лада Ларгус FL, Веста, XRAY (Красная нить, Чёрный глянец)</v>
      </c>
      <c r="F320" s="127" t="str">
        <f>VLOOKUP($B320,'Выгр Торг'!$B:$Q,F$1,0)</f>
        <v>Y</v>
      </c>
      <c r="G320" s="127" t="str">
        <f>VLOOKUP($B320,'Выгр Торг'!$B:$Q,G$1,0)</f>
        <v>1</v>
      </c>
      <c r="H320" s="40">
        <v>166803</v>
      </c>
      <c r="I320" s="156"/>
      <c r="J320" s="160"/>
      <c r="K320" s="161">
        <v>870</v>
      </c>
      <c r="L320" s="130">
        <f t="shared" si="241"/>
        <v>42370</v>
      </c>
      <c r="M320" s="130">
        <f t="shared" si="227"/>
        <v>43370</v>
      </c>
      <c r="N320" s="130">
        <f t="shared" si="228"/>
        <v>36370</v>
      </c>
      <c r="O320" s="132">
        <f t="shared" si="232"/>
        <v>1.0236016049091339</v>
      </c>
      <c r="P320" s="132">
        <f t="shared" si="207"/>
        <v>1.1499999999999999</v>
      </c>
      <c r="Q320" s="130">
        <f t="shared" si="229"/>
        <v>52393.010752688162</v>
      </c>
      <c r="R320" s="148">
        <f t="shared" si="233"/>
        <v>52390</v>
      </c>
      <c r="S320" s="127">
        <f>VLOOKUP($B320,'Выгр Торг'!$B:$Q,S$1,0)</f>
        <v>42370</v>
      </c>
      <c r="T320" s="127">
        <f>VLOOKUP($B320,'Выгр Торг'!$B:$Q,T$1,0)</f>
        <v>52390</v>
      </c>
      <c r="U320" s="94">
        <f t="shared" si="208"/>
        <v>0</v>
      </c>
      <c r="V320" s="94">
        <f t="shared" si="209"/>
        <v>0</v>
      </c>
      <c r="W320" s="153">
        <f t="shared" si="167"/>
        <v>48722.7</v>
      </c>
      <c r="X320" s="209">
        <f>IFERROR(VLOOKUP($B320,'Из ГУГЛа'!$B:$G,6,0)*Z320+Y320,VLOOKUP($B320,'Из ГУГЛа'!$B:$G,6,0))</f>
        <v>53760</v>
      </c>
      <c r="Y320" s="220">
        <f t="shared" si="230"/>
        <v>9970</v>
      </c>
      <c r="Z320" s="133">
        <v>1</v>
      </c>
      <c r="AA320" s="134"/>
      <c r="AB320" s="135">
        <f t="shared" si="160"/>
        <v>0.14993391550625446</v>
      </c>
      <c r="AC320" s="135">
        <f t="shared" si="161"/>
        <v>9.3699776785714339E-2</v>
      </c>
      <c r="AD320" s="135">
        <f t="shared" si="162"/>
        <v>0.26882227991503416</v>
      </c>
      <c r="AE320" s="222">
        <v>53760</v>
      </c>
      <c r="AF320" s="98" t="s">
        <v>649</v>
      </c>
      <c r="AH320" s="98" t="s">
        <v>476</v>
      </c>
    </row>
    <row r="321" spans="1:34" ht="61.5" thickTop="1" thickBot="1">
      <c r="A321" s="125" t="str">
        <f>INDEX('Выгр Торг'!$A:$A,MATCH($B321,'Выгр Торг'!$B:$B,0))</f>
        <v>Руль анатомический "Ferrum" Limited Edition карбон, вставки алькантара для Лада Ларгус FL, Веста, XRAY</v>
      </c>
      <c r="B321" s="126">
        <v>132650</v>
      </c>
      <c r="C321" s="127">
        <f>VLOOKUP($B321,'Выгр Торг'!$B:$Q,C$1,0)</f>
        <v>166810</v>
      </c>
      <c r="D321" s="128" t="s">
        <v>476</v>
      </c>
      <c r="E321" s="125" t="str">
        <f>VLOOKUP($B321,'Выгр Торг'!$B:$Q,E$1,0)</f>
        <v>Руль анатомический "Ferrum" Limited Edition карбоновое (вставки из алькантары) для Лада Ларгус FL, Веста, XRAY (Оранжевая нить, Чёрный глянец)</v>
      </c>
      <c r="F321" s="127" t="str">
        <f>VLOOKUP($B321,'Выгр Торг'!$B:$Q,F$1,0)</f>
        <v>Y</v>
      </c>
      <c r="G321" s="127" t="str">
        <f>VLOOKUP($B321,'Выгр Торг'!$B:$Q,G$1,0)</f>
        <v>1</v>
      </c>
      <c r="H321" s="40">
        <v>166803</v>
      </c>
      <c r="I321" s="156"/>
      <c r="J321" s="160"/>
      <c r="K321" s="161">
        <v>870</v>
      </c>
      <c r="L321" s="130">
        <f t="shared" si="241"/>
        <v>42370</v>
      </c>
      <c r="M321" s="130">
        <f t="shared" si="227"/>
        <v>43370</v>
      </c>
      <c r="N321" s="130">
        <f t="shared" si="228"/>
        <v>36370</v>
      </c>
      <c r="O321" s="132">
        <f t="shared" si="232"/>
        <v>1.0236016049091339</v>
      </c>
      <c r="P321" s="132">
        <f t="shared" si="207"/>
        <v>1.1499999999999999</v>
      </c>
      <c r="Q321" s="130">
        <f t="shared" si="229"/>
        <v>52393.010752688162</v>
      </c>
      <c r="R321" s="148">
        <f t="shared" si="233"/>
        <v>52390</v>
      </c>
      <c r="S321" s="127">
        <f>VLOOKUP($B321,'Выгр Торг'!$B:$Q,S$1,0)</f>
        <v>42370</v>
      </c>
      <c r="T321" s="127">
        <f>VLOOKUP($B321,'Выгр Торг'!$B:$Q,T$1,0)</f>
        <v>52390</v>
      </c>
      <c r="U321" s="94">
        <f t="shared" si="208"/>
        <v>0</v>
      </c>
      <c r="V321" s="94">
        <f t="shared" si="209"/>
        <v>0</v>
      </c>
      <c r="W321" s="153">
        <f t="shared" si="167"/>
        <v>48722.7</v>
      </c>
      <c r="X321" s="209">
        <f>IFERROR(VLOOKUP($B321,'Из ГУГЛа'!$B:$G,6,0)*Z321+Y321,VLOOKUP($B321,'Из ГУГЛа'!$B:$G,6,0))</f>
        <v>53760</v>
      </c>
      <c r="Y321" s="220">
        <f t="shared" si="230"/>
        <v>9970</v>
      </c>
      <c r="Z321" s="133">
        <v>1</v>
      </c>
      <c r="AA321" s="134"/>
      <c r="AB321" s="135">
        <f t="shared" si="160"/>
        <v>0.14993391550625446</v>
      </c>
      <c r="AC321" s="135">
        <f t="shared" si="161"/>
        <v>9.3699776785714339E-2</v>
      </c>
      <c r="AD321" s="135">
        <f t="shared" si="162"/>
        <v>0.26882227991503416</v>
      </c>
      <c r="AE321" s="222">
        <v>53760</v>
      </c>
      <c r="AF321" s="98" t="s">
        <v>649</v>
      </c>
      <c r="AH321" s="98" t="s">
        <v>476</v>
      </c>
    </row>
    <row r="322" spans="1:34" ht="61.5" thickTop="1" thickBot="1">
      <c r="A322" s="125" t="str">
        <f>INDEX('Выгр Торг'!$A:$A,MATCH($B322,'Выгр Торг'!$B:$B,0))</f>
        <v>Руль анатомический "Ferrum" Limited Edition карбон, вставки алькантара для Лада Ларгус FL, Веста, XRAY</v>
      </c>
      <c r="B322" s="126">
        <v>132651</v>
      </c>
      <c r="C322" s="127">
        <f>VLOOKUP($B322,'Выгр Торг'!$B:$Q,C$1,0)</f>
        <v>166812</v>
      </c>
      <c r="D322" s="128" t="s">
        <v>476</v>
      </c>
      <c r="E322" s="125" t="str">
        <f>VLOOKUP($B322,'Выгр Торг'!$B:$Q,E$1,0)</f>
        <v>Руль анатомический "Ferrum" Limited Edition карбоновое (вставки из алькантары) для Лада Ларгус FL, Веста, XRAY (Салатовая нить, Чёрный глянец)</v>
      </c>
      <c r="F322" s="127" t="str">
        <f>VLOOKUP($B322,'Выгр Торг'!$B:$Q,F$1,0)</f>
        <v>Y</v>
      </c>
      <c r="G322" s="127" t="str">
        <f>VLOOKUP($B322,'Выгр Торг'!$B:$Q,G$1,0)</f>
        <v>1</v>
      </c>
      <c r="H322" s="40">
        <v>166803</v>
      </c>
      <c r="I322" s="156"/>
      <c r="J322" s="160"/>
      <c r="K322" s="161">
        <v>870</v>
      </c>
      <c r="L322" s="130">
        <f t="shared" si="241"/>
        <v>42370</v>
      </c>
      <c r="M322" s="130">
        <f t="shared" si="227"/>
        <v>43370</v>
      </c>
      <c r="N322" s="130">
        <f t="shared" si="228"/>
        <v>36370</v>
      </c>
      <c r="O322" s="132">
        <f t="shared" si="232"/>
        <v>1.0236016049091339</v>
      </c>
      <c r="P322" s="132">
        <f t="shared" si="207"/>
        <v>1.1499999999999999</v>
      </c>
      <c r="Q322" s="130">
        <f t="shared" si="229"/>
        <v>52393.010752688162</v>
      </c>
      <c r="R322" s="148">
        <f t="shared" si="233"/>
        <v>52390</v>
      </c>
      <c r="S322" s="127">
        <f>VLOOKUP($B322,'Выгр Торг'!$B:$Q,S$1,0)</f>
        <v>42370</v>
      </c>
      <c r="T322" s="127">
        <f>VLOOKUP($B322,'Выгр Торг'!$B:$Q,T$1,0)</f>
        <v>52390</v>
      </c>
      <c r="U322" s="94">
        <f t="shared" si="208"/>
        <v>0</v>
      </c>
      <c r="V322" s="94">
        <f t="shared" si="209"/>
        <v>0</v>
      </c>
      <c r="W322" s="153">
        <f t="shared" si="167"/>
        <v>48722.7</v>
      </c>
      <c r="X322" s="209">
        <f>IFERROR(VLOOKUP($B322,'Из ГУГЛа'!$B:$G,6,0)*Z322+Y322,VLOOKUP($B322,'Из ГУГЛа'!$B:$G,6,0))</f>
        <v>53760</v>
      </c>
      <c r="Y322" s="220">
        <f t="shared" si="230"/>
        <v>9970</v>
      </c>
      <c r="Z322" s="133">
        <v>1</v>
      </c>
      <c r="AA322" s="134"/>
      <c r="AB322" s="135">
        <f t="shared" si="160"/>
        <v>0.14993391550625446</v>
      </c>
      <c r="AC322" s="135">
        <f t="shared" si="161"/>
        <v>9.3699776785714339E-2</v>
      </c>
      <c r="AD322" s="135">
        <f t="shared" si="162"/>
        <v>0.26882227991503416</v>
      </c>
      <c r="AE322" s="222">
        <v>53760</v>
      </c>
      <c r="AF322" s="98" t="s">
        <v>649</v>
      </c>
      <c r="AH322" s="98" t="s">
        <v>476</v>
      </c>
    </row>
    <row r="323" spans="1:34" ht="61.5" thickTop="1" thickBot="1">
      <c r="A323" s="125" t="str">
        <f>INDEX('Выгр Торг'!$A:$A,MATCH($B323,'Выгр Торг'!$B:$B,0))</f>
        <v>Руль анатомический "Ferrum" Limited Edition карбон, вставки алькантара для Лада Ларгус FL, Веста, XRAY</v>
      </c>
      <c r="B323" s="126">
        <v>132652</v>
      </c>
      <c r="C323" s="127">
        <f>VLOOKUP($B323,'Выгр Торг'!$B:$Q,C$1,0)</f>
        <v>166813</v>
      </c>
      <c r="D323" s="128" t="s">
        <v>476</v>
      </c>
      <c r="E323" s="125" t="str">
        <f>VLOOKUP($B323,'Выгр Торг'!$B:$Q,E$1,0)</f>
        <v>Руль анатомический "Ferrum" Limited Edition карбоновое (вставки из алькантары) для Лада Ларгус FL, Веста, XRAY (Светло-серая нить, Чёрный глянец)</v>
      </c>
      <c r="F323" s="127" t="str">
        <f>VLOOKUP($B323,'Выгр Торг'!$B:$Q,F$1,0)</f>
        <v>Y</v>
      </c>
      <c r="G323" s="127" t="str">
        <f>VLOOKUP($B323,'Выгр Торг'!$B:$Q,G$1,0)</f>
        <v>1</v>
      </c>
      <c r="H323" s="40">
        <v>166803</v>
      </c>
      <c r="I323" s="156"/>
      <c r="J323" s="160"/>
      <c r="K323" s="161">
        <v>870</v>
      </c>
      <c r="L323" s="130">
        <f t="shared" si="241"/>
        <v>42370</v>
      </c>
      <c r="M323" s="130">
        <f t="shared" si="227"/>
        <v>43370</v>
      </c>
      <c r="N323" s="130">
        <f t="shared" si="228"/>
        <v>36370</v>
      </c>
      <c r="O323" s="132">
        <f t="shared" si="232"/>
        <v>1.0236016049091339</v>
      </c>
      <c r="P323" s="132">
        <f t="shared" si="207"/>
        <v>1.1499999999999999</v>
      </c>
      <c r="Q323" s="130">
        <f t="shared" si="229"/>
        <v>52393.010752688162</v>
      </c>
      <c r="R323" s="148">
        <f t="shared" si="233"/>
        <v>52390</v>
      </c>
      <c r="S323" s="127">
        <f>VLOOKUP($B323,'Выгр Торг'!$B:$Q,S$1,0)</f>
        <v>42370</v>
      </c>
      <c r="T323" s="127">
        <f>VLOOKUP($B323,'Выгр Торг'!$B:$Q,T$1,0)</f>
        <v>52390</v>
      </c>
      <c r="U323" s="94">
        <f t="shared" si="208"/>
        <v>0</v>
      </c>
      <c r="V323" s="94">
        <f t="shared" si="209"/>
        <v>0</v>
      </c>
      <c r="W323" s="153">
        <f t="shared" si="167"/>
        <v>48722.7</v>
      </c>
      <c r="X323" s="209">
        <f>IFERROR(VLOOKUP($B323,'Из ГУГЛа'!$B:$G,6,0)*Z323+Y323,VLOOKUP($B323,'Из ГУГЛа'!$B:$G,6,0))</f>
        <v>53760</v>
      </c>
      <c r="Y323" s="220">
        <f t="shared" si="230"/>
        <v>9970</v>
      </c>
      <c r="Z323" s="133">
        <v>1</v>
      </c>
      <c r="AA323" s="134"/>
      <c r="AB323" s="135">
        <f t="shared" si="160"/>
        <v>0.14993391550625446</v>
      </c>
      <c r="AC323" s="135">
        <f t="shared" si="161"/>
        <v>9.3699776785714339E-2</v>
      </c>
      <c r="AD323" s="135">
        <f t="shared" si="162"/>
        <v>0.26882227991503416</v>
      </c>
      <c r="AE323" s="222">
        <v>53760</v>
      </c>
      <c r="AF323" s="98" t="s">
        <v>649</v>
      </c>
      <c r="AH323" s="98" t="s">
        <v>476</v>
      </c>
    </row>
    <row r="324" spans="1:34" ht="61.5" thickTop="1" thickBot="1">
      <c r="A324" s="125" t="str">
        <f>INDEX('Выгр Торг'!$A:$A,MATCH($B324,'Выгр Торг'!$B:$B,0))</f>
        <v>Руль анатомический "Ferrum" Limited Edition карбон, вставки алькантара для Лада Ларгус FL, Веста, XRAY</v>
      </c>
      <c r="B324" s="126">
        <v>132653</v>
      </c>
      <c r="C324" s="127">
        <f>VLOOKUP($B324,'Выгр Торг'!$B:$Q,C$1,0)</f>
        <v>166809</v>
      </c>
      <c r="D324" s="128" t="s">
        <v>476</v>
      </c>
      <c r="E324" s="125" t="str">
        <f>VLOOKUP($B324,'Выгр Торг'!$B:$Q,E$1,0)</f>
        <v>Руль анатомический "Ferrum" Limited Edition карбоновое (вставки из алькантары) для Лада Ларгус FL, Веста, XRAY (Сине-зелёная нить, Чёрный глянец)</v>
      </c>
      <c r="F324" s="127" t="str">
        <f>VLOOKUP($B324,'Выгр Торг'!$B:$Q,F$1,0)</f>
        <v>Y</v>
      </c>
      <c r="G324" s="127" t="str">
        <f>VLOOKUP($B324,'Выгр Торг'!$B:$Q,G$1,0)</f>
        <v>1</v>
      </c>
      <c r="H324" s="40">
        <v>166803</v>
      </c>
      <c r="I324" s="156"/>
      <c r="J324" s="160"/>
      <c r="K324" s="161">
        <v>870</v>
      </c>
      <c r="L324" s="130">
        <f t="shared" si="241"/>
        <v>42370</v>
      </c>
      <c r="M324" s="130">
        <f t="shared" si="227"/>
        <v>43370</v>
      </c>
      <c r="N324" s="130">
        <f t="shared" si="228"/>
        <v>36370</v>
      </c>
      <c r="O324" s="132">
        <f t="shared" si="232"/>
        <v>1.0236016049091339</v>
      </c>
      <c r="P324" s="132">
        <f t="shared" ref="P324:P387" si="242">IF(O324&lt;=$P$1,$P$1,O324)</f>
        <v>1.1499999999999999</v>
      </c>
      <c r="Q324" s="130">
        <f t="shared" si="229"/>
        <v>52393.010752688162</v>
      </c>
      <c r="R324" s="148">
        <f t="shared" si="233"/>
        <v>52390</v>
      </c>
      <c r="S324" s="127">
        <f>VLOOKUP($B324,'Выгр Торг'!$B:$Q,S$1,0)</f>
        <v>42370</v>
      </c>
      <c r="T324" s="127">
        <f>VLOOKUP($B324,'Выгр Торг'!$B:$Q,T$1,0)</f>
        <v>52390</v>
      </c>
      <c r="U324" s="94">
        <f t="shared" ref="U324:U387" si="243">S324-L324</f>
        <v>0</v>
      </c>
      <c r="V324" s="94">
        <f t="shared" ref="V324:V387" si="244">T324-R324</f>
        <v>0</v>
      </c>
      <c r="W324" s="153">
        <f t="shared" si="167"/>
        <v>48722.7</v>
      </c>
      <c r="X324" s="209">
        <f>IFERROR(VLOOKUP($B324,'Из ГУГЛа'!$B:$G,6,0)*Z324+Y324,VLOOKUP($B324,'Из ГУГЛа'!$B:$G,6,0))</f>
        <v>53760</v>
      </c>
      <c r="Y324" s="220">
        <f t="shared" si="230"/>
        <v>9970</v>
      </c>
      <c r="Z324" s="133">
        <v>1</v>
      </c>
      <c r="AA324" s="134"/>
      <c r="AB324" s="135">
        <f t="shared" si="160"/>
        <v>0.14993391550625446</v>
      </c>
      <c r="AC324" s="135">
        <f t="shared" si="161"/>
        <v>9.3699776785714339E-2</v>
      </c>
      <c r="AD324" s="135">
        <f t="shared" si="162"/>
        <v>0.26882227991503416</v>
      </c>
      <c r="AE324" s="222">
        <v>53760</v>
      </c>
      <c r="AF324" s="98" t="s">
        <v>649</v>
      </c>
      <c r="AH324" s="98" t="s">
        <v>476</v>
      </c>
    </row>
    <row r="325" spans="1:34" ht="61.5" thickTop="1" thickBot="1">
      <c r="A325" s="125" t="str">
        <f>INDEX('Выгр Торг'!$A:$A,MATCH($B325,'Выгр Торг'!$B:$B,0))</f>
        <v>Руль анатомический "Ferrum" Limited Edition карбон, вставки алькантара для Лада Ларгус FL, Веста, XRAY</v>
      </c>
      <c r="B325" s="126">
        <v>132654</v>
      </c>
      <c r="C325" s="127">
        <f>VLOOKUP($B325,'Выгр Торг'!$B:$Q,C$1,0)</f>
        <v>166808</v>
      </c>
      <c r="D325" s="128" t="s">
        <v>476</v>
      </c>
      <c r="E325" s="125" t="str">
        <f>VLOOKUP($B325,'Выгр Торг'!$B:$Q,E$1,0)</f>
        <v>Руль анатомический "Ferrum" Limited Edition карбоновое (вставки из алькантары) для Лада Ларгус FL, Веста, XRAY (Синяя нить, Чёрный глянец)</v>
      </c>
      <c r="F325" s="127" t="str">
        <f>VLOOKUP($B325,'Выгр Торг'!$B:$Q,F$1,0)</f>
        <v>Y</v>
      </c>
      <c r="G325" s="127" t="str">
        <f>VLOOKUP($B325,'Выгр Торг'!$B:$Q,G$1,0)</f>
        <v>1</v>
      </c>
      <c r="H325" s="40">
        <v>166803</v>
      </c>
      <c r="I325" s="156"/>
      <c r="J325" s="160"/>
      <c r="K325" s="161">
        <v>870</v>
      </c>
      <c r="L325" s="130">
        <f t="shared" si="241"/>
        <v>42370</v>
      </c>
      <c r="M325" s="130">
        <f t="shared" si="227"/>
        <v>43370</v>
      </c>
      <c r="N325" s="130">
        <f t="shared" si="228"/>
        <v>36370</v>
      </c>
      <c r="O325" s="132">
        <f t="shared" si="232"/>
        <v>1.0236016049091339</v>
      </c>
      <c r="P325" s="132">
        <f t="shared" si="242"/>
        <v>1.1499999999999999</v>
      </c>
      <c r="Q325" s="130">
        <f t="shared" si="229"/>
        <v>52393.010752688162</v>
      </c>
      <c r="R325" s="148">
        <f t="shared" si="233"/>
        <v>52390</v>
      </c>
      <c r="S325" s="127">
        <f>VLOOKUP($B325,'Выгр Торг'!$B:$Q,S$1,0)</f>
        <v>42370</v>
      </c>
      <c r="T325" s="127">
        <f>VLOOKUP($B325,'Выгр Торг'!$B:$Q,T$1,0)</f>
        <v>52390</v>
      </c>
      <c r="U325" s="94">
        <f t="shared" si="243"/>
        <v>0</v>
      </c>
      <c r="V325" s="94">
        <f t="shared" si="244"/>
        <v>0</v>
      </c>
      <c r="W325" s="153">
        <f t="shared" si="167"/>
        <v>48722.7</v>
      </c>
      <c r="X325" s="209">
        <f>IFERROR(VLOOKUP($B325,'Из ГУГЛа'!$B:$G,6,0)*Z325+Y325,VLOOKUP($B325,'Из ГУГЛа'!$B:$G,6,0))</f>
        <v>53760</v>
      </c>
      <c r="Y325" s="220">
        <f t="shared" si="230"/>
        <v>9970</v>
      </c>
      <c r="Z325" s="133">
        <v>1</v>
      </c>
      <c r="AA325" s="134"/>
      <c r="AB325" s="135">
        <f t="shared" si="160"/>
        <v>0.14993391550625446</v>
      </c>
      <c r="AC325" s="135">
        <f t="shared" si="161"/>
        <v>9.3699776785714339E-2</v>
      </c>
      <c r="AD325" s="135">
        <f t="shared" si="162"/>
        <v>0.26882227991503416</v>
      </c>
      <c r="AE325" s="222">
        <v>53760</v>
      </c>
      <c r="AF325" s="98" t="s">
        <v>649</v>
      </c>
      <c r="AH325" s="98" t="s">
        <v>476</v>
      </c>
    </row>
    <row r="326" spans="1:34" ht="61.5" thickTop="1" thickBot="1">
      <c r="A326" s="125" t="str">
        <f>INDEX('Выгр Торг'!$A:$A,MATCH($B326,'Выгр Торг'!$B:$B,0))</f>
        <v>Руль анатомический "Ferrum" Limited Edition карбон, вставки алькантара для Лада Ларгус FL, Веста, XRAY</v>
      </c>
      <c r="B326" s="126">
        <v>132655</v>
      </c>
      <c r="C326" s="127">
        <f>VLOOKUP($B326,'Выгр Торг'!$B:$Q,C$1,0)</f>
        <v>166806</v>
      </c>
      <c r="D326" s="128" t="s">
        <v>476</v>
      </c>
      <c r="E326" s="125" t="str">
        <f>VLOOKUP($B326,'Выгр Торг'!$B:$Q,E$1,0)</f>
        <v>Руль анатомический "Ferrum" Limited Edition карбоновое (вставки из алькантары) для Лада Ларгус FL, Веста, XRAY (Тёмно-серая нить, Чёрный глянец)</v>
      </c>
      <c r="F326" s="127" t="str">
        <f>VLOOKUP($B326,'Выгр Торг'!$B:$Q,F$1,0)</f>
        <v>Y</v>
      </c>
      <c r="G326" s="127" t="str">
        <f>VLOOKUP($B326,'Выгр Торг'!$B:$Q,G$1,0)</f>
        <v>1</v>
      </c>
      <c r="H326" s="40">
        <v>166803</v>
      </c>
      <c r="I326" s="156"/>
      <c r="J326" s="160"/>
      <c r="K326" s="161">
        <v>870</v>
      </c>
      <c r="L326" s="130">
        <f t="shared" si="241"/>
        <v>42370</v>
      </c>
      <c r="M326" s="130">
        <f t="shared" si="227"/>
        <v>43370</v>
      </c>
      <c r="N326" s="130">
        <f t="shared" si="228"/>
        <v>36370</v>
      </c>
      <c r="O326" s="132">
        <f t="shared" si="232"/>
        <v>1.0236016049091339</v>
      </c>
      <c r="P326" s="132">
        <f t="shared" si="242"/>
        <v>1.1499999999999999</v>
      </c>
      <c r="Q326" s="130">
        <f t="shared" si="229"/>
        <v>52393.010752688162</v>
      </c>
      <c r="R326" s="148">
        <f t="shared" si="233"/>
        <v>52390</v>
      </c>
      <c r="S326" s="127">
        <f>VLOOKUP($B326,'Выгр Торг'!$B:$Q,S$1,0)</f>
        <v>42370</v>
      </c>
      <c r="T326" s="127">
        <f>VLOOKUP($B326,'Выгр Торг'!$B:$Q,T$1,0)</f>
        <v>52390</v>
      </c>
      <c r="U326" s="94">
        <f t="shared" si="243"/>
        <v>0</v>
      </c>
      <c r="V326" s="94">
        <f t="shared" si="244"/>
        <v>0</v>
      </c>
      <c r="W326" s="153">
        <f t="shared" si="167"/>
        <v>48722.7</v>
      </c>
      <c r="X326" s="209">
        <f>IFERROR(VLOOKUP($B326,'Из ГУГЛа'!$B:$G,6,0)*Z326+Y326,VLOOKUP($B326,'Из ГУГЛа'!$B:$G,6,0))</f>
        <v>53760</v>
      </c>
      <c r="Y326" s="220">
        <f t="shared" si="230"/>
        <v>9970</v>
      </c>
      <c r="Z326" s="133">
        <v>1</v>
      </c>
      <c r="AA326" s="134"/>
      <c r="AB326" s="135">
        <f t="shared" ref="AB326:AB437" si="245">IFERROR(W326/L326-1,"")</f>
        <v>0.14993391550625446</v>
      </c>
      <c r="AC326" s="135">
        <f t="shared" ref="AC326:AC437" si="246">IFERROR((AE326-W326)/AE326,"")</f>
        <v>9.3699776785714339E-2</v>
      </c>
      <c r="AD326" s="135">
        <f t="shared" ref="AD326:AD437" si="247">IFERROR(IF(AE326="","",AE326/L326-1),"")</f>
        <v>0.26882227991503416</v>
      </c>
      <c r="AE326" s="222">
        <v>53760</v>
      </c>
      <c r="AF326" s="98" t="s">
        <v>649</v>
      </c>
      <c r="AH326" s="98" t="s">
        <v>476</v>
      </c>
    </row>
    <row r="327" spans="1:34" ht="61.5" thickTop="1" thickBot="1">
      <c r="A327" s="125" t="str">
        <f>INDEX('Выгр Торг'!$A:$A,MATCH($B327,'Выгр Торг'!$B:$B,0))</f>
        <v>Руль анатомический "Ferrum" Limited Edition карбон, вставки алькантара для Лада Ларгус FL, Веста, XRAY</v>
      </c>
      <c r="B327" s="126">
        <v>132656</v>
      </c>
      <c r="C327" s="127">
        <f>VLOOKUP($B327,'Выгр Торг'!$B:$Q,C$1,0)</f>
        <v>166805</v>
      </c>
      <c r="D327" s="128" t="s">
        <v>476</v>
      </c>
      <c r="E327" s="125" t="str">
        <f>VLOOKUP($B327,'Выгр Торг'!$B:$Q,E$1,0)</f>
        <v>Руль анатомический "Ferrum" Limited Edition карбоновое (вставки из алькантары) для Лада Ларгус FL, Веста, XRAY (Фиолетовая нить, Чёрный глянец)</v>
      </c>
      <c r="F327" s="127" t="str">
        <f>VLOOKUP($B327,'Выгр Торг'!$B:$Q,F$1,0)</f>
        <v>Y</v>
      </c>
      <c r="G327" s="127" t="str">
        <f>VLOOKUP($B327,'Выгр Торг'!$B:$Q,G$1,0)</f>
        <v>1</v>
      </c>
      <c r="H327" s="40">
        <v>166803</v>
      </c>
      <c r="I327" s="156"/>
      <c r="J327" s="160"/>
      <c r="K327" s="161">
        <v>870</v>
      </c>
      <c r="L327" s="130">
        <f t="shared" si="241"/>
        <v>42370</v>
      </c>
      <c r="M327" s="130">
        <f t="shared" si="227"/>
        <v>43370</v>
      </c>
      <c r="N327" s="130">
        <f t="shared" si="228"/>
        <v>36370</v>
      </c>
      <c r="O327" s="132">
        <f t="shared" si="232"/>
        <v>1.0236016049091339</v>
      </c>
      <c r="P327" s="132">
        <f t="shared" si="242"/>
        <v>1.1499999999999999</v>
      </c>
      <c r="Q327" s="130">
        <f t="shared" si="229"/>
        <v>52393.010752688162</v>
      </c>
      <c r="R327" s="148">
        <f t="shared" si="233"/>
        <v>52390</v>
      </c>
      <c r="S327" s="127">
        <f>VLOOKUP($B327,'Выгр Торг'!$B:$Q,S$1,0)</f>
        <v>42370</v>
      </c>
      <c r="T327" s="127">
        <f>VLOOKUP($B327,'Выгр Торг'!$B:$Q,T$1,0)</f>
        <v>52390</v>
      </c>
      <c r="U327" s="94">
        <f t="shared" si="243"/>
        <v>0</v>
      </c>
      <c r="V327" s="94">
        <f t="shared" si="244"/>
        <v>0</v>
      </c>
      <c r="W327" s="153">
        <f t="shared" si="167"/>
        <v>48722.7</v>
      </c>
      <c r="X327" s="209">
        <f>IFERROR(VLOOKUP($B327,'Из ГУГЛа'!$B:$G,6,0)*Z327+Y327,VLOOKUP($B327,'Из ГУГЛа'!$B:$G,6,0))</f>
        <v>53760</v>
      </c>
      <c r="Y327" s="220">
        <f t="shared" si="230"/>
        <v>9970</v>
      </c>
      <c r="Z327" s="133">
        <v>1</v>
      </c>
      <c r="AA327" s="134"/>
      <c r="AB327" s="135">
        <f t="shared" si="245"/>
        <v>0.14993391550625446</v>
      </c>
      <c r="AC327" s="135">
        <f t="shared" si="246"/>
        <v>9.3699776785714339E-2</v>
      </c>
      <c r="AD327" s="135">
        <f t="shared" si="247"/>
        <v>0.26882227991503416</v>
      </c>
      <c r="AE327" s="222">
        <v>53760</v>
      </c>
      <c r="AF327" s="98" t="s">
        <v>649</v>
      </c>
      <c r="AH327" s="98" t="s">
        <v>476</v>
      </c>
    </row>
    <row r="328" spans="1:34" ht="61.5" thickTop="1" thickBot="1">
      <c r="A328" s="125" t="str">
        <f>INDEX('Выгр Торг'!$A:$A,MATCH($B328,'Выгр Торг'!$B:$B,0))</f>
        <v>Руль анатомический "Ferrum" Limited Edition карбон, вставки алькантара для Лада Ларгус FL, Веста, XRAY</v>
      </c>
      <c r="B328" s="126">
        <v>132645</v>
      </c>
      <c r="C328" s="127">
        <f>VLOOKUP($B328,'Выгр Торг'!$B:$Q,C$1,0)</f>
        <v>166816</v>
      </c>
      <c r="D328" s="128" t="s">
        <v>476</v>
      </c>
      <c r="E328" s="125" t="str">
        <f>VLOOKUP($B328,'Выгр Торг'!$B:$Q,E$1,0)</f>
        <v>Руль анатомический "Ferrum" Limited Edition карбоновое (вставки из алькантары) для Лада Ларгус FL, Веста, XRAY (Белая нить, Чёрный глянец)</v>
      </c>
      <c r="F328" s="127" t="str">
        <f>VLOOKUP($B328,'Выгр Торг'!$B:$Q,F$1,0)</f>
        <v>Y</v>
      </c>
      <c r="G328" s="127" t="str">
        <f>VLOOKUP($B328,'Выгр Торг'!$B:$Q,G$1,0)</f>
        <v>1</v>
      </c>
      <c r="H328" s="40">
        <v>166803</v>
      </c>
      <c r="I328" s="156"/>
      <c r="J328" s="160"/>
      <c r="K328" s="161">
        <v>870</v>
      </c>
      <c r="L328" s="130">
        <f>M328-1000</f>
        <v>42370</v>
      </c>
      <c r="M328" s="130">
        <f t="shared" si="227"/>
        <v>43370</v>
      </c>
      <c r="N328" s="130">
        <f t="shared" si="228"/>
        <v>36370</v>
      </c>
      <c r="O328" s="132">
        <f t="shared" si="232"/>
        <v>1.0236016049091339</v>
      </c>
      <c r="P328" s="132">
        <f t="shared" si="242"/>
        <v>1.1499999999999999</v>
      </c>
      <c r="Q328" s="130">
        <f t="shared" si="229"/>
        <v>52393.010752688162</v>
      </c>
      <c r="R328" s="148">
        <f t="shared" si="233"/>
        <v>52390</v>
      </c>
      <c r="S328" s="127">
        <f>VLOOKUP($B328,'Выгр Торг'!$B:$Q,S$1,0)</f>
        <v>42370</v>
      </c>
      <c r="T328" s="127">
        <f>VLOOKUP($B328,'Выгр Торг'!$B:$Q,T$1,0)</f>
        <v>52390</v>
      </c>
      <c r="U328" s="94">
        <f t="shared" si="243"/>
        <v>0</v>
      </c>
      <c r="V328" s="94">
        <f t="shared" si="244"/>
        <v>0</v>
      </c>
      <c r="W328" s="153">
        <f>R328*(1-$W$2)</f>
        <v>48722.7</v>
      </c>
      <c r="X328" s="209">
        <f>IFERROR(VLOOKUP($B328,'Из ГУГЛа'!$B:$G,6,0)*Z328+Y328,VLOOKUP($B328,'Из ГУГЛа'!$B:$G,6,0))</f>
        <v>53760</v>
      </c>
      <c r="Y328" s="220">
        <f t="shared" si="230"/>
        <v>9970</v>
      </c>
      <c r="Z328" s="133">
        <v>1</v>
      </c>
      <c r="AA328" s="134"/>
      <c r="AB328" s="135">
        <f t="shared" si="245"/>
        <v>0.14993391550625446</v>
      </c>
      <c r="AC328" s="135">
        <f t="shared" si="246"/>
        <v>9.3699776785714339E-2</v>
      </c>
      <c r="AD328" s="135">
        <f t="shared" si="247"/>
        <v>0.26882227991503416</v>
      </c>
      <c r="AE328" s="222">
        <v>53760</v>
      </c>
      <c r="AF328" s="98" t="s">
        <v>649</v>
      </c>
      <c r="AH328" s="98" t="s">
        <v>476</v>
      </c>
    </row>
    <row r="329" spans="1:34" ht="61.5" thickTop="1" thickBot="1">
      <c r="A329" s="125" t="str">
        <f>INDEX('Выгр Торг'!$A:$A,MATCH($B329,'Выгр Торг'!$B:$B,0))</f>
        <v>Руль анатомический "Ferrum" Limited Edition с обогревом (карбон, вставки алькантара) для Лада Ларгус FL, Веста, XRAY</v>
      </c>
      <c r="B329" s="126">
        <v>132671</v>
      </c>
      <c r="C329" s="127">
        <f>VLOOKUP($B329,'Выгр Торг'!$B:$Q,C$1,0)</f>
        <v>166825</v>
      </c>
      <c r="D329" s="128" t="s">
        <v>136</v>
      </c>
      <c r="E329" s="125" t="str">
        <f>VLOOKUP($B329,'Выгр Торг'!$B:$Q,E$1,0)</f>
        <v>Руль анатомический "Ferrum" Limited Edition с обогревом (карбоновое, вставки из алькантары) для Лада Ларгус FL, Веста, XRAY (Чёрная нить, Чёрный глянец)</v>
      </c>
      <c r="F329" s="127" t="str">
        <f>VLOOKUP($B329,'Выгр Торг'!$B:$Q,F$1,0)</f>
        <v>Y</v>
      </c>
      <c r="G329" s="127" t="str">
        <f>VLOOKUP($B329,'Выгр Торг'!$B:$Q,G$1,0)</f>
        <v>1</v>
      </c>
      <c r="H329" s="40">
        <v>166825</v>
      </c>
      <c r="I329" s="156"/>
      <c r="J329" s="160">
        <v>7000</v>
      </c>
      <c r="K329" s="161">
        <v>0</v>
      </c>
      <c r="L329" s="130">
        <f>M329-1000</f>
        <v>49900</v>
      </c>
      <c r="M329" s="131">
        <f>N329+J329</f>
        <v>50900</v>
      </c>
      <c r="N329" s="131">
        <v>43900</v>
      </c>
      <c r="O329" s="132">
        <f>M329/L329</f>
        <v>1.0200400801603207</v>
      </c>
      <c r="P329" s="132">
        <f t="shared" si="242"/>
        <v>1.1499999999999999</v>
      </c>
      <c r="Q329" s="147">
        <f t="shared" ref="Q329" si="248">L329*P329*100/93</f>
        <v>61704.301075268806</v>
      </c>
      <c r="R329" s="148">
        <f>IF(Q329&lt;=1000,(ROUNDUP(Q329,-2)-1),(ROUNDUP(Q329,-2)-10))</f>
        <v>61790</v>
      </c>
      <c r="S329" s="127">
        <f>VLOOKUP($B329,'Выгр Торг'!$B:$Q,S$1,0)</f>
        <v>49900</v>
      </c>
      <c r="T329" s="127">
        <f>VLOOKUP($B329,'Выгр Торг'!$B:$Q,T$1,0)</f>
        <v>61790</v>
      </c>
      <c r="U329" s="94">
        <f t="shared" si="243"/>
        <v>0</v>
      </c>
      <c r="V329" s="94">
        <f t="shared" si="244"/>
        <v>0</v>
      </c>
      <c r="W329" s="153">
        <f>R329*(1-$W$2)</f>
        <v>57464.7</v>
      </c>
      <c r="X329" s="209">
        <f>IFERROR(VLOOKUP($B329,'Из ГУГЛа'!$B:$G,6,0)*Z329+Y329,VLOOKUP($B329,'Из ГУГЛа'!$B:$G,6,0))</f>
        <v>52890</v>
      </c>
      <c r="Y329" s="106">
        <f>(J329+K329)*$Y$2</f>
        <v>9100</v>
      </c>
      <c r="Z329" s="133">
        <v>1</v>
      </c>
      <c r="AA329" s="134"/>
      <c r="AB329" s="135">
        <f t="shared" si="245"/>
        <v>0.1515971943887775</v>
      </c>
      <c r="AC329" s="135">
        <f t="shared" si="246"/>
        <v>-8.6494611457742426E-2</v>
      </c>
      <c r="AD329" s="135">
        <f t="shared" si="247"/>
        <v>5.9919839679358766E-2</v>
      </c>
      <c r="AE329" s="221">
        <v>52890</v>
      </c>
      <c r="AF329" s="98" t="s">
        <v>649</v>
      </c>
      <c r="AH329" s="98" t="s">
        <v>136</v>
      </c>
    </row>
    <row r="330" spans="1:34" ht="61.5" thickTop="1" thickBot="1">
      <c r="A330" s="176" t="str">
        <f>INDEX('Выгр Торг'!$A:$A,MATCH($B330,'Выгр Торг'!$B:$B,0))</f>
        <v>Руль анатомический "Ferrum" Limited Edition с обогревом (карбон, вставки алькантара) для Лада Ларгус FL, Веста, XRAY</v>
      </c>
      <c r="B330" s="178">
        <v>341600</v>
      </c>
      <c r="C330" s="179">
        <f>VLOOKUP($B330,'Выгр Торг'!$B:$Q,C$1,0)</f>
        <v>341600</v>
      </c>
      <c r="D330" s="189" t="s">
        <v>136</v>
      </c>
      <c r="E330" s="176" t="str">
        <f>VLOOKUP($B330,'Выгр Торг'!$B:$Q,E$1,0)</f>
        <v>Руль анатомический "Ferrum" Limited Edition с обогревом (карбон, вставки алькантара) для Лада Ларгус FL, Веста, XRAY (Чёрная нить, Чёрный мат)</v>
      </c>
      <c r="F330" s="179" t="str">
        <f>VLOOKUP($B330,'Выгр Торг'!$B:$Q,F$1,0)</f>
        <v>Y</v>
      </c>
      <c r="G330" s="179" t="str">
        <f>VLOOKUP($B330,'Выгр Торг'!$B:$Q,G$1,0)</f>
        <v>1</v>
      </c>
      <c r="H330" s="177">
        <v>166825</v>
      </c>
      <c r="I330" s="156"/>
      <c r="J330" s="160">
        <v>830</v>
      </c>
      <c r="K330" s="161">
        <v>0</v>
      </c>
      <c r="L330" s="180">
        <f>M330-1000</f>
        <v>50730</v>
      </c>
      <c r="M330" s="180">
        <f t="shared" ref="M330:M354" si="249">INDEX($M:$M,MATCH($H330,$C:$C,0))+$K330+$J330</f>
        <v>51730</v>
      </c>
      <c r="N330" s="180">
        <f t="shared" ref="N330:N354" si="250">INDEX($N:$N,MATCH($H330,$C:$C,0))+$K330+$J330</f>
        <v>44730</v>
      </c>
      <c r="O330" s="107">
        <f>M330/L330</f>
        <v>1.019712201852947</v>
      </c>
      <c r="P330" s="132">
        <f t="shared" si="242"/>
        <v>1.1499999999999999</v>
      </c>
      <c r="Q330" s="180">
        <f t="shared" ref="Q330:Q354" si="251">INDEX($Q:$Q,MATCH($H330,$C:$C,0))+($K330+$J330)*INDEX($P:$P,MATCH($H330,$C:$C,0))*100/93</f>
        <v>62730.645161290311</v>
      </c>
      <c r="R330" s="144">
        <f>IF(Q330&lt;=1000,(ROUNDUP(Q330,-2)-1),(ROUNDUP(Q330,-2)-10))</f>
        <v>62790</v>
      </c>
      <c r="S330" s="179">
        <f>VLOOKUP($B330,'Выгр Торг'!$B:$Q,S$1,0)</f>
        <v>50730</v>
      </c>
      <c r="T330" s="179">
        <f>VLOOKUP($B330,'Выгр Торг'!$B:$Q,T$1,0)</f>
        <v>62790</v>
      </c>
      <c r="U330" s="94">
        <f t="shared" si="243"/>
        <v>0</v>
      </c>
      <c r="V330" s="94">
        <f t="shared" si="244"/>
        <v>0</v>
      </c>
      <c r="W330" s="182">
        <f>R330*(1-$W$2)</f>
        <v>58394.7</v>
      </c>
      <c r="X330" s="218">
        <f>IFERROR(VLOOKUP($B330,'Из ГУГЛа'!$B:$G,6,0)*Z330+Y330,VLOOKUP($B330,'Из ГУГЛа'!$B:$G,6,0))</f>
        <v>53720</v>
      </c>
      <c r="Y330" s="220">
        <f t="shared" ref="Y330:Y354" si="252">INDEX($Y:$Y,MATCH($H330,$C:$C,0))+J330+K330</f>
        <v>9930</v>
      </c>
      <c r="Z330" s="133">
        <v>1</v>
      </c>
      <c r="AA330" s="133">
        <v>1300</v>
      </c>
      <c r="AB330" s="184">
        <f>IFERROR(W330/L330-1,"")</f>
        <v>0.15108811354228258</v>
      </c>
      <c r="AC330" s="184">
        <f>IFERROR((AE330-W330)/AE330,"")</f>
        <v>-8.7019731943410228E-2</v>
      </c>
      <c r="AD330" s="184">
        <f>IFERROR(IF(AE330="","",AE330/L330-1),"")</f>
        <v>5.8939483540311421E-2</v>
      </c>
      <c r="AE330" s="222">
        <v>53720</v>
      </c>
      <c r="AF330" s="98" t="s">
        <v>649</v>
      </c>
      <c r="AH330" s="98" t="s">
        <v>136</v>
      </c>
    </row>
    <row r="331" spans="1:34" ht="61.5" thickTop="1" thickBot="1">
      <c r="A331" s="125" t="str">
        <f>INDEX('Выгр Торг'!$A:$A,MATCH($B331,'Выгр Торг'!$B:$B,0))</f>
        <v>Руль анатомический "Ferrum" Limited Edition с обогревом (карбон, вставки алькантара) для Лада Ларгус FL, Веста, XRAY</v>
      </c>
      <c r="B331" s="126">
        <v>341599</v>
      </c>
      <c r="C331" s="127">
        <f>VLOOKUP($B331,'Выгр Торг'!$B:$Q,C$1,0)</f>
        <v>341599</v>
      </c>
      <c r="D331" s="128" t="s">
        <v>136</v>
      </c>
      <c r="E331" s="125" t="str">
        <f>VLOOKUP($B331,'Выгр Торг'!$B:$Q,E$1,0)</f>
        <v>Руль анатомический "Ferrum" Limited Edition с обогревом (карбон, вставки алькантара) для Лада Ларгус FL, Веста, XRAY (Белая нить, Чёрный мат)</v>
      </c>
      <c r="F331" s="127" t="str">
        <f>VLOOKUP($B331,'Выгр Торг'!$B:$Q,F$1,0)</f>
        <v>Y</v>
      </c>
      <c r="G331" s="127" t="str">
        <f>VLOOKUP($B331,'Выгр Торг'!$B:$Q,G$1,0)</f>
        <v>1</v>
      </c>
      <c r="H331" s="40">
        <v>166825</v>
      </c>
      <c r="I331" s="156"/>
      <c r="J331" s="160">
        <v>830</v>
      </c>
      <c r="K331" s="161">
        <v>870</v>
      </c>
      <c r="L331" s="130">
        <f t="shared" si="241"/>
        <v>51600</v>
      </c>
      <c r="M331" s="130">
        <f t="shared" si="249"/>
        <v>52600</v>
      </c>
      <c r="N331" s="130">
        <f t="shared" si="250"/>
        <v>45600</v>
      </c>
      <c r="O331" s="132">
        <f t="shared" ref="O331:O354" si="253">M331/L331</f>
        <v>1.0193798449612403</v>
      </c>
      <c r="P331" s="132">
        <f t="shared" si="242"/>
        <v>1.1499999999999999</v>
      </c>
      <c r="Q331" s="130">
        <f t="shared" si="251"/>
        <v>63806.451612903213</v>
      </c>
      <c r="R331" s="148">
        <f t="shared" ref="R331:R354" si="254">IF(Q331&lt;=1000,(ROUNDUP(Q331,-2)-1),(ROUNDUP(Q331,-2)-10))</f>
        <v>63890</v>
      </c>
      <c r="S331" s="127">
        <f>VLOOKUP($B331,'Выгр Торг'!$B:$Q,S$1,0)</f>
        <v>51600</v>
      </c>
      <c r="T331" s="127">
        <f>VLOOKUP($B331,'Выгр Торг'!$B:$Q,T$1,0)</f>
        <v>63890</v>
      </c>
      <c r="U331" s="94">
        <f t="shared" si="243"/>
        <v>0</v>
      </c>
      <c r="V331" s="94">
        <f t="shared" si="244"/>
        <v>0</v>
      </c>
      <c r="W331" s="153">
        <f t="shared" ref="W331:W437" si="255">R331*(1-$W$2)</f>
        <v>59417.7</v>
      </c>
      <c r="X331" s="209">
        <f>IFERROR(VLOOKUP($B331,'Из ГУГЛа'!$B:$G,6,0)*Z331+Y331,VLOOKUP($B331,'Из ГУГЛа'!$B:$G,6,0))</f>
        <v>54590</v>
      </c>
      <c r="Y331" s="220">
        <f t="shared" si="252"/>
        <v>10800</v>
      </c>
      <c r="Z331" s="133">
        <v>1</v>
      </c>
      <c r="AA331" s="133">
        <v>1300</v>
      </c>
      <c r="AB331" s="135">
        <f t="shared" si="245"/>
        <v>0.15150581395348839</v>
      </c>
      <c r="AC331" s="135">
        <f t="shared" si="246"/>
        <v>-8.8435610917750457E-2</v>
      </c>
      <c r="AD331" s="135">
        <f t="shared" si="247"/>
        <v>5.7945736434108497E-2</v>
      </c>
      <c r="AE331" s="222">
        <v>54590</v>
      </c>
      <c r="AF331" s="98" t="s">
        <v>649</v>
      </c>
      <c r="AH331" s="98" t="s">
        <v>136</v>
      </c>
    </row>
    <row r="332" spans="1:34" ht="61.5" thickTop="1" thickBot="1">
      <c r="A332" s="176" t="str">
        <f>INDEX('Выгр Торг'!$A:$A,MATCH($B332,'Выгр Торг'!$B:$B,0))</f>
        <v>Руль анатомический "Ferrum" Limited Edition с обогревом (карбон, вставки алькантара) для Лада Ларгус FL, Веста, XRAY</v>
      </c>
      <c r="B332" s="178">
        <v>341611</v>
      </c>
      <c r="C332" s="179">
        <f>VLOOKUP($B332,'Выгр Торг'!$B:$Q,C$1,0)</f>
        <v>341611</v>
      </c>
      <c r="D332" s="189" t="s">
        <v>136</v>
      </c>
      <c r="E332" s="176" t="str">
        <f>VLOOKUP($B332,'Выгр Торг'!$B:$Q,E$1,0)</f>
        <v>Руль анатомический "Ferrum" Limited Edition с обогревом (карбон, вставки алькантара) для Лада Ларгус FL, Веста, XRAY (Жёлтая нить, Чёрный мат)</v>
      </c>
      <c r="F332" s="179" t="str">
        <f>VLOOKUP($B332,'Выгр Торг'!$B:$Q,F$1,0)</f>
        <v>Y</v>
      </c>
      <c r="G332" s="179" t="str">
        <f>VLOOKUP($B332,'Выгр Торг'!$B:$Q,G$1,0)</f>
        <v>1</v>
      </c>
      <c r="H332" s="177">
        <v>166825</v>
      </c>
      <c r="I332" s="156"/>
      <c r="J332" s="160">
        <v>830</v>
      </c>
      <c r="K332" s="161">
        <v>870</v>
      </c>
      <c r="L332" s="180">
        <f t="shared" ref="L332:L343" si="256">M332-1000</f>
        <v>51600</v>
      </c>
      <c r="M332" s="180">
        <f t="shared" si="249"/>
        <v>52600</v>
      </c>
      <c r="N332" s="180">
        <f t="shared" si="250"/>
        <v>45600</v>
      </c>
      <c r="O332" s="107">
        <f t="shared" ref="O332:O343" si="257">M332/L332</f>
        <v>1.0193798449612403</v>
      </c>
      <c r="P332" s="132">
        <f t="shared" si="242"/>
        <v>1.1499999999999999</v>
      </c>
      <c r="Q332" s="180">
        <f t="shared" si="251"/>
        <v>63806.451612903213</v>
      </c>
      <c r="R332" s="144">
        <f t="shared" ref="R332:R343" si="258">IF(Q332&lt;=1000,(ROUNDUP(Q332,-2)-1),(ROUNDUP(Q332,-2)-10))</f>
        <v>63890</v>
      </c>
      <c r="S332" s="179">
        <f>VLOOKUP($B332,'Выгр Торг'!$B:$Q,S$1,0)</f>
        <v>51600</v>
      </c>
      <c r="T332" s="179">
        <f>VLOOKUP($B332,'Выгр Торг'!$B:$Q,T$1,0)</f>
        <v>63890</v>
      </c>
      <c r="U332" s="94">
        <f t="shared" si="243"/>
        <v>0</v>
      </c>
      <c r="V332" s="94">
        <f t="shared" si="244"/>
        <v>0</v>
      </c>
      <c r="W332" s="182">
        <f t="shared" ref="W332:W343" si="259">R332*(1-$W$2)</f>
        <v>59417.7</v>
      </c>
      <c r="X332" s="218">
        <f>IFERROR(VLOOKUP($B332,'Из ГУГЛа'!$B:$G,6,0)*Z332+Y332,VLOOKUP($B332,'Из ГУГЛа'!$B:$G,6,0))</f>
        <v>54590</v>
      </c>
      <c r="Y332" s="220">
        <f t="shared" si="252"/>
        <v>10800</v>
      </c>
      <c r="Z332" s="133">
        <v>1</v>
      </c>
      <c r="AA332" s="133">
        <v>1300</v>
      </c>
      <c r="AB332" s="184">
        <f t="shared" ref="AB332:AB343" si="260">IFERROR(W332/L332-1,"")</f>
        <v>0.15150581395348839</v>
      </c>
      <c r="AC332" s="184">
        <f t="shared" ref="AC332:AC343" si="261">IFERROR((AE332-W332)/AE332,"")</f>
        <v>-8.8435610917750457E-2</v>
      </c>
      <c r="AD332" s="184">
        <f t="shared" ref="AD332:AD343" si="262">IFERROR(IF(AE332="","",AE332/L332-1),"")</f>
        <v>5.7945736434108497E-2</v>
      </c>
      <c r="AE332" s="222">
        <v>54590</v>
      </c>
      <c r="AF332" s="98" t="s">
        <v>649</v>
      </c>
      <c r="AH332" s="98" t="s">
        <v>136</v>
      </c>
    </row>
    <row r="333" spans="1:34" ht="61.5" thickTop="1" thickBot="1">
      <c r="A333" s="176" t="str">
        <f>INDEX('Выгр Торг'!$A:$A,MATCH($B333,'Выгр Торг'!$B:$B,0))</f>
        <v>Руль анатомический "Ferrum" Limited Edition с обогревом (карбон, вставки алькантара) для Лада Ларгус FL, Веста, XRAY</v>
      </c>
      <c r="B333" s="178">
        <v>341610</v>
      </c>
      <c r="C333" s="179">
        <f>VLOOKUP($B333,'Выгр Торг'!$B:$Q,C$1,0)</f>
        <v>341610</v>
      </c>
      <c r="D333" s="189" t="s">
        <v>136</v>
      </c>
      <c r="E333" s="176" t="str">
        <f>VLOOKUP($B333,'Выгр Торг'!$B:$Q,E$1,0)</f>
        <v>Руль анатомический "Ferrum" Limited Edition с обогревом (карбон, вставки алькантара) для Лада Ларгус FL, Веста, XRAY (Зелёная нить, Чёрный мат)</v>
      </c>
      <c r="F333" s="179" t="str">
        <f>VLOOKUP($B333,'Выгр Торг'!$B:$Q,F$1,0)</f>
        <v>Y</v>
      </c>
      <c r="G333" s="179" t="str">
        <f>VLOOKUP($B333,'Выгр Торг'!$B:$Q,G$1,0)</f>
        <v>1</v>
      </c>
      <c r="H333" s="177">
        <v>166825</v>
      </c>
      <c r="I333" s="156"/>
      <c r="J333" s="160">
        <v>830</v>
      </c>
      <c r="K333" s="161">
        <v>870</v>
      </c>
      <c r="L333" s="180">
        <f t="shared" si="256"/>
        <v>51600</v>
      </c>
      <c r="M333" s="180">
        <f t="shared" si="249"/>
        <v>52600</v>
      </c>
      <c r="N333" s="180">
        <f t="shared" si="250"/>
        <v>45600</v>
      </c>
      <c r="O333" s="107">
        <f t="shared" si="257"/>
        <v>1.0193798449612403</v>
      </c>
      <c r="P333" s="132">
        <f t="shared" si="242"/>
        <v>1.1499999999999999</v>
      </c>
      <c r="Q333" s="180">
        <f t="shared" si="251"/>
        <v>63806.451612903213</v>
      </c>
      <c r="R333" s="144">
        <f t="shared" si="258"/>
        <v>63890</v>
      </c>
      <c r="S333" s="179">
        <f>VLOOKUP($B333,'Выгр Торг'!$B:$Q,S$1,0)</f>
        <v>51600</v>
      </c>
      <c r="T333" s="179">
        <f>VLOOKUP($B333,'Выгр Торг'!$B:$Q,T$1,0)</f>
        <v>63890</v>
      </c>
      <c r="U333" s="94">
        <f t="shared" si="243"/>
        <v>0</v>
      </c>
      <c r="V333" s="94">
        <f t="shared" si="244"/>
        <v>0</v>
      </c>
      <c r="W333" s="182">
        <f t="shared" si="259"/>
        <v>59417.7</v>
      </c>
      <c r="X333" s="218">
        <f>IFERROR(VLOOKUP($B333,'Из ГУГЛа'!$B:$G,6,0)*Z333+Y333,VLOOKUP($B333,'Из ГУГЛа'!$B:$G,6,0))</f>
        <v>54590</v>
      </c>
      <c r="Y333" s="220">
        <f t="shared" si="252"/>
        <v>10800</v>
      </c>
      <c r="Z333" s="133">
        <v>1</v>
      </c>
      <c r="AA333" s="133">
        <v>1300</v>
      </c>
      <c r="AB333" s="184">
        <f t="shared" si="260"/>
        <v>0.15150581395348839</v>
      </c>
      <c r="AC333" s="184">
        <f t="shared" si="261"/>
        <v>-8.8435610917750457E-2</v>
      </c>
      <c r="AD333" s="184">
        <f t="shared" si="262"/>
        <v>5.7945736434108497E-2</v>
      </c>
      <c r="AE333" s="222">
        <v>54590</v>
      </c>
      <c r="AF333" s="98" t="s">
        <v>649</v>
      </c>
      <c r="AH333" s="98" t="s">
        <v>136</v>
      </c>
    </row>
    <row r="334" spans="1:34" ht="61.5" thickTop="1" thickBot="1">
      <c r="A334" s="176" t="str">
        <f>INDEX('Выгр Торг'!$A:$A,MATCH($B334,'Выгр Торг'!$B:$B,0))</f>
        <v>Руль анатомический "Ferrum" Limited Edition с обогревом (карбон, вставки алькантара) для Лада Ларгус FL, Веста, XRAY</v>
      </c>
      <c r="B334" s="178">
        <v>341602</v>
      </c>
      <c r="C334" s="179">
        <f>VLOOKUP($B334,'Выгр Торг'!$B:$Q,C$1,0)</f>
        <v>341602</v>
      </c>
      <c r="D334" s="189" t="s">
        <v>136</v>
      </c>
      <c r="E334" s="176" t="str">
        <f>VLOOKUP($B334,'Выгр Торг'!$B:$Q,E$1,0)</f>
        <v>Руль анатомический "Ferrum" Limited Edition с обогревом (карбон, вставки алькантара) для Лада Ларгус FL, Веста, XRAY (Коричневая нить, Чёрный мат)</v>
      </c>
      <c r="F334" s="179" t="str">
        <f>VLOOKUP($B334,'Выгр Торг'!$B:$Q,F$1,0)</f>
        <v>Y</v>
      </c>
      <c r="G334" s="179" t="str">
        <f>VLOOKUP($B334,'Выгр Торг'!$B:$Q,G$1,0)</f>
        <v>1</v>
      </c>
      <c r="H334" s="177">
        <v>166825</v>
      </c>
      <c r="I334" s="156"/>
      <c r="J334" s="160">
        <v>830</v>
      </c>
      <c r="K334" s="161">
        <v>870</v>
      </c>
      <c r="L334" s="180">
        <f t="shared" si="256"/>
        <v>51600</v>
      </c>
      <c r="M334" s="180">
        <f t="shared" si="249"/>
        <v>52600</v>
      </c>
      <c r="N334" s="180">
        <f t="shared" si="250"/>
        <v>45600</v>
      </c>
      <c r="O334" s="107">
        <f t="shared" si="257"/>
        <v>1.0193798449612403</v>
      </c>
      <c r="P334" s="132">
        <f t="shared" si="242"/>
        <v>1.1499999999999999</v>
      </c>
      <c r="Q334" s="180">
        <f t="shared" si="251"/>
        <v>63806.451612903213</v>
      </c>
      <c r="R334" s="144">
        <f t="shared" si="258"/>
        <v>63890</v>
      </c>
      <c r="S334" s="179">
        <f>VLOOKUP($B334,'Выгр Торг'!$B:$Q,S$1,0)</f>
        <v>51600</v>
      </c>
      <c r="T334" s="179">
        <f>VLOOKUP($B334,'Выгр Торг'!$B:$Q,T$1,0)</f>
        <v>63890</v>
      </c>
      <c r="U334" s="94">
        <f t="shared" si="243"/>
        <v>0</v>
      </c>
      <c r="V334" s="94">
        <f t="shared" si="244"/>
        <v>0</v>
      </c>
      <c r="W334" s="182">
        <f t="shared" si="259"/>
        <v>59417.7</v>
      </c>
      <c r="X334" s="218">
        <f>IFERROR(VLOOKUP($B334,'Из ГУГЛа'!$B:$G,6,0)*Z334+Y334,VLOOKUP($B334,'Из ГУГЛа'!$B:$G,6,0))</f>
        <v>54590</v>
      </c>
      <c r="Y334" s="220">
        <f t="shared" si="252"/>
        <v>10800</v>
      </c>
      <c r="Z334" s="133">
        <v>1</v>
      </c>
      <c r="AA334" s="133">
        <v>1300</v>
      </c>
      <c r="AB334" s="184">
        <f t="shared" si="260"/>
        <v>0.15150581395348839</v>
      </c>
      <c r="AC334" s="184">
        <f t="shared" si="261"/>
        <v>-8.8435610917750457E-2</v>
      </c>
      <c r="AD334" s="184">
        <f t="shared" si="262"/>
        <v>5.7945736434108497E-2</v>
      </c>
      <c r="AE334" s="222">
        <v>54590</v>
      </c>
      <c r="AF334" s="98" t="s">
        <v>649</v>
      </c>
      <c r="AH334" s="98" t="s">
        <v>136</v>
      </c>
    </row>
    <row r="335" spans="1:34" ht="61.5" thickTop="1" thickBot="1">
      <c r="A335" s="176" t="str">
        <f>INDEX('Выгр Торг'!$A:$A,MATCH($B335,'Выгр Торг'!$B:$B,0))</f>
        <v>Руль анатомический "Ferrum" Limited Edition с обогревом (карбон, вставки алькантара) для Лада Ларгус FL, Веста, XRAY</v>
      </c>
      <c r="B335" s="178">
        <v>341603</v>
      </c>
      <c r="C335" s="179">
        <f>VLOOKUP($B335,'Выгр Торг'!$B:$Q,C$1,0)</f>
        <v>341603</v>
      </c>
      <c r="D335" s="189" t="s">
        <v>136</v>
      </c>
      <c r="E335" s="176" t="str">
        <f>VLOOKUP($B335,'Выгр Торг'!$B:$Q,E$1,0)</f>
        <v>Руль анатомический "Ferrum" Limited Edition с обогревом (карбон, вставки алькантара) для Лада Ларгус FL, Веста, XRAY (Красная нить, Чёрный мат)</v>
      </c>
      <c r="F335" s="179" t="str">
        <f>VLOOKUP($B335,'Выгр Торг'!$B:$Q,F$1,0)</f>
        <v>Y</v>
      </c>
      <c r="G335" s="179" t="str">
        <f>VLOOKUP($B335,'Выгр Торг'!$B:$Q,G$1,0)</f>
        <v>1</v>
      </c>
      <c r="H335" s="177">
        <v>166825</v>
      </c>
      <c r="I335" s="156"/>
      <c r="J335" s="160">
        <v>830</v>
      </c>
      <c r="K335" s="161">
        <v>870</v>
      </c>
      <c r="L335" s="180">
        <f t="shared" si="256"/>
        <v>51600</v>
      </c>
      <c r="M335" s="180">
        <f t="shared" si="249"/>
        <v>52600</v>
      </c>
      <c r="N335" s="180">
        <f t="shared" si="250"/>
        <v>45600</v>
      </c>
      <c r="O335" s="107">
        <f t="shared" si="257"/>
        <v>1.0193798449612403</v>
      </c>
      <c r="P335" s="132">
        <f t="shared" si="242"/>
        <v>1.1499999999999999</v>
      </c>
      <c r="Q335" s="180">
        <f t="shared" si="251"/>
        <v>63806.451612903213</v>
      </c>
      <c r="R335" s="144">
        <f t="shared" si="258"/>
        <v>63890</v>
      </c>
      <c r="S335" s="179">
        <f>VLOOKUP($B335,'Выгр Торг'!$B:$Q,S$1,0)</f>
        <v>51600</v>
      </c>
      <c r="T335" s="179">
        <f>VLOOKUP($B335,'Выгр Торг'!$B:$Q,T$1,0)</f>
        <v>63890</v>
      </c>
      <c r="U335" s="94">
        <f t="shared" si="243"/>
        <v>0</v>
      </c>
      <c r="V335" s="94">
        <f t="shared" si="244"/>
        <v>0</v>
      </c>
      <c r="W335" s="182">
        <f t="shared" si="259"/>
        <v>59417.7</v>
      </c>
      <c r="X335" s="218">
        <f>IFERROR(VLOOKUP($B335,'Из ГУГЛа'!$B:$G,6,0)*Z335+Y335,VLOOKUP($B335,'Из ГУГЛа'!$B:$G,6,0))</f>
        <v>54590</v>
      </c>
      <c r="Y335" s="220">
        <f t="shared" si="252"/>
        <v>10800</v>
      </c>
      <c r="Z335" s="133">
        <v>1</v>
      </c>
      <c r="AA335" s="133">
        <v>1300</v>
      </c>
      <c r="AB335" s="184">
        <f t="shared" si="260"/>
        <v>0.15150581395348839</v>
      </c>
      <c r="AC335" s="184">
        <f t="shared" si="261"/>
        <v>-8.8435610917750457E-2</v>
      </c>
      <c r="AD335" s="184">
        <f t="shared" si="262"/>
        <v>5.7945736434108497E-2</v>
      </c>
      <c r="AE335" s="222">
        <v>54590</v>
      </c>
      <c r="AF335" s="98" t="s">
        <v>649</v>
      </c>
      <c r="AH335" s="98" t="s">
        <v>136</v>
      </c>
    </row>
    <row r="336" spans="1:34" ht="61.5" thickTop="1" thickBot="1">
      <c r="A336" s="176" t="str">
        <f>INDEX('Выгр Торг'!$A:$A,MATCH($B336,'Выгр Торг'!$B:$B,0))</f>
        <v>Руль анатомический "Ferrum" Limited Edition с обогревом (карбон, вставки алькантара) для Лада Ларгус FL, Веста, XRAY</v>
      </c>
      <c r="B336" s="178">
        <v>341604</v>
      </c>
      <c r="C336" s="179">
        <f>VLOOKUP($B336,'Выгр Торг'!$B:$Q,C$1,0)</f>
        <v>341604</v>
      </c>
      <c r="D336" s="189" t="s">
        <v>136</v>
      </c>
      <c r="E336" s="176" t="str">
        <f>VLOOKUP($B336,'Выгр Торг'!$B:$Q,E$1,0)</f>
        <v>Руль анатомический "Ferrum" Limited Edition с обогревом (карбон, вставки алькантара) для Лада Ларгус FL, Веста, XRAY (Оранжевая нить, Чёрный мат)</v>
      </c>
      <c r="F336" s="179" t="str">
        <f>VLOOKUP($B336,'Выгр Торг'!$B:$Q,F$1,0)</f>
        <v>Y</v>
      </c>
      <c r="G336" s="179" t="str">
        <f>VLOOKUP($B336,'Выгр Торг'!$B:$Q,G$1,0)</f>
        <v>1</v>
      </c>
      <c r="H336" s="177">
        <v>166825</v>
      </c>
      <c r="I336" s="156"/>
      <c r="J336" s="160">
        <v>830</v>
      </c>
      <c r="K336" s="161">
        <v>870</v>
      </c>
      <c r="L336" s="180">
        <f t="shared" si="256"/>
        <v>51600</v>
      </c>
      <c r="M336" s="180">
        <f t="shared" si="249"/>
        <v>52600</v>
      </c>
      <c r="N336" s="180">
        <f t="shared" si="250"/>
        <v>45600</v>
      </c>
      <c r="O336" s="107">
        <f t="shared" si="257"/>
        <v>1.0193798449612403</v>
      </c>
      <c r="P336" s="132">
        <f t="shared" si="242"/>
        <v>1.1499999999999999</v>
      </c>
      <c r="Q336" s="180">
        <f t="shared" si="251"/>
        <v>63806.451612903213</v>
      </c>
      <c r="R336" s="144">
        <f t="shared" si="258"/>
        <v>63890</v>
      </c>
      <c r="S336" s="179">
        <f>VLOOKUP($B336,'Выгр Торг'!$B:$Q,S$1,0)</f>
        <v>51600</v>
      </c>
      <c r="T336" s="179">
        <f>VLOOKUP($B336,'Выгр Торг'!$B:$Q,T$1,0)</f>
        <v>63890</v>
      </c>
      <c r="U336" s="94">
        <f t="shared" si="243"/>
        <v>0</v>
      </c>
      <c r="V336" s="94">
        <f t="shared" si="244"/>
        <v>0</v>
      </c>
      <c r="W336" s="182">
        <f t="shared" si="259"/>
        <v>59417.7</v>
      </c>
      <c r="X336" s="218">
        <f>IFERROR(VLOOKUP($B336,'Из ГУГЛа'!$B:$G,6,0)*Z336+Y336,VLOOKUP($B336,'Из ГУГЛа'!$B:$G,6,0))</f>
        <v>54590</v>
      </c>
      <c r="Y336" s="220">
        <f t="shared" si="252"/>
        <v>10800</v>
      </c>
      <c r="Z336" s="133">
        <v>1</v>
      </c>
      <c r="AA336" s="133">
        <v>1300</v>
      </c>
      <c r="AB336" s="184">
        <f t="shared" si="260"/>
        <v>0.15150581395348839</v>
      </c>
      <c r="AC336" s="184">
        <f t="shared" si="261"/>
        <v>-8.8435610917750457E-2</v>
      </c>
      <c r="AD336" s="184">
        <f t="shared" si="262"/>
        <v>5.7945736434108497E-2</v>
      </c>
      <c r="AE336" s="222">
        <v>54590</v>
      </c>
      <c r="AF336" s="98" t="s">
        <v>649</v>
      </c>
      <c r="AH336" s="98" t="s">
        <v>136</v>
      </c>
    </row>
    <row r="337" spans="1:34" ht="61.5" thickTop="1" thickBot="1">
      <c r="A337" s="176" t="str">
        <f>INDEX('Выгр Торг'!$A:$A,MATCH($B337,'Выгр Торг'!$B:$B,0))</f>
        <v>Руль анатомический "Ferrum" Limited Edition с обогревом (карбон, вставки алькантара) для Лада Ларгус FL, Веста, XRAY</v>
      </c>
      <c r="B337" s="178">
        <v>341605</v>
      </c>
      <c r="C337" s="179">
        <f>VLOOKUP($B337,'Выгр Торг'!$B:$Q,C$1,0)</f>
        <v>341605</v>
      </c>
      <c r="D337" s="189" t="s">
        <v>136</v>
      </c>
      <c r="E337" s="176" t="str">
        <f>VLOOKUP($B337,'Выгр Торг'!$B:$Q,E$1,0)</f>
        <v>Руль анатомический "Ferrum" Limited Edition с обогревом (карбон, вставки алькантара) для Лада Ларгус FL, Веста, XRAY (Салатовая нить, Чёрный мат)</v>
      </c>
      <c r="F337" s="179" t="str">
        <f>VLOOKUP($B337,'Выгр Торг'!$B:$Q,F$1,0)</f>
        <v>Y</v>
      </c>
      <c r="G337" s="179" t="str">
        <f>VLOOKUP($B337,'Выгр Торг'!$B:$Q,G$1,0)</f>
        <v>1</v>
      </c>
      <c r="H337" s="177">
        <v>166825</v>
      </c>
      <c r="I337" s="156"/>
      <c r="J337" s="160">
        <v>830</v>
      </c>
      <c r="K337" s="161">
        <v>870</v>
      </c>
      <c r="L337" s="180">
        <f t="shared" si="256"/>
        <v>51600</v>
      </c>
      <c r="M337" s="180">
        <f t="shared" si="249"/>
        <v>52600</v>
      </c>
      <c r="N337" s="180">
        <f t="shared" si="250"/>
        <v>45600</v>
      </c>
      <c r="O337" s="107">
        <f t="shared" si="257"/>
        <v>1.0193798449612403</v>
      </c>
      <c r="P337" s="132">
        <f t="shared" si="242"/>
        <v>1.1499999999999999</v>
      </c>
      <c r="Q337" s="180">
        <f t="shared" si="251"/>
        <v>63806.451612903213</v>
      </c>
      <c r="R337" s="144">
        <f t="shared" si="258"/>
        <v>63890</v>
      </c>
      <c r="S337" s="179">
        <f>VLOOKUP($B337,'Выгр Торг'!$B:$Q,S$1,0)</f>
        <v>51600</v>
      </c>
      <c r="T337" s="179">
        <f>VLOOKUP($B337,'Выгр Торг'!$B:$Q,T$1,0)</f>
        <v>63890</v>
      </c>
      <c r="U337" s="94">
        <f t="shared" si="243"/>
        <v>0</v>
      </c>
      <c r="V337" s="94">
        <f t="shared" si="244"/>
        <v>0</v>
      </c>
      <c r="W337" s="182">
        <f t="shared" si="259"/>
        <v>59417.7</v>
      </c>
      <c r="X337" s="218">
        <f>IFERROR(VLOOKUP($B337,'Из ГУГЛа'!$B:$G,6,0)*Z337+Y337,VLOOKUP($B337,'Из ГУГЛа'!$B:$G,6,0))</f>
        <v>54590</v>
      </c>
      <c r="Y337" s="220">
        <f t="shared" si="252"/>
        <v>10800</v>
      </c>
      <c r="Z337" s="133">
        <v>1</v>
      </c>
      <c r="AA337" s="133">
        <v>1300</v>
      </c>
      <c r="AB337" s="184">
        <f t="shared" si="260"/>
        <v>0.15150581395348839</v>
      </c>
      <c r="AC337" s="184">
        <f t="shared" si="261"/>
        <v>-8.8435610917750457E-2</v>
      </c>
      <c r="AD337" s="184">
        <f t="shared" si="262"/>
        <v>5.7945736434108497E-2</v>
      </c>
      <c r="AE337" s="222">
        <v>54590</v>
      </c>
      <c r="AF337" s="98" t="s">
        <v>649</v>
      </c>
      <c r="AH337" s="98" t="s">
        <v>136</v>
      </c>
    </row>
    <row r="338" spans="1:34" ht="61.5" thickTop="1" thickBot="1">
      <c r="A338" s="176" t="str">
        <f>INDEX('Выгр Торг'!$A:$A,MATCH($B338,'Выгр Торг'!$B:$B,0))</f>
        <v>Руль анатомический "Ferrum" Limited Edition с обогревом (карбон, вставки алькантара) для Лада Ларгус FL, Веста, XRAY</v>
      </c>
      <c r="B338" s="178">
        <v>341608</v>
      </c>
      <c r="C338" s="179">
        <f>VLOOKUP($B338,'Выгр Торг'!$B:$Q,C$1,0)</f>
        <v>341608</v>
      </c>
      <c r="D338" s="189" t="s">
        <v>136</v>
      </c>
      <c r="E338" s="176" t="str">
        <f>VLOOKUP($B338,'Выгр Торг'!$B:$Q,E$1,0)</f>
        <v>Руль анатомический "Ferrum" Limited Edition с обогревом (карбон, вставки алькантара) для Лада Ларгус FL, Веста, XRAY (Светло-серая нить, Чёрный мат)</v>
      </c>
      <c r="F338" s="179" t="str">
        <f>VLOOKUP($B338,'Выгр Торг'!$B:$Q,F$1,0)</f>
        <v>Y</v>
      </c>
      <c r="G338" s="179" t="str">
        <f>VLOOKUP($B338,'Выгр Торг'!$B:$Q,G$1,0)</f>
        <v>1</v>
      </c>
      <c r="H338" s="177">
        <v>166825</v>
      </c>
      <c r="I338" s="156"/>
      <c r="J338" s="160">
        <v>830</v>
      </c>
      <c r="K338" s="161">
        <v>870</v>
      </c>
      <c r="L338" s="180">
        <f t="shared" si="256"/>
        <v>51600</v>
      </c>
      <c r="M338" s="180">
        <f t="shared" si="249"/>
        <v>52600</v>
      </c>
      <c r="N338" s="180">
        <f t="shared" si="250"/>
        <v>45600</v>
      </c>
      <c r="O338" s="107">
        <f t="shared" si="257"/>
        <v>1.0193798449612403</v>
      </c>
      <c r="P338" s="132">
        <f t="shared" si="242"/>
        <v>1.1499999999999999</v>
      </c>
      <c r="Q338" s="180">
        <f t="shared" si="251"/>
        <v>63806.451612903213</v>
      </c>
      <c r="R338" s="144">
        <f t="shared" si="258"/>
        <v>63890</v>
      </c>
      <c r="S338" s="179">
        <f>VLOOKUP($B338,'Выгр Торг'!$B:$Q,S$1,0)</f>
        <v>51600</v>
      </c>
      <c r="T338" s="179">
        <f>VLOOKUP($B338,'Выгр Торг'!$B:$Q,T$1,0)</f>
        <v>63890</v>
      </c>
      <c r="U338" s="94">
        <f t="shared" si="243"/>
        <v>0</v>
      </c>
      <c r="V338" s="94">
        <f t="shared" si="244"/>
        <v>0</v>
      </c>
      <c r="W338" s="182">
        <f t="shared" si="259"/>
        <v>59417.7</v>
      </c>
      <c r="X338" s="218">
        <f>IFERROR(VLOOKUP($B338,'Из ГУГЛа'!$B:$G,6,0)*Z338+Y338,VLOOKUP($B338,'Из ГУГЛа'!$B:$G,6,0))</f>
        <v>54590</v>
      </c>
      <c r="Y338" s="220">
        <f t="shared" si="252"/>
        <v>10800</v>
      </c>
      <c r="Z338" s="133">
        <v>1</v>
      </c>
      <c r="AA338" s="133">
        <v>1300</v>
      </c>
      <c r="AB338" s="184">
        <f t="shared" si="260"/>
        <v>0.15150581395348839</v>
      </c>
      <c r="AC338" s="184">
        <f t="shared" si="261"/>
        <v>-8.8435610917750457E-2</v>
      </c>
      <c r="AD338" s="184">
        <f t="shared" si="262"/>
        <v>5.7945736434108497E-2</v>
      </c>
      <c r="AE338" s="222">
        <v>54590</v>
      </c>
      <c r="AF338" s="98" t="s">
        <v>649</v>
      </c>
      <c r="AH338" s="98" t="s">
        <v>136</v>
      </c>
    </row>
    <row r="339" spans="1:34" ht="61.5" thickTop="1" thickBot="1">
      <c r="A339" s="176" t="str">
        <f>INDEX('Выгр Торг'!$A:$A,MATCH($B339,'Выгр Торг'!$B:$B,0))</f>
        <v>Руль анатомический "Ferrum" Limited Edition с обогревом (карбон, вставки алькантара) для Лада Ларгус FL, Веста, XRAY</v>
      </c>
      <c r="B339" s="178">
        <v>341606</v>
      </c>
      <c r="C339" s="179">
        <f>VLOOKUP($B339,'Выгр Торг'!$B:$Q,C$1,0)</f>
        <v>341606</v>
      </c>
      <c r="D339" s="189" t="s">
        <v>136</v>
      </c>
      <c r="E339" s="176" t="str">
        <f>VLOOKUP($B339,'Выгр Торг'!$B:$Q,E$1,0)</f>
        <v>Руль анатомический "Ferrum" Limited Edition с обогревом (карбон, вставки алькантара) для Лада Ларгус FL, Веста, XRAY (Сине-зелёная нить, Чёрный мат)</v>
      </c>
      <c r="F339" s="179" t="str">
        <f>VLOOKUP($B339,'Выгр Торг'!$B:$Q,F$1,0)</f>
        <v>Y</v>
      </c>
      <c r="G339" s="179" t="str">
        <f>VLOOKUP($B339,'Выгр Торг'!$B:$Q,G$1,0)</f>
        <v>1</v>
      </c>
      <c r="H339" s="177">
        <v>166825</v>
      </c>
      <c r="I339" s="156"/>
      <c r="J339" s="160">
        <v>830</v>
      </c>
      <c r="K339" s="161">
        <v>870</v>
      </c>
      <c r="L339" s="180">
        <f t="shared" si="256"/>
        <v>51600</v>
      </c>
      <c r="M339" s="180">
        <f t="shared" si="249"/>
        <v>52600</v>
      </c>
      <c r="N339" s="180">
        <f t="shared" si="250"/>
        <v>45600</v>
      </c>
      <c r="O339" s="107">
        <f t="shared" si="257"/>
        <v>1.0193798449612403</v>
      </c>
      <c r="P339" s="132">
        <f t="shared" si="242"/>
        <v>1.1499999999999999</v>
      </c>
      <c r="Q339" s="180">
        <f t="shared" si="251"/>
        <v>63806.451612903213</v>
      </c>
      <c r="R339" s="144">
        <f t="shared" si="258"/>
        <v>63890</v>
      </c>
      <c r="S339" s="179">
        <f>VLOOKUP($B339,'Выгр Торг'!$B:$Q,S$1,0)</f>
        <v>51600</v>
      </c>
      <c r="T339" s="179">
        <f>VLOOKUP($B339,'Выгр Торг'!$B:$Q,T$1,0)</f>
        <v>63890</v>
      </c>
      <c r="U339" s="94">
        <f t="shared" si="243"/>
        <v>0</v>
      </c>
      <c r="V339" s="94">
        <f t="shared" si="244"/>
        <v>0</v>
      </c>
      <c r="W339" s="182">
        <f t="shared" si="259"/>
        <v>59417.7</v>
      </c>
      <c r="X339" s="218">
        <f>IFERROR(VLOOKUP($B339,'Из ГУГЛа'!$B:$G,6,0)*Z339+Y339,VLOOKUP($B339,'Из ГУГЛа'!$B:$G,6,0))</f>
        <v>54590</v>
      </c>
      <c r="Y339" s="220">
        <f t="shared" si="252"/>
        <v>10800</v>
      </c>
      <c r="Z339" s="133">
        <v>1</v>
      </c>
      <c r="AA339" s="133">
        <v>1300</v>
      </c>
      <c r="AB339" s="184">
        <f t="shared" si="260"/>
        <v>0.15150581395348839</v>
      </c>
      <c r="AC339" s="184">
        <f t="shared" si="261"/>
        <v>-8.8435610917750457E-2</v>
      </c>
      <c r="AD339" s="184">
        <f t="shared" si="262"/>
        <v>5.7945736434108497E-2</v>
      </c>
      <c r="AE339" s="222">
        <v>54590</v>
      </c>
      <c r="AF339" s="98" t="s">
        <v>649</v>
      </c>
      <c r="AH339" s="98" t="s">
        <v>136</v>
      </c>
    </row>
    <row r="340" spans="1:34" ht="61.5" thickTop="1" thickBot="1">
      <c r="A340" s="176" t="str">
        <f>INDEX('Выгр Торг'!$A:$A,MATCH($B340,'Выгр Торг'!$B:$B,0))</f>
        <v>Руль анатомический "Ferrum" Limited Edition с обогревом (карбон, вставки алькантара) для Лада Ларгус FL, Веста, XRAY</v>
      </c>
      <c r="B340" s="178">
        <v>341607</v>
      </c>
      <c r="C340" s="179">
        <f>VLOOKUP($B340,'Выгр Торг'!$B:$Q,C$1,0)</f>
        <v>341607</v>
      </c>
      <c r="D340" s="189" t="s">
        <v>136</v>
      </c>
      <c r="E340" s="176" t="str">
        <f>VLOOKUP($B340,'Выгр Торг'!$B:$Q,E$1,0)</f>
        <v>Руль анатомический "Ferrum" Limited Edition с обогревом (карбон, вставки алькантара) для Лада Ларгус FL, Веста, XRAY (Синяя нить, Чёрный мат)</v>
      </c>
      <c r="F340" s="179" t="str">
        <f>VLOOKUP($B340,'Выгр Торг'!$B:$Q,F$1,0)</f>
        <v>Y</v>
      </c>
      <c r="G340" s="179" t="str">
        <f>VLOOKUP($B340,'Выгр Торг'!$B:$Q,G$1,0)</f>
        <v>1</v>
      </c>
      <c r="H340" s="177">
        <v>166825</v>
      </c>
      <c r="I340" s="156"/>
      <c r="J340" s="160">
        <v>830</v>
      </c>
      <c r="K340" s="161">
        <v>870</v>
      </c>
      <c r="L340" s="180">
        <f t="shared" si="256"/>
        <v>51600</v>
      </c>
      <c r="M340" s="180">
        <f t="shared" si="249"/>
        <v>52600</v>
      </c>
      <c r="N340" s="180">
        <f t="shared" si="250"/>
        <v>45600</v>
      </c>
      <c r="O340" s="107">
        <f t="shared" si="257"/>
        <v>1.0193798449612403</v>
      </c>
      <c r="P340" s="132">
        <f t="shared" si="242"/>
        <v>1.1499999999999999</v>
      </c>
      <c r="Q340" s="180">
        <f t="shared" si="251"/>
        <v>63806.451612903213</v>
      </c>
      <c r="R340" s="144">
        <f t="shared" si="258"/>
        <v>63890</v>
      </c>
      <c r="S340" s="179">
        <f>VLOOKUP($B340,'Выгр Торг'!$B:$Q,S$1,0)</f>
        <v>51600</v>
      </c>
      <c r="T340" s="179">
        <f>VLOOKUP($B340,'Выгр Торг'!$B:$Q,T$1,0)</f>
        <v>63890</v>
      </c>
      <c r="U340" s="94">
        <f t="shared" si="243"/>
        <v>0</v>
      </c>
      <c r="V340" s="94">
        <f t="shared" si="244"/>
        <v>0</v>
      </c>
      <c r="W340" s="182">
        <f t="shared" si="259"/>
        <v>59417.7</v>
      </c>
      <c r="X340" s="218">
        <f>IFERROR(VLOOKUP($B340,'Из ГУГЛа'!$B:$G,6,0)*Z340+Y340,VLOOKUP($B340,'Из ГУГЛа'!$B:$G,6,0))</f>
        <v>54590</v>
      </c>
      <c r="Y340" s="220">
        <f t="shared" si="252"/>
        <v>10800</v>
      </c>
      <c r="Z340" s="133">
        <v>1</v>
      </c>
      <c r="AA340" s="133">
        <v>1300</v>
      </c>
      <c r="AB340" s="184">
        <f t="shared" si="260"/>
        <v>0.15150581395348839</v>
      </c>
      <c r="AC340" s="184">
        <f t="shared" si="261"/>
        <v>-8.8435610917750457E-2</v>
      </c>
      <c r="AD340" s="184">
        <f t="shared" si="262"/>
        <v>5.7945736434108497E-2</v>
      </c>
      <c r="AE340" s="222">
        <v>54590</v>
      </c>
      <c r="AF340" s="98" t="s">
        <v>649</v>
      </c>
      <c r="AH340" s="98" t="s">
        <v>136</v>
      </c>
    </row>
    <row r="341" spans="1:34" ht="61.5" thickTop="1" thickBot="1">
      <c r="A341" s="176" t="str">
        <f>INDEX('Выгр Торг'!$A:$A,MATCH($B341,'Выгр Торг'!$B:$B,0))</f>
        <v>Руль анатомический "Ferrum" Limited Edition с обогревом (карбон, вставки алькантара) для Лада Ларгус FL, Веста, XRAY</v>
      </c>
      <c r="B341" s="178">
        <v>341609</v>
      </c>
      <c r="C341" s="179">
        <f>VLOOKUP($B341,'Выгр Торг'!$B:$Q,C$1,0)</f>
        <v>341609</v>
      </c>
      <c r="D341" s="189" t="s">
        <v>136</v>
      </c>
      <c r="E341" s="176" t="str">
        <f>VLOOKUP($B341,'Выгр Торг'!$B:$Q,E$1,0)</f>
        <v>Руль анатомический "Ferrum" Limited Edition с обогревом (карбон, вставки алькантара) для Лада Ларгус FL, Веста, XRAY (Тёмно-серая нить, Чёрный мат)</v>
      </c>
      <c r="F341" s="179" t="str">
        <f>VLOOKUP($B341,'Выгр Торг'!$B:$Q,F$1,0)</f>
        <v>Y</v>
      </c>
      <c r="G341" s="179" t="str">
        <f>VLOOKUP($B341,'Выгр Торг'!$B:$Q,G$1,0)</f>
        <v>1</v>
      </c>
      <c r="H341" s="177">
        <v>166825</v>
      </c>
      <c r="I341" s="156"/>
      <c r="J341" s="160">
        <v>830</v>
      </c>
      <c r="K341" s="161">
        <v>870</v>
      </c>
      <c r="L341" s="180">
        <f t="shared" si="256"/>
        <v>51600</v>
      </c>
      <c r="M341" s="180">
        <f t="shared" si="249"/>
        <v>52600</v>
      </c>
      <c r="N341" s="180">
        <f t="shared" si="250"/>
        <v>45600</v>
      </c>
      <c r="O341" s="107">
        <f t="shared" si="257"/>
        <v>1.0193798449612403</v>
      </c>
      <c r="P341" s="132">
        <f t="shared" si="242"/>
        <v>1.1499999999999999</v>
      </c>
      <c r="Q341" s="180">
        <f t="shared" si="251"/>
        <v>63806.451612903213</v>
      </c>
      <c r="R341" s="144">
        <f t="shared" si="258"/>
        <v>63890</v>
      </c>
      <c r="S341" s="179">
        <f>VLOOKUP($B341,'Выгр Торг'!$B:$Q,S$1,0)</f>
        <v>51600</v>
      </c>
      <c r="T341" s="179">
        <f>VLOOKUP($B341,'Выгр Торг'!$B:$Q,T$1,0)</f>
        <v>63890</v>
      </c>
      <c r="U341" s="94">
        <f t="shared" si="243"/>
        <v>0</v>
      </c>
      <c r="V341" s="94">
        <f t="shared" si="244"/>
        <v>0</v>
      </c>
      <c r="W341" s="182">
        <f t="shared" si="259"/>
        <v>59417.7</v>
      </c>
      <c r="X341" s="218">
        <f>IFERROR(VLOOKUP($B341,'Из ГУГЛа'!$B:$G,6,0)*Z341+Y341,VLOOKUP($B341,'Из ГУГЛа'!$B:$G,6,0))</f>
        <v>54590</v>
      </c>
      <c r="Y341" s="220">
        <f t="shared" si="252"/>
        <v>10800</v>
      </c>
      <c r="Z341" s="133">
        <v>1</v>
      </c>
      <c r="AA341" s="133">
        <v>1300</v>
      </c>
      <c r="AB341" s="184">
        <f t="shared" si="260"/>
        <v>0.15150581395348839</v>
      </c>
      <c r="AC341" s="184">
        <f t="shared" si="261"/>
        <v>-8.8435610917750457E-2</v>
      </c>
      <c r="AD341" s="184">
        <f t="shared" si="262"/>
        <v>5.7945736434108497E-2</v>
      </c>
      <c r="AE341" s="222">
        <v>54590</v>
      </c>
      <c r="AF341" s="98" t="s">
        <v>649</v>
      </c>
      <c r="AH341" s="98" t="s">
        <v>136</v>
      </c>
    </row>
    <row r="342" spans="1:34" ht="61.5" thickTop="1" thickBot="1">
      <c r="A342" s="176" t="str">
        <f>INDEX('Выгр Торг'!$A:$A,MATCH($B342,'Выгр Торг'!$B:$B,0))</f>
        <v>Руль анатомический "Ferrum" Limited Edition с обогревом (карбон, вставки алькантара) для Лада Ларгус FL, Веста, XRAY</v>
      </c>
      <c r="B342" s="178">
        <v>341601</v>
      </c>
      <c r="C342" s="179">
        <f>VLOOKUP($B342,'Выгр Торг'!$B:$Q,C$1,0)</f>
        <v>341601</v>
      </c>
      <c r="D342" s="189" t="s">
        <v>136</v>
      </c>
      <c r="E342" s="176" t="str">
        <f>VLOOKUP($B342,'Выгр Торг'!$B:$Q,E$1,0)</f>
        <v>Руль анатомический "Ferrum" Limited Edition с обогревом (карбон, вставки алькантара) для Лада Ларгус FL, Веста, XRAY (Фиолетовая нить, Чёрный мат)</v>
      </c>
      <c r="F342" s="179" t="str">
        <f>VLOOKUP($B342,'Выгр Торг'!$B:$Q,F$1,0)</f>
        <v>Y</v>
      </c>
      <c r="G342" s="179" t="str">
        <f>VLOOKUP($B342,'Выгр Торг'!$B:$Q,G$1,0)</f>
        <v>1</v>
      </c>
      <c r="H342" s="177">
        <v>166825</v>
      </c>
      <c r="I342" s="156"/>
      <c r="J342" s="160">
        <v>830</v>
      </c>
      <c r="K342" s="161">
        <v>870</v>
      </c>
      <c r="L342" s="180">
        <f t="shared" si="256"/>
        <v>51600</v>
      </c>
      <c r="M342" s="180">
        <f t="shared" si="249"/>
        <v>52600</v>
      </c>
      <c r="N342" s="180">
        <f t="shared" si="250"/>
        <v>45600</v>
      </c>
      <c r="O342" s="107">
        <f t="shared" si="257"/>
        <v>1.0193798449612403</v>
      </c>
      <c r="P342" s="132">
        <f t="shared" si="242"/>
        <v>1.1499999999999999</v>
      </c>
      <c r="Q342" s="180">
        <f t="shared" si="251"/>
        <v>63806.451612903213</v>
      </c>
      <c r="R342" s="144">
        <f t="shared" si="258"/>
        <v>63890</v>
      </c>
      <c r="S342" s="179">
        <f>VLOOKUP($B342,'Выгр Торг'!$B:$Q,S$1,0)</f>
        <v>51600</v>
      </c>
      <c r="T342" s="179">
        <f>VLOOKUP($B342,'Выгр Торг'!$B:$Q,T$1,0)</f>
        <v>63890</v>
      </c>
      <c r="U342" s="94">
        <f t="shared" si="243"/>
        <v>0</v>
      </c>
      <c r="V342" s="94">
        <f t="shared" si="244"/>
        <v>0</v>
      </c>
      <c r="W342" s="182">
        <f t="shared" si="259"/>
        <v>59417.7</v>
      </c>
      <c r="X342" s="218">
        <f>IFERROR(VLOOKUP($B342,'Из ГУГЛа'!$B:$G,6,0)*Z342+Y342,VLOOKUP($B342,'Из ГУГЛа'!$B:$G,6,0))</f>
        <v>54590</v>
      </c>
      <c r="Y342" s="220">
        <f t="shared" si="252"/>
        <v>10800</v>
      </c>
      <c r="Z342" s="133">
        <v>1</v>
      </c>
      <c r="AA342" s="133">
        <v>1300</v>
      </c>
      <c r="AB342" s="184">
        <f t="shared" si="260"/>
        <v>0.15150581395348839</v>
      </c>
      <c r="AC342" s="184">
        <f t="shared" si="261"/>
        <v>-8.8435610917750457E-2</v>
      </c>
      <c r="AD342" s="184">
        <f t="shared" si="262"/>
        <v>5.7945736434108497E-2</v>
      </c>
      <c r="AE342" s="222">
        <v>54590</v>
      </c>
      <c r="AF342" s="98" t="s">
        <v>649</v>
      </c>
      <c r="AH342" s="98" t="s">
        <v>136</v>
      </c>
    </row>
    <row r="343" spans="1:34" ht="61.5" thickTop="1" thickBot="1">
      <c r="A343" s="176" t="str">
        <f>INDEX('Выгр Торг'!$A:$A,MATCH($B343,'Выгр Торг'!$B:$B,0))</f>
        <v>Руль анатомический "Ferrum" Limited Edition с обогревом (карбон, вставки алькантара) для Лада Ларгус FL, Веста, XRAY</v>
      </c>
      <c r="B343" s="178">
        <v>132659</v>
      </c>
      <c r="C343" s="179">
        <f>VLOOKUP($B343,'Выгр Торг'!$B:$Q,C$1,0)</f>
        <v>166945</v>
      </c>
      <c r="D343" s="189" t="s">
        <v>136</v>
      </c>
      <c r="E343" s="176" t="str">
        <f>VLOOKUP($B343,'Выгр Торг'!$B:$Q,E$1,0)</f>
        <v>Руль анатомический "Ferrum" Limited Edition с обогревом (карбоновое, вставки из алькантары) для Лада Ларгус FL, Веста, XRAY (Белая нить, Чёрный глянец)</v>
      </c>
      <c r="F343" s="179" t="str">
        <f>VLOOKUP($B343,'Выгр Торг'!$B:$Q,F$1,0)</f>
        <v>Y</v>
      </c>
      <c r="G343" s="179" t="str">
        <f>VLOOKUP($B343,'Выгр Торг'!$B:$Q,G$1,0)</f>
        <v>1</v>
      </c>
      <c r="H343" s="177">
        <v>166825</v>
      </c>
      <c r="I343" s="156"/>
      <c r="J343" s="160"/>
      <c r="K343" s="161">
        <v>870</v>
      </c>
      <c r="L343" s="180">
        <f t="shared" si="256"/>
        <v>50770</v>
      </c>
      <c r="M343" s="180">
        <f t="shared" si="249"/>
        <v>51770</v>
      </c>
      <c r="N343" s="180">
        <f t="shared" si="250"/>
        <v>44770</v>
      </c>
      <c r="O343" s="107">
        <f t="shared" si="257"/>
        <v>1.0196966712625566</v>
      </c>
      <c r="P343" s="132">
        <f t="shared" si="242"/>
        <v>1.1499999999999999</v>
      </c>
      <c r="Q343" s="180">
        <f t="shared" si="251"/>
        <v>62780.107526881708</v>
      </c>
      <c r="R343" s="144">
        <f t="shared" si="258"/>
        <v>62790</v>
      </c>
      <c r="S343" s="179">
        <f>VLOOKUP($B343,'Выгр Торг'!$B:$Q,S$1,0)</f>
        <v>50770</v>
      </c>
      <c r="T343" s="179">
        <f>VLOOKUP($B343,'Выгр Торг'!$B:$Q,T$1,0)</f>
        <v>62790</v>
      </c>
      <c r="U343" s="94">
        <f t="shared" si="243"/>
        <v>0</v>
      </c>
      <c r="V343" s="94">
        <f t="shared" si="244"/>
        <v>0</v>
      </c>
      <c r="W343" s="182">
        <f t="shared" si="259"/>
        <v>58394.7</v>
      </c>
      <c r="X343" s="218">
        <f>IFERROR(VLOOKUP($B343,'Из ГУГЛа'!$B:$G,6,0)*Z343+Y343,VLOOKUP($B343,'Из ГУГЛа'!$B:$G,6,0))</f>
        <v>53760</v>
      </c>
      <c r="Y343" s="220">
        <f t="shared" si="252"/>
        <v>9970</v>
      </c>
      <c r="Z343" s="133">
        <v>1</v>
      </c>
      <c r="AA343" s="133"/>
      <c r="AB343" s="184">
        <f t="shared" si="260"/>
        <v>0.15018120937561541</v>
      </c>
      <c r="AC343" s="184">
        <f t="shared" si="261"/>
        <v>-8.6210937499999946E-2</v>
      </c>
      <c r="AD343" s="184">
        <f t="shared" si="262"/>
        <v>5.8893047075044391E-2</v>
      </c>
      <c r="AE343" s="222">
        <v>53760</v>
      </c>
      <c r="AF343" s="98" t="s">
        <v>649</v>
      </c>
      <c r="AH343" s="98" t="s">
        <v>136</v>
      </c>
    </row>
    <row r="344" spans="1:34" ht="61.5" thickTop="1" thickBot="1">
      <c r="A344" s="125" t="str">
        <f>INDEX('Выгр Торг'!$A:$A,MATCH($B344,'Выгр Торг'!$B:$B,0))</f>
        <v>Руль анатомический "Ferrum" Limited Edition с обогревом (карбон, вставки алькантара) для Лада Ларгус FL, Веста, XRAY</v>
      </c>
      <c r="B344" s="126">
        <v>132660</v>
      </c>
      <c r="C344" s="127">
        <f>VLOOKUP($B344,'Выгр Торг'!$B:$Q,C$1,0)</f>
        <v>166940</v>
      </c>
      <c r="D344" s="128" t="s">
        <v>136</v>
      </c>
      <c r="E344" s="125" t="str">
        <f>VLOOKUP($B344,'Выгр Торг'!$B:$Q,E$1,0)</f>
        <v>Руль анатомический "Ferrum" Limited Edition с обогревом (карбоновое, вставки из алькантары) для Лада Ларгус FL, Веста, XRAY (Жёлтая нить, Чёрный глянец)</v>
      </c>
      <c r="F344" s="127" t="str">
        <f>VLOOKUP($B344,'Выгр Торг'!$B:$Q,F$1,0)</f>
        <v>Y</v>
      </c>
      <c r="G344" s="127" t="str">
        <f>VLOOKUP($B344,'Выгр Торг'!$B:$Q,G$1,0)</f>
        <v>1</v>
      </c>
      <c r="H344" s="40">
        <v>166825</v>
      </c>
      <c r="I344" s="156"/>
      <c r="J344" s="160"/>
      <c r="K344" s="161">
        <v>870</v>
      </c>
      <c r="L344" s="130">
        <f t="shared" si="241"/>
        <v>50770</v>
      </c>
      <c r="M344" s="130">
        <f t="shared" si="249"/>
        <v>51770</v>
      </c>
      <c r="N344" s="130">
        <f t="shared" si="250"/>
        <v>44770</v>
      </c>
      <c r="O344" s="132">
        <f t="shared" si="253"/>
        <v>1.0196966712625566</v>
      </c>
      <c r="P344" s="132">
        <f t="shared" si="242"/>
        <v>1.1499999999999999</v>
      </c>
      <c r="Q344" s="130">
        <f t="shared" si="251"/>
        <v>62780.107526881708</v>
      </c>
      <c r="R344" s="148">
        <f t="shared" si="254"/>
        <v>62790</v>
      </c>
      <c r="S344" s="127">
        <f>VLOOKUP($B344,'Выгр Торг'!$B:$Q,S$1,0)</f>
        <v>50770</v>
      </c>
      <c r="T344" s="127">
        <f>VLOOKUP($B344,'Выгр Торг'!$B:$Q,T$1,0)</f>
        <v>62790</v>
      </c>
      <c r="U344" s="94">
        <f t="shared" si="243"/>
        <v>0</v>
      </c>
      <c r="V344" s="94">
        <f t="shared" si="244"/>
        <v>0</v>
      </c>
      <c r="W344" s="153">
        <f t="shared" si="255"/>
        <v>58394.7</v>
      </c>
      <c r="X344" s="209">
        <f>IFERROR(VLOOKUP($B344,'Из ГУГЛа'!$B:$G,6,0)*Z344+Y344,VLOOKUP($B344,'Из ГУГЛа'!$B:$G,6,0))</f>
        <v>53760</v>
      </c>
      <c r="Y344" s="220">
        <f t="shared" si="252"/>
        <v>9970</v>
      </c>
      <c r="Z344" s="133">
        <v>1</v>
      </c>
      <c r="AA344" s="134"/>
      <c r="AB344" s="135">
        <f t="shared" si="245"/>
        <v>0.15018120937561541</v>
      </c>
      <c r="AC344" s="135">
        <f t="shared" si="246"/>
        <v>-8.6210937499999946E-2</v>
      </c>
      <c r="AD344" s="135">
        <f t="shared" si="247"/>
        <v>5.8893047075044391E-2</v>
      </c>
      <c r="AE344" s="222">
        <v>53760</v>
      </c>
      <c r="AF344" s="98" t="s">
        <v>649</v>
      </c>
      <c r="AH344" s="98" t="s">
        <v>136</v>
      </c>
    </row>
    <row r="345" spans="1:34" ht="61.5" thickTop="1" thickBot="1">
      <c r="A345" s="125" t="str">
        <f>INDEX('Выгр Торг'!$A:$A,MATCH($B345,'Выгр Торг'!$B:$B,0))</f>
        <v>Руль анатомический "Ferrum" Limited Edition с обогревом (карбон, вставки алькантара) для Лада Ларгус FL, Веста, XRAY</v>
      </c>
      <c r="B345" s="126">
        <v>132661</v>
      </c>
      <c r="C345" s="127">
        <f>VLOOKUP($B345,'Выгр Торг'!$B:$Q,C$1,0)</f>
        <v>166944</v>
      </c>
      <c r="D345" s="128" t="s">
        <v>136</v>
      </c>
      <c r="E345" s="125" t="str">
        <f>VLOOKUP($B345,'Выгр Торг'!$B:$Q,E$1,0)</f>
        <v>Руль анатомический "Ferrum" Limited Edition с обогревом (карбоновое, вставки из алькантары) для Лада Ларгус FL, Веста, XRAY (Зелёная нить, Чёрный глянец)</v>
      </c>
      <c r="F345" s="127" t="str">
        <f>VLOOKUP($B345,'Выгр Торг'!$B:$Q,F$1,0)</f>
        <v>Y</v>
      </c>
      <c r="G345" s="127" t="str">
        <f>VLOOKUP($B345,'Выгр Торг'!$B:$Q,G$1,0)</f>
        <v>1</v>
      </c>
      <c r="H345" s="40">
        <v>166825</v>
      </c>
      <c r="I345" s="156"/>
      <c r="J345" s="160"/>
      <c r="K345" s="161">
        <v>870</v>
      </c>
      <c r="L345" s="130">
        <f t="shared" si="241"/>
        <v>50770</v>
      </c>
      <c r="M345" s="130">
        <f t="shared" si="249"/>
        <v>51770</v>
      </c>
      <c r="N345" s="130">
        <f t="shared" si="250"/>
        <v>44770</v>
      </c>
      <c r="O345" s="132">
        <f t="shared" si="253"/>
        <v>1.0196966712625566</v>
      </c>
      <c r="P345" s="132">
        <f t="shared" si="242"/>
        <v>1.1499999999999999</v>
      </c>
      <c r="Q345" s="130">
        <f t="shared" si="251"/>
        <v>62780.107526881708</v>
      </c>
      <c r="R345" s="148">
        <f t="shared" si="254"/>
        <v>62790</v>
      </c>
      <c r="S345" s="127">
        <f>VLOOKUP($B345,'Выгр Торг'!$B:$Q,S$1,0)</f>
        <v>50770</v>
      </c>
      <c r="T345" s="127">
        <f>VLOOKUP($B345,'Выгр Торг'!$B:$Q,T$1,0)</f>
        <v>62790</v>
      </c>
      <c r="U345" s="94">
        <f t="shared" si="243"/>
        <v>0</v>
      </c>
      <c r="V345" s="94">
        <f t="shared" si="244"/>
        <v>0</v>
      </c>
      <c r="W345" s="153">
        <f t="shared" si="255"/>
        <v>58394.7</v>
      </c>
      <c r="X345" s="209">
        <f>IFERROR(VLOOKUP($B345,'Из ГУГЛа'!$B:$G,6,0)*Z345+Y345,VLOOKUP($B345,'Из ГУГЛа'!$B:$G,6,0))</f>
        <v>53760</v>
      </c>
      <c r="Y345" s="220">
        <f t="shared" si="252"/>
        <v>9970</v>
      </c>
      <c r="Z345" s="133">
        <v>1</v>
      </c>
      <c r="AA345" s="134"/>
      <c r="AB345" s="135">
        <f t="shared" si="245"/>
        <v>0.15018120937561541</v>
      </c>
      <c r="AC345" s="135">
        <f t="shared" si="246"/>
        <v>-8.6210937499999946E-2</v>
      </c>
      <c r="AD345" s="135">
        <f t="shared" si="247"/>
        <v>5.8893047075044391E-2</v>
      </c>
      <c r="AE345" s="222">
        <v>53760</v>
      </c>
      <c r="AF345" s="98" t="s">
        <v>649</v>
      </c>
      <c r="AH345" s="98" t="s">
        <v>136</v>
      </c>
    </row>
    <row r="346" spans="1:34" ht="61.5" thickTop="1" thickBot="1">
      <c r="A346" s="125" t="str">
        <f>INDEX('Выгр Торг'!$A:$A,MATCH($B346,'Выгр Торг'!$B:$B,0))</f>
        <v>Руль анатомический "Ferrum" Limited Edition с обогревом (карбон, вставки алькантара) для Лада Ларгус FL, Веста, XRAY</v>
      </c>
      <c r="B346" s="126">
        <v>132662</v>
      </c>
      <c r="C346" s="127">
        <f>VLOOKUP($B346,'Выгр Торг'!$B:$Q,C$1,0)</f>
        <v>166936</v>
      </c>
      <c r="D346" s="128" t="s">
        <v>136</v>
      </c>
      <c r="E346" s="125" t="str">
        <f>VLOOKUP($B346,'Выгр Торг'!$B:$Q,E$1,0)</f>
        <v>Руль анатомический "Ferrum" Limited Edition с обогревом (карбоновое, вставки из алькантары) для Лада Ларгус FL, Веста, XRAY (Коричневая нить, Чёрный глянец)</v>
      </c>
      <c r="F346" s="127" t="str">
        <f>VLOOKUP($B346,'Выгр Торг'!$B:$Q,F$1,0)</f>
        <v>Y</v>
      </c>
      <c r="G346" s="127" t="str">
        <f>VLOOKUP($B346,'Выгр Торг'!$B:$Q,G$1,0)</f>
        <v>1</v>
      </c>
      <c r="H346" s="40">
        <v>166825</v>
      </c>
      <c r="I346" s="156"/>
      <c r="J346" s="160"/>
      <c r="K346" s="161">
        <v>870</v>
      </c>
      <c r="L346" s="130">
        <f t="shared" si="241"/>
        <v>50770</v>
      </c>
      <c r="M346" s="130">
        <f t="shared" si="249"/>
        <v>51770</v>
      </c>
      <c r="N346" s="130">
        <f t="shared" si="250"/>
        <v>44770</v>
      </c>
      <c r="O346" s="132">
        <f t="shared" si="253"/>
        <v>1.0196966712625566</v>
      </c>
      <c r="P346" s="132">
        <f t="shared" si="242"/>
        <v>1.1499999999999999</v>
      </c>
      <c r="Q346" s="130">
        <f t="shared" si="251"/>
        <v>62780.107526881708</v>
      </c>
      <c r="R346" s="148">
        <f t="shared" si="254"/>
        <v>62790</v>
      </c>
      <c r="S346" s="127">
        <f>VLOOKUP($B346,'Выгр Торг'!$B:$Q,S$1,0)</f>
        <v>50770</v>
      </c>
      <c r="T346" s="127">
        <f>VLOOKUP($B346,'Выгр Торг'!$B:$Q,T$1,0)</f>
        <v>62790</v>
      </c>
      <c r="U346" s="94">
        <f t="shared" si="243"/>
        <v>0</v>
      </c>
      <c r="V346" s="94">
        <f t="shared" si="244"/>
        <v>0</v>
      </c>
      <c r="W346" s="153">
        <f t="shared" si="255"/>
        <v>58394.7</v>
      </c>
      <c r="X346" s="209">
        <f>IFERROR(VLOOKUP($B346,'Из ГУГЛа'!$B:$G,6,0)*Z346+Y346,VLOOKUP($B346,'Из ГУГЛа'!$B:$G,6,0))</f>
        <v>53760</v>
      </c>
      <c r="Y346" s="220">
        <f t="shared" si="252"/>
        <v>9970</v>
      </c>
      <c r="Z346" s="133">
        <v>1</v>
      </c>
      <c r="AA346" s="134"/>
      <c r="AB346" s="135">
        <f t="shared" si="245"/>
        <v>0.15018120937561541</v>
      </c>
      <c r="AC346" s="135">
        <f t="shared" si="246"/>
        <v>-8.6210937499999946E-2</v>
      </c>
      <c r="AD346" s="135">
        <f t="shared" si="247"/>
        <v>5.8893047075044391E-2</v>
      </c>
      <c r="AE346" s="222">
        <v>53760</v>
      </c>
      <c r="AF346" s="98" t="s">
        <v>649</v>
      </c>
      <c r="AH346" s="98" t="s">
        <v>136</v>
      </c>
    </row>
    <row r="347" spans="1:34" ht="61.5" thickTop="1" thickBot="1">
      <c r="A347" s="125" t="str">
        <f>INDEX('Выгр Торг'!$A:$A,MATCH($B347,'Выгр Торг'!$B:$B,0))</f>
        <v>Руль анатомический "Ferrum" Limited Edition с обогревом (карбон, вставки алькантара) для Лада Ларгус FL, Веста, XRAY</v>
      </c>
      <c r="B347" s="126">
        <v>132663</v>
      </c>
      <c r="C347" s="127">
        <f>VLOOKUP($B347,'Выгр Торг'!$B:$Q,C$1,0)</f>
        <v>166943</v>
      </c>
      <c r="D347" s="128" t="s">
        <v>136</v>
      </c>
      <c r="E347" s="125" t="str">
        <f>VLOOKUP($B347,'Выгр Торг'!$B:$Q,E$1,0)</f>
        <v>Руль анатомический "Ferrum" Limited Edition с обогревом (карбоновое, вставки из алькантары) для Лада Ларгус FL, Веста, XRAY (Красная нить, Чёрный глянец)</v>
      </c>
      <c r="F347" s="127" t="str">
        <f>VLOOKUP($B347,'Выгр Торг'!$B:$Q,F$1,0)</f>
        <v>Y</v>
      </c>
      <c r="G347" s="127" t="str">
        <f>VLOOKUP($B347,'Выгр Торг'!$B:$Q,G$1,0)</f>
        <v>1</v>
      </c>
      <c r="H347" s="40">
        <v>166825</v>
      </c>
      <c r="I347" s="156"/>
      <c r="J347" s="160"/>
      <c r="K347" s="161">
        <v>870</v>
      </c>
      <c r="L347" s="130">
        <f t="shared" si="241"/>
        <v>50770</v>
      </c>
      <c r="M347" s="130">
        <f t="shared" si="249"/>
        <v>51770</v>
      </c>
      <c r="N347" s="130">
        <f t="shared" si="250"/>
        <v>44770</v>
      </c>
      <c r="O347" s="132">
        <f t="shared" si="253"/>
        <v>1.0196966712625566</v>
      </c>
      <c r="P347" s="132">
        <f t="shared" si="242"/>
        <v>1.1499999999999999</v>
      </c>
      <c r="Q347" s="130">
        <f t="shared" si="251"/>
        <v>62780.107526881708</v>
      </c>
      <c r="R347" s="148">
        <f t="shared" si="254"/>
        <v>62790</v>
      </c>
      <c r="S347" s="127">
        <f>VLOOKUP($B347,'Выгр Торг'!$B:$Q,S$1,0)</f>
        <v>50770</v>
      </c>
      <c r="T347" s="127">
        <f>VLOOKUP($B347,'Выгр Торг'!$B:$Q,T$1,0)</f>
        <v>62790</v>
      </c>
      <c r="U347" s="94">
        <f t="shared" si="243"/>
        <v>0</v>
      </c>
      <c r="V347" s="94">
        <f t="shared" si="244"/>
        <v>0</v>
      </c>
      <c r="W347" s="153">
        <f t="shared" si="255"/>
        <v>58394.7</v>
      </c>
      <c r="X347" s="209">
        <f>IFERROR(VLOOKUP($B347,'Из ГУГЛа'!$B:$G,6,0)*Z347+Y347,VLOOKUP($B347,'Из ГУГЛа'!$B:$G,6,0))</f>
        <v>53760</v>
      </c>
      <c r="Y347" s="220">
        <f t="shared" si="252"/>
        <v>9970</v>
      </c>
      <c r="Z347" s="133">
        <v>1</v>
      </c>
      <c r="AA347" s="134"/>
      <c r="AB347" s="135">
        <f t="shared" si="245"/>
        <v>0.15018120937561541</v>
      </c>
      <c r="AC347" s="135">
        <f t="shared" si="246"/>
        <v>-8.6210937499999946E-2</v>
      </c>
      <c r="AD347" s="135">
        <f t="shared" si="247"/>
        <v>5.8893047075044391E-2</v>
      </c>
      <c r="AE347" s="222">
        <v>53760</v>
      </c>
      <c r="AF347" s="98" t="s">
        <v>649</v>
      </c>
      <c r="AH347" s="98" t="s">
        <v>136</v>
      </c>
    </row>
    <row r="348" spans="1:34" ht="61.5" thickTop="1" thickBot="1">
      <c r="A348" s="125" t="str">
        <f>INDEX('Выгр Торг'!$A:$A,MATCH($B348,'Выгр Торг'!$B:$B,0))</f>
        <v>Руль анатомический "Ferrum" Limited Edition с обогревом (карбон, вставки алькантара) для Лада Ларгус FL, Веста, XRAY</v>
      </c>
      <c r="B348" s="126">
        <v>132664</v>
      </c>
      <c r="C348" s="127">
        <f>VLOOKUP($B348,'Выгр Торг'!$B:$Q,C$1,0)</f>
        <v>166939</v>
      </c>
      <c r="D348" s="128" t="s">
        <v>136</v>
      </c>
      <c r="E348" s="125" t="str">
        <f>VLOOKUP($B348,'Выгр Торг'!$B:$Q,E$1,0)</f>
        <v>Руль анатомический "Ferrum" Limited Edition с обогревом (карбоновое, вставки из алькантары) для Лада Ларгус FL, Веста, XRAY (Оранжевая нить, Чёрный глянец)</v>
      </c>
      <c r="F348" s="127" t="str">
        <f>VLOOKUP($B348,'Выгр Торг'!$B:$Q,F$1,0)</f>
        <v>Y</v>
      </c>
      <c r="G348" s="127" t="str">
        <f>VLOOKUP($B348,'Выгр Торг'!$B:$Q,G$1,0)</f>
        <v>1</v>
      </c>
      <c r="H348" s="40">
        <v>166825</v>
      </c>
      <c r="I348" s="156"/>
      <c r="J348" s="160"/>
      <c r="K348" s="161">
        <v>870</v>
      </c>
      <c r="L348" s="130">
        <f t="shared" si="241"/>
        <v>50770</v>
      </c>
      <c r="M348" s="130">
        <f t="shared" si="249"/>
        <v>51770</v>
      </c>
      <c r="N348" s="130">
        <f t="shared" si="250"/>
        <v>44770</v>
      </c>
      <c r="O348" s="132">
        <f t="shared" si="253"/>
        <v>1.0196966712625566</v>
      </c>
      <c r="P348" s="132">
        <f t="shared" si="242"/>
        <v>1.1499999999999999</v>
      </c>
      <c r="Q348" s="130">
        <f t="shared" si="251"/>
        <v>62780.107526881708</v>
      </c>
      <c r="R348" s="148">
        <f t="shared" si="254"/>
        <v>62790</v>
      </c>
      <c r="S348" s="127">
        <f>VLOOKUP($B348,'Выгр Торг'!$B:$Q,S$1,0)</f>
        <v>50770</v>
      </c>
      <c r="T348" s="127">
        <f>VLOOKUP($B348,'Выгр Торг'!$B:$Q,T$1,0)</f>
        <v>62790</v>
      </c>
      <c r="U348" s="94">
        <f t="shared" si="243"/>
        <v>0</v>
      </c>
      <c r="V348" s="94">
        <f t="shared" si="244"/>
        <v>0</v>
      </c>
      <c r="W348" s="153">
        <f t="shared" si="255"/>
        <v>58394.7</v>
      </c>
      <c r="X348" s="209">
        <f>IFERROR(VLOOKUP($B348,'Из ГУГЛа'!$B:$G,6,0)*Z348+Y348,VLOOKUP($B348,'Из ГУГЛа'!$B:$G,6,0))</f>
        <v>53760</v>
      </c>
      <c r="Y348" s="220">
        <f t="shared" si="252"/>
        <v>9970</v>
      </c>
      <c r="Z348" s="133">
        <v>1</v>
      </c>
      <c r="AA348" s="134"/>
      <c r="AB348" s="135">
        <f t="shared" si="245"/>
        <v>0.15018120937561541</v>
      </c>
      <c r="AC348" s="135">
        <f t="shared" si="246"/>
        <v>-8.6210937499999946E-2</v>
      </c>
      <c r="AD348" s="135">
        <f t="shared" si="247"/>
        <v>5.8893047075044391E-2</v>
      </c>
      <c r="AE348" s="222">
        <v>53760</v>
      </c>
      <c r="AF348" s="98" t="s">
        <v>649</v>
      </c>
      <c r="AH348" s="98" t="s">
        <v>136</v>
      </c>
    </row>
    <row r="349" spans="1:34" ht="61.5" thickTop="1" thickBot="1">
      <c r="A349" s="125" t="str">
        <f>INDEX('Выгр Торг'!$A:$A,MATCH($B349,'Выгр Торг'!$B:$B,0))</f>
        <v>Руль анатомический "Ferrum" Limited Edition с обогревом (карбон, вставки алькантара) для Лада Ларгус FL, Веста, XRAY</v>
      </c>
      <c r="B349" s="126">
        <v>132665</v>
      </c>
      <c r="C349" s="127">
        <f>VLOOKUP($B349,'Выгр Торг'!$B:$Q,C$1,0)</f>
        <v>166941</v>
      </c>
      <c r="D349" s="128" t="s">
        <v>136</v>
      </c>
      <c r="E349" s="125" t="str">
        <f>VLOOKUP($B349,'Выгр Торг'!$B:$Q,E$1,0)</f>
        <v>Руль анатомический "Ferrum" Limited Edition с обогревом (карбоновое, вставки из алькантары) для Лада Ларгус FL, Веста, XRAY (Салатовая нить, Чёрный глянец)</v>
      </c>
      <c r="F349" s="127" t="str">
        <f>VLOOKUP($B349,'Выгр Торг'!$B:$Q,F$1,0)</f>
        <v>Y</v>
      </c>
      <c r="G349" s="127" t="str">
        <f>VLOOKUP($B349,'Выгр Торг'!$B:$Q,G$1,0)</f>
        <v>1</v>
      </c>
      <c r="H349" s="40">
        <v>166825</v>
      </c>
      <c r="I349" s="156"/>
      <c r="J349" s="160"/>
      <c r="K349" s="161">
        <v>870</v>
      </c>
      <c r="L349" s="130">
        <f t="shared" si="241"/>
        <v>50770</v>
      </c>
      <c r="M349" s="130">
        <f t="shared" si="249"/>
        <v>51770</v>
      </c>
      <c r="N349" s="130">
        <f t="shared" si="250"/>
        <v>44770</v>
      </c>
      <c r="O349" s="132">
        <f t="shared" si="253"/>
        <v>1.0196966712625566</v>
      </c>
      <c r="P349" s="132">
        <f t="shared" si="242"/>
        <v>1.1499999999999999</v>
      </c>
      <c r="Q349" s="130">
        <f t="shared" si="251"/>
        <v>62780.107526881708</v>
      </c>
      <c r="R349" s="148">
        <f t="shared" si="254"/>
        <v>62790</v>
      </c>
      <c r="S349" s="127">
        <f>VLOOKUP($B349,'Выгр Торг'!$B:$Q,S$1,0)</f>
        <v>50770</v>
      </c>
      <c r="T349" s="127">
        <f>VLOOKUP($B349,'Выгр Торг'!$B:$Q,T$1,0)</f>
        <v>62790</v>
      </c>
      <c r="U349" s="94">
        <f t="shared" si="243"/>
        <v>0</v>
      </c>
      <c r="V349" s="94">
        <f t="shared" si="244"/>
        <v>0</v>
      </c>
      <c r="W349" s="153">
        <f t="shared" si="255"/>
        <v>58394.7</v>
      </c>
      <c r="X349" s="209">
        <f>IFERROR(VLOOKUP($B349,'Из ГУГЛа'!$B:$G,6,0)*Z349+Y349,VLOOKUP($B349,'Из ГУГЛа'!$B:$G,6,0))</f>
        <v>53760</v>
      </c>
      <c r="Y349" s="220">
        <f t="shared" si="252"/>
        <v>9970</v>
      </c>
      <c r="Z349" s="133">
        <v>1</v>
      </c>
      <c r="AA349" s="134"/>
      <c r="AB349" s="135">
        <f t="shared" si="245"/>
        <v>0.15018120937561541</v>
      </c>
      <c r="AC349" s="135">
        <f t="shared" si="246"/>
        <v>-8.6210937499999946E-2</v>
      </c>
      <c r="AD349" s="135">
        <f t="shared" si="247"/>
        <v>5.8893047075044391E-2</v>
      </c>
      <c r="AE349" s="222">
        <v>53760</v>
      </c>
      <c r="AF349" s="98" t="s">
        <v>649</v>
      </c>
      <c r="AH349" s="98" t="s">
        <v>136</v>
      </c>
    </row>
    <row r="350" spans="1:34" ht="61.5" thickTop="1" thickBot="1">
      <c r="A350" s="125" t="str">
        <f>INDEX('Выгр Торг'!$A:$A,MATCH($B350,'Выгр Торг'!$B:$B,0))</f>
        <v>Руль анатомический "Ferrum" Limited Edition с обогревом (карбон, вставки алькантара) для Лада Ларгус FL, Веста, XRAY</v>
      </c>
      <c r="B350" s="126">
        <v>132666</v>
      </c>
      <c r="C350" s="127">
        <f>VLOOKUP($B350,'Выгр Торг'!$B:$Q,C$1,0)</f>
        <v>166942</v>
      </c>
      <c r="D350" s="128" t="s">
        <v>136</v>
      </c>
      <c r="E350" s="125" t="str">
        <f>VLOOKUP($B350,'Выгр Торг'!$B:$Q,E$1,0)</f>
        <v>Руль анатомический "Ferrum" Limited Edition с обогревом (карбоновое, вставки из алькантары) для Лада Ларгус FL, Веста, XRAY (Светло-серая нить, Чёрный глянец)</v>
      </c>
      <c r="F350" s="127" t="str">
        <f>VLOOKUP($B350,'Выгр Торг'!$B:$Q,F$1,0)</f>
        <v>Y</v>
      </c>
      <c r="G350" s="127" t="str">
        <f>VLOOKUP($B350,'Выгр Торг'!$B:$Q,G$1,0)</f>
        <v>1</v>
      </c>
      <c r="H350" s="40">
        <v>166825</v>
      </c>
      <c r="I350" s="156"/>
      <c r="J350" s="160"/>
      <c r="K350" s="161">
        <v>870</v>
      </c>
      <c r="L350" s="130">
        <f t="shared" si="241"/>
        <v>50770</v>
      </c>
      <c r="M350" s="130">
        <f t="shared" si="249"/>
        <v>51770</v>
      </c>
      <c r="N350" s="130">
        <f t="shared" si="250"/>
        <v>44770</v>
      </c>
      <c r="O350" s="132">
        <f t="shared" si="253"/>
        <v>1.0196966712625566</v>
      </c>
      <c r="P350" s="132">
        <f t="shared" si="242"/>
        <v>1.1499999999999999</v>
      </c>
      <c r="Q350" s="130">
        <f t="shared" si="251"/>
        <v>62780.107526881708</v>
      </c>
      <c r="R350" s="148">
        <f t="shared" si="254"/>
        <v>62790</v>
      </c>
      <c r="S350" s="127">
        <f>VLOOKUP($B350,'Выгр Торг'!$B:$Q,S$1,0)</f>
        <v>50770</v>
      </c>
      <c r="T350" s="127">
        <f>VLOOKUP($B350,'Выгр Торг'!$B:$Q,T$1,0)</f>
        <v>62790</v>
      </c>
      <c r="U350" s="94">
        <f t="shared" si="243"/>
        <v>0</v>
      </c>
      <c r="V350" s="94">
        <f t="shared" si="244"/>
        <v>0</v>
      </c>
      <c r="W350" s="153">
        <f t="shared" si="255"/>
        <v>58394.7</v>
      </c>
      <c r="X350" s="209">
        <f>IFERROR(VLOOKUP($B350,'Из ГУГЛа'!$B:$G,6,0)*Z350+Y350,VLOOKUP($B350,'Из ГУГЛа'!$B:$G,6,0))</f>
        <v>53760</v>
      </c>
      <c r="Y350" s="220">
        <f t="shared" si="252"/>
        <v>9970</v>
      </c>
      <c r="Z350" s="133">
        <v>1</v>
      </c>
      <c r="AA350" s="134"/>
      <c r="AB350" s="135">
        <f t="shared" si="245"/>
        <v>0.15018120937561541</v>
      </c>
      <c r="AC350" s="135">
        <f t="shared" si="246"/>
        <v>-8.6210937499999946E-2</v>
      </c>
      <c r="AD350" s="135">
        <f t="shared" si="247"/>
        <v>5.8893047075044391E-2</v>
      </c>
      <c r="AE350" s="222">
        <v>53760</v>
      </c>
      <c r="AF350" s="98" t="s">
        <v>649</v>
      </c>
      <c r="AH350" s="98" t="s">
        <v>136</v>
      </c>
    </row>
    <row r="351" spans="1:34" ht="61.5" thickTop="1" thickBot="1">
      <c r="A351" s="125" t="str">
        <f>INDEX('Выгр Торг'!$A:$A,MATCH($B351,'Выгр Торг'!$B:$B,0))</f>
        <v>Руль анатомический "Ferrum" Limited Edition с обогревом (карбон, вставки алькантара) для Лада Ларгус FL, Веста, XRAY</v>
      </c>
      <c r="B351" s="126">
        <v>132667</v>
      </c>
      <c r="C351" s="127">
        <f>VLOOKUP($B351,'Выгр Торг'!$B:$Q,C$1,0)</f>
        <v>166938</v>
      </c>
      <c r="D351" s="128" t="s">
        <v>136</v>
      </c>
      <c r="E351" s="125" t="str">
        <f>VLOOKUP($B351,'Выгр Торг'!$B:$Q,E$1,0)</f>
        <v>Руль анатомический "Ferrum" Limited Edition с обогревом (карбоновое, вставки из алькантары) для Лада Ларгус FL, Веста, XRAY (Сине-зелёная нить, Чёрный глянец)</v>
      </c>
      <c r="F351" s="127" t="str">
        <f>VLOOKUP($B351,'Выгр Торг'!$B:$Q,F$1,0)</f>
        <v>Y</v>
      </c>
      <c r="G351" s="127" t="str">
        <f>VLOOKUP($B351,'Выгр Торг'!$B:$Q,G$1,0)</f>
        <v>1</v>
      </c>
      <c r="H351" s="40">
        <v>166825</v>
      </c>
      <c r="I351" s="156"/>
      <c r="J351" s="160"/>
      <c r="K351" s="161">
        <v>870</v>
      </c>
      <c r="L351" s="130">
        <f t="shared" si="241"/>
        <v>50770</v>
      </c>
      <c r="M351" s="130">
        <f t="shared" si="249"/>
        <v>51770</v>
      </c>
      <c r="N351" s="130">
        <f t="shared" si="250"/>
        <v>44770</v>
      </c>
      <c r="O351" s="132">
        <f t="shared" si="253"/>
        <v>1.0196966712625566</v>
      </c>
      <c r="P351" s="132">
        <f t="shared" si="242"/>
        <v>1.1499999999999999</v>
      </c>
      <c r="Q351" s="130">
        <f t="shared" si="251"/>
        <v>62780.107526881708</v>
      </c>
      <c r="R351" s="148">
        <f t="shared" si="254"/>
        <v>62790</v>
      </c>
      <c r="S351" s="127">
        <f>VLOOKUP($B351,'Выгр Торг'!$B:$Q,S$1,0)</f>
        <v>50770</v>
      </c>
      <c r="T351" s="127">
        <f>VLOOKUP($B351,'Выгр Торг'!$B:$Q,T$1,0)</f>
        <v>62790</v>
      </c>
      <c r="U351" s="94">
        <f t="shared" si="243"/>
        <v>0</v>
      </c>
      <c r="V351" s="94">
        <f t="shared" si="244"/>
        <v>0</v>
      </c>
      <c r="W351" s="153">
        <f t="shared" si="255"/>
        <v>58394.7</v>
      </c>
      <c r="X351" s="209">
        <f>IFERROR(VLOOKUP($B351,'Из ГУГЛа'!$B:$G,6,0)*Z351+Y351,VLOOKUP($B351,'Из ГУГЛа'!$B:$G,6,0))</f>
        <v>53760</v>
      </c>
      <c r="Y351" s="220">
        <f t="shared" si="252"/>
        <v>9970</v>
      </c>
      <c r="Z351" s="133">
        <v>1</v>
      </c>
      <c r="AA351" s="134"/>
      <c r="AB351" s="135">
        <f t="shared" si="245"/>
        <v>0.15018120937561541</v>
      </c>
      <c r="AC351" s="135">
        <f t="shared" si="246"/>
        <v>-8.6210937499999946E-2</v>
      </c>
      <c r="AD351" s="135">
        <f t="shared" si="247"/>
        <v>5.8893047075044391E-2</v>
      </c>
      <c r="AE351" s="222">
        <v>53760</v>
      </c>
      <c r="AF351" s="98" t="s">
        <v>649</v>
      </c>
      <c r="AH351" s="98" t="s">
        <v>136</v>
      </c>
    </row>
    <row r="352" spans="1:34" ht="61.5" thickTop="1" thickBot="1">
      <c r="A352" s="125" t="str">
        <f>INDEX('Выгр Торг'!$A:$A,MATCH($B352,'Выгр Торг'!$B:$B,0))</f>
        <v>Руль анатомический "Ferrum" Limited Edition с обогревом (карбон, вставки алькантара) для Лада Ларгус FL, Веста, XRAY</v>
      </c>
      <c r="B352" s="126">
        <v>132668</v>
      </c>
      <c r="C352" s="127">
        <f>VLOOKUP($B352,'Выгр Торг'!$B:$Q,C$1,0)</f>
        <v>166937</v>
      </c>
      <c r="D352" s="128" t="s">
        <v>136</v>
      </c>
      <c r="E352" s="125" t="str">
        <f>VLOOKUP($B352,'Выгр Торг'!$B:$Q,E$1,0)</f>
        <v>Руль анатомический "Ferrum" Limited Edition с обогревом (карбоновое, вставки из алькантары) для Лада Ларгус FL, Веста, XRAY (Синяя нить, Чёрный глянец)</v>
      </c>
      <c r="F352" s="127" t="str">
        <f>VLOOKUP($B352,'Выгр Торг'!$B:$Q,F$1,0)</f>
        <v>Y</v>
      </c>
      <c r="G352" s="127" t="str">
        <f>VLOOKUP($B352,'Выгр Торг'!$B:$Q,G$1,0)</f>
        <v>1</v>
      </c>
      <c r="H352" s="40">
        <v>166825</v>
      </c>
      <c r="I352" s="156"/>
      <c r="J352" s="160"/>
      <c r="K352" s="161">
        <v>870</v>
      </c>
      <c r="L352" s="130">
        <f t="shared" si="241"/>
        <v>50770</v>
      </c>
      <c r="M352" s="130">
        <f t="shared" si="249"/>
        <v>51770</v>
      </c>
      <c r="N352" s="130">
        <f t="shared" si="250"/>
        <v>44770</v>
      </c>
      <c r="O352" s="132">
        <f t="shared" si="253"/>
        <v>1.0196966712625566</v>
      </c>
      <c r="P352" s="132">
        <f t="shared" si="242"/>
        <v>1.1499999999999999</v>
      </c>
      <c r="Q352" s="130">
        <f t="shared" si="251"/>
        <v>62780.107526881708</v>
      </c>
      <c r="R352" s="148">
        <f t="shared" si="254"/>
        <v>62790</v>
      </c>
      <c r="S352" s="127">
        <f>VLOOKUP($B352,'Выгр Торг'!$B:$Q,S$1,0)</f>
        <v>50770</v>
      </c>
      <c r="T352" s="127">
        <f>VLOOKUP($B352,'Выгр Торг'!$B:$Q,T$1,0)</f>
        <v>62790</v>
      </c>
      <c r="U352" s="94">
        <f t="shared" si="243"/>
        <v>0</v>
      </c>
      <c r="V352" s="94">
        <f t="shared" si="244"/>
        <v>0</v>
      </c>
      <c r="W352" s="153">
        <f t="shared" si="255"/>
        <v>58394.7</v>
      </c>
      <c r="X352" s="209">
        <f>IFERROR(VLOOKUP($B352,'Из ГУГЛа'!$B:$G,6,0)*Z352+Y352,VLOOKUP($B352,'Из ГУГЛа'!$B:$G,6,0))</f>
        <v>53760</v>
      </c>
      <c r="Y352" s="220">
        <f t="shared" si="252"/>
        <v>9970</v>
      </c>
      <c r="Z352" s="133">
        <v>1</v>
      </c>
      <c r="AA352" s="134"/>
      <c r="AB352" s="135">
        <f t="shared" si="245"/>
        <v>0.15018120937561541</v>
      </c>
      <c r="AC352" s="135">
        <f t="shared" si="246"/>
        <v>-8.6210937499999946E-2</v>
      </c>
      <c r="AD352" s="135">
        <f t="shared" si="247"/>
        <v>5.8893047075044391E-2</v>
      </c>
      <c r="AE352" s="222">
        <v>53760</v>
      </c>
      <c r="AF352" s="98" t="s">
        <v>649</v>
      </c>
      <c r="AH352" s="98" t="s">
        <v>136</v>
      </c>
    </row>
    <row r="353" spans="1:34" ht="61.5" thickTop="1" thickBot="1">
      <c r="A353" s="125" t="str">
        <f>INDEX('Выгр Торг'!$A:$A,MATCH($B353,'Выгр Торг'!$B:$B,0))</f>
        <v>Руль анатомический "Ferrum" Limited Edition с обогревом (карбон, вставки алькантара) для Лада Ларгус FL, Веста, XRAY</v>
      </c>
      <c r="B353" s="126">
        <v>132669</v>
      </c>
      <c r="C353" s="127">
        <f>VLOOKUP($B353,'Выгр Торг'!$B:$Q,C$1,0)</f>
        <v>166935</v>
      </c>
      <c r="D353" s="128" t="s">
        <v>136</v>
      </c>
      <c r="E353" s="125" t="str">
        <f>VLOOKUP($B353,'Выгр Торг'!$B:$Q,E$1,0)</f>
        <v>Руль анатомический "Ferrum" Limited Edition с обогревом (карбоновое, вставки из алькантары) для Лада Ларгус FL, Веста, XRAY (Тёмно-серая нить, Чёрный глянец)</v>
      </c>
      <c r="F353" s="127" t="str">
        <f>VLOOKUP($B353,'Выгр Торг'!$B:$Q,F$1,0)</f>
        <v>Y</v>
      </c>
      <c r="G353" s="127" t="str">
        <f>VLOOKUP($B353,'Выгр Торг'!$B:$Q,G$1,0)</f>
        <v>1</v>
      </c>
      <c r="H353" s="40">
        <v>166825</v>
      </c>
      <c r="I353" s="156"/>
      <c r="J353" s="160"/>
      <c r="K353" s="161">
        <v>870</v>
      </c>
      <c r="L353" s="130">
        <f t="shared" si="241"/>
        <v>50770</v>
      </c>
      <c r="M353" s="130">
        <f t="shared" si="249"/>
        <v>51770</v>
      </c>
      <c r="N353" s="130">
        <f t="shared" si="250"/>
        <v>44770</v>
      </c>
      <c r="O353" s="132">
        <f t="shared" si="253"/>
        <v>1.0196966712625566</v>
      </c>
      <c r="P353" s="132">
        <f t="shared" si="242"/>
        <v>1.1499999999999999</v>
      </c>
      <c r="Q353" s="130">
        <f t="shared" si="251"/>
        <v>62780.107526881708</v>
      </c>
      <c r="R353" s="148">
        <f t="shared" si="254"/>
        <v>62790</v>
      </c>
      <c r="S353" s="127">
        <f>VLOOKUP($B353,'Выгр Торг'!$B:$Q,S$1,0)</f>
        <v>50770</v>
      </c>
      <c r="T353" s="127">
        <f>VLOOKUP($B353,'Выгр Торг'!$B:$Q,T$1,0)</f>
        <v>62790</v>
      </c>
      <c r="U353" s="94">
        <f t="shared" si="243"/>
        <v>0</v>
      </c>
      <c r="V353" s="94">
        <f t="shared" si="244"/>
        <v>0</v>
      </c>
      <c r="W353" s="153">
        <f t="shared" si="255"/>
        <v>58394.7</v>
      </c>
      <c r="X353" s="209">
        <f>IFERROR(VLOOKUP($B353,'Из ГУГЛа'!$B:$G,6,0)*Z353+Y353,VLOOKUP($B353,'Из ГУГЛа'!$B:$G,6,0))</f>
        <v>53760</v>
      </c>
      <c r="Y353" s="220">
        <f t="shared" si="252"/>
        <v>9970</v>
      </c>
      <c r="Z353" s="133">
        <v>1</v>
      </c>
      <c r="AA353" s="134"/>
      <c r="AB353" s="135">
        <f t="shared" si="245"/>
        <v>0.15018120937561541</v>
      </c>
      <c r="AC353" s="135">
        <f t="shared" si="246"/>
        <v>-8.6210937499999946E-2</v>
      </c>
      <c r="AD353" s="135">
        <f t="shared" si="247"/>
        <v>5.8893047075044391E-2</v>
      </c>
      <c r="AE353" s="222">
        <v>53760</v>
      </c>
      <c r="AF353" s="98" t="s">
        <v>649</v>
      </c>
      <c r="AH353" s="98" t="s">
        <v>136</v>
      </c>
    </row>
    <row r="354" spans="1:34" ht="61.5" thickTop="1" thickBot="1">
      <c r="A354" s="125" t="str">
        <f>INDEX('Выгр Торг'!$A:$A,MATCH($B354,'Выгр Торг'!$B:$B,0))</f>
        <v>Руль анатомический "Ferrum" Limited Edition с обогревом (карбон, вставки алькантара) для Лада Ларгус FL, Веста, XRAY</v>
      </c>
      <c r="B354" s="126">
        <v>132670</v>
      </c>
      <c r="C354" s="127">
        <f>VLOOKUP($B354,'Выгр Торг'!$B:$Q,C$1,0)</f>
        <v>166934</v>
      </c>
      <c r="D354" s="128" t="s">
        <v>136</v>
      </c>
      <c r="E354" s="125" t="str">
        <f>VLOOKUP($B354,'Выгр Торг'!$B:$Q,E$1,0)</f>
        <v>Руль анатомический "Ferrum" Limited Edition с обогревом (карбоновое, вставки из алькантары) для Лада Ларгус FL, Веста, XRAY (Фиолетовая нить, Чёрный глянец)</v>
      </c>
      <c r="F354" s="127" t="str">
        <f>VLOOKUP($B354,'Выгр Торг'!$B:$Q,F$1,0)</f>
        <v>Y</v>
      </c>
      <c r="G354" s="127" t="str">
        <f>VLOOKUP($B354,'Выгр Торг'!$B:$Q,G$1,0)</f>
        <v>1</v>
      </c>
      <c r="H354" s="40">
        <v>166825</v>
      </c>
      <c r="I354" s="156"/>
      <c r="J354" s="160"/>
      <c r="K354" s="161">
        <v>870</v>
      </c>
      <c r="L354" s="130">
        <f t="shared" si="241"/>
        <v>50770</v>
      </c>
      <c r="M354" s="130">
        <f t="shared" si="249"/>
        <v>51770</v>
      </c>
      <c r="N354" s="130">
        <f t="shared" si="250"/>
        <v>44770</v>
      </c>
      <c r="O354" s="132">
        <f t="shared" si="253"/>
        <v>1.0196966712625566</v>
      </c>
      <c r="P354" s="132">
        <f t="shared" si="242"/>
        <v>1.1499999999999999</v>
      </c>
      <c r="Q354" s="130">
        <f t="shared" si="251"/>
        <v>62780.107526881708</v>
      </c>
      <c r="R354" s="148">
        <f t="shared" si="254"/>
        <v>62790</v>
      </c>
      <c r="S354" s="127">
        <f>VLOOKUP($B354,'Выгр Торг'!$B:$Q,S$1,0)</f>
        <v>50770</v>
      </c>
      <c r="T354" s="127">
        <f>VLOOKUP($B354,'Выгр Торг'!$B:$Q,T$1,0)</f>
        <v>62790</v>
      </c>
      <c r="U354" s="94">
        <f t="shared" si="243"/>
        <v>0</v>
      </c>
      <c r="V354" s="94">
        <f t="shared" si="244"/>
        <v>0</v>
      </c>
      <c r="W354" s="153">
        <f t="shared" si="255"/>
        <v>58394.7</v>
      </c>
      <c r="X354" s="209">
        <f>IFERROR(VLOOKUP($B354,'Из ГУГЛа'!$B:$G,6,0)*Z354+Y354,VLOOKUP($B354,'Из ГУГЛа'!$B:$G,6,0))</f>
        <v>53760</v>
      </c>
      <c r="Y354" s="220">
        <f t="shared" si="252"/>
        <v>9970</v>
      </c>
      <c r="Z354" s="133">
        <v>1</v>
      </c>
      <c r="AA354" s="134"/>
      <c r="AB354" s="135">
        <f t="shared" si="245"/>
        <v>0.15018120937561541</v>
      </c>
      <c r="AC354" s="135">
        <f t="shared" si="246"/>
        <v>-8.6210937499999946E-2</v>
      </c>
      <c r="AD354" s="135">
        <f t="shared" si="247"/>
        <v>5.8893047075044391E-2</v>
      </c>
      <c r="AE354" s="222">
        <v>53760</v>
      </c>
      <c r="AF354" s="98" t="s">
        <v>649</v>
      </c>
      <c r="AH354" s="98" t="s">
        <v>136</v>
      </c>
    </row>
    <row r="355" spans="1:34" ht="46.5" thickTop="1" thickBot="1">
      <c r="A355" s="125" t="str">
        <f>INDEX('Выгр Торг'!$A:$A,MATCH($B355,'Выгр Торг'!$B:$B,0))</f>
        <v>Руль анатомический "Ferrum" Lite с обогревом для Лада Ларгус FL, Веста, XRAY</v>
      </c>
      <c r="B355" s="126">
        <v>132685</v>
      </c>
      <c r="C355" s="127">
        <f>VLOOKUP($B355,'Выгр Торг'!$B:$Q,C$1,0)</f>
        <v>166950</v>
      </c>
      <c r="D355" s="128" t="s">
        <v>124</v>
      </c>
      <c r="E355" s="125" t="str">
        <f>VLOOKUP($B355,'Выгр Торг'!$B:$Q,E$1,0)</f>
        <v>Руль анатомический "Ferrum" Lite с обогревом для Лада Ларгус FL, Веста, XRAY (Чёрная нить, Чёрный глянец)</v>
      </c>
      <c r="F355" s="127" t="str">
        <f>VLOOKUP($B355,'Выгр Торг'!$B:$Q,F$1,0)</f>
        <v>Y</v>
      </c>
      <c r="G355" s="127" t="str">
        <f>VLOOKUP($B355,'Выгр Торг'!$B:$Q,G$1,0)</f>
        <v>1</v>
      </c>
      <c r="H355" s="40">
        <v>166950</v>
      </c>
      <c r="I355" s="156"/>
      <c r="J355" s="160">
        <v>7000</v>
      </c>
      <c r="K355" s="161">
        <v>0</v>
      </c>
      <c r="L355" s="130">
        <f t="shared" si="241"/>
        <v>45200</v>
      </c>
      <c r="M355" s="131">
        <f>N355+J355</f>
        <v>46200</v>
      </c>
      <c r="N355" s="131">
        <v>39200</v>
      </c>
      <c r="O355" s="132">
        <f t="shared" ref="O355:O437" si="263">M355/L355</f>
        <v>1.0221238938053097</v>
      </c>
      <c r="P355" s="132">
        <f t="shared" si="242"/>
        <v>1.1499999999999999</v>
      </c>
      <c r="Q355" s="147">
        <f t="shared" ref="Q355" si="264">L355*P355*100/93</f>
        <v>55892.473118279559</v>
      </c>
      <c r="R355" s="148">
        <f t="shared" ref="R355:R437" si="265">IF(Q355&lt;=1000,(ROUNDUP(Q355,-2)-1),(ROUNDUP(Q355,-2)-10))</f>
        <v>55890</v>
      </c>
      <c r="S355" s="127">
        <f>VLOOKUP($B355,'Выгр Торг'!$B:$Q,S$1,0)</f>
        <v>45200</v>
      </c>
      <c r="T355" s="127">
        <f>VLOOKUP($B355,'Выгр Торг'!$B:$Q,T$1,0)</f>
        <v>55890</v>
      </c>
      <c r="U355" s="94">
        <f t="shared" si="243"/>
        <v>0</v>
      </c>
      <c r="V355" s="94">
        <f t="shared" si="244"/>
        <v>0</v>
      </c>
      <c r="W355" s="153">
        <f t="shared" si="255"/>
        <v>51977.7</v>
      </c>
      <c r="X355" s="209">
        <f>IFERROR(VLOOKUP($B355,'Из ГУГЛа'!$B:$G,6,0)*Z355+Y355,VLOOKUP($B355,'Из ГУГЛа'!$B:$G,6,0))</f>
        <v>50890</v>
      </c>
      <c r="Y355" s="106">
        <f>(J355+K355)*$Y$2</f>
        <v>9100</v>
      </c>
      <c r="Z355" s="133">
        <v>1</v>
      </c>
      <c r="AA355" s="134"/>
      <c r="AB355" s="135">
        <f t="shared" si="245"/>
        <v>0.14994911504424779</v>
      </c>
      <c r="AC355" s="135">
        <f t="shared" si="246"/>
        <v>-2.1373550795834095E-2</v>
      </c>
      <c r="AD355" s="135">
        <f t="shared" si="247"/>
        <v>0.12588495575221237</v>
      </c>
      <c r="AE355" s="221">
        <v>50890</v>
      </c>
      <c r="AF355" s="98" t="s">
        <v>618</v>
      </c>
      <c r="AH355" s="98" t="s">
        <v>124</v>
      </c>
    </row>
    <row r="356" spans="1:34" ht="46.5" thickTop="1" thickBot="1">
      <c r="A356" s="125" t="str">
        <f>INDEX('Выгр Торг'!$A:$A,MATCH($B356,'Выгр Торг'!$B:$B,0))</f>
        <v>Руль анатомический "Ferrum" Lite с обогревом для Лада Ларгус FL, Веста, XRAY</v>
      </c>
      <c r="B356" s="126">
        <v>341619</v>
      </c>
      <c r="C356" s="127">
        <f>VLOOKUP($B356,'Выгр Торг'!$B:$Q,C$1,0)</f>
        <v>341619</v>
      </c>
      <c r="D356" s="128" t="s">
        <v>124</v>
      </c>
      <c r="E356" s="125" t="str">
        <f>VLOOKUP($B356,'Выгр Торг'!$B:$Q,E$1,0)</f>
        <v>Руль анатомический "Ferrum" Lite с обогревом для Лада Ларгус FL, Веста, XRAY (Чёрная нить, Чёрный мат)</v>
      </c>
      <c r="F356" s="127" t="str">
        <f>VLOOKUP($B356,'Выгр Торг'!$B:$Q,F$1,0)</f>
        <v>Y</v>
      </c>
      <c r="G356" s="127" t="str">
        <f>VLOOKUP($B356,'Выгр Торг'!$B:$Q,G$1,0)</f>
        <v>1</v>
      </c>
      <c r="H356" s="40">
        <v>166950</v>
      </c>
      <c r="I356" s="156"/>
      <c r="J356" s="160">
        <v>830</v>
      </c>
      <c r="K356" s="161">
        <v>0</v>
      </c>
      <c r="L356" s="130">
        <f>M356-1000</f>
        <v>46030</v>
      </c>
      <c r="M356" s="130">
        <f t="shared" ref="M356:M380" si="266">INDEX($M:$M,MATCH($H356,$C:$C,0))+$K356+$J356</f>
        <v>47030</v>
      </c>
      <c r="N356" s="130">
        <f t="shared" ref="N356:N380" si="267">INDEX($N:$N,MATCH($H356,$C:$C,0))+$K356+$J356</f>
        <v>40030</v>
      </c>
      <c r="O356" s="132">
        <f>M356/L356</f>
        <v>1.0217249619813165</v>
      </c>
      <c r="P356" s="132">
        <f t="shared" si="242"/>
        <v>1.1499999999999999</v>
      </c>
      <c r="Q356" s="130">
        <f t="shared" ref="Q356:Q380" si="268">INDEX($Q:$Q,MATCH($H356,$C:$C,0))+($K356+$J356)*INDEX($P:$P,MATCH($H356,$C:$C,0))*100/93</f>
        <v>56918.817204301064</v>
      </c>
      <c r="R356" s="148">
        <f>IF(Q356&lt;=1000,(ROUNDUP(Q356,-2)-1),(ROUNDUP(Q356,-2)-10))</f>
        <v>56990</v>
      </c>
      <c r="S356" s="127">
        <f>VLOOKUP($B356,'Выгр Торг'!$B:$Q,S$1,0)</f>
        <v>46030</v>
      </c>
      <c r="T356" s="127">
        <f>VLOOKUP($B356,'Выгр Торг'!$B:$Q,T$1,0)</f>
        <v>56990</v>
      </c>
      <c r="U356" s="94">
        <f t="shared" si="243"/>
        <v>0</v>
      </c>
      <c r="V356" s="94">
        <f t="shared" si="244"/>
        <v>0</v>
      </c>
      <c r="W356" s="153">
        <f>R356*(1-$W$2)</f>
        <v>53000.7</v>
      </c>
      <c r="X356" s="209">
        <f>IFERROR(VLOOKUP($B356,'Из ГУГЛа'!$B:$G,6,0)*Z356+Y356,VLOOKUP($B356,'Из ГУГЛа'!$B:$G,6,0))</f>
        <v>51720</v>
      </c>
      <c r="Y356" s="220">
        <f t="shared" ref="Y356:Y380" si="269">INDEX($Y:$Y,MATCH($H356,$C:$C,0))+J356+K356</f>
        <v>9930</v>
      </c>
      <c r="Z356" s="133">
        <v>1</v>
      </c>
      <c r="AA356" s="133">
        <v>1300</v>
      </c>
      <c r="AB356" s="135">
        <f>IFERROR(W356/L356-1,"")</f>
        <v>0.15143819248316315</v>
      </c>
      <c r="AC356" s="135">
        <f>IFERROR((AE356-W356)/AE356,"")</f>
        <v>-2.4762180974477903E-2</v>
      </c>
      <c r="AD356" s="135">
        <f>IFERROR(IF(AE356="","",AE356/L356-1),"")</f>
        <v>0.12361503367369098</v>
      </c>
      <c r="AE356" s="222">
        <v>51720</v>
      </c>
      <c r="AF356" s="98" t="s">
        <v>618</v>
      </c>
      <c r="AH356" s="98" t="s">
        <v>124</v>
      </c>
    </row>
    <row r="357" spans="1:34" ht="46.5" thickTop="1" thickBot="1">
      <c r="A357" s="125" t="str">
        <f>INDEX('Выгр Торг'!$A:$A,MATCH($B357,'Выгр Торг'!$B:$B,0))</f>
        <v>Руль анатомический "Ferrum" Lite с обогревом для Лада Ларгус FL, Веста, XRAY</v>
      </c>
      <c r="B357" s="126">
        <v>341618</v>
      </c>
      <c r="C357" s="127">
        <f>VLOOKUP($B357,'Выгр Торг'!$B:$Q,C$1,0)</f>
        <v>341618</v>
      </c>
      <c r="D357" s="128" t="s">
        <v>124</v>
      </c>
      <c r="E357" s="125" t="str">
        <f>VLOOKUP($B357,'Выгр Торг'!$B:$Q,E$1,0)</f>
        <v>Руль анатомический "Ferrum" Lite с обогревом для Лада Ларгус FL, Веста, XRAY (Белая нить, Чёрный мат)</v>
      </c>
      <c r="F357" s="127" t="str">
        <f>VLOOKUP($B357,'Выгр Торг'!$B:$Q,F$1,0)</f>
        <v>Y</v>
      </c>
      <c r="G357" s="127" t="str">
        <f>VLOOKUP($B357,'Выгр Торг'!$B:$Q,G$1,0)</f>
        <v>1</v>
      </c>
      <c r="H357" s="40">
        <v>166950</v>
      </c>
      <c r="I357" s="156"/>
      <c r="J357" s="160">
        <v>830</v>
      </c>
      <c r="K357" s="161">
        <v>870</v>
      </c>
      <c r="L357" s="130">
        <f t="shared" si="241"/>
        <v>46900</v>
      </c>
      <c r="M357" s="130">
        <f t="shared" si="266"/>
        <v>47900</v>
      </c>
      <c r="N357" s="130">
        <f t="shared" si="267"/>
        <v>40900</v>
      </c>
      <c r="O357" s="132">
        <f t="shared" si="263"/>
        <v>1.0213219616204692</v>
      </c>
      <c r="P357" s="132">
        <f t="shared" si="242"/>
        <v>1.1499999999999999</v>
      </c>
      <c r="Q357" s="130">
        <f t="shared" si="268"/>
        <v>57994.623655913965</v>
      </c>
      <c r="R357" s="148">
        <f t="shared" si="265"/>
        <v>57990</v>
      </c>
      <c r="S357" s="127">
        <f>VLOOKUP($B357,'Выгр Торг'!$B:$Q,S$1,0)</f>
        <v>46900</v>
      </c>
      <c r="T357" s="127">
        <f>VLOOKUP($B357,'Выгр Торг'!$B:$Q,T$1,0)</f>
        <v>57990</v>
      </c>
      <c r="U357" s="94">
        <f t="shared" si="243"/>
        <v>0</v>
      </c>
      <c r="V357" s="94">
        <f t="shared" si="244"/>
        <v>0</v>
      </c>
      <c r="W357" s="153">
        <f t="shared" si="255"/>
        <v>53930.7</v>
      </c>
      <c r="X357" s="209">
        <f>IFERROR(VLOOKUP($B357,'Из ГУГЛа'!$B:$G,6,0)*Z357+Y357,VLOOKUP($B357,'Из ГУГЛа'!$B:$G,6,0))</f>
        <v>52590</v>
      </c>
      <c r="Y357" s="220">
        <f t="shared" si="269"/>
        <v>10800</v>
      </c>
      <c r="Z357" s="133">
        <v>1</v>
      </c>
      <c r="AA357" s="133">
        <v>1300</v>
      </c>
      <c r="AB357" s="135">
        <f t="shared" si="245"/>
        <v>0.14990831556503181</v>
      </c>
      <c r="AC357" s="135">
        <f t="shared" si="246"/>
        <v>-2.5493439817455735E-2</v>
      </c>
      <c r="AD357" s="135">
        <f t="shared" si="247"/>
        <v>0.12132196162046904</v>
      </c>
      <c r="AE357" s="222">
        <v>52590</v>
      </c>
      <c r="AF357" s="98" t="s">
        <v>618</v>
      </c>
      <c r="AH357" s="98" t="s">
        <v>124</v>
      </c>
    </row>
    <row r="358" spans="1:34" ht="46.5" thickTop="1" thickBot="1">
      <c r="A358" s="125" t="str">
        <f>INDEX('Выгр Торг'!$A:$A,MATCH($B358,'Выгр Торг'!$B:$B,0))</f>
        <v>Руль анатомический "Ferrum" Lite с обогревом для Лада Ларгус FL, Веста, XRAY</v>
      </c>
      <c r="B358" s="126">
        <v>341630</v>
      </c>
      <c r="C358" s="127">
        <f>VLOOKUP($B358,'Выгр Торг'!$B:$Q,C$1,0)</f>
        <v>341630</v>
      </c>
      <c r="D358" s="128" t="s">
        <v>124</v>
      </c>
      <c r="E358" s="125" t="str">
        <f>VLOOKUP($B358,'Выгр Торг'!$B:$Q,E$1,0)</f>
        <v>Руль анатомический "Ferrum" Lite с обогревом для Лада Ларгус FL, Веста, XRAY (Жёлтая нить, Чёрный мат)</v>
      </c>
      <c r="F358" s="127" t="str">
        <f>VLOOKUP($B358,'Выгр Торг'!$B:$Q,F$1,0)</f>
        <v>Y</v>
      </c>
      <c r="G358" s="127" t="str">
        <f>VLOOKUP($B358,'Выгр Торг'!$B:$Q,G$1,0)</f>
        <v>1</v>
      </c>
      <c r="H358" s="40">
        <v>166950</v>
      </c>
      <c r="I358" s="156"/>
      <c r="J358" s="160">
        <v>830</v>
      </c>
      <c r="K358" s="161">
        <v>870</v>
      </c>
      <c r="L358" s="130">
        <f t="shared" ref="L358:L369" si="270">M358-1000</f>
        <v>46900</v>
      </c>
      <c r="M358" s="130">
        <f t="shared" si="266"/>
        <v>47900</v>
      </c>
      <c r="N358" s="130">
        <f t="shared" si="267"/>
        <v>40900</v>
      </c>
      <c r="O358" s="132">
        <f t="shared" ref="O358:O369" si="271">M358/L358</f>
        <v>1.0213219616204692</v>
      </c>
      <c r="P358" s="132">
        <f t="shared" si="242"/>
        <v>1.1499999999999999</v>
      </c>
      <c r="Q358" s="130">
        <f t="shared" si="268"/>
        <v>57994.623655913965</v>
      </c>
      <c r="R358" s="148">
        <f t="shared" ref="R358:R369" si="272">IF(Q358&lt;=1000,(ROUNDUP(Q358,-2)-1),(ROUNDUP(Q358,-2)-10))</f>
        <v>57990</v>
      </c>
      <c r="S358" s="127">
        <f>VLOOKUP($B358,'Выгр Торг'!$B:$Q,S$1,0)</f>
        <v>46900</v>
      </c>
      <c r="T358" s="127">
        <f>VLOOKUP($B358,'Выгр Торг'!$B:$Q,T$1,0)</f>
        <v>57990</v>
      </c>
      <c r="U358" s="94">
        <f t="shared" si="243"/>
        <v>0</v>
      </c>
      <c r="V358" s="94">
        <f t="shared" si="244"/>
        <v>0</v>
      </c>
      <c r="W358" s="153">
        <f t="shared" ref="W358:W369" si="273">R358*(1-$W$2)</f>
        <v>53930.7</v>
      </c>
      <c r="X358" s="209">
        <f>IFERROR(VLOOKUP($B358,'Из ГУГЛа'!$B:$G,6,0)*Z358+Y358,VLOOKUP($B358,'Из ГУГЛа'!$B:$G,6,0))</f>
        <v>52590</v>
      </c>
      <c r="Y358" s="220">
        <f t="shared" si="269"/>
        <v>10800</v>
      </c>
      <c r="Z358" s="133">
        <v>1</v>
      </c>
      <c r="AA358" s="133">
        <v>1300</v>
      </c>
      <c r="AB358" s="135">
        <f t="shared" ref="AB358:AB369" si="274">IFERROR(W358/L358-1,"")</f>
        <v>0.14990831556503181</v>
      </c>
      <c r="AC358" s="135">
        <f t="shared" ref="AC358:AC369" si="275">IFERROR((AE358-W358)/AE358,"")</f>
        <v>-2.5493439817455735E-2</v>
      </c>
      <c r="AD358" s="135">
        <f t="shared" ref="AD358:AD369" si="276">IFERROR(IF(AE358="","",AE358/L358-1),"")</f>
        <v>0.12132196162046904</v>
      </c>
      <c r="AE358" s="222">
        <v>52590</v>
      </c>
      <c r="AF358" s="98" t="s">
        <v>618</v>
      </c>
      <c r="AH358" s="98" t="s">
        <v>124</v>
      </c>
    </row>
    <row r="359" spans="1:34" ht="46.5" thickTop="1" thickBot="1">
      <c r="A359" s="125" t="str">
        <f>INDEX('Выгр Торг'!$A:$A,MATCH($B359,'Выгр Торг'!$B:$B,0))</f>
        <v>Руль анатомический "Ferrum" Lite с обогревом для Лада Ларгус FL, Веста, XRAY</v>
      </c>
      <c r="B359" s="126">
        <v>341629</v>
      </c>
      <c r="C359" s="127">
        <f>VLOOKUP($B359,'Выгр Торг'!$B:$Q,C$1,0)</f>
        <v>341629</v>
      </c>
      <c r="D359" s="128" t="s">
        <v>124</v>
      </c>
      <c r="E359" s="125" t="str">
        <f>VLOOKUP($B359,'Выгр Торг'!$B:$Q,E$1,0)</f>
        <v>Руль анатомический "Ferrum" Lite с обогревом для Лада Ларгус FL, Веста, XRAY (Зелёная нить, Чёрный мат)</v>
      </c>
      <c r="F359" s="127" t="str">
        <f>VLOOKUP($B359,'Выгр Торг'!$B:$Q,F$1,0)</f>
        <v>Y</v>
      </c>
      <c r="G359" s="127" t="str">
        <f>VLOOKUP($B359,'Выгр Торг'!$B:$Q,G$1,0)</f>
        <v>1</v>
      </c>
      <c r="H359" s="40">
        <v>166950</v>
      </c>
      <c r="I359" s="156"/>
      <c r="J359" s="160">
        <v>830</v>
      </c>
      <c r="K359" s="161">
        <v>870</v>
      </c>
      <c r="L359" s="130">
        <f t="shared" si="270"/>
        <v>46900</v>
      </c>
      <c r="M359" s="130">
        <f t="shared" si="266"/>
        <v>47900</v>
      </c>
      <c r="N359" s="130">
        <f t="shared" si="267"/>
        <v>40900</v>
      </c>
      <c r="O359" s="132">
        <f t="shared" si="271"/>
        <v>1.0213219616204692</v>
      </c>
      <c r="P359" s="132">
        <f t="shared" si="242"/>
        <v>1.1499999999999999</v>
      </c>
      <c r="Q359" s="130">
        <f t="shared" si="268"/>
        <v>57994.623655913965</v>
      </c>
      <c r="R359" s="148">
        <f t="shared" si="272"/>
        <v>57990</v>
      </c>
      <c r="S359" s="127">
        <f>VLOOKUP($B359,'Выгр Торг'!$B:$Q,S$1,0)</f>
        <v>46900</v>
      </c>
      <c r="T359" s="127">
        <f>VLOOKUP($B359,'Выгр Торг'!$B:$Q,T$1,0)</f>
        <v>57990</v>
      </c>
      <c r="U359" s="94">
        <f t="shared" si="243"/>
        <v>0</v>
      </c>
      <c r="V359" s="94">
        <f t="shared" si="244"/>
        <v>0</v>
      </c>
      <c r="W359" s="153">
        <f t="shared" si="273"/>
        <v>53930.7</v>
      </c>
      <c r="X359" s="209">
        <f>IFERROR(VLOOKUP($B359,'Из ГУГЛа'!$B:$G,6,0)*Z359+Y359,VLOOKUP($B359,'Из ГУГЛа'!$B:$G,6,0))</f>
        <v>52590</v>
      </c>
      <c r="Y359" s="220">
        <f t="shared" si="269"/>
        <v>10800</v>
      </c>
      <c r="Z359" s="133">
        <v>1</v>
      </c>
      <c r="AA359" s="133">
        <v>1300</v>
      </c>
      <c r="AB359" s="135">
        <f t="shared" si="274"/>
        <v>0.14990831556503181</v>
      </c>
      <c r="AC359" s="135">
        <f t="shared" si="275"/>
        <v>-2.5493439817455735E-2</v>
      </c>
      <c r="AD359" s="135">
        <f t="shared" si="276"/>
        <v>0.12132196162046904</v>
      </c>
      <c r="AE359" s="222">
        <v>52590</v>
      </c>
      <c r="AF359" s="98" t="s">
        <v>618</v>
      </c>
      <c r="AH359" s="98" t="s">
        <v>124</v>
      </c>
    </row>
    <row r="360" spans="1:34" ht="46.5" thickTop="1" thickBot="1">
      <c r="A360" s="125" t="str">
        <f>INDEX('Выгр Торг'!$A:$A,MATCH($B360,'Выгр Торг'!$B:$B,0))</f>
        <v>Руль анатомический "Ferrum" Lite с обогревом для Лада Ларгус FL, Веста, XRAY</v>
      </c>
      <c r="B360" s="126">
        <v>341621</v>
      </c>
      <c r="C360" s="127">
        <f>VLOOKUP($B360,'Выгр Торг'!$B:$Q,C$1,0)</f>
        <v>341621</v>
      </c>
      <c r="D360" s="128" t="s">
        <v>124</v>
      </c>
      <c r="E360" s="125" t="str">
        <f>VLOOKUP($B360,'Выгр Торг'!$B:$Q,E$1,0)</f>
        <v>Руль анатомический "Ferrum" Lite с обогревом для Лада Ларгус FL, Веста, XRAY (Коричневая нить, Чёрный мат)</v>
      </c>
      <c r="F360" s="127" t="str">
        <f>VLOOKUP($B360,'Выгр Торг'!$B:$Q,F$1,0)</f>
        <v>Y</v>
      </c>
      <c r="G360" s="127" t="str">
        <f>VLOOKUP($B360,'Выгр Торг'!$B:$Q,G$1,0)</f>
        <v>1</v>
      </c>
      <c r="H360" s="40">
        <v>166950</v>
      </c>
      <c r="I360" s="156"/>
      <c r="J360" s="160">
        <v>830</v>
      </c>
      <c r="K360" s="161">
        <v>870</v>
      </c>
      <c r="L360" s="130">
        <f t="shared" si="270"/>
        <v>46900</v>
      </c>
      <c r="M360" s="130">
        <f t="shared" si="266"/>
        <v>47900</v>
      </c>
      <c r="N360" s="130">
        <f t="shared" si="267"/>
        <v>40900</v>
      </c>
      <c r="O360" s="132">
        <f t="shared" si="271"/>
        <v>1.0213219616204692</v>
      </c>
      <c r="P360" s="132">
        <f t="shared" si="242"/>
        <v>1.1499999999999999</v>
      </c>
      <c r="Q360" s="130">
        <f t="shared" si="268"/>
        <v>57994.623655913965</v>
      </c>
      <c r="R360" s="148">
        <f t="shared" si="272"/>
        <v>57990</v>
      </c>
      <c r="S360" s="127">
        <f>VLOOKUP($B360,'Выгр Торг'!$B:$Q,S$1,0)</f>
        <v>46900</v>
      </c>
      <c r="T360" s="127">
        <f>VLOOKUP($B360,'Выгр Торг'!$B:$Q,T$1,0)</f>
        <v>57990</v>
      </c>
      <c r="U360" s="94">
        <f t="shared" si="243"/>
        <v>0</v>
      </c>
      <c r="V360" s="94">
        <f t="shared" si="244"/>
        <v>0</v>
      </c>
      <c r="W360" s="153">
        <f t="shared" si="273"/>
        <v>53930.7</v>
      </c>
      <c r="X360" s="209">
        <f>IFERROR(VLOOKUP($B360,'Из ГУГЛа'!$B:$G,6,0)*Z360+Y360,VLOOKUP($B360,'Из ГУГЛа'!$B:$G,6,0))</f>
        <v>52590</v>
      </c>
      <c r="Y360" s="220">
        <f t="shared" si="269"/>
        <v>10800</v>
      </c>
      <c r="Z360" s="133">
        <v>1</v>
      </c>
      <c r="AA360" s="133">
        <v>1300</v>
      </c>
      <c r="AB360" s="135">
        <f t="shared" si="274"/>
        <v>0.14990831556503181</v>
      </c>
      <c r="AC360" s="135">
        <f t="shared" si="275"/>
        <v>-2.5493439817455735E-2</v>
      </c>
      <c r="AD360" s="135">
        <f t="shared" si="276"/>
        <v>0.12132196162046904</v>
      </c>
      <c r="AE360" s="222">
        <v>52590</v>
      </c>
      <c r="AF360" s="98" t="s">
        <v>618</v>
      </c>
      <c r="AH360" s="98" t="s">
        <v>124</v>
      </c>
    </row>
    <row r="361" spans="1:34" ht="46.5" thickTop="1" thickBot="1">
      <c r="A361" s="125" t="str">
        <f>INDEX('Выгр Торг'!$A:$A,MATCH($B361,'Выгр Торг'!$B:$B,0))</f>
        <v>Руль анатомический "Ferrum" Lite с обогревом для Лада Ларгус FL, Веста, XRAY</v>
      </c>
      <c r="B361" s="126">
        <v>341622</v>
      </c>
      <c r="C361" s="127">
        <f>VLOOKUP($B361,'Выгр Торг'!$B:$Q,C$1,0)</f>
        <v>341622</v>
      </c>
      <c r="D361" s="128" t="s">
        <v>124</v>
      </c>
      <c r="E361" s="125" t="str">
        <f>VLOOKUP($B361,'Выгр Торг'!$B:$Q,E$1,0)</f>
        <v>Руль анатомический "Ferrum" Lite с обогревом для Лада Ларгус FL, Веста, XRAY (Красная нить, Чёрный мат)</v>
      </c>
      <c r="F361" s="127" t="str">
        <f>VLOOKUP($B361,'Выгр Торг'!$B:$Q,F$1,0)</f>
        <v>Y</v>
      </c>
      <c r="G361" s="127" t="str">
        <f>VLOOKUP($B361,'Выгр Торг'!$B:$Q,G$1,0)</f>
        <v>1</v>
      </c>
      <c r="H361" s="40">
        <v>166950</v>
      </c>
      <c r="I361" s="156"/>
      <c r="J361" s="160">
        <v>830</v>
      </c>
      <c r="K361" s="161">
        <v>870</v>
      </c>
      <c r="L361" s="130">
        <f t="shared" si="270"/>
        <v>46900</v>
      </c>
      <c r="M361" s="130">
        <f t="shared" si="266"/>
        <v>47900</v>
      </c>
      <c r="N361" s="130">
        <f t="shared" si="267"/>
        <v>40900</v>
      </c>
      <c r="O361" s="132">
        <f t="shared" si="271"/>
        <v>1.0213219616204692</v>
      </c>
      <c r="P361" s="132">
        <f t="shared" si="242"/>
        <v>1.1499999999999999</v>
      </c>
      <c r="Q361" s="130">
        <f t="shared" si="268"/>
        <v>57994.623655913965</v>
      </c>
      <c r="R361" s="148">
        <f t="shared" si="272"/>
        <v>57990</v>
      </c>
      <c r="S361" s="127">
        <f>VLOOKUP($B361,'Выгр Торг'!$B:$Q,S$1,0)</f>
        <v>46900</v>
      </c>
      <c r="T361" s="127">
        <f>VLOOKUP($B361,'Выгр Торг'!$B:$Q,T$1,0)</f>
        <v>57990</v>
      </c>
      <c r="U361" s="94">
        <f t="shared" si="243"/>
        <v>0</v>
      </c>
      <c r="V361" s="94">
        <f t="shared" si="244"/>
        <v>0</v>
      </c>
      <c r="W361" s="153">
        <f t="shared" si="273"/>
        <v>53930.7</v>
      </c>
      <c r="X361" s="209">
        <f>IFERROR(VLOOKUP($B361,'Из ГУГЛа'!$B:$G,6,0)*Z361+Y361,VLOOKUP($B361,'Из ГУГЛа'!$B:$G,6,0))</f>
        <v>52590</v>
      </c>
      <c r="Y361" s="220">
        <f t="shared" si="269"/>
        <v>10800</v>
      </c>
      <c r="Z361" s="133">
        <v>1</v>
      </c>
      <c r="AA361" s="133">
        <v>1300</v>
      </c>
      <c r="AB361" s="135">
        <f t="shared" si="274"/>
        <v>0.14990831556503181</v>
      </c>
      <c r="AC361" s="135">
        <f t="shared" si="275"/>
        <v>-2.5493439817455735E-2</v>
      </c>
      <c r="AD361" s="135">
        <f t="shared" si="276"/>
        <v>0.12132196162046904</v>
      </c>
      <c r="AE361" s="222">
        <v>52590</v>
      </c>
      <c r="AF361" s="98" t="s">
        <v>618</v>
      </c>
      <c r="AH361" s="98" t="s">
        <v>124</v>
      </c>
    </row>
    <row r="362" spans="1:34" ht="46.5" thickTop="1" thickBot="1">
      <c r="A362" s="125" t="str">
        <f>INDEX('Выгр Торг'!$A:$A,MATCH($B362,'Выгр Торг'!$B:$B,0))</f>
        <v>Руль анатомический "Ferrum" Lite с обогревом для Лада Ларгус FL, Веста, XRAY</v>
      </c>
      <c r="B362" s="126">
        <v>341623</v>
      </c>
      <c r="C362" s="127">
        <f>VLOOKUP($B362,'Выгр Торг'!$B:$Q,C$1,0)</f>
        <v>341623</v>
      </c>
      <c r="D362" s="128" t="s">
        <v>124</v>
      </c>
      <c r="E362" s="125" t="str">
        <f>VLOOKUP($B362,'Выгр Торг'!$B:$Q,E$1,0)</f>
        <v>Руль анатомический "Ferrum" Lite с обогревом для Лада Ларгус FL, Веста, XRAY (Оранжевая нить, Чёрный мат)</v>
      </c>
      <c r="F362" s="127" t="str">
        <f>VLOOKUP($B362,'Выгр Торг'!$B:$Q,F$1,0)</f>
        <v>Y</v>
      </c>
      <c r="G362" s="127" t="str">
        <f>VLOOKUP($B362,'Выгр Торг'!$B:$Q,G$1,0)</f>
        <v>1</v>
      </c>
      <c r="H362" s="40">
        <v>166950</v>
      </c>
      <c r="I362" s="156"/>
      <c r="J362" s="160">
        <v>830</v>
      </c>
      <c r="K362" s="161">
        <v>870</v>
      </c>
      <c r="L362" s="130">
        <f t="shared" si="270"/>
        <v>46900</v>
      </c>
      <c r="M362" s="130">
        <f t="shared" si="266"/>
        <v>47900</v>
      </c>
      <c r="N362" s="130">
        <f t="shared" si="267"/>
        <v>40900</v>
      </c>
      <c r="O362" s="132">
        <f t="shared" si="271"/>
        <v>1.0213219616204692</v>
      </c>
      <c r="P362" s="132">
        <f t="shared" si="242"/>
        <v>1.1499999999999999</v>
      </c>
      <c r="Q362" s="130">
        <f t="shared" si="268"/>
        <v>57994.623655913965</v>
      </c>
      <c r="R362" s="148">
        <f t="shared" si="272"/>
        <v>57990</v>
      </c>
      <c r="S362" s="127">
        <f>VLOOKUP($B362,'Выгр Торг'!$B:$Q,S$1,0)</f>
        <v>46900</v>
      </c>
      <c r="T362" s="127">
        <f>VLOOKUP($B362,'Выгр Торг'!$B:$Q,T$1,0)</f>
        <v>57990</v>
      </c>
      <c r="U362" s="94">
        <f t="shared" si="243"/>
        <v>0</v>
      </c>
      <c r="V362" s="94">
        <f t="shared" si="244"/>
        <v>0</v>
      </c>
      <c r="W362" s="153">
        <f t="shared" si="273"/>
        <v>53930.7</v>
      </c>
      <c r="X362" s="209">
        <f>IFERROR(VLOOKUP($B362,'Из ГУГЛа'!$B:$G,6,0)*Z362+Y362,VLOOKUP($B362,'Из ГУГЛа'!$B:$G,6,0))</f>
        <v>52590</v>
      </c>
      <c r="Y362" s="220">
        <f t="shared" si="269"/>
        <v>10800</v>
      </c>
      <c r="Z362" s="133">
        <v>1</v>
      </c>
      <c r="AA362" s="133">
        <v>1300</v>
      </c>
      <c r="AB362" s="135">
        <f t="shared" si="274"/>
        <v>0.14990831556503181</v>
      </c>
      <c r="AC362" s="135">
        <f t="shared" si="275"/>
        <v>-2.5493439817455735E-2</v>
      </c>
      <c r="AD362" s="135">
        <f t="shared" si="276"/>
        <v>0.12132196162046904</v>
      </c>
      <c r="AE362" s="222">
        <v>52590</v>
      </c>
      <c r="AF362" s="98" t="s">
        <v>618</v>
      </c>
      <c r="AH362" s="98" t="s">
        <v>124</v>
      </c>
    </row>
    <row r="363" spans="1:34" ht="46.5" thickTop="1" thickBot="1">
      <c r="A363" s="125" t="str">
        <f>INDEX('Выгр Торг'!$A:$A,MATCH($B363,'Выгр Торг'!$B:$B,0))</f>
        <v>Руль анатомический "Ferrum" Lite с обогревом для Лада Ларгус FL, Веста, XRAY</v>
      </c>
      <c r="B363" s="126">
        <v>341624</v>
      </c>
      <c r="C363" s="127">
        <f>VLOOKUP($B363,'Выгр Торг'!$B:$Q,C$1,0)</f>
        <v>341624</v>
      </c>
      <c r="D363" s="128" t="s">
        <v>124</v>
      </c>
      <c r="E363" s="125" t="str">
        <f>VLOOKUP($B363,'Выгр Торг'!$B:$Q,E$1,0)</f>
        <v>Руль анатомический "Ferrum" Lite с обогревом для Лада Ларгус FL, Веста, XRAY (Салатовая нить, Чёрный мат)</v>
      </c>
      <c r="F363" s="127" t="str">
        <f>VLOOKUP($B363,'Выгр Торг'!$B:$Q,F$1,0)</f>
        <v>Y</v>
      </c>
      <c r="G363" s="127" t="str">
        <f>VLOOKUP($B363,'Выгр Торг'!$B:$Q,G$1,0)</f>
        <v>1</v>
      </c>
      <c r="H363" s="40">
        <v>166950</v>
      </c>
      <c r="I363" s="156"/>
      <c r="J363" s="160">
        <v>830</v>
      </c>
      <c r="K363" s="161">
        <v>870</v>
      </c>
      <c r="L363" s="130">
        <f t="shared" si="270"/>
        <v>46900</v>
      </c>
      <c r="M363" s="130">
        <f t="shared" si="266"/>
        <v>47900</v>
      </c>
      <c r="N363" s="130">
        <f t="shared" si="267"/>
        <v>40900</v>
      </c>
      <c r="O363" s="132">
        <f t="shared" si="271"/>
        <v>1.0213219616204692</v>
      </c>
      <c r="P363" s="132">
        <f t="shared" si="242"/>
        <v>1.1499999999999999</v>
      </c>
      <c r="Q363" s="130">
        <f t="shared" si="268"/>
        <v>57994.623655913965</v>
      </c>
      <c r="R363" s="148">
        <f t="shared" si="272"/>
        <v>57990</v>
      </c>
      <c r="S363" s="127">
        <f>VLOOKUP($B363,'Выгр Торг'!$B:$Q,S$1,0)</f>
        <v>46900</v>
      </c>
      <c r="T363" s="127">
        <f>VLOOKUP($B363,'Выгр Торг'!$B:$Q,T$1,0)</f>
        <v>57990</v>
      </c>
      <c r="U363" s="94">
        <f t="shared" si="243"/>
        <v>0</v>
      </c>
      <c r="V363" s="94">
        <f t="shared" si="244"/>
        <v>0</v>
      </c>
      <c r="W363" s="153">
        <f t="shared" si="273"/>
        <v>53930.7</v>
      </c>
      <c r="X363" s="209">
        <f>IFERROR(VLOOKUP($B363,'Из ГУГЛа'!$B:$G,6,0)*Z363+Y363,VLOOKUP($B363,'Из ГУГЛа'!$B:$G,6,0))</f>
        <v>52590</v>
      </c>
      <c r="Y363" s="220">
        <f t="shared" si="269"/>
        <v>10800</v>
      </c>
      <c r="Z363" s="133">
        <v>1</v>
      </c>
      <c r="AA363" s="133">
        <v>1300</v>
      </c>
      <c r="AB363" s="135">
        <f t="shared" si="274"/>
        <v>0.14990831556503181</v>
      </c>
      <c r="AC363" s="135">
        <f t="shared" si="275"/>
        <v>-2.5493439817455735E-2</v>
      </c>
      <c r="AD363" s="135">
        <f t="shared" si="276"/>
        <v>0.12132196162046904</v>
      </c>
      <c r="AE363" s="222">
        <v>52590</v>
      </c>
      <c r="AF363" s="98" t="s">
        <v>618</v>
      </c>
      <c r="AH363" s="98" t="s">
        <v>124</v>
      </c>
    </row>
    <row r="364" spans="1:34" ht="46.5" thickTop="1" thickBot="1">
      <c r="A364" s="125" t="str">
        <f>INDEX('Выгр Торг'!$A:$A,MATCH($B364,'Выгр Торг'!$B:$B,0))</f>
        <v>Руль анатомический "Ferrum" Lite с обогревом для Лада Ларгус FL, Веста, XRAY</v>
      </c>
      <c r="B364" s="126">
        <v>341627</v>
      </c>
      <c r="C364" s="127">
        <f>VLOOKUP($B364,'Выгр Торг'!$B:$Q,C$1,0)</f>
        <v>341627</v>
      </c>
      <c r="D364" s="128" t="s">
        <v>124</v>
      </c>
      <c r="E364" s="125" t="str">
        <f>VLOOKUP($B364,'Выгр Торг'!$B:$Q,E$1,0)</f>
        <v>Руль анатомический "Ferrum" Lite с обогревом для Лада Ларгус FL, Веста, XRAY (Светло-серая нить, Чёрный мат)</v>
      </c>
      <c r="F364" s="127" t="str">
        <f>VLOOKUP($B364,'Выгр Торг'!$B:$Q,F$1,0)</f>
        <v>Y</v>
      </c>
      <c r="G364" s="127" t="str">
        <f>VLOOKUP($B364,'Выгр Торг'!$B:$Q,G$1,0)</f>
        <v>1</v>
      </c>
      <c r="H364" s="40">
        <v>166950</v>
      </c>
      <c r="I364" s="156"/>
      <c r="J364" s="160">
        <v>830</v>
      </c>
      <c r="K364" s="161">
        <v>870</v>
      </c>
      <c r="L364" s="130">
        <f t="shared" si="270"/>
        <v>46900</v>
      </c>
      <c r="M364" s="130">
        <f t="shared" si="266"/>
        <v>47900</v>
      </c>
      <c r="N364" s="130">
        <f t="shared" si="267"/>
        <v>40900</v>
      </c>
      <c r="O364" s="132">
        <f t="shared" si="271"/>
        <v>1.0213219616204692</v>
      </c>
      <c r="P364" s="132">
        <f t="shared" si="242"/>
        <v>1.1499999999999999</v>
      </c>
      <c r="Q364" s="130">
        <f t="shared" si="268"/>
        <v>57994.623655913965</v>
      </c>
      <c r="R364" s="148">
        <f t="shared" si="272"/>
        <v>57990</v>
      </c>
      <c r="S364" s="127">
        <f>VLOOKUP($B364,'Выгр Торг'!$B:$Q,S$1,0)</f>
        <v>46900</v>
      </c>
      <c r="T364" s="127">
        <f>VLOOKUP($B364,'Выгр Торг'!$B:$Q,T$1,0)</f>
        <v>57990</v>
      </c>
      <c r="U364" s="94">
        <f t="shared" si="243"/>
        <v>0</v>
      </c>
      <c r="V364" s="94">
        <f t="shared" si="244"/>
        <v>0</v>
      </c>
      <c r="W364" s="153">
        <f t="shared" si="273"/>
        <v>53930.7</v>
      </c>
      <c r="X364" s="209">
        <f>IFERROR(VLOOKUP($B364,'Из ГУГЛа'!$B:$G,6,0)*Z364+Y364,VLOOKUP($B364,'Из ГУГЛа'!$B:$G,6,0))</f>
        <v>52590</v>
      </c>
      <c r="Y364" s="220">
        <f t="shared" si="269"/>
        <v>10800</v>
      </c>
      <c r="Z364" s="133">
        <v>1</v>
      </c>
      <c r="AA364" s="133">
        <v>1300</v>
      </c>
      <c r="AB364" s="135">
        <f t="shared" si="274"/>
        <v>0.14990831556503181</v>
      </c>
      <c r="AC364" s="135">
        <f t="shared" si="275"/>
        <v>-2.5493439817455735E-2</v>
      </c>
      <c r="AD364" s="135">
        <f t="shared" si="276"/>
        <v>0.12132196162046904</v>
      </c>
      <c r="AE364" s="222">
        <v>52590</v>
      </c>
      <c r="AF364" s="98" t="s">
        <v>618</v>
      </c>
      <c r="AH364" s="98" t="s">
        <v>124</v>
      </c>
    </row>
    <row r="365" spans="1:34" ht="46.5" thickTop="1" thickBot="1">
      <c r="A365" s="125" t="str">
        <f>INDEX('Выгр Торг'!$A:$A,MATCH($B365,'Выгр Торг'!$B:$B,0))</f>
        <v>Руль анатомический "Ferrum" Lite с обогревом для Лада Ларгус FL, Веста, XRAY</v>
      </c>
      <c r="B365" s="126">
        <v>341625</v>
      </c>
      <c r="C365" s="127">
        <f>VLOOKUP($B365,'Выгр Торг'!$B:$Q,C$1,0)</f>
        <v>341625</v>
      </c>
      <c r="D365" s="128" t="s">
        <v>124</v>
      </c>
      <c r="E365" s="125" t="str">
        <f>VLOOKUP($B365,'Выгр Торг'!$B:$Q,E$1,0)</f>
        <v>Руль анатомический "Ferrum" Lite с обогревом для Лада Ларгус FL, Веста, XRAY (Сине-зелёная нить, Чёрный мат)</v>
      </c>
      <c r="F365" s="127" t="str">
        <f>VLOOKUP($B365,'Выгр Торг'!$B:$Q,F$1,0)</f>
        <v>Y</v>
      </c>
      <c r="G365" s="127" t="str">
        <f>VLOOKUP($B365,'Выгр Торг'!$B:$Q,G$1,0)</f>
        <v>1</v>
      </c>
      <c r="H365" s="40">
        <v>166950</v>
      </c>
      <c r="I365" s="156"/>
      <c r="J365" s="160">
        <v>830</v>
      </c>
      <c r="K365" s="161">
        <v>870</v>
      </c>
      <c r="L365" s="130">
        <f t="shared" si="270"/>
        <v>46900</v>
      </c>
      <c r="M365" s="130">
        <f t="shared" si="266"/>
        <v>47900</v>
      </c>
      <c r="N365" s="130">
        <f t="shared" si="267"/>
        <v>40900</v>
      </c>
      <c r="O365" s="132">
        <f t="shared" si="271"/>
        <v>1.0213219616204692</v>
      </c>
      <c r="P365" s="132">
        <f t="shared" si="242"/>
        <v>1.1499999999999999</v>
      </c>
      <c r="Q365" s="130">
        <f t="shared" si="268"/>
        <v>57994.623655913965</v>
      </c>
      <c r="R365" s="148">
        <f t="shared" si="272"/>
        <v>57990</v>
      </c>
      <c r="S365" s="127">
        <f>VLOOKUP($B365,'Выгр Торг'!$B:$Q,S$1,0)</f>
        <v>46900</v>
      </c>
      <c r="T365" s="127">
        <f>VLOOKUP($B365,'Выгр Торг'!$B:$Q,T$1,0)</f>
        <v>57990</v>
      </c>
      <c r="U365" s="94">
        <f t="shared" si="243"/>
        <v>0</v>
      </c>
      <c r="V365" s="94">
        <f t="shared" si="244"/>
        <v>0</v>
      </c>
      <c r="W365" s="153">
        <f t="shared" si="273"/>
        <v>53930.7</v>
      </c>
      <c r="X365" s="209">
        <f>IFERROR(VLOOKUP($B365,'Из ГУГЛа'!$B:$G,6,0)*Z365+Y365,VLOOKUP($B365,'Из ГУГЛа'!$B:$G,6,0))</f>
        <v>52590</v>
      </c>
      <c r="Y365" s="220">
        <f t="shared" si="269"/>
        <v>10800</v>
      </c>
      <c r="Z365" s="133">
        <v>1</v>
      </c>
      <c r="AA365" s="133">
        <v>1300</v>
      </c>
      <c r="AB365" s="135">
        <f t="shared" si="274"/>
        <v>0.14990831556503181</v>
      </c>
      <c r="AC365" s="135">
        <f t="shared" si="275"/>
        <v>-2.5493439817455735E-2</v>
      </c>
      <c r="AD365" s="135">
        <f t="shared" si="276"/>
        <v>0.12132196162046904</v>
      </c>
      <c r="AE365" s="222">
        <v>52590</v>
      </c>
      <c r="AF365" s="98" t="s">
        <v>618</v>
      </c>
      <c r="AH365" s="98" t="s">
        <v>124</v>
      </c>
    </row>
    <row r="366" spans="1:34" ht="46.5" thickTop="1" thickBot="1">
      <c r="A366" s="125" t="str">
        <f>INDEX('Выгр Торг'!$A:$A,MATCH($B366,'Выгр Торг'!$B:$B,0))</f>
        <v>Руль анатомический "Ferrum" Lite с обогревом для Лада Ларгус FL, Веста, XRAY</v>
      </c>
      <c r="B366" s="126">
        <v>341626</v>
      </c>
      <c r="C366" s="127">
        <f>VLOOKUP($B366,'Выгр Торг'!$B:$Q,C$1,0)</f>
        <v>341626</v>
      </c>
      <c r="D366" s="128" t="s">
        <v>124</v>
      </c>
      <c r="E366" s="125" t="str">
        <f>VLOOKUP($B366,'Выгр Торг'!$B:$Q,E$1,0)</f>
        <v>Руль анатомический "Ferrum" Lite с обогревом для Лада Ларгус FL, Веста, XRAY (Синяя нить, Чёрный мат)</v>
      </c>
      <c r="F366" s="127" t="str">
        <f>VLOOKUP($B366,'Выгр Торг'!$B:$Q,F$1,0)</f>
        <v>Y</v>
      </c>
      <c r="G366" s="127" t="str">
        <f>VLOOKUP($B366,'Выгр Торг'!$B:$Q,G$1,0)</f>
        <v>1</v>
      </c>
      <c r="H366" s="40">
        <v>166950</v>
      </c>
      <c r="I366" s="156"/>
      <c r="J366" s="160">
        <v>830</v>
      </c>
      <c r="K366" s="161">
        <v>870</v>
      </c>
      <c r="L366" s="130">
        <f t="shared" si="270"/>
        <v>46900</v>
      </c>
      <c r="M366" s="130">
        <f t="shared" si="266"/>
        <v>47900</v>
      </c>
      <c r="N366" s="130">
        <f t="shared" si="267"/>
        <v>40900</v>
      </c>
      <c r="O366" s="132">
        <f t="shared" si="271"/>
        <v>1.0213219616204692</v>
      </c>
      <c r="P366" s="132">
        <f t="shared" si="242"/>
        <v>1.1499999999999999</v>
      </c>
      <c r="Q366" s="130">
        <f t="shared" si="268"/>
        <v>57994.623655913965</v>
      </c>
      <c r="R366" s="148">
        <f t="shared" si="272"/>
        <v>57990</v>
      </c>
      <c r="S366" s="127">
        <f>VLOOKUP($B366,'Выгр Торг'!$B:$Q,S$1,0)</f>
        <v>46900</v>
      </c>
      <c r="T366" s="127">
        <f>VLOOKUP($B366,'Выгр Торг'!$B:$Q,T$1,0)</f>
        <v>57990</v>
      </c>
      <c r="U366" s="94">
        <f t="shared" si="243"/>
        <v>0</v>
      </c>
      <c r="V366" s="94">
        <f t="shared" si="244"/>
        <v>0</v>
      </c>
      <c r="W366" s="153">
        <f t="shared" si="273"/>
        <v>53930.7</v>
      </c>
      <c r="X366" s="209">
        <f>IFERROR(VLOOKUP($B366,'Из ГУГЛа'!$B:$G,6,0)*Z366+Y366,VLOOKUP($B366,'Из ГУГЛа'!$B:$G,6,0))</f>
        <v>52590</v>
      </c>
      <c r="Y366" s="220">
        <f t="shared" si="269"/>
        <v>10800</v>
      </c>
      <c r="Z366" s="133">
        <v>1</v>
      </c>
      <c r="AA366" s="133">
        <v>1300</v>
      </c>
      <c r="AB366" s="135">
        <f t="shared" si="274"/>
        <v>0.14990831556503181</v>
      </c>
      <c r="AC366" s="135">
        <f t="shared" si="275"/>
        <v>-2.5493439817455735E-2</v>
      </c>
      <c r="AD366" s="135">
        <f t="shared" si="276"/>
        <v>0.12132196162046904</v>
      </c>
      <c r="AE366" s="222">
        <v>52590</v>
      </c>
      <c r="AF366" s="98" t="s">
        <v>618</v>
      </c>
      <c r="AH366" s="98" t="s">
        <v>124</v>
      </c>
    </row>
    <row r="367" spans="1:34" ht="46.5" thickTop="1" thickBot="1">
      <c r="A367" s="125" t="str">
        <f>INDEX('Выгр Торг'!$A:$A,MATCH($B367,'Выгр Торг'!$B:$B,0))</f>
        <v>Руль анатомический "Ferrum" Lite с обогревом для Лада Ларгус FL, Веста, XRAY</v>
      </c>
      <c r="B367" s="126">
        <v>341628</v>
      </c>
      <c r="C367" s="127">
        <f>VLOOKUP($B367,'Выгр Торг'!$B:$Q,C$1,0)</f>
        <v>341628</v>
      </c>
      <c r="D367" s="128" t="s">
        <v>124</v>
      </c>
      <c r="E367" s="125" t="str">
        <f>VLOOKUP($B367,'Выгр Торг'!$B:$Q,E$1,0)</f>
        <v>Руль анатомический "Ferrum" Lite с обогревом для Лада Ларгус FL, Веста, XRAY (Тёмно-серая нить, Чёрный мат)</v>
      </c>
      <c r="F367" s="127" t="str">
        <f>VLOOKUP($B367,'Выгр Торг'!$B:$Q,F$1,0)</f>
        <v>Y</v>
      </c>
      <c r="G367" s="127" t="str">
        <f>VLOOKUP($B367,'Выгр Торг'!$B:$Q,G$1,0)</f>
        <v>1</v>
      </c>
      <c r="H367" s="40">
        <v>166950</v>
      </c>
      <c r="I367" s="156"/>
      <c r="J367" s="160">
        <v>830</v>
      </c>
      <c r="K367" s="161">
        <v>870</v>
      </c>
      <c r="L367" s="130">
        <f t="shared" si="270"/>
        <v>46900</v>
      </c>
      <c r="M367" s="130">
        <f t="shared" si="266"/>
        <v>47900</v>
      </c>
      <c r="N367" s="130">
        <f t="shared" si="267"/>
        <v>40900</v>
      </c>
      <c r="O367" s="132">
        <f t="shared" si="271"/>
        <v>1.0213219616204692</v>
      </c>
      <c r="P367" s="132">
        <f t="shared" si="242"/>
        <v>1.1499999999999999</v>
      </c>
      <c r="Q367" s="130">
        <f t="shared" si="268"/>
        <v>57994.623655913965</v>
      </c>
      <c r="R367" s="148">
        <f t="shared" si="272"/>
        <v>57990</v>
      </c>
      <c r="S367" s="127">
        <f>VLOOKUP($B367,'Выгр Торг'!$B:$Q,S$1,0)</f>
        <v>46900</v>
      </c>
      <c r="T367" s="127">
        <f>VLOOKUP($B367,'Выгр Торг'!$B:$Q,T$1,0)</f>
        <v>57990</v>
      </c>
      <c r="U367" s="94">
        <f t="shared" si="243"/>
        <v>0</v>
      </c>
      <c r="V367" s="94">
        <f t="shared" si="244"/>
        <v>0</v>
      </c>
      <c r="W367" s="153">
        <f t="shared" si="273"/>
        <v>53930.7</v>
      </c>
      <c r="X367" s="209">
        <f>IFERROR(VLOOKUP($B367,'Из ГУГЛа'!$B:$G,6,0)*Z367+Y367,VLOOKUP($B367,'Из ГУГЛа'!$B:$G,6,0))</f>
        <v>52590</v>
      </c>
      <c r="Y367" s="220">
        <f t="shared" si="269"/>
        <v>10800</v>
      </c>
      <c r="Z367" s="133">
        <v>1</v>
      </c>
      <c r="AA367" s="133">
        <v>1300</v>
      </c>
      <c r="AB367" s="135">
        <f t="shared" si="274"/>
        <v>0.14990831556503181</v>
      </c>
      <c r="AC367" s="135">
        <f t="shared" si="275"/>
        <v>-2.5493439817455735E-2</v>
      </c>
      <c r="AD367" s="135">
        <f t="shared" si="276"/>
        <v>0.12132196162046904</v>
      </c>
      <c r="AE367" s="222">
        <v>52590</v>
      </c>
      <c r="AF367" s="98" t="s">
        <v>618</v>
      </c>
      <c r="AH367" s="98" t="s">
        <v>124</v>
      </c>
    </row>
    <row r="368" spans="1:34" ht="46.5" thickTop="1" thickBot="1">
      <c r="A368" s="125" t="str">
        <f>INDEX('Выгр Торг'!$A:$A,MATCH($B368,'Выгр Торг'!$B:$B,0))</f>
        <v>Руль анатомический "Ferrum" Lite с обогревом для Лада Ларгус FL, Веста, XRAY</v>
      </c>
      <c r="B368" s="126">
        <v>341620</v>
      </c>
      <c r="C368" s="127">
        <f>VLOOKUP($B368,'Выгр Торг'!$B:$Q,C$1,0)</f>
        <v>341620</v>
      </c>
      <c r="D368" s="128" t="s">
        <v>124</v>
      </c>
      <c r="E368" s="125" t="str">
        <f>VLOOKUP($B368,'Выгр Торг'!$B:$Q,E$1,0)</f>
        <v>Руль анатомический "Ferrum" Lite с обогревом для Лада Ларгус FL, Веста, XRAY (Фиолетовая нить, Чёрный мат)</v>
      </c>
      <c r="F368" s="127" t="str">
        <f>VLOOKUP($B368,'Выгр Торг'!$B:$Q,F$1,0)</f>
        <v>Y</v>
      </c>
      <c r="G368" s="127" t="str">
        <f>VLOOKUP($B368,'Выгр Торг'!$B:$Q,G$1,0)</f>
        <v>1</v>
      </c>
      <c r="H368" s="40">
        <v>166950</v>
      </c>
      <c r="I368" s="156"/>
      <c r="J368" s="160">
        <v>830</v>
      </c>
      <c r="K368" s="161">
        <v>870</v>
      </c>
      <c r="L368" s="130">
        <f t="shared" si="270"/>
        <v>46900</v>
      </c>
      <c r="M368" s="130">
        <f t="shared" si="266"/>
        <v>47900</v>
      </c>
      <c r="N368" s="130">
        <f t="shared" si="267"/>
        <v>40900</v>
      </c>
      <c r="O368" s="132">
        <f t="shared" si="271"/>
        <v>1.0213219616204692</v>
      </c>
      <c r="P368" s="132">
        <f t="shared" si="242"/>
        <v>1.1499999999999999</v>
      </c>
      <c r="Q368" s="130">
        <f t="shared" si="268"/>
        <v>57994.623655913965</v>
      </c>
      <c r="R368" s="148">
        <f t="shared" si="272"/>
        <v>57990</v>
      </c>
      <c r="S368" s="127">
        <f>VLOOKUP($B368,'Выгр Торг'!$B:$Q,S$1,0)</f>
        <v>46900</v>
      </c>
      <c r="T368" s="127">
        <f>VLOOKUP($B368,'Выгр Торг'!$B:$Q,T$1,0)</f>
        <v>57990</v>
      </c>
      <c r="U368" s="94">
        <f t="shared" si="243"/>
        <v>0</v>
      </c>
      <c r="V368" s="94">
        <f t="shared" si="244"/>
        <v>0</v>
      </c>
      <c r="W368" s="153">
        <f t="shared" si="273"/>
        <v>53930.7</v>
      </c>
      <c r="X368" s="209">
        <f>IFERROR(VLOOKUP($B368,'Из ГУГЛа'!$B:$G,6,0)*Z368+Y368,VLOOKUP($B368,'Из ГУГЛа'!$B:$G,6,0))</f>
        <v>52590</v>
      </c>
      <c r="Y368" s="220">
        <f t="shared" si="269"/>
        <v>10800</v>
      </c>
      <c r="Z368" s="133">
        <v>1</v>
      </c>
      <c r="AA368" s="133">
        <v>1300</v>
      </c>
      <c r="AB368" s="135">
        <f t="shared" si="274"/>
        <v>0.14990831556503181</v>
      </c>
      <c r="AC368" s="135">
        <f t="shared" si="275"/>
        <v>-2.5493439817455735E-2</v>
      </c>
      <c r="AD368" s="135">
        <f t="shared" si="276"/>
        <v>0.12132196162046904</v>
      </c>
      <c r="AE368" s="222">
        <v>52590</v>
      </c>
      <c r="AF368" s="98" t="s">
        <v>618</v>
      </c>
      <c r="AH368" s="98" t="s">
        <v>124</v>
      </c>
    </row>
    <row r="369" spans="1:34" ht="46.5" thickTop="1" thickBot="1">
      <c r="A369" s="125" t="str">
        <f>INDEX('Выгр Торг'!$A:$A,MATCH($B369,'Выгр Торг'!$B:$B,0))</f>
        <v>Руль анатомический "Ferrum" Lite с обогревом для Лада Ларгус FL, Веста, XRAY</v>
      </c>
      <c r="B369" s="126">
        <v>132674</v>
      </c>
      <c r="C369" s="127">
        <f>VLOOKUP($B369,'Выгр Торг'!$B:$Q,C$1,0)</f>
        <v>166958</v>
      </c>
      <c r="D369" s="128" t="s">
        <v>124</v>
      </c>
      <c r="E369" s="125" t="str">
        <f>VLOOKUP($B369,'Выгр Торг'!$B:$Q,E$1,0)</f>
        <v>Руль анатомический "Ferrum" Lite с обогревом для Лада Ларгус FL, Веста, XRAY (Жёлтая нить, Чёрный глянец)</v>
      </c>
      <c r="F369" s="127" t="str">
        <f>VLOOKUP($B369,'Выгр Торг'!$B:$Q,F$1,0)</f>
        <v>Y</v>
      </c>
      <c r="G369" s="127" t="str">
        <f>VLOOKUP($B369,'Выгр Торг'!$B:$Q,G$1,0)</f>
        <v>1</v>
      </c>
      <c r="H369" s="40">
        <v>166950</v>
      </c>
      <c r="I369" s="156"/>
      <c r="J369" s="160"/>
      <c r="K369" s="161">
        <v>870</v>
      </c>
      <c r="L369" s="130">
        <f t="shared" si="270"/>
        <v>46070</v>
      </c>
      <c r="M369" s="130">
        <f t="shared" si="266"/>
        <v>47070</v>
      </c>
      <c r="N369" s="130">
        <f t="shared" si="267"/>
        <v>40070</v>
      </c>
      <c r="O369" s="132">
        <f t="shared" si="271"/>
        <v>1.0217060994139353</v>
      </c>
      <c r="P369" s="132">
        <f t="shared" si="242"/>
        <v>1.1499999999999999</v>
      </c>
      <c r="Q369" s="130">
        <f t="shared" si="268"/>
        <v>56968.27956989246</v>
      </c>
      <c r="R369" s="148">
        <f t="shared" si="272"/>
        <v>56990</v>
      </c>
      <c r="S369" s="127">
        <f>VLOOKUP($B369,'Выгр Торг'!$B:$Q,S$1,0)</f>
        <v>46070</v>
      </c>
      <c r="T369" s="127">
        <f>VLOOKUP($B369,'Выгр Торг'!$B:$Q,T$1,0)</f>
        <v>56990</v>
      </c>
      <c r="U369" s="94">
        <f t="shared" si="243"/>
        <v>0</v>
      </c>
      <c r="V369" s="94">
        <f t="shared" si="244"/>
        <v>0</v>
      </c>
      <c r="W369" s="153">
        <f t="shared" si="273"/>
        <v>53000.7</v>
      </c>
      <c r="X369" s="209">
        <f>IFERROR(VLOOKUP($B369,'Из ГУГЛа'!$B:$G,6,0)*Z369+Y369,VLOOKUP($B369,'Из ГУГЛа'!$B:$G,6,0))</f>
        <v>51760</v>
      </c>
      <c r="Y369" s="220">
        <f t="shared" si="269"/>
        <v>9970</v>
      </c>
      <c r="Z369" s="133">
        <v>1</v>
      </c>
      <c r="AA369" s="134"/>
      <c r="AB369" s="135">
        <f t="shared" si="274"/>
        <v>0.15043846320816145</v>
      </c>
      <c r="AC369" s="135">
        <f t="shared" si="275"/>
        <v>-2.3970247295208601E-2</v>
      </c>
      <c r="AD369" s="135">
        <f t="shared" si="276"/>
        <v>0.12350770566529201</v>
      </c>
      <c r="AE369" s="222">
        <v>51760</v>
      </c>
      <c r="AF369" s="98" t="s">
        <v>618</v>
      </c>
      <c r="AH369" s="98" t="s">
        <v>124</v>
      </c>
    </row>
    <row r="370" spans="1:34" ht="46.5" thickTop="1" thickBot="1">
      <c r="A370" s="125" t="str">
        <f>INDEX('Выгр Торг'!$A:$A,MATCH($B370,'Выгр Торг'!$B:$B,0))</f>
        <v>Руль анатомический "Ferrum" Lite с обогревом для Лада Ларгус FL, Веста, XRAY</v>
      </c>
      <c r="B370" s="126">
        <v>132675</v>
      </c>
      <c r="C370" s="127">
        <f>VLOOKUP($B370,'Выгр Торг'!$B:$Q,C$1,0)</f>
        <v>166962</v>
      </c>
      <c r="D370" s="128" t="s">
        <v>124</v>
      </c>
      <c r="E370" s="125" t="str">
        <f>VLOOKUP($B370,'Выгр Торг'!$B:$Q,E$1,0)</f>
        <v>Руль анатомический "Ferrum" Lite с обогревом для Лада Ларгус FL, Веста, XRAY (Зелёная нить, Чёрный глянец)</v>
      </c>
      <c r="F370" s="127" t="str">
        <f>VLOOKUP($B370,'Выгр Торг'!$B:$Q,F$1,0)</f>
        <v>Y</v>
      </c>
      <c r="G370" s="127" t="str">
        <f>VLOOKUP($B370,'Выгр Торг'!$B:$Q,G$1,0)</f>
        <v>1</v>
      </c>
      <c r="H370" s="40">
        <v>166950</v>
      </c>
      <c r="I370" s="156"/>
      <c r="J370" s="160"/>
      <c r="K370" s="161">
        <v>870</v>
      </c>
      <c r="L370" s="130">
        <f t="shared" si="241"/>
        <v>46070</v>
      </c>
      <c r="M370" s="130">
        <f t="shared" si="266"/>
        <v>47070</v>
      </c>
      <c r="N370" s="130">
        <f t="shared" si="267"/>
        <v>40070</v>
      </c>
      <c r="O370" s="132">
        <f t="shared" si="263"/>
        <v>1.0217060994139353</v>
      </c>
      <c r="P370" s="132">
        <f t="shared" si="242"/>
        <v>1.1499999999999999</v>
      </c>
      <c r="Q370" s="130">
        <f t="shared" si="268"/>
        <v>56968.27956989246</v>
      </c>
      <c r="R370" s="148">
        <f t="shared" si="265"/>
        <v>56990</v>
      </c>
      <c r="S370" s="127">
        <f>VLOOKUP($B370,'Выгр Торг'!$B:$Q,S$1,0)</f>
        <v>46070</v>
      </c>
      <c r="T370" s="127">
        <f>VLOOKUP($B370,'Выгр Торг'!$B:$Q,T$1,0)</f>
        <v>56990</v>
      </c>
      <c r="U370" s="94">
        <f t="shared" si="243"/>
        <v>0</v>
      </c>
      <c r="V370" s="94">
        <f t="shared" si="244"/>
        <v>0</v>
      </c>
      <c r="W370" s="153">
        <f t="shared" si="255"/>
        <v>53000.7</v>
      </c>
      <c r="X370" s="209">
        <f>IFERROR(VLOOKUP($B370,'Из ГУГЛа'!$B:$G,6,0)*Z370+Y370,VLOOKUP($B370,'Из ГУГЛа'!$B:$G,6,0))</f>
        <v>51760</v>
      </c>
      <c r="Y370" s="220">
        <f t="shared" si="269"/>
        <v>9970</v>
      </c>
      <c r="Z370" s="133">
        <v>1</v>
      </c>
      <c r="AA370" s="134"/>
      <c r="AB370" s="135">
        <f t="shared" si="245"/>
        <v>0.15043846320816145</v>
      </c>
      <c r="AC370" s="135">
        <f t="shared" si="246"/>
        <v>-2.3970247295208601E-2</v>
      </c>
      <c r="AD370" s="135">
        <f t="shared" si="247"/>
        <v>0.12350770566529201</v>
      </c>
      <c r="AE370" s="222">
        <v>51760</v>
      </c>
      <c r="AF370" s="98" t="s">
        <v>618</v>
      </c>
      <c r="AH370" s="98" t="s">
        <v>124</v>
      </c>
    </row>
    <row r="371" spans="1:34" ht="46.5" thickTop="1" thickBot="1">
      <c r="A371" s="125" t="str">
        <f>INDEX('Выгр Торг'!$A:$A,MATCH($B371,'Выгр Торг'!$B:$B,0))</f>
        <v>Руль анатомический "Ferrum" Lite с обогревом для Лада Ларгус FL, Веста, XRAY</v>
      </c>
      <c r="B371" s="126">
        <v>132676</v>
      </c>
      <c r="C371" s="127">
        <f>VLOOKUP($B371,'Выгр Торг'!$B:$Q,C$1,0)</f>
        <v>166953</v>
      </c>
      <c r="D371" s="128" t="s">
        <v>124</v>
      </c>
      <c r="E371" s="125" t="str">
        <f>VLOOKUP($B371,'Выгр Торг'!$B:$Q,E$1,0)</f>
        <v>Руль анатомический "Ferrum" Lite с обогревом для Лада Ларгус FL, Веста, XRAY (Коричневая нить, Чёрный глянец)</v>
      </c>
      <c r="F371" s="127" t="str">
        <f>VLOOKUP($B371,'Выгр Торг'!$B:$Q,F$1,0)</f>
        <v>Y</v>
      </c>
      <c r="G371" s="127" t="str">
        <f>VLOOKUP($B371,'Выгр Торг'!$B:$Q,G$1,0)</f>
        <v>1</v>
      </c>
      <c r="H371" s="40">
        <v>166950</v>
      </c>
      <c r="I371" s="156"/>
      <c r="J371" s="160"/>
      <c r="K371" s="161">
        <v>870</v>
      </c>
      <c r="L371" s="130">
        <f t="shared" si="241"/>
        <v>46070</v>
      </c>
      <c r="M371" s="130">
        <f t="shared" si="266"/>
        <v>47070</v>
      </c>
      <c r="N371" s="130">
        <f t="shared" si="267"/>
        <v>40070</v>
      </c>
      <c r="O371" s="132">
        <f t="shared" si="263"/>
        <v>1.0217060994139353</v>
      </c>
      <c r="P371" s="132">
        <f t="shared" si="242"/>
        <v>1.1499999999999999</v>
      </c>
      <c r="Q371" s="130">
        <f t="shared" si="268"/>
        <v>56968.27956989246</v>
      </c>
      <c r="R371" s="148">
        <f t="shared" si="265"/>
        <v>56990</v>
      </c>
      <c r="S371" s="127">
        <f>VLOOKUP($B371,'Выгр Торг'!$B:$Q,S$1,0)</f>
        <v>46070</v>
      </c>
      <c r="T371" s="127">
        <f>VLOOKUP($B371,'Выгр Торг'!$B:$Q,T$1,0)</f>
        <v>56990</v>
      </c>
      <c r="U371" s="94">
        <f t="shared" si="243"/>
        <v>0</v>
      </c>
      <c r="V371" s="94">
        <f t="shared" si="244"/>
        <v>0</v>
      </c>
      <c r="W371" s="153">
        <f t="shared" si="255"/>
        <v>53000.7</v>
      </c>
      <c r="X371" s="209">
        <f>IFERROR(VLOOKUP($B371,'Из ГУГЛа'!$B:$G,6,0)*Z371+Y371,VLOOKUP($B371,'Из ГУГЛа'!$B:$G,6,0))</f>
        <v>51760</v>
      </c>
      <c r="Y371" s="220">
        <f t="shared" si="269"/>
        <v>9970</v>
      </c>
      <c r="Z371" s="133">
        <v>1</v>
      </c>
      <c r="AA371" s="134"/>
      <c r="AB371" s="135">
        <f t="shared" si="245"/>
        <v>0.15043846320816145</v>
      </c>
      <c r="AC371" s="135">
        <f t="shared" si="246"/>
        <v>-2.3970247295208601E-2</v>
      </c>
      <c r="AD371" s="135">
        <f t="shared" si="247"/>
        <v>0.12350770566529201</v>
      </c>
      <c r="AE371" s="222">
        <v>51760</v>
      </c>
      <c r="AF371" s="98" t="s">
        <v>618</v>
      </c>
      <c r="AH371" s="98" t="s">
        <v>124</v>
      </c>
    </row>
    <row r="372" spans="1:34" ht="46.5" thickTop="1" thickBot="1">
      <c r="A372" s="125" t="str">
        <f>INDEX('Выгр Торг'!$A:$A,MATCH($B372,'Выгр Торг'!$B:$B,0))</f>
        <v>Руль анатомический "Ferrum" Lite с обогревом для Лада Ларгус FL, Веста, XRAY</v>
      </c>
      <c r="B372" s="126">
        <v>132677</v>
      </c>
      <c r="C372" s="127">
        <f>VLOOKUP($B372,'Выгр Торг'!$B:$Q,C$1,0)</f>
        <v>166961</v>
      </c>
      <c r="D372" s="128" t="s">
        <v>124</v>
      </c>
      <c r="E372" s="125" t="str">
        <f>VLOOKUP($B372,'Выгр Торг'!$B:$Q,E$1,0)</f>
        <v>Руль анатомический "Ferrum" Lite с обогревом для Лада Ларгус FL, Веста, XRAY (Красная нить, Чёрный глянец)</v>
      </c>
      <c r="F372" s="127" t="str">
        <f>VLOOKUP($B372,'Выгр Торг'!$B:$Q,F$1,0)</f>
        <v>Y</v>
      </c>
      <c r="G372" s="127" t="str">
        <f>VLOOKUP($B372,'Выгр Торг'!$B:$Q,G$1,0)</f>
        <v>1</v>
      </c>
      <c r="H372" s="40">
        <v>166950</v>
      </c>
      <c r="I372" s="156"/>
      <c r="J372" s="160"/>
      <c r="K372" s="161">
        <v>870</v>
      </c>
      <c r="L372" s="130">
        <f t="shared" si="241"/>
        <v>46070</v>
      </c>
      <c r="M372" s="130">
        <f t="shared" si="266"/>
        <v>47070</v>
      </c>
      <c r="N372" s="130">
        <f t="shared" si="267"/>
        <v>40070</v>
      </c>
      <c r="O372" s="132">
        <f t="shared" si="263"/>
        <v>1.0217060994139353</v>
      </c>
      <c r="P372" s="132">
        <f t="shared" si="242"/>
        <v>1.1499999999999999</v>
      </c>
      <c r="Q372" s="130">
        <f t="shared" si="268"/>
        <v>56968.27956989246</v>
      </c>
      <c r="R372" s="148">
        <f t="shared" si="265"/>
        <v>56990</v>
      </c>
      <c r="S372" s="127">
        <f>VLOOKUP($B372,'Выгр Торг'!$B:$Q,S$1,0)</f>
        <v>46070</v>
      </c>
      <c r="T372" s="127">
        <f>VLOOKUP($B372,'Выгр Торг'!$B:$Q,T$1,0)</f>
        <v>56990</v>
      </c>
      <c r="U372" s="94">
        <f t="shared" si="243"/>
        <v>0</v>
      </c>
      <c r="V372" s="94">
        <f t="shared" si="244"/>
        <v>0</v>
      </c>
      <c r="W372" s="153">
        <f t="shared" si="255"/>
        <v>53000.7</v>
      </c>
      <c r="X372" s="209">
        <f>IFERROR(VLOOKUP($B372,'Из ГУГЛа'!$B:$G,6,0)*Z372+Y372,VLOOKUP($B372,'Из ГУГЛа'!$B:$G,6,0))</f>
        <v>51760</v>
      </c>
      <c r="Y372" s="220">
        <f t="shared" si="269"/>
        <v>9970</v>
      </c>
      <c r="Z372" s="133">
        <v>1</v>
      </c>
      <c r="AA372" s="134"/>
      <c r="AB372" s="135">
        <f t="shared" si="245"/>
        <v>0.15043846320816145</v>
      </c>
      <c r="AC372" s="135">
        <f t="shared" si="246"/>
        <v>-2.3970247295208601E-2</v>
      </c>
      <c r="AD372" s="135">
        <f t="shared" si="247"/>
        <v>0.12350770566529201</v>
      </c>
      <c r="AE372" s="222">
        <v>51760</v>
      </c>
      <c r="AF372" s="98" t="s">
        <v>618</v>
      </c>
      <c r="AH372" s="98" t="s">
        <v>124</v>
      </c>
    </row>
    <row r="373" spans="1:34" ht="46.5" thickTop="1" thickBot="1">
      <c r="A373" s="125" t="str">
        <f>INDEX('Выгр Торг'!$A:$A,MATCH($B373,'Выгр Торг'!$B:$B,0))</f>
        <v>Руль анатомический "Ferrum" Lite с обогревом для Лада Ларгус FL, Веста, XRAY</v>
      </c>
      <c r="B373" s="126">
        <v>132678</v>
      </c>
      <c r="C373" s="127">
        <f>VLOOKUP($B373,'Выгр Торг'!$B:$Q,C$1,0)</f>
        <v>166957</v>
      </c>
      <c r="D373" s="128" t="s">
        <v>124</v>
      </c>
      <c r="E373" s="125" t="str">
        <f>VLOOKUP($B373,'Выгр Торг'!$B:$Q,E$1,0)</f>
        <v>Руль анатомический "Ferrum" Lite с обогревом для Лада Ларгус FL, Веста, XRAY (Оранжевая нить, Чёрный глянец)</v>
      </c>
      <c r="F373" s="127" t="str">
        <f>VLOOKUP($B373,'Выгр Торг'!$B:$Q,F$1,0)</f>
        <v>Y</v>
      </c>
      <c r="G373" s="127" t="str">
        <f>VLOOKUP($B373,'Выгр Торг'!$B:$Q,G$1,0)</f>
        <v>1</v>
      </c>
      <c r="H373" s="40">
        <v>166950</v>
      </c>
      <c r="I373" s="156"/>
      <c r="J373" s="160"/>
      <c r="K373" s="161">
        <v>870</v>
      </c>
      <c r="L373" s="130">
        <f t="shared" si="241"/>
        <v>46070</v>
      </c>
      <c r="M373" s="130">
        <f t="shared" si="266"/>
        <v>47070</v>
      </c>
      <c r="N373" s="130">
        <f t="shared" si="267"/>
        <v>40070</v>
      </c>
      <c r="O373" s="132">
        <f t="shared" si="263"/>
        <v>1.0217060994139353</v>
      </c>
      <c r="P373" s="132">
        <f t="shared" si="242"/>
        <v>1.1499999999999999</v>
      </c>
      <c r="Q373" s="130">
        <f t="shared" si="268"/>
        <v>56968.27956989246</v>
      </c>
      <c r="R373" s="148">
        <f t="shared" si="265"/>
        <v>56990</v>
      </c>
      <c r="S373" s="127">
        <f>VLOOKUP($B373,'Выгр Торг'!$B:$Q,S$1,0)</f>
        <v>46070</v>
      </c>
      <c r="T373" s="127">
        <f>VLOOKUP($B373,'Выгр Торг'!$B:$Q,T$1,0)</f>
        <v>56990</v>
      </c>
      <c r="U373" s="94">
        <f t="shared" si="243"/>
        <v>0</v>
      </c>
      <c r="V373" s="94">
        <f t="shared" si="244"/>
        <v>0</v>
      </c>
      <c r="W373" s="153">
        <f t="shared" si="255"/>
        <v>53000.7</v>
      </c>
      <c r="X373" s="209">
        <f>IFERROR(VLOOKUP($B373,'Из ГУГЛа'!$B:$G,6,0)*Z373+Y373,VLOOKUP($B373,'Из ГУГЛа'!$B:$G,6,0))</f>
        <v>51760</v>
      </c>
      <c r="Y373" s="220">
        <f t="shared" si="269"/>
        <v>9970</v>
      </c>
      <c r="Z373" s="133">
        <v>1</v>
      </c>
      <c r="AA373" s="134"/>
      <c r="AB373" s="135">
        <f t="shared" si="245"/>
        <v>0.15043846320816145</v>
      </c>
      <c r="AC373" s="135">
        <f t="shared" si="246"/>
        <v>-2.3970247295208601E-2</v>
      </c>
      <c r="AD373" s="135">
        <f t="shared" si="247"/>
        <v>0.12350770566529201</v>
      </c>
      <c r="AE373" s="222">
        <v>51760</v>
      </c>
      <c r="AF373" s="98" t="s">
        <v>618</v>
      </c>
      <c r="AH373" s="98" t="s">
        <v>124</v>
      </c>
    </row>
    <row r="374" spans="1:34" ht="46.5" thickTop="1" thickBot="1">
      <c r="A374" s="125" t="str">
        <f>INDEX('Выгр Торг'!$A:$A,MATCH($B374,'Выгр Торг'!$B:$B,0))</f>
        <v>Руль анатомический "Ferrum" Lite с обогревом для Лада Ларгус FL, Веста, XRAY</v>
      </c>
      <c r="B374" s="126">
        <v>132679</v>
      </c>
      <c r="C374" s="127">
        <f>VLOOKUP($B374,'Выгр Торг'!$B:$Q,C$1,0)</f>
        <v>166959</v>
      </c>
      <c r="D374" s="128" t="s">
        <v>124</v>
      </c>
      <c r="E374" s="125" t="str">
        <f>VLOOKUP($B374,'Выгр Торг'!$B:$Q,E$1,0)</f>
        <v>Руль анатомический "Ferrum" Lite с обогревом для Лада Ларгус FL, Веста, XRAY (Салатовая нить, Чёрный глянец)</v>
      </c>
      <c r="F374" s="127" t="str">
        <f>VLOOKUP($B374,'Выгр Торг'!$B:$Q,F$1,0)</f>
        <v>Y</v>
      </c>
      <c r="G374" s="127" t="str">
        <f>VLOOKUP($B374,'Выгр Торг'!$B:$Q,G$1,0)</f>
        <v>1</v>
      </c>
      <c r="H374" s="40">
        <v>166950</v>
      </c>
      <c r="I374" s="156"/>
      <c r="J374" s="160"/>
      <c r="K374" s="161">
        <v>870</v>
      </c>
      <c r="L374" s="130">
        <f t="shared" si="241"/>
        <v>46070</v>
      </c>
      <c r="M374" s="130">
        <f t="shared" si="266"/>
        <v>47070</v>
      </c>
      <c r="N374" s="130">
        <f t="shared" si="267"/>
        <v>40070</v>
      </c>
      <c r="O374" s="132">
        <f t="shared" si="263"/>
        <v>1.0217060994139353</v>
      </c>
      <c r="P374" s="132">
        <f t="shared" si="242"/>
        <v>1.1499999999999999</v>
      </c>
      <c r="Q374" s="130">
        <f t="shared" si="268"/>
        <v>56968.27956989246</v>
      </c>
      <c r="R374" s="148">
        <f t="shared" si="265"/>
        <v>56990</v>
      </c>
      <c r="S374" s="127">
        <f>VLOOKUP($B374,'Выгр Торг'!$B:$Q,S$1,0)</f>
        <v>46070</v>
      </c>
      <c r="T374" s="127">
        <f>VLOOKUP($B374,'Выгр Торг'!$B:$Q,T$1,0)</f>
        <v>56990</v>
      </c>
      <c r="U374" s="94">
        <f t="shared" si="243"/>
        <v>0</v>
      </c>
      <c r="V374" s="94">
        <f t="shared" si="244"/>
        <v>0</v>
      </c>
      <c r="W374" s="153">
        <f t="shared" si="255"/>
        <v>53000.7</v>
      </c>
      <c r="X374" s="209">
        <f>IFERROR(VLOOKUP($B374,'Из ГУГЛа'!$B:$G,6,0)*Z374+Y374,VLOOKUP($B374,'Из ГУГЛа'!$B:$G,6,0))</f>
        <v>51760</v>
      </c>
      <c r="Y374" s="220">
        <f t="shared" si="269"/>
        <v>9970</v>
      </c>
      <c r="Z374" s="133">
        <v>1</v>
      </c>
      <c r="AA374" s="134"/>
      <c r="AB374" s="135">
        <f t="shared" si="245"/>
        <v>0.15043846320816145</v>
      </c>
      <c r="AC374" s="135">
        <f t="shared" si="246"/>
        <v>-2.3970247295208601E-2</v>
      </c>
      <c r="AD374" s="135">
        <f t="shared" si="247"/>
        <v>0.12350770566529201</v>
      </c>
      <c r="AE374" s="222">
        <v>51760</v>
      </c>
      <c r="AF374" s="98" t="s">
        <v>618</v>
      </c>
      <c r="AH374" s="98" t="s">
        <v>124</v>
      </c>
    </row>
    <row r="375" spans="1:34" ht="46.5" thickTop="1" thickBot="1">
      <c r="A375" s="125" t="str">
        <f>INDEX('Выгр Торг'!$A:$A,MATCH($B375,'Выгр Торг'!$B:$B,0))</f>
        <v>Руль анатомический "Ferrum" Lite с обогревом для Лада Ларгус FL, Веста, XRAY</v>
      </c>
      <c r="B375" s="126">
        <v>132680</v>
      </c>
      <c r="C375" s="127">
        <f>VLOOKUP($B375,'Выгр Торг'!$B:$Q,C$1,0)</f>
        <v>166960</v>
      </c>
      <c r="D375" s="128" t="s">
        <v>124</v>
      </c>
      <c r="E375" s="125" t="str">
        <f>VLOOKUP($B375,'Выгр Торг'!$B:$Q,E$1,0)</f>
        <v>Руль анатомический "Ferrum" Lite с обогревом для Лада Ларгус FL, Веста, XRAY (Светло-серая нить, Чёрный глянец)</v>
      </c>
      <c r="F375" s="127" t="str">
        <f>VLOOKUP($B375,'Выгр Торг'!$B:$Q,F$1,0)</f>
        <v>Y</v>
      </c>
      <c r="G375" s="127" t="str">
        <f>VLOOKUP($B375,'Выгр Торг'!$B:$Q,G$1,0)</f>
        <v>1</v>
      </c>
      <c r="H375" s="40">
        <v>166950</v>
      </c>
      <c r="I375" s="156"/>
      <c r="J375" s="160"/>
      <c r="K375" s="161">
        <v>870</v>
      </c>
      <c r="L375" s="130">
        <f t="shared" si="241"/>
        <v>46070</v>
      </c>
      <c r="M375" s="130">
        <f t="shared" si="266"/>
        <v>47070</v>
      </c>
      <c r="N375" s="130">
        <f t="shared" si="267"/>
        <v>40070</v>
      </c>
      <c r="O375" s="132">
        <f t="shared" si="263"/>
        <v>1.0217060994139353</v>
      </c>
      <c r="P375" s="132">
        <f t="shared" si="242"/>
        <v>1.1499999999999999</v>
      </c>
      <c r="Q375" s="130">
        <f t="shared" si="268"/>
        <v>56968.27956989246</v>
      </c>
      <c r="R375" s="148">
        <f t="shared" si="265"/>
        <v>56990</v>
      </c>
      <c r="S375" s="127">
        <f>VLOOKUP($B375,'Выгр Торг'!$B:$Q,S$1,0)</f>
        <v>46070</v>
      </c>
      <c r="T375" s="127">
        <f>VLOOKUP($B375,'Выгр Торг'!$B:$Q,T$1,0)</f>
        <v>56990</v>
      </c>
      <c r="U375" s="94">
        <f t="shared" si="243"/>
        <v>0</v>
      </c>
      <c r="V375" s="94">
        <f t="shared" si="244"/>
        <v>0</v>
      </c>
      <c r="W375" s="153">
        <f t="shared" si="255"/>
        <v>53000.7</v>
      </c>
      <c r="X375" s="209">
        <f>IFERROR(VLOOKUP($B375,'Из ГУГЛа'!$B:$G,6,0)*Z375+Y375,VLOOKUP($B375,'Из ГУГЛа'!$B:$G,6,0))</f>
        <v>51760</v>
      </c>
      <c r="Y375" s="220">
        <f t="shared" si="269"/>
        <v>9970</v>
      </c>
      <c r="Z375" s="133">
        <v>1</v>
      </c>
      <c r="AA375" s="134"/>
      <c r="AB375" s="135">
        <f t="shared" si="245"/>
        <v>0.15043846320816145</v>
      </c>
      <c r="AC375" s="135">
        <f t="shared" si="246"/>
        <v>-2.3970247295208601E-2</v>
      </c>
      <c r="AD375" s="135">
        <f t="shared" si="247"/>
        <v>0.12350770566529201</v>
      </c>
      <c r="AE375" s="222">
        <v>51760</v>
      </c>
      <c r="AF375" s="98" t="s">
        <v>618</v>
      </c>
      <c r="AH375" s="98" t="s">
        <v>124</v>
      </c>
    </row>
    <row r="376" spans="1:34" ht="46.5" thickTop="1" thickBot="1">
      <c r="A376" s="125" t="str">
        <f>INDEX('Выгр Торг'!$A:$A,MATCH($B376,'Выгр Торг'!$B:$B,0))</f>
        <v>Руль анатомический "Ferrum" Lite с обогревом для Лада Ларгус FL, Веста, XRAY</v>
      </c>
      <c r="B376" s="126">
        <v>132681</v>
      </c>
      <c r="C376" s="127">
        <f>VLOOKUP($B376,'Выгр Торг'!$B:$Q,C$1,0)</f>
        <v>166956</v>
      </c>
      <c r="D376" s="128" t="s">
        <v>124</v>
      </c>
      <c r="E376" s="125" t="str">
        <f>VLOOKUP($B376,'Выгр Торг'!$B:$Q,E$1,0)</f>
        <v>Руль анатомический "Ferrum" Lite с обогревом для Лада Ларгус FL, Веста, XRAY (Сине-зелёная нить, Чёрный глянец)</v>
      </c>
      <c r="F376" s="127" t="str">
        <f>VLOOKUP($B376,'Выгр Торг'!$B:$Q,F$1,0)</f>
        <v>Y</v>
      </c>
      <c r="G376" s="127" t="str">
        <f>VLOOKUP($B376,'Выгр Торг'!$B:$Q,G$1,0)</f>
        <v>1</v>
      </c>
      <c r="H376" s="40">
        <v>166950</v>
      </c>
      <c r="I376" s="156"/>
      <c r="J376" s="160"/>
      <c r="K376" s="161">
        <v>870</v>
      </c>
      <c r="L376" s="130">
        <f t="shared" si="241"/>
        <v>46070</v>
      </c>
      <c r="M376" s="130">
        <f t="shared" si="266"/>
        <v>47070</v>
      </c>
      <c r="N376" s="130">
        <f t="shared" si="267"/>
        <v>40070</v>
      </c>
      <c r="O376" s="132">
        <f t="shared" si="263"/>
        <v>1.0217060994139353</v>
      </c>
      <c r="P376" s="132">
        <f t="shared" si="242"/>
        <v>1.1499999999999999</v>
      </c>
      <c r="Q376" s="130">
        <f t="shared" si="268"/>
        <v>56968.27956989246</v>
      </c>
      <c r="R376" s="148">
        <f t="shared" si="265"/>
        <v>56990</v>
      </c>
      <c r="S376" s="127">
        <f>VLOOKUP($B376,'Выгр Торг'!$B:$Q,S$1,0)</f>
        <v>46070</v>
      </c>
      <c r="T376" s="127">
        <f>VLOOKUP($B376,'Выгр Торг'!$B:$Q,T$1,0)</f>
        <v>56990</v>
      </c>
      <c r="U376" s="94">
        <f t="shared" si="243"/>
        <v>0</v>
      </c>
      <c r="V376" s="94">
        <f t="shared" si="244"/>
        <v>0</v>
      </c>
      <c r="W376" s="153">
        <f t="shared" si="255"/>
        <v>53000.7</v>
      </c>
      <c r="X376" s="209">
        <f>IFERROR(VLOOKUP($B376,'Из ГУГЛа'!$B:$G,6,0)*Z376+Y376,VLOOKUP($B376,'Из ГУГЛа'!$B:$G,6,0))</f>
        <v>51760</v>
      </c>
      <c r="Y376" s="220">
        <f t="shared" si="269"/>
        <v>9970</v>
      </c>
      <c r="Z376" s="133">
        <v>1</v>
      </c>
      <c r="AA376" s="134"/>
      <c r="AB376" s="135">
        <f t="shared" si="245"/>
        <v>0.15043846320816145</v>
      </c>
      <c r="AC376" s="135">
        <f t="shared" si="246"/>
        <v>-2.3970247295208601E-2</v>
      </c>
      <c r="AD376" s="135">
        <f t="shared" si="247"/>
        <v>0.12350770566529201</v>
      </c>
      <c r="AE376" s="222">
        <v>51760</v>
      </c>
      <c r="AF376" s="98" t="s">
        <v>618</v>
      </c>
      <c r="AH376" s="98" t="s">
        <v>124</v>
      </c>
    </row>
    <row r="377" spans="1:34" ht="46.5" thickTop="1" thickBot="1">
      <c r="A377" s="125" t="str">
        <f>INDEX('Выгр Торг'!$A:$A,MATCH($B377,'Выгр Торг'!$B:$B,0))</f>
        <v>Руль анатомический "Ferrum" Lite с обогревом для Лада Ларгус FL, Веста, XRAY</v>
      </c>
      <c r="B377" s="126">
        <v>132682</v>
      </c>
      <c r="C377" s="127">
        <f>VLOOKUP($B377,'Выгр Торг'!$B:$Q,C$1,0)</f>
        <v>166955</v>
      </c>
      <c r="D377" s="128" t="s">
        <v>124</v>
      </c>
      <c r="E377" s="125" t="str">
        <f>VLOOKUP($B377,'Выгр Торг'!$B:$Q,E$1,0)</f>
        <v>Руль анатомический "Ferrum" Lite с обогревом для Лада Ларгус FL, Веста, XRAY (Синяя нить, Чёрный глянец)</v>
      </c>
      <c r="F377" s="127" t="str">
        <f>VLOOKUP($B377,'Выгр Торг'!$B:$Q,F$1,0)</f>
        <v>Y</v>
      </c>
      <c r="G377" s="127" t="str">
        <f>VLOOKUP($B377,'Выгр Торг'!$B:$Q,G$1,0)</f>
        <v>1</v>
      </c>
      <c r="H377" s="40">
        <v>166950</v>
      </c>
      <c r="I377" s="156"/>
      <c r="J377" s="160"/>
      <c r="K377" s="161">
        <v>870</v>
      </c>
      <c r="L377" s="130">
        <f t="shared" si="241"/>
        <v>46070</v>
      </c>
      <c r="M377" s="130">
        <f t="shared" si="266"/>
        <v>47070</v>
      </c>
      <c r="N377" s="130">
        <f t="shared" si="267"/>
        <v>40070</v>
      </c>
      <c r="O377" s="132">
        <f t="shared" si="263"/>
        <v>1.0217060994139353</v>
      </c>
      <c r="P377" s="132">
        <f t="shared" si="242"/>
        <v>1.1499999999999999</v>
      </c>
      <c r="Q377" s="130">
        <f t="shared" si="268"/>
        <v>56968.27956989246</v>
      </c>
      <c r="R377" s="148">
        <f t="shared" si="265"/>
        <v>56990</v>
      </c>
      <c r="S377" s="127">
        <f>VLOOKUP($B377,'Выгр Торг'!$B:$Q,S$1,0)</f>
        <v>46070</v>
      </c>
      <c r="T377" s="127">
        <f>VLOOKUP($B377,'Выгр Торг'!$B:$Q,T$1,0)</f>
        <v>56990</v>
      </c>
      <c r="U377" s="94">
        <f t="shared" si="243"/>
        <v>0</v>
      </c>
      <c r="V377" s="94">
        <f t="shared" si="244"/>
        <v>0</v>
      </c>
      <c r="W377" s="153">
        <f t="shared" si="255"/>
        <v>53000.7</v>
      </c>
      <c r="X377" s="209">
        <f>IFERROR(VLOOKUP($B377,'Из ГУГЛа'!$B:$G,6,0)*Z377+Y377,VLOOKUP($B377,'Из ГУГЛа'!$B:$G,6,0))</f>
        <v>51760</v>
      </c>
      <c r="Y377" s="220">
        <f t="shared" si="269"/>
        <v>9970</v>
      </c>
      <c r="Z377" s="133">
        <v>1</v>
      </c>
      <c r="AA377" s="134"/>
      <c r="AB377" s="135">
        <f t="shared" si="245"/>
        <v>0.15043846320816145</v>
      </c>
      <c r="AC377" s="135">
        <f t="shared" si="246"/>
        <v>-2.3970247295208601E-2</v>
      </c>
      <c r="AD377" s="135">
        <f t="shared" si="247"/>
        <v>0.12350770566529201</v>
      </c>
      <c r="AE377" s="222">
        <v>51760</v>
      </c>
      <c r="AF377" s="98" t="s">
        <v>618</v>
      </c>
      <c r="AH377" s="98" t="s">
        <v>124</v>
      </c>
    </row>
    <row r="378" spans="1:34" ht="46.5" thickTop="1" thickBot="1">
      <c r="A378" s="125" t="str">
        <f>INDEX('Выгр Торг'!$A:$A,MATCH($B378,'Выгр Торг'!$B:$B,0))</f>
        <v>Руль анатомический "Ferrum" Lite с обогревом для Лада Ларгус FL, Веста, XRAY</v>
      </c>
      <c r="B378" s="126">
        <v>132683</v>
      </c>
      <c r="C378" s="127">
        <f>VLOOKUP($B378,'Выгр Торг'!$B:$Q,C$1,0)</f>
        <v>166952</v>
      </c>
      <c r="D378" s="128" t="s">
        <v>124</v>
      </c>
      <c r="E378" s="125" t="str">
        <f>VLOOKUP($B378,'Выгр Торг'!$B:$Q,E$1,0)</f>
        <v>Руль анатомический "Ferrum" Lite с обогревом для Лада Ларгус FL, Веста, XRAY (Тёмно-серая нить, Чёрный глянец)</v>
      </c>
      <c r="F378" s="127" t="str">
        <f>VLOOKUP($B378,'Выгр Торг'!$B:$Q,F$1,0)</f>
        <v>Y</v>
      </c>
      <c r="G378" s="127" t="str">
        <f>VLOOKUP($B378,'Выгр Торг'!$B:$Q,G$1,0)</f>
        <v>1</v>
      </c>
      <c r="H378" s="40">
        <v>166950</v>
      </c>
      <c r="I378" s="156"/>
      <c r="J378" s="160"/>
      <c r="K378" s="161">
        <v>870</v>
      </c>
      <c r="L378" s="130">
        <f t="shared" si="241"/>
        <v>46070</v>
      </c>
      <c r="M378" s="130">
        <f t="shared" si="266"/>
        <v>47070</v>
      </c>
      <c r="N378" s="130">
        <f t="shared" si="267"/>
        <v>40070</v>
      </c>
      <c r="O378" s="132">
        <f t="shared" si="263"/>
        <v>1.0217060994139353</v>
      </c>
      <c r="P378" s="132">
        <f t="shared" si="242"/>
        <v>1.1499999999999999</v>
      </c>
      <c r="Q378" s="130">
        <f t="shared" si="268"/>
        <v>56968.27956989246</v>
      </c>
      <c r="R378" s="148">
        <f t="shared" si="265"/>
        <v>56990</v>
      </c>
      <c r="S378" s="127">
        <f>VLOOKUP($B378,'Выгр Торг'!$B:$Q,S$1,0)</f>
        <v>46070</v>
      </c>
      <c r="T378" s="127">
        <f>VLOOKUP($B378,'Выгр Торг'!$B:$Q,T$1,0)</f>
        <v>56990</v>
      </c>
      <c r="U378" s="94">
        <f t="shared" si="243"/>
        <v>0</v>
      </c>
      <c r="V378" s="94">
        <f t="shared" si="244"/>
        <v>0</v>
      </c>
      <c r="W378" s="153">
        <f t="shared" si="255"/>
        <v>53000.7</v>
      </c>
      <c r="X378" s="209">
        <f>IFERROR(VLOOKUP($B378,'Из ГУГЛа'!$B:$G,6,0)*Z378+Y378,VLOOKUP($B378,'Из ГУГЛа'!$B:$G,6,0))</f>
        <v>51760</v>
      </c>
      <c r="Y378" s="220">
        <f t="shared" si="269"/>
        <v>9970</v>
      </c>
      <c r="Z378" s="133">
        <v>1</v>
      </c>
      <c r="AA378" s="134"/>
      <c r="AB378" s="135">
        <f t="shared" si="245"/>
        <v>0.15043846320816145</v>
      </c>
      <c r="AC378" s="135">
        <f t="shared" si="246"/>
        <v>-2.3970247295208601E-2</v>
      </c>
      <c r="AD378" s="135">
        <f t="shared" si="247"/>
        <v>0.12350770566529201</v>
      </c>
      <c r="AE378" s="222">
        <v>51760</v>
      </c>
      <c r="AF378" s="98" t="s">
        <v>618</v>
      </c>
      <c r="AH378" s="98" t="s">
        <v>124</v>
      </c>
    </row>
    <row r="379" spans="1:34" ht="46.5" thickTop="1" thickBot="1">
      <c r="A379" s="125" t="str">
        <f>INDEX('Выгр Торг'!$A:$A,MATCH($B379,'Выгр Торг'!$B:$B,0))</f>
        <v>Руль анатомический "Ferrum" Lite с обогревом для Лада Ларгус FL, Веста, XRAY</v>
      </c>
      <c r="B379" s="126">
        <v>132684</v>
      </c>
      <c r="C379" s="127">
        <f>VLOOKUP($B379,'Выгр Торг'!$B:$Q,C$1,0)</f>
        <v>166951</v>
      </c>
      <c r="D379" s="128" t="s">
        <v>124</v>
      </c>
      <c r="E379" s="125" t="str">
        <f>VLOOKUP($B379,'Выгр Торг'!$B:$Q,E$1,0)</f>
        <v>Руль анатомический "Ferrum" Lite с обогревом для Лада Ларгус FL, Веста, XRAY (Фиолетовая нить, Чёрный глянец)</v>
      </c>
      <c r="F379" s="127" t="str">
        <f>VLOOKUP($B379,'Выгр Торг'!$B:$Q,F$1,0)</f>
        <v>Y</v>
      </c>
      <c r="G379" s="127" t="str">
        <f>VLOOKUP($B379,'Выгр Торг'!$B:$Q,G$1,0)</f>
        <v>1</v>
      </c>
      <c r="H379" s="40">
        <v>166950</v>
      </c>
      <c r="I379" s="156"/>
      <c r="J379" s="160"/>
      <c r="K379" s="161">
        <v>870</v>
      </c>
      <c r="L379" s="130">
        <f t="shared" si="241"/>
        <v>46070</v>
      </c>
      <c r="M379" s="130">
        <f t="shared" si="266"/>
        <v>47070</v>
      </c>
      <c r="N379" s="130">
        <f t="shared" si="267"/>
        <v>40070</v>
      </c>
      <c r="O379" s="132">
        <f t="shared" si="263"/>
        <v>1.0217060994139353</v>
      </c>
      <c r="P379" s="132">
        <f t="shared" si="242"/>
        <v>1.1499999999999999</v>
      </c>
      <c r="Q379" s="130">
        <f t="shared" si="268"/>
        <v>56968.27956989246</v>
      </c>
      <c r="R379" s="148">
        <f t="shared" si="265"/>
        <v>56990</v>
      </c>
      <c r="S379" s="127">
        <f>VLOOKUP($B379,'Выгр Торг'!$B:$Q,S$1,0)</f>
        <v>46070</v>
      </c>
      <c r="T379" s="127">
        <f>VLOOKUP($B379,'Выгр Торг'!$B:$Q,T$1,0)</f>
        <v>56990</v>
      </c>
      <c r="U379" s="94">
        <f t="shared" si="243"/>
        <v>0</v>
      </c>
      <c r="V379" s="94">
        <f t="shared" si="244"/>
        <v>0</v>
      </c>
      <c r="W379" s="153">
        <f t="shared" si="255"/>
        <v>53000.7</v>
      </c>
      <c r="X379" s="209">
        <f>IFERROR(VLOOKUP($B379,'Из ГУГЛа'!$B:$G,6,0)*Z379+Y379,VLOOKUP($B379,'Из ГУГЛа'!$B:$G,6,0))</f>
        <v>51760</v>
      </c>
      <c r="Y379" s="220">
        <f t="shared" si="269"/>
        <v>9970</v>
      </c>
      <c r="Z379" s="133">
        <v>1</v>
      </c>
      <c r="AA379" s="134"/>
      <c r="AB379" s="135">
        <f t="shared" si="245"/>
        <v>0.15043846320816145</v>
      </c>
      <c r="AC379" s="135">
        <f t="shared" si="246"/>
        <v>-2.3970247295208601E-2</v>
      </c>
      <c r="AD379" s="135">
        <f t="shared" si="247"/>
        <v>0.12350770566529201</v>
      </c>
      <c r="AE379" s="222">
        <v>51760</v>
      </c>
      <c r="AF379" s="98" t="s">
        <v>618</v>
      </c>
      <c r="AH379" s="98" t="s">
        <v>124</v>
      </c>
    </row>
    <row r="380" spans="1:34" ht="46.5" thickTop="1" thickBot="1">
      <c r="A380" s="125" t="str">
        <f>INDEX('Выгр Торг'!$A:$A,MATCH($B380,'Выгр Торг'!$B:$B,0))</f>
        <v>Руль анатомический "Ferrum" Lite с обогревом для Лада Ларгус FL, Веста, XRAY</v>
      </c>
      <c r="B380" s="126">
        <v>132673</v>
      </c>
      <c r="C380" s="127">
        <f>VLOOKUP($B380,'Выгр Торг'!$B:$Q,C$1,0)</f>
        <v>166963</v>
      </c>
      <c r="D380" s="128" t="s">
        <v>124</v>
      </c>
      <c r="E380" s="125" t="str">
        <f>VLOOKUP($B380,'Выгр Торг'!$B:$Q,E$1,0)</f>
        <v>Руль анатомический "Ferrum" Lite с обогревом для Лада Ларгус FL, Веста, XRAY (Белая нить, Чёрный глянец)</v>
      </c>
      <c r="F380" s="127" t="str">
        <f>VLOOKUP($B380,'Выгр Торг'!$B:$Q,F$1,0)</f>
        <v>Y</v>
      </c>
      <c r="G380" s="127" t="str">
        <f>VLOOKUP($B380,'Выгр Торг'!$B:$Q,G$1,0)</f>
        <v>1</v>
      </c>
      <c r="H380" s="40">
        <v>166950</v>
      </c>
      <c r="I380" s="156"/>
      <c r="J380" s="160"/>
      <c r="K380" s="161">
        <v>870</v>
      </c>
      <c r="L380" s="130">
        <f t="shared" si="241"/>
        <v>46070</v>
      </c>
      <c r="M380" s="130">
        <f t="shared" si="266"/>
        <v>47070</v>
      </c>
      <c r="N380" s="130">
        <f t="shared" si="267"/>
        <v>40070</v>
      </c>
      <c r="O380" s="132">
        <f t="shared" si="263"/>
        <v>1.0217060994139353</v>
      </c>
      <c r="P380" s="132">
        <f t="shared" si="242"/>
        <v>1.1499999999999999</v>
      </c>
      <c r="Q380" s="130">
        <f t="shared" si="268"/>
        <v>56968.27956989246</v>
      </c>
      <c r="R380" s="148">
        <f t="shared" si="265"/>
        <v>56990</v>
      </c>
      <c r="S380" s="127">
        <f>VLOOKUP($B380,'Выгр Торг'!$B:$Q,S$1,0)</f>
        <v>46070</v>
      </c>
      <c r="T380" s="127">
        <f>VLOOKUP($B380,'Выгр Торг'!$B:$Q,T$1,0)</f>
        <v>56990</v>
      </c>
      <c r="U380" s="94">
        <f t="shared" si="243"/>
        <v>0</v>
      </c>
      <c r="V380" s="94">
        <f t="shared" si="244"/>
        <v>0</v>
      </c>
      <c r="W380" s="153">
        <f t="shared" si="255"/>
        <v>53000.7</v>
      </c>
      <c r="X380" s="209">
        <f>IFERROR(VLOOKUP($B380,'Из ГУГЛа'!$B:$G,6,0)*Z380+Y380,VLOOKUP($B380,'Из ГУГЛа'!$B:$G,6,0))</f>
        <v>51760</v>
      </c>
      <c r="Y380" s="220">
        <f t="shared" si="269"/>
        <v>9970</v>
      </c>
      <c r="Z380" s="133">
        <v>1</v>
      </c>
      <c r="AA380" s="134"/>
      <c r="AB380" s="135">
        <f t="shared" si="245"/>
        <v>0.15043846320816145</v>
      </c>
      <c r="AC380" s="135">
        <f t="shared" si="246"/>
        <v>-2.3970247295208601E-2</v>
      </c>
      <c r="AD380" s="135">
        <f t="shared" si="247"/>
        <v>0.12350770566529201</v>
      </c>
      <c r="AE380" s="222">
        <v>51760</v>
      </c>
      <c r="AF380" s="98" t="s">
        <v>618</v>
      </c>
      <c r="AH380" s="98" t="s">
        <v>124</v>
      </c>
    </row>
    <row r="381" spans="1:34" ht="46.5" thickTop="1" thickBot="1">
      <c r="A381" s="125" t="str">
        <f>INDEX('Выгр Торг'!$A:$A,MATCH($B381,'Выгр Торг'!$B:$B,0))</f>
        <v>Руль анатомический "Ferrum" Premium с обогревом для Лада Ларгус FL, Веста, XRAY</v>
      </c>
      <c r="B381" s="126">
        <v>132699</v>
      </c>
      <c r="C381" s="127">
        <f>VLOOKUP($B381,'Выгр Торг'!$B:$Q,C$1,0)</f>
        <v>166968</v>
      </c>
      <c r="D381" s="128" t="s">
        <v>127</v>
      </c>
      <c r="E381" s="125" t="str">
        <f>VLOOKUP($B381,'Выгр Торг'!$B:$Q,E$1,0)</f>
        <v>Руль анатомический "Ferrum" Premium с обогревом для Лада Ларгус FL, Веста, XRAY (Чёрная нить, Чёрный глянец)</v>
      </c>
      <c r="F381" s="127" t="str">
        <f>VLOOKUP($B381,'Выгр Торг'!$B:$Q,F$1,0)</f>
        <v>Y</v>
      </c>
      <c r="G381" s="127" t="str">
        <f>VLOOKUP($B381,'Выгр Торг'!$B:$Q,G$1,0)</f>
        <v>1</v>
      </c>
      <c r="H381" s="40">
        <v>166968</v>
      </c>
      <c r="I381" s="156"/>
      <c r="J381" s="160">
        <v>7000</v>
      </c>
      <c r="K381" s="161">
        <v>0</v>
      </c>
      <c r="L381" s="130">
        <f t="shared" si="241"/>
        <v>46000</v>
      </c>
      <c r="M381" s="131">
        <f>N381+J381</f>
        <v>47000</v>
      </c>
      <c r="N381" s="131">
        <v>40000</v>
      </c>
      <c r="O381" s="132">
        <f t="shared" si="263"/>
        <v>1.0217391304347827</v>
      </c>
      <c r="P381" s="132">
        <f t="shared" si="242"/>
        <v>1.1499999999999999</v>
      </c>
      <c r="Q381" s="147">
        <f t="shared" ref="Q381" si="277">L381*P381*100/93</f>
        <v>56881.720430107518</v>
      </c>
      <c r="R381" s="148">
        <f t="shared" si="265"/>
        <v>56890</v>
      </c>
      <c r="S381" s="127">
        <f>VLOOKUP($B381,'Выгр Торг'!$B:$Q,S$1,0)</f>
        <v>46000</v>
      </c>
      <c r="T381" s="127">
        <f>VLOOKUP($B381,'Выгр Торг'!$B:$Q,T$1,0)</f>
        <v>56890</v>
      </c>
      <c r="U381" s="94">
        <f t="shared" si="243"/>
        <v>0</v>
      </c>
      <c r="V381" s="94">
        <f t="shared" si="244"/>
        <v>0</v>
      </c>
      <c r="W381" s="153">
        <f t="shared" si="255"/>
        <v>52907.7</v>
      </c>
      <c r="X381" s="209">
        <f>IFERROR(VLOOKUP($B381,'Из ГУГЛа'!$B:$G,6,0)*Z381+Y381,VLOOKUP($B381,'Из ГУГЛа'!$B:$G,6,0))</f>
        <v>50290</v>
      </c>
      <c r="Y381" s="106">
        <f>(J381+K381)*$Y$2</f>
        <v>9100</v>
      </c>
      <c r="Z381" s="133">
        <v>1</v>
      </c>
      <c r="AA381" s="134"/>
      <c r="AB381" s="135">
        <f t="shared" si="245"/>
        <v>0.15016739130434775</v>
      </c>
      <c r="AC381" s="135">
        <f t="shared" si="246"/>
        <v>-5.2052097832571032E-2</v>
      </c>
      <c r="AD381" s="135">
        <f t="shared" si="247"/>
        <v>9.3260869565217286E-2</v>
      </c>
      <c r="AE381" s="221">
        <v>50290</v>
      </c>
      <c r="AF381" s="98" t="s">
        <v>619</v>
      </c>
      <c r="AH381" s="98" t="s">
        <v>127</v>
      </c>
    </row>
    <row r="382" spans="1:34" ht="46.5" thickTop="1" thickBot="1">
      <c r="A382" s="176" t="str">
        <f>INDEX('Выгр Торг'!$A:$A,MATCH($B382,'Выгр Торг'!$B:$B,0))</f>
        <v>Руль анатомический "Ferrum" Premium с обогревом для Лада Ларгус FL, Веста, XRAY</v>
      </c>
      <c r="B382" s="178">
        <v>341633</v>
      </c>
      <c r="C382" s="179">
        <f>VLOOKUP($B382,'Выгр Торг'!$B:$Q,C$1,0)</f>
        <v>341633</v>
      </c>
      <c r="D382" s="189" t="s">
        <v>127</v>
      </c>
      <c r="E382" s="176" t="str">
        <f>VLOOKUP($B382,'Выгр Торг'!$B:$Q,E$1,0)</f>
        <v>Руль анатомический "Ferrum" Premium с обогревом для Лада Ларгус FL, Веста, XRAY (Чёрная нить, Чёрный мат)</v>
      </c>
      <c r="F382" s="179" t="str">
        <f>VLOOKUP($B382,'Выгр Торг'!$B:$Q,F$1,0)</f>
        <v>Y</v>
      </c>
      <c r="G382" s="179" t="str">
        <f>VLOOKUP($B382,'Выгр Торг'!$B:$Q,G$1,0)</f>
        <v>1</v>
      </c>
      <c r="H382" s="177">
        <v>166968</v>
      </c>
      <c r="I382" s="156"/>
      <c r="J382" s="160">
        <v>830</v>
      </c>
      <c r="K382" s="161">
        <v>0</v>
      </c>
      <c r="L382" s="180">
        <f>M382-1000</f>
        <v>46830</v>
      </c>
      <c r="M382" s="180">
        <f t="shared" ref="M382:M406" si="278">INDEX($M:$M,MATCH($H382,$C:$C,0))+$K382+$J382</f>
        <v>47830</v>
      </c>
      <c r="N382" s="180">
        <f t="shared" ref="N382:N406" si="279">INDEX($N:$N,MATCH($H382,$C:$C,0))+$K382+$J382</f>
        <v>40830</v>
      </c>
      <c r="O382" s="107">
        <f>M382/L382</f>
        <v>1.0213538330130258</v>
      </c>
      <c r="P382" s="132">
        <f t="shared" si="242"/>
        <v>1.1499999999999999</v>
      </c>
      <c r="Q382" s="180">
        <f t="shared" ref="Q382:Q406" si="280">INDEX($Q:$Q,MATCH($H382,$C:$C,0))+($K382+$J382)*INDEX($P:$P,MATCH($H382,$C:$C,0))*100/93</f>
        <v>57908.064516129023</v>
      </c>
      <c r="R382" s="144">
        <f>IF(Q382&lt;=1000,(ROUNDUP(Q382,-2)-1),(ROUNDUP(Q382,-2)-10))</f>
        <v>57990</v>
      </c>
      <c r="S382" s="179">
        <f>VLOOKUP($B382,'Выгр Торг'!$B:$Q,S$1,0)</f>
        <v>46830</v>
      </c>
      <c r="T382" s="179">
        <f>VLOOKUP($B382,'Выгр Торг'!$B:$Q,T$1,0)</f>
        <v>57990</v>
      </c>
      <c r="U382" s="94">
        <f t="shared" si="243"/>
        <v>0</v>
      </c>
      <c r="V382" s="94">
        <f t="shared" si="244"/>
        <v>0</v>
      </c>
      <c r="W382" s="182">
        <f>R382*(1-$W$2)</f>
        <v>53930.7</v>
      </c>
      <c r="X382" s="218">
        <f>IFERROR(VLOOKUP($B382,'Из ГУГЛа'!$B:$G,6,0)*Z382+Y382,VLOOKUP($B382,'Из ГУГЛа'!$B:$G,6,0))</f>
        <v>51120</v>
      </c>
      <c r="Y382" s="220">
        <f t="shared" ref="Y382:Y406" si="281">INDEX($Y:$Y,MATCH($H382,$C:$C,0))+J382+K382</f>
        <v>9930</v>
      </c>
      <c r="Z382" s="133">
        <v>1</v>
      </c>
      <c r="AA382" s="133">
        <v>1300</v>
      </c>
      <c r="AB382" s="184">
        <f>IFERROR(W382/L382-1,"")</f>
        <v>0.15162716207559246</v>
      </c>
      <c r="AC382" s="184">
        <f>IFERROR((AE382-W382)/AE382,"")</f>
        <v>-5.4982394366197125E-2</v>
      </c>
      <c r="AD382" s="184">
        <f>IFERROR(IF(AE382="","",AE382/L382-1),"")</f>
        <v>9.1607943625880761E-2</v>
      </c>
      <c r="AE382" s="222">
        <v>51120</v>
      </c>
      <c r="AF382" s="98" t="s">
        <v>619</v>
      </c>
      <c r="AH382" s="98" t="s">
        <v>127</v>
      </c>
    </row>
    <row r="383" spans="1:34" ht="46.5" thickTop="1" thickBot="1">
      <c r="A383" s="125" t="str">
        <f>INDEX('Выгр Торг'!$A:$A,MATCH($B383,'Выгр Торг'!$B:$B,0))</f>
        <v>Руль анатомический "Ferrum" Premium с обогревом для Лада Ларгус FL, Веста, XRAY</v>
      </c>
      <c r="B383" s="126">
        <v>341632</v>
      </c>
      <c r="C383" s="127">
        <f>VLOOKUP($B383,'Выгр Торг'!$B:$Q,C$1,0)</f>
        <v>341632</v>
      </c>
      <c r="D383" s="128" t="s">
        <v>127</v>
      </c>
      <c r="E383" s="125" t="str">
        <f>VLOOKUP($B383,'Выгр Торг'!$B:$Q,E$1,0)</f>
        <v>Руль анатомический "Ferrum" Premium с обогревом для Лада Ларгус FL, Веста, XRAY (Белая нить, Чёрный мат)</v>
      </c>
      <c r="F383" s="127" t="str">
        <f>VLOOKUP($B383,'Выгр Торг'!$B:$Q,F$1,0)</f>
        <v>Y</v>
      </c>
      <c r="G383" s="127" t="str">
        <f>VLOOKUP($B383,'Выгр Торг'!$B:$Q,G$1,0)</f>
        <v>1</v>
      </c>
      <c r="H383" s="40">
        <v>166968</v>
      </c>
      <c r="I383" s="156"/>
      <c r="J383" s="160">
        <v>830</v>
      </c>
      <c r="K383" s="161">
        <v>870</v>
      </c>
      <c r="L383" s="130">
        <f t="shared" si="241"/>
        <v>47700</v>
      </c>
      <c r="M383" s="130">
        <f t="shared" si="278"/>
        <v>48700</v>
      </c>
      <c r="N383" s="130">
        <f t="shared" si="279"/>
        <v>41700</v>
      </c>
      <c r="O383" s="132">
        <f t="shared" si="263"/>
        <v>1.020964360587002</v>
      </c>
      <c r="P383" s="132">
        <f t="shared" si="242"/>
        <v>1.1499999999999999</v>
      </c>
      <c r="Q383" s="130">
        <f t="shared" si="280"/>
        <v>58983.870967741925</v>
      </c>
      <c r="R383" s="148">
        <f t="shared" si="265"/>
        <v>58990</v>
      </c>
      <c r="S383" s="127">
        <f>VLOOKUP($B383,'Выгр Торг'!$B:$Q,S$1,0)</f>
        <v>47700</v>
      </c>
      <c r="T383" s="127">
        <f>VLOOKUP($B383,'Выгр Торг'!$B:$Q,T$1,0)</f>
        <v>58990</v>
      </c>
      <c r="U383" s="94">
        <f t="shared" si="243"/>
        <v>0</v>
      </c>
      <c r="V383" s="94">
        <f t="shared" si="244"/>
        <v>0</v>
      </c>
      <c r="W383" s="153">
        <f t="shared" si="255"/>
        <v>54860.7</v>
      </c>
      <c r="X383" s="209">
        <f>IFERROR(VLOOKUP($B383,'Из ГУГЛа'!$B:$G,6,0)*Z383+Y383,VLOOKUP($B383,'Из ГУГЛа'!$B:$G,6,0))</f>
        <v>51990</v>
      </c>
      <c r="Y383" s="220">
        <f t="shared" si="281"/>
        <v>10800</v>
      </c>
      <c r="Z383" s="133">
        <v>1</v>
      </c>
      <c r="AA383" s="133">
        <v>1300</v>
      </c>
      <c r="AB383" s="135">
        <f t="shared" si="245"/>
        <v>0.15011949685534587</v>
      </c>
      <c r="AC383" s="135">
        <f t="shared" si="246"/>
        <v>-5.5216387766878192E-2</v>
      </c>
      <c r="AD383" s="135">
        <f t="shared" si="247"/>
        <v>8.9937106918239085E-2</v>
      </c>
      <c r="AE383" s="222">
        <v>51990</v>
      </c>
      <c r="AF383" s="98" t="s">
        <v>619</v>
      </c>
      <c r="AH383" s="98" t="s">
        <v>127</v>
      </c>
    </row>
    <row r="384" spans="1:34" ht="46.5" thickTop="1" thickBot="1">
      <c r="A384" s="176" t="str">
        <f>INDEX('Выгр Торг'!$A:$A,MATCH($B384,'Выгр Торг'!$B:$B,0))</f>
        <v>Руль анатомический "Ferrum" Premium с обогревом для Лада Ларгус FL, Веста, XRAY</v>
      </c>
      <c r="B384" s="178">
        <v>341644</v>
      </c>
      <c r="C384" s="179">
        <f>VLOOKUP($B384,'Выгр Торг'!$B:$Q,C$1,0)</f>
        <v>341644</v>
      </c>
      <c r="D384" s="189" t="s">
        <v>127</v>
      </c>
      <c r="E384" s="176" t="str">
        <f>VLOOKUP($B384,'Выгр Торг'!$B:$Q,E$1,0)</f>
        <v>Руль анатомический "Ferrum" Premium с обогревом для Лада Ларгус FL, Веста, XRAY (Жёлтая нить, Чёрный мат)</v>
      </c>
      <c r="F384" s="179" t="str">
        <f>VLOOKUP($B384,'Выгр Торг'!$B:$Q,F$1,0)</f>
        <v>Y</v>
      </c>
      <c r="G384" s="179" t="str">
        <f>VLOOKUP($B384,'Выгр Торг'!$B:$Q,G$1,0)</f>
        <v>1</v>
      </c>
      <c r="H384" s="177">
        <v>166968</v>
      </c>
      <c r="I384" s="156"/>
      <c r="J384" s="160">
        <v>830</v>
      </c>
      <c r="K384" s="161">
        <v>870</v>
      </c>
      <c r="L384" s="180">
        <f t="shared" ref="L384:L395" si="282">M384-1000</f>
        <v>47700</v>
      </c>
      <c r="M384" s="180">
        <f t="shared" si="278"/>
        <v>48700</v>
      </c>
      <c r="N384" s="180">
        <f t="shared" si="279"/>
        <v>41700</v>
      </c>
      <c r="O384" s="107">
        <f t="shared" ref="O384:O395" si="283">M384/L384</f>
        <v>1.020964360587002</v>
      </c>
      <c r="P384" s="132">
        <f t="shared" si="242"/>
        <v>1.1499999999999999</v>
      </c>
      <c r="Q384" s="180">
        <f t="shared" si="280"/>
        <v>58983.870967741925</v>
      </c>
      <c r="R384" s="144">
        <f t="shared" ref="R384:R395" si="284">IF(Q384&lt;=1000,(ROUNDUP(Q384,-2)-1),(ROUNDUP(Q384,-2)-10))</f>
        <v>58990</v>
      </c>
      <c r="S384" s="179">
        <f>VLOOKUP($B384,'Выгр Торг'!$B:$Q,S$1,0)</f>
        <v>47700</v>
      </c>
      <c r="T384" s="179">
        <f>VLOOKUP($B384,'Выгр Торг'!$B:$Q,T$1,0)</f>
        <v>58990</v>
      </c>
      <c r="U384" s="94">
        <f t="shared" si="243"/>
        <v>0</v>
      </c>
      <c r="V384" s="94">
        <f t="shared" si="244"/>
        <v>0</v>
      </c>
      <c r="W384" s="182">
        <f t="shared" ref="W384:W395" si="285">R384*(1-$W$2)</f>
        <v>54860.7</v>
      </c>
      <c r="X384" s="218">
        <f>IFERROR(VLOOKUP($B384,'Из ГУГЛа'!$B:$G,6,0)*Z384+Y384,VLOOKUP($B384,'Из ГУГЛа'!$B:$G,6,0))</f>
        <v>51990</v>
      </c>
      <c r="Y384" s="220">
        <f t="shared" si="281"/>
        <v>10800</v>
      </c>
      <c r="Z384" s="133">
        <v>1</v>
      </c>
      <c r="AA384" s="133">
        <v>1300</v>
      </c>
      <c r="AB384" s="184">
        <f t="shared" ref="AB384:AB395" si="286">IFERROR(W384/L384-1,"")</f>
        <v>0.15011949685534587</v>
      </c>
      <c r="AC384" s="184">
        <f t="shared" ref="AC384:AC395" si="287">IFERROR((AE384-W384)/AE384,"")</f>
        <v>-5.5216387766878192E-2</v>
      </c>
      <c r="AD384" s="184">
        <f t="shared" ref="AD384:AD395" si="288">IFERROR(IF(AE384="","",AE384/L384-1),"")</f>
        <v>8.9937106918239085E-2</v>
      </c>
      <c r="AE384" s="222">
        <v>51990</v>
      </c>
      <c r="AF384" s="98" t="s">
        <v>619</v>
      </c>
      <c r="AH384" s="98" t="s">
        <v>127</v>
      </c>
    </row>
    <row r="385" spans="1:34" ht="46.5" thickTop="1" thickBot="1">
      <c r="A385" s="176" t="str">
        <f>INDEX('Выгр Торг'!$A:$A,MATCH($B385,'Выгр Торг'!$B:$B,0))</f>
        <v>Руль анатомический "Ferrum" Premium с обогревом для Лада Ларгус FL, Веста, XRAY</v>
      </c>
      <c r="B385" s="178">
        <v>341643</v>
      </c>
      <c r="C385" s="179">
        <f>VLOOKUP($B385,'Выгр Торг'!$B:$Q,C$1,0)</f>
        <v>341643</v>
      </c>
      <c r="D385" s="189" t="s">
        <v>127</v>
      </c>
      <c r="E385" s="176" t="str">
        <f>VLOOKUP($B385,'Выгр Торг'!$B:$Q,E$1,0)</f>
        <v>Руль анатомический "Ferrum" Premium с обогревом для Лада Ларгус FL, Веста, XRAY (Зелёная нить, Чёрный мат)</v>
      </c>
      <c r="F385" s="179" t="str">
        <f>VLOOKUP($B385,'Выгр Торг'!$B:$Q,F$1,0)</f>
        <v>Y</v>
      </c>
      <c r="G385" s="179" t="str">
        <f>VLOOKUP($B385,'Выгр Торг'!$B:$Q,G$1,0)</f>
        <v>1</v>
      </c>
      <c r="H385" s="177">
        <v>166968</v>
      </c>
      <c r="I385" s="156"/>
      <c r="J385" s="160">
        <v>830</v>
      </c>
      <c r="K385" s="161">
        <v>870</v>
      </c>
      <c r="L385" s="180">
        <f t="shared" si="282"/>
        <v>47700</v>
      </c>
      <c r="M385" s="180">
        <f t="shared" si="278"/>
        <v>48700</v>
      </c>
      <c r="N385" s="180">
        <f t="shared" si="279"/>
        <v>41700</v>
      </c>
      <c r="O385" s="107">
        <f t="shared" si="283"/>
        <v>1.020964360587002</v>
      </c>
      <c r="P385" s="132">
        <f t="shared" si="242"/>
        <v>1.1499999999999999</v>
      </c>
      <c r="Q385" s="180">
        <f t="shared" si="280"/>
        <v>58983.870967741925</v>
      </c>
      <c r="R385" s="144">
        <f t="shared" si="284"/>
        <v>58990</v>
      </c>
      <c r="S385" s="179">
        <f>VLOOKUP($B385,'Выгр Торг'!$B:$Q,S$1,0)</f>
        <v>47700</v>
      </c>
      <c r="T385" s="179">
        <f>VLOOKUP($B385,'Выгр Торг'!$B:$Q,T$1,0)</f>
        <v>58990</v>
      </c>
      <c r="U385" s="94">
        <f t="shared" si="243"/>
        <v>0</v>
      </c>
      <c r="V385" s="94">
        <f t="shared" si="244"/>
        <v>0</v>
      </c>
      <c r="W385" s="182">
        <f t="shared" si="285"/>
        <v>54860.7</v>
      </c>
      <c r="X385" s="218">
        <f>IFERROR(VLOOKUP($B385,'Из ГУГЛа'!$B:$G,6,0)*Z385+Y385,VLOOKUP($B385,'Из ГУГЛа'!$B:$G,6,0))</f>
        <v>51990</v>
      </c>
      <c r="Y385" s="220">
        <f t="shared" si="281"/>
        <v>10800</v>
      </c>
      <c r="Z385" s="133">
        <v>1</v>
      </c>
      <c r="AA385" s="133">
        <v>1300</v>
      </c>
      <c r="AB385" s="184">
        <f t="shared" si="286"/>
        <v>0.15011949685534587</v>
      </c>
      <c r="AC385" s="184">
        <f t="shared" si="287"/>
        <v>-5.5216387766878192E-2</v>
      </c>
      <c r="AD385" s="184">
        <f t="shared" si="288"/>
        <v>8.9937106918239085E-2</v>
      </c>
      <c r="AE385" s="222">
        <v>51990</v>
      </c>
      <c r="AF385" s="98" t="s">
        <v>619</v>
      </c>
      <c r="AH385" s="98" t="s">
        <v>127</v>
      </c>
    </row>
    <row r="386" spans="1:34" ht="46.5" thickTop="1" thickBot="1">
      <c r="A386" s="176" t="str">
        <f>INDEX('Выгр Торг'!$A:$A,MATCH($B386,'Выгр Торг'!$B:$B,0))</f>
        <v>Руль анатомический "Ferrum" Premium с обогревом для Лада Ларгус FL, Веста, XRAY</v>
      </c>
      <c r="B386" s="178">
        <v>341635</v>
      </c>
      <c r="C386" s="179">
        <f>VLOOKUP($B386,'Выгр Торг'!$B:$Q,C$1,0)</f>
        <v>341635</v>
      </c>
      <c r="D386" s="189" t="s">
        <v>127</v>
      </c>
      <c r="E386" s="176" t="str">
        <f>VLOOKUP($B386,'Выгр Торг'!$B:$Q,E$1,0)</f>
        <v>Руль анатомический "Ferrum" Premium с обогревом для Лада Ларгус FL, Веста, XRAY (Коричневая нить, Чёрный мат)</v>
      </c>
      <c r="F386" s="179" t="str">
        <f>VLOOKUP($B386,'Выгр Торг'!$B:$Q,F$1,0)</f>
        <v>Y</v>
      </c>
      <c r="G386" s="179" t="str">
        <f>VLOOKUP($B386,'Выгр Торг'!$B:$Q,G$1,0)</f>
        <v>1</v>
      </c>
      <c r="H386" s="177">
        <v>166968</v>
      </c>
      <c r="I386" s="156"/>
      <c r="J386" s="160">
        <v>830</v>
      </c>
      <c r="K386" s="161">
        <v>870</v>
      </c>
      <c r="L386" s="180">
        <f t="shared" si="282"/>
        <v>47700</v>
      </c>
      <c r="M386" s="180">
        <f t="shared" si="278"/>
        <v>48700</v>
      </c>
      <c r="N386" s="180">
        <f t="shared" si="279"/>
        <v>41700</v>
      </c>
      <c r="O386" s="107">
        <f t="shared" si="283"/>
        <v>1.020964360587002</v>
      </c>
      <c r="P386" s="132">
        <f t="shared" si="242"/>
        <v>1.1499999999999999</v>
      </c>
      <c r="Q386" s="180">
        <f t="shared" si="280"/>
        <v>58983.870967741925</v>
      </c>
      <c r="R386" s="144">
        <f t="shared" si="284"/>
        <v>58990</v>
      </c>
      <c r="S386" s="179">
        <f>VLOOKUP($B386,'Выгр Торг'!$B:$Q,S$1,0)</f>
        <v>47700</v>
      </c>
      <c r="T386" s="179">
        <f>VLOOKUP($B386,'Выгр Торг'!$B:$Q,T$1,0)</f>
        <v>58990</v>
      </c>
      <c r="U386" s="94">
        <f t="shared" si="243"/>
        <v>0</v>
      </c>
      <c r="V386" s="94">
        <f t="shared" si="244"/>
        <v>0</v>
      </c>
      <c r="W386" s="182">
        <f t="shared" si="285"/>
        <v>54860.7</v>
      </c>
      <c r="X386" s="218">
        <f>IFERROR(VLOOKUP($B386,'Из ГУГЛа'!$B:$G,6,0)*Z386+Y386,VLOOKUP($B386,'Из ГУГЛа'!$B:$G,6,0))</f>
        <v>51990</v>
      </c>
      <c r="Y386" s="220">
        <f t="shared" si="281"/>
        <v>10800</v>
      </c>
      <c r="Z386" s="133">
        <v>1</v>
      </c>
      <c r="AA386" s="133">
        <v>1300</v>
      </c>
      <c r="AB386" s="184">
        <f t="shared" si="286"/>
        <v>0.15011949685534587</v>
      </c>
      <c r="AC386" s="184">
        <f t="shared" si="287"/>
        <v>-5.5216387766878192E-2</v>
      </c>
      <c r="AD386" s="184">
        <f t="shared" si="288"/>
        <v>8.9937106918239085E-2</v>
      </c>
      <c r="AE386" s="222">
        <v>51990</v>
      </c>
      <c r="AF386" s="98" t="s">
        <v>619</v>
      </c>
      <c r="AH386" s="98" t="s">
        <v>127</v>
      </c>
    </row>
    <row r="387" spans="1:34" ht="46.5" thickTop="1" thickBot="1">
      <c r="A387" s="176" t="str">
        <f>INDEX('Выгр Торг'!$A:$A,MATCH($B387,'Выгр Торг'!$B:$B,0))</f>
        <v>Руль анатомический "Ferrum" Premium с обогревом для Лада Ларгус FL, Веста, XRAY</v>
      </c>
      <c r="B387" s="178">
        <v>341636</v>
      </c>
      <c r="C387" s="179">
        <f>VLOOKUP($B387,'Выгр Торг'!$B:$Q,C$1,0)</f>
        <v>341636</v>
      </c>
      <c r="D387" s="189" t="s">
        <v>127</v>
      </c>
      <c r="E387" s="176" t="str">
        <f>VLOOKUP($B387,'Выгр Торг'!$B:$Q,E$1,0)</f>
        <v>Руль анатомический "Ferrum" Premium с обогревом для Лада Ларгус FL, Веста, XRAY (Красная нить, Чёрный мат)</v>
      </c>
      <c r="F387" s="179" t="str">
        <f>VLOOKUP($B387,'Выгр Торг'!$B:$Q,F$1,0)</f>
        <v>Y</v>
      </c>
      <c r="G387" s="179" t="str">
        <f>VLOOKUP($B387,'Выгр Торг'!$B:$Q,G$1,0)</f>
        <v>1</v>
      </c>
      <c r="H387" s="177">
        <v>166968</v>
      </c>
      <c r="I387" s="156"/>
      <c r="J387" s="160">
        <v>830</v>
      </c>
      <c r="K387" s="161">
        <v>870</v>
      </c>
      <c r="L387" s="180">
        <f t="shared" si="282"/>
        <v>47700</v>
      </c>
      <c r="M387" s="180">
        <f t="shared" si="278"/>
        <v>48700</v>
      </c>
      <c r="N387" s="180">
        <f t="shared" si="279"/>
        <v>41700</v>
      </c>
      <c r="O387" s="107">
        <f t="shared" si="283"/>
        <v>1.020964360587002</v>
      </c>
      <c r="P387" s="132">
        <f t="shared" si="242"/>
        <v>1.1499999999999999</v>
      </c>
      <c r="Q387" s="180">
        <f t="shared" si="280"/>
        <v>58983.870967741925</v>
      </c>
      <c r="R387" s="144">
        <f t="shared" si="284"/>
        <v>58990</v>
      </c>
      <c r="S387" s="179">
        <f>VLOOKUP($B387,'Выгр Торг'!$B:$Q,S$1,0)</f>
        <v>47700</v>
      </c>
      <c r="T387" s="179">
        <f>VLOOKUP($B387,'Выгр Торг'!$B:$Q,T$1,0)</f>
        <v>58990</v>
      </c>
      <c r="U387" s="94">
        <f t="shared" si="243"/>
        <v>0</v>
      </c>
      <c r="V387" s="94">
        <f t="shared" si="244"/>
        <v>0</v>
      </c>
      <c r="W387" s="182">
        <f t="shared" si="285"/>
        <v>54860.7</v>
      </c>
      <c r="X387" s="218">
        <f>IFERROR(VLOOKUP($B387,'Из ГУГЛа'!$B:$G,6,0)*Z387+Y387,VLOOKUP($B387,'Из ГУГЛа'!$B:$G,6,0))</f>
        <v>51990</v>
      </c>
      <c r="Y387" s="220">
        <f t="shared" si="281"/>
        <v>10800</v>
      </c>
      <c r="Z387" s="133">
        <v>1</v>
      </c>
      <c r="AA387" s="133">
        <v>1300</v>
      </c>
      <c r="AB387" s="184">
        <f t="shared" si="286"/>
        <v>0.15011949685534587</v>
      </c>
      <c r="AC387" s="184">
        <f t="shared" si="287"/>
        <v>-5.5216387766878192E-2</v>
      </c>
      <c r="AD387" s="184">
        <f t="shared" si="288"/>
        <v>8.9937106918239085E-2</v>
      </c>
      <c r="AE387" s="222">
        <v>51990</v>
      </c>
      <c r="AF387" s="98" t="s">
        <v>619</v>
      </c>
      <c r="AH387" s="98" t="s">
        <v>127</v>
      </c>
    </row>
    <row r="388" spans="1:34" ht="46.5" thickTop="1" thickBot="1">
      <c r="A388" s="176" t="str">
        <f>INDEX('Выгр Торг'!$A:$A,MATCH($B388,'Выгр Торг'!$B:$B,0))</f>
        <v>Руль анатомический "Ferrum" Premium с обогревом для Лада Ларгус FL, Веста, XRAY</v>
      </c>
      <c r="B388" s="178">
        <v>341637</v>
      </c>
      <c r="C388" s="179">
        <f>VLOOKUP($B388,'Выгр Торг'!$B:$Q,C$1,0)</f>
        <v>341637</v>
      </c>
      <c r="D388" s="189" t="s">
        <v>127</v>
      </c>
      <c r="E388" s="176" t="str">
        <f>VLOOKUP($B388,'Выгр Торг'!$B:$Q,E$1,0)</f>
        <v>Руль анатомический "Ferrum" Premium с обогревом для Лада Ларгус FL, Веста, XRAY (Оранжевая нить, Чёрный мат)</v>
      </c>
      <c r="F388" s="179" t="str">
        <f>VLOOKUP($B388,'Выгр Торг'!$B:$Q,F$1,0)</f>
        <v>Y</v>
      </c>
      <c r="G388" s="179" t="str">
        <f>VLOOKUP($B388,'Выгр Торг'!$B:$Q,G$1,0)</f>
        <v>1</v>
      </c>
      <c r="H388" s="177">
        <v>166968</v>
      </c>
      <c r="I388" s="156"/>
      <c r="J388" s="160">
        <v>830</v>
      </c>
      <c r="K388" s="161">
        <v>870</v>
      </c>
      <c r="L388" s="180">
        <f t="shared" si="282"/>
        <v>47700</v>
      </c>
      <c r="M388" s="180">
        <f t="shared" si="278"/>
        <v>48700</v>
      </c>
      <c r="N388" s="180">
        <f t="shared" si="279"/>
        <v>41700</v>
      </c>
      <c r="O388" s="107">
        <f t="shared" si="283"/>
        <v>1.020964360587002</v>
      </c>
      <c r="P388" s="132">
        <f t="shared" ref="P388:P451" si="289">IF(O388&lt;=$P$1,$P$1,O388)</f>
        <v>1.1499999999999999</v>
      </c>
      <c r="Q388" s="180">
        <f t="shared" si="280"/>
        <v>58983.870967741925</v>
      </c>
      <c r="R388" s="144">
        <f t="shared" si="284"/>
        <v>58990</v>
      </c>
      <c r="S388" s="179">
        <f>VLOOKUP($B388,'Выгр Торг'!$B:$Q,S$1,0)</f>
        <v>47700</v>
      </c>
      <c r="T388" s="179">
        <f>VLOOKUP($B388,'Выгр Торг'!$B:$Q,T$1,0)</f>
        <v>58990</v>
      </c>
      <c r="U388" s="94">
        <f t="shared" ref="U388:U451" si="290">S388-L388</f>
        <v>0</v>
      </c>
      <c r="V388" s="94">
        <f t="shared" ref="V388:V451" si="291">T388-R388</f>
        <v>0</v>
      </c>
      <c r="W388" s="182">
        <f t="shared" si="285"/>
        <v>54860.7</v>
      </c>
      <c r="X388" s="218">
        <f>IFERROR(VLOOKUP($B388,'Из ГУГЛа'!$B:$G,6,0)*Z388+Y388,VLOOKUP($B388,'Из ГУГЛа'!$B:$G,6,0))</f>
        <v>51990</v>
      </c>
      <c r="Y388" s="220">
        <f t="shared" si="281"/>
        <v>10800</v>
      </c>
      <c r="Z388" s="133">
        <v>1</v>
      </c>
      <c r="AA388" s="133">
        <v>1300</v>
      </c>
      <c r="AB388" s="184">
        <f t="shared" si="286"/>
        <v>0.15011949685534587</v>
      </c>
      <c r="AC388" s="184">
        <f t="shared" si="287"/>
        <v>-5.5216387766878192E-2</v>
      </c>
      <c r="AD388" s="184">
        <f t="shared" si="288"/>
        <v>8.9937106918239085E-2</v>
      </c>
      <c r="AE388" s="222">
        <v>51990</v>
      </c>
      <c r="AF388" s="98" t="s">
        <v>619</v>
      </c>
      <c r="AH388" s="98" t="s">
        <v>127</v>
      </c>
    </row>
    <row r="389" spans="1:34" ht="46.5" thickTop="1" thickBot="1">
      <c r="A389" s="176" t="str">
        <f>INDEX('Выгр Торг'!$A:$A,MATCH($B389,'Выгр Торг'!$B:$B,0))</f>
        <v>Руль анатомический "Ferrum" Premium с обогревом для Лада Ларгус FL, Веста, XRAY</v>
      </c>
      <c r="B389" s="178">
        <v>341638</v>
      </c>
      <c r="C389" s="179">
        <f>VLOOKUP($B389,'Выгр Торг'!$B:$Q,C$1,0)</f>
        <v>341638</v>
      </c>
      <c r="D389" s="189" t="s">
        <v>127</v>
      </c>
      <c r="E389" s="176" t="str">
        <f>VLOOKUP($B389,'Выгр Торг'!$B:$Q,E$1,0)</f>
        <v>Руль анатомический "Ferrum" Premium с обогревом для Лада Ларгус FL, Веста, XRAY (Салатовая нить, Чёрный мат)</v>
      </c>
      <c r="F389" s="179" t="str">
        <f>VLOOKUP($B389,'Выгр Торг'!$B:$Q,F$1,0)</f>
        <v>Y</v>
      </c>
      <c r="G389" s="179" t="str">
        <f>VLOOKUP($B389,'Выгр Торг'!$B:$Q,G$1,0)</f>
        <v>1</v>
      </c>
      <c r="H389" s="177">
        <v>166968</v>
      </c>
      <c r="I389" s="156"/>
      <c r="J389" s="160">
        <v>830</v>
      </c>
      <c r="K389" s="161">
        <v>870</v>
      </c>
      <c r="L389" s="180">
        <f t="shared" si="282"/>
        <v>47700</v>
      </c>
      <c r="M389" s="180">
        <f t="shared" si="278"/>
        <v>48700</v>
      </c>
      <c r="N389" s="180">
        <f t="shared" si="279"/>
        <v>41700</v>
      </c>
      <c r="O389" s="107">
        <f t="shared" si="283"/>
        <v>1.020964360587002</v>
      </c>
      <c r="P389" s="132">
        <f t="shared" si="289"/>
        <v>1.1499999999999999</v>
      </c>
      <c r="Q389" s="180">
        <f t="shared" si="280"/>
        <v>58983.870967741925</v>
      </c>
      <c r="R389" s="144">
        <f t="shared" si="284"/>
        <v>58990</v>
      </c>
      <c r="S389" s="179">
        <f>VLOOKUP($B389,'Выгр Торг'!$B:$Q,S$1,0)</f>
        <v>47700</v>
      </c>
      <c r="T389" s="179">
        <f>VLOOKUP($B389,'Выгр Торг'!$B:$Q,T$1,0)</f>
        <v>58990</v>
      </c>
      <c r="U389" s="94">
        <f t="shared" si="290"/>
        <v>0</v>
      </c>
      <c r="V389" s="94">
        <f t="shared" si="291"/>
        <v>0</v>
      </c>
      <c r="W389" s="182">
        <f t="shared" si="285"/>
        <v>54860.7</v>
      </c>
      <c r="X389" s="218">
        <f>IFERROR(VLOOKUP($B389,'Из ГУГЛа'!$B:$G,6,0)*Z389+Y389,VLOOKUP($B389,'Из ГУГЛа'!$B:$G,6,0))</f>
        <v>51990</v>
      </c>
      <c r="Y389" s="220">
        <f t="shared" si="281"/>
        <v>10800</v>
      </c>
      <c r="Z389" s="133">
        <v>1</v>
      </c>
      <c r="AA389" s="133">
        <v>1300</v>
      </c>
      <c r="AB389" s="184">
        <f t="shared" si="286"/>
        <v>0.15011949685534587</v>
      </c>
      <c r="AC389" s="184">
        <f t="shared" si="287"/>
        <v>-5.5216387766878192E-2</v>
      </c>
      <c r="AD389" s="184">
        <f t="shared" si="288"/>
        <v>8.9937106918239085E-2</v>
      </c>
      <c r="AE389" s="222">
        <v>51990</v>
      </c>
      <c r="AF389" s="98" t="s">
        <v>619</v>
      </c>
      <c r="AH389" s="98" t="s">
        <v>127</v>
      </c>
    </row>
    <row r="390" spans="1:34" ht="46.5" thickTop="1" thickBot="1">
      <c r="A390" s="176" t="str">
        <f>INDEX('Выгр Торг'!$A:$A,MATCH($B390,'Выгр Торг'!$B:$B,0))</f>
        <v>Руль анатомический "Ferrum" Premium с обогревом для Лада Ларгус FL, Веста, XRAY</v>
      </c>
      <c r="B390" s="178">
        <v>341641</v>
      </c>
      <c r="C390" s="179">
        <f>VLOOKUP($B390,'Выгр Торг'!$B:$Q,C$1,0)</f>
        <v>341641</v>
      </c>
      <c r="D390" s="189" t="s">
        <v>127</v>
      </c>
      <c r="E390" s="176" t="str">
        <f>VLOOKUP($B390,'Выгр Торг'!$B:$Q,E$1,0)</f>
        <v>Руль анатомический "Ferrum" Premium с обогревом для Лада Ларгус FL, Веста, XRAY (Светло-серая нить, Чёрный мат)</v>
      </c>
      <c r="F390" s="179" t="str">
        <f>VLOOKUP($B390,'Выгр Торг'!$B:$Q,F$1,0)</f>
        <v>Y</v>
      </c>
      <c r="G390" s="179" t="str">
        <f>VLOOKUP($B390,'Выгр Торг'!$B:$Q,G$1,0)</f>
        <v>1</v>
      </c>
      <c r="H390" s="177">
        <v>166968</v>
      </c>
      <c r="I390" s="156"/>
      <c r="J390" s="160">
        <v>830</v>
      </c>
      <c r="K390" s="161">
        <v>870</v>
      </c>
      <c r="L390" s="180">
        <f t="shared" si="282"/>
        <v>47700</v>
      </c>
      <c r="M390" s="180">
        <f t="shared" si="278"/>
        <v>48700</v>
      </c>
      <c r="N390" s="180">
        <f t="shared" si="279"/>
        <v>41700</v>
      </c>
      <c r="O390" s="107">
        <f t="shared" si="283"/>
        <v>1.020964360587002</v>
      </c>
      <c r="P390" s="132">
        <f t="shared" si="289"/>
        <v>1.1499999999999999</v>
      </c>
      <c r="Q390" s="180">
        <f t="shared" si="280"/>
        <v>58983.870967741925</v>
      </c>
      <c r="R390" s="144">
        <f t="shared" si="284"/>
        <v>58990</v>
      </c>
      <c r="S390" s="179">
        <f>VLOOKUP($B390,'Выгр Торг'!$B:$Q,S$1,0)</f>
        <v>47700</v>
      </c>
      <c r="T390" s="179">
        <f>VLOOKUP($B390,'Выгр Торг'!$B:$Q,T$1,0)</f>
        <v>58990</v>
      </c>
      <c r="U390" s="94">
        <f t="shared" si="290"/>
        <v>0</v>
      </c>
      <c r="V390" s="94">
        <f t="shared" si="291"/>
        <v>0</v>
      </c>
      <c r="W390" s="182">
        <f t="shared" si="285"/>
        <v>54860.7</v>
      </c>
      <c r="X390" s="218">
        <f>IFERROR(VLOOKUP($B390,'Из ГУГЛа'!$B:$G,6,0)*Z390+Y390,VLOOKUP($B390,'Из ГУГЛа'!$B:$G,6,0))</f>
        <v>51990</v>
      </c>
      <c r="Y390" s="220">
        <f t="shared" si="281"/>
        <v>10800</v>
      </c>
      <c r="Z390" s="133">
        <v>1</v>
      </c>
      <c r="AA390" s="133">
        <v>1300</v>
      </c>
      <c r="AB390" s="184">
        <f t="shared" si="286"/>
        <v>0.15011949685534587</v>
      </c>
      <c r="AC390" s="184">
        <f t="shared" si="287"/>
        <v>-5.5216387766878192E-2</v>
      </c>
      <c r="AD390" s="184">
        <f t="shared" si="288"/>
        <v>8.9937106918239085E-2</v>
      </c>
      <c r="AE390" s="222">
        <v>51990</v>
      </c>
      <c r="AF390" s="98" t="s">
        <v>619</v>
      </c>
      <c r="AH390" s="98" t="s">
        <v>127</v>
      </c>
    </row>
    <row r="391" spans="1:34" ht="46.5" thickTop="1" thickBot="1">
      <c r="A391" s="176" t="str">
        <f>INDEX('Выгр Торг'!$A:$A,MATCH($B391,'Выгр Торг'!$B:$B,0))</f>
        <v>Руль анатомический "Ferrum" Premium с обогревом для Лада Ларгус FL, Веста, XRAY</v>
      </c>
      <c r="B391" s="178">
        <v>341639</v>
      </c>
      <c r="C391" s="179">
        <f>VLOOKUP($B391,'Выгр Торг'!$B:$Q,C$1,0)</f>
        <v>341639</v>
      </c>
      <c r="D391" s="189" t="s">
        <v>127</v>
      </c>
      <c r="E391" s="176" t="str">
        <f>VLOOKUP($B391,'Выгр Торг'!$B:$Q,E$1,0)</f>
        <v>Руль анатомический "Ferrum" Premium с обогревом для Лада Ларгус FL, Веста, XRAY (Сине-зелёная нить, Чёрный мат)</v>
      </c>
      <c r="F391" s="179" t="str">
        <f>VLOOKUP($B391,'Выгр Торг'!$B:$Q,F$1,0)</f>
        <v>Y</v>
      </c>
      <c r="G391" s="179" t="str">
        <f>VLOOKUP($B391,'Выгр Торг'!$B:$Q,G$1,0)</f>
        <v>1</v>
      </c>
      <c r="H391" s="177">
        <v>166968</v>
      </c>
      <c r="I391" s="156"/>
      <c r="J391" s="160">
        <v>830</v>
      </c>
      <c r="K391" s="161">
        <v>870</v>
      </c>
      <c r="L391" s="180">
        <f t="shared" si="282"/>
        <v>47700</v>
      </c>
      <c r="M391" s="180">
        <f t="shared" si="278"/>
        <v>48700</v>
      </c>
      <c r="N391" s="180">
        <f t="shared" si="279"/>
        <v>41700</v>
      </c>
      <c r="O391" s="107">
        <f t="shared" si="283"/>
        <v>1.020964360587002</v>
      </c>
      <c r="P391" s="132">
        <f t="shared" si="289"/>
        <v>1.1499999999999999</v>
      </c>
      <c r="Q391" s="180">
        <f t="shared" si="280"/>
        <v>58983.870967741925</v>
      </c>
      <c r="R391" s="144">
        <f t="shared" si="284"/>
        <v>58990</v>
      </c>
      <c r="S391" s="179">
        <f>VLOOKUP($B391,'Выгр Торг'!$B:$Q,S$1,0)</f>
        <v>47700</v>
      </c>
      <c r="T391" s="179">
        <f>VLOOKUP($B391,'Выгр Торг'!$B:$Q,T$1,0)</f>
        <v>58990</v>
      </c>
      <c r="U391" s="94">
        <f t="shared" si="290"/>
        <v>0</v>
      </c>
      <c r="V391" s="94">
        <f t="shared" si="291"/>
        <v>0</v>
      </c>
      <c r="W391" s="182">
        <f t="shared" si="285"/>
        <v>54860.7</v>
      </c>
      <c r="X391" s="218">
        <f>IFERROR(VLOOKUP($B391,'Из ГУГЛа'!$B:$G,6,0)*Z391+Y391,VLOOKUP($B391,'Из ГУГЛа'!$B:$G,6,0))</f>
        <v>51990</v>
      </c>
      <c r="Y391" s="220">
        <f t="shared" si="281"/>
        <v>10800</v>
      </c>
      <c r="Z391" s="133">
        <v>1</v>
      </c>
      <c r="AA391" s="133">
        <v>1300</v>
      </c>
      <c r="AB391" s="184">
        <f t="shared" si="286"/>
        <v>0.15011949685534587</v>
      </c>
      <c r="AC391" s="184">
        <f t="shared" si="287"/>
        <v>-5.5216387766878192E-2</v>
      </c>
      <c r="AD391" s="184">
        <f t="shared" si="288"/>
        <v>8.9937106918239085E-2</v>
      </c>
      <c r="AE391" s="222">
        <v>51990</v>
      </c>
      <c r="AF391" s="98" t="s">
        <v>619</v>
      </c>
      <c r="AH391" s="98" t="s">
        <v>127</v>
      </c>
    </row>
    <row r="392" spans="1:34" ht="46.5" thickTop="1" thickBot="1">
      <c r="A392" s="176" t="str">
        <f>INDEX('Выгр Торг'!$A:$A,MATCH($B392,'Выгр Торг'!$B:$B,0))</f>
        <v>Руль анатомический "Ferrum" Premium с обогревом для Лада Ларгус FL, Веста, XRAY</v>
      </c>
      <c r="B392" s="178">
        <v>341640</v>
      </c>
      <c r="C392" s="179">
        <f>VLOOKUP($B392,'Выгр Торг'!$B:$Q,C$1,0)</f>
        <v>341640</v>
      </c>
      <c r="D392" s="189" t="s">
        <v>127</v>
      </c>
      <c r="E392" s="176" t="str">
        <f>VLOOKUP($B392,'Выгр Торг'!$B:$Q,E$1,0)</f>
        <v>Руль анатомический "Ferrum" Premium с обогревом для Лада Ларгус FL, Веста, XRAY (Синяя нить, Чёрный мат)</v>
      </c>
      <c r="F392" s="179" t="str">
        <f>VLOOKUP($B392,'Выгр Торг'!$B:$Q,F$1,0)</f>
        <v>Y</v>
      </c>
      <c r="G392" s="179" t="str">
        <f>VLOOKUP($B392,'Выгр Торг'!$B:$Q,G$1,0)</f>
        <v>1</v>
      </c>
      <c r="H392" s="177">
        <v>166968</v>
      </c>
      <c r="I392" s="156"/>
      <c r="J392" s="160">
        <v>830</v>
      </c>
      <c r="K392" s="161">
        <v>870</v>
      </c>
      <c r="L392" s="180">
        <f t="shared" si="282"/>
        <v>47700</v>
      </c>
      <c r="M392" s="180">
        <f t="shared" si="278"/>
        <v>48700</v>
      </c>
      <c r="N392" s="180">
        <f t="shared" si="279"/>
        <v>41700</v>
      </c>
      <c r="O392" s="107">
        <f t="shared" si="283"/>
        <v>1.020964360587002</v>
      </c>
      <c r="P392" s="132">
        <f t="shared" si="289"/>
        <v>1.1499999999999999</v>
      </c>
      <c r="Q392" s="180">
        <f t="shared" si="280"/>
        <v>58983.870967741925</v>
      </c>
      <c r="R392" s="144">
        <f t="shared" si="284"/>
        <v>58990</v>
      </c>
      <c r="S392" s="179">
        <f>VLOOKUP($B392,'Выгр Торг'!$B:$Q,S$1,0)</f>
        <v>47700</v>
      </c>
      <c r="T392" s="179">
        <f>VLOOKUP($B392,'Выгр Торг'!$B:$Q,T$1,0)</f>
        <v>58990</v>
      </c>
      <c r="U392" s="94">
        <f t="shared" si="290"/>
        <v>0</v>
      </c>
      <c r="V392" s="94">
        <f t="shared" si="291"/>
        <v>0</v>
      </c>
      <c r="W392" s="182">
        <f t="shared" si="285"/>
        <v>54860.7</v>
      </c>
      <c r="X392" s="218">
        <f>IFERROR(VLOOKUP($B392,'Из ГУГЛа'!$B:$G,6,0)*Z392+Y392,VLOOKUP($B392,'Из ГУГЛа'!$B:$G,6,0))</f>
        <v>51990</v>
      </c>
      <c r="Y392" s="220">
        <f t="shared" si="281"/>
        <v>10800</v>
      </c>
      <c r="Z392" s="133">
        <v>1</v>
      </c>
      <c r="AA392" s="133">
        <v>1300</v>
      </c>
      <c r="AB392" s="184">
        <f t="shared" si="286"/>
        <v>0.15011949685534587</v>
      </c>
      <c r="AC392" s="184">
        <f t="shared" si="287"/>
        <v>-5.5216387766878192E-2</v>
      </c>
      <c r="AD392" s="184">
        <f t="shared" si="288"/>
        <v>8.9937106918239085E-2</v>
      </c>
      <c r="AE392" s="222">
        <v>51990</v>
      </c>
      <c r="AF392" s="98" t="s">
        <v>619</v>
      </c>
      <c r="AH392" s="98" t="s">
        <v>127</v>
      </c>
    </row>
    <row r="393" spans="1:34" ht="46.5" thickTop="1" thickBot="1">
      <c r="A393" s="176" t="str">
        <f>INDEX('Выгр Торг'!$A:$A,MATCH($B393,'Выгр Торг'!$B:$B,0))</f>
        <v>Руль анатомический "Ferrum" Premium с обогревом для Лада Ларгус FL, Веста, XRAY</v>
      </c>
      <c r="B393" s="178">
        <v>341642</v>
      </c>
      <c r="C393" s="179">
        <f>VLOOKUP($B393,'Выгр Торг'!$B:$Q,C$1,0)</f>
        <v>341642</v>
      </c>
      <c r="D393" s="189" t="s">
        <v>127</v>
      </c>
      <c r="E393" s="176" t="str">
        <f>VLOOKUP($B393,'Выгр Торг'!$B:$Q,E$1,0)</f>
        <v>Руль анатомический "Ferrum" Premium с обогревом для Лада Ларгус FL, Веста, XRAY (Тёмно-серая нить, Чёрный мат)</v>
      </c>
      <c r="F393" s="179" t="str">
        <f>VLOOKUP($B393,'Выгр Торг'!$B:$Q,F$1,0)</f>
        <v>Y</v>
      </c>
      <c r="G393" s="179" t="str">
        <f>VLOOKUP($B393,'Выгр Торг'!$B:$Q,G$1,0)</f>
        <v>1</v>
      </c>
      <c r="H393" s="177">
        <v>166968</v>
      </c>
      <c r="I393" s="156"/>
      <c r="J393" s="160">
        <v>830</v>
      </c>
      <c r="K393" s="161">
        <v>870</v>
      </c>
      <c r="L393" s="180">
        <f t="shared" si="282"/>
        <v>47700</v>
      </c>
      <c r="M393" s="180">
        <f t="shared" si="278"/>
        <v>48700</v>
      </c>
      <c r="N393" s="180">
        <f t="shared" si="279"/>
        <v>41700</v>
      </c>
      <c r="O393" s="107">
        <f t="shared" si="283"/>
        <v>1.020964360587002</v>
      </c>
      <c r="P393" s="132">
        <f t="shared" si="289"/>
        <v>1.1499999999999999</v>
      </c>
      <c r="Q393" s="180">
        <f t="shared" si="280"/>
        <v>58983.870967741925</v>
      </c>
      <c r="R393" s="144">
        <f t="shared" si="284"/>
        <v>58990</v>
      </c>
      <c r="S393" s="179">
        <f>VLOOKUP($B393,'Выгр Торг'!$B:$Q,S$1,0)</f>
        <v>47700</v>
      </c>
      <c r="T393" s="179">
        <f>VLOOKUP($B393,'Выгр Торг'!$B:$Q,T$1,0)</f>
        <v>58990</v>
      </c>
      <c r="U393" s="94">
        <f t="shared" si="290"/>
        <v>0</v>
      </c>
      <c r="V393" s="94">
        <f t="shared" si="291"/>
        <v>0</v>
      </c>
      <c r="W393" s="182">
        <f t="shared" si="285"/>
        <v>54860.7</v>
      </c>
      <c r="X393" s="218">
        <f>IFERROR(VLOOKUP($B393,'Из ГУГЛа'!$B:$G,6,0)*Z393+Y393,VLOOKUP($B393,'Из ГУГЛа'!$B:$G,6,0))</f>
        <v>51990</v>
      </c>
      <c r="Y393" s="220">
        <f t="shared" si="281"/>
        <v>10800</v>
      </c>
      <c r="Z393" s="133">
        <v>1</v>
      </c>
      <c r="AA393" s="133">
        <v>1300</v>
      </c>
      <c r="AB393" s="184">
        <f t="shared" si="286"/>
        <v>0.15011949685534587</v>
      </c>
      <c r="AC393" s="184">
        <f t="shared" si="287"/>
        <v>-5.5216387766878192E-2</v>
      </c>
      <c r="AD393" s="184">
        <f t="shared" si="288"/>
        <v>8.9937106918239085E-2</v>
      </c>
      <c r="AE393" s="222">
        <v>51990</v>
      </c>
      <c r="AF393" s="98" t="s">
        <v>619</v>
      </c>
      <c r="AH393" s="98" t="s">
        <v>127</v>
      </c>
    </row>
    <row r="394" spans="1:34" ht="46.5" thickTop="1" thickBot="1">
      <c r="A394" s="176" t="str">
        <f>INDEX('Выгр Торг'!$A:$A,MATCH($B394,'Выгр Торг'!$B:$B,0))</f>
        <v>Руль анатомический "Ferrum" Premium с обогревом для Лада Ларгус FL, Веста, XRAY</v>
      </c>
      <c r="B394" s="178">
        <v>341634</v>
      </c>
      <c r="C394" s="179">
        <f>VLOOKUP($B394,'Выгр Торг'!$B:$Q,C$1,0)</f>
        <v>341634</v>
      </c>
      <c r="D394" s="189" t="s">
        <v>127</v>
      </c>
      <c r="E394" s="176" t="str">
        <f>VLOOKUP($B394,'Выгр Торг'!$B:$Q,E$1,0)</f>
        <v>Руль анатомический "Ferrum" Premium с обогревом для Лада Ларгус FL, Веста, XRAY (Фиолетовая нить, Чёрный мат)</v>
      </c>
      <c r="F394" s="179" t="str">
        <f>VLOOKUP($B394,'Выгр Торг'!$B:$Q,F$1,0)</f>
        <v>Y</v>
      </c>
      <c r="G394" s="179" t="str">
        <f>VLOOKUP($B394,'Выгр Торг'!$B:$Q,G$1,0)</f>
        <v>1</v>
      </c>
      <c r="H394" s="177">
        <v>166968</v>
      </c>
      <c r="I394" s="156"/>
      <c r="J394" s="160">
        <v>830</v>
      </c>
      <c r="K394" s="161">
        <v>870</v>
      </c>
      <c r="L394" s="180">
        <f t="shared" si="282"/>
        <v>47700</v>
      </c>
      <c r="M394" s="180">
        <f t="shared" si="278"/>
        <v>48700</v>
      </c>
      <c r="N394" s="180">
        <f t="shared" si="279"/>
        <v>41700</v>
      </c>
      <c r="O394" s="107">
        <f t="shared" si="283"/>
        <v>1.020964360587002</v>
      </c>
      <c r="P394" s="132">
        <f t="shared" si="289"/>
        <v>1.1499999999999999</v>
      </c>
      <c r="Q394" s="180">
        <f t="shared" si="280"/>
        <v>58983.870967741925</v>
      </c>
      <c r="R394" s="144">
        <f t="shared" si="284"/>
        <v>58990</v>
      </c>
      <c r="S394" s="179">
        <f>VLOOKUP($B394,'Выгр Торг'!$B:$Q,S$1,0)</f>
        <v>47700</v>
      </c>
      <c r="T394" s="179">
        <f>VLOOKUP($B394,'Выгр Торг'!$B:$Q,T$1,0)</f>
        <v>58990</v>
      </c>
      <c r="U394" s="94">
        <f t="shared" si="290"/>
        <v>0</v>
      </c>
      <c r="V394" s="94">
        <f t="shared" si="291"/>
        <v>0</v>
      </c>
      <c r="W394" s="182">
        <f t="shared" si="285"/>
        <v>54860.7</v>
      </c>
      <c r="X394" s="218">
        <f>IFERROR(VLOOKUP($B394,'Из ГУГЛа'!$B:$G,6,0)*Z394+Y394,VLOOKUP($B394,'Из ГУГЛа'!$B:$G,6,0))</f>
        <v>51990</v>
      </c>
      <c r="Y394" s="220">
        <f t="shared" si="281"/>
        <v>10800</v>
      </c>
      <c r="Z394" s="133">
        <v>1</v>
      </c>
      <c r="AA394" s="133">
        <v>1300</v>
      </c>
      <c r="AB394" s="184">
        <f t="shared" si="286"/>
        <v>0.15011949685534587</v>
      </c>
      <c r="AC394" s="184">
        <f t="shared" si="287"/>
        <v>-5.5216387766878192E-2</v>
      </c>
      <c r="AD394" s="184">
        <f t="shared" si="288"/>
        <v>8.9937106918239085E-2</v>
      </c>
      <c r="AE394" s="222">
        <v>51990</v>
      </c>
      <c r="AF394" s="98" t="s">
        <v>619</v>
      </c>
      <c r="AH394" s="98" t="s">
        <v>127</v>
      </c>
    </row>
    <row r="395" spans="1:34" ht="46.5" thickTop="1" thickBot="1">
      <c r="A395" s="176" t="str">
        <f>INDEX('Выгр Торг'!$A:$A,MATCH($B395,'Выгр Торг'!$B:$B,0))</f>
        <v>Руль анатомический "Ferrum" Premium с обогревом для Лада Ларгус FL, Веста, XRAY</v>
      </c>
      <c r="B395" s="178">
        <v>132688</v>
      </c>
      <c r="C395" s="179">
        <f>VLOOKUP($B395,'Выгр Торг'!$B:$Q,C$1,0)</f>
        <v>166976</v>
      </c>
      <c r="D395" s="189" t="s">
        <v>127</v>
      </c>
      <c r="E395" s="176" t="str">
        <f>VLOOKUP($B395,'Выгр Торг'!$B:$Q,E$1,0)</f>
        <v>Руль анатомический "Ferrum Group" Premium с обогревом для Лада Ларгус FL, Веста, XRAY (Жёлтая нить, Чёрный глянец)</v>
      </c>
      <c r="F395" s="179" t="str">
        <f>VLOOKUP($B395,'Выгр Торг'!$B:$Q,F$1,0)</f>
        <v>Y</v>
      </c>
      <c r="G395" s="179" t="str">
        <f>VLOOKUP($B395,'Выгр Торг'!$B:$Q,G$1,0)</f>
        <v>1</v>
      </c>
      <c r="H395" s="177">
        <v>166968</v>
      </c>
      <c r="I395" s="156"/>
      <c r="J395" s="160"/>
      <c r="K395" s="161">
        <v>870</v>
      </c>
      <c r="L395" s="180">
        <f t="shared" si="282"/>
        <v>46870</v>
      </c>
      <c r="M395" s="180">
        <f t="shared" si="278"/>
        <v>47870</v>
      </c>
      <c r="N395" s="180">
        <f t="shared" si="279"/>
        <v>40870</v>
      </c>
      <c r="O395" s="107">
        <f t="shared" si="283"/>
        <v>1.0213356091316408</v>
      </c>
      <c r="P395" s="132">
        <f t="shared" si="289"/>
        <v>1.1499999999999999</v>
      </c>
      <c r="Q395" s="180">
        <f t="shared" si="280"/>
        <v>57957.52688172042</v>
      </c>
      <c r="R395" s="144">
        <f t="shared" si="284"/>
        <v>57990</v>
      </c>
      <c r="S395" s="179">
        <f>VLOOKUP($B395,'Выгр Торг'!$B:$Q,S$1,0)</f>
        <v>46870</v>
      </c>
      <c r="T395" s="179">
        <f>VLOOKUP($B395,'Выгр Торг'!$B:$Q,T$1,0)</f>
        <v>57990</v>
      </c>
      <c r="U395" s="94">
        <f t="shared" si="290"/>
        <v>0</v>
      </c>
      <c r="V395" s="94">
        <f t="shared" si="291"/>
        <v>0</v>
      </c>
      <c r="W395" s="182">
        <f t="shared" si="285"/>
        <v>53930.7</v>
      </c>
      <c r="X395" s="218">
        <f>IFERROR(VLOOKUP($B395,'Из ГУГЛа'!$B:$G,6,0)*Z395+Y395,VLOOKUP($B395,'Из ГУГЛа'!$B:$G,6,0))</f>
        <v>51160</v>
      </c>
      <c r="Y395" s="220">
        <f t="shared" si="281"/>
        <v>9970</v>
      </c>
      <c r="Z395" s="133">
        <v>1</v>
      </c>
      <c r="AA395" s="133"/>
      <c r="AB395" s="184">
        <f t="shared" si="286"/>
        <v>0.1506443353957756</v>
      </c>
      <c r="AC395" s="184">
        <f t="shared" si="287"/>
        <v>-5.4157544956997594E-2</v>
      </c>
      <c r="AD395" s="184">
        <f t="shared" si="288"/>
        <v>9.152976317473871E-2</v>
      </c>
      <c r="AE395" s="222">
        <v>51160</v>
      </c>
      <c r="AF395" s="98" t="s">
        <v>619</v>
      </c>
      <c r="AH395" s="98" t="s">
        <v>127</v>
      </c>
    </row>
    <row r="396" spans="1:34" ht="46.5" thickTop="1" thickBot="1">
      <c r="A396" s="125" t="str">
        <f>INDEX('Выгр Торг'!$A:$A,MATCH($B396,'Выгр Торг'!$B:$B,0))</f>
        <v>Руль анатомический "Ferrum" Premium с обогревом для Лада Ларгус FL, Веста, XRAY</v>
      </c>
      <c r="B396" s="126">
        <v>132689</v>
      </c>
      <c r="C396" s="127">
        <f>VLOOKUP($B396,'Выгр Торг'!$B:$Q,C$1,0)</f>
        <v>166980</v>
      </c>
      <c r="D396" s="128" t="s">
        <v>127</v>
      </c>
      <c r="E396" s="125" t="str">
        <f>VLOOKUP($B396,'Выгр Торг'!$B:$Q,E$1,0)</f>
        <v>Руль анатомический "Ferrum Group" Premium с обогревом для Лада Ларгус FL, Веста, XRAY (Зелёная нить, Чёрный глянец)</v>
      </c>
      <c r="F396" s="127" t="str">
        <f>VLOOKUP($B396,'Выгр Торг'!$B:$Q,F$1,0)</f>
        <v>Y</v>
      </c>
      <c r="G396" s="127" t="str">
        <f>VLOOKUP($B396,'Выгр Торг'!$B:$Q,G$1,0)</f>
        <v>1</v>
      </c>
      <c r="H396" s="40">
        <v>166968</v>
      </c>
      <c r="I396" s="156"/>
      <c r="J396" s="160"/>
      <c r="K396" s="161">
        <v>870</v>
      </c>
      <c r="L396" s="130">
        <f t="shared" si="241"/>
        <v>46870</v>
      </c>
      <c r="M396" s="130">
        <f t="shared" si="278"/>
        <v>47870</v>
      </c>
      <c r="N396" s="130">
        <f t="shared" si="279"/>
        <v>40870</v>
      </c>
      <c r="O396" s="132">
        <f t="shared" si="263"/>
        <v>1.0213356091316408</v>
      </c>
      <c r="P396" s="132">
        <f t="shared" si="289"/>
        <v>1.1499999999999999</v>
      </c>
      <c r="Q396" s="130">
        <f t="shared" si="280"/>
        <v>57957.52688172042</v>
      </c>
      <c r="R396" s="148">
        <f t="shared" si="265"/>
        <v>57990</v>
      </c>
      <c r="S396" s="127">
        <f>VLOOKUP($B396,'Выгр Торг'!$B:$Q,S$1,0)</f>
        <v>46870</v>
      </c>
      <c r="T396" s="127">
        <f>VLOOKUP($B396,'Выгр Торг'!$B:$Q,T$1,0)</f>
        <v>57990</v>
      </c>
      <c r="U396" s="94">
        <f t="shared" si="290"/>
        <v>0</v>
      </c>
      <c r="V396" s="94">
        <f t="shared" si="291"/>
        <v>0</v>
      </c>
      <c r="W396" s="153">
        <f t="shared" si="255"/>
        <v>53930.7</v>
      </c>
      <c r="X396" s="209">
        <f>IFERROR(VLOOKUP($B396,'Из ГУГЛа'!$B:$G,6,0)*Z396+Y396,VLOOKUP($B396,'Из ГУГЛа'!$B:$G,6,0))</f>
        <v>51160</v>
      </c>
      <c r="Y396" s="220">
        <f t="shared" si="281"/>
        <v>9970</v>
      </c>
      <c r="Z396" s="133">
        <v>1</v>
      </c>
      <c r="AA396" s="134"/>
      <c r="AB396" s="135">
        <f t="shared" si="245"/>
        <v>0.1506443353957756</v>
      </c>
      <c r="AC396" s="135">
        <f t="shared" si="246"/>
        <v>-5.4157544956997594E-2</v>
      </c>
      <c r="AD396" s="135">
        <f t="shared" si="247"/>
        <v>9.152976317473871E-2</v>
      </c>
      <c r="AE396" s="222">
        <v>51160</v>
      </c>
      <c r="AF396" s="98" t="s">
        <v>619</v>
      </c>
      <c r="AH396" s="98" t="s">
        <v>127</v>
      </c>
    </row>
    <row r="397" spans="1:34" ht="46.5" thickTop="1" thickBot="1">
      <c r="A397" s="125" t="str">
        <f>INDEX('Выгр Торг'!$A:$A,MATCH($B397,'Выгр Торг'!$B:$B,0))</f>
        <v>Руль анатомический "Ferrum" Premium с обогревом для Лада Ларгус FL, Веста, XRAY</v>
      </c>
      <c r="B397" s="126">
        <v>132690</v>
      </c>
      <c r="C397" s="127">
        <f>VLOOKUP($B397,'Выгр Торг'!$B:$Q,C$1,0)</f>
        <v>166972</v>
      </c>
      <c r="D397" s="128" t="s">
        <v>127</v>
      </c>
      <c r="E397" s="125" t="str">
        <f>VLOOKUP($B397,'Выгр Торг'!$B:$Q,E$1,0)</f>
        <v>Руль анатомический "Ferrum Group" Premium с обогревом для Лада Ларгус FL, Веста, XRAY (Коричневая нить, Чёрный глянец)</v>
      </c>
      <c r="F397" s="127" t="str">
        <f>VLOOKUP($B397,'Выгр Торг'!$B:$Q,F$1,0)</f>
        <v>Y</v>
      </c>
      <c r="G397" s="127" t="str">
        <f>VLOOKUP($B397,'Выгр Торг'!$B:$Q,G$1,0)</f>
        <v>1</v>
      </c>
      <c r="H397" s="40">
        <v>166968</v>
      </c>
      <c r="I397" s="156"/>
      <c r="J397" s="160"/>
      <c r="K397" s="161">
        <v>870</v>
      </c>
      <c r="L397" s="130">
        <f t="shared" si="241"/>
        <v>46870</v>
      </c>
      <c r="M397" s="130">
        <f t="shared" si="278"/>
        <v>47870</v>
      </c>
      <c r="N397" s="130">
        <f t="shared" si="279"/>
        <v>40870</v>
      </c>
      <c r="O397" s="132">
        <f t="shared" si="263"/>
        <v>1.0213356091316408</v>
      </c>
      <c r="P397" s="132">
        <f t="shared" si="289"/>
        <v>1.1499999999999999</v>
      </c>
      <c r="Q397" s="130">
        <f t="shared" si="280"/>
        <v>57957.52688172042</v>
      </c>
      <c r="R397" s="148">
        <f t="shared" si="265"/>
        <v>57990</v>
      </c>
      <c r="S397" s="127">
        <f>VLOOKUP($B397,'Выгр Торг'!$B:$Q,S$1,0)</f>
        <v>46870</v>
      </c>
      <c r="T397" s="127">
        <f>VLOOKUP($B397,'Выгр Торг'!$B:$Q,T$1,0)</f>
        <v>57990</v>
      </c>
      <c r="U397" s="94">
        <f t="shared" si="290"/>
        <v>0</v>
      </c>
      <c r="V397" s="94">
        <f t="shared" si="291"/>
        <v>0</v>
      </c>
      <c r="W397" s="153">
        <f t="shared" si="255"/>
        <v>53930.7</v>
      </c>
      <c r="X397" s="209">
        <f>IFERROR(VLOOKUP($B397,'Из ГУГЛа'!$B:$G,6,0)*Z397+Y397,VLOOKUP($B397,'Из ГУГЛа'!$B:$G,6,0))</f>
        <v>51160</v>
      </c>
      <c r="Y397" s="220">
        <f t="shared" si="281"/>
        <v>9970</v>
      </c>
      <c r="Z397" s="133">
        <v>1</v>
      </c>
      <c r="AA397" s="134"/>
      <c r="AB397" s="135">
        <f t="shared" si="245"/>
        <v>0.1506443353957756</v>
      </c>
      <c r="AC397" s="135">
        <f t="shared" si="246"/>
        <v>-5.4157544956997594E-2</v>
      </c>
      <c r="AD397" s="135">
        <f t="shared" si="247"/>
        <v>9.152976317473871E-2</v>
      </c>
      <c r="AE397" s="222">
        <v>51160</v>
      </c>
      <c r="AF397" s="98" t="s">
        <v>619</v>
      </c>
      <c r="AH397" s="98" t="s">
        <v>127</v>
      </c>
    </row>
    <row r="398" spans="1:34" ht="46.5" thickTop="1" thickBot="1">
      <c r="A398" s="125" t="str">
        <f>INDEX('Выгр Торг'!$A:$A,MATCH($B398,'Выгр Торг'!$B:$B,0))</f>
        <v>Руль анатомический "Ferrum" Premium с обогревом для Лада Ларгус FL, Веста, XRAY</v>
      </c>
      <c r="B398" s="126">
        <v>132691</v>
      </c>
      <c r="C398" s="127">
        <f>VLOOKUP($B398,'Выгр Торг'!$B:$Q,C$1,0)</f>
        <v>166979</v>
      </c>
      <c r="D398" s="128" t="s">
        <v>127</v>
      </c>
      <c r="E398" s="125" t="str">
        <f>VLOOKUP($B398,'Выгр Торг'!$B:$Q,E$1,0)</f>
        <v>Руль анатомический "Ferrum Group" Premium с обогревом для Лада Ларгус FL, Веста, XRAY (Красная нить, Чёрный глянец)</v>
      </c>
      <c r="F398" s="127" t="str">
        <f>VLOOKUP($B398,'Выгр Торг'!$B:$Q,F$1,0)</f>
        <v>Y</v>
      </c>
      <c r="G398" s="127" t="str">
        <f>VLOOKUP($B398,'Выгр Торг'!$B:$Q,G$1,0)</f>
        <v>1</v>
      </c>
      <c r="H398" s="40">
        <v>166968</v>
      </c>
      <c r="I398" s="156"/>
      <c r="J398" s="160"/>
      <c r="K398" s="161">
        <v>870</v>
      </c>
      <c r="L398" s="130">
        <f t="shared" si="241"/>
        <v>46870</v>
      </c>
      <c r="M398" s="130">
        <f t="shared" si="278"/>
        <v>47870</v>
      </c>
      <c r="N398" s="130">
        <f t="shared" si="279"/>
        <v>40870</v>
      </c>
      <c r="O398" s="132">
        <f t="shared" si="263"/>
        <v>1.0213356091316408</v>
      </c>
      <c r="P398" s="132">
        <f t="shared" si="289"/>
        <v>1.1499999999999999</v>
      </c>
      <c r="Q398" s="130">
        <f t="shared" si="280"/>
        <v>57957.52688172042</v>
      </c>
      <c r="R398" s="148">
        <f t="shared" si="265"/>
        <v>57990</v>
      </c>
      <c r="S398" s="127">
        <f>VLOOKUP($B398,'Выгр Торг'!$B:$Q,S$1,0)</f>
        <v>46870</v>
      </c>
      <c r="T398" s="127">
        <f>VLOOKUP($B398,'Выгр Торг'!$B:$Q,T$1,0)</f>
        <v>57990</v>
      </c>
      <c r="U398" s="94">
        <f t="shared" si="290"/>
        <v>0</v>
      </c>
      <c r="V398" s="94">
        <f t="shared" si="291"/>
        <v>0</v>
      </c>
      <c r="W398" s="153">
        <f t="shared" si="255"/>
        <v>53930.7</v>
      </c>
      <c r="X398" s="209">
        <f>IFERROR(VLOOKUP($B398,'Из ГУГЛа'!$B:$G,6,0)*Z398+Y398,VLOOKUP($B398,'Из ГУГЛа'!$B:$G,6,0))</f>
        <v>51160</v>
      </c>
      <c r="Y398" s="220">
        <f t="shared" si="281"/>
        <v>9970</v>
      </c>
      <c r="Z398" s="133">
        <v>1</v>
      </c>
      <c r="AA398" s="134"/>
      <c r="AB398" s="135">
        <f t="shared" si="245"/>
        <v>0.1506443353957756</v>
      </c>
      <c r="AC398" s="135">
        <f t="shared" si="246"/>
        <v>-5.4157544956997594E-2</v>
      </c>
      <c r="AD398" s="135">
        <f t="shared" si="247"/>
        <v>9.152976317473871E-2</v>
      </c>
      <c r="AE398" s="222">
        <v>51160</v>
      </c>
      <c r="AF398" s="98" t="s">
        <v>619</v>
      </c>
      <c r="AH398" s="98" t="s">
        <v>127</v>
      </c>
    </row>
    <row r="399" spans="1:34" ht="46.5" thickTop="1" thickBot="1">
      <c r="A399" s="125" t="str">
        <f>INDEX('Выгр Торг'!$A:$A,MATCH($B399,'Выгр Торг'!$B:$B,0))</f>
        <v>Руль анатомический "Ferrum" Premium с обогревом для Лада Ларгус FL, Веста, XRAY</v>
      </c>
      <c r="B399" s="126">
        <v>132692</v>
      </c>
      <c r="C399" s="127">
        <f>VLOOKUP($B399,'Выгр Торг'!$B:$Q,C$1,0)</f>
        <v>166975</v>
      </c>
      <c r="D399" s="128" t="s">
        <v>127</v>
      </c>
      <c r="E399" s="125" t="str">
        <f>VLOOKUP($B399,'Выгр Торг'!$B:$Q,E$1,0)</f>
        <v>Руль анатомический "Ferrum Group" Premium с обогревом для Лада Ларгус FL, Веста, XRAY (Оранжевая нить, Чёрный глянец)</v>
      </c>
      <c r="F399" s="127" t="str">
        <f>VLOOKUP($B399,'Выгр Торг'!$B:$Q,F$1,0)</f>
        <v>Y</v>
      </c>
      <c r="G399" s="127" t="str">
        <f>VLOOKUP($B399,'Выгр Торг'!$B:$Q,G$1,0)</f>
        <v>1</v>
      </c>
      <c r="H399" s="40">
        <v>166968</v>
      </c>
      <c r="I399" s="156"/>
      <c r="J399" s="160"/>
      <c r="K399" s="161">
        <v>870</v>
      </c>
      <c r="L399" s="130">
        <f t="shared" si="241"/>
        <v>46870</v>
      </c>
      <c r="M399" s="130">
        <f t="shared" si="278"/>
        <v>47870</v>
      </c>
      <c r="N399" s="130">
        <f t="shared" si="279"/>
        <v>40870</v>
      </c>
      <c r="O399" s="132">
        <f t="shared" si="263"/>
        <v>1.0213356091316408</v>
      </c>
      <c r="P399" s="132">
        <f t="shared" si="289"/>
        <v>1.1499999999999999</v>
      </c>
      <c r="Q399" s="130">
        <f t="shared" si="280"/>
        <v>57957.52688172042</v>
      </c>
      <c r="R399" s="148">
        <f t="shared" si="265"/>
        <v>57990</v>
      </c>
      <c r="S399" s="127">
        <f>VLOOKUP($B399,'Выгр Торг'!$B:$Q,S$1,0)</f>
        <v>46870</v>
      </c>
      <c r="T399" s="127">
        <f>VLOOKUP($B399,'Выгр Торг'!$B:$Q,T$1,0)</f>
        <v>57990</v>
      </c>
      <c r="U399" s="94">
        <f t="shared" si="290"/>
        <v>0</v>
      </c>
      <c r="V399" s="94">
        <f t="shared" si="291"/>
        <v>0</v>
      </c>
      <c r="W399" s="153">
        <f t="shared" si="255"/>
        <v>53930.7</v>
      </c>
      <c r="X399" s="209">
        <f>IFERROR(VLOOKUP($B399,'Из ГУГЛа'!$B:$G,6,0)*Z399+Y399,VLOOKUP($B399,'Из ГУГЛа'!$B:$G,6,0))</f>
        <v>51160</v>
      </c>
      <c r="Y399" s="220">
        <f t="shared" si="281"/>
        <v>9970</v>
      </c>
      <c r="Z399" s="133">
        <v>1</v>
      </c>
      <c r="AA399" s="134"/>
      <c r="AB399" s="135">
        <f t="shared" si="245"/>
        <v>0.1506443353957756</v>
      </c>
      <c r="AC399" s="135">
        <f t="shared" si="246"/>
        <v>-5.4157544956997594E-2</v>
      </c>
      <c r="AD399" s="135">
        <f t="shared" si="247"/>
        <v>9.152976317473871E-2</v>
      </c>
      <c r="AE399" s="222">
        <v>51160</v>
      </c>
      <c r="AF399" s="98" t="s">
        <v>619</v>
      </c>
      <c r="AH399" s="98" t="s">
        <v>127</v>
      </c>
    </row>
    <row r="400" spans="1:34" ht="46.5" thickTop="1" thickBot="1">
      <c r="A400" s="125" t="str">
        <f>INDEX('Выгр Торг'!$A:$A,MATCH($B400,'Выгр Торг'!$B:$B,0))</f>
        <v>Руль анатомический "Ferrum" Premium с обогревом для Лада Ларгус FL, Веста, XRAY</v>
      </c>
      <c r="B400" s="126">
        <v>132693</v>
      </c>
      <c r="C400" s="127">
        <f>VLOOKUP($B400,'Выгр Торг'!$B:$Q,C$1,0)</f>
        <v>166977</v>
      </c>
      <c r="D400" s="128" t="s">
        <v>127</v>
      </c>
      <c r="E400" s="125" t="str">
        <f>VLOOKUP($B400,'Выгр Торг'!$B:$Q,E$1,0)</f>
        <v>Руль анатомический "Ferrum" Premium с обогревом для Лада Ларгус FL, Веста, XRAY (Салатовая нить, Чёрный глянец)</v>
      </c>
      <c r="F400" s="127" t="str">
        <f>VLOOKUP($B400,'Выгр Торг'!$B:$Q,F$1,0)</f>
        <v>Y</v>
      </c>
      <c r="G400" s="127" t="str">
        <f>VLOOKUP($B400,'Выгр Торг'!$B:$Q,G$1,0)</f>
        <v>1</v>
      </c>
      <c r="H400" s="40">
        <v>166968</v>
      </c>
      <c r="I400" s="156"/>
      <c r="J400" s="160"/>
      <c r="K400" s="161">
        <v>870</v>
      </c>
      <c r="L400" s="130">
        <f t="shared" si="241"/>
        <v>46870</v>
      </c>
      <c r="M400" s="130">
        <f t="shared" si="278"/>
        <v>47870</v>
      </c>
      <c r="N400" s="130">
        <f t="shared" si="279"/>
        <v>40870</v>
      </c>
      <c r="O400" s="132">
        <f t="shared" si="263"/>
        <v>1.0213356091316408</v>
      </c>
      <c r="P400" s="132">
        <f t="shared" si="289"/>
        <v>1.1499999999999999</v>
      </c>
      <c r="Q400" s="130">
        <f t="shared" si="280"/>
        <v>57957.52688172042</v>
      </c>
      <c r="R400" s="148">
        <f t="shared" si="265"/>
        <v>57990</v>
      </c>
      <c r="S400" s="127">
        <f>VLOOKUP($B400,'Выгр Торг'!$B:$Q,S$1,0)</f>
        <v>46870</v>
      </c>
      <c r="T400" s="127">
        <f>VLOOKUP($B400,'Выгр Торг'!$B:$Q,T$1,0)</f>
        <v>57990</v>
      </c>
      <c r="U400" s="94">
        <f t="shared" si="290"/>
        <v>0</v>
      </c>
      <c r="V400" s="94">
        <f t="shared" si="291"/>
        <v>0</v>
      </c>
      <c r="W400" s="153">
        <f t="shared" si="255"/>
        <v>53930.7</v>
      </c>
      <c r="X400" s="209">
        <f>IFERROR(VLOOKUP($B400,'Из ГУГЛа'!$B:$G,6,0)*Z400+Y400,VLOOKUP($B400,'Из ГУГЛа'!$B:$G,6,0))</f>
        <v>51160</v>
      </c>
      <c r="Y400" s="220">
        <f t="shared" si="281"/>
        <v>9970</v>
      </c>
      <c r="Z400" s="133">
        <v>1</v>
      </c>
      <c r="AA400" s="134"/>
      <c r="AB400" s="135">
        <f t="shared" si="245"/>
        <v>0.1506443353957756</v>
      </c>
      <c r="AC400" s="135">
        <f t="shared" si="246"/>
        <v>-5.4157544956997594E-2</v>
      </c>
      <c r="AD400" s="135">
        <f t="shared" si="247"/>
        <v>9.152976317473871E-2</v>
      </c>
      <c r="AE400" s="222">
        <v>51160</v>
      </c>
      <c r="AF400" s="98" t="s">
        <v>619</v>
      </c>
      <c r="AH400" s="98" t="s">
        <v>127</v>
      </c>
    </row>
    <row r="401" spans="1:34" ht="46.5" thickTop="1" thickBot="1">
      <c r="A401" s="125" t="str">
        <f>INDEX('Выгр Торг'!$A:$A,MATCH($B401,'Выгр Торг'!$B:$B,0))</f>
        <v>Руль анатомический "Ferrum" Premium с обогревом для Лада Ларгус FL, Веста, XRAY</v>
      </c>
      <c r="B401" s="126">
        <v>132694</v>
      </c>
      <c r="C401" s="127">
        <f>VLOOKUP($B401,'Выгр Торг'!$B:$Q,C$1,0)</f>
        <v>166978</v>
      </c>
      <c r="D401" s="128" t="s">
        <v>127</v>
      </c>
      <c r="E401" s="125" t="str">
        <f>VLOOKUP($B401,'Выгр Торг'!$B:$Q,E$1,0)</f>
        <v>Руль анатомический "Ferrum" Premium с обогревом для Лада Ларгус FL, Веста, XRAY (Светло-серая нить, Чёрный глянец)</v>
      </c>
      <c r="F401" s="127" t="str">
        <f>VLOOKUP($B401,'Выгр Торг'!$B:$Q,F$1,0)</f>
        <v>Y</v>
      </c>
      <c r="G401" s="127" t="str">
        <f>VLOOKUP($B401,'Выгр Торг'!$B:$Q,G$1,0)</f>
        <v>1</v>
      </c>
      <c r="H401" s="40">
        <v>166968</v>
      </c>
      <c r="I401" s="156"/>
      <c r="J401" s="160"/>
      <c r="K401" s="161">
        <v>870</v>
      </c>
      <c r="L401" s="130">
        <f t="shared" si="241"/>
        <v>46870</v>
      </c>
      <c r="M401" s="130">
        <f t="shared" si="278"/>
        <v>47870</v>
      </c>
      <c r="N401" s="130">
        <f t="shared" si="279"/>
        <v>40870</v>
      </c>
      <c r="O401" s="132">
        <f t="shared" si="263"/>
        <v>1.0213356091316408</v>
      </c>
      <c r="P401" s="132">
        <f t="shared" si="289"/>
        <v>1.1499999999999999</v>
      </c>
      <c r="Q401" s="130">
        <f t="shared" si="280"/>
        <v>57957.52688172042</v>
      </c>
      <c r="R401" s="148">
        <f t="shared" si="265"/>
        <v>57990</v>
      </c>
      <c r="S401" s="127">
        <f>VLOOKUP($B401,'Выгр Торг'!$B:$Q,S$1,0)</f>
        <v>46870</v>
      </c>
      <c r="T401" s="127">
        <f>VLOOKUP($B401,'Выгр Торг'!$B:$Q,T$1,0)</f>
        <v>57990</v>
      </c>
      <c r="U401" s="94">
        <f t="shared" si="290"/>
        <v>0</v>
      </c>
      <c r="V401" s="94">
        <f t="shared" si="291"/>
        <v>0</v>
      </c>
      <c r="W401" s="153">
        <f t="shared" si="255"/>
        <v>53930.7</v>
      </c>
      <c r="X401" s="209">
        <f>IFERROR(VLOOKUP($B401,'Из ГУГЛа'!$B:$G,6,0)*Z401+Y401,VLOOKUP($B401,'Из ГУГЛа'!$B:$G,6,0))</f>
        <v>51160</v>
      </c>
      <c r="Y401" s="220">
        <f t="shared" si="281"/>
        <v>9970</v>
      </c>
      <c r="Z401" s="133">
        <v>1</v>
      </c>
      <c r="AA401" s="134"/>
      <c r="AB401" s="135">
        <f t="shared" si="245"/>
        <v>0.1506443353957756</v>
      </c>
      <c r="AC401" s="135">
        <f t="shared" si="246"/>
        <v>-5.4157544956997594E-2</v>
      </c>
      <c r="AD401" s="135">
        <f t="shared" si="247"/>
        <v>9.152976317473871E-2</v>
      </c>
      <c r="AE401" s="222">
        <v>51160</v>
      </c>
      <c r="AF401" s="98" t="s">
        <v>619</v>
      </c>
      <c r="AH401" s="98" t="s">
        <v>127</v>
      </c>
    </row>
    <row r="402" spans="1:34" ht="46.5" thickTop="1" thickBot="1">
      <c r="A402" s="125" t="str">
        <f>INDEX('Выгр Торг'!$A:$A,MATCH($B402,'Выгр Торг'!$B:$B,0))</f>
        <v>Руль анатомический "Ferrum" Premium с обогревом для Лада Ларгус FL, Веста, XRAY</v>
      </c>
      <c r="B402" s="126">
        <v>132695</v>
      </c>
      <c r="C402" s="127">
        <f>VLOOKUP($B402,'Выгр Торг'!$B:$Q,C$1,0)</f>
        <v>166974</v>
      </c>
      <c r="D402" s="128" t="s">
        <v>127</v>
      </c>
      <c r="E402" s="125" t="str">
        <f>VLOOKUP($B402,'Выгр Торг'!$B:$Q,E$1,0)</f>
        <v>Руль анатомический "Ferrum" Premium с обогревом для Лада Ларгус FL, Веста, XRAY (Сине-зелёная нить, Чёрный глянец)</v>
      </c>
      <c r="F402" s="127" t="str">
        <f>VLOOKUP($B402,'Выгр Торг'!$B:$Q,F$1,0)</f>
        <v>Y</v>
      </c>
      <c r="G402" s="127" t="str">
        <f>VLOOKUP($B402,'Выгр Торг'!$B:$Q,G$1,0)</f>
        <v>1</v>
      </c>
      <c r="H402" s="40">
        <v>166968</v>
      </c>
      <c r="I402" s="156"/>
      <c r="J402" s="160"/>
      <c r="K402" s="161">
        <v>870</v>
      </c>
      <c r="L402" s="130">
        <f t="shared" si="241"/>
        <v>46870</v>
      </c>
      <c r="M402" s="130">
        <f t="shared" si="278"/>
        <v>47870</v>
      </c>
      <c r="N402" s="130">
        <f t="shared" si="279"/>
        <v>40870</v>
      </c>
      <c r="O402" s="132">
        <f t="shared" si="263"/>
        <v>1.0213356091316408</v>
      </c>
      <c r="P402" s="132">
        <f t="shared" si="289"/>
        <v>1.1499999999999999</v>
      </c>
      <c r="Q402" s="130">
        <f t="shared" si="280"/>
        <v>57957.52688172042</v>
      </c>
      <c r="R402" s="148">
        <f t="shared" si="265"/>
        <v>57990</v>
      </c>
      <c r="S402" s="127">
        <f>VLOOKUP($B402,'Выгр Торг'!$B:$Q,S$1,0)</f>
        <v>46870</v>
      </c>
      <c r="T402" s="127">
        <f>VLOOKUP($B402,'Выгр Торг'!$B:$Q,T$1,0)</f>
        <v>57990</v>
      </c>
      <c r="U402" s="94">
        <f t="shared" si="290"/>
        <v>0</v>
      </c>
      <c r="V402" s="94">
        <f t="shared" si="291"/>
        <v>0</v>
      </c>
      <c r="W402" s="153">
        <f t="shared" si="255"/>
        <v>53930.7</v>
      </c>
      <c r="X402" s="209">
        <f>IFERROR(VLOOKUP($B402,'Из ГУГЛа'!$B:$G,6,0)*Z402+Y402,VLOOKUP($B402,'Из ГУГЛа'!$B:$G,6,0))</f>
        <v>51160</v>
      </c>
      <c r="Y402" s="220">
        <f t="shared" si="281"/>
        <v>9970</v>
      </c>
      <c r="Z402" s="133">
        <v>1</v>
      </c>
      <c r="AA402" s="134"/>
      <c r="AB402" s="135">
        <f t="shared" si="245"/>
        <v>0.1506443353957756</v>
      </c>
      <c r="AC402" s="135">
        <f t="shared" si="246"/>
        <v>-5.4157544956997594E-2</v>
      </c>
      <c r="AD402" s="135">
        <f t="shared" si="247"/>
        <v>9.152976317473871E-2</v>
      </c>
      <c r="AE402" s="222">
        <v>51160</v>
      </c>
      <c r="AF402" s="98" t="s">
        <v>619</v>
      </c>
      <c r="AH402" s="98" t="s">
        <v>127</v>
      </c>
    </row>
    <row r="403" spans="1:34" ht="46.5" thickTop="1" thickBot="1">
      <c r="A403" s="125" t="str">
        <f>INDEX('Выгр Торг'!$A:$A,MATCH($B403,'Выгр Торг'!$B:$B,0))</f>
        <v>Руль анатомический "Ferrum" Premium с обогревом для Лада Ларгус FL, Веста, XRAY</v>
      </c>
      <c r="B403" s="126">
        <v>132696</v>
      </c>
      <c r="C403" s="127">
        <f>VLOOKUP($B403,'Выгр Торг'!$B:$Q,C$1,0)</f>
        <v>166973</v>
      </c>
      <c r="D403" s="128" t="s">
        <v>127</v>
      </c>
      <c r="E403" s="125" t="str">
        <f>VLOOKUP($B403,'Выгр Торг'!$B:$Q,E$1,0)</f>
        <v>Руль анатомический "Ferrum" Premium с обогревом для Лада Ларгус FL, Веста, XRAY (Синяя нить, Чёрный глянец)</v>
      </c>
      <c r="F403" s="127" t="str">
        <f>VLOOKUP($B403,'Выгр Торг'!$B:$Q,F$1,0)</f>
        <v>Y</v>
      </c>
      <c r="G403" s="127" t="str">
        <f>VLOOKUP($B403,'Выгр Торг'!$B:$Q,G$1,0)</f>
        <v>1</v>
      </c>
      <c r="H403" s="40">
        <v>166968</v>
      </c>
      <c r="I403" s="156"/>
      <c r="J403" s="160"/>
      <c r="K403" s="161">
        <v>870</v>
      </c>
      <c r="L403" s="130">
        <f t="shared" si="241"/>
        <v>46870</v>
      </c>
      <c r="M403" s="130">
        <f t="shared" si="278"/>
        <v>47870</v>
      </c>
      <c r="N403" s="130">
        <f t="shared" si="279"/>
        <v>40870</v>
      </c>
      <c r="O403" s="132">
        <f t="shared" si="263"/>
        <v>1.0213356091316408</v>
      </c>
      <c r="P403" s="132">
        <f t="shared" si="289"/>
        <v>1.1499999999999999</v>
      </c>
      <c r="Q403" s="130">
        <f t="shared" si="280"/>
        <v>57957.52688172042</v>
      </c>
      <c r="R403" s="148">
        <f t="shared" si="265"/>
        <v>57990</v>
      </c>
      <c r="S403" s="127">
        <f>VLOOKUP($B403,'Выгр Торг'!$B:$Q,S$1,0)</f>
        <v>46870</v>
      </c>
      <c r="T403" s="127">
        <f>VLOOKUP($B403,'Выгр Торг'!$B:$Q,T$1,0)</f>
        <v>57990</v>
      </c>
      <c r="U403" s="94">
        <f t="shared" si="290"/>
        <v>0</v>
      </c>
      <c r="V403" s="94">
        <f t="shared" si="291"/>
        <v>0</v>
      </c>
      <c r="W403" s="153">
        <f t="shared" si="255"/>
        <v>53930.7</v>
      </c>
      <c r="X403" s="209">
        <f>IFERROR(VLOOKUP($B403,'Из ГУГЛа'!$B:$G,6,0)*Z403+Y403,VLOOKUP($B403,'Из ГУГЛа'!$B:$G,6,0))</f>
        <v>51160</v>
      </c>
      <c r="Y403" s="220">
        <f t="shared" si="281"/>
        <v>9970</v>
      </c>
      <c r="Z403" s="133">
        <v>1</v>
      </c>
      <c r="AA403" s="134"/>
      <c r="AB403" s="135">
        <f t="shared" si="245"/>
        <v>0.1506443353957756</v>
      </c>
      <c r="AC403" s="135">
        <f t="shared" si="246"/>
        <v>-5.4157544956997594E-2</v>
      </c>
      <c r="AD403" s="135">
        <f t="shared" si="247"/>
        <v>9.152976317473871E-2</v>
      </c>
      <c r="AE403" s="222">
        <v>51160</v>
      </c>
      <c r="AF403" s="98" t="s">
        <v>619</v>
      </c>
      <c r="AH403" s="98" t="s">
        <v>127</v>
      </c>
    </row>
    <row r="404" spans="1:34" ht="46.5" thickTop="1" thickBot="1">
      <c r="A404" s="125" t="str">
        <f>INDEX('Выгр Торг'!$A:$A,MATCH($B404,'Выгр Торг'!$B:$B,0))</f>
        <v>Руль анатомический "Ferrum" Premium с обогревом для Лада Ларгус FL, Веста, XRAY</v>
      </c>
      <c r="B404" s="126">
        <v>132697</v>
      </c>
      <c r="C404" s="127">
        <f>VLOOKUP($B404,'Выгр Торг'!$B:$Q,C$1,0)</f>
        <v>166971</v>
      </c>
      <c r="D404" s="128" t="s">
        <v>127</v>
      </c>
      <c r="E404" s="125" t="str">
        <f>VLOOKUP($B404,'Выгр Торг'!$B:$Q,E$1,0)</f>
        <v>Руль анатомический "Ferrum" Premium с обогревом для Лада Ларгус FL, Веста, XRAY (Тёмно-серая нить, Чёрный глянец)</v>
      </c>
      <c r="F404" s="127" t="str">
        <f>VLOOKUP($B404,'Выгр Торг'!$B:$Q,F$1,0)</f>
        <v>Y</v>
      </c>
      <c r="G404" s="127" t="str">
        <f>VLOOKUP($B404,'Выгр Торг'!$B:$Q,G$1,0)</f>
        <v>1</v>
      </c>
      <c r="H404" s="40">
        <v>166968</v>
      </c>
      <c r="I404" s="156"/>
      <c r="J404" s="160"/>
      <c r="K404" s="161">
        <v>870</v>
      </c>
      <c r="L404" s="130">
        <f t="shared" si="241"/>
        <v>46870</v>
      </c>
      <c r="M404" s="130">
        <f t="shared" si="278"/>
        <v>47870</v>
      </c>
      <c r="N404" s="130">
        <f t="shared" si="279"/>
        <v>40870</v>
      </c>
      <c r="O404" s="132">
        <f t="shared" si="263"/>
        <v>1.0213356091316408</v>
      </c>
      <c r="P404" s="132">
        <f t="shared" si="289"/>
        <v>1.1499999999999999</v>
      </c>
      <c r="Q404" s="130">
        <f t="shared" si="280"/>
        <v>57957.52688172042</v>
      </c>
      <c r="R404" s="148">
        <f t="shared" si="265"/>
        <v>57990</v>
      </c>
      <c r="S404" s="127">
        <f>VLOOKUP($B404,'Выгр Торг'!$B:$Q,S$1,0)</f>
        <v>46870</v>
      </c>
      <c r="T404" s="127">
        <f>VLOOKUP($B404,'Выгр Торг'!$B:$Q,T$1,0)</f>
        <v>57990</v>
      </c>
      <c r="U404" s="94">
        <f t="shared" si="290"/>
        <v>0</v>
      </c>
      <c r="V404" s="94">
        <f t="shared" si="291"/>
        <v>0</v>
      </c>
      <c r="W404" s="153">
        <f t="shared" si="255"/>
        <v>53930.7</v>
      </c>
      <c r="X404" s="209">
        <f>IFERROR(VLOOKUP($B404,'Из ГУГЛа'!$B:$G,6,0)*Z404+Y404,VLOOKUP($B404,'Из ГУГЛа'!$B:$G,6,0))</f>
        <v>51160</v>
      </c>
      <c r="Y404" s="220">
        <f t="shared" si="281"/>
        <v>9970</v>
      </c>
      <c r="Z404" s="133">
        <v>1</v>
      </c>
      <c r="AA404" s="134"/>
      <c r="AB404" s="135">
        <f t="shared" si="245"/>
        <v>0.1506443353957756</v>
      </c>
      <c r="AC404" s="135">
        <f t="shared" si="246"/>
        <v>-5.4157544956997594E-2</v>
      </c>
      <c r="AD404" s="135">
        <f t="shared" si="247"/>
        <v>9.152976317473871E-2</v>
      </c>
      <c r="AE404" s="222">
        <v>51160</v>
      </c>
      <c r="AF404" s="98" t="s">
        <v>619</v>
      </c>
      <c r="AH404" s="98" t="s">
        <v>127</v>
      </c>
    </row>
    <row r="405" spans="1:34" ht="46.5" thickTop="1" thickBot="1">
      <c r="A405" s="125" t="str">
        <f>INDEX('Выгр Торг'!$A:$A,MATCH($B405,'Выгр Торг'!$B:$B,0))</f>
        <v>Руль анатомический "Ferrum" Premium с обогревом для Лада Ларгус FL, Веста, XRAY</v>
      </c>
      <c r="B405" s="126">
        <v>132698</v>
      </c>
      <c r="C405" s="127">
        <f>VLOOKUP($B405,'Выгр Торг'!$B:$Q,C$1,0)</f>
        <v>166970</v>
      </c>
      <c r="D405" s="128" t="s">
        <v>127</v>
      </c>
      <c r="E405" s="125" t="str">
        <f>VLOOKUP($B405,'Выгр Торг'!$B:$Q,E$1,0)</f>
        <v>Руль анатомический "Ferrum" Premium с обогревом для Лада Ларгус FL, Веста, XRAY (Фиолетовая нить, Чёрный глянец)</v>
      </c>
      <c r="F405" s="127" t="str">
        <f>VLOOKUP($B405,'Выгр Торг'!$B:$Q,F$1,0)</f>
        <v>Y</v>
      </c>
      <c r="G405" s="127" t="str">
        <f>VLOOKUP($B405,'Выгр Торг'!$B:$Q,G$1,0)</f>
        <v>1</v>
      </c>
      <c r="H405" s="40">
        <v>166968</v>
      </c>
      <c r="I405" s="156"/>
      <c r="J405" s="160"/>
      <c r="K405" s="161">
        <v>870</v>
      </c>
      <c r="L405" s="130">
        <f t="shared" si="241"/>
        <v>46870</v>
      </c>
      <c r="M405" s="130">
        <f t="shared" si="278"/>
        <v>47870</v>
      </c>
      <c r="N405" s="130">
        <f t="shared" si="279"/>
        <v>40870</v>
      </c>
      <c r="O405" s="132">
        <f t="shared" si="263"/>
        <v>1.0213356091316408</v>
      </c>
      <c r="P405" s="132">
        <f t="shared" si="289"/>
        <v>1.1499999999999999</v>
      </c>
      <c r="Q405" s="130">
        <f t="shared" si="280"/>
        <v>57957.52688172042</v>
      </c>
      <c r="R405" s="148">
        <f t="shared" si="265"/>
        <v>57990</v>
      </c>
      <c r="S405" s="127">
        <f>VLOOKUP($B405,'Выгр Торг'!$B:$Q,S$1,0)</f>
        <v>46870</v>
      </c>
      <c r="T405" s="127">
        <f>VLOOKUP($B405,'Выгр Торг'!$B:$Q,T$1,0)</f>
        <v>57990</v>
      </c>
      <c r="U405" s="94">
        <f t="shared" si="290"/>
        <v>0</v>
      </c>
      <c r="V405" s="94">
        <f t="shared" si="291"/>
        <v>0</v>
      </c>
      <c r="W405" s="153">
        <f t="shared" si="255"/>
        <v>53930.7</v>
      </c>
      <c r="X405" s="209">
        <f>IFERROR(VLOOKUP($B405,'Из ГУГЛа'!$B:$G,6,0)*Z405+Y405,VLOOKUP($B405,'Из ГУГЛа'!$B:$G,6,0))</f>
        <v>51160</v>
      </c>
      <c r="Y405" s="220">
        <f t="shared" si="281"/>
        <v>9970</v>
      </c>
      <c r="Z405" s="133">
        <v>1</v>
      </c>
      <c r="AA405" s="134"/>
      <c r="AB405" s="135">
        <f t="shared" si="245"/>
        <v>0.1506443353957756</v>
      </c>
      <c r="AC405" s="135">
        <f t="shared" si="246"/>
        <v>-5.4157544956997594E-2</v>
      </c>
      <c r="AD405" s="135">
        <f t="shared" si="247"/>
        <v>9.152976317473871E-2</v>
      </c>
      <c r="AE405" s="222">
        <v>51160</v>
      </c>
      <c r="AF405" s="98" t="s">
        <v>619</v>
      </c>
      <c r="AH405" s="98" t="s">
        <v>127</v>
      </c>
    </row>
    <row r="406" spans="1:34" ht="46.5" thickTop="1" thickBot="1">
      <c r="A406" s="125" t="str">
        <f>INDEX('Выгр Торг'!$A:$A,MATCH($B406,'Выгр Торг'!$B:$B,0))</f>
        <v>Руль анатомический "Ferrum" Premium с обогревом для Лада Ларгус FL, Веста, XRAY</v>
      </c>
      <c r="B406" s="126">
        <v>132687</v>
      </c>
      <c r="C406" s="127">
        <f>VLOOKUP($B406,'Выгр Торг'!$B:$Q,C$1,0)</f>
        <v>166981</v>
      </c>
      <c r="D406" s="128" t="s">
        <v>127</v>
      </c>
      <c r="E406" s="125" t="str">
        <f>VLOOKUP($B406,'Выгр Торг'!$B:$Q,E$1,0)</f>
        <v>Руль анатомический "Ferrum Group" Premium с обогревом для Лада Ларгус FL, Веста, XRAY (Белая нить, Чёрный глянец)</v>
      </c>
      <c r="F406" s="127" t="str">
        <f>VLOOKUP($B406,'Выгр Торг'!$B:$Q,F$1,0)</f>
        <v>Y</v>
      </c>
      <c r="G406" s="127" t="str">
        <f>VLOOKUP($B406,'Выгр Торг'!$B:$Q,G$1,0)</f>
        <v>1</v>
      </c>
      <c r="H406" s="40">
        <v>166968</v>
      </c>
      <c r="I406" s="156"/>
      <c r="J406" s="160"/>
      <c r="K406" s="161">
        <v>870</v>
      </c>
      <c r="L406" s="130">
        <f t="shared" si="241"/>
        <v>46870</v>
      </c>
      <c r="M406" s="130">
        <f t="shared" si="278"/>
        <v>47870</v>
      </c>
      <c r="N406" s="130">
        <f t="shared" si="279"/>
        <v>40870</v>
      </c>
      <c r="O406" s="132">
        <f t="shared" si="263"/>
        <v>1.0213356091316408</v>
      </c>
      <c r="P406" s="132">
        <f t="shared" si="289"/>
        <v>1.1499999999999999</v>
      </c>
      <c r="Q406" s="130">
        <f t="shared" si="280"/>
        <v>57957.52688172042</v>
      </c>
      <c r="R406" s="148">
        <f t="shared" si="265"/>
        <v>57990</v>
      </c>
      <c r="S406" s="127">
        <f>VLOOKUP($B406,'Выгр Торг'!$B:$Q,S$1,0)</f>
        <v>46870</v>
      </c>
      <c r="T406" s="127">
        <f>VLOOKUP($B406,'Выгр Торг'!$B:$Q,T$1,0)</f>
        <v>57990</v>
      </c>
      <c r="U406" s="94">
        <f t="shared" si="290"/>
        <v>0</v>
      </c>
      <c r="V406" s="94">
        <f t="shared" si="291"/>
        <v>0</v>
      </c>
      <c r="W406" s="153">
        <f t="shared" si="255"/>
        <v>53930.7</v>
      </c>
      <c r="X406" s="209">
        <f>IFERROR(VLOOKUP($B406,'Из ГУГЛа'!$B:$G,6,0)*Z406+Y406,VLOOKUP($B406,'Из ГУГЛа'!$B:$G,6,0))</f>
        <v>51160</v>
      </c>
      <c r="Y406" s="220">
        <f t="shared" si="281"/>
        <v>9970</v>
      </c>
      <c r="Z406" s="133">
        <v>1</v>
      </c>
      <c r="AA406" s="134"/>
      <c r="AB406" s="135">
        <f t="shared" si="245"/>
        <v>0.1506443353957756</v>
      </c>
      <c r="AC406" s="135">
        <f t="shared" si="246"/>
        <v>-5.4157544956997594E-2</v>
      </c>
      <c r="AD406" s="135">
        <f t="shared" si="247"/>
        <v>9.152976317473871E-2</v>
      </c>
      <c r="AE406" s="222">
        <v>51160</v>
      </c>
      <c r="AF406" s="98" t="s">
        <v>619</v>
      </c>
      <c r="AH406" s="98" t="s">
        <v>127</v>
      </c>
    </row>
    <row r="407" spans="1:34" ht="46.5" thickTop="1" thickBot="1">
      <c r="A407" s="125" t="str">
        <f>INDEX('Выгр Торг'!$A:$A,MATCH($B407,'Выгр Торг'!$B:$B,0))</f>
        <v>Руль анатомический "Ferrum" SPORT с обогревом для Лада Ларгус FL, Веста, XRAY</v>
      </c>
      <c r="B407" s="126">
        <v>132713</v>
      </c>
      <c r="C407" s="127">
        <f>VLOOKUP($B407,'Выгр Торг'!$B:$Q,C$1,0)</f>
        <v>166990</v>
      </c>
      <c r="D407" s="128" t="s">
        <v>125</v>
      </c>
      <c r="E407" s="125" t="str">
        <f>VLOOKUP($B407,'Выгр Торг'!$B:$Q,E$1,0)</f>
        <v>Руль анатомический "Ferrum" SPORT с обогревом для Лада Ларгус FL, Веста, XRAY (Чёрная нить, Чёрный глянец)</v>
      </c>
      <c r="F407" s="127" t="str">
        <f>VLOOKUP($B407,'Выгр Торг'!$B:$Q,F$1,0)</f>
        <v>Y</v>
      </c>
      <c r="G407" s="127" t="str">
        <f>VLOOKUP($B407,'Выгр Торг'!$B:$Q,G$1,0)</f>
        <v>1</v>
      </c>
      <c r="H407" s="40">
        <v>166990</v>
      </c>
      <c r="I407" s="156"/>
      <c r="J407" s="160">
        <v>7000</v>
      </c>
      <c r="K407" s="161">
        <v>0</v>
      </c>
      <c r="L407" s="130">
        <f t="shared" ref="L407:L432" si="292">M407-1000</f>
        <v>46000</v>
      </c>
      <c r="M407" s="131">
        <f>N407+J407</f>
        <v>47000</v>
      </c>
      <c r="N407" s="131">
        <v>40000</v>
      </c>
      <c r="O407" s="132">
        <f t="shared" si="263"/>
        <v>1.0217391304347827</v>
      </c>
      <c r="P407" s="132">
        <f t="shared" si="289"/>
        <v>1.1499999999999999</v>
      </c>
      <c r="Q407" s="147">
        <f t="shared" ref="Q407" si="293">L407*P407*100/93</f>
        <v>56881.720430107518</v>
      </c>
      <c r="R407" s="148">
        <f t="shared" si="265"/>
        <v>56890</v>
      </c>
      <c r="S407" s="127">
        <f>VLOOKUP($B407,'Выгр Торг'!$B:$Q,S$1,0)</f>
        <v>46000</v>
      </c>
      <c r="T407" s="127">
        <f>VLOOKUP($B407,'Выгр Торг'!$B:$Q,T$1,0)</f>
        <v>56890</v>
      </c>
      <c r="U407" s="94">
        <f t="shared" si="290"/>
        <v>0</v>
      </c>
      <c r="V407" s="94">
        <f t="shared" si="291"/>
        <v>0</v>
      </c>
      <c r="W407" s="153">
        <f t="shared" si="255"/>
        <v>52907.7</v>
      </c>
      <c r="X407" s="209">
        <f>IFERROR(VLOOKUP($B407,'Из ГУГЛа'!$B:$G,6,0)*Z407+Y407,VLOOKUP($B407,'Из ГУГЛа'!$B:$G,6,0))</f>
        <v>49090</v>
      </c>
      <c r="Y407" s="106">
        <f>(J407+K407)*$Y$2</f>
        <v>9100</v>
      </c>
      <c r="Z407" s="133">
        <v>1</v>
      </c>
      <c r="AA407" s="134"/>
      <c r="AB407" s="135">
        <f t="shared" si="245"/>
        <v>0.15016739130434775</v>
      </c>
      <c r="AC407" s="135">
        <f t="shared" si="246"/>
        <v>-7.7769403137095072E-2</v>
      </c>
      <c r="AD407" s="135">
        <f t="shared" si="247"/>
        <v>6.7173913043478306E-2</v>
      </c>
      <c r="AE407" s="223">
        <v>49090</v>
      </c>
      <c r="AF407" s="98" t="s">
        <v>616</v>
      </c>
      <c r="AH407" s="98" t="s">
        <v>125</v>
      </c>
    </row>
    <row r="408" spans="1:34" ht="46.5" thickTop="1" thickBot="1">
      <c r="A408" s="176" t="str">
        <f>INDEX('Выгр Торг'!$A:$A,MATCH($B408,'Выгр Торг'!$B:$B,0))</f>
        <v>Руль анатомический "Ferrum" SPORT с обогревом для Лада Ларгус FL, Веста, XRAY</v>
      </c>
      <c r="B408" s="178">
        <v>341651</v>
      </c>
      <c r="C408" s="179">
        <f>VLOOKUP($B408,'Выгр Торг'!$B:$Q,C$1,0)</f>
        <v>341651</v>
      </c>
      <c r="D408" s="189" t="s">
        <v>125</v>
      </c>
      <c r="E408" s="176" t="str">
        <f>VLOOKUP($B408,'Выгр Торг'!$B:$Q,E$1,0)</f>
        <v>Руль анатомический "Ferrum" SPORT с обогревом для Лада Ларгус FL, Веста, XRAY (Чёрная нить, Чёрный мат)</v>
      </c>
      <c r="F408" s="179" t="str">
        <f>VLOOKUP($B408,'Выгр Торг'!$B:$Q,F$1,0)</f>
        <v>Y</v>
      </c>
      <c r="G408" s="179" t="str">
        <f>VLOOKUP($B408,'Выгр Торг'!$B:$Q,G$1,0)</f>
        <v>1</v>
      </c>
      <c r="H408" s="177">
        <v>166990</v>
      </c>
      <c r="I408" s="156"/>
      <c r="J408" s="160">
        <v>830</v>
      </c>
      <c r="K408" s="161">
        <v>0</v>
      </c>
      <c r="L408" s="180">
        <f>M408-1000</f>
        <v>46830</v>
      </c>
      <c r="M408" s="180">
        <f t="shared" ref="M408:M432" si="294">INDEX($M:$M,MATCH($H408,$C:$C,0))+$K408+$J408</f>
        <v>47830</v>
      </c>
      <c r="N408" s="180">
        <f t="shared" ref="N408:N432" si="295">INDEX($N:$N,MATCH($H408,$C:$C,0))+$K408+$J408</f>
        <v>40830</v>
      </c>
      <c r="O408" s="107">
        <f>M408/L408</f>
        <v>1.0213538330130258</v>
      </c>
      <c r="P408" s="132">
        <f t="shared" si="289"/>
        <v>1.1499999999999999</v>
      </c>
      <c r="Q408" s="180">
        <f t="shared" ref="Q408:Q432" si="296">INDEX($Q:$Q,MATCH($H408,$C:$C,0))+($K408+$J408)*INDEX($P:$P,MATCH($H408,$C:$C,0))*100/93</f>
        <v>57908.064516129023</v>
      </c>
      <c r="R408" s="144">
        <f>IF(Q408&lt;=1000,(ROUNDUP(Q408,-2)-1),(ROUNDUP(Q408,-2)-10))</f>
        <v>57990</v>
      </c>
      <c r="S408" s="179">
        <f>VLOOKUP($B408,'Выгр Торг'!$B:$Q,S$1,0)</f>
        <v>46830</v>
      </c>
      <c r="T408" s="179">
        <f>VLOOKUP($B408,'Выгр Торг'!$B:$Q,T$1,0)</f>
        <v>57990</v>
      </c>
      <c r="U408" s="94">
        <f t="shared" si="290"/>
        <v>0</v>
      </c>
      <c r="V408" s="94">
        <f t="shared" si="291"/>
        <v>0</v>
      </c>
      <c r="W408" s="182">
        <f>R408*(1-$W$2)</f>
        <v>53930.7</v>
      </c>
      <c r="X408" s="218">
        <f>IFERROR(VLOOKUP($B408,'Из ГУГЛа'!$B:$G,6,0)*Z408+Y408,VLOOKUP($B408,'Из ГУГЛа'!$B:$G,6,0))</f>
        <v>49920</v>
      </c>
      <c r="Y408" s="220">
        <f t="shared" ref="Y408:Y432" si="297">INDEX($Y:$Y,MATCH($H408,$C:$C,0))+J408+K408</f>
        <v>9930</v>
      </c>
      <c r="Z408" s="133">
        <v>1</v>
      </c>
      <c r="AA408" s="133">
        <v>1300</v>
      </c>
      <c r="AB408" s="184">
        <f>IFERROR(W408/L408-1,"")</f>
        <v>0.15162716207559246</v>
      </c>
      <c r="AC408" s="184">
        <f>IFERROR((AE408-W408)/AE408,"")</f>
        <v>-8.0342548076923023E-2</v>
      </c>
      <c r="AD408" s="184">
        <f>IFERROR(IF(AE408="","",AE408/L408-1),"")</f>
        <v>6.5983344010249745E-2</v>
      </c>
      <c r="AE408" s="223">
        <v>49920</v>
      </c>
      <c r="AF408" s="98" t="s">
        <v>616</v>
      </c>
      <c r="AH408" s="98" t="s">
        <v>125</v>
      </c>
    </row>
    <row r="409" spans="1:34" ht="46.5" thickTop="1" thickBot="1">
      <c r="A409" s="125" t="str">
        <f>INDEX('Выгр Торг'!$A:$A,MATCH($B409,'Выгр Торг'!$B:$B,0))</f>
        <v>Руль анатомический "Ferrum" SPORT с обогревом для Лада Ларгус FL, Веста, XRAY</v>
      </c>
      <c r="B409" s="126">
        <v>341650</v>
      </c>
      <c r="C409" s="127">
        <f>VLOOKUP($B409,'Выгр Торг'!$B:$Q,C$1,0)</f>
        <v>341650</v>
      </c>
      <c r="D409" s="128" t="s">
        <v>125</v>
      </c>
      <c r="E409" s="125" t="str">
        <f>VLOOKUP($B409,'Выгр Торг'!$B:$Q,E$1,0)</f>
        <v>Руль анатомический "Ferrum" SPORT с обогревом для Лада Ларгус FL, Веста, XRAY (Белая нить, Чёрный мат)</v>
      </c>
      <c r="F409" s="127" t="str">
        <f>VLOOKUP($B409,'Выгр Торг'!$B:$Q,F$1,0)</f>
        <v>Y</v>
      </c>
      <c r="G409" s="127" t="str">
        <f>VLOOKUP($B409,'Выгр Торг'!$B:$Q,G$1,0)</f>
        <v>1</v>
      </c>
      <c r="H409" s="40">
        <v>166990</v>
      </c>
      <c r="I409" s="156"/>
      <c r="J409" s="160">
        <v>830</v>
      </c>
      <c r="K409" s="161">
        <v>870</v>
      </c>
      <c r="L409" s="130">
        <f t="shared" si="292"/>
        <v>47700</v>
      </c>
      <c r="M409" s="130">
        <f t="shared" si="294"/>
        <v>48700</v>
      </c>
      <c r="N409" s="130">
        <f t="shared" si="295"/>
        <v>41700</v>
      </c>
      <c r="O409" s="132">
        <f t="shared" si="263"/>
        <v>1.020964360587002</v>
      </c>
      <c r="P409" s="132">
        <f t="shared" si="289"/>
        <v>1.1499999999999999</v>
      </c>
      <c r="Q409" s="130">
        <f t="shared" si="296"/>
        <v>58983.870967741925</v>
      </c>
      <c r="R409" s="148">
        <f t="shared" si="265"/>
        <v>58990</v>
      </c>
      <c r="S409" s="127">
        <f>VLOOKUP($B409,'Выгр Торг'!$B:$Q,S$1,0)</f>
        <v>47700</v>
      </c>
      <c r="T409" s="127">
        <f>VLOOKUP($B409,'Выгр Торг'!$B:$Q,T$1,0)</f>
        <v>58990</v>
      </c>
      <c r="U409" s="94">
        <f t="shared" si="290"/>
        <v>0</v>
      </c>
      <c r="V409" s="94">
        <f t="shared" si="291"/>
        <v>0</v>
      </c>
      <c r="W409" s="153">
        <f t="shared" si="255"/>
        <v>54860.7</v>
      </c>
      <c r="X409" s="209">
        <f>IFERROR(VLOOKUP($B409,'Из ГУГЛа'!$B:$G,6,0)*Z409+Y409,VLOOKUP($B409,'Из ГУГЛа'!$B:$G,6,0))</f>
        <v>50790</v>
      </c>
      <c r="Y409" s="220">
        <f t="shared" si="297"/>
        <v>10800</v>
      </c>
      <c r="Z409" s="133">
        <v>1</v>
      </c>
      <c r="AA409" s="133">
        <v>1300</v>
      </c>
      <c r="AB409" s="135">
        <f t="shared" si="245"/>
        <v>0.15011949685534587</v>
      </c>
      <c r="AC409" s="135">
        <f t="shared" si="246"/>
        <v>-8.0147666863555761E-2</v>
      </c>
      <c r="AD409" s="135">
        <f t="shared" si="247"/>
        <v>6.4779874213836575E-2</v>
      </c>
      <c r="AE409" s="223">
        <v>50790</v>
      </c>
      <c r="AF409" s="98" t="s">
        <v>616</v>
      </c>
      <c r="AH409" s="98" t="s">
        <v>125</v>
      </c>
    </row>
    <row r="410" spans="1:34" ht="46.5" thickTop="1" thickBot="1">
      <c r="A410" s="176" t="str">
        <f>INDEX('Выгр Торг'!$A:$A,MATCH($B410,'Выгр Торг'!$B:$B,0))</f>
        <v>Руль анатомический "Ferrum" SPORT с обогревом для Лада Ларгус FL, Веста, XRAY</v>
      </c>
      <c r="B410" s="178">
        <v>341662</v>
      </c>
      <c r="C410" s="179">
        <f>VLOOKUP($B410,'Выгр Торг'!$B:$Q,C$1,0)</f>
        <v>341662</v>
      </c>
      <c r="D410" s="189" t="s">
        <v>125</v>
      </c>
      <c r="E410" s="176" t="str">
        <f>VLOOKUP($B410,'Выгр Торг'!$B:$Q,E$1,0)</f>
        <v>Руль анатомический "Ferrum" SPORT с обогревом для Лада Ларгус FL, Веста, XRAY (Жёлтая нить, Чёрный мат)</v>
      </c>
      <c r="F410" s="179" t="str">
        <f>VLOOKUP($B410,'Выгр Торг'!$B:$Q,F$1,0)</f>
        <v>Y</v>
      </c>
      <c r="G410" s="179" t="str">
        <f>VLOOKUP($B410,'Выгр Торг'!$B:$Q,G$1,0)</f>
        <v>1</v>
      </c>
      <c r="H410" s="177">
        <v>166990</v>
      </c>
      <c r="I410" s="156"/>
      <c r="J410" s="160">
        <v>830</v>
      </c>
      <c r="K410" s="161">
        <v>870</v>
      </c>
      <c r="L410" s="180">
        <f t="shared" ref="L410:L421" si="298">M410-1000</f>
        <v>47700</v>
      </c>
      <c r="M410" s="180">
        <f t="shared" si="294"/>
        <v>48700</v>
      </c>
      <c r="N410" s="180">
        <f t="shared" si="295"/>
        <v>41700</v>
      </c>
      <c r="O410" s="107">
        <f t="shared" ref="O410:O421" si="299">M410/L410</f>
        <v>1.020964360587002</v>
      </c>
      <c r="P410" s="132">
        <f t="shared" si="289"/>
        <v>1.1499999999999999</v>
      </c>
      <c r="Q410" s="180">
        <f t="shared" si="296"/>
        <v>58983.870967741925</v>
      </c>
      <c r="R410" s="144">
        <f t="shared" ref="R410:R421" si="300">IF(Q410&lt;=1000,(ROUNDUP(Q410,-2)-1),(ROUNDUP(Q410,-2)-10))</f>
        <v>58990</v>
      </c>
      <c r="S410" s="179">
        <f>VLOOKUP($B410,'Выгр Торг'!$B:$Q,S$1,0)</f>
        <v>47700</v>
      </c>
      <c r="T410" s="179">
        <f>VLOOKUP($B410,'Выгр Торг'!$B:$Q,T$1,0)</f>
        <v>58990</v>
      </c>
      <c r="U410" s="94">
        <f t="shared" si="290"/>
        <v>0</v>
      </c>
      <c r="V410" s="94">
        <f t="shared" si="291"/>
        <v>0</v>
      </c>
      <c r="W410" s="182">
        <f t="shared" ref="W410:W421" si="301">R410*(1-$W$2)</f>
        <v>54860.7</v>
      </c>
      <c r="X410" s="218">
        <f>IFERROR(VLOOKUP($B410,'Из ГУГЛа'!$B:$G,6,0)*Z410+Y410,VLOOKUP($B410,'Из ГУГЛа'!$B:$G,6,0))</f>
        <v>50790</v>
      </c>
      <c r="Y410" s="220">
        <f t="shared" si="297"/>
        <v>10800</v>
      </c>
      <c r="Z410" s="133">
        <v>1</v>
      </c>
      <c r="AA410" s="133">
        <v>1300</v>
      </c>
      <c r="AB410" s="184">
        <f t="shared" ref="AB410:AB421" si="302">IFERROR(W410/L410-1,"")</f>
        <v>0.15011949685534587</v>
      </c>
      <c r="AC410" s="184">
        <f t="shared" ref="AC410:AC421" si="303">IFERROR((AE410-W410)/AE410,"")</f>
        <v>-8.0147666863555761E-2</v>
      </c>
      <c r="AD410" s="184">
        <f t="shared" ref="AD410:AD421" si="304">IFERROR(IF(AE410="","",AE410/L410-1),"")</f>
        <v>6.4779874213836575E-2</v>
      </c>
      <c r="AE410" s="223">
        <v>50790</v>
      </c>
      <c r="AF410" s="98" t="s">
        <v>616</v>
      </c>
      <c r="AH410" s="98" t="s">
        <v>125</v>
      </c>
    </row>
    <row r="411" spans="1:34" ht="46.5" thickTop="1" thickBot="1">
      <c r="A411" s="176" t="str">
        <f>INDEX('Выгр Торг'!$A:$A,MATCH($B411,'Выгр Торг'!$B:$B,0))</f>
        <v>Руль анатомический "Ferrum" SPORT с обогревом для Лада Ларгус FL, Веста, XRAY</v>
      </c>
      <c r="B411" s="178">
        <v>341661</v>
      </c>
      <c r="C411" s="179">
        <f>VLOOKUP($B411,'Выгр Торг'!$B:$Q,C$1,0)</f>
        <v>341661</v>
      </c>
      <c r="D411" s="189" t="s">
        <v>125</v>
      </c>
      <c r="E411" s="176" t="str">
        <f>VLOOKUP($B411,'Выгр Торг'!$B:$Q,E$1,0)</f>
        <v>Руль анатомический "Ferrum" SPORT с обогревом для Лада Ларгус FL, Веста, XRAY (Зелёная нить, Чёрный мат)</v>
      </c>
      <c r="F411" s="179" t="str">
        <f>VLOOKUP($B411,'Выгр Торг'!$B:$Q,F$1,0)</f>
        <v>Y</v>
      </c>
      <c r="G411" s="179" t="str">
        <f>VLOOKUP($B411,'Выгр Торг'!$B:$Q,G$1,0)</f>
        <v>1</v>
      </c>
      <c r="H411" s="177">
        <v>166990</v>
      </c>
      <c r="I411" s="156"/>
      <c r="J411" s="160">
        <v>830</v>
      </c>
      <c r="K411" s="161">
        <v>870</v>
      </c>
      <c r="L411" s="180">
        <f t="shared" si="298"/>
        <v>47700</v>
      </c>
      <c r="M411" s="180">
        <f t="shared" si="294"/>
        <v>48700</v>
      </c>
      <c r="N411" s="180">
        <f t="shared" si="295"/>
        <v>41700</v>
      </c>
      <c r="O411" s="107">
        <f t="shared" si="299"/>
        <v>1.020964360587002</v>
      </c>
      <c r="P411" s="132">
        <f t="shared" si="289"/>
        <v>1.1499999999999999</v>
      </c>
      <c r="Q411" s="180">
        <f t="shared" si="296"/>
        <v>58983.870967741925</v>
      </c>
      <c r="R411" s="144">
        <f t="shared" si="300"/>
        <v>58990</v>
      </c>
      <c r="S411" s="179">
        <f>VLOOKUP($B411,'Выгр Торг'!$B:$Q,S$1,0)</f>
        <v>47700</v>
      </c>
      <c r="T411" s="179">
        <f>VLOOKUP($B411,'Выгр Торг'!$B:$Q,T$1,0)</f>
        <v>58990</v>
      </c>
      <c r="U411" s="94">
        <f t="shared" si="290"/>
        <v>0</v>
      </c>
      <c r="V411" s="94">
        <f t="shared" si="291"/>
        <v>0</v>
      </c>
      <c r="W411" s="182">
        <f t="shared" si="301"/>
        <v>54860.7</v>
      </c>
      <c r="X411" s="218">
        <f>IFERROR(VLOOKUP($B411,'Из ГУГЛа'!$B:$G,6,0)*Z411+Y411,VLOOKUP($B411,'Из ГУГЛа'!$B:$G,6,0))</f>
        <v>50790</v>
      </c>
      <c r="Y411" s="220">
        <f t="shared" si="297"/>
        <v>10800</v>
      </c>
      <c r="Z411" s="133">
        <v>1</v>
      </c>
      <c r="AA411" s="133">
        <v>1300</v>
      </c>
      <c r="AB411" s="184">
        <f t="shared" si="302"/>
        <v>0.15011949685534587</v>
      </c>
      <c r="AC411" s="184">
        <f t="shared" si="303"/>
        <v>-8.0147666863555761E-2</v>
      </c>
      <c r="AD411" s="184">
        <f t="shared" si="304"/>
        <v>6.4779874213836575E-2</v>
      </c>
      <c r="AE411" s="223">
        <v>50790</v>
      </c>
      <c r="AF411" s="98" t="s">
        <v>616</v>
      </c>
      <c r="AH411" s="98" t="s">
        <v>125</v>
      </c>
    </row>
    <row r="412" spans="1:34" ht="46.5" thickTop="1" thickBot="1">
      <c r="A412" s="176" t="str">
        <f>INDEX('Выгр Торг'!$A:$A,MATCH($B412,'Выгр Торг'!$B:$B,0))</f>
        <v>Руль анатомический "Ferrum" SPORT с обогревом для Лада Ларгус FL, Веста, XRAY</v>
      </c>
      <c r="B412" s="178">
        <v>341653</v>
      </c>
      <c r="C412" s="179">
        <f>VLOOKUP($B412,'Выгр Торг'!$B:$Q,C$1,0)</f>
        <v>341653</v>
      </c>
      <c r="D412" s="189" t="s">
        <v>125</v>
      </c>
      <c r="E412" s="176" t="str">
        <f>VLOOKUP($B412,'Выгр Торг'!$B:$Q,E$1,0)</f>
        <v>Руль анатомический "Ferrum" SPORT с обогревом для Лада Ларгус FL, Веста, XRAY (Коричневая нить, Чёрный мат)</v>
      </c>
      <c r="F412" s="179" t="str">
        <f>VLOOKUP($B412,'Выгр Торг'!$B:$Q,F$1,0)</f>
        <v>Y</v>
      </c>
      <c r="G412" s="179" t="str">
        <f>VLOOKUP($B412,'Выгр Торг'!$B:$Q,G$1,0)</f>
        <v>1</v>
      </c>
      <c r="H412" s="177">
        <v>166990</v>
      </c>
      <c r="I412" s="156"/>
      <c r="J412" s="160">
        <v>830</v>
      </c>
      <c r="K412" s="161">
        <v>870</v>
      </c>
      <c r="L412" s="180">
        <f t="shared" si="298"/>
        <v>47700</v>
      </c>
      <c r="M412" s="180">
        <f t="shared" si="294"/>
        <v>48700</v>
      </c>
      <c r="N412" s="180">
        <f t="shared" si="295"/>
        <v>41700</v>
      </c>
      <c r="O412" s="107">
        <f t="shared" si="299"/>
        <v>1.020964360587002</v>
      </c>
      <c r="P412" s="132">
        <f t="shared" si="289"/>
        <v>1.1499999999999999</v>
      </c>
      <c r="Q412" s="180">
        <f t="shared" si="296"/>
        <v>58983.870967741925</v>
      </c>
      <c r="R412" s="144">
        <f t="shared" si="300"/>
        <v>58990</v>
      </c>
      <c r="S412" s="179">
        <f>VLOOKUP($B412,'Выгр Торг'!$B:$Q,S$1,0)</f>
        <v>47700</v>
      </c>
      <c r="T412" s="179">
        <f>VLOOKUP($B412,'Выгр Торг'!$B:$Q,T$1,0)</f>
        <v>58990</v>
      </c>
      <c r="U412" s="94">
        <f t="shared" si="290"/>
        <v>0</v>
      </c>
      <c r="V412" s="94">
        <f t="shared" si="291"/>
        <v>0</v>
      </c>
      <c r="W412" s="182">
        <f t="shared" si="301"/>
        <v>54860.7</v>
      </c>
      <c r="X412" s="218">
        <f>IFERROR(VLOOKUP($B412,'Из ГУГЛа'!$B:$G,6,0)*Z412+Y412,VLOOKUP($B412,'Из ГУГЛа'!$B:$G,6,0))</f>
        <v>50790</v>
      </c>
      <c r="Y412" s="220">
        <f t="shared" si="297"/>
        <v>10800</v>
      </c>
      <c r="Z412" s="133">
        <v>1</v>
      </c>
      <c r="AA412" s="133">
        <v>1300</v>
      </c>
      <c r="AB412" s="184">
        <f t="shared" si="302"/>
        <v>0.15011949685534587</v>
      </c>
      <c r="AC412" s="184">
        <f t="shared" si="303"/>
        <v>-8.0147666863555761E-2</v>
      </c>
      <c r="AD412" s="184">
        <f t="shared" si="304"/>
        <v>6.4779874213836575E-2</v>
      </c>
      <c r="AE412" s="223">
        <v>50790</v>
      </c>
      <c r="AF412" s="98" t="s">
        <v>616</v>
      </c>
      <c r="AH412" s="98" t="s">
        <v>125</v>
      </c>
    </row>
    <row r="413" spans="1:34" ht="46.5" thickTop="1" thickBot="1">
      <c r="A413" s="176" t="str">
        <f>INDEX('Выгр Торг'!$A:$A,MATCH($B413,'Выгр Торг'!$B:$B,0))</f>
        <v>Руль анатомический "Ferrum" SPORT с обогревом для Лада Ларгус FL, Веста, XRAY</v>
      </c>
      <c r="B413" s="178">
        <v>341654</v>
      </c>
      <c r="C413" s="179">
        <f>VLOOKUP($B413,'Выгр Торг'!$B:$Q,C$1,0)</f>
        <v>341654</v>
      </c>
      <c r="D413" s="189" t="s">
        <v>125</v>
      </c>
      <c r="E413" s="176" t="str">
        <f>VLOOKUP($B413,'Выгр Торг'!$B:$Q,E$1,0)</f>
        <v>Руль анатомический "Ferrum" SPORT с обогревом для Лада Ларгус FL, Веста, XRAY (Красная нить, Чёрный мат)</v>
      </c>
      <c r="F413" s="179" t="str">
        <f>VLOOKUP($B413,'Выгр Торг'!$B:$Q,F$1,0)</f>
        <v>Y</v>
      </c>
      <c r="G413" s="179" t="str">
        <f>VLOOKUP($B413,'Выгр Торг'!$B:$Q,G$1,0)</f>
        <v>1</v>
      </c>
      <c r="H413" s="177">
        <v>166990</v>
      </c>
      <c r="I413" s="156"/>
      <c r="J413" s="160">
        <v>830</v>
      </c>
      <c r="K413" s="161">
        <v>870</v>
      </c>
      <c r="L413" s="180">
        <f t="shared" si="298"/>
        <v>47700</v>
      </c>
      <c r="M413" s="180">
        <f t="shared" si="294"/>
        <v>48700</v>
      </c>
      <c r="N413" s="180">
        <f t="shared" si="295"/>
        <v>41700</v>
      </c>
      <c r="O413" s="107">
        <f t="shared" si="299"/>
        <v>1.020964360587002</v>
      </c>
      <c r="P413" s="132">
        <f t="shared" si="289"/>
        <v>1.1499999999999999</v>
      </c>
      <c r="Q413" s="180">
        <f t="shared" si="296"/>
        <v>58983.870967741925</v>
      </c>
      <c r="R413" s="144">
        <f t="shared" si="300"/>
        <v>58990</v>
      </c>
      <c r="S413" s="179">
        <f>VLOOKUP($B413,'Выгр Торг'!$B:$Q,S$1,0)</f>
        <v>47700</v>
      </c>
      <c r="T413" s="179">
        <f>VLOOKUP($B413,'Выгр Торг'!$B:$Q,T$1,0)</f>
        <v>58990</v>
      </c>
      <c r="U413" s="94">
        <f t="shared" si="290"/>
        <v>0</v>
      </c>
      <c r="V413" s="94">
        <f t="shared" si="291"/>
        <v>0</v>
      </c>
      <c r="W413" s="182">
        <f t="shared" si="301"/>
        <v>54860.7</v>
      </c>
      <c r="X413" s="218">
        <f>IFERROR(VLOOKUP($B413,'Из ГУГЛа'!$B:$G,6,0)*Z413+Y413,VLOOKUP($B413,'Из ГУГЛа'!$B:$G,6,0))</f>
        <v>50790</v>
      </c>
      <c r="Y413" s="220">
        <f t="shared" si="297"/>
        <v>10800</v>
      </c>
      <c r="Z413" s="133">
        <v>1</v>
      </c>
      <c r="AA413" s="133">
        <v>1300</v>
      </c>
      <c r="AB413" s="184">
        <f t="shared" si="302"/>
        <v>0.15011949685534587</v>
      </c>
      <c r="AC413" s="184">
        <f t="shared" si="303"/>
        <v>-8.0147666863555761E-2</v>
      </c>
      <c r="AD413" s="184">
        <f t="shared" si="304"/>
        <v>6.4779874213836575E-2</v>
      </c>
      <c r="AE413" s="223">
        <v>50790</v>
      </c>
      <c r="AF413" s="98" t="s">
        <v>616</v>
      </c>
      <c r="AH413" s="98" t="s">
        <v>125</v>
      </c>
    </row>
    <row r="414" spans="1:34" ht="46.5" thickTop="1" thickBot="1">
      <c r="A414" s="176" t="str">
        <f>INDEX('Выгр Торг'!$A:$A,MATCH($B414,'Выгр Торг'!$B:$B,0))</f>
        <v>Руль анатомический "Ferrum" SPORT с обогревом для Лада Ларгус FL, Веста, XRAY</v>
      </c>
      <c r="B414" s="178">
        <v>341655</v>
      </c>
      <c r="C414" s="179">
        <f>VLOOKUP($B414,'Выгр Торг'!$B:$Q,C$1,0)</f>
        <v>341655</v>
      </c>
      <c r="D414" s="189" t="s">
        <v>125</v>
      </c>
      <c r="E414" s="176" t="str">
        <f>VLOOKUP($B414,'Выгр Торг'!$B:$Q,E$1,0)</f>
        <v>Руль анатомический "Ferrum" SPORT с обогревом для Лада Ларгус FL, Веста, XRAY (Оранжевая нить, Чёрный мат)</v>
      </c>
      <c r="F414" s="179" t="str">
        <f>VLOOKUP($B414,'Выгр Торг'!$B:$Q,F$1,0)</f>
        <v>Y</v>
      </c>
      <c r="G414" s="179" t="str">
        <f>VLOOKUP($B414,'Выгр Торг'!$B:$Q,G$1,0)</f>
        <v>1</v>
      </c>
      <c r="H414" s="177">
        <v>166990</v>
      </c>
      <c r="I414" s="156"/>
      <c r="J414" s="160">
        <v>830</v>
      </c>
      <c r="K414" s="161">
        <v>870</v>
      </c>
      <c r="L414" s="180">
        <f t="shared" si="298"/>
        <v>47700</v>
      </c>
      <c r="M414" s="180">
        <f t="shared" si="294"/>
        <v>48700</v>
      </c>
      <c r="N414" s="180">
        <f t="shared" si="295"/>
        <v>41700</v>
      </c>
      <c r="O414" s="107">
        <f t="shared" si="299"/>
        <v>1.020964360587002</v>
      </c>
      <c r="P414" s="132">
        <f t="shared" si="289"/>
        <v>1.1499999999999999</v>
      </c>
      <c r="Q414" s="180">
        <f t="shared" si="296"/>
        <v>58983.870967741925</v>
      </c>
      <c r="R414" s="144">
        <f t="shared" si="300"/>
        <v>58990</v>
      </c>
      <c r="S414" s="179">
        <f>VLOOKUP($B414,'Выгр Торг'!$B:$Q,S$1,0)</f>
        <v>47700</v>
      </c>
      <c r="T414" s="179">
        <f>VLOOKUP($B414,'Выгр Торг'!$B:$Q,T$1,0)</f>
        <v>58990</v>
      </c>
      <c r="U414" s="94">
        <f t="shared" si="290"/>
        <v>0</v>
      </c>
      <c r="V414" s="94">
        <f t="shared" si="291"/>
        <v>0</v>
      </c>
      <c r="W414" s="182">
        <f t="shared" si="301"/>
        <v>54860.7</v>
      </c>
      <c r="X414" s="218">
        <f>IFERROR(VLOOKUP($B414,'Из ГУГЛа'!$B:$G,6,0)*Z414+Y414,VLOOKUP($B414,'Из ГУГЛа'!$B:$G,6,0))</f>
        <v>50790</v>
      </c>
      <c r="Y414" s="220">
        <f t="shared" si="297"/>
        <v>10800</v>
      </c>
      <c r="Z414" s="133">
        <v>1</v>
      </c>
      <c r="AA414" s="133">
        <v>1300</v>
      </c>
      <c r="AB414" s="184">
        <f t="shared" si="302"/>
        <v>0.15011949685534587</v>
      </c>
      <c r="AC414" s="184">
        <f t="shared" si="303"/>
        <v>-8.0147666863555761E-2</v>
      </c>
      <c r="AD414" s="184">
        <f t="shared" si="304"/>
        <v>6.4779874213836575E-2</v>
      </c>
      <c r="AE414" s="223">
        <v>50790</v>
      </c>
      <c r="AF414" s="98" t="s">
        <v>616</v>
      </c>
      <c r="AH414" s="98" t="s">
        <v>125</v>
      </c>
    </row>
    <row r="415" spans="1:34" ht="46.5" thickTop="1" thickBot="1">
      <c r="A415" s="176" t="str">
        <f>INDEX('Выгр Торг'!$A:$A,MATCH($B415,'Выгр Торг'!$B:$B,0))</f>
        <v>Руль анатомический "Ferrum" SPORT с обогревом для Лада Ларгус FL, Веста, XRAY</v>
      </c>
      <c r="B415" s="178">
        <v>341656</v>
      </c>
      <c r="C415" s="179">
        <f>VLOOKUP($B415,'Выгр Торг'!$B:$Q,C$1,0)</f>
        <v>341656</v>
      </c>
      <c r="D415" s="189" t="s">
        <v>125</v>
      </c>
      <c r="E415" s="176" t="str">
        <f>VLOOKUP($B415,'Выгр Торг'!$B:$Q,E$1,0)</f>
        <v>Руль анатомический "Ferrum" SPORT с обогревом для Лада Ларгус FL, Веста, XRAY (Салатовая нить, Чёрный мат)</v>
      </c>
      <c r="F415" s="179" t="str">
        <f>VLOOKUP($B415,'Выгр Торг'!$B:$Q,F$1,0)</f>
        <v>Y</v>
      </c>
      <c r="G415" s="179" t="str">
        <f>VLOOKUP($B415,'Выгр Торг'!$B:$Q,G$1,0)</f>
        <v>1</v>
      </c>
      <c r="H415" s="177">
        <v>166990</v>
      </c>
      <c r="I415" s="156"/>
      <c r="J415" s="160">
        <v>830</v>
      </c>
      <c r="K415" s="161">
        <v>870</v>
      </c>
      <c r="L415" s="180">
        <f t="shared" si="298"/>
        <v>47700</v>
      </c>
      <c r="M415" s="180">
        <f t="shared" si="294"/>
        <v>48700</v>
      </c>
      <c r="N415" s="180">
        <f t="shared" si="295"/>
        <v>41700</v>
      </c>
      <c r="O415" s="107">
        <f t="shared" si="299"/>
        <v>1.020964360587002</v>
      </c>
      <c r="P415" s="132">
        <f t="shared" si="289"/>
        <v>1.1499999999999999</v>
      </c>
      <c r="Q415" s="180">
        <f t="shared" si="296"/>
        <v>58983.870967741925</v>
      </c>
      <c r="R415" s="144">
        <f t="shared" si="300"/>
        <v>58990</v>
      </c>
      <c r="S415" s="179">
        <f>VLOOKUP($B415,'Выгр Торг'!$B:$Q,S$1,0)</f>
        <v>47700</v>
      </c>
      <c r="T415" s="179">
        <f>VLOOKUP($B415,'Выгр Торг'!$B:$Q,T$1,0)</f>
        <v>58990</v>
      </c>
      <c r="U415" s="94">
        <f t="shared" si="290"/>
        <v>0</v>
      </c>
      <c r="V415" s="94">
        <f t="shared" si="291"/>
        <v>0</v>
      </c>
      <c r="W415" s="182">
        <f t="shared" si="301"/>
        <v>54860.7</v>
      </c>
      <c r="X415" s="218">
        <f>IFERROR(VLOOKUP($B415,'Из ГУГЛа'!$B:$G,6,0)*Z415+Y415,VLOOKUP($B415,'Из ГУГЛа'!$B:$G,6,0))</f>
        <v>50790</v>
      </c>
      <c r="Y415" s="220">
        <f t="shared" si="297"/>
        <v>10800</v>
      </c>
      <c r="Z415" s="133">
        <v>1</v>
      </c>
      <c r="AA415" s="133">
        <v>1300</v>
      </c>
      <c r="AB415" s="184">
        <f t="shared" si="302"/>
        <v>0.15011949685534587</v>
      </c>
      <c r="AC415" s="184">
        <f t="shared" si="303"/>
        <v>-8.0147666863555761E-2</v>
      </c>
      <c r="AD415" s="184">
        <f t="shared" si="304"/>
        <v>6.4779874213836575E-2</v>
      </c>
      <c r="AE415" s="223">
        <v>50790</v>
      </c>
      <c r="AF415" s="98" t="s">
        <v>616</v>
      </c>
      <c r="AH415" s="98" t="s">
        <v>125</v>
      </c>
    </row>
    <row r="416" spans="1:34" ht="46.5" thickTop="1" thickBot="1">
      <c r="A416" s="176" t="str">
        <f>INDEX('Выгр Торг'!$A:$A,MATCH($B416,'Выгр Торг'!$B:$B,0))</f>
        <v>Руль анатомический "Ferrum" SPORT с обогревом для Лада Ларгус FL, Веста, XRAY</v>
      </c>
      <c r="B416" s="178">
        <v>341659</v>
      </c>
      <c r="C416" s="179">
        <f>VLOOKUP($B416,'Выгр Торг'!$B:$Q,C$1,0)</f>
        <v>341659</v>
      </c>
      <c r="D416" s="189" t="s">
        <v>125</v>
      </c>
      <c r="E416" s="176" t="str">
        <f>VLOOKUP($B416,'Выгр Торг'!$B:$Q,E$1,0)</f>
        <v>Руль анатомический "Ferrum" SPORT с обогревом для Лада Ларгус FL, Веста, XRAY (Светло-серая нить, Чёрный мат)</v>
      </c>
      <c r="F416" s="179" t="str">
        <f>VLOOKUP($B416,'Выгр Торг'!$B:$Q,F$1,0)</f>
        <v>Y</v>
      </c>
      <c r="G416" s="179" t="str">
        <f>VLOOKUP($B416,'Выгр Торг'!$B:$Q,G$1,0)</f>
        <v>1</v>
      </c>
      <c r="H416" s="177">
        <v>166990</v>
      </c>
      <c r="I416" s="156"/>
      <c r="J416" s="160">
        <v>830</v>
      </c>
      <c r="K416" s="161">
        <v>870</v>
      </c>
      <c r="L416" s="180">
        <f t="shared" si="298"/>
        <v>47700</v>
      </c>
      <c r="M416" s="180">
        <f t="shared" si="294"/>
        <v>48700</v>
      </c>
      <c r="N416" s="180">
        <f t="shared" si="295"/>
        <v>41700</v>
      </c>
      <c r="O416" s="107">
        <f t="shared" si="299"/>
        <v>1.020964360587002</v>
      </c>
      <c r="P416" s="132">
        <f t="shared" si="289"/>
        <v>1.1499999999999999</v>
      </c>
      <c r="Q416" s="180">
        <f t="shared" si="296"/>
        <v>58983.870967741925</v>
      </c>
      <c r="R416" s="144">
        <f t="shared" si="300"/>
        <v>58990</v>
      </c>
      <c r="S416" s="179">
        <f>VLOOKUP($B416,'Выгр Торг'!$B:$Q,S$1,0)</f>
        <v>47700</v>
      </c>
      <c r="T416" s="179">
        <f>VLOOKUP($B416,'Выгр Торг'!$B:$Q,T$1,0)</f>
        <v>58990</v>
      </c>
      <c r="U416" s="94">
        <f t="shared" si="290"/>
        <v>0</v>
      </c>
      <c r="V416" s="94">
        <f t="shared" si="291"/>
        <v>0</v>
      </c>
      <c r="W416" s="182">
        <f t="shared" si="301"/>
        <v>54860.7</v>
      </c>
      <c r="X416" s="218">
        <f>IFERROR(VLOOKUP($B416,'Из ГУГЛа'!$B:$G,6,0)*Z416+Y416,VLOOKUP($B416,'Из ГУГЛа'!$B:$G,6,0))</f>
        <v>50790</v>
      </c>
      <c r="Y416" s="220">
        <f t="shared" si="297"/>
        <v>10800</v>
      </c>
      <c r="Z416" s="133">
        <v>1</v>
      </c>
      <c r="AA416" s="133">
        <v>1300</v>
      </c>
      <c r="AB416" s="184">
        <f t="shared" si="302"/>
        <v>0.15011949685534587</v>
      </c>
      <c r="AC416" s="184">
        <f t="shared" si="303"/>
        <v>-8.0147666863555761E-2</v>
      </c>
      <c r="AD416" s="184">
        <f t="shared" si="304"/>
        <v>6.4779874213836575E-2</v>
      </c>
      <c r="AE416" s="223">
        <v>50790</v>
      </c>
      <c r="AF416" s="98" t="s">
        <v>616</v>
      </c>
      <c r="AH416" s="98" t="s">
        <v>125</v>
      </c>
    </row>
    <row r="417" spans="1:34" ht="46.5" thickTop="1" thickBot="1">
      <c r="A417" s="176" t="str">
        <f>INDEX('Выгр Торг'!$A:$A,MATCH($B417,'Выгр Торг'!$B:$B,0))</f>
        <v>Руль анатомический "Ferrum" SPORT с обогревом для Лада Ларгус FL, Веста, XRAY</v>
      </c>
      <c r="B417" s="178">
        <v>341657</v>
      </c>
      <c r="C417" s="179">
        <f>VLOOKUP($B417,'Выгр Торг'!$B:$Q,C$1,0)</f>
        <v>341657</v>
      </c>
      <c r="D417" s="189" t="s">
        <v>125</v>
      </c>
      <c r="E417" s="176" t="str">
        <f>VLOOKUP($B417,'Выгр Торг'!$B:$Q,E$1,0)</f>
        <v>Руль анатомический "Ferrum" SPORT с обогревом для Лада Ларгус FL, Веста, XRAY (Сине-зелёная нить, Чёрный мат)</v>
      </c>
      <c r="F417" s="179" t="str">
        <f>VLOOKUP($B417,'Выгр Торг'!$B:$Q,F$1,0)</f>
        <v>Y</v>
      </c>
      <c r="G417" s="179" t="str">
        <f>VLOOKUP($B417,'Выгр Торг'!$B:$Q,G$1,0)</f>
        <v>1</v>
      </c>
      <c r="H417" s="177">
        <v>166990</v>
      </c>
      <c r="I417" s="156"/>
      <c r="J417" s="160">
        <v>830</v>
      </c>
      <c r="K417" s="161">
        <v>870</v>
      </c>
      <c r="L417" s="180">
        <f t="shared" si="298"/>
        <v>47700</v>
      </c>
      <c r="M417" s="180">
        <f t="shared" si="294"/>
        <v>48700</v>
      </c>
      <c r="N417" s="180">
        <f t="shared" si="295"/>
        <v>41700</v>
      </c>
      <c r="O417" s="107">
        <f t="shared" si="299"/>
        <v>1.020964360587002</v>
      </c>
      <c r="P417" s="132">
        <f t="shared" si="289"/>
        <v>1.1499999999999999</v>
      </c>
      <c r="Q417" s="180">
        <f t="shared" si="296"/>
        <v>58983.870967741925</v>
      </c>
      <c r="R417" s="144">
        <f t="shared" si="300"/>
        <v>58990</v>
      </c>
      <c r="S417" s="179">
        <f>VLOOKUP($B417,'Выгр Торг'!$B:$Q,S$1,0)</f>
        <v>47700</v>
      </c>
      <c r="T417" s="179">
        <f>VLOOKUP($B417,'Выгр Торг'!$B:$Q,T$1,0)</f>
        <v>58990</v>
      </c>
      <c r="U417" s="94">
        <f t="shared" si="290"/>
        <v>0</v>
      </c>
      <c r="V417" s="94">
        <f t="shared" si="291"/>
        <v>0</v>
      </c>
      <c r="W417" s="182">
        <f t="shared" si="301"/>
        <v>54860.7</v>
      </c>
      <c r="X417" s="218">
        <f>IFERROR(VLOOKUP($B417,'Из ГУГЛа'!$B:$G,6,0)*Z417+Y417,VLOOKUP($B417,'Из ГУГЛа'!$B:$G,6,0))</f>
        <v>50790</v>
      </c>
      <c r="Y417" s="220">
        <f t="shared" si="297"/>
        <v>10800</v>
      </c>
      <c r="Z417" s="133">
        <v>1</v>
      </c>
      <c r="AA417" s="133">
        <v>1300</v>
      </c>
      <c r="AB417" s="184">
        <f t="shared" si="302"/>
        <v>0.15011949685534587</v>
      </c>
      <c r="AC417" s="184">
        <f t="shared" si="303"/>
        <v>-8.0147666863555761E-2</v>
      </c>
      <c r="AD417" s="184">
        <f t="shared" si="304"/>
        <v>6.4779874213836575E-2</v>
      </c>
      <c r="AE417" s="223">
        <v>50790</v>
      </c>
      <c r="AF417" s="98" t="s">
        <v>616</v>
      </c>
      <c r="AH417" s="98" t="s">
        <v>125</v>
      </c>
    </row>
    <row r="418" spans="1:34" ht="46.5" thickTop="1" thickBot="1">
      <c r="A418" s="176" t="str">
        <f>INDEX('Выгр Торг'!$A:$A,MATCH($B418,'Выгр Торг'!$B:$B,0))</f>
        <v>Руль анатомический "Ferrum" SPORT с обогревом для Лада Ларгус FL, Веста, XRAY</v>
      </c>
      <c r="B418" s="178">
        <v>341658</v>
      </c>
      <c r="C418" s="179">
        <f>VLOOKUP($B418,'Выгр Торг'!$B:$Q,C$1,0)</f>
        <v>341658</v>
      </c>
      <c r="D418" s="189" t="s">
        <v>125</v>
      </c>
      <c r="E418" s="176" t="str">
        <f>VLOOKUP($B418,'Выгр Торг'!$B:$Q,E$1,0)</f>
        <v>Руль анатомический "Ferrum" SPORT с обогревом для Лада Ларгус FL, Веста, XRAY (Синяя нить, Чёрный мат)</v>
      </c>
      <c r="F418" s="179" t="str">
        <f>VLOOKUP($B418,'Выгр Торг'!$B:$Q,F$1,0)</f>
        <v>Y</v>
      </c>
      <c r="G418" s="179" t="str">
        <f>VLOOKUP($B418,'Выгр Торг'!$B:$Q,G$1,0)</f>
        <v>1</v>
      </c>
      <c r="H418" s="177">
        <v>166990</v>
      </c>
      <c r="I418" s="156"/>
      <c r="J418" s="160">
        <v>830</v>
      </c>
      <c r="K418" s="161">
        <v>870</v>
      </c>
      <c r="L418" s="180">
        <f t="shared" si="298"/>
        <v>47700</v>
      </c>
      <c r="M418" s="180">
        <f t="shared" si="294"/>
        <v>48700</v>
      </c>
      <c r="N418" s="180">
        <f t="shared" si="295"/>
        <v>41700</v>
      </c>
      <c r="O418" s="107">
        <f t="shared" si="299"/>
        <v>1.020964360587002</v>
      </c>
      <c r="P418" s="132">
        <f t="shared" si="289"/>
        <v>1.1499999999999999</v>
      </c>
      <c r="Q418" s="180">
        <f t="shared" si="296"/>
        <v>58983.870967741925</v>
      </c>
      <c r="R418" s="144">
        <f t="shared" si="300"/>
        <v>58990</v>
      </c>
      <c r="S418" s="179">
        <f>VLOOKUP($B418,'Выгр Торг'!$B:$Q,S$1,0)</f>
        <v>47700</v>
      </c>
      <c r="T418" s="179">
        <f>VLOOKUP($B418,'Выгр Торг'!$B:$Q,T$1,0)</f>
        <v>58990</v>
      </c>
      <c r="U418" s="94">
        <f t="shared" si="290"/>
        <v>0</v>
      </c>
      <c r="V418" s="94">
        <f t="shared" si="291"/>
        <v>0</v>
      </c>
      <c r="W418" s="182">
        <f t="shared" si="301"/>
        <v>54860.7</v>
      </c>
      <c r="X418" s="218">
        <f>IFERROR(VLOOKUP($B418,'Из ГУГЛа'!$B:$G,6,0)*Z418+Y418,VLOOKUP($B418,'Из ГУГЛа'!$B:$G,6,0))</f>
        <v>50790</v>
      </c>
      <c r="Y418" s="220">
        <f t="shared" si="297"/>
        <v>10800</v>
      </c>
      <c r="Z418" s="133">
        <v>1</v>
      </c>
      <c r="AA418" s="133">
        <v>1300</v>
      </c>
      <c r="AB418" s="184">
        <f t="shared" si="302"/>
        <v>0.15011949685534587</v>
      </c>
      <c r="AC418" s="184">
        <f t="shared" si="303"/>
        <v>-8.0147666863555761E-2</v>
      </c>
      <c r="AD418" s="184">
        <f t="shared" si="304"/>
        <v>6.4779874213836575E-2</v>
      </c>
      <c r="AE418" s="223">
        <v>50790</v>
      </c>
      <c r="AF418" s="98" t="s">
        <v>616</v>
      </c>
      <c r="AH418" s="98" t="s">
        <v>125</v>
      </c>
    </row>
    <row r="419" spans="1:34" ht="46.5" thickTop="1" thickBot="1">
      <c r="A419" s="176" t="str">
        <f>INDEX('Выгр Торг'!$A:$A,MATCH($B419,'Выгр Торг'!$B:$B,0))</f>
        <v>Руль анатомический "Ferrum" SPORT с обогревом для Лада Ларгус FL, Веста, XRAY</v>
      </c>
      <c r="B419" s="178">
        <v>341660</v>
      </c>
      <c r="C419" s="179">
        <f>VLOOKUP($B419,'Выгр Торг'!$B:$Q,C$1,0)</f>
        <v>341660</v>
      </c>
      <c r="D419" s="189" t="s">
        <v>125</v>
      </c>
      <c r="E419" s="176" t="str">
        <f>VLOOKUP($B419,'Выгр Торг'!$B:$Q,E$1,0)</f>
        <v>Руль анатомический "Ferrum" SPORT с обогревом для Лада Ларгус FL, Веста, XRAY (Тёмно-серая нить, Чёрный мат)</v>
      </c>
      <c r="F419" s="179" t="str">
        <f>VLOOKUP($B419,'Выгр Торг'!$B:$Q,F$1,0)</f>
        <v>Y</v>
      </c>
      <c r="G419" s="179" t="str">
        <f>VLOOKUP($B419,'Выгр Торг'!$B:$Q,G$1,0)</f>
        <v>1</v>
      </c>
      <c r="H419" s="177">
        <v>166990</v>
      </c>
      <c r="I419" s="156"/>
      <c r="J419" s="160">
        <v>830</v>
      </c>
      <c r="K419" s="161">
        <v>870</v>
      </c>
      <c r="L419" s="180">
        <f t="shared" si="298"/>
        <v>47700</v>
      </c>
      <c r="M419" s="180">
        <f t="shared" si="294"/>
        <v>48700</v>
      </c>
      <c r="N419" s="180">
        <f t="shared" si="295"/>
        <v>41700</v>
      </c>
      <c r="O419" s="107">
        <f t="shared" si="299"/>
        <v>1.020964360587002</v>
      </c>
      <c r="P419" s="132">
        <f t="shared" si="289"/>
        <v>1.1499999999999999</v>
      </c>
      <c r="Q419" s="180">
        <f t="shared" si="296"/>
        <v>58983.870967741925</v>
      </c>
      <c r="R419" s="144">
        <f t="shared" si="300"/>
        <v>58990</v>
      </c>
      <c r="S419" s="179">
        <f>VLOOKUP($B419,'Выгр Торг'!$B:$Q,S$1,0)</f>
        <v>47700</v>
      </c>
      <c r="T419" s="179">
        <f>VLOOKUP($B419,'Выгр Торг'!$B:$Q,T$1,0)</f>
        <v>58990</v>
      </c>
      <c r="U419" s="94">
        <f t="shared" si="290"/>
        <v>0</v>
      </c>
      <c r="V419" s="94">
        <f t="shared" si="291"/>
        <v>0</v>
      </c>
      <c r="W419" s="182">
        <f t="shared" si="301"/>
        <v>54860.7</v>
      </c>
      <c r="X419" s="218">
        <f>IFERROR(VLOOKUP($B419,'Из ГУГЛа'!$B:$G,6,0)*Z419+Y419,VLOOKUP($B419,'Из ГУГЛа'!$B:$G,6,0))</f>
        <v>50790</v>
      </c>
      <c r="Y419" s="220">
        <f t="shared" si="297"/>
        <v>10800</v>
      </c>
      <c r="Z419" s="133">
        <v>1</v>
      </c>
      <c r="AA419" s="133">
        <v>1300</v>
      </c>
      <c r="AB419" s="184">
        <f t="shared" si="302"/>
        <v>0.15011949685534587</v>
      </c>
      <c r="AC419" s="184">
        <f t="shared" si="303"/>
        <v>-8.0147666863555761E-2</v>
      </c>
      <c r="AD419" s="184">
        <f t="shared" si="304"/>
        <v>6.4779874213836575E-2</v>
      </c>
      <c r="AE419" s="223">
        <v>50790</v>
      </c>
      <c r="AF419" s="98" t="s">
        <v>616</v>
      </c>
      <c r="AH419" s="98" t="s">
        <v>125</v>
      </c>
    </row>
    <row r="420" spans="1:34" ht="46.5" thickTop="1" thickBot="1">
      <c r="A420" s="176" t="str">
        <f>INDEX('Выгр Торг'!$A:$A,MATCH($B420,'Выгр Торг'!$B:$B,0))</f>
        <v>Руль анатомический "Ferrum" SPORT с обогревом для Лада Ларгус FL, Веста, XRAY</v>
      </c>
      <c r="B420" s="178">
        <v>341652</v>
      </c>
      <c r="C420" s="179">
        <f>VLOOKUP($B420,'Выгр Торг'!$B:$Q,C$1,0)</f>
        <v>341652</v>
      </c>
      <c r="D420" s="189" t="s">
        <v>125</v>
      </c>
      <c r="E420" s="176" t="str">
        <f>VLOOKUP($B420,'Выгр Торг'!$B:$Q,E$1,0)</f>
        <v>Руль анатомический "Ferrum" SPORT с обогревом для Лада Ларгус FL, Веста, XRAY (Фиолетовая нить, Чёрный мат)</v>
      </c>
      <c r="F420" s="179" t="str">
        <f>VLOOKUP($B420,'Выгр Торг'!$B:$Q,F$1,0)</f>
        <v>Y</v>
      </c>
      <c r="G420" s="179" t="str">
        <f>VLOOKUP($B420,'Выгр Торг'!$B:$Q,G$1,0)</f>
        <v>1</v>
      </c>
      <c r="H420" s="177">
        <v>166990</v>
      </c>
      <c r="I420" s="156"/>
      <c r="J420" s="160">
        <v>830</v>
      </c>
      <c r="K420" s="161">
        <v>870</v>
      </c>
      <c r="L420" s="180">
        <f t="shared" si="298"/>
        <v>47700</v>
      </c>
      <c r="M420" s="180">
        <f t="shared" si="294"/>
        <v>48700</v>
      </c>
      <c r="N420" s="180">
        <f t="shared" si="295"/>
        <v>41700</v>
      </c>
      <c r="O420" s="107">
        <f t="shared" si="299"/>
        <v>1.020964360587002</v>
      </c>
      <c r="P420" s="132">
        <f t="shared" si="289"/>
        <v>1.1499999999999999</v>
      </c>
      <c r="Q420" s="180">
        <f t="shared" si="296"/>
        <v>58983.870967741925</v>
      </c>
      <c r="R420" s="144">
        <f t="shared" si="300"/>
        <v>58990</v>
      </c>
      <c r="S420" s="179">
        <f>VLOOKUP($B420,'Выгр Торг'!$B:$Q,S$1,0)</f>
        <v>47700</v>
      </c>
      <c r="T420" s="179">
        <f>VLOOKUP($B420,'Выгр Торг'!$B:$Q,T$1,0)</f>
        <v>58990</v>
      </c>
      <c r="U420" s="94">
        <f t="shared" si="290"/>
        <v>0</v>
      </c>
      <c r="V420" s="94">
        <f t="shared" si="291"/>
        <v>0</v>
      </c>
      <c r="W420" s="182">
        <f t="shared" si="301"/>
        <v>54860.7</v>
      </c>
      <c r="X420" s="218">
        <f>IFERROR(VLOOKUP($B420,'Из ГУГЛа'!$B:$G,6,0)*Z420+Y420,VLOOKUP($B420,'Из ГУГЛа'!$B:$G,6,0))</f>
        <v>50790</v>
      </c>
      <c r="Y420" s="220">
        <f t="shared" si="297"/>
        <v>10800</v>
      </c>
      <c r="Z420" s="133">
        <v>1</v>
      </c>
      <c r="AA420" s="133">
        <v>1300</v>
      </c>
      <c r="AB420" s="184">
        <f t="shared" si="302"/>
        <v>0.15011949685534587</v>
      </c>
      <c r="AC420" s="184">
        <f t="shared" si="303"/>
        <v>-8.0147666863555761E-2</v>
      </c>
      <c r="AD420" s="184">
        <f t="shared" si="304"/>
        <v>6.4779874213836575E-2</v>
      </c>
      <c r="AE420" s="223">
        <v>50790</v>
      </c>
      <c r="AF420" s="98" t="s">
        <v>616</v>
      </c>
      <c r="AH420" s="98" t="s">
        <v>125</v>
      </c>
    </row>
    <row r="421" spans="1:34" ht="46.5" thickTop="1" thickBot="1">
      <c r="A421" s="176" t="str">
        <f>INDEX('Выгр Торг'!$A:$A,MATCH($B421,'Выгр Торг'!$B:$B,0))</f>
        <v>Руль анатомический "Ferrum" SPORT с обогревом для Лада Ларгус FL, Веста, XRAY</v>
      </c>
      <c r="B421" s="178">
        <v>132702</v>
      </c>
      <c r="C421" s="179">
        <f>VLOOKUP($B421,'Выгр Торг'!$B:$Q,C$1,0)</f>
        <v>166997</v>
      </c>
      <c r="D421" s="189" t="s">
        <v>125</v>
      </c>
      <c r="E421" s="176" t="str">
        <f>VLOOKUP($B421,'Выгр Торг'!$B:$Q,E$1,0)</f>
        <v>Руль анатомический "Ferrum" SPORT с обогревом для Лада Ларгус FL, Веста, XRAY (Жёлтая нить, Чёрный глянец)</v>
      </c>
      <c r="F421" s="179" t="str">
        <f>VLOOKUP($B421,'Выгр Торг'!$B:$Q,F$1,0)</f>
        <v>Y</v>
      </c>
      <c r="G421" s="179" t="str">
        <f>VLOOKUP($B421,'Выгр Торг'!$B:$Q,G$1,0)</f>
        <v>1</v>
      </c>
      <c r="H421" s="177">
        <v>166990</v>
      </c>
      <c r="I421" s="156"/>
      <c r="J421" s="160"/>
      <c r="K421" s="161">
        <v>870</v>
      </c>
      <c r="L421" s="180">
        <f t="shared" si="298"/>
        <v>46870</v>
      </c>
      <c r="M421" s="180">
        <f t="shared" si="294"/>
        <v>47870</v>
      </c>
      <c r="N421" s="180">
        <f t="shared" si="295"/>
        <v>40870</v>
      </c>
      <c r="O421" s="107">
        <f t="shared" si="299"/>
        <v>1.0213356091316408</v>
      </c>
      <c r="P421" s="132">
        <f t="shared" si="289"/>
        <v>1.1499999999999999</v>
      </c>
      <c r="Q421" s="180">
        <f t="shared" si="296"/>
        <v>57957.52688172042</v>
      </c>
      <c r="R421" s="144">
        <f t="shared" si="300"/>
        <v>57990</v>
      </c>
      <c r="S421" s="179">
        <f>VLOOKUP($B421,'Выгр Торг'!$B:$Q,S$1,0)</f>
        <v>46870</v>
      </c>
      <c r="T421" s="179">
        <f>VLOOKUP($B421,'Выгр Торг'!$B:$Q,T$1,0)</f>
        <v>57990</v>
      </c>
      <c r="U421" s="94">
        <f t="shared" si="290"/>
        <v>0</v>
      </c>
      <c r="V421" s="94">
        <f t="shared" si="291"/>
        <v>0</v>
      </c>
      <c r="W421" s="182">
        <f t="shared" si="301"/>
        <v>53930.7</v>
      </c>
      <c r="X421" s="218">
        <f>IFERROR(VLOOKUP($B421,'Из ГУГЛа'!$B:$G,6,0)*Z421+Y421,VLOOKUP($B421,'Из ГУГЛа'!$B:$G,6,0))</f>
        <v>49960</v>
      </c>
      <c r="Y421" s="220">
        <f t="shared" si="297"/>
        <v>9970</v>
      </c>
      <c r="Z421" s="133">
        <v>1</v>
      </c>
      <c r="AA421" s="133"/>
      <c r="AB421" s="184">
        <f t="shared" si="302"/>
        <v>0.1506443353957756</v>
      </c>
      <c r="AC421" s="184">
        <f t="shared" si="303"/>
        <v>-7.9477582065652461E-2</v>
      </c>
      <c r="AD421" s="184">
        <f t="shared" si="304"/>
        <v>6.5927032216769765E-2</v>
      </c>
      <c r="AE421" s="223">
        <v>49960</v>
      </c>
      <c r="AF421" s="98" t="s">
        <v>616</v>
      </c>
      <c r="AH421" s="98" t="s">
        <v>125</v>
      </c>
    </row>
    <row r="422" spans="1:34" ht="46.5" thickTop="1" thickBot="1">
      <c r="A422" s="125" t="str">
        <f>INDEX('Выгр Торг'!$A:$A,MATCH($B422,'Выгр Торг'!$B:$B,0))</f>
        <v>Руль анатомический "Ferrum" SPORT с обогревом для Лада Ларгус FL, Веста, XRAY</v>
      </c>
      <c r="B422" s="126">
        <v>132703</v>
      </c>
      <c r="C422" s="127">
        <f>VLOOKUP($B422,'Выгр Торг'!$B:$Q,C$1,0)</f>
        <v>167001</v>
      </c>
      <c r="D422" s="128" t="s">
        <v>125</v>
      </c>
      <c r="E422" s="125" t="str">
        <f>VLOOKUP($B422,'Выгр Торг'!$B:$Q,E$1,0)</f>
        <v>Руль анатомический "Ferrum" SPORT с обогревом для Лада Ларгус FL, Веста, XRAY (Зелёная нить, Чёрный глянец)</v>
      </c>
      <c r="F422" s="127" t="str">
        <f>VLOOKUP($B422,'Выгр Торг'!$B:$Q,F$1,0)</f>
        <v>Y</v>
      </c>
      <c r="G422" s="127" t="str">
        <f>VLOOKUP($B422,'Выгр Торг'!$B:$Q,G$1,0)</f>
        <v>1</v>
      </c>
      <c r="H422" s="40">
        <v>166990</v>
      </c>
      <c r="I422" s="156"/>
      <c r="J422" s="160"/>
      <c r="K422" s="161">
        <v>870</v>
      </c>
      <c r="L422" s="130">
        <f t="shared" si="292"/>
        <v>46870</v>
      </c>
      <c r="M422" s="130">
        <f t="shared" si="294"/>
        <v>47870</v>
      </c>
      <c r="N422" s="130">
        <f t="shared" si="295"/>
        <v>40870</v>
      </c>
      <c r="O422" s="132">
        <f t="shared" si="263"/>
        <v>1.0213356091316408</v>
      </c>
      <c r="P422" s="132">
        <f t="shared" si="289"/>
        <v>1.1499999999999999</v>
      </c>
      <c r="Q422" s="130">
        <f t="shared" si="296"/>
        <v>57957.52688172042</v>
      </c>
      <c r="R422" s="148">
        <f t="shared" si="265"/>
        <v>57990</v>
      </c>
      <c r="S422" s="127">
        <f>VLOOKUP($B422,'Выгр Торг'!$B:$Q,S$1,0)</f>
        <v>46870</v>
      </c>
      <c r="T422" s="127">
        <f>VLOOKUP($B422,'Выгр Торг'!$B:$Q,T$1,0)</f>
        <v>57990</v>
      </c>
      <c r="U422" s="94">
        <f t="shared" si="290"/>
        <v>0</v>
      </c>
      <c r="V422" s="94">
        <f t="shared" si="291"/>
        <v>0</v>
      </c>
      <c r="W422" s="153">
        <f t="shared" si="255"/>
        <v>53930.7</v>
      </c>
      <c r="X422" s="209">
        <f>IFERROR(VLOOKUP($B422,'Из ГУГЛа'!$B:$G,6,0)*Z422+Y422,VLOOKUP($B422,'Из ГУГЛа'!$B:$G,6,0))</f>
        <v>49960</v>
      </c>
      <c r="Y422" s="220">
        <f t="shared" si="297"/>
        <v>9970</v>
      </c>
      <c r="Z422" s="133">
        <v>1</v>
      </c>
      <c r="AA422" s="134"/>
      <c r="AB422" s="135">
        <f t="shared" si="245"/>
        <v>0.1506443353957756</v>
      </c>
      <c r="AC422" s="135">
        <f t="shared" si="246"/>
        <v>-7.9477582065652461E-2</v>
      </c>
      <c r="AD422" s="135">
        <f t="shared" si="247"/>
        <v>6.5927032216769765E-2</v>
      </c>
      <c r="AE422" s="223">
        <v>49960</v>
      </c>
      <c r="AF422" s="98" t="s">
        <v>616</v>
      </c>
      <c r="AH422" s="98" t="s">
        <v>125</v>
      </c>
    </row>
    <row r="423" spans="1:34" ht="46.5" thickTop="1" thickBot="1">
      <c r="A423" s="125" t="str">
        <f>INDEX('Выгр Торг'!$A:$A,MATCH($B423,'Выгр Торг'!$B:$B,0))</f>
        <v>Руль анатомический "Ferrum" SPORT с обогревом для Лада Ларгус FL, Веста, XRAY</v>
      </c>
      <c r="B423" s="126">
        <v>132704</v>
      </c>
      <c r="C423" s="127">
        <f>VLOOKUP($B423,'Выгр Торг'!$B:$Q,C$1,0)</f>
        <v>166993</v>
      </c>
      <c r="D423" s="128" t="s">
        <v>125</v>
      </c>
      <c r="E423" s="125" t="str">
        <f>VLOOKUP($B423,'Выгр Торг'!$B:$Q,E$1,0)</f>
        <v>Руль анатомический "Ferrum" SPORT с обогревом для Лада Ларгус FL, Веста, XRAY (Коричневая нить, Чёрный глянец)</v>
      </c>
      <c r="F423" s="127" t="str">
        <f>VLOOKUP($B423,'Выгр Торг'!$B:$Q,F$1,0)</f>
        <v>Y</v>
      </c>
      <c r="G423" s="127" t="str">
        <f>VLOOKUP($B423,'Выгр Торг'!$B:$Q,G$1,0)</f>
        <v>1</v>
      </c>
      <c r="H423" s="40">
        <v>166990</v>
      </c>
      <c r="I423" s="156"/>
      <c r="J423" s="160"/>
      <c r="K423" s="161">
        <v>870</v>
      </c>
      <c r="L423" s="130">
        <f t="shared" si="292"/>
        <v>46870</v>
      </c>
      <c r="M423" s="130">
        <f t="shared" si="294"/>
        <v>47870</v>
      </c>
      <c r="N423" s="130">
        <f t="shared" si="295"/>
        <v>40870</v>
      </c>
      <c r="O423" s="132">
        <f t="shared" si="263"/>
        <v>1.0213356091316408</v>
      </c>
      <c r="P423" s="132">
        <f t="shared" si="289"/>
        <v>1.1499999999999999</v>
      </c>
      <c r="Q423" s="130">
        <f t="shared" si="296"/>
        <v>57957.52688172042</v>
      </c>
      <c r="R423" s="148">
        <f t="shared" si="265"/>
        <v>57990</v>
      </c>
      <c r="S423" s="127">
        <f>VLOOKUP($B423,'Выгр Торг'!$B:$Q,S$1,0)</f>
        <v>46870</v>
      </c>
      <c r="T423" s="127">
        <f>VLOOKUP($B423,'Выгр Торг'!$B:$Q,T$1,0)</f>
        <v>57990</v>
      </c>
      <c r="U423" s="94">
        <f t="shared" si="290"/>
        <v>0</v>
      </c>
      <c r="V423" s="94">
        <f t="shared" si="291"/>
        <v>0</v>
      </c>
      <c r="W423" s="153">
        <f t="shared" si="255"/>
        <v>53930.7</v>
      </c>
      <c r="X423" s="209">
        <f>IFERROR(VLOOKUP($B423,'Из ГУГЛа'!$B:$G,6,0)*Z423+Y423,VLOOKUP($B423,'Из ГУГЛа'!$B:$G,6,0))</f>
        <v>49960</v>
      </c>
      <c r="Y423" s="220">
        <f t="shared" si="297"/>
        <v>9970</v>
      </c>
      <c r="Z423" s="133">
        <v>1</v>
      </c>
      <c r="AA423" s="134"/>
      <c r="AB423" s="135">
        <f t="shared" si="245"/>
        <v>0.1506443353957756</v>
      </c>
      <c r="AC423" s="135">
        <f t="shared" si="246"/>
        <v>-7.9477582065652461E-2</v>
      </c>
      <c r="AD423" s="135">
        <f t="shared" si="247"/>
        <v>6.5927032216769765E-2</v>
      </c>
      <c r="AE423" s="223">
        <v>49960</v>
      </c>
      <c r="AF423" s="98" t="s">
        <v>616</v>
      </c>
      <c r="AH423" s="98" t="s">
        <v>125</v>
      </c>
    </row>
    <row r="424" spans="1:34" ht="46.5" thickTop="1" thickBot="1">
      <c r="A424" s="125" t="str">
        <f>INDEX('Выгр Торг'!$A:$A,MATCH($B424,'Выгр Торг'!$B:$B,0))</f>
        <v>Руль анатомический "Ferrum" SPORT с обогревом для Лада Ларгус FL, Веста, XRAY</v>
      </c>
      <c r="B424" s="126">
        <v>132705</v>
      </c>
      <c r="C424" s="127">
        <f>VLOOKUP($B424,'Выгр Торг'!$B:$Q,C$1,0)</f>
        <v>167000</v>
      </c>
      <c r="D424" s="128" t="s">
        <v>125</v>
      </c>
      <c r="E424" s="125" t="str">
        <f>VLOOKUP($B424,'Выгр Торг'!$B:$Q,E$1,0)</f>
        <v>Руль анатомический "Ferrum" SPORT с обогревом для Лада Ларгус FL, Веста, XRAY (Красная нить, Чёрный глянец)</v>
      </c>
      <c r="F424" s="127" t="str">
        <f>VLOOKUP($B424,'Выгр Торг'!$B:$Q,F$1,0)</f>
        <v>Y</v>
      </c>
      <c r="G424" s="127" t="str">
        <f>VLOOKUP($B424,'Выгр Торг'!$B:$Q,G$1,0)</f>
        <v>1</v>
      </c>
      <c r="H424" s="40">
        <v>166990</v>
      </c>
      <c r="I424" s="156"/>
      <c r="J424" s="160"/>
      <c r="K424" s="161">
        <v>870</v>
      </c>
      <c r="L424" s="130">
        <f t="shared" si="292"/>
        <v>46870</v>
      </c>
      <c r="M424" s="130">
        <f t="shared" si="294"/>
        <v>47870</v>
      </c>
      <c r="N424" s="130">
        <f t="shared" si="295"/>
        <v>40870</v>
      </c>
      <c r="O424" s="132">
        <f t="shared" si="263"/>
        <v>1.0213356091316408</v>
      </c>
      <c r="P424" s="132">
        <f t="shared" si="289"/>
        <v>1.1499999999999999</v>
      </c>
      <c r="Q424" s="130">
        <f t="shared" si="296"/>
        <v>57957.52688172042</v>
      </c>
      <c r="R424" s="148">
        <f t="shared" si="265"/>
        <v>57990</v>
      </c>
      <c r="S424" s="127">
        <f>VLOOKUP($B424,'Выгр Торг'!$B:$Q,S$1,0)</f>
        <v>46870</v>
      </c>
      <c r="T424" s="127">
        <f>VLOOKUP($B424,'Выгр Торг'!$B:$Q,T$1,0)</f>
        <v>57990</v>
      </c>
      <c r="U424" s="94">
        <f t="shared" si="290"/>
        <v>0</v>
      </c>
      <c r="V424" s="94">
        <f t="shared" si="291"/>
        <v>0</v>
      </c>
      <c r="W424" s="153">
        <f t="shared" si="255"/>
        <v>53930.7</v>
      </c>
      <c r="X424" s="209">
        <f>IFERROR(VLOOKUP($B424,'Из ГУГЛа'!$B:$G,6,0)*Z424+Y424,VLOOKUP($B424,'Из ГУГЛа'!$B:$G,6,0))</f>
        <v>49960</v>
      </c>
      <c r="Y424" s="220">
        <f t="shared" si="297"/>
        <v>9970</v>
      </c>
      <c r="Z424" s="133">
        <v>1</v>
      </c>
      <c r="AA424" s="134"/>
      <c r="AB424" s="135">
        <f t="shared" si="245"/>
        <v>0.1506443353957756</v>
      </c>
      <c r="AC424" s="135">
        <f t="shared" si="246"/>
        <v>-7.9477582065652461E-2</v>
      </c>
      <c r="AD424" s="135">
        <f t="shared" si="247"/>
        <v>6.5927032216769765E-2</v>
      </c>
      <c r="AE424" s="223">
        <v>49960</v>
      </c>
      <c r="AF424" s="98" t="s">
        <v>616</v>
      </c>
      <c r="AH424" s="98" t="s">
        <v>125</v>
      </c>
    </row>
    <row r="425" spans="1:34" ht="46.5" thickTop="1" thickBot="1">
      <c r="A425" s="125" t="str">
        <f>INDEX('Выгр Торг'!$A:$A,MATCH($B425,'Выгр Торг'!$B:$B,0))</f>
        <v>Руль анатомический "Ferrum" SPORT с обогревом для Лада Ларгус FL, Веста, XRAY</v>
      </c>
      <c r="B425" s="126">
        <v>132706</v>
      </c>
      <c r="C425" s="127">
        <f>VLOOKUP($B425,'Выгр Торг'!$B:$Q,C$1,0)</f>
        <v>166996</v>
      </c>
      <c r="D425" s="128" t="s">
        <v>125</v>
      </c>
      <c r="E425" s="125" t="str">
        <f>VLOOKUP($B425,'Выгр Торг'!$B:$Q,E$1,0)</f>
        <v>Руль анатомический "Ferrum" SPORT с обогревом для Лада Ларгус FL, Веста, XRAY (Оранжевая нить, Чёрный глянец)</v>
      </c>
      <c r="F425" s="127" t="str">
        <f>VLOOKUP($B425,'Выгр Торг'!$B:$Q,F$1,0)</f>
        <v>Y</v>
      </c>
      <c r="G425" s="127" t="str">
        <f>VLOOKUP($B425,'Выгр Торг'!$B:$Q,G$1,0)</f>
        <v>1</v>
      </c>
      <c r="H425" s="40">
        <v>166990</v>
      </c>
      <c r="I425" s="156"/>
      <c r="J425" s="160"/>
      <c r="K425" s="161">
        <v>870</v>
      </c>
      <c r="L425" s="130">
        <f t="shared" si="292"/>
        <v>46870</v>
      </c>
      <c r="M425" s="130">
        <f t="shared" si="294"/>
        <v>47870</v>
      </c>
      <c r="N425" s="130">
        <f t="shared" si="295"/>
        <v>40870</v>
      </c>
      <c r="O425" s="132">
        <f t="shared" si="263"/>
        <v>1.0213356091316408</v>
      </c>
      <c r="P425" s="132">
        <f t="shared" si="289"/>
        <v>1.1499999999999999</v>
      </c>
      <c r="Q425" s="130">
        <f t="shared" si="296"/>
        <v>57957.52688172042</v>
      </c>
      <c r="R425" s="148">
        <f t="shared" si="265"/>
        <v>57990</v>
      </c>
      <c r="S425" s="127">
        <f>VLOOKUP($B425,'Выгр Торг'!$B:$Q,S$1,0)</f>
        <v>46870</v>
      </c>
      <c r="T425" s="127">
        <f>VLOOKUP($B425,'Выгр Торг'!$B:$Q,T$1,0)</f>
        <v>57990</v>
      </c>
      <c r="U425" s="94">
        <f t="shared" si="290"/>
        <v>0</v>
      </c>
      <c r="V425" s="94">
        <f t="shared" si="291"/>
        <v>0</v>
      </c>
      <c r="W425" s="153">
        <f t="shared" si="255"/>
        <v>53930.7</v>
      </c>
      <c r="X425" s="209">
        <f>IFERROR(VLOOKUP($B425,'Из ГУГЛа'!$B:$G,6,0)*Z425+Y425,VLOOKUP($B425,'Из ГУГЛа'!$B:$G,6,0))</f>
        <v>49960</v>
      </c>
      <c r="Y425" s="220">
        <f t="shared" si="297"/>
        <v>9970</v>
      </c>
      <c r="Z425" s="133">
        <v>1</v>
      </c>
      <c r="AA425" s="134"/>
      <c r="AB425" s="135">
        <f t="shared" si="245"/>
        <v>0.1506443353957756</v>
      </c>
      <c r="AC425" s="135">
        <f t="shared" si="246"/>
        <v>-7.9477582065652461E-2</v>
      </c>
      <c r="AD425" s="135">
        <f t="shared" si="247"/>
        <v>6.5927032216769765E-2</v>
      </c>
      <c r="AE425" s="223">
        <v>49960</v>
      </c>
      <c r="AF425" s="98" t="s">
        <v>616</v>
      </c>
      <c r="AH425" s="98" t="s">
        <v>125</v>
      </c>
    </row>
    <row r="426" spans="1:34" ht="46.5" thickTop="1" thickBot="1">
      <c r="A426" s="125" t="str">
        <f>INDEX('Выгр Торг'!$A:$A,MATCH($B426,'Выгр Торг'!$B:$B,0))</f>
        <v>Руль анатомический "Ferrum" SPORT с обогревом для Лада Ларгус FL, Веста, XRAY</v>
      </c>
      <c r="B426" s="126">
        <v>132707</v>
      </c>
      <c r="C426" s="127">
        <f>VLOOKUP($B426,'Выгр Торг'!$B:$Q,C$1,0)</f>
        <v>166998</v>
      </c>
      <c r="D426" s="128" t="s">
        <v>125</v>
      </c>
      <c r="E426" s="125" t="str">
        <f>VLOOKUP($B426,'Выгр Торг'!$B:$Q,E$1,0)</f>
        <v>Руль анатомический "Ferrum" SPORT с обогревом для Лада Ларгус FL, Веста, XRAY (Салатовая нить, Чёрный глянец)</v>
      </c>
      <c r="F426" s="127" t="str">
        <f>VLOOKUP($B426,'Выгр Торг'!$B:$Q,F$1,0)</f>
        <v>Y</v>
      </c>
      <c r="G426" s="127" t="str">
        <f>VLOOKUP($B426,'Выгр Торг'!$B:$Q,G$1,0)</f>
        <v>1</v>
      </c>
      <c r="H426" s="40">
        <v>166990</v>
      </c>
      <c r="I426" s="156"/>
      <c r="J426" s="160"/>
      <c r="K426" s="161">
        <v>870</v>
      </c>
      <c r="L426" s="130">
        <f t="shared" si="292"/>
        <v>46870</v>
      </c>
      <c r="M426" s="130">
        <f t="shared" si="294"/>
        <v>47870</v>
      </c>
      <c r="N426" s="130">
        <f t="shared" si="295"/>
        <v>40870</v>
      </c>
      <c r="O426" s="132">
        <f t="shared" si="263"/>
        <v>1.0213356091316408</v>
      </c>
      <c r="P426" s="132">
        <f t="shared" si="289"/>
        <v>1.1499999999999999</v>
      </c>
      <c r="Q426" s="130">
        <f t="shared" si="296"/>
        <v>57957.52688172042</v>
      </c>
      <c r="R426" s="148">
        <f t="shared" si="265"/>
        <v>57990</v>
      </c>
      <c r="S426" s="127">
        <f>VLOOKUP($B426,'Выгр Торг'!$B:$Q,S$1,0)</f>
        <v>46870</v>
      </c>
      <c r="T426" s="127">
        <f>VLOOKUP($B426,'Выгр Торг'!$B:$Q,T$1,0)</f>
        <v>57990</v>
      </c>
      <c r="U426" s="94">
        <f t="shared" si="290"/>
        <v>0</v>
      </c>
      <c r="V426" s="94">
        <f t="shared" si="291"/>
        <v>0</v>
      </c>
      <c r="W426" s="153">
        <f t="shared" si="255"/>
        <v>53930.7</v>
      </c>
      <c r="X426" s="209">
        <f>IFERROR(VLOOKUP($B426,'Из ГУГЛа'!$B:$G,6,0)*Z426+Y426,VLOOKUP($B426,'Из ГУГЛа'!$B:$G,6,0))</f>
        <v>49960</v>
      </c>
      <c r="Y426" s="220">
        <f t="shared" si="297"/>
        <v>9970</v>
      </c>
      <c r="Z426" s="133">
        <v>1</v>
      </c>
      <c r="AA426" s="134"/>
      <c r="AB426" s="135">
        <f t="shared" si="245"/>
        <v>0.1506443353957756</v>
      </c>
      <c r="AC426" s="135">
        <f t="shared" si="246"/>
        <v>-7.9477582065652461E-2</v>
      </c>
      <c r="AD426" s="135">
        <f t="shared" si="247"/>
        <v>6.5927032216769765E-2</v>
      </c>
      <c r="AE426" s="223">
        <v>49960</v>
      </c>
      <c r="AF426" s="98" t="s">
        <v>616</v>
      </c>
      <c r="AH426" s="98" t="s">
        <v>125</v>
      </c>
    </row>
    <row r="427" spans="1:34" ht="46.5" thickTop="1" thickBot="1">
      <c r="A427" s="125" t="str">
        <f>INDEX('Выгр Торг'!$A:$A,MATCH($B427,'Выгр Торг'!$B:$B,0))</f>
        <v>Руль анатомический "Ferrum" SPORT с обогревом для Лада Ларгус FL, Веста, XRAY</v>
      </c>
      <c r="B427" s="126">
        <v>132708</v>
      </c>
      <c r="C427" s="127">
        <f>VLOOKUP($B427,'Выгр Торг'!$B:$Q,C$1,0)</f>
        <v>166999</v>
      </c>
      <c r="D427" s="128" t="s">
        <v>125</v>
      </c>
      <c r="E427" s="125" t="str">
        <f>VLOOKUP($B427,'Выгр Торг'!$B:$Q,E$1,0)</f>
        <v>Руль анатомический "Ferrum" SPORT с обогревом для Лада Ларгус FL, Веста, XRAY (Светло-серая нить, Чёрный глянец)</v>
      </c>
      <c r="F427" s="127" t="str">
        <f>VLOOKUP($B427,'Выгр Торг'!$B:$Q,F$1,0)</f>
        <v>Y</v>
      </c>
      <c r="G427" s="127" t="str">
        <f>VLOOKUP($B427,'Выгр Торг'!$B:$Q,G$1,0)</f>
        <v>1</v>
      </c>
      <c r="H427" s="40">
        <v>166990</v>
      </c>
      <c r="I427" s="156"/>
      <c r="J427" s="160"/>
      <c r="K427" s="161">
        <v>870</v>
      </c>
      <c r="L427" s="130">
        <f t="shared" si="292"/>
        <v>46870</v>
      </c>
      <c r="M427" s="130">
        <f t="shared" si="294"/>
        <v>47870</v>
      </c>
      <c r="N427" s="130">
        <f t="shared" si="295"/>
        <v>40870</v>
      </c>
      <c r="O427" s="132">
        <f t="shared" si="263"/>
        <v>1.0213356091316408</v>
      </c>
      <c r="P427" s="132">
        <f t="shared" si="289"/>
        <v>1.1499999999999999</v>
      </c>
      <c r="Q427" s="130">
        <f t="shared" si="296"/>
        <v>57957.52688172042</v>
      </c>
      <c r="R427" s="148">
        <f t="shared" si="265"/>
        <v>57990</v>
      </c>
      <c r="S427" s="127">
        <f>VLOOKUP($B427,'Выгр Торг'!$B:$Q,S$1,0)</f>
        <v>46870</v>
      </c>
      <c r="T427" s="127">
        <f>VLOOKUP($B427,'Выгр Торг'!$B:$Q,T$1,0)</f>
        <v>57990</v>
      </c>
      <c r="U427" s="94">
        <f t="shared" si="290"/>
        <v>0</v>
      </c>
      <c r="V427" s="94">
        <f t="shared" si="291"/>
        <v>0</v>
      </c>
      <c r="W427" s="153">
        <f t="shared" si="255"/>
        <v>53930.7</v>
      </c>
      <c r="X427" s="209">
        <f>IFERROR(VLOOKUP($B427,'Из ГУГЛа'!$B:$G,6,0)*Z427+Y427,VLOOKUP($B427,'Из ГУГЛа'!$B:$G,6,0))</f>
        <v>49960</v>
      </c>
      <c r="Y427" s="220">
        <f t="shared" si="297"/>
        <v>9970</v>
      </c>
      <c r="Z427" s="133">
        <v>1</v>
      </c>
      <c r="AA427" s="134"/>
      <c r="AB427" s="135">
        <f t="shared" si="245"/>
        <v>0.1506443353957756</v>
      </c>
      <c r="AC427" s="135">
        <f t="shared" si="246"/>
        <v>-7.9477582065652461E-2</v>
      </c>
      <c r="AD427" s="135">
        <f t="shared" si="247"/>
        <v>6.5927032216769765E-2</v>
      </c>
      <c r="AE427" s="223">
        <v>49960</v>
      </c>
      <c r="AF427" s="98" t="s">
        <v>616</v>
      </c>
      <c r="AH427" s="98" t="s">
        <v>125</v>
      </c>
    </row>
    <row r="428" spans="1:34" ht="46.5" thickTop="1" thickBot="1">
      <c r="A428" s="125" t="str">
        <f>INDEX('Выгр Торг'!$A:$A,MATCH($B428,'Выгр Торг'!$B:$B,0))</f>
        <v>Руль анатомический "Ferrum" SPORT с обогревом для Лада Ларгус FL, Веста, XRAY</v>
      </c>
      <c r="B428" s="126">
        <v>132709</v>
      </c>
      <c r="C428" s="127">
        <f>VLOOKUP($B428,'Выгр Торг'!$B:$Q,C$1,0)</f>
        <v>166995</v>
      </c>
      <c r="D428" s="128" t="s">
        <v>125</v>
      </c>
      <c r="E428" s="125" t="str">
        <f>VLOOKUP($B428,'Выгр Торг'!$B:$Q,E$1,0)</f>
        <v>Руль анатомический "Ferrum" SPORT с обогревом для Лада Ларгус FL, Веста, XRAY (Сине-зелёная нить, Чёрный глянец)</v>
      </c>
      <c r="F428" s="127" t="str">
        <f>VLOOKUP($B428,'Выгр Торг'!$B:$Q,F$1,0)</f>
        <v>Y</v>
      </c>
      <c r="G428" s="127" t="str">
        <f>VLOOKUP($B428,'Выгр Торг'!$B:$Q,G$1,0)</f>
        <v>1</v>
      </c>
      <c r="H428" s="40">
        <v>166990</v>
      </c>
      <c r="I428" s="156"/>
      <c r="J428" s="160"/>
      <c r="K428" s="161">
        <v>870</v>
      </c>
      <c r="L428" s="130">
        <f t="shared" si="292"/>
        <v>46870</v>
      </c>
      <c r="M428" s="130">
        <f t="shared" si="294"/>
        <v>47870</v>
      </c>
      <c r="N428" s="130">
        <f t="shared" si="295"/>
        <v>40870</v>
      </c>
      <c r="O428" s="132">
        <f t="shared" si="263"/>
        <v>1.0213356091316408</v>
      </c>
      <c r="P428" s="132">
        <f t="shared" si="289"/>
        <v>1.1499999999999999</v>
      </c>
      <c r="Q428" s="130">
        <f t="shared" si="296"/>
        <v>57957.52688172042</v>
      </c>
      <c r="R428" s="148">
        <f t="shared" si="265"/>
        <v>57990</v>
      </c>
      <c r="S428" s="127">
        <f>VLOOKUP($B428,'Выгр Торг'!$B:$Q,S$1,0)</f>
        <v>46870</v>
      </c>
      <c r="T428" s="127">
        <f>VLOOKUP($B428,'Выгр Торг'!$B:$Q,T$1,0)</f>
        <v>57990</v>
      </c>
      <c r="U428" s="94">
        <f t="shared" si="290"/>
        <v>0</v>
      </c>
      <c r="V428" s="94">
        <f t="shared" si="291"/>
        <v>0</v>
      </c>
      <c r="W428" s="153">
        <f t="shared" si="255"/>
        <v>53930.7</v>
      </c>
      <c r="X428" s="209">
        <f>IFERROR(VLOOKUP($B428,'Из ГУГЛа'!$B:$G,6,0)*Z428+Y428,VLOOKUP($B428,'Из ГУГЛа'!$B:$G,6,0))</f>
        <v>49960</v>
      </c>
      <c r="Y428" s="220">
        <f t="shared" si="297"/>
        <v>9970</v>
      </c>
      <c r="Z428" s="133">
        <v>1</v>
      </c>
      <c r="AA428" s="134"/>
      <c r="AB428" s="135">
        <f t="shared" si="245"/>
        <v>0.1506443353957756</v>
      </c>
      <c r="AC428" s="135">
        <f t="shared" si="246"/>
        <v>-7.9477582065652461E-2</v>
      </c>
      <c r="AD428" s="135">
        <f t="shared" si="247"/>
        <v>6.5927032216769765E-2</v>
      </c>
      <c r="AE428" s="223">
        <v>49960</v>
      </c>
      <c r="AF428" s="98" t="s">
        <v>616</v>
      </c>
      <c r="AH428" s="98" t="s">
        <v>125</v>
      </c>
    </row>
    <row r="429" spans="1:34" ht="46.5" thickTop="1" thickBot="1">
      <c r="A429" s="125" t="str">
        <f>INDEX('Выгр Торг'!$A:$A,MATCH($B429,'Выгр Торг'!$B:$B,0))</f>
        <v>Руль анатомический "Ferrum" SPORT с обогревом для Лада Ларгус FL, Веста, XRAY</v>
      </c>
      <c r="B429" s="126">
        <v>132710</v>
      </c>
      <c r="C429" s="127">
        <f>VLOOKUP($B429,'Выгр Торг'!$B:$Q,C$1,0)</f>
        <v>166994</v>
      </c>
      <c r="D429" s="128" t="s">
        <v>125</v>
      </c>
      <c r="E429" s="125" t="str">
        <f>VLOOKUP($B429,'Выгр Торг'!$B:$Q,E$1,0)</f>
        <v>Руль анатомический "Ferrum" SPORT с обогревом для Лада Ларгус FL, Веста, XRAY (Синяя нить, Чёрный глянец)</v>
      </c>
      <c r="F429" s="127" t="str">
        <f>VLOOKUP($B429,'Выгр Торг'!$B:$Q,F$1,0)</f>
        <v>Y</v>
      </c>
      <c r="G429" s="127" t="str">
        <f>VLOOKUP($B429,'Выгр Торг'!$B:$Q,G$1,0)</f>
        <v>1</v>
      </c>
      <c r="H429" s="40">
        <v>166990</v>
      </c>
      <c r="I429" s="156"/>
      <c r="J429" s="160"/>
      <c r="K429" s="161">
        <v>870</v>
      </c>
      <c r="L429" s="130">
        <f t="shared" si="292"/>
        <v>46870</v>
      </c>
      <c r="M429" s="130">
        <f t="shared" si="294"/>
        <v>47870</v>
      </c>
      <c r="N429" s="130">
        <f t="shared" si="295"/>
        <v>40870</v>
      </c>
      <c r="O429" s="132">
        <f t="shared" si="263"/>
        <v>1.0213356091316408</v>
      </c>
      <c r="P429" s="132">
        <f t="shared" si="289"/>
        <v>1.1499999999999999</v>
      </c>
      <c r="Q429" s="130">
        <f t="shared" si="296"/>
        <v>57957.52688172042</v>
      </c>
      <c r="R429" s="148">
        <f t="shared" si="265"/>
        <v>57990</v>
      </c>
      <c r="S429" s="127">
        <f>VLOOKUP($B429,'Выгр Торг'!$B:$Q,S$1,0)</f>
        <v>46870</v>
      </c>
      <c r="T429" s="127">
        <f>VLOOKUP($B429,'Выгр Торг'!$B:$Q,T$1,0)</f>
        <v>57990</v>
      </c>
      <c r="U429" s="94">
        <f t="shared" si="290"/>
        <v>0</v>
      </c>
      <c r="V429" s="94">
        <f t="shared" si="291"/>
        <v>0</v>
      </c>
      <c r="W429" s="153">
        <f t="shared" si="255"/>
        <v>53930.7</v>
      </c>
      <c r="X429" s="209">
        <f>IFERROR(VLOOKUP($B429,'Из ГУГЛа'!$B:$G,6,0)*Z429+Y429,VLOOKUP($B429,'Из ГУГЛа'!$B:$G,6,0))</f>
        <v>49960</v>
      </c>
      <c r="Y429" s="220">
        <f t="shared" si="297"/>
        <v>9970</v>
      </c>
      <c r="Z429" s="133">
        <v>1</v>
      </c>
      <c r="AA429" s="134"/>
      <c r="AB429" s="135">
        <f t="shared" si="245"/>
        <v>0.1506443353957756</v>
      </c>
      <c r="AC429" s="135">
        <f t="shared" si="246"/>
        <v>-7.9477582065652461E-2</v>
      </c>
      <c r="AD429" s="135">
        <f t="shared" si="247"/>
        <v>6.5927032216769765E-2</v>
      </c>
      <c r="AE429" s="223">
        <v>49960</v>
      </c>
      <c r="AF429" s="98" t="s">
        <v>616</v>
      </c>
      <c r="AH429" s="98" t="s">
        <v>125</v>
      </c>
    </row>
    <row r="430" spans="1:34" ht="46.5" thickTop="1" thickBot="1">
      <c r="A430" s="125" t="str">
        <f>INDEX('Выгр Торг'!$A:$A,MATCH($B430,'Выгр Торг'!$B:$B,0))</f>
        <v>Руль анатомический "Ferrum" SPORT с обогревом для Лада Ларгус FL, Веста, XRAY</v>
      </c>
      <c r="B430" s="126">
        <v>132711</v>
      </c>
      <c r="C430" s="127">
        <f>VLOOKUP($B430,'Выгр Торг'!$B:$Q,C$1,0)</f>
        <v>166992</v>
      </c>
      <c r="D430" s="128" t="s">
        <v>125</v>
      </c>
      <c r="E430" s="125" t="str">
        <f>VLOOKUP($B430,'Выгр Торг'!$B:$Q,E$1,0)</f>
        <v>Руль анатомический "Ferrum" SPORT с обогревом для Лада Ларгус FL, Веста, XRAY (Тёмно-серая нить, Чёрный глянец)</v>
      </c>
      <c r="F430" s="127" t="str">
        <f>VLOOKUP($B430,'Выгр Торг'!$B:$Q,F$1,0)</f>
        <v>Y</v>
      </c>
      <c r="G430" s="127" t="str">
        <f>VLOOKUP($B430,'Выгр Торг'!$B:$Q,G$1,0)</f>
        <v>1</v>
      </c>
      <c r="H430" s="40">
        <v>166990</v>
      </c>
      <c r="I430" s="156"/>
      <c r="J430" s="160"/>
      <c r="K430" s="161">
        <v>870</v>
      </c>
      <c r="L430" s="130">
        <f t="shared" si="292"/>
        <v>46870</v>
      </c>
      <c r="M430" s="130">
        <f t="shared" si="294"/>
        <v>47870</v>
      </c>
      <c r="N430" s="130">
        <f t="shared" si="295"/>
        <v>40870</v>
      </c>
      <c r="O430" s="132">
        <f t="shared" si="263"/>
        <v>1.0213356091316408</v>
      </c>
      <c r="P430" s="132">
        <f t="shared" si="289"/>
        <v>1.1499999999999999</v>
      </c>
      <c r="Q430" s="130">
        <f t="shared" si="296"/>
        <v>57957.52688172042</v>
      </c>
      <c r="R430" s="148">
        <f t="shared" si="265"/>
        <v>57990</v>
      </c>
      <c r="S430" s="127">
        <f>VLOOKUP($B430,'Выгр Торг'!$B:$Q,S$1,0)</f>
        <v>46870</v>
      </c>
      <c r="T430" s="127">
        <f>VLOOKUP($B430,'Выгр Торг'!$B:$Q,T$1,0)</f>
        <v>57990</v>
      </c>
      <c r="U430" s="94">
        <f t="shared" si="290"/>
        <v>0</v>
      </c>
      <c r="V430" s="94">
        <f t="shared" si="291"/>
        <v>0</v>
      </c>
      <c r="W430" s="153">
        <f t="shared" si="255"/>
        <v>53930.7</v>
      </c>
      <c r="X430" s="209">
        <f>IFERROR(VLOOKUP($B430,'Из ГУГЛа'!$B:$G,6,0)*Z430+Y430,VLOOKUP($B430,'Из ГУГЛа'!$B:$G,6,0))</f>
        <v>49960</v>
      </c>
      <c r="Y430" s="220">
        <f t="shared" si="297"/>
        <v>9970</v>
      </c>
      <c r="Z430" s="133">
        <v>1</v>
      </c>
      <c r="AA430" s="134"/>
      <c r="AB430" s="135">
        <f t="shared" si="245"/>
        <v>0.1506443353957756</v>
      </c>
      <c r="AC430" s="135">
        <f t="shared" si="246"/>
        <v>-7.9477582065652461E-2</v>
      </c>
      <c r="AD430" s="135">
        <f t="shared" si="247"/>
        <v>6.5927032216769765E-2</v>
      </c>
      <c r="AE430" s="223">
        <v>49960</v>
      </c>
      <c r="AF430" s="98" t="s">
        <v>616</v>
      </c>
      <c r="AH430" s="98" t="s">
        <v>125</v>
      </c>
    </row>
    <row r="431" spans="1:34" ht="46.5" thickTop="1" thickBot="1">
      <c r="A431" s="125" t="str">
        <f>INDEX('Выгр Торг'!$A:$A,MATCH($B431,'Выгр Торг'!$B:$B,0))</f>
        <v>Руль анатомический "Ferrum" SPORT с обогревом для Лада Ларгус FL, Веста, XRAY</v>
      </c>
      <c r="B431" s="126">
        <v>132712</v>
      </c>
      <c r="C431" s="127">
        <f>VLOOKUP($B431,'Выгр Торг'!$B:$Q,C$1,0)</f>
        <v>166991</v>
      </c>
      <c r="D431" s="128" t="s">
        <v>125</v>
      </c>
      <c r="E431" s="125" t="str">
        <f>VLOOKUP($B431,'Выгр Торг'!$B:$Q,E$1,0)</f>
        <v>Руль анатомический "Ferrum" SPORT с обогревом для Лада Ларгус FL, Веста, XRAY (Фиолетовая нить, Чёрный глянец)</v>
      </c>
      <c r="F431" s="127" t="str">
        <f>VLOOKUP($B431,'Выгр Торг'!$B:$Q,F$1,0)</f>
        <v>Y</v>
      </c>
      <c r="G431" s="127" t="str">
        <f>VLOOKUP($B431,'Выгр Торг'!$B:$Q,G$1,0)</f>
        <v>1</v>
      </c>
      <c r="H431" s="40">
        <v>166990</v>
      </c>
      <c r="I431" s="156"/>
      <c r="J431" s="160"/>
      <c r="K431" s="161">
        <v>870</v>
      </c>
      <c r="L431" s="130">
        <f t="shared" si="292"/>
        <v>46870</v>
      </c>
      <c r="M431" s="130">
        <f t="shared" si="294"/>
        <v>47870</v>
      </c>
      <c r="N431" s="130">
        <f t="shared" si="295"/>
        <v>40870</v>
      </c>
      <c r="O431" s="132">
        <f t="shared" si="263"/>
        <v>1.0213356091316408</v>
      </c>
      <c r="P431" s="132">
        <f t="shared" si="289"/>
        <v>1.1499999999999999</v>
      </c>
      <c r="Q431" s="130">
        <f t="shared" si="296"/>
        <v>57957.52688172042</v>
      </c>
      <c r="R431" s="148">
        <f t="shared" si="265"/>
        <v>57990</v>
      </c>
      <c r="S431" s="127">
        <f>VLOOKUP($B431,'Выгр Торг'!$B:$Q,S$1,0)</f>
        <v>46870</v>
      </c>
      <c r="T431" s="127">
        <f>VLOOKUP($B431,'Выгр Торг'!$B:$Q,T$1,0)</f>
        <v>57990</v>
      </c>
      <c r="U431" s="94">
        <f t="shared" si="290"/>
        <v>0</v>
      </c>
      <c r="V431" s="94">
        <f t="shared" si="291"/>
        <v>0</v>
      </c>
      <c r="W431" s="153">
        <f t="shared" si="255"/>
        <v>53930.7</v>
      </c>
      <c r="X431" s="209">
        <f>IFERROR(VLOOKUP($B431,'Из ГУГЛа'!$B:$G,6,0)*Z431+Y431,VLOOKUP($B431,'Из ГУГЛа'!$B:$G,6,0))</f>
        <v>49960</v>
      </c>
      <c r="Y431" s="220">
        <f t="shared" si="297"/>
        <v>9970</v>
      </c>
      <c r="Z431" s="133">
        <v>1</v>
      </c>
      <c r="AA431" s="134"/>
      <c r="AB431" s="135">
        <f t="shared" si="245"/>
        <v>0.1506443353957756</v>
      </c>
      <c r="AC431" s="135">
        <f t="shared" si="246"/>
        <v>-7.9477582065652461E-2</v>
      </c>
      <c r="AD431" s="135">
        <f t="shared" si="247"/>
        <v>6.5927032216769765E-2</v>
      </c>
      <c r="AE431" s="223">
        <v>49960</v>
      </c>
      <c r="AF431" s="98" t="s">
        <v>616</v>
      </c>
      <c r="AH431" s="98" t="s">
        <v>125</v>
      </c>
    </row>
    <row r="432" spans="1:34" ht="46.5" thickTop="1" thickBot="1">
      <c r="A432" s="125" t="str">
        <f>INDEX('Выгр Торг'!$A:$A,MATCH($B432,'Выгр Торг'!$B:$B,0))</f>
        <v>Руль анатомический "Ferrum" SPORT с обогревом для Лада Ларгус FL, Веста, XRAY</v>
      </c>
      <c r="B432" s="126">
        <v>132701</v>
      </c>
      <c r="C432" s="127">
        <f>VLOOKUP($B432,'Выгр Торг'!$B:$Q,C$1,0)</f>
        <v>167002</v>
      </c>
      <c r="D432" s="128" t="s">
        <v>125</v>
      </c>
      <c r="E432" s="125" t="str">
        <f>VLOOKUP($B432,'Выгр Торг'!$B:$Q,E$1,0)</f>
        <v>Руль анатомический "Ferrum" SPORT с обогревом для Лада Ларгус FL, Веста, XRAY (Белая нить, Чёрный глянец)</v>
      </c>
      <c r="F432" s="127" t="str">
        <f>VLOOKUP($B432,'Выгр Торг'!$B:$Q,F$1,0)</f>
        <v>Y</v>
      </c>
      <c r="G432" s="127" t="str">
        <f>VLOOKUP($B432,'Выгр Торг'!$B:$Q,G$1,0)</f>
        <v>1</v>
      </c>
      <c r="H432" s="40">
        <v>166990</v>
      </c>
      <c r="I432" s="156"/>
      <c r="J432" s="160"/>
      <c r="K432" s="161">
        <v>870</v>
      </c>
      <c r="L432" s="130">
        <f t="shared" si="292"/>
        <v>46870</v>
      </c>
      <c r="M432" s="130">
        <f t="shared" si="294"/>
        <v>47870</v>
      </c>
      <c r="N432" s="130">
        <f t="shared" si="295"/>
        <v>40870</v>
      </c>
      <c r="O432" s="132">
        <f t="shared" si="263"/>
        <v>1.0213356091316408</v>
      </c>
      <c r="P432" s="132">
        <f t="shared" si="289"/>
        <v>1.1499999999999999</v>
      </c>
      <c r="Q432" s="130">
        <f t="shared" si="296"/>
        <v>57957.52688172042</v>
      </c>
      <c r="R432" s="148">
        <f t="shared" si="265"/>
        <v>57990</v>
      </c>
      <c r="S432" s="127">
        <f>VLOOKUP($B432,'Выгр Торг'!$B:$Q,S$1,0)</f>
        <v>46870</v>
      </c>
      <c r="T432" s="127">
        <f>VLOOKUP($B432,'Выгр Торг'!$B:$Q,T$1,0)</f>
        <v>57990</v>
      </c>
      <c r="U432" s="94">
        <f t="shared" si="290"/>
        <v>0</v>
      </c>
      <c r="V432" s="94">
        <f t="shared" si="291"/>
        <v>0</v>
      </c>
      <c r="W432" s="153">
        <f t="shared" si="255"/>
        <v>53930.7</v>
      </c>
      <c r="X432" s="209">
        <f>IFERROR(VLOOKUP($B432,'Из ГУГЛа'!$B:$G,6,0)*Z432+Y432,VLOOKUP($B432,'Из ГУГЛа'!$B:$G,6,0))</f>
        <v>49960</v>
      </c>
      <c r="Y432" s="220">
        <f t="shared" si="297"/>
        <v>9970</v>
      </c>
      <c r="Z432" s="133">
        <v>1</v>
      </c>
      <c r="AA432" s="134"/>
      <c r="AB432" s="135">
        <f t="shared" si="245"/>
        <v>0.1506443353957756</v>
      </c>
      <c r="AC432" s="135">
        <f t="shared" si="246"/>
        <v>-7.9477582065652461E-2</v>
      </c>
      <c r="AD432" s="135">
        <f t="shared" si="247"/>
        <v>6.5927032216769765E-2</v>
      </c>
      <c r="AE432" s="223">
        <v>49960</v>
      </c>
      <c r="AF432" s="98" t="s">
        <v>616</v>
      </c>
      <c r="AH432" s="98" t="s">
        <v>125</v>
      </c>
    </row>
    <row r="433" spans="1:34" ht="53.25" thickTop="1" thickBot="1">
      <c r="A433" s="125" t="str">
        <f>INDEX('Выгр Торг'!$A:$A,MATCH($B433,'Выгр Торг'!$B:$B,0))</f>
        <v>Ручка КПП "Ferrum Group" для Лада (Ларгус, XRAY), Renault (Logan, Sandero)</v>
      </c>
      <c r="B433" s="126">
        <v>212272</v>
      </c>
      <c r="C433" s="127">
        <f>VLOOKUP($B433,'Выгр Торг'!$B:$Q,C$1,0)</f>
        <v>167012</v>
      </c>
      <c r="D433" s="128" t="s">
        <v>164</v>
      </c>
      <c r="E433" s="125" t="str">
        <f>VLOOKUP($B433,'Выгр Торг'!$B:$Q,E$1,0)</f>
        <v>Ручка КПП "Ferrum Group" для Лада (Ларгус, XRAY), Renault (Logan, Sandero) (Оранжевая нить)</v>
      </c>
      <c r="F433" s="127" t="str">
        <f>VLOOKUP($B433,'Выгр Торг'!$B:$Q,F$1,0)</f>
        <v>Y</v>
      </c>
      <c r="G433" s="127" t="str">
        <f>VLOOKUP($B433,'Выгр Торг'!$B:$Q,G$1,0)</f>
        <v>1</v>
      </c>
      <c r="H433" s="129"/>
      <c r="I433" s="155" t="s">
        <v>341</v>
      </c>
      <c r="J433" s="160"/>
      <c r="K433" s="162"/>
      <c r="L433" s="138">
        <f>VLOOKUP(I433,'Прайс Gamma'!A:F,4,0)+J433+K433</f>
        <v>7250</v>
      </c>
      <c r="M433" s="138">
        <f>VLOOKUP(I433,'Прайс Gamma'!A:F,5,0)+J433+K433</f>
        <v>7550</v>
      </c>
      <c r="N433" s="138"/>
      <c r="O433" s="132">
        <f t="shared" si="263"/>
        <v>1.0413793103448277</v>
      </c>
      <c r="P433" s="132">
        <f t="shared" si="289"/>
        <v>1.1499999999999999</v>
      </c>
      <c r="Q433" s="149">
        <f>AE433*1.04</f>
        <v>9453.6</v>
      </c>
      <c r="R433" s="148">
        <f t="shared" si="265"/>
        <v>9490</v>
      </c>
      <c r="S433" s="127">
        <f>VLOOKUP($B433,'Выгр Торг'!$B:$Q,S$1,0)</f>
        <v>7250</v>
      </c>
      <c r="T433" s="127">
        <f>VLOOKUP($B433,'Выгр Торг'!$B:$Q,T$1,0)</f>
        <v>9490</v>
      </c>
      <c r="U433" s="94">
        <f t="shared" si="290"/>
        <v>0</v>
      </c>
      <c r="V433" s="94">
        <f t="shared" si="291"/>
        <v>0</v>
      </c>
      <c r="W433" s="153">
        <f t="shared" si="255"/>
        <v>8825.6999999999989</v>
      </c>
      <c r="X433" s="209">
        <f>IFERROR(VLOOKUP($B433,'Из ГУГЛа'!$B:$G,6,0)*Z433+Y433,VLOOKUP($B433,'Из ГУГЛа'!$B:$G,6,0))</f>
        <v>9090</v>
      </c>
      <c r="Y433" s="76"/>
      <c r="Z433" s="133">
        <v>1</v>
      </c>
      <c r="AA433" s="134"/>
      <c r="AB433" s="135">
        <f t="shared" si="245"/>
        <v>0.21733793103448251</v>
      </c>
      <c r="AC433" s="135">
        <f t="shared" si="246"/>
        <v>2.9075907590759197E-2</v>
      </c>
      <c r="AD433" s="135">
        <f t="shared" si="247"/>
        <v>0.25379310344827588</v>
      </c>
      <c r="AE433" s="221">
        <v>9090</v>
      </c>
      <c r="AF433" s="98" t="s">
        <v>874</v>
      </c>
      <c r="AH433" s="98" t="s">
        <v>164</v>
      </c>
    </row>
    <row r="434" spans="1:34" ht="53.25" thickTop="1" thickBot="1">
      <c r="A434" s="125" t="str">
        <f>INDEX('Выгр Торг'!$A:$A,MATCH($B434,'Выгр Торг'!$B:$B,0))</f>
        <v>Ручка КПП "Ferrum Group" для Лада (Ларгус, XRAY), Renault (Logan, Sandero)</v>
      </c>
      <c r="B434" s="126">
        <v>212273</v>
      </c>
      <c r="C434" s="127">
        <f>VLOOKUP($B434,'Выгр Торг'!$B:$Q,C$1,0)</f>
        <v>167013</v>
      </c>
      <c r="D434" s="128" t="s">
        <v>164</v>
      </c>
      <c r="E434" s="125" t="str">
        <f>VLOOKUP($B434,'Выгр Торг'!$B:$Q,E$1,0)</f>
        <v>Ручка КПП "Ferrum Group" для Лада (Ларгус, XRAY), Renault (Logan, Sandero) (Светло-серая нить)</v>
      </c>
      <c r="F434" s="127" t="str">
        <f>VLOOKUP($B434,'Выгр Торг'!$B:$Q,F$1,0)</f>
        <v>Y</v>
      </c>
      <c r="G434" s="127" t="str">
        <f>VLOOKUP($B434,'Выгр Торг'!$B:$Q,G$1,0)</f>
        <v>1</v>
      </c>
      <c r="H434" s="129"/>
      <c r="I434" s="155" t="s">
        <v>341</v>
      </c>
      <c r="J434" s="160"/>
      <c r="K434" s="162"/>
      <c r="L434" s="138">
        <f>VLOOKUP(I434,'Прайс Gamma'!A:F,4,0)+J434+K434</f>
        <v>7250</v>
      </c>
      <c r="M434" s="138">
        <f>VLOOKUP(I434,'Прайс Gamma'!A:F,5,0)+J434+K434</f>
        <v>7550</v>
      </c>
      <c r="N434" s="138"/>
      <c r="O434" s="132">
        <f t="shared" si="263"/>
        <v>1.0413793103448277</v>
      </c>
      <c r="P434" s="132">
        <f t="shared" si="289"/>
        <v>1.1499999999999999</v>
      </c>
      <c r="Q434" s="149">
        <f>AE434*1.04</f>
        <v>9453.6</v>
      </c>
      <c r="R434" s="148">
        <f t="shared" si="265"/>
        <v>9490</v>
      </c>
      <c r="S434" s="127">
        <f>VLOOKUP($B434,'Выгр Торг'!$B:$Q,S$1,0)</f>
        <v>7250</v>
      </c>
      <c r="T434" s="127">
        <f>VLOOKUP($B434,'Выгр Торг'!$B:$Q,T$1,0)</f>
        <v>9490</v>
      </c>
      <c r="U434" s="94">
        <f t="shared" si="290"/>
        <v>0</v>
      </c>
      <c r="V434" s="94">
        <f t="shared" si="291"/>
        <v>0</v>
      </c>
      <c r="W434" s="153">
        <f t="shared" si="255"/>
        <v>8825.6999999999989</v>
      </c>
      <c r="X434" s="209">
        <f>IFERROR(VLOOKUP($B434,'Из ГУГЛа'!$B:$G,6,0)*Z434+Y434,VLOOKUP($B434,'Из ГУГЛа'!$B:$G,6,0))</f>
        <v>9090</v>
      </c>
      <c r="Y434" s="76"/>
      <c r="Z434" s="133">
        <v>1</v>
      </c>
      <c r="AA434" s="134"/>
      <c r="AB434" s="135">
        <f t="shared" si="245"/>
        <v>0.21733793103448251</v>
      </c>
      <c r="AC434" s="135">
        <f t="shared" si="246"/>
        <v>2.9075907590759197E-2</v>
      </c>
      <c r="AD434" s="135">
        <f t="shared" si="247"/>
        <v>0.25379310344827588</v>
      </c>
      <c r="AE434" s="221">
        <v>9090</v>
      </c>
      <c r="AF434" s="98" t="s">
        <v>874</v>
      </c>
      <c r="AH434" s="98" t="s">
        <v>164</v>
      </c>
    </row>
    <row r="435" spans="1:34" ht="61.5" thickTop="1" thickBot="1">
      <c r="A435" s="125" t="str">
        <f>INDEX('Выгр Торг'!$A:$A,MATCH($B435,'Выгр Торг'!$B:$B,0))</f>
        <v>Электронная комбинация приборов "Ferrum Group" GF 826 N для Лада Нива Legend (с 2020 г. в.)</v>
      </c>
      <c r="B435" s="126">
        <v>256868</v>
      </c>
      <c r="C435" s="127">
        <f>VLOOKUP($B435,'Выгр Торг'!$B:$Q,C$1,0)</f>
        <v>174663</v>
      </c>
      <c r="D435" s="128" t="s">
        <v>184</v>
      </c>
      <c r="E435" s="125" t="str">
        <f>VLOOKUP($B435,'Выгр Торг'!$B:$Q,E$1,0)</f>
        <v>Электронная комбинация приборов "Ferrum Group" GF 826 N для Лада Нива Legend (с 2020 г. в.) (Серебро)</v>
      </c>
      <c r="F435" s="127" t="str">
        <f>VLOOKUP($B435,'Выгр Торг'!$B:$Q,F$1,0)</f>
        <v>Y</v>
      </c>
      <c r="G435" s="127" t="str">
        <f>VLOOKUP($B435,'Выгр Торг'!$B:$Q,G$1,0)</f>
        <v>1</v>
      </c>
      <c r="H435" s="129"/>
      <c r="I435" s="157" t="s">
        <v>893</v>
      </c>
      <c r="J435" s="160"/>
      <c r="K435" s="162"/>
      <c r="L435" s="140">
        <f>VLOOKUP(I435,'Прайс Gamma'!$B:$H,3,0)+$K435+$J435</f>
        <v>75701</v>
      </c>
      <c r="M435" s="140">
        <f>VLOOKUP(I435,'Прайс Gamma'!$B:$H,4,0)+$K435+$J435</f>
        <v>78701</v>
      </c>
      <c r="N435" s="140"/>
      <c r="O435" s="132">
        <f t="shared" si="263"/>
        <v>1.0396295953818311</v>
      </c>
      <c r="P435" s="132">
        <f t="shared" si="289"/>
        <v>1.1499999999999999</v>
      </c>
      <c r="Q435" s="147">
        <f t="shared" ref="Q435:Q437" si="305">L435*P435*100/93</f>
        <v>93608.763440860217</v>
      </c>
      <c r="R435" s="148">
        <f t="shared" si="265"/>
        <v>93690</v>
      </c>
      <c r="S435" s="127">
        <f>VLOOKUP($B435,'Выгр Торг'!$B:$Q,S$1,0)</f>
        <v>75701</v>
      </c>
      <c r="T435" s="127">
        <f>VLOOKUP($B435,'Выгр Торг'!$B:$Q,T$1,0)</f>
        <v>93690</v>
      </c>
      <c r="U435" s="94">
        <f t="shared" si="290"/>
        <v>0</v>
      </c>
      <c r="V435" s="94">
        <f t="shared" si="291"/>
        <v>0</v>
      </c>
      <c r="W435" s="153">
        <f t="shared" si="255"/>
        <v>87131.7</v>
      </c>
      <c r="X435" s="209">
        <f>IFERROR(VLOOKUP($B435,'Из ГУГЛа'!$B:$G,6,0)*Z435+Y435,VLOOKUP($B435,'Из ГУГЛа'!$B:$G,6,0))</f>
        <v>83190</v>
      </c>
      <c r="Y435" s="76"/>
      <c r="Z435" s="133">
        <v>1</v>
      </c>
      <c r="AA435" s="134"/>
      <c r="AB435" s="135">
        <f t="shared" si="245"/>
        <v>0.15099800531036567</v>
      </c>
      <c r="AC435" s="135">
        <f t="shared" si="246"/>
        <v>-4.7381896862603641E-2</v>
      </c>
      <c r="AD435" s="135">
        <f t="shared" si="247"/>
        <v>9.8928679938177888E-2</v>
      </c>
      <c r="AE435" s="221">
        <v>83190</v>
      </c>
      <c r="AF435" s="98" t="s">
        <v>873</v>
      </c>
      <c r="AH435" s="98" t="s">
        <v>184</v>
      </c>
    </row>
    <row r="436" spans="1:34" ht="61.5" thickTop="1" thickBot="1">
      <c r="A436" s="125" t="str">
        <f>INDEX('Выгр Торг'!$A:$A,MATCH($B436,'Выгр Торг'!$B:$B,0))</f>
        <v>Электронная комбинация приборов "Ferrum Group" GF 826 N для Лада Нива Legend (с 2020 г. в.)</v>
      </c>
      <c r="B436" s="126">
        <v>256869</v>
      </c>
      <c r="C436" s="127">
        <f>VLOOKUP($B436,'Выгр Торг'!$B:$Q,C$1,0)</f>
        <v>174661</v>
      </c>
      <c r="D436" s="128" t="s">
        <v>184</v>
      </c>
      <c r="E436" s="125" t="str">
        <f>VLOOKUP($B436,'Выгр Торг'!$B:$Q,E$1,0)</f>
        <v>Электронная комбинация приборов "Ferrum Group" GF 826 N для Лада Нива Legend (с 2020 г. в.) (Хром)</v>
      </c>
      <c r="F436" s="127" t="str">
        <f>VLOOKUP($B436,'Выгр Торг'!$B:$Q,F$1,0)</f>
        <v>Y</v>
      </c>
      <c r="G436" s="127" t="str">
        <f>VLOOKUP($B436,'Выгр Торг'!$B:$Q,G$1,0)</f>
        <v>1</v>
      </c>
      <c r="H436" s="129"/>
      <c r="I436" s="157" t="s">
        <v>893</v>
      </c>
      <c r="J436" s="160"/>
      <c r="K436" s="162"/>
      <c r="L436" s="140">
        <f>VLOOKUP(I436,'Прайс Gamma'!$B:$H,3,0)+$K436+$J436</f>
        <v>75701</v>
      </c>
      <c r="M436" s="140">
        <f>VLOOKUP(I436,'Прайс Gamma'!$B:$H,4,0)+$K436+$J436</f>
        <v>78701</v>
      </c>
      <c r="N436" s="140"/>
      <c r="O436" s="132">
        <f t="shared" si="263"/>
        <v>1.0396295953818311</v>
      </c>
      <c r="P436" s="132">
        <f t="shared" si="289"/>
        <v>1.1499999999999999</v>
      </c>
      <c r="Q436" s="147">
        <f t="shared" si="305"/>
        <v>93608.763440860217</v>
      </c>
      <c r="R436" s="148">
        <f t="shared" si="265"/>
        <v>93690</v>
      </c>
      <c r="S436" s="127">
        <f>VLOOKUP($B436,'Выгр Торг'!$B:$Q,S$1,0)</f>
        <v>75701</v>
      </c>
      <c r="T436" s="127">
        <f>VLOOKUP($B436,'Выгр Торг'!$B:$Q,T$1,0)</f>
        <v>93690</v>
      </c>
      <c r="U436" s="94">
        <f t="shared" si="290"/>
        <v>0</v>
      </c>
      <c r="V436" s="94">
        <f t="shared" si="291"/>
        <v>0</v>
      </c>
      <c r="W436" s="153">
        <f t="shared" si="255"/>
        <v>87131.7</v>
      </c>
      <c r="X436" s="209">
        <f>IFERROR(VLOOKUP($B436,'Из ГУГЛа'!$B:$G,6,0)*Z436+Y436,VLOOKUP($B436,'Из ГУГЛа'!$B:$G,6,0))</f>
        <v>83190</v>
      </c>
      <c r="Y436" s="76"/>
      <c r="Z436" s="133">
        <v>1</v>
      </c>
      <c r="AA436" s="134"/>
      <c r="AB436" s="135">
        <f t="shared" si="245"/>
        <v>0.15099800531036567</v>
      </c>
      <c r="AC436" s="135">
        <f t="shared" si="246"/>
        <v>-4.7381896862603641E-2</v>
      </c>
      <c r="AD436" s="135">
        <f t="shared" si="247"/>
        <v>9.8928679938177888E-2</v>
      </c>
      <c r="AE436" s="221">
        <v>83190</v>
      </c>
      <c r="AF436" s="98" t="s">
        <v>873</v>
      </c>
      <c r="AH436" s="98" t="s">
        <v>184</v>
      </c>
    </row>
    <row r="437" spans="1:34" ht="61.5" thickTop="1" thickBot="1">
      <c r="A437" s="125" t="str">
        <f>INDEX('Выгр Торг'!$A:$A,MATCH($B437,'Выгр Торг'!$B:$B,0))</f>
        <v>Электронная комбинация приборов "Ferrum Group" GF 826 N для Лада Нива Legend (с 2020 г. в.)</v>
      </c>
      <c r="B437" s="126">
        <v>256870</v>
      </c>
      <c r="C437" s="127">
        <f>VLOOKUP($B437,'Выгр Торг'!$B:$Q,C$1,0)</f>
        <v>174662</v>
      </c>
      <c r="D437" s="128" t="s">
        <v>184</v>
      </c>
      <c r="E437" s="125" t="str">
        <f>VLOOKUP($B437,'Выгр Торг'!$B:$Q,E$1,0)</f>
        <v>Электронная комбинация приборов "Ferrum Group" GF 826 N для Лада Нива Legend (с 2020 г. в.) (Чёрный)</v>
      </c>
      <c r="F437" s="127" t="str">
        <f>VLOOKUP($B437,'Выгр Торг'!$B:$Q,F$1,0)</f>
        <v>Y</v>
      </c>
      <c r="G437" s="127" t="str">
        <f>VLOOKUP($B437,'Выгр Торг'!$B:$Q,G$1,0)</f>
        <v>1</v>
      </c>
      <c r="H437" s="129"/>
      <c r="I437" s="157" t="s">
        <v>893</v>
      </c>
      <c r="J437" s="160"/>
      <c r="K437" s="162"/>
      <c r="L437" s="140">
        <f>VLOOKUP(I437,'Прайс Gamma'!$B:$H,3,0)+$K437+$J437</f>
        <v>75701</v>
      </c>
      <c r="M437" s="140">
        <f>VLOOKUP(I437,'Прайс Gamma'!$B:$H,4,0)+$K437+$J437</f>
        <v>78701</v>
      </c>
      <c r="N437" s="140"/>
      <c r="O437" s="132">
        <f t="shared" si="263"/>
        <v>1.0396295953818311</v>
      </c>
      <c r="P437" s="132">
        <f t="shared" si="289"/>
        <v>1.1499999999999999</v>
      </c>
      <c r="Q437" s="147">
        <f t="shared" si="305"/>
        <v>93608.763440860217</v>
      </c>
      <c r="R437" s="148">
        <f t="shared" si="265"/>
        <v>93690</v>
      </c>
      <c r="S437" s="127">
        <f>VLOOKUP($B437,'Выгр Торг'!$B:$Q,S$1,0)</f>
        <v>75701</v>
      </c>
      <c r="T437" s="127">
        <f>VLOOKUP($B437,'Выгр Торг'!$B:$Q,T$1,0)</f>
        <v>93690</v>
      </c>
      <c r="U437" s="94">
        <f t="shared" si="290"/>
        <v>0</v>
      </c>
      <c r="V437" s="94">
        <f t="shared" si="291"/>
        <v>0</v>
      </c>
      <c r="W437" s="153">
        <f t="shared" si="255"/>
        <v>87131.7</v>
      </c>
      <c r="X437" s="209">
        <f>IFERROR(VLOOKUP($B437,'Из ГУГЛа'!$B:$G,6,0)*Z437+Y437,VLOOKUP($B437,'Из ГУГЛа'!$B:$G,6,0))</f>
        <v>83190</v>
      </c>
      <c r="Y437" s="76"/>
      <c r="Z437" s="133">
        <v>1</v>
      </c>
      <c r="AA437" s="134"/>
      <c r="AB437" s="135">
        <f t="shared" si="245"/>
        <v>0.15099800531036567</v>
      </c>
      <c r="AC437" s="135">
        <f t="shared" si="246"/>
        <v>-4.7381896862603641E-2</v>
      </c>
      <c r="AD437" s="135">
        <f t="shared" si="247"/>
        <v>9.8928679938177888E-2</v>
      </c>
      <c r="AE437" s="221">
        <v>83190</v>
      </c>
      <c r="AF437" s="98" t="s">
        <v>873</v>
      </c>
      <c r="AH437" s="98" t="s">
        <v>184</v>
      </c>
    </row>
    <row r="438" spans="1:34" ht="66" thickTop="1" thickBot="1">
      <c r="A438" s="125" t="str">
        <f>INDEX('Выгр Торг'!$A:$A,MATCH($B438,'Выгр Торг'!$B:$B,0))</f>
        <v>Накладка решетки радиатора "Ferrum Group" для Лада Веста</v>
      </c>
      <c r="B438" s="126">
        <v>248525</v>
      </c>
      <c r="C438" s="127">
        <f>VLOOKUP($B438,'Выгр Торг'!$B:$Q,C$1,0)</f>
        <v>183351</v>
      </c>
      <c r="D438" s="44" t="s">
        <v>210</v>
      </c>
      <c r="E438" s="125" t="str">
        <f>VLOOKUP($B438,'Выгр Торг'!$B:$Q,E$1,0)</f>
        <v>Накладка решетки радиатора "Ferrum Group" для Лада Веста (Без покраски)</v>
      </c>
      <c r="F438" s="127" t="str">
        <f>VLOOKUP($B438,'Выгр Торг'!$B:$Q,F$1,0)</f>
        <v>Y</v>
      </c>
      <c r="G438" s="127" t="str">
        <f>VLOOKUP($B438,'Выгр Торг'!$B:$Q,G$1,0)</f>
        <v>1</v>
      </c>
      <c r="H438" s="42">
        <v>183351</v>
      </c>
      <c r="I438" s="155" t="s">
        <v>391</v>
      </c>
      <c r="J438" s="160"/>
      <c r="K438" s="162"/>
      <c r="L438" s="138">
        <f>VLOOKUP(I438,'Прайс Gamma'!A:F,4,0)+J438+K438</f>
        <v>2100</v>
      </c>
      <c r="M438" s="138">
        <f>VLOOKUP(I438,'Прайс Gamma'!A:F,5,0)+J438+K438</f>
        <v>2550</v>
      </c>
      <c r="N438" s="138"/>
      <c r="O438" s="132">
        <f t="shared" ref="O438:O455" si="306">M438/L438</f>
        <v>1.2142857142857142</v>
      </c>
      <c r="P438" s="132">
        <f t="shared" si="289"/>
        <v>1.2142857142857142</v>
      </c>
      <c r="Q438" s="150">
        <f>AE438*1.03</f>
        <v>2770.7000000000003</v>
      </c>
      <c r="R438" s="148">
        <f t="shared" ref="R438:R455" si="307">IF(Q438&lt;=1000,(ROUNDUP(Q438,-2)-1),(ROUNDUP(Q438,-2)-10))</f>
        <v>2790</v>
      </c>
      <c r="S438" s="127">
        <f>VLOOKUP($B438,'Выгр Торг'!$B:$Q,S$1,0)</f>
        <v>2100</v>
      </c>
      <c r="T438" s="127">
        <f>VLOOKUP($B438,'Выгр Торг'!$B:$Q,T$1,0)</f>
        <v>2790</v>
      </c>
      <c r="U438" s="94">
        <f t="shared" si="290"/>
        <v>0</v>
      </c>
      <c r="V438" s="94">
        <f t="shared" si="291"/>
        <v>0</v>
      </c>
      <c r="W438" s="153">
        <f t="shared" ref="W438:W455" si="308">R438*(1-$W$2)</f>
        <v>2594.6999999999998</v>
      </c>
      <c r="X438" s="209">
        <f>IFERROR(VLOOKUP($B438,'Из ГУГЛа'!$B:$G,6,0)*Z438+Y438,VLOOKUP($B438,'Из ГУГЛа'!$B:$G,6,0))</f>
        <v>2690</v>
      </c>
      <c r="Y438" s="76"/>
      <c r="Z438" s="133">
        <v>1</v>
      </c>
      <c r="AA438" s="134"/>
      <c r="AB438" s="135">
        <f t="shared" ref="AB438:AB458" si="309">IFERROR(W438/L438-1,"")</f>
        <v>0.23557142857142854</v>
      </c>
      <c r="AC438" s="135">
        <f t="shared" ref="AC438:AC458" si="310">IFERROR((AE438-W438)/AE438,"")</f>
        <v>3.5427509293680368E-2</v>
      </c>
      <c r="AD438" s="135">
        <f t="shared" ref="AD438:AD458" si="311">IFERROR(IF(AE438="","",AE438/L438-1),"")</f>
        <v>0.28095238095238084</v>
      </c>
      <c r="AE438" s="221">
        <v>2690</v>
      </c>
      <c r="AF438" s="98" t="s">
        <v>870</v>
      </c>
      <c r="AH438" s="98" t="s">
        <v>210</v>
      </c>
    </row>
    <row r="439" spans="1:34" ht="31.5" thickTop="1" thickBot="1">
      <c r="A439" s="125" t="str">
        <f>INDEX('Выгр Торг'!$A:$A,MATCH($B439,'Выгр Торг'!$B:$B,0))</f>
        <v>Накладка решетки радиатора "Ferrum Group" для Лада Веста</v>
      </c>
      <c r="B439" s="126">
        <v>248526</v>
      </c>
      <c r="C439" s="127">
        <f>VLOOKUP($B439,'Выгр Торг'!$B:$Q,C$1,0)</f>
        <v>183354</v>
      </c>
      <c r="D439" s="44" t="s">
        <v>210</v>
      </c>
      <c r="E439" s="125" t="str">
        <f>VLOOKUP($B439,'Выгр Торг'!$B:$Q,E$1,0)</f>
        <v>Накладка решетки радиатора "Ferrum Group" для Лада Веста (В цвет, Ангкор (темно-коричневый, 246))</v>
      </c>
      <c r="F439" s="127" t="str">
        <f>VLOOKUP($B439,'Выгр Торг'!$B:$Q,F$1,0)</f>
        <v>Y</v>
      </c>
      <c r="G439" s="127" t="str">
        <f>VLOOKUP($B439,'Выгр Торг'!$B:$Q,G$1,0)</f>
        <v>1</v>
      </c>
      <c r="H439" s="42">
        <v>183351</v>
      </c>
      <c r="I439" s="156"/>
      <c r="J439" s="160"/>
      <c r="K439" s="161">
        <v>500</v>
      </c>
      <c r="L439" s="141">
        <f t="shared" ref="L439:L455" si="312">INDEX($L:$L,MATCH($H439,$C:$C,0))+$K439+$J439</f>
        <v>2600</v>
      </c>
      <c r="M439" s="141">
        <f t="shared" ref="M439:M455" si="313">INDEX($M:$M,MATCH($H439,$C:$C,0))+$K439*$M$1+$J439*$M$1</f>
        <v>3200</v>
      </c>
      <c r="N439" s="141"/>
      <c r="O439" s="132">
        <f t="shared" si="306"/>
        <v>1.2307692307692308</v>
      </c>
      <c r="P439" s="132">
        <f t="shared" si="289"/>
        <v>1.2307692307692308</v>
      </c>
      <c r="Q439" s="151">
        <f t="shared" ref="Q439:Q455" si="314">(INDEX($Q:$Q,MATCH($H439,$C:$C,0))+($K439+$J439)*$M$1)*100/93</f>
        <v>3678.1720430107525</v>
      </c>
      <c r="R439" s="148">
        <f t="shared" si="307"/>
        <v>3690</v>
      </c>
      <c r="S439" s="127">
        <f>VLOOKUP($B439,'Выгр Торг'!$B:$Q,S$1,0)</f>
        <v>2600</v>
      </c>
      <c r="T439" s="127">
        <f>VLOOKUP($B439,'Выгр Торг'!$B:$Q,T$1,0)</f>
        <v>3690</v>
      </c>
      <c r="U439" s="94">
        <f t="shared" si="290"/>
        <v>0</v>
      </c>
      <c r="V439" s="94">
        <f t="shared" si="291"/>
        <v>0</v>
      </c>
      <c r="W439" s="153">
        <f t="shared" si="308"/>
        <v>3431.7</v>
      </c>
      <c r="X439" s="209">
        <f>IFERROR(VLOOKUP($B439,'Из ГУГЛа'!$B:$G,6,0)*Z439+Y439,VLOOKUP($B439,'Из ГУГЛа'!$B:$G,6,0))</f>
        <v>3490</v>
      </c>
      <c r="Y439" s="76">
        <v>800</v>
      </c>
      <c r="Z439" s="133">
        <v>1</v>
      </c>
      <c r="AA439" s="134"/>
      <c r="AB439" s="135">
        <f t="shared" si="309"/>
        <v>0.31988461538461532</v>
      </c>
      <c r="AC439" s="135">
        <f t="shared" si="310"/>
        <v>1.6704871060171971E-2</v>
      </c>
      <c r="AD439" s="135">
        <f t="shared" si="311"/>
        <v>0.3423076923076922</v>
      </c>
      <c r="AE439" s="224">
        <v>3490</v>
      </c>
      <c r="AF439" s="98" t="s">
        <v>870</v>
      </c>
      <c r="AH439" s="98" t="s">
        <v>210</v>
      </c>
    </row>
    <row r="440" spans="1:34" ht="31.5" thickTop="1" thickBot="1">
      <c r="A440" s="125" t="str">
        <f>INDEX('Выгр Торг'!$A:$A,MATCH($B440,'Выгр Торг'!$B:$B,0))</f>
        <v>Накладка решетки радиатора "Ferrum Group" для Лада Веста</v>
      </c>
      <c r="B440" s="126">
        <v>248527</v>
      </c>
      <c r="C440" s="127">
        <f>VLOOKUP($B440,'Выгр Торг'!$B:$Q,C$1,0)</f>
        <v>183355</v>
      </c>
      <c r="D440" s="44" t="s">
        <v>210</v>
      </c>
      <c r="E440" s="125" t="str">
        <f>VLOOKUP($B440,'Выгр Торг'!$B:$Q,E$1,0)</f>
        <v>Накладка решетки радиатора "Ferrum Group" для Лада Веста (В цвет, Блюз (темно-синий, 492))</v>
      </c>
      <c r="F440" s="127" t="str">
        <f>VLOOKUP($B440,'Выгр Торг'!$B:$Q,F$1,0)</f>
        <v>Y</v>
      </c>
      <c r="G440" s="127" t="str">
        <f>VLOOKUP($B440,'Выгр Торг'!$B:$Q,G$1,0)</f>
        <v>1</v>
      </c>
      <c r="H440" s="42">
        <v>183351</v>
      </c>
      <c r="I440" s="154"/>
      <c r="J440" s="160"/>
      <c r="K440" s="161">
        <v>500</v>
      </c>
      <c r="L440" s="141">
        <f t="shared" si="312"/>
        <v>2600</v>
      </c>
      <c r="M440" s="141">
        <f t="shared" si="313"/>
        <v>3200</v>
      </c>
      <c r="N440" s="141"/>
      <c r="O440" s="132">
        <f t="shared" si="306"/>
        <v>1.2307692307692308</v>
      </c>
      <c r="P440" s="132">
        <f t="shared" si="289"/>
        <v>1.2307692307692308</v>
      </c>
      <c r="Q440" s="151">
        <f t="shared" si="314"/>
        <v>3678.1720430107525</v>
      </c>
      <c r="R440" s="148">
        <f t="shared" si="307"/>
        <v>3690</v>
      </c>
      <c r="S440" s="127">
        <f>VLOOKUP($B440,'Выгр Торг'!$B:$Q,S$1,0)</f>
        <v>2600</v>
      </c>
      <c r="T440" s="127">
        <f>VLOOKUP($B440,'Выгр Торг'!$B:$Q,T$1,0)</f>
        <v>3690</v>
      </c>
      <c r="U440" s="94">
        <f t="shared" si="290"/>
        <v>0</v>
      </c>
      <c r="V440" s="94">
        <f t="shared" si="291"/>
        <v>0</v>
      </c>
      <c r="W440" s="153">
        <f t="shared" si="308"/>
        <v>3431.7</v>
      </c>
      <c r="X440" s="209">
        <f>IFERROR(VLOOKUP($B440,'Из ГУГЛа'!$B:$G,6,0)*Z440+Y440,VLOOKUP($B440,'Из ГУГЛа'!$B:$G,6,0))</f>
        <v>3490</v>
      </c>
      <c r="Y440" s="76">
        <v>800</v>
      </c>
      <c r="Z440" s="133">
        <v>1</v>
      </c>
      <c r="AA440" s="134"/>
      <c r="AB440" s="135">
        <f t="shared" si="309"/>
        <v>0.31988461538461532</v>
      </c>
      <c r="AC440" s="135">
        <f t="shared" si="310"/>
        <v>1.6704871060171971E-2</v>
      </c>
      <c r="AD440" s="135">
        <f t="shared" si="311"/>
        <v>0.3423076923076922</v>
      </c>
      <c r="AE440" s="224">
        <v>3490</v>
      </c>
      <c r="AF440" s="98" t="s">
        <v>870</v>
      </c>
      <c r="AH440" s="98" t="s">
        <v>210</v>
      </c>
    </row>
    <row r="441" spans="1:34" ht="31.5" thickTop="1" thickBot="1">
      <c r="A441" s="125" t="str">
        <f>INDEX('Выгр Торг'!$A:$A,MATCH($B441,'Выгр Торг'!$B:$B,0))</f>
        <v>Накладка решетки радиатора "Ferrum Group" для Лада Веста</v>
      </c>
      <c r="B441" s="126">
        <v>248528</v>
      </c>
      <c r="C441" s="127">
        <f>VLOOKUP($B441,'Выгр Торг'!$B:$Q,C$1,0)</f>
        <v>183356</v>
      </c>
      <c r="D441" s="44" t="s">
        <v>210</v>
      </c>
      <c r="E441" s="125" t="str">
        <f>VLOOKUP($B441,'Выгр Торг'!$B:$Q,E$1,0)</f>
        <v>Накладка решетки радиатора "Ferrum Group" для Лада Веста (В цвет, Дайвинг (ярко-синий, 476))</v>
      </c>
      <c r="F441" s="127" t="str">
        <f>VLOOKUP($B441,'Выгр Торг'!$B:$Q,F$1,0)</f>
        <v>Y</v>
      </c>
      <c r="G441" s="127" t="str">
        <f>VLOOKUP($B441,'Выгр Торг'!$B:$Q,G$1,0)</f>
        <v>1</v>
      </c>
      <c r="H441" s="42">
        <v>183351</v>
      </c>
      <c r="I441" s="154"/>
      <c r="J441" s="160"/>
      <c r="K441" s="161">
        <v>500</v>
      </c>
      <c r="L441" s="141">
        <f t="shared" si="312"/>
        <v>2600</v>
      </c>
      <c r="M441" s="141">
        <f t="shared" si="313"/>
        <v>3200</v>
      </c>
      <c r="N441" s="141"/>
      <c r="O441" s="132">
        <f t="shared" si="306"/>
        <v>1.2307692307692308</v>
      </c>
      <c r="P441" s="132">
        <f t="shared" si="289"/>
        <v>1.2307692307692308</v>
      </c>
      <c r="Q441" s="151">
        <f t="shared" si="314"/>
        <v>3678.1720430107525</v>
      </c>
      <c r="R441" s="148">
        <f t="shared" si="307"/>
        <v>3690</v>
      </c>
      <c r="S441" s="127">
        <f>VLOOKUP($B441,'Выгр Торг'!$B:$Q,S$1,0)</f>
        <v>2600</v>
      </c>
      <c r="T441" s="127">
        <f>VLOOKUP($B441,'Выгр Торг'!$B:$Q,T$1,0)</f>
        <v>3690</v>
      </c>
      <c r="U441" s="94">
        <f t="shared" si="290"/>
        <v>0</v>
      </c>
      <c r="V441" s="94">
        <f t="shared" si="291"/>
        <v>0</v>
      </c>
      <c r="W441" s="153">
        <f t="shared" si="308"/>
        <v>3431.7</v>
      </c>
      <c r="X441" s="209">
        <f>IFERROR(VLOOKUP($B441,'Из ГУГЛа'!$B:$G,6,0)*Z441+Y441,VLOOKUP($B441,'Из ГУГЛа'!$B:$G,6,0))</f>
        <v>3490</v>
      </c>
      <c r="Y441" s="76">
        <v>800</v>
      </c>
      <c r="Z441" s="133">
        <v>1</v>
      </c>
      <c r="AA441" s="134"/>
      <c r="AB441" s="135">
        <f t="shared" si="309"/>
        <v>0.31988461538461532</v>
      </c>
      <c r="AC441" s="135">
        <f t="shared" si="310"/>
        <v>1.6704871060171971E-2</v>
      </c>
      <c r="AD441" s="135">
        <f t="shared" si="311"/>
        <v>0.3423076923076922</v>
      </c>
      <c r="AE441" s="224">
        <v>3490</v>
      </c>
      <c r="AF441" s="98" t="s">
        <v>870</v>
      </c>
      <c r="AH441" s="98" t="s">
        <v>210</v>
      </c>
    </row>
    <row r="442" spans="1:34" ht="31.5" thickTop="1" thickBot="1">
      <c r="A442" s="125" t="str">
        <f>INDEX('Выгр Торг'!$A:$A,MATCH($B442,'Выгр Торг'!$B:$B,0))</f>
        <v>Накладка решетки радиатора "Ferrum Group" для Лада Веста</v>
      </c>
      <c r="B442" s="126">
        <v>248529</v>
      </c>
      <c r="C442" s="127">
        <f>VLOOKUP($B442,'Выгр Торг'!$B:$Q,C$1,0)</f>
        <v>183357</v>
      </c>
      <c r="D442" s="44" t="s">
        <v>210</v>
      </c>
      <c r="E442" s="125" t="str">
        <f>VLOOKUP($B442,'Выгр Торг'!$B:$Q,E$1,0)</f>
        <v>Накладка решетки радиатора "Ferrum Group" для Лада Веста (В цвет, Карфаген (бежевый, 247))</v>
      </c>
      <c r="F442" s="127" t="str">
        <f>VLOOKUP($B442,'Выгр Торг'!$B:$Q,F$1,0)</f>
        <v>Y</v>
      </c>
      <c r="G442" s="127" t="str">
        <f>VLOOKUP($B442,'Выгр Торг'!$B:$Q,G$1,0)</f>
        <v>1</v>
      </c>
      <c r="H442" s="42">
        <v>183351</v>
      </c>
      <c r="I442" s="154"/>
      <c r="J442" s="160"/>
      <c r="K442" s="161">
        <v>500</v>
      </c>
      <c r="L442" s="141">
        <f t="shared" si="312"/>
        <v>2600</v>
      </c>
      <c r="M442" s="141">
        <f t="shared" si="313"/>
        <v>3200</v>
      </c>
      <c r="N442" s="141"/>
      <c r="O442" s="132">
        <f t="shared" si="306"/>
        <v>1.2307692307692308</v>
      </c>
      <c r="P442" s="132">
        <f t="shared" si="289"/>
        <v>1.2307692307692308</v>
      </c>
      <c r="Q442" s="151">
        <f t="shared" si="314"/>
        <v>3678.1720430107525</v>
      </c>
      <c r="R442" s="148">
        <f t="shared" si="307"/>
        <v>3690</v>
      </c>
      <c r="S442" s="127">
        <f>VLOOKUP($B442,'Выгр Торг'!$B:$Q,S$1,0)</f>
        <v>2600</v>
      </c>
      <c r="T442" s="127">
        <f>VLOOKUP($B442,'Выгр Торг'!$B:$Q,T$1,0)</f>
        <v>3690</v>
      </c>
      <c r="U442" s="94">
        <f t="shared" si="290"/>
        <v>0</v>
      </c>
      <c r="V442" s="94">
        <f t="shared" si="291"/>
        <v>0</v>
      </c>
      <c r="W442" s="153">
        <f t="shared" si="308"/>
        <v>3431.7</v>
      </c>
      <c r="X442" s="209">
        <f>IFERROR(VLOOKUP($B442,'Из ГУГЛа'!$B:$G,6,0)*Z442+Y442,VLOOKUP($B442,'Из ГУГЛа'!$B:$G,6,0))</f>
        <v>3490</v>
      </c>
      <c r="Y442" s="76">
        <v>800</v>
      </c>
      <c r="Z442" s="133">
        <v>1</v>
      </c>
      <c r="AA442" s="134"/>
      <c r="AB442" s="135">
        <f t="shared" si="309"/>
        <v>0.31988461538461532</v>
      </c>
      <c r="AC442" s="135">
        <f t="shared" si="310"/>
        <v>1.6704871060171971E-2</v>
      </c>
      <c r="AD442" s="135">
        <f t="shared" si="311"/>
        <v>0.3423076923076922</v>
      </c>
      <c r="AE442" s="224">
        <v>3490</v>
      </c>
      <c r="AF442" s="98" t="s">
        <v>870</v>
      </c>
      <c r="AH442" s="98" t="s">
        <v>210</v>
      </c>
    </row>
    <row r="443" spans="1:34" ht="31.5" thickTop="1" thickBot="1">
      <c r="A443" s="125" t="str">
        <f>INDEX('Выгр Торг'!$A:$A,MATCH($B443,'Выгр Торг'!$B:$B,0))</f>
        <v>Накладка решетки радиатора "Ferrum Group" для Лада Веста</v>
      </c>
      <c r="B443" s="126">
        <v>248530</v>
      </c>
      <c r="C443" s="127">
        <f>VLOOKUP($B443,'Выгр Торг'!$B:$Q,C$1,0)</f>
        <v>183358</v>
      </c>
      <c r="D443" s="44" t="s">
        <v>210</v>
      </c>
      <c r="E443" s="125" t="str">
        <f>VLOOKUP($B443,'Выгр Торг'!$B:$Q,E$1,0)</f>
        <v>Накладка решетки радиатора "Ferrum Group" для Лада Веста (В цвет, Криптон (темно-зеленый, 372))</v>
      </c>
      <c r="F443" s="127" t="str">
        <f>VLOOKUP($B443,'Выгр Торг'!$B:$Q,F$1,0)</f>
        <v>Y</v>
      </c>
      <c r="G443" s="127" t="str">
        <f>VLOOKUP($B443,'Выгр Торг'!$B:$Q,G$1,0)</f>
        <v>1</v>
      </c>
      <c r="H443" s="42">
        <v>183351</v>
      </c>
      <c r="I443" s="154"/>
      <c r="J443" s="160"/>
      <c r="K443" s="161">
        <v>500</v>
      </c>
      <c r="L443" s="141">
        <f t="shared" si="312"/>
        <v>2600</v>
      </c>
      <c r="M443" s="141">
        <f t="shared" si="313"/>
        <v>3200</v>
      </c>
      <c r="N443" s="141"/>
      <c r="O443" s="132">
        <f t="shared" si="306"/>
        <v>1.2307692307692308</v>
      </c>
      <c r="P443" s="132">
        <f t="shared" si="289"/>
        <v>1.2307692307692308</v>
      </c>
      <c r="Q443" s="151">
        <f t="shared" si="314"/>
        <v>3678.1720430107525</v>
      </c>
      <c r="R443" s="148">
        <f t="shared" si="307"/>
        <v>3690</v>
      </c>
      <c r="S443" s="127">
        <f>VLOOKUP($B443,'Выгр Торг'!$B:$Q,S$1,0)</f>
        <v>2600</v>
      </c>
      <c r="T443" s="127">
        <f>VLOOKUP($B443,'Выгр Торг'!$B:$Q,T$1,0)</f>
        <v>3690</v>
      </c>
      <c r="U443" s="94">
        <f t="shared" si="290"/>
        <v>0</v>
      </c>
      <c r="V443" s="94">
        <f t="shared" si="291"/>
        <v>0</v>
      </c>
      <c r="W443" s="153">
        <f t="shared" si="308"/>
        <v>3431.7</v>
      </c>
      <c r="X443" s="209">
        <f>IFERROR(VLOOKUP($B443,'Из ГУГЛа'!$B:$G,6,0)*Z443+Y443,VLOOKUP($B443,'Из ГУГЛа'!$B:$G,6,0))</f>
        <v>3490</v>
      </c>
      <c r="Y443" s="76">
        <v>800</v>
      </c>
      <c r="Z443" s="133">
        <v>1</v>
      </c>
      <c r="AA443" s="134"/>
      <c r="AB443" s="135">
        <f t="shared" si="309"/>
        <v>0.31988461538461532</v>
      </c>
      <c r="AC443" s="135">
        <f t="shared" si="310"/>
        <v>1.6704871060171971E-2</v>
      </c>
      <c r="AD443" s="135">
        <f t="shared" si="311"/>
        <v>0.3423076923076922</v>
      </c>
      <c r="AE443" s="224">
        <v>3490</v>
      </c>
      <c r="AF443" s="98" t="s">
        <v>870</v>
      </c>
      <c r="AH443" s="98" t="s">
        <v>210</v>
      </c>
    </row>
    <row r="444" spans="1:34" ht="31.5" thickTop="1" thickBot="1">
      <c r="A444" s="125" t="str">
        <f>INDEX('Выгр Торг'!$A:$A,MATCH($B444,'Выгр Торг'!$B:$B,0))</f>
        <v>Накладка решетки радиатора "Ferrum Group" для Лада Веста</v>
      </c>
      <c r="B444" s="126">
        <v>248531</v>
      </c>
      <c r="C444" s="127">
        <f>VLOOKUP($B444,'Выгр Торг'!$B:$Q,C$1,0)</f>
        <v>183359</v>
      </c>
      <c r="D444" s="44" t="s">
        <v>210</v>
      </c>
      <c r="E444" s="125" t="str">
        <f>VLOOKUP($B444,'Выгр Торг'!$B:$Q,E$1,0)</f>
        <v>Накладка решетки радиатора "Ferrum Group" для Лада Веста (В цвет, Лайм (яркий желто-зеленый, 366))</v>
      </c>
      <c r="F444" s="127" t="str">
        <f>VLOOKUP($B444,'Выгр Торг'!$B:$Q,F$1,0)</f>
        <v>Y</v>
      </c>
      <c r="G444" s="127" t="str">
        <f>VLOOKUP($B444,'Выгр Торг'!$B:$Q,G$1,0)</f>
        <v>1</v>
      </c>
      <c r="H444" s="42">
        <v>183351</v>
      </c>
      <c r="I444" s="154"/>
      <c r="J444" s="160"/>
      <c r="K444" s="161">
        <v>500</v>
      </c>
      <c r="L444" s="141">
        <f t="shared" si="312"/>
        <v>2600</v>
      </c>
      <c r="M444" s="141">
        <f t="shared" si="313"/>
        <v>3200</v>
      </c>
      <c r="N444" s="141"/>
      <c r="O444" s="132">
        <f t="shared" si="306"/>
        <v>1.2307692307692308</v>
      </c>
      <c r="P444" s="132">
        <f t="shared" si="289"/>
        <v>1.2307692307692308</v>
      </c>
      <c r="Q444" s="151">
        <f t="shared" si="314"/>
        <v>3678.1720430107525</v>
      </c>
      <c r="R444" s="148">
        <f t="shared" si="307"/>
        <v>3690</v>
      </c>
      <c r="S444" s="127">
        <f>VLOOKUP($B444,'Выгр Торг'!$B:$Q,S$1,0)</f>
        <v>2600</v>
      </c>
      <c r="T444" s="127">
        <f>VLOOKUP($B444,'Выгр Торг'!$B:$Q,T$1,0)</f>
        <v>3690</v>
      </c>
      <c r="U444" s="94">
        <f t="shared" si="290"/>
        <v>0</v>
      </c>
      <c r="V444" s="94">
        <f t="shared" si="291"/>
        <v>0</v>
      </c>
      <c r="W444" s="153">
        <f t="shared" si="308"/>
        <v>3431.7</v>
      </c>
      <c r="X444" s="209">
        <f>IFERROR(VLOOKUP($B444,'Из ГУГЛа'!$B:$G,6,0)*Z444+Y444,VLOOKUP($B444,'Из ГУГЛа'!$B:$G,6,0))</f>
        <v>3490</v>
      </c>
      <c r="Y444" s="76">
        <v>800</v>
      </c>
      <c r="Z444" s="133">
        <v>1</v>
      </c>
      <c r="AA444" s="134"/>
      <c r="AB444" s="135">
        <f t="shared" si="309"/>
        <v>0.31988461538461532</v>
      </c>
      <c r="AC444" s="135">
        <f t="shared" si="310"/>
        <v>1.6704871060171971E-2</v>
      </c>
      <c r="AD444" s="135">
        <f t="shared" si="311"/>
        <v>0.3423076923076922</v>
      </c>
      <c r="AE444" s="224">
        <v>3490</v>
      </c>
      <c r="AF444" s="98" t="s">
        <v>870</v>
      </c>
      <c r="AH444" s="98" t="s">
        <v>210</v>
      </c>
    </row>
    <row r="445" spans="1:34" ht="31.5" thickTop="1" thickBot="1">
      <c r="A445" s="125" t="str">
        <f>INDEX('Выгр Торг'!$A:$A,MATCH($B445,'Выгр Торг'!$B:$B,0))</f>
        <v>Накладка решетки радиатора "Ferrum Group" для Лада Веста</v>
      </c>
      <c r="B445" s="126">
        <v>248532</v>
      </c>
      <c r="C445" s="127">
        <f>VLOOKUP($B445,'Выгр Торг'!$B:$Q,C$1,0)</f>
        <v>183360</v>
      </c>
      <c r="D445" s="44" t="s">
        <v>210</v>
      </c>
      <c r="E445" s="125" t="str">
        <f>VLOOKUP($B445,'Выгр Торг'!$B:$Q,E$1,0)</f>
        <v>Накладка решетки радиатора "Ferrum Group" для Лада Веста (В цвет, Ледниковый (белый, 221))</v>
      </c>
      <c r="F445" s="127" t="str">
        <f>VLOOKUP($B445,'Выгр Торг'!$B:$Q,F$1,0)</f>
        <v>Y</v>
      </c>
      <c r="G445" s="127" t="str">
        <f>VLOOKUP($B445,'Выгр Торг'!$B:$Q,G$1,0)</f>
        <v>1</v>
      </c>
      <c r="H445" s="42">
        <v>183351</v>
      </c>
      <c r="I445" s="154"/>
      <c r="J445" s="160"/>
      <c r="K445" s="161">
        <v>500</v>
      </c>
      <c r="L445" s="141">
        <f t="shared" si="312"/>
        <v>2600</v>
      </c>
      <c r="M445" s="141">
        <f t="shared" si="313"/>
        <v>3200</v>
      </c>
      <c r="N445" s="141"/>
      <c r="O445" s="132">
        <f t="shared" si="306"/>
        <v>1.2307692307692308</v>
      </c>
      <c r="P445" s="132">
        <f t="shared" si="289"/>
        <v>1.2307692307692308</v>
      </c>
      <c r="Q445" s="151">
        <f t="shared" si="314"/>
        <v>3678.1720430107525</v>
      </c>
      <c r="R445" s="148">
        <f t="shared" si="307"/>
        <v>3690</v>
      </c>
      <c r="S445" s="127">
        <f>VLOOKUP($B445,'Выгр Торг'!$B:$Q,S$1,0)</f>
        <v>2600</v>
      </c>
      <c r="T445" s="127">
        <f>VLOOKUP($B445,'Выгр Торг'!$B:$Q,T$1,0)</f>
        <v>3690</v>
      </c>
      <c r="U445" s="94">
        <f t="shared" si="290"/>
        <v>0</v>
      </c>
      <c r="V445" s="94">
        <f t="shared" si="291"/>
        <v>0</v>
      </c>
      <c r="W445" s="153">
        <f t="shared" si="308"/>
        <v>3431.7</v>
      </c>
      <c r="X445" s="209">
        <f>IFERROR(VLOOKUP($B445,'Из ГУГЛа'!$B:$G,6,0)*Z445+Y445,VLOOKUP($B445,'Из ГУГЛа'!$B:$G,6,0))</f>
        <v>3490</v>
      </c>
      <c r="Y445" s="76">
        <v>800</v>
      </c>
      <c r="Z445" s="133">
        <v>1</v>
      </c>
      <c r="AA445" s="134"/>
      <c r="AB445" s="135">
        <f t="shared" si="309"/>
        <v>0.31988461538461532</v>
      </c>
      <c r="AC445" s="135">
        <f t="shared" si="310"/>
        <v>1.6704871060171971E-2</v>
      </c>
      <c r="AD445" s="135">
        <f t="shared" si="311"/>
        <v>0.3423076923076922</v>
      </c>
      <c r="AE445" s="224">
        <v>3490</v>
      </c>
      <c r="AF445" s="98" t="s">
        <v>870</v>
      </c>
      <c r="AH445" s="98" t="s">
        <v>210</v>
      </c>
    </row>
    <row r="446" spans="1:34" ht="31.5" thickTop="1" thickBot="1">
      <c r="A446" s="125" t="str">
        <f>INDEX('Выгр Торг'!$A:$A,MATCH($B446,'Выгр Торг'!$B:$B,0))</f>
        <v>Накладка решетки радиатора "Ferrum Group" для Лада Веста</v>
      </c>
      <c r="B446" s="126">
        <v>248533</v>
      </c>
      <c r="C446" s="127">
        <f>VLOOKUP($B446,'Выгр Торг'!$B:$Q,C$1,0)</f>
        <v>183361</v>
      </c>
      <c r="D446" s="44" t="s">
        <v>210</v>
      </c>
      <c r="E446" s="125" t="str">
        <f>VLOOKUP($B446,'Выгр Торг'!$B:$Q,E$1,0)</f>
        <v>Накладка решетки радиатора "Ferrum Group" для Лада Веста (В цвет, Марс (оранжевый, 130))</v>
      </c>
      <c r="F446" s="127" t="str">
        <f>VLOOKUP($B446,'Выгр Торг'!$B:$Q,F$1,0)</f>
        <v>Y</v>
      </c>
      <c r="G446" s="127" t="str">
        <f>VLOOKUP($B446,'Выгр Торг'!$B:$Q,G$1,0)</f>
        <v>1</v>
      </c>
      <c r="H446" s="42">
        <v>183351</v>
      </c>
      <c r="I446" s="154"/>
      <c r="J446" s="160"/>
      <c r="K446" s="161">
        <v>500</v>
      </c>
      <c r="L446" s="141">
        <f t="shared" si="312"/>
        <v>2600</v>
      </c>
      <c r="M446" s="141">
        <f t="shared" si="313"/>
        <v>3200</v>
      </c>
      <c r="N446" s="141"/>
      <c r="O446" s="132">
        <f t="shared" si="306"/>
        <v>1.2307692307692308</v>
      </c>
      <c r="P446" s="132">
        <f t="shared" si="289"/>
        <v>1.2307692307692308</v>
      </c>
      <c r="Q446" s="151">
        <f t="shared" si="314"/>
        <v>3678.1720430107525</v>
      </c>
      <c r="R446" s="148">
        <f t="shared" si="307"/>
        <v>3690</v>
      </c>
      <c r="S446" s="127">
        <f>VLOOKUP($B446,'Выгр Торг'!$B:$Q,S$1,0)</f>
        <v>2600</v>
      </c>
      <c r="T446" s="127">
        <f>VLOOKUP($B446,'Выгр Торг'!$B:$Q,T$1,0)</f>
        <v>3690</v>
      </c>
      <c r="U446" s="94">
        <f t="shared" si="290"/>
        <v>0</v>
      </c>
      <c r="V446" s="94">
        <f t="shared" si="291"/>
        <v>0</v>
      </c>
      <c r="W446" s="153">
        <f t="shared" si="308"/>
        <v>3431.7</v>
      </c>
      <c r="X446" s="209">
        <f>IFERROR(VLOOKUP($B446,'Из ГУГЛа'!$B:$G,6,0)*Z446+Y446,VLOOKUP($B446,'Из ГУГЛа'!$B:$G,6,0))</f>
        <v>3490</v>
      </c>
      <c r="Y446" s="76">
        <v>800</v>
      </c>
      <c r="Z446" s="133">
        <v>1</v>
      </c>
      <c r="AA446" s="134"/>
      <c r="AB446" s="135">
        <f t="shared" si="309"/>
        <v>0.31988461538461532</v>
      </c>
      <c r="AC446" s="135">
        <f t="shared" si="310"/>
        <v>1.6704871060171971E-2</v>
      </c>
      <c r="AD446" s="135">
        <f t="shared" si="311"/>
        <v>0.3423076923076922</v>
      </c>
      <c r="AE446" s="224">
        <v>3490</v>
      </c>
      <c r="AF446" s="98" t="s">
        <v>870</v>
      </c>
      <c r="AH446" s="98" t="s">
        <v>210</v>
      </c>
    </row>
    <row r="447" spans="1:34" ht="31.5" thickTop="1" thickBot="1">
      <c r="A447" s="125" t="str">
        <f>INDEX('Выгр Торг'!$A:$A,MATCH($B447,'Выгр Торг'!$B:$B,0))</f>
        <v>Накладка решетки радиатора "Ferrum Group" для Лада Веста</v>
      </c>
      <c r="B447" s="126">
        <v>248534</v>
      </c>
      <c r="C447" s="127">
        <f>VLOOKUP($B447,'Выгр Торг'!$B:$Q,C$1,0)</f>
        <v>183362</v>
      </c>
      <c r="D447" s="44" t="s">
        <v>210</v>
      </c>
      <c r="E447" s="125" t="str">
        <f>VLOOKUP($B447,'Выгр Торг'!$B:$Q,E$1,0)</f>
        <v>Накладка решетки радиатора "Ferrum Group" для Лада Веста (В цвет, Маэстро (черное стекло, 653))</v>
      </c>
      <c r="F447" s="127" t="str">
        <f>VLOOKUP($B447,'Выгр Торг'!$B:$Q,F$1,0)</f>
        <v>Y</v>
      </c>
      <c r="G447" s="127" t="str">
        <f>VLOOKUP($B447,'Выгр Торг'!$B:$Q,G$1,0)</f>
        <v>1</v>
      </c>
      <c r="H447" s="42">
        <v>183351</v>
      </c>
      <c r="I447" s="154"/>
      <c r="J447" s="160"/>
      <c r="K447" s="161">
        <v>500</v>
      </c>
      <c r="L447" s="141">
        <f t="shared" si="312"/>
        <v>2600</v>
      </c>
      <c r="M447" s="141">
        <f t="shared" si="313"/>
        <v>3200</v>
      </c>
      <c r="N447" s="141"/>
      <c r="O447" s="132">
        <f t="shared" si="306"/>
        <v>1.2307692307692308</v>
      </c>
      <c r="P447" s="132">
        <f t="shared" si="289"/>
        <v>1.2307692307692308</v>
      </c>
      <c r="Q447" s="151">
        <f t="shared" si="314"/>
        <v>3678.1720430107525</v>
      </c>
      <c r="R447" s="148">
        <f t="shared" si="307"/>
        <v>3690</v>
      </c>
      <c r="S447" s="127">
        <f>VLOOKUP($B447,'Выгр Торг'!$B:$Q,S$1,0)</f>
        <v>2600</v>
      </c>
      <c r="T447" s="127">
        <f>VLOOKUP($B447,'Выгр Торг'!$B:$Q,T$1,0)</f>
        <v>3690</v>
      </c>
      <c r="U447" s="94">
        <f t="shared" si="290"/>
        <v>0</v>
      </c>
      <c r="V447" s="94">
        <f t="shared" si="291"/>
        <v>0</v>
      </c>
      <c r="W447" s="153">
        <f t="shared" si="308"/>
        <v>3431.7</v>
      </c>
      <c r="X447" s="209">
        <f>IFERROR(VLOOKUP($B447,'Из ГУГЛа'!$B:$G,6,0)*Z447+Y447,VLOOKUP($B447,'Из ГУГЛа'!$B:$G,6,0))</f>
        <v>3490</v>
      </c>
      <c r="Y447" s="76">
        <v>800</v>
      </c>
      <c r="Z447" s="133">
        <v>1</v>
      </c>
      <c r="AA447" s="134"/>
      <c r="AB447" s="135">
        <f t="shared" si="309"/>
        <v>0.31988461538461532</v>
      </c>
      <c r="AC447" s="135">
        <f t="shared" si="310"/>
        <v>1.6704871060171971E-2</v>
      </c>
      <c r="AD447" s="135">
        <f t="shared" si="311"/>
        <v>0.3423076923076922</v>
      </c>
      <c r="AE447" s="224">
        <v>3490</v>
      </c>
      <c r="AF447" s="98" t="s">
        <v>870</v>
      </c>
      <c r="AH447" s="98" t="s">
        <v>210</v>
      </c>
    </row>
    <row r="448" spans="1:34" ht="31.5" thickTop="1" thickBot="1">
      <c r="A448" s="125" t="str">
        <f>INDEX('Выгр Торг'!$A:$A,MATCH($B448,'Выгр Торг'!$B:$B,0))</f>
        <v>Накладка решетки радиатора "Ferrum Group" для Лада Веста</v>
      </c>
      <c r="B448" s="126">
        <v>248535</v>
      </c>
      <c r="C448" s="127">
        <f>VLOOKUP($B448,'Выгр Торг'!$B:$Q,C$1,0)</f>
        <v>183363</v>
      </c>
      <c r="D448" s="44" t="s">
        <v>210</v>
      </c>
      <c r="E448" s="125" t="str">
        <f>VLOOKUP($B448,'Выгр Торг'!$B:$Q,E$1,0)</f>
        <v>Накладка решетки радиатора "Ferrum Group" для Лада Веста (В цвет, Пантера (черная база, 672))</v>
      </c>
      <c r="F448" s="127" t="str">
        <f>VLOOKUP($B448,'Выгр Торг'!$B:$Q,F$1,0)</f>
        <v>Y</v>
      </c>
      <c r="G448" s="127" t="str">
        <f>VLOOKUP($B448,'Выгр Торг'!$B:$Q,G$1,0)</f>
        <v>1</v>
      </c>
      <c r="H448" s="42">
        <v>183351</v>
      </c>
      <c r="I448" s="154"/>
      <c r="J448" s="160"/>
      <c r="K448" s="161">
        <v>500</v>
      </c>
      <c r="L448" s="141">
        <f t="shared" si="312"/>
        <v>2600</v>
      </c>
      <c r="M448" s="141">
        <f t="shared" si="313"/>
        <v>3200</v>
      </c>
      <c r="N448" s="141"/>
      <c r="O448" s="132">
        <f t="shared" si="306"/>
        <v>1.2307692307692308</v>
      </c>
      <c r="P448" s="132">
        <f t="shared" si="289"/>
        <v>1.2307692307692308</v>
      </c>
      <c r="Q448" s="151">
        <f t="shared" si="314"/>
        <v>3678.1720430107525</v>
      </c>
      <c r="R448" s="148">
        <f t="shared" si="307"/>
        <v>3690</v>
      </c>
      <c r="S448" s="127">
        <f>VLOOKUP($B448,'Выгр Торг'!$B:$Q,S$1,0)</f>
        <v>2600</v>
      </c>
      <c r="T448" s="127">
        <f>VLOOKUP($B448,'Выгр Торг'!$B:$Q,T$1,0)</f>
        <v>3690</v>
      </c>
      <c r="U448" s="94">
        <f t="shared" si="290"/>
        <v>0</v>
      </c>
      <c r="V448" s="94">
        <f t="shared" si="291"/>
        <v>0</v>
      </c>
      <c r="W448" s="153">
        <f t="shared" si="308"/>
        <v>3431.7</v>
      </c>
      <c r="X448" s="209">
        <f>IFERROR(VLOOKUP($B448,'Из ГУГЛа'!$B:$G,6,0)*Z448+Y448,VLOOKUP($B448,'Из ГУГЛа'!$B:$G,6,0))</f>
        <v>3490</v>
      </c>
      <c r="Y448" s="76">
        <v>800</v>
      </c>
      <c r="Z448" s="133">
        <v>1</v>
      </c>
      <c r="AA448" s="134"/>
      <c r="AB448" s="135">
        <f t="shared" si="309"/>
        <v>0.31988461538461532</v>
      </c>
      <c r="AC448" s="135">
        <f t="shared" si="310"/>
        <v>1.6704871060171971E-2</v>
      </c>
      <c r="AD448" s="135">
        <f t="shared" si="311"/>
        <v>0.3423076923076922</v>
      </c>
      <c r="AE448" s="224">
        <v>3490</v>
      </c>
      <c r="AF448" s="98" t="s">
        <v>870</v>
      </c>
      <c r="AH448" s="98" t="s">
        <v>210</v>
      </c>
    </row>
    <row r="449" spans="1:34" ht="31.5" thickTop="1" thickBot="1">
      <c r="A449" s="125" t="str">
        <f>INDEX('Выгр Торг'!$A:$A,MATCH($B449,'Выгр Торг'!$B:$B,0))</f>
        <v>Накладка решетки радиатора "Ferrum Group" для Лада Веста</v>
      </c>
      <c r="B449" s="126">
        <v>248536</v>
      </c>
      <c r="C449" s="127">
        <f>VLOOKUP($B449,'Выгр Торг'!$B:$Q,C$1,0)</f>
        <v>183364</v>
      </c>
      <c r="D449" s="44" t="s">
        <v>210</v>
      </c>
      <c r="E449" s="125" t="str">
        <f>VLOOKUP($B449,'Выгр Торг'!$B:$Q,E$1,0)</f>
        <v>Накладка решетки радиатора "Ferrum Group" для Лада Веста (В цвет, Платина (серебристо-бежевый, 691))</v>
      </c>
      <c r="F449" s="127" t="str">
        <f>VLOOKUP($B449,'Выгр Торг'!$B:$Q,F$1,0)</f>
        <v>Y</v>
      </c>
      <c r="G449" s="127" t="str">
        <f>VLOOKUP($B449,'Выгр Торг'!$B:$Q,G$1,0)</f>
        <v>1</v>
      </c>
      <c r="H449" s="42">
        <v>183351</v>
      </c>
      <c r="I449" s="154"/>
      <c r="J449" s="160"/>
      <c r="K449" s="161">
        <v>500</v>
      </c>
      <c r="L449" s="141">
        <f t="shared" si="312"/>
        <v>2600</v>
      </c>
      <c r="M449" s="141">
        <f t="shared" si="313"/>
        <v>3200</v>
      </c>
      <c r="N449" s="141"/>
      <c r="O449" s="132">
        <f t="shared" si="306"/>
        <v>1.2307692307692308</v>
      </c>
      <c r="P449" s="132">
        <f t="shared" si="289"/>
        <v>1.2307692307692308</v>
      </c>
      <c r="Q449" s="151">
        <f t="shared" si="314"/>
        <v>3678.1720430107525</v>
      </c>
      <c r="R449" s="148">
        <f t="shared" si="307"/>
        <v>3690</v>
      </c>
      <c r="S449" s="127">
        <f>VLOOKUP($B449,'Выгр Торг'!$B:$Q,S$1,0)</f>
        <v>2600</v>
      </c>
      <c r="T449" s="127">
        <f>VLOOKUP($B449,'Выгр Торг'!$B:$Q,T$1,0)</f>
        <v>3690</v>
      </c>
      <c r="U449" s="94">
        <f t="shared" si="290"/>
        <v>0</v>
      </c>
      <c r="V449" s="94">
        <f t="shared" si="291"/>
        <v>0</v>
      </c>
      <c r="W449" s="153">
        <f t="shared" si="308"/>
        <v>3431.7</v>
      </c>
      <c r="X449" s="209">
        <f>IFERROR(VLOOKUP($B449,'Из ГУГЛа'!$B:$G,6,0)*Z449+Y449,VLOOKUP($B449,'Из ГУГЛа'!$B:$G,6,0))</f>
        <v>3490</v>
      </c>
      <c r="Y449" s="76">
        <v>800</v>
      </c>
      <c r="Z449" s="133">
        <v>1</v>
      </c>
      <c r="AA449" s="134"/>
      <c r="AB449" s="135">
        <f t="shared" si="309"/>
        <v>0.31988461538461532</v>
      </c>
      <c r="AC449" s="135">
        <f t="shared" si="310"/>
        <v>1.6704871060171971E-2</v>
      </c>
      <c r="AD449" s="135">
        <f t="shared" si="311"/>
        <v>0.3423076923076922</v>
      </c>
      <c r="AE449" s="224">
        <v>3490</v>
      </c>
      <c r="AF449" s="98" t="s">
        <v>870</v>
      </c>
      <c r="AH449" s="98" t="s">
        <v>210</v>
      </c>
    </row>
    <row r="450" spans="1:34" ht="31.5" thickTop="1" thickBot="1">
      <c r="A450" s="125" t="str">
        <f>INDEX('Выгр Торг'!$A:$A,MATCH($B450,'Выгр Торг'!$B:$B,0))</f>
        <v>Накладка решетки радиатора "Ferrum Group" для Лада Веста</v>
      </c>
      <c r="B450" s="126">
        <v>248537</v>
      </c>
      <c r="C450" s="127">
        <f>VLOOKUP($B450,'Выгр Торг'!$B:$Q,C$1,0)</f>
        <v>183365</v>
      </c>
      <c r="D450" s="44" t="s">
        <v>210</v>
      </c>
      <c r="E450" s="125" t="str">
        <f>VLOOKUP($B450,'Выгр Торг'!$B:$Q,E$1,0)</f>
        <v>Накладка решетки радиатора "Ferrum Group" для Лада Веста (В цвет, Плутон (темно-серый, 608))</v>
      </c>
      <c r="F450" s="127" t="str">
        <f>VLOOKUP($B450,'Выгр Торг'!$B:$Q,F$1,0)</f>
        <v>Y</v>
      </c>
      <c r="G450" s="127" t="str">
        <f>VLOOKUP($B450,'Выгр Торг'!$B:$Q,G$1,0)</f>
        <v>1</v>
      </c>
      <c r="H450" s="42">
        <v>183351</v>
      </c>
      <c r="I450" s="154"/>
      <c r="J450" s="160"/>
      <c r="K450" s="161">
        <v>500</v>
      </c>
      <c r="L450" s="141">
        <f t="shared" si="312"/>
        <v>2600</v>
      </c>
      <c r="M450" s="141">
        <f t="shared" si="313"/>
        <v>3200</v>
      </c>
      <c r="N450" s="141"/>
      <c r="O450" s="132">
        <f t="shared" si="306"/>
        <v>1.2307692307692308</v>
      </c>
      <c r="P450" s="132">
        <f t="shared" si="289"/>
        <v>1.2307692307692308</v>
      </c>
      <c r="Q450" s="151">
        <f t="shared" si="314"/>
        <v>3678.1720430107525</v>
      </c>
      <c r="R450" s="148">
        <f t="shared" si="307"/>
        <v>3690</v>
      </c>
      <c r="S450" s="127">
        <f>VLOOKUP($B450,'Выгр Торг'!$B:$Q,S$1,0)</f>
        <v>2600</v>
      </c>
      <c r="T450" s="127">
        <f>VLOOKUP($B450,'Выгр Торг'!$B:$Q,T$1,0)</f>
        <v>3690</v>
      </c>
      <c r="U450" s="94">
        <f t="shared" si="290"/>
        <v>0</v>
      </c>
      <c r="V450" s="94">
        <f t="shared" si="291"/>
        <v>0</v>
      </c>
      <c r="W450" s="153">
        <f t="shared" si="308"/>
        <v>3431.7</v>
      </c>
      <c r="X450" s="209">
        <f>IFERROR(VLOOKUP($B450,'Из ГУГЛа'!$B:$G,6,0)*Z450+Y450,VLOOKUP($B450,'Из ГУГЛа'!$B:$G,6,0))</f>
        <v>3490</v>
      </c>
      <c r="Y450" s="76">
        <v>800</v>
      </c>
      <c r="Z450" s="133">
        <v>1</v>
      </c>
      <c r="AA450" s="134"/>
      <c r="AB450" s="135">
        <f t="shared" si="309"/>
        <v>0.31988461538461532</v>
      </c>
      <c r="AC450" s="135">
        <f t="shared" si="310"/>
        <v>1.6704871060171971E-2</v>
      </c>
      <c r="AD450" s="135">
        <f t="shared" si="311"/>
        <v>0.3423076923076922</v>
      </c>
      <c r="AE450" s="224">
        <v>3490</v>
      </c>
      <c r="AF450" s="98" t="s">
        <v>870</v>
      </c>
      <c r="AH450" s="98" t="s">
        <v>210</v>
      </c>
    </row>
    <row r="451" spans="1:34" ht="31.5" thickTop="1" thickBot="1">
      <c r="A451" s="125" t="str">
        <f>INDEX('Выгр Торг'!$A:$A,MATCH($B451,'Выгр Торг'!$B:$B,0))</f>
        <v>Накладка решетки радиатора "Ferrum Group" для Лада Веста</v>
      </c>
      <c r="B451" s="126">
        <v>248538</v>
      </c>
      <c r="C451" s="127">
        <f>VLOOKUP($B451,'Выгр Торг'!$B:$Q,C$1,0)</f>
        <v>183366</v>
      </c>
      <c r="D451" s="44" t="s">
        <v>210</v>
      </c>
      <c r="E451" s="125" t="str">
        <f>VLOOKUP($B451,'Выгр Торг'!$B:$Q,E$1,0)</f>
        <v>Накладка решетки радиатора "Ferrum Group" для Лада Веста (В цвет, Сердолик (темно-красный, 195))</v>
      </c>
      <c r="F451" s="127" t="str">
        <f>VLOOKUP($B451,'Выгр Торг'!$B:$Q,F$1,0)</f>
        <v>Y</v>
      </c>
      <c r="G451" s="127" t="str">
        <f>VLOOKUP($B451,'Выгр Торг'!$B:$Q,G$1,0)</f>
        <v>1</v>
      </c>
      <c r="H451" s="42">
        <v>183351</v>
      </c>
      <c r="I451" s="154"/>
      <c r="J451" s="160"/>
      <c r="K451" s="161">
        <v>500</v>
      </c>
      <c r="L451" s="141">
        <f t="shared" si="312"/>
        <v>2600</v>
      </c>
      <c r="M451" s="141">
        <f t="shared" si="313"/>
        <v>3200</v>
      </c>
      <c r="N451" s="141"/>
      <c r="O451" s="132">
        <f t="shared" si="306"/>
        <v>1.2307692307692308</v>
      </c>
      <c r="P451" s="132">
        <f t="shared" si="289"/>
        <v>1.2307692307692308</v>
      </c>
      <c r="Q451" s="151">
        <f t="shared" si="314"/>
        <v>3678.1720430107525</v>
      </c>
      <c r="R451" s="148">
        <f t="shared" si="307"/>
        <v>3690</v>
      </c>
      <c r="S451" s="127">
        <f>VLOOKUP($B451,'Выгр Торг'!$B:$Q,S$1,0)</f>
        <v>2600</v>
      </c>
      <c r="T451" s="127">
        <f>VLOOKUP($B451,'Выгр Торг'!$B:$Q,T$1,0)</f>
        <v>3690</v>
      </c>
      <c r="U451" s="94">
        <f t="shared" si="290"/>
        <v>0</v>
      </c>
      <c r="V451" s="94">
        <f t="shared" si="291"/>
        <v>0</v>
      </c>
      <c r="W451" s="153">
        <f t="shared" si="308"/>
        <v>3431.7</v>
      </c>
      <c r="X451" s="209">
        <f>IFERROR(VLOOKUP($B451,'Из ГУГЛа'!$B:$G,6,0)*Z451+Y451,VLOOKUP($B451,'Из ГУГЛа'!$B:$G,6,0))</f>
        <v>3490</v>
      </c>
      <c r="Y451" s="76">
        <v>800</v>
      </c>
      <c r="Z451" s="133">
        <v>1</v>
      </c>
      <c r="AA451" s="134"/>
      <c r="AB451" s="135">
        <f t="shared" si="309"/>
        <v>0.31988461538461532</v>
      </c>
      <c r="AC451" s="135">
        <f t="shared" si="310"/>
        <v>1.6704871060171971E-2</v>
      </c>
      <c r="AD451" s="135">
        <f t="shared" si="311"/>
        <v>0.3423076923076922</v>
      </c>
      <c r="AE451" s="224">
        <v>3490</v>
      </c>
      <c r="AF451" s="98" t="s">
        <v>870</v>
      </c>
      <c r="AH451" s="98" t="s">
        <v>210</v>
      </c>
    </row>
    <row r="452" spans="1:34" ht="31.5" thickTop="1" thickBot="1">
      <c r="A452" s="125" t="str">
        <f>INDEX('Выгр Торг'!$A:$A,MATCH($B452,'Выгр Торг'!$B:$B,0))</f>
        <v>Накладка решетки радиатора "Ferrum Group" для Лада Веста</v>
      </c>
      <c r="B452" s="126">
        <v>248539</v>
      </c>
      <c r="C452" s="127">
        <f>VLOOKUP($B452,'Выгр Торг'!$B:$Q,C$1,0)</f>
        <v>183367</v>
      </c>
      <c r="D452" s="44" t="s">
        <v>210</v>
      </c>
      <c r="E452" s="125" t="str">
        <f>VLOOKUP($B452,'Выгр Торг'!$B:$Q,E$1,0)</f>
        <v>Накладка решетки радиатора "Ferrum Group" для Лада Веста (В цвет, Тайфун (серый, 616))</v>
      </c>
      <c r="F452" s="127" t="str">
        <f>VLOOKUP($B452,'Выгр Торг'!$B:$Q,F$1,0)</f>
        <v>Y</v>
      </c>
      <c r="G452" s="127" t="str">
        <f>VLOOKUP($B452,'Выгр Торг'!$B:$Q,G$1,0)</f>
        <v>1</v>
      </c>
      <c r="H452" s="42">
        <v>183351</v>
      </c>
      <c r="I452" s="154"/>
      <c r="J452" s="160"/>
      <c r="K452" s="161">
        <v>500</v>
      </c>
      <c r="L452" s="141">
        <f t="shared" si="312"/>
        <v>2600</v>
      </c>
      <c r="M452" s="141">
        <f t="shared" si="313"/>
        <v>3200</v>
      </c>
      <c r="N452" s="141"/>
      <c r="O452" s="132">
        <f t="shared" si="306"/>
        <v>1.2307692307692308</v>
      </c>
      <c r="P452" s="132">
        <f t="shared" ref="P452:P515" si="315">IF(O452&lt;=$P$1,$P$1,O452)</f>
        <v>1.2307692307692308</v>
      </c>
      <c r="Q452" s="151">
        <f t="shared" si="314"/>
        <v>3678.1720430107525</v>
      </c>
      <c r="R452" s="148">
        <f t="shared" si="307"/>
        <v>3690</v>
      </c>
      <c r="S452" s="127">
        <f>VLOOKUP($B452,'Выгр Торг'!$B:$Q,S$1,0)</f>
        <v>2600</v>
      </c>
      <c r="T452" s="127">
        <f>VLOOKUP($B452,'Выгр Торг'!$B:$Q,T$1,0)</f>
        <v>3690</v>
      </c>
      <c r="U452" s="94">
        <f t="shared" ref="U452:U515" si="316">S452-L452</f>
        <v>0</v>
      </c>
      <c r="V452" s="94">
        <f t="shared" ref="V452:V515" si="317">T452-R452</f>
        <v>0</v>
      </c>
      <c r="W452" s="153">
        <f t="shared" si="308"/>
        <v>3431.7</v>
      </c>
      <c r="X452" s="209">
        <f>IFERROR(VLOOKUP($B452,'Из ГУГЛа'!$B:$G,6,0)*Z452+Y452,VLOOKUP($B452,'Из ГУГЛа'!$B:$G,6,0))</f>
        <v>3490</v>
      </c>
      <c r="Y452" s="76">
        <v>800</v>
      </c>
      <c r="Z452" s="133">
        <v>1</v>
      </c>
      <c r="AA452" s="134"/>
      <c r="AB452" s="135">
        <f t="shared" si="309"/>
        <v>0.31988461538461532</v>
      </c>
      <c r="AC452" s="135">
        <f t="shared" si="310"/>
        <v>1.6704871060171971E-2</v>
      </c>
      <c r="AD452" s="135">
        <f t="shared" si="311"/>
        <v>0.3423076923076922</v>
      </c>
      <c r="AE452" s="224">
        <v>3490</v>
      </c>
      <c r="AF452" s="98" t="s">
        <v>870</v>
      </c>
      <c r="AH452" s="98" t="s">
        <v>210</v>
      </c>
    </row>
    <row r="453" spans="1:34" ht="31.5" thickTop="1" thickBot="1">
      <c r="A453" s="125" t="str">
        <f>INDEX('Выгр Торг'!$A:$A,MATCH($B453,'Выгр Торг'!$B:$B,0))</f>
        <v>Накладка решетки радиатора "Ferrum Group" для Лада Веста</v>
      </c>
      <c r="B453" s="126">
        <v>248540</v>
      </c>
      <c r="C453" s="127">
        <f>VLOOKUP($B453,'Выгр Торг'!$B:$Q,C$1,0)</f>
        <v>183353</v>
      </c>
      <c r="D453" s="44" t="s">
        <v>210</v>
      </c>
      <c r="E453" s="125" t="str">
        <f>VLOOKUP($B453,'Выгр Торг'!$B:$Q,E$1,0)</f>
        <v>Накладка решетки радиатора "Ferrum Group" для Лада Веста (В цвет, Уточнить у менеджера)</v>
      </c>
      <c r="F453" s="127" t="str">
        <f>VLOOKUP($B453,'Выгр Торг'!$B:$Q,F$1,0)</f>
        <v>Y</v>
      </c>
      <c r="G453" s="127" t="str">
        <f>VLOOKUP($B453,'Выгр Торг'!$B:$Q,G$1,0)</f>
        <v>1</v>
      </c>
      <c r="H453" s="42">
        <v>183351</v>
      </c>
      <c r="I453" s="154"/>
      <c r="J453" s="160"/>
      <c r="K453" s="161">
        <v>500</v>
      </c>
      <c r="L453" s="141">
        <f t="shared" si="312"/>
        <v>2600</v>
      </c>
      <c r="M453" s="141">
        <f t="shared" si="313"/>
        <v>3200</v>
      </c>
      <c r="N453" s="141"/>
      <c r="O453" s="132">
        <f t="shared" si="306"/>
        <v>1.2307692307692308</v>
      </c>
      <c r="P453" s="132">
        <f t="shared" si="315"/>
        <v>1.2307692307692308</v>
      </c>
      <c r="Q453" s="151">
        <f t="shared" si="314"/>
        <v>3678.1720430107525</v>
      </c>
      <c r="R453" s="148">
        <f t="shared" si="307"/>
        <v>3690</v>
      </c>
      <c r="S453" s="127">
        <f>VLOOKUP($B453,'Выгр Торг'!$B:$Q,S$1,0)</f>
        <v>2600</v>
      </c>
      <c r="T453" s="127">
        <f>VLOOKUP($B453,'Выгр Торг'!$B:$Q,T$1,0)</f>
        <v>3690</v>
      </c>
      <c r="U453" s="94">
        <f t="shared" si="316"/>
        <v>0</v>
      </c>
      <c r="V453" s="94">
        <f t="shared" si="317"/>
        <v>0</v>
      </c>
      <c r="W453" s="153">
        <f t="shared" si="308"/>
        <v>3431.7</v>
      </c>
      <c r="X453" s="209">
        <f>IFERROR(VLOOKUP($B453,'Из ГУГЛа'!$B:$G,6,0)*Z453+Y453,VLOOKUP($B453,'Из ГУГЛа'!$B:$G,6,0))</f>
        <v>3490</v>
      </c>
      <c r="Y453" s="76">
        <v>800</v>
      </c>
      <c r="Z453" s="133">
        <v>1</v>
      </c>
      <c r="AA453" s="134"/>
      <c r="AB453" s="135">
        <f t="shared" si="309"/>
        <v>0.31988461538461532</v>
      </c>
      <c r="AC453" s="135">
        <f t="shared" si="310"/>
        <v>1.6704871060171971E-2</v>
      </c>
      <c r="AD453" s="135">
        <f t="shared" si="311"/>
        <v>0.3423076923076922</v>
      </c>
      <c r="AE453" s="224">
        <v>3490</v>
      </c>
      <c r="AF453" s="98" t="s">
        <v>870</v>
      </c>
      <c r="AH453" s="98" t="s">
        <v>210</v>
      </c>
    </row>
    <row r="454" spans="1:34" ht="31.5" thickTop="1" thickBot="1">
      <c r="A454" s="125" t="str">
        <f>INDEX('Выгр Торг'!$A:$A,MATCH($B454,'Выгр Торг'!$B:$B,0))</f>
        <v>Накладка решетки радиатора "Ferrum Group" для Лада Веста</v>
      </c>
      <c r="B454" s="126">
        <v>248541</v>
      </c>
      <c r="C454" s="127">
        <f>VLOOKUP($B454,'Выгр Торг'!$B:$Q,C$1,0)</f>
        <v>183368</v>
      </c>
      <c r="D454" s="44" t="s">
        <v>210</v>
      </c>
      <c r="E454" s="125" t="str">
        <f>VLOOKUP($B454,'Выгр Торг'!$B:$Q,E$1,0)</f>
        <v>Накладка решетки радиатора "Ferrum Group" для Лада Веста (В цвет, Фантом (темно-серо-голубой, 496))</v>
      </c>
      <c r="F454" s="127" t="str">
        <f>VLOOKUP($B454,'Выгр Торг'!$B:$Q,F$1,0)</f>
        <v>Y</v>
      </c>
      <c r="G454" s="127" t="str">
        <f>VLOOKUP($B454,'Выгр Торг'!$B:$Q,G$1,0)</f>
        <v>1</v>
      </c>
      <c r="H454" s="42">
        <v>183351</v>
      </c>
      <c r="I454" s="154"/>
      <c r="J454" s="160"/>
      <c r="K454" s="161">
        <v>500</v>
      </c>
      <c r="L454" s="141">
        <f t="shared" si="312"/>
        <v>2600</v>
      </c>
      <c r="M454" s="141">
        <f t="shared" si="313"/>
        <v>3200</v>
      </c>
      <c r="N454" s="141"/>
      <c r="O454" s="132">
        <f t="shared" si="306"/>
        <v>1.2307692307692308</v>
      </c>
      <c r="P454" s="132">
        <f t="shared" si="315"/>
        <v>1.2307692307692308</v>
      </c>
      <c r="Q454" s="151">
        <f t="shared" si="314"/>
        <v>3678.1720430107525</v>
      </c>
      <c r="R454" s="148">
        <f t="shared" si="307"/>
        <v>3690</v>
      </c>
      <c r="S454" s="127">
        <f>VLOOKUP($B454,'Выгр Торг'!$B:$Q,S$1,0)</f>
        <v>2600</v>
      </c>
      <c r="T454" s="127">
        <f>VLOOKUP($B454,'Выгр Торг'!$B:$Q,T$1,0)</f>
        <v>3690</v>
      </c>
      <c r="U454" s="94">
        <f t="shared" si="316"/>
        <v>0</v>
      </c>
      <c r="V454" s="94">
        <f t="shared" si="317"/>
        <v>0</v>
      </c>
      <c r="W454" s="153">
        <f t="shared" si="308"/>
        <v>3431.7</v>
      </c>
      <c r="X454" s="209">
        <f>IFERROR(VLOOKUP($B454,'Из ГУГЛа'!$B:$G,6,0)*Z454+Y454,VLOOKUP($B454,'Из ГУГЛа'!$B:$G,6,0))</f>
        <v>3490</v>
      </c>
      <c r="Y454" s="76">
        <v>800</v>
      </c>
      <c r="Z454" s="133">
        <v>1</v>
      </c>
      <c r="AA454" s="134"/>
      <c r="AB454" s="135">
        <f t="shared" si="309"/>
        <v>0.31988461538461532</v>
      </c>
      <c r="AC454" s="135">
        <f t="shared" si="310"/>
        <v>1.6704871060171971E-2</v>
      </c>
      <c r="AD454" s="135">
        <f t="shared" si="311"/>
        <v>0.3423076923076922</v>
      </c>
      <c r="AE454" s="224">
        <v>3490</v>
      </c>
      <c r="AF454" s="98" t="s">
        <v>870</v>
      </c>
      <c r="AH454" s="98" t="s">
        <v>210</v>
      </c>
    </row>
    <row r="455" spans="1:34" ht="31.5" thickTop="1" thickBot="1">
      <c r="A455" s="125" t="str">
        <f>INDEX('Выгр Торг'!$A:$A,MATCH($B455,'Выгр Торг'!$B:$B,0))</f>
        <v>Накладка решетки радиатора "Ferrum Group" для Лада Веста</v>
      </c>
      <c r="B455" s="126">
        <v>248542</v>
      </c>
      <c r="C455" s="127">
        <f>VLOOKUP($B455,'Выгр Торг'!$B:$Q,C$1,0)</f>
        <v>183369</v>
      </c>
      <c r="D455" s="44" t="s">
        <v>210</v>
      </c>
      <c r="E455" s="125" t="str">
        <f>VLOOKUP($B455,'Выгр Торг'!$B:$Q,E$1,0)</f>
        <v>Накладка решетки радиатора "Ferrum Group" для Лада Веста (В цвет, Черная жемчужина (черный, 676))</v>
      </c>
      <c r="F455" s="127" t="str">
        <f>VLOOKUP($B455,'Выгр Торг'!$B:$Q,F$1,0)</f>
        <v>Y</v>
      </c>
      <c r="G455" s="127" t="str">
        <f>VLOOKUP($B455,'Выгр Торг'!$B:$Q,G$1,0)</f>
        <v>1</v>
      </c>
      <c r="H455" s="42">
        <v>183351</v>
      </c>
      <c r="I455" s="154"/>
      <c r="J455" s="160"/>
      <c r="K455" s="161">
        <v>500</v>
      </c>
      <c r="L455" s="141">
        <f t="shared" si="312"/>
        <v>2600</v>
      </c>
      <c r="M455" s="141">
        <f t="shared" si="313"/>
        <v>3200</v>
      </c>
      <c r="N455" s="141"/>
      <c r="O455" s="132">
        <f t="shared" si="306"/>
        <v>1.2307692307692308</v>
      </c>
      <c r="P455" s="132">
        <f t="shared" si="315"/>
        <v>1.2307692307692308</v>
      </c>
      <c r="Q455" s="151">
        <f t="shared" si="314"/>
        <v>3678.1720430107525</v>
      </c>
      <c r="R455" s="148">
        <f t="shared" si="307"/>
        <v>3690</v>
      </c>
      <c r="S455" s="127">
        <f>VLOOKUP($B455,'Выгр Торг'!$B:$Q,S$1,0)</f>
        <v>2600</v>
      </c>
      <c r="T455" s="127">
        <f>VLOOKUP($B455,'Выгр Торг'!$B:$Q,T$1,0)</f>
        <v>3690</v>
      </c>
      <c r="U455" s="94">
        <f t="shared" si="316"/>
        <v>0</v>
      </c>
      <c r="V455" s="94">
        <f t="shared" si="317"/>
        <v>0</v>
      </c>
      <c r="W455" s="153">
        <f t="shared" si="308"/>
        <v>3431.7</v>
      </c>
      <c r="X455" s="209">
        <f>IFERROR(VLOOKUP($B455,'Из ГУГЛа'!$B:$G,6,0)*Z455+Y455,VLOOKUP($B455,'Из ГУГЛа'!$B:$G,6,0))</f>
        <v>3490</v>
      </c>
      <c r="Y455" s="76">
        <v>800</v>
      </c>
      <c r="Z455" s="133">
        <v>1</v>
      </c>
      <c r="AA455" s="134"/>
      <c r="AB455" s="135">
        <f t="shared" si="309"/>
        <v>0.31988461538461532</v>
      </c>
      <c r="AC455" s="135">
        <f t="shared" si="310"/>
        <v>1.6704871060171971E-2</v>
      </c>
      <c r="AD455" s="135">
        <f t="shared" si="311"/>
        <v>0.3423076923076922</v>
      </c>
      <c r="AE455" s="224">
        <v>3490</v>
      </c>
      <c r="AF455" s="98" t="s">
        <v>870</v>
      </c>
      <c r="AH455" s="98" t="s">
        <v>210</v>
      </c>
    </row>
    <row r="456" spans="1:34" ht="46.5" thickTop="1" thickBot="1">
      <c r="A456" s="125" t="str">
        <f>INDEX('Выгр Торг'!$A:$A,MATCH($B456,'Выгр Торг'!$B:$B,0))</f>
        <v>Руль анатомический "Ferrum" Cross Serie (со вставками из алькантары) для Лада Веста, XRAY</v>
      </c>
      <c r="B456" s="126">
        <v>256973</v>
      </c>
      <c r="C456" s="127">
        <f>VLOOKUP($B456,'Выгр Торг'!$B:$Q,C$1,0)</f>
        <v>208122</v>
      </c>
      <c r="D456" s="44" t="s">
        <v>116</v>
      </c>
      <c r="E456" s="125" t="str">
        <f>VLOOKUP($B456,'Выгр Торг'!$B:$Q,E$1,0)</f>
        <v>Руль анатомический "Ferrum" Cross Serie (со вставками из алькантары) для Лада Веста, XRAY (Чёрная нить, Чёрный глянец)</v>
      </c>
      <c r="F456" s="127" t="str">
        <f>VLOOKUP($B456,'Выгр Торг'!$B:$Q,F$1,0)</f>
        <v>Y</v>
      </c>
      <c r="G456" s="127" t="str">
        <f>VLOOKUP($B456,'Выгр Торг'!$B:$Q,G$1,0)</f>
        <v>1</v>
      </c>
      <c r="H456" s="127">
        <v>208122</v>
      </c>
      <c r="I456" s="156"/>
      <c r="J456" s="160">
        <v>7000</v>
      </c>
      <c r="K456" s="161">
        <v>0</v>
      </c>
      <c r="L456" s="130">
        <f>M456-1000</f>
        <v>40250</v>
      </c>
      <c r="M456" s="131">
        <f>N456+J456</f>
        <v>41250</v>
      </c>
      <c r="N456" s="131">
        <v>34250</v>
      </c>
      <c r="O456" s="132">
        <f>M456/L456</f>
        <v>1.0248447204968945</v>
      </c>
      <c r="P456" s="132">
        <f t="shared" si="315"/>
        <v>1.1499999999999999</v>
      </c>
      <c r="Q456" s="147">
        <f t="shared" ref="Q456" si="318">L456*P456*100/93</f>
        <v>49771.505376344088</v>
      </c>
      <c r="R456" s="148">
        <f>IF(Q456&lt;=1000,(ROUNDUP(Q456,-2)-1),(ROUNDUP(Q456,-2)-10))</f>
        <v>49790</v>
      </c>
      <c r="S456" s="127">
        <f>VLOOKUP($B456,'Выгр Торг'!$B:$Q,S$1,0)</f>
        <v>40250</v>
      </c>
      <c r="T456" s="127">
        <f>VLOOKUP($B456,'Выгр Торг'!$B:$Q,T$1,0)</f>
        <v>49790</v>
      </c>
      <c r="U456" s="94">
        <f t="shared" si="316"/>
        <v>0</v>
      </c>
      <c r="V456" s="94">
        <f t="shared" si="317"/>
        <v>0</v>
      </c>
      <c r="W456" s="153">
        <f>R456*(1-$W$2)</f>
        <v>46304.7</v>
      </c>
      <c r="X456" s="209">
        <f>IFERROR(VLOOKUP($B456,'Из ГУГЛа'!$B:$G,6,0)*Z456+Y456,VLOOKUP($B456,'Из ГУГЛа'!$B:$G,6,0))</f>
        <v>51390</v>
      </c>
      <c r="Y456" s="106">
        <f>(J456+K456)*$Y$2</f>
        <v>9100</v>
      </c>
      <c r="Z456" s="133">
        <v>1</v>
      </c>
      <c r="AA456" s="134"/>
      <c r="AB456" s="135">
        <f t="shared" si="309"/>
        <v>0.15042732919254642</v>
      </c>
      <c r="AC456" s="135">
        <f t="shared" si="310"/>
        <v>9.8955049620548796E-2</v>
      </c>
      <c r="AD456" s="135">
        <f t="shared" si="311"/>
        <v>0.27677018633540373</v>
      </c>
      <c r="AE456" s="221">
        <v>51390</v>
      </c>
      <c r="AF456" s="98" t="s">
        <v>648</v>
      </c>
      <c r="AH456" s="98" t="s">
        <v>116</v>
      </c>
    </row>
    <row r="457" spans="1:34" ht="46.5" thickTop="1" thickBot="1">
      <c r="A457" s="176" t="str">
        <f>INDEX('Выгр Торг'!$A:$A,MATCH($B457,'Выгр Торг'!$B:$B,0))</f>
        <v>Руль анатомический "Ferrum" Cross Serie (со вставками из алькантары) для Лада Веста, XRAY</v>
      </c>
      <c r="B457" s="178">
        <v>341354</v>
      </c>
      <c r="C457" s="179">
        <f>VLOOKUP($B457,'Выгр Торг'!$B:$Q,C$1,0)</f>
        <v>341354</v>
      </c>
      <c r="D457" s="186" t="s">
        <v>116</v>
      </c>
      <c r="E457" s="176" t="str">
        <f>VLOOKUP($B457,'Выгр Торг'!$B:$Q,E$1,0)</f>
        <v>Руль анатомический "Ferrum" Cross Serie (со вставками из алькантары) для Лада Веста, XRAY (Чёрная нить, Чёрный мат)</v>
      </c>
      <c r="F457" s="179" t="str">
        <f>VLOOKUP($B457,'Выгр Торг'!$B:$Q,F$1,0)</f>
        <v>Y</v>
      </c>
      <c r="G457" s="179" t="str">
        <f>VLOOKUP($B457,'Выгр Торг'!$B:$Q,G$1,0)</f>
        <v>1</v>
      </c>
      <c r="H457" s="179">
        <v>208122</v>
      </c>
      <c r="I457" s="156"/>
      <c r="J457" s="160">
        <v>830</v>
      </c>
      <c r="K457" s="161">
        <v>0</v>
      </c>
      <c r="L457" s="180">
        <f>M457-1000</f>
        <v>41080</v>
      </c>
      <c r="M457" s="180">
        <f t="shared" ref="M457:M481" si="319">INDEX($M:$M,MATCH($H457,$C:$C,0))+$K457+$J457</f>
        <v>42080</v>
      </c>
      <c r="N457" s="180">
        <f t="shared" ref="N457:N481" si="320">INDEX($N:$N,MATCH($H457,$C:$C,0))+$K457+$J457</f>
        <v>35080</v>
      </c>
      <c r="O457" s="107">
        <f>M457/L457</f>
        <v>1.0243427458617331</v>
      </c>
      <c r="P457" s="132">
        <f t="shared" si="315"/>
        <v>1.1499999999999999</v>
      </c>
      <c r="Q457" s="180">
        <f t="shared" ref="Q457:Q481" si="321">INDEX($Q:$Q,MATCH($H457,$C:$C,0))+($K457+$J457)*INDEX($P:$P,MATCH($H457,$C:$C,0))*100/93</f>
        <v>50797.849462365593</v>
      </c>
      <c r="R457" s="144">
        <f>IF(Q457&lt;=1000,(ROUNDUP(Q457,-2)-1),(ROUNDUP(Q457,-2)-10))</f>
        <v>50790</v>
      </c>
      <c r="S457" s="179">
        <f>VLOOKUP($B457,'Выгр Торг'!$B:$Q,S$1,0)</f>
        <v>41080</v>
      </c>
      <c r="T457" s="179">
        <f>VLOOKUP($B457,'Выгр Торг'!$B:$Q,T$1,0)</f>
        <v>50790</v>
      </c>
      <c r="U457" s="94">
        <f t="shared" si="316"/>
        <v>0</v>
      </c>
      <c r="V457" s="94">
        <f t="shared" si="317"/>
        <v>0</v>
      </c>
      <c r="W457" s="182">
        <f>R457*(1-$W$2)</f>
        <v>47234.7</v>
      </c>
      <c r="X457" s="218">
        <f>IFERROR(VLOOKUP($B457,'Из ГУГЛа'!$B:$G,6,0)*Z457+Y457,VLOOKUP($B457,'Из ГУГЛа'!$B:$G,6,0))</f>
        <v>52220</v>
      </c>
      <c r="Y457" s="220">
        <f t="shared" ref="Y457:Y481" si="322">INDEX($Y:$Y,MATCH($H457,$C:$C,0))+J457+K457</f>
        <v>9930</v>
      </c>
      <c r="Z457" s="133">
        <v>1</v>
      </c>
      <c r="AA457" s="133">
        <v>1300</v>
      </c>
      <c r="AB457" s="184">
        <f>IFERROR(W457/L457-1,"")</f>
        <v>0.14982229795520929</v>
      </c>
      <c r="AC457" s="184">
        <f>IFERROR((AE457-W457)/AE457,"")</f>
        <v>9.5467253925699019E-2</v>
      </c>
      <c r="AD457" s="184">
        <f>IFERROR(IF(AE457="","",AE457/L457-1),"")</f>
        <v>0.27117818889970779</v>
      </c>
      <c r="AE457" s="222">
        <v>52220</v>
      </c>
      <c r="AF457" s="98" t="s">
        <v>648</v>
      </c>
      <c r="AH457" s="98" t="s">
        <v>116</v>
      </c>
    </row>
    <row r="458" spans="1:34" ht="46.5" thickTop="1" thickBot="1">
      <c r="A458" s="125" t="str">
        <f>INDEX('Выгр Торг'!$A:$A,MATCH($B458,'Выгр Торг'!$B:$B,0))</f>
        <v>Руль анатомический "Ferrum" Cross Serie (со вставками из алькантары) для Лада Веста, XRAY</v>
      </c>
      <c r="B458" s="126">
        <v>341353</v>
      </c>
      <c r="C458" s="127">
        <f>VLOOKUP($B458,'Выгр Торг'!$B:$Q,C$1,0)</f>
        <v>341353</v>
      </c>
      <c r="D458" s="44" t="s">
        <v>116</v>
      </c>
      <c r="E458" s="125" t="str">
        <f>VLOOKUP($B458,'Выгр Торг'!$B:$Q,E$1,0)</f>
        <v>Руль анатомический "Ferrum" Cross Serie (со вставками из алькантары) для Лада Веста, XRAY (Белая нить, Чёрный мат)</v>
      </c>
      <c r="F458" s="127" t="str">
        <f>VLOOKUP($B458,'Выгр Торг'!$B:$Q,F$1,0)</f>
        <v>Y</v>
      </c>
      <c r="G458" s="127" t="str">
        <f>VLOOKUP($B458,'Выгр Торг'!$B:$Q,G$1,0)</f>
        <v>1</v>
      </c>
      <c r="H458" s="127">
        <v>208122</v>
      </c>
      <c r="I458" s="156"/>
      <c r="J458" s="160">
        <v>830</v>
      </c>
      <c r="K458" s="161">
        <v>870</v>
      </c>
      <c r="L458" s="130">
        <f t="shared" ref="L458" si="323">M458-1000</f>
        <v>41950</v>
      </c>
      <c r="M458" s="130">
        <f t="shared" si="319"/>
        <v>42950</v>
      </c>
      <c r="N458" s="130">
        <f t="shared" si="320"/>
        <v>35950</v>
      </c>
      <c r="O458" s="132">
        <f t="shared" ref="O458:O481" si="324">M458/L458</f>
        <v>1.0238379022646007</v>
      </c>
      <c r="P458" s="132">
        <f t="shared" si="315"/>
        <v>1.1499999999999999</v>
      </c>
      <c r="Q458" s="130">
        <f t="shared" si="321"/>
        <v>51873.655913978495</v>
      </c>
      <c r="R458" s="148">
        <f t="shared" ref="R458:R481" si="325">IF(Q458&lt;=1000,(ROUNDUP(Q458,-2)-1),(ROUNDUP(Q458,-2)-10))</f>
        <v>51890</v>
      </c>
      <c r="S458" s="127">
        <f>VLOOKUP($B458,'Выгр Торг'!$B:$Q,S$1,0)</f>
        <v>41950</v>
      </c>
      <c r="T458" s="127">
        <f>VLOOKUP($B458,'Выгр Торг'!$B:$Q,T$1,0)</f>
        <v>51890</v>
      </c>
      <c r="U458" s="94">
        <f t="shared" si="316"/>
        <v>0</v>
      </c>
      <c r="V458" s="94">
        <f t="shared" si="317"/>
        <v>0</v>
      </c>
      <c r="W458" s="153">
        <f t="shared" ref="W458" si="326">R458*(1-$W$2)</f>
        <v>48257.7</v>
      </c>
      <c r="X458" s="209">
        <f>IFERROR(VLOOKUP($B458,'Из ГУГЛа'!$B:$G,6,0)*Z458+Y458,VLOOKUP($B458,'Из ГУГЛа'!$B:$G,6,0))</f>
        <v>53090</v>
      </c>
      <c r="Y458" s="220">
        <f t="shared" si="322"/>
        <v>10800</v>
      </c>
      <c r="Z458" s="133">
        <v>1</v>
      </c>
      <c r="AA458" s="133">
        <v>1300</v>
      </c>
      <c r="AB458" s="135">
        <f t="shared" si="309"/>
        <v>0.15036233611442196</v>
      </c>
      <c r="AC458" s="135">
        <f t="shared" si="310"/>
        <v>9.1020907892258487E-2</v>
      </c>
      <c r="AD458" s="135">
        <f t="shared" si="311"/>
        <v>0.26555423122765198</v>
      </c>
      <c r="AE458" s="222">
        <v>53090</v>
      </c>
      <c r="AF458" s="98" t="s">
        <v>648</v>
      </c>
      <c r="AH458" s="98" t="s">
        <v>116</v>
      </c>
    </row>
    <row r="459" spans="1:34" ht="46.5" thickTop="1" thickBot="1">
      <c r="A459" s="176" t="str">
        <f>INDEX('Выгр Торг'!$A:$A,MATCH($B459,'Выгр Торг'!$B:$B,0))</f>
        <v>Руль анатомический "Ferrum" Cross Serie (со вставками из алькантары) для Лада Веста, XRAY</v>
      </c>
      <c r="B459" s="178">
        <v>341365</v>
      </c>
      <c r="C459" s="179">
        <f>VLOOKUP($B459,'Выгр Торг'!$B:$Q,C$1,0)</f>
        <v>341365</v>
      </c>
      <c r="D459" s="186" t="s">
        <v>116</v>
      </c>
      <c r="E459" s="176" t="str">
        <f>VLOOKUP($B459,'Выгр Торг'!$B:$Q,E$1,0)</f>
        <v>Руль анатомический "Ferrum" Cross Serie (со вставками из алькантары) для Лада Веста, XRAY (Жёлтая нить, Чёрный мат)</v>
      </c>
      <c r="F459" s="179" t="str">
        <f>VLOOKUP($B459,'Выгр Торг'!$B:$Q,F$1,0)</f>
        <v>Y</v>
      </c>
      <c r="G459" s="179" t="str">
        <f>VLOOKUP($B459,'Выгр Торг'!$B:$Q,G$1,0)</f>
        <v>1</v>
      </c>
      <c r="H459" s="179">
        <v>208122</v>
      </c>
      <c r="I459" s="156"/>
      <c r="J459" s="160">
        <v>830</v>
      </c>
      <c r="K459" s="161">
        <v>870</v>
      </c>
      <c r="L459" s="180">
        <f t="shared" ref="L459:L469" si="327">M459-1000</f>
        <v>41950</v>
      </c>
      <c r="M459" s="180">
        <f t="shared" si="319"/>
        <v>42950</v>
      </c>
      <c r="N459" s="180">
        <f t="shared" si="320"/>
        <v>35950</v>
      </c>
      <c r="O459" s="107">
        <f t="shared" ref="O459:O469" si="328">M459/L459</f>
        <v>1.0238379022646007</v>
      </c>
      <c r="P459" s="132">
        <f t="shared" si="315"/>
        <v>1.1499999999999999</v>
      </c>
      <c r="Q459" s="180">
        <f t="shared" si="321"/>
        <v>51873.655913978495</v>
      </c>
      <c r="R459" s="144">
        <f t="shared" ref="R459:R469" si="329">IF(Q459&lt;=1000,(ROUNDUP(Q459,-2)-1),(ROUNDUP(Q459,-2)-10))</f>
        <v>51890</v>
      </c>
      <c r="S459" s="179">
        <f>VLOOKUP($B459,'Выгр Торг'!$B:$Q,S$1,0)</f>
        <v>41950</v>
      </c>
      <c r="T459" s="179">
        <f>VLOOKUP($B459,'Выгр Торг'!$B:$Q,T$1,0)</f>
        <v>51890</v>
      </c>
      <c r="U459" s="94">
        <f t="shared" si="316"/>
        <v>0</v>
      </c>
      <c r="V459" s="94">
        <f t="shared" si="317"/>
        <v>0</v>
      </c>
      <c r="W459" s="182">
        <f t="shared" ref="W459:W469" si="330">R459*(1-$W$2)</f>
        <v>48257.7</v>
      </c>
      <c r="X459" s="218">
        <f>IFERROR(VLOOKUP($B459,'Из ГУГЛа'!$B:$G,6,0)*Z459+Y459,VLOOKUP($B459,'Из ГУГЛа'!$B:$G,6,0))</f>
        <v>53090</v>
      </c>
      <c r="Y459" s="220">
        <f t="shared" si="322"/>
        <v>10800</v>
      </c>
      <c r="Z459" s="133">
        <v>1</v>
      </c>
      <c r="AA459" s="133">
        <v>1300</v>
      </c>
      <c r="AB459" s="184">
        <f t="shared" ref="AB459:AB469" si="331">IFERROR(W459/L459-1,"")</f>
        <v>0.15036233611442196</v>
      </c>
      <c r="AC459" s="184">
        <f t="shared" ref="AC459:AC469" si="332">IFERROR((AE459-W459)/AE459,"")</f>
        <v>9.1020907892258487E-2</v>
      </c>
      <c r="AD459" s="184">
        <f t="shared" ref="AD459:AD469" si="333">IFERROR(IF(AE459="","",AE459/L459-1),"")</f>
        <v>0.26555423122765198</v>
      </c>
      <c r="AE459" s="222">
        <v>53090</v>
      </c>
      <c r="AF459" s="98" t="s">
        <v>648</v>
      </c>
      <c r="AH459" s="98" t="s">
        <v>116</v>
      </c>
    </row>
    <row r="460" spans="1:34" ht="46.5" thickTop="1" thickBot="1">
      <c r="A460" s="176" t="str">
        <f>INDEX('Выгр Торг'!$A:$A,MATCH($B460,'Выгр Торг'!$B:$B,0))</f>
        <v>Руль анатомический "Ferrum" Cross Serie (со вставками из алькантары) для Лада Веста, XRAY</v>
      </c>
      <c r="B460" s="178">
        <v>341364</v>
      </c>
      <c r="C460" s="179">
        <f>VLOOKUP($B460,'Выгр Торг'!$B:$Q,C$1,0)</f>
        <v>341364</v>
      </c>
      <c r="D460" s="186" t="s">
        <v>116</v>
      </c>
      <c r="E460" s="176" t="str">
        <f>VLOOKUP($B460,'Выгр Торг'!$B:$Q,E$1,0)</f>
        <v>Руль анатомический "Ferrum" Cross Serie (со вставками из алькантары) для Лада Веста, XRAY (Зелёная нить, Чёрный мат)</v>
      </c>
      <c r="F460" s="179" t="str">
        <f>VLOOKUP($B460,'Выгр Торг'!$B:$Q,F$1,0)</f>
        <v>Y</v>
      </c>
      <c r="G460" s="179" t="str">
        <f>VLOOKUP($B460,'Выгр Торг'!$B:$Q,G$1,0)</f>
        <v>1</v>
      </c>
      <c r="H460" s="179">
        <v>208122</v>
      </c>
      <c r="I460" s="156"/>
      <c r="J460" s="160">
        <v>830</v>
      </c>
      <c r="K460" s="161">
        <v>870</v>
      </c>
      <c r="L460" s="180">
        <f t="shared" si="327"/>
        <v>41950</v>
      </c>
      <c r="M460" s="180">
        <f t="shared" si="319"/>
        <v>42950</v>
      </c>
      <c r="N460" s="180">
        <f t="shared" si="320"/>
        <v>35950</v>
      </c>
      <c r="O460" s="107">
        <f t="shared" si="328"/>
        <v>1.0238379022646007</v>
      </c>
      <c r="P460" s="132">
        <f t="shared" si="315"/>
        <v>1.1499999999999999</v>
      </c>
      <c r="Q460" s="180">
        <f t="shared" si="321"/>
        <v>51873.655913978495</v>
      </c>
      <c r="R460" s="144">
        <f t="shared" si="329"/>
        <v>51890</v>
      </c>
      <c r="S460" s="179">
        <f>VLOOKUP($B460,'Выгр Торг'!$B:$Q,S$1,0)</f>
        <v>41950</v>
      </c>
      <c r="T460" s="179">
        <f>VLOOKUP($B460,'Выгр Торг'!$B:$Q,T$1,0)</f>
        <v>51890</v>
      </c>
      <c r="U460" s="94">
        <f t="shared" si="316"/>
        <v>0</v>
      </c>
      <c r="V460" s="94">
        <f t="shared" si="317"/>
        <v>0</v>
      </c>
      <c r="W460" s="182">
        <f t="shared" si="330"/>
        <v>48257.7</v>
      </c>
      <c r="X460" s="218">
        <f>IFERROR(VLOOKUP($B460,'Из ГУГЛа'!$B:$G,6,0)*Z460+Y460,VLOOKUP($B460,'Из ГУГЛа'!$B:$G,6,0))</f>
        <v>53090</v>
      </c>
      <c r="Y460" s="220">
        <f t="shared" si="322"/>
        <v>10800</v>
      </c>
      <c r="Z460" s="133">
        <v>1</v>
      </c>
      <c r="AA460" s="133">
        <v>1300</v>
      </c>
      <c r="AB460" s="184">
        <f t="shared" si="331"/>
        <v>0.15036233611442196</v>
      </c>
      <c r="AC460" s="184">
        <f t="shared" si="332"/>
        <v>9.1020907892258487E-2</v>
      </c>
      <c r="AD460" s="184">
        <f t="shared" si="333"/>
        <v>0.26555423122765198</v>
      </c>
      <c r="AE460" s="222">
        <v>53090</v>
      </c>
      <c r="AF460" s="98" t="s">
        <v>648</v>
      </c>
      <c r="AH460" s="98" t="s">
        <v>116</v>
      </c>
    </row>
    <row r="461" spans="1:34" ht="46.5" thickTop="1" thickBot="1">
      <c r="A461" s="176" t="str">
        <f>INDEX('Выгр Торг'!$A:$A,MATCH($B461,'Выгр Торг'!$B:$B,0))</f>
        <v>Руль анатомический "Ferrum" Cross Serie (со вставками из алькантары) для Лада Веста, XRAY</v>
      </c>
      <c r="B461" s="178">
        <v>341356</v>
      </c>
      <c r="C461" s="179">
        <f>VLOOKUP($B461,'Выгр Торг'!$B:$Q,C$1,0)</f>
        <v>341356</v>
      </c>
      <c r="D461" s="186" t="s">
        <v>116</v>
      </c>
      <c r="E461" s="176" t="str">
        <f>VLOOKUP($B461,'Выгр Торг'!$B:$Q,E$1,0)</f>
        <v>Руль анатомический "Ferrum" Cross Serie (со вставками из алькантары) для Лада Веста, XRAY (Коричневая нить, Чёрный мат)</v>
      </c>
      <c r="F461" s="179" t="str">
        <f>VLOOKUP($B461,'Выгр Торг'!$B:$Q,F$1,0)</f>
        <v>Y</v>
      </c>
      <c r="G461" s="179" t="str">
        <f>VLOOKUP($B461,'Выгр Торг'!$B:$Q,G$1,0)</f>
        <v>1</v>
      </c>
      <c r="H461" s="179">
        <v>208122</v>
      </c>
      <c r="I461" s="156"/>
      <c r="J461" s="160">
        <v>830</v>
      </c>
      <c r="K461" s="161">
        <v>870</v>
      </c>
      <c r="L461" s="180">
        <f t="shared" si="327"/>
        <v>41950</v>
      </c>
      <c r="M461" s="180">
        <f t="shared" si="319"/>
        <v>42950</v>
      </c>
      <c r="N461" s="180">
        <f t="shared" si="320"/>
        <v>35950</v>
      </c>
      <c r="O461" s="107">
        <f t="shared" si="328"/>
        <v>1.0238379022646007</v>
      </c>
      <c r="P461" s="132">
        <f t="shared" si="315"/>
        <v>1.1499999999999999</v>
      </c>
      <c r="Q461" s="180">
        <f t="shared" si="321"/>
        <v>51873.655913978495</v>
      </c>
      <c r="R461" s="144">
        <f t="shared" si="329"/>
        <v>51890</v>
      </c>
      <c r="S461" s="179">
        <f>VLOOKUP($B461,'Выгр Торг'!$B:$Q,S$1,0)</f>
        <v>41950</v>
      </c>
      <c r="T461" s="179">
        <f>VLOOKUP($B461,'Выгр Торг'!$B:$Q,T$1,0)</f>
        <v>51890</v>
      </c>
      <c r="U461" s="94">
        <f t="shared" si="316"/>
        <v>0</v>
      </c>
      <c r="V461" s="94">
        <f t="shared" si="317"/>
        <v>0</v>
      </c>
      <c r="W461" s="182">
        <f t="shared" si="330"/>
        <v>48257.7</v>
      </c>
      <c r="X461" s="218">
        <f>IFERROR(VLOOKUP($B461,'Из ГУГЛа'!$B:$G,6,0)*Z461+Y461,VLOOKUP($B461,'Из ГУГЛа'!$B:$G,6,0))</f>
        <v>53090</v>
      </c>
      <c r="Y461" s="220">
        <f t="shared" si="322"/>
        <v>10800</v>
      </c>
      <c r="Z461" s="133">
        <v>1</v>
      </c>
      <c r="AA461" s="133">
        <v>1300</v>
      </c>
      <c r="AB461" s="184">
        <f t="shared" si="331"/>
        <v>0.15036233611442196</v>
      </c>
      <c r="AC461" s="184">
        <f t="shared" si="332"/>
        <v>9.1020907892258487E-2</v>
      </c>
      <c r="AD461" s="184">
        <f t="shared" si="333"/>
        <v>0.26555423122765198</v>
      </c>
      <c r="AE461" s="222">
        <v>53090</v>
      </c>
      <c r="AF461" s="98" t="s">
        <v>648</v>
      </c>
      <c r="AH461" s="98" t="s">
        <v>116</v>
      </c>
    </row>
    <row r="462" spans="1:34" ht="46.5" thickTop="1" thickBot="1">
      <c r="A462" s="176" t="str">
        <f>INDEX('Выгр Торг'!$A:$A,MATCH($B462,'Выгр Торг'!$B:$B,0))</f>
        <v>Руль анатомический "Ferrum" Cross Serie (со вставками из алькантары) для Лада Веста, XRAY</v>
      </c>
      <c r="B462" s="178">
        <v>341357</v>
      </c>
      <c r="C462" s="179">
        <f>VLOOKUP($B462,'Выгр Торг'!$B:$Q,C$1,0)</f>
        <v>341357</v>
      </c>
      <c r="D462" s="186" t="s">
        <v>116</v>
      </c>
      <c r="E462" s="176" t="str">
        <f>VLOOKUP($B462,'Выгр Торг'!$B:$Q,E$1,0)</f>
        <v>Руль анатомический "Ferrum" Cross Serie (со вставками из алькантары) для Лада Веста, XRAY (Красная нить, Чёрный мат)</v>
      </c>
      <c r="F462" s="179" t="str">
        <f>VLOOKUP($B462,'Выгр Торг'!$B:$Q,F$1,0)</f>
        <v>Y</v>
      </c>
      <c r="G462" s="179" t="str">
        <f>VLOOKUP($B462,'Выгр Торг'!$B:$Q,G$1,0)</f>
        <v>1</v>
      </c>
      <c r="H462" s="179">
        <v>208122</v>
      </c>
      <c r="I462" s="156"/>
      <c r="J462" s="160">
        <v>830</v>
      </c>
      <c r="K462" s="161">
        <v>870</v>
      </c>
      <c r="L462" s="180">
        <f t="shared" si="327"/>
        <v>41950</v>
      </c>
      <c r="M462" s="180">
        <f t="shared" si="319"/>
        <v>42950</v>
      </c>
      <c r="N462" s="180">
        <f t="shared" si="320"/>
        <v>35950</v>
      </c>
      <c r="O462" s="107">
        <f t="shared" si="328"/>
        <v>1.0238379022646007</v>
      </c>
      <c r="P462" s="132">
        <f t="shared" si="315"/>
        <v>1.1499999999999999</v>
      </c>
      <c r="Q462" s="180">
        <f t="shared" si="321"/>
        <v>51873.655913978495</v>
      </c>
      <c r="R462" s="144">
        <f t="shared" si="329"/>
        <v>51890</v>
      </c>
      <c r="S462" s="179">
        <f>VLOOKUP($B462,'Выгр Торг'!$B:$Q,S$1,0)</f>
        <v>41950</v>
      </c>
      <c r="T462" s="179">
        <f>VLOOKUP($B462,'Выгр Торг'!$B:$Q,T$1,0)</f>
        <v>51890</v>
      </c>
      <c r="U462" s="94">
        <f t="shared" si="316"/>
        <v>0</v>
      </c>
      <c r="V462" s="94">
        <f t="shared" si="317"/>
        <v>0</v>
      </c>
      <c r="W462" s="182">
        <f t="shared" si="330"/>
        <v>48257.7</v>
      </c>
      <c r="X462" s="218">
        <f>IFERROR(VLOOKUP($B462,'Из ГУГЛа'!$B:$G,6,0)*Z462+Y462,VLOOKUP($B462,'Из ГУГЛа'!$B:$G,6,0))</f>
        <v>53090</v>
      </c>
      <c r="Y462" s="220">
        <f t="shared" si="322"/>
        <v>10800</v>
      </c>
      <c r="Z462" s="133">
        <v>1</v>
      </c>
      <c r="AA462" s="133">
        <v>1300</v>
      </c>
      <c r="AB462" s="184">
        <f t="shared" si="331"/>
        <v>0.15036233611442196</v>
      </c>
      <c r="AC462" s="184">
        <f t="shared" si="332"/>
        <v>9.1020907892258487E-2</v>
      </c>
      <c r="AD462" s="184">
        <f t="shared" si="333"/>
        <v>0.26555423122765198</v>
      </c>
      <c r="AE462" s="222">
        <v>53090</v>
      </c>
      <c r="AF462" s="98" t="s">
        <v>648</v>
      </c>
      <c r="AH462" s="98" t="s">
        <v>116</v>
      </c>
    </row>
    <row r="463" spans="1:34" ht="46.5" thickTop="1" thickBot="1">
      <c r="A463" s="176" t="str">
        <f>INDEX('Выгр Торг'!$A:$A,MATCH($B463,'Выгр Торг'!$B:$B,0))</f>
        <v>Руль анатомический "Ferrum" Cross Serie (со вставками из алькантары) для Лада Веста, XRAY</v>
      </c>
      <c r="B463" s="178">
        <v>341358</v>
      </c>
      <c r="C463" s="179">
        <f>VLOOKUP($B463,'Выгр Торг'!$B:$Q,C$1,0)</f>
        <v>341358</v>
      </c>
      <c r="D463" s="186" t="s">
        <v>116</v>
      </c>
      <c r="E463" s="176" t="str">
        <f>VLOOKUP($B463,'Выгр Торг'!$B:$Q,E$1,0)</f>
        <v>Руль анатомический "Ferrum" Cross Serie (со вставками из алькантары) для Лада Веста, XRAY (Оранжевая нить, Чёрный мат)</v>
      </c>
      <c r="F463" s="179" t="str">
        <f>VLOOKUP($B463,'Выгр Торг'!$B:$Q,F$1,0)</f>
        <v>Y</v>
      </c>
      <c r="G463" s="179" t="str">
        <f>VLOOKUP($B463,'Выгр Торг'!$B:$Q,G$1,0)</f>
        <v>1</v>
      </c>
      <c r="H463" s="179">
        <v>208122</v>
      </c>
      <c r="I463" s="156"/>
      <c r="J463" s="160">
        <v>830</v>
      </c>
      <c r="K463" s="161">
        <v>870</v>
      </c>
      <c r="L463" s="180">
        <f t="shared" si="327"/>
        <v>41950</v>
      </c>
      <c r="M463" s="180">
        <f t="shared" si="319"/>
        <v>42950</v>
      </c>
      <c r="N463" s="180">
        <f t="shared" si="320"/>
        <v>35950</v>
      </c>
      <c r="O463" s="107">
        <f t="shared" si="328"/>
        <v>1.0238379022646007</v>
      </c>
      <c r="P463" s="132">
        <f t="shared" si="315"/>
        <v>1.1499999999999999</v>
      </c>
      <c r="Q463" s="180">
        <f t="shared" si="321"/>
        <v>51873.655913978495</v>
      </c>
      <c r="R463" s="144">
        <f t="shared" si="329"/>
        <v>51890</v>
      </c>
      <c r="S463" s="179">
        <f>VLOOKUP($B463,'Выгр Торг'!$B:$Q,S$1,0)</f>
        <v>41950</v>
      </c>
      <c r="T463" s="179">
        <f>VLOOKUP($B463,'Выгр Торг'!$B:$Q,T$1,0)</f>
        <v>51890</v>
      </c>
      <c r="U463" s="94">
        <f t="shared" si="316"/>
        <v>0</v>
      </c>
      <c r="V463" s="94">
        <f t="shared" si="317"/>
        <v>0</v>
      </c>
      <c r="W463" s="182">
        <f t="shared" si="330"/>
        <v>48257.7</v>
      </c>
      <c r="X463" s="218">
        <f>IFERROR(VLOOKUP($B463,'Из ГУГЛа'!$B:$G,6,0)*Z463+Y463,VLOOKUP($B463,'Из ГУГЛа'!$B:$G,6,0))</f>
        <v>53090</v>
      </c>
      <c r="Y463" s="220">
        <f t="shared" si="322"/>
        <v>10800</v>
      </c>
      <c r="Z463" s="133">
        <v>1</v>
      </c>
      <c r="AA463" s="133">
        <v>1300</v>
      </c>
      <c r="AB463" s="184">
        <f t="shared" si="331"/>
        <v>0.15036233611442196</v>
      </c>
      <c r="AC463" s="184">
        <f t="shared" si="332"/>
        <v>9.1020907892258487E-2</v>
      </c>
      <c r="AD463" s="184">
        <f t="shared" si="333"/>
        <v>0.26555423122765198</v>
      </c>
      <c r="AE463" s="222">
        <v>53090</v>
      </c>
      <c r="AF463" s="98" t="s">
        <v>648</v>
      </c>
      <c r="AH463" s="98" t="s">
        <v>116</v>
      </c>
    </row>
    <row r="464" spans="1:34" ht="46.5" thickTop="1" thickBot="1">
      <c r="A464" s="176" t="str">
        <f>INDEX('Выгр Торг'!$A:$A,MATCH($B464,'Выгр Торг'!$B:$B,0))</f>
        <v>Руль анатомический "Ferrum" Cross Serie (со вставками из алькантары) для Лада Веста, XRAY</v>
      </c>
      <c r="B464" s="178">
        <v>341359</v>
      </c>
      <c r="C464" s="179">
        <f>VLOOKUP($B464,'Выгр Торг'!$B:$Q,C$1,0)</f>
        <v>341359</v>
      </c>
      <c r="D464" s="186" t="s">
        <v>116</v>
      </c>
      <c r="E464" s="176" t="str">
        <f>VLOOKUP($B464,'Выгр Торг'!$B:$Q,E$1,0)</f>
        <v>Руль анатомический "Ferrum" Cross Serie (со вставками из алькантары) для Лада Веста, XRAY (Салатовая нить, Чёрный мат)</v>
      </c>
      <c r="F464" s="179" t="str">
        <f>VLOOKUP($B464,'Выгр Торг'!$B:$Q,F$1,0)</f>
        <v>Y</v>
      </c>
      <c r="G464" s="179" t="str">
        <f>VLOOKUP($B464,'Выгр Торг'!$B:$Q,G$1,0)</f>
        <v>1</v>
      </c>
      <c r="H464" s="179">
        <v>208122</v>
      </c>
      <c r="I464" s="156"/>
      <c r="J464" s="160">
        <v>830</v>
      </c>
      <c r="K464" s="161">
        <v>870</v>
      </c>
      <c r="L464" s="180">
        <f t="shared" si="327"/>
        <v>41950</v>
      </c>
      <c r="M464" s="180">
        <f t="shared" si="319"/>
        <v>42950</v>
      </c>
      <c r="N464" s="180">
        <f t="shared" si="320"/>
        <v>35950</v>
      </c>
      <c r="O464" s="107">
        <f t="shared" si="328"/>
        <v>1.0238379022646007</v>
      </c>
      <c r="P464" s="132">
        <f t="shared" si="315"/>
        <v>1.1499999999999999</v>
      </c>
      <c r="Q464" s="180">
        <f t="shared" si="321"/>
        <v>51873.655913978495</v>
      </c>
      <c r="R464" s="144">
        <f t="shared" si="329"/>
        <v>51890</v>
      </c>
      <c r="S464" s="179">
        <f>VLOOKUP($B464,'Выгр Торг'!$B:$Q,S$1,0)</f>
        <v>41950</v>
      </c>
      <c r="T464" s="179">
        <f>VLOOKUP($B464,'Выгр Торг'!$B:$Q,T$1,0)</f>
        <v>51890</v>
      </c>
      <c r="U464" s="94">
        <f t="shared" si="316"/>
        <v>0</v>
      </c>
      <c r="V464" s="94">
        <f t="shared" si="317"/>
        <v>0</v>
      </c>
      <c r="W464" s="182">
        <f t="shared" si="330"/>
        <v>48257.7</v>
      </c>
      <c r="X464" s="218">
        <f>IFERROR(VLOOKUP($B464,'Из ГУГЛа'!$B:$G,6,0)*Z464+Y464,VLOOKUP($B464,'Из ГУГЛа'!$B:$G,6,0))</f>
        <v>53090</v>
      </c>
      <c r="Y464" s="220">
        <f t="shared" si="322"/>
        <v>10800</v>
      </c>
      <c r="Z464" s="133">
        <v>1</v>
      </c>
      <c r="AA464" s="133">
        <v>1300</v>
      </c>
      <c r="AB464" s="184">
        <f t="shared" si="331"/>
        <v>0.15036233611442196</v>
      </c>
      <c r="AC464" s="184">
        <f t="shared" si="332"/>
        <v>9.1020907892258487E-2</v>
      </c>
      <c r="AD464" s="184">
        <f t="shared" si="333"/>
        <v>0.26555423122765198</v>
      </c>
      <c r="AE464" s="222">
        <v>53090</v>
      </c>
      <c r="AF464" s="98" t="s">
        <v>648</v>
      </c>
      <c r="AH464" s="98" t="s">
        <v>116</v>
      </c>
    </row>
    <row r="465" spans="1:34" ht="46.5" thickTop="1" thickBot="1">
      <c r="A465" s="176" t="str">
        <f>INDEX('Выгр Торг'!$A:$A,MATCH($B465,'Выгр Торг'!$B:$B,0))</f>
        <v>Руль анатомический "Ferrum" Cross Serie (со вставками из алькантары) для Лада Веста, XRAY</v>
      </c>
      <c r="B465" s="178">
        <v>341362</v>
      </c>
      <c r="C465" s="179">
        <f>VLOOKUP($B465,'Выгр Торг'!$B:$Q,C$1,0)</f>
        <v>341362</v>
      </c>
      <c r="D465" s="186" t="s">
        <v>116</v>
      </c>
      <c r="E465" s="176" t="str">
        <f>VLOOKUP($B465,'Выгр Торг'!$B:$Q,E$1,0)</f>
        <v>Руль анатомический "Ferrum" Cross Serie (со вставками из алькантары) для Лада Веста, XRAY (Светло-серая нить, Чёрный мат)</v>
      </c>
      <c r="F465" s="179" t="str">
        <f>VLOOKUP($B465,'Выгр Торг'!$B:$Q,F$1,0)</f>
        <v>Y</v>
      </c>
      <c r="G465" s="179" t="str">
        <f>VLOOKUP($B465,'Выгр Торг'!$B:$Q,G$1,0)</f>
        <v>1</v>
      </c>
      <c r="H465" s="179">
        <v>208122</v>
      </c>
      <c r="I465" s="156"/>
      <c r="J465" s="160">
        <v>830</v>
      </c>
      <c r="K465" s="161">
        <v>870</v>
      </c>
      <c r="L465" s="180">
        <f t="shared" si="327"/>
        <v>41950</v>
      </c>
      <c r="M465" s="180">
        <f t="shared" si="319"/>
        <v>42950</v>
      </c>
      <c r="N465" s="180">
        <f t="shared" si="320"/>
        <v>35950</v>
      </c>
      <c r="O465" s="107">
        <f t="shared" si="328"/>
        <v>1.0238379022646007</v>
      </c>
      <c r="P465" s="132">
        <f t="shared" si="315"/>
        <v>1.1499999999999999</v>
      </c>
      <c r="Q465" s="180">
        <f t="shared" si="321"/>
        <v>51873.655913978495</v>
      </c>
      <c r="R465" s="144">
        <f t="shared" si="329"/>
        <v>51890</v>
      </c>
      <c r="S465" s="179">
        <f>VLOOKUP($B465,'Выгр Торг'!$B:$Q,S$1,0)</f>
        <v>41950</v>
      </c>
      <c r="T465" s="179">
        <f>VLOOKUP($B465,'Выгр Торг'!$B:$Q,T$1,0)</f>
        <v>51890</v>
      </c>
      <c r="U465" s="94">
        <f t="shared" si="316"/>
        <v>0</v>
      </c>
      <c r="V465" s="94">
        <f t="shared" si="317"/>
        <v>0</v>
      </c>
      <c r="W465" s="182">
        <f t="shared" si="330"/>
        <v>48257.7</v>
      </c>
      <c r="X465" s="218">
        <f>IFERROR(VLOOKUP($B465,'Из ГУГЛа'!$B:$G,6,0)*Z465+Y465,VLOOKUP($B465,'Из ГУГЛа'!$B:$G,6,0))</f>
        <v>53090</v>
      </c>
      <c r="Y465" s="220">
        <f t="shared" si="322"/>
        <v>10800</v>
      </c>
      <c r="Z465" s="133">
        <v>1</v>
      </c>
      <c r="AA465" s="133">
        <v>1300</v>
      </c>
      <c r="AB465" s="184">
        <f t="shared" si="331"/>
        <v>0.15036233611442196</v>
      </c>
      <c r="AC465" s="184">
        <f t="shared" si="332"/>
        <v>9.1020907892258487E-2</v>
      </c>
      <c r="AD465" s="184">
        <f t="shared" si="333"/>
        <v>0.26555423122765198</v>
      </c>
      <c r="AE465" s="222">
        <v>53090</v>
      </c>
      <c r="AF465" s="98" t="s">
        <v>648</v>
      </c>
      <c r="AH465" s="98" t="s">
        <v>116</v>
      </c>
    </row>
    <row r="466" spans="1:34" ht="46.5" thickTop="1" thickBot="1">
      <c r="A466" s="176" t="str">
        <f>INDEX('Выгр Торг'!$A:$A,MATCH($B466,'Выгр Торг'!$B:$B,0))</f>
        <v>Руль анатомический "Ferrum" Cross Serie (со вставками из алькантары) для Лада Веста, XRAY</v>
      </c>
      <c r="B466" s="178">
        <v>341360</v>
      </c>
      <c r="C466" s="179">
        <f>VLOOKUP($B466,'Выгр Торг'!$B:$Q,C$1,0)</f>
        <v>341360</v>
      </c>
      <c r="D466" s="186" t="s">
        <v>116</v>
      </c>
      <c r="E466" s="176" t="str">
        <f>VLOOKUP($B466,'Выгр Торг'!$B:$Q,E$1,0)</f>
        <v>Руль анатомический "Ferrum" Cross Serie (со вставками из алькантары) для Лада Веста, XRAY (Сине-зелёная нить, Чёрный мат)</v>
      </c>
      <c r="F466" s="179" t="str">
        <f>VLOOKUP($B466,'Выгр Торг'!$B:$Q,F$1,0)</f>
        <v>Y</v>
      </c>
      <c r="G466" s="179" t="str">
        <f>VLOOKUP($B466,'Выгр Торг'!$B:$Q,G$1,0)</f>
        <v>1</v>
      </c>
      <c r="H466" s="179">
        <v>208122</v>
      </c>
      <c r="I466" s="156"/>
      <c r="J466" s="160">
        <v>830</v>
      </c>
      <c r="K466" s="161">
        <v>870</v>
      </c>
      <c r="L466" s="180">
        <f t="shared" si="327"/>
        <v>41950</v>
      </c>
      <c r="M466" s="180">
        <f t="shared" si="319"/>
        <v>42950</v>
      </c>
      <c r="N466" s="180">
        <f t="shared" si="320"/>
        <v>35950</v>
      </c>
      <c r="O466" s="107">
        <f t="shared" si="328"/>
        <v>1.0238379022646007</v>
      </c>
      <c r="P466" s="132">
        <f t="shared" si="315"/>
        <v>1.1499999999999999</v>
      </c>
      <c r="Q466" s="180">
        <f t="shared" si="321"/>
        <v>51873.655913978495</v>
      </c>
      <c r="R466" s="144">
        <f t="shared" si="329"/>
        <v>51890</v>
      </c>
      <c r="S466" s="179">
        <f>VLOOKUP($B466,'Выгр Торг'!$B:$Q,S$1,0)</f>
        <v>41950</v>
      </c>
      <c r="T466" s="179">
        <f>VLOOKUP($B466,'Выгр Торг'!$B:$Q,T$1,0)</f>
        <v>51890</v>
      </c>
      <c r="U466" s="94">
        <f t="shared" si="316"/>
        <v>0</v>
      </c>
      <c r="V466" s="94">
        <f t="shared" si="317"/>
        <v>0</v>
      </c>
      <c r="W466" s="182">
        <f t="shared" si="330"/>
        <v>48257.7</v>
      </c>
      <c r="X466" s="218">
        <f>IFERROR(VLOOKUP($B466,'Из ГУГЛа'!$B:$G,6,0)*Z466+Y466,VLOOKUP($B466,'Из ГУГЛа'!$B:$G,6,0))</f>
        <v>53090</v>
      </c>
      <c r="Y466" s="220">
        <f t="shared" si="322"/>
        <v>10800</v>
      </c>
      <c r="Z466" s="133">
        <v>1</v>
      </c>
      <c r="AA466" s="133">
        <v>1300</v>
      </c>
      <c r="AB466" s="184">
        <f t="shared" si="331"/>
        <v>0.15036233611442196</v>
      </c>
      <c r="AC466" s="184">
        <f t="shared" si="332"/>
        <v>9.1020907892258487E-2</v>
      </c>
      <c r="AD466" s="184">
        <f t="shared" si="333"/>
        <v>0.26555423122765198</v>
      </c>
      <c r="AE466" s="222">
        <v>53090</v>
      </c>
      <c r="AF466" s="98" t="s">
        <v>648</v>
      </c>
      <c r="AH466" s="98" t="s">
        <v>116</v>
      </c>
    </row>
    <row r="467" spans="1:34" ht="46.5" thickTop="1" thickBot="1">
      <c r="A467" s="176" t="str">
        <f>INDEX('Выгр Торг'!$A:$A,MATCH($B467,'Выгр Торг'!$B:$B,0))</f>
        <v>Руль анатомический "Ferrum" Cross Serie (со вставками из алькантары) для Лада Веста, XRAY</v>
      </c>
      <c r="B467" s="178">
        <v>341361</v>
      </c>
      <c r="C467" s="179">
        <f>VLOOKUP($B467,'Выгр Торг'!$B:$Q,C$1,0)</f>
        <v>341361</v>
      </c>
      <c r="D467" s="186" t="s">
        <v>116</v>
      </c>
      <c r="E467" s="176" t="str">
        <f>VLOOKUP($B467,'Выгр Торг'!$B:$Q,E$1,0)</f>
        <v>Руль анатомический "Ferrum" Cross Serie (со вставками из алькантары) для Лада Веста, XRAY (Синяя нить, Чёрный мат)</v>
      </c>
      <c r="F467" s="179" t="str">
        <f>VLOOKUP($B467,'Выгр Торг'!$B:$Q,F$1,0)</f>
        <v>Y</v>
      </c>
      <c r="G467" s="179" t="str">
        <f>VLOOKUP($B467,'Выгр Торг'!$B:$Q,G$1,0)</f>
        <v>1</v>
      </c>
      <c r="H467" s="179">
        <v>208122</v>
      </c>
      <c r="I467" s="156"/>
      <c r="J467" s="160">
        <v>830</v>
      </c>
      <c r="K467" s="161">
        <v>870</v>
      </c>
      <c r="L467" s="180">
        <f t="shared" si="327"/>
        <v>41950</v>
      </c>
      <c r="M467" s="180">
        <f t="shared" si="319"/>
        <v>42950</v>
      </c>
      <c r="N467" s="180">
        <f t="shared" si="320"/>
        <v>35950</v>
      </c>
      <c r="O467" s="107">
        <f t="shared" si="328"/>
        <v>1.0238379022646007</v>
      </c>
      <c r="P467" s="132">
        <f t="shared" si="315"/>
        <v>1.1499999999999999</v>
      </c>
      <c r="Q467" s="180">
        <f t="shared" si="321"/>
        <v>51873.655913978495</v>
      </c>
      <c r="R467" s="144">
        <f t="shared" si="329"/>
        <v>51890</v>
      </c>
      <c r="S467" s="179">
        <f>VLOOKUP($B467,'Выгр Торг'!$B:$Q,S$1,0)</f>
        <v>41950</v>
      </c>
      <c r="T467" s="179">
        <f>VLOOKUP($B467,'Выгр Торг'!$B:$Q,T$1,0)</f>
        <v>51890</v>
      </c>
      <c r="U467" s="94">
        <f t="shared" si="316"/>
        <v>0</v>
      </c>
      <c r="V467" s="94">
        <f t="shared" si="317"/>
        <v>0</v>
      </c>
      <c r="W467" s="182">
        <f t="shared" si="330"/>
        <v>48257.7</v>
      </c>
      <c r="X467" s="218">
        <f>IFERROR(VLOOKUP($B467,'Из ГУГЛа'!$B:$G,6,0)*Z467+Y467,VLOOKUP($B467,'Из ГУГЛа'!$B:$G,6,0))</f>
        <v>53090</v>
      </c>
      <c r="Y467" s="220">
        <f t="shared" si="322"/>
        <v>10800</v>
      </c>
      <c r="Z467" s="133">
        <v>1</v>
      </c>
      <c r="AA467" s="133">
        <v>1300</v>
      </c>
      <c r="AB467" s="184">
        <f t="shared" si="331"/>
        <v>0.15036233611442196</v>
      </c>
      <c r="AC467" s="184">
        <f t="shared" si="332"/>
        <v>9.1020907892258487E-2</v>
      </c>
      <c r="AD467" s="184">
        <f t="shared" si="333"/>
        <v>0.26555423122765198</v>
      </c>
      <c r="AE467" s="222">
        <v>53090</v>
      </c>
      <c r="AF467" s="98" t="s">
        <v>648</v>
      </c>
      <c r="AH467" s="98" t="s">
        <v>116</v>
      </c>
    </row>
    <row r="468" spans="1:34" ht="46.5" thickTop="1" thickBot="1">
      <c r="A468" s="176" t="str">
        <f>INDEX('Выгр Торг'!$A:$A,MATCH($B468,'Выгр Торг'!$B:$B,0))</f>
        <v>Руль анатомический "Ferrum" Cross Serie (со вставками из алькантары) для Лада Веста, XRAY</v>
      </c>
      <c r="B468" s="178">
        <v>341363</v>
      </c>
      <c r="C468" s="179">
        <f>VLOOKUP($B468,'Выгр Торг'!$B:$Q,C$1,0)</f>
        <v>341363</v>
      </c>
      <c r="D468" s="186" t="s">
        <v>116</v>
      </c>
      <c r="E468" s="176" t="str">
        <f>VLOOKUP($B468,'Выгр Торг'!$B:$Q,E$1,0)</f>
        <v>Руль анатомический "Ferrum" Cross Serie (со вставками из алькантары) для Лада Веста, XRAY (Тёмно-серая нить, Чёрный мат)</v>
      </c>
      <c r="F468" s="179" t="str">
        <f>VLOOKUP($B468,'Выгр Торг'!$B:$Q,F$1,0)</f>
        <v>Y</v>
      </c>
      <c r="G468" s="179" t="str">
        <f>VLOOKUP($B468,'Выгр Торг'!$B:$Q,G$1,0)</f>
        <v>1</v>
      </c>
      <c r="H468" s="179">
        <v>208122</v>
      </c>
      <c r="I468" s="156"/>
      <c r="J468" s="160">
        <v>830</v>
      </c>
      <c r="K468" s="161">
        <v>870</v>
      </c>
      <c r="L468" s="180">
        <f t="shared" si="327"/>
        <v>41950</v>
      </c>
      <c r="M468" s="180">
        <f t="shared" si="319"/>
        <v>42950</v>
      </c>
      <c r="N468" s="180">
        <f t="shared" si="320"/>
        <v>35950</v>
      </c>
      <c r="O468" s="107">
        <f t="shared" si="328"/>
        <v>1.0238379022646007</v>
      </c>
      <c r="P468" s="132">
        <f t="shared" si="315"/>
        <v>1.1499999999999999</v>
      </c>
      <c r="Q468" s="180">
        <f t="shared" si="321"/>
        <v>51873.655913978495</v>
      </c>
      <c r="R468" s="144">
        <f t="shared" si="329"/>
        <v>51890</v>
      </c>
      <c r="S468" s="179">
        <f>VLOOKUP($B468,'Выгр Торг'!$B:$Q,S$1,0)</f>
        <v>41950</v>
      </c>
      <c r="T468" s="179">
        <f>VLOOKUP($B468,'Выгр Торг'!$B:$Q,T$1,0)</f>
        <v>51890</v>
      </c>
      <c r="U468" s="94">
        <f t="shared" si="316"/>
        <v>0</v>
      </c>
      <c r="V468" s="94">
        <f t="shared" si="317"/>
        <v>0</v>
      </c>
      <c r="W468" s="182">
        <f t="shared" si="330"/>
        <v>48257.7</v>
      </c>
      <c r="X468" s="218">
        <f>IFERROR(VLOOKUP($B468,'Из ГУГЛа'!$B:$G,6,0)*Z468+Y468,VLOOKUP($B468,'Из ГУГЛа'!$B:$G,6,0))</f>
        <v>53090</v>
      </c>
      <c r="Y468" s="220">
        <f t="shared" si="322"/>
        <v>10800</v>
      </c>
      <c r="Z468" s="133">
        <v>1</v>
      </c>
      <c r="AA468" s="133">
        <v>1300</v>
      </c>
      <c r="AB468" s="184">
        <f t="shared" si="331"/>
        <v>0.15036233611442196</v>
      </c>
      <c r="AC468" s="184">
        <f t="shared" si="332"/>
        <v>9.1020907892258487E-2</v>
      </c>
      <c r="AD468" s="184">
        <f t="shared" si="333"/>
        <v>0.26555423122765198</v>
      </c>
      <c r="AE468" s="222">
        <v>53090</v>
      </c>
      <c r="AF468" s="98" t="s">
        <v>648</v>
      </c>
      <c r="AH468" s="98" t="s">
        <v>116</v>
      </c>
    </row>
    <row r="469" spans="1:34" ht="46.5" thickTop="1" thickBot="1">
      <c r="A469" s="176" t="str">
        <f>INDEX('Выгр Торг'!$A:$A,MATCH($B469,'Выгр Торг'!$B:$B,0))</f>
        <v>Руль анатомический "Ferrum" Cross Serie (со вставками из алькантары) для Лада Веста, XRAY</v>
      </c>
      <c r="B469" s="178">
        <v>341355</v>
      </c>
      <c r="C469" s="179">
        <f>VLOOKUP($B469,'Выгр Торг'!$B:$Q,C$1,0)</f>
        <v>341355</v>
      </c>
      <c r="D469" s="186" t="s">
        <v>116</v>
      </c>
      <c r="E469" s="176" t="str">
        <f>VLOOKUP($B469,'Выгр Торг'!$B:$Q,E$1,0)</f>
        <v>Руль анатомический "Ferrum" Cross Serie (со вставками из алькантары) для Лада Веста, XRAY (Фиолетовая нить, Чёрный мат)</v>
      </c>
      <c r="F469" s="179" t="str">
        <f>VLOOKUP($B469,'Выгр Торг'!$B:$Q,F$1,0)</f>
        <v>Y</v>
      </c>
      <c r="G469" s="179" t="str">
        <f>VLOOKUP($B469,'Выгр Торг'!$B:$Q,G$1,0)</f>
        <v>1</v>
      </c>
      <c r="H469" s="179">
        <v>208122</v>
      </c>
      <c r="I469" s="156"/>
      <c r="J469" s="160">
        <v>830</v>
      </c>
      <c r="K469" s="161">
        <v>870</v>
      </c>
      <c r="L469" s="180">
        <f t="shared" si="327"/>
        <v>41950</v>
      </c>
      <c r="M469" s="180">
        <f t="shared" si="319"/>
        <v>42950</v>
      </c>
      <c r="N469" s="180">
        <f t="shared" si="320"/>
        <v>35950</v>
      </c>
      <c r="O469" s="107">
        <f t="shared" si="328"/>
        <v>1.0238379022646007</v>
      </c>
      <c r="P469" s="132">
        <f t="shared" si="315"/>
        <v>1.1499999999999999</v>
      </c>
      <c r="Q469" s="180">
        <f t="shared" si="321"/>
        <v>51873.655913978495</v>
      </c>
      <c r="R469" s="144">
        <f t="shared" si="329"/>
        <v>51890</v>
      </c>
      <c r="S469" s="179">
        <f>VLOOKUP($B469,'Выгр Торг'!$B:$Q,S$1,0)</f>
        <v>41950</v>
      </c>
      <c r="T469" s="179">
        <f>VLOOKUP($B469,'Выгр Торг'!$B:$Q,T$1,0)</f>
        <v>51890</v>
      </c>
      <c r="U469" s="94">
        <f t="shared" si="316"/>
        <v>0</v>
      </c>
      <c r="V469" s="94">
        <f t="shared" si="317"/>
        <v>0</v>
      </c>
      <c r="W469" s="182">
        <f t="shared" si="330"/>
        <v>48257.7</v>
      </c>
      <c r="X469" s="218">
        <f>IFERROR(VLOOKUP($B469,'Из ГУГЛа'!$B:$G,6,0)*Z469+Y469,VLOOKUP($B469,'Из ГУГЛа'!$B:$G,6,0))</f>
        <v>53090</v>
      </c>
      <c r="Y469" s="220">
        <f t="shared" si="322"/>
        <v>10800</v>
      </c>
      <c r="Z469" s="133">
        <v>1</v>
      </c>
      <c r="AA469" s="133">
        <v>1300</v>
      </c>
      <c r="AB469" s="184">
        <f t="shared" si="331"/>
        <v>0.15036233611442196</v>
      </c>
      <c r="AC469" s="184">
        <f t="shared" si="332"/>
        <v>9.1020907892258487E-2</v>
      </c>
      <c r="AD469" s="184">
        <f t="shared" si="333"/>
        <v>0.26555423122765198</v>
      </c>
      <c r="AE469" s="222">
        <v>53090</v>
      </c>
      <c r="AF469" s="98" t="s">
        <v>648</v>
      </c>
      <c r="AH469" s="98" t="s">
        <v>116</v>
      </c>
    </row>
    <row r="470" spans="1:34" ht="46.5" thickTop="1" thickBot="1">
      <c r="A470" s="176" t="str">
        <f>INDEX('Выгр Торг'!$A:$A,MATCH($B470,'Выгр Торг'!$B:$B,0))</f>
        <v>Руль анатомический "Ferrum" Cross Serie (со вставками из алькантары) для Лада Веста, XRAY</v>
      </c>
      <c r="B470" s="178">
        <v>256962</v>
      </c>
      <c r="C470" s="179">
        <f>VLOOKUP($B470,'Выгр Торг'!$B:$Q,C$1,0)</f>
        <v>208120</v>
      </c>
      <c r="D470" s="186" t="s">
        <v>116</v>
      </c>
      <c r="E470" s="176" t="str">
        <f>VLOOKUP($B470,'Выгр Торг'!$B:$Q,E$1,0)</f>
        <v>Руль анатомический "Ferrum" Cross Serie (со вставками из алькантары) для Лада Веста, XRAY (Жёлтая нить, Чёрный глянец)</v>
      </c>
      <c r="F470" s="179" t="str">
        <f>VLOOKUP($B470,'Выгр Торг'!$B:$Q,F$1,0)</f>
        <v>Y</v>
      </c>
      <c r="G470" s="179" t="str">
        <f>VLOOKUP($B470,'Выгр Торг'!$B:$Q,G$1,0)</f>
        <v>1</v>
      </c>
      <c r="H470" s="179">
        <v>208122</v>
      </c>
      <c r="I470" s="156"/>
      <c r="J470" s="160"/>
      <c r="K470" s="161">
        <v>870</v>
      </c>
      <c r="L470" s="180">
        <f t="shared" ref="L470" si="334">M470-1000</f>
        <v>41120</v>
      </c>
      <c r="M470" s="180">
        <f t="shared" si="319"/>
        <v>42120</v>
      </c>
      <c r="N470" s="180">
        <f t="shared" si="320"/>
        <v>35120</v>
      </c>
      <c r="O470" s="107">
        <f t="shared" ref="O470" si="335">M470/L470</f>
        <v>1.0243190661478598</v>
      </c>
      <c r="P470" s="132">
        <f t="shared" si="315"/>
        <v>1.1499999999999999</v>
      </c>
      <c r="Q470" s="180">
        <f t="shared" si="321"/>
        <v>50847.31182795699</v>
      </c>
      <c r="R470" s="144">
        <f t="shared" ref="R470" si="336">IF(Q470&lt;=1000,(ROUNDUP(Q470,-2)-1),(ROUNDUP(Q470,-2)-10))</f>
        <v>50890</v>
      </c>
      <c r="S470" s="179">
        <f>VLOOKUP($B470,'Выгр Торг'!$B:$Q,S$1,0)</f>
        <v>41120</v>
      </c>
      <c r="T470" s="179">
        <f>VLOOKUP($B470,'Выгр Торг'!$B:$Q,T$1,0)</f>
        <v>50890</v>
      </c>
      <c r="U470" s="94">
        <f t="shared" si="316"/>
        <v>0</v>
      </c>
      <c r="V470" s="94">
        <f t="shared" si="317"/>
        <v>0</v>
      </c>
      <c r="W470" s="182">
        <f t="shared" ref="W470" si="337">R470*(1-$W$2)</f>
        <v>47327.7</v>
      </c>
      <c r="X470" s="218">
        <f>IFERROR(VLOOKUP($B470,'Из ГУГЛа'!$B:$G,6,0)*Z470+Y470,VLOOKUP($B470,'Из ГУГЛа'!$B:$G,6,0))</f>
        <v>52260</v>
      </c>
      <c r="Y470" s="220">
        <f t="shared" si="322"/>
        <v>9970</v>
      </c>
      <c r="Z470" s="133">
        <v>1</v>
      </c>
      <c r="AA470" s="133"/>
      <c r="AB470" s="184">
        <f t="shared" ref="AB470" si="338">IFERROR(W470/L470-1,"")</f>
        <v>0.15096546692607005</v>
      </c>
      <c r="AC470" s="184">
        <f t="shared" ref="AC470" si="339">IFERROR((AE470-W470)/AE470,"")</f>
        <v>9.4380022962112564E-2</v>
      </c>
      <c r="AD470" s="184">
        <f t="shared" ref="AD470" si="340">IFERROR(IF(AE470="","",AE470/L470-1),"")</f>
        <v>0.27091439688715946</v>
      </c>
      <c r="AE470" s="222">
        <v>52260</v>
      </c>
      <c r="AF470" s="98" t="s">
        <v>648</v>
      </c>
      <c r="AH470" s="98" t="s">
        <v>116</v>
      </c>
    </row>
    <row r="471" spans="1:34" ht="46.5" thickTop="1" thickBot="1">
      <c r="A471" s="125" t="str">
        <f>INDEX('Выгр Торг'!$A:$A,MATCH($B471,'Выгр Торг'!$B:$B,0))</f>
        <v>Руль анатомический "Ferrum" Cross Serie (со вставками из алькантары) для Лада Веста, XRAY</v>
      </c>
      <c r="B471" s="126">
        <v>256963</v>
      </c>
      <c r="C471" s="127">
        <f>VLOOKUP($B471,'Выгр Торг'!$B:$Q,C$1,0)</f>
        <v>208125</v>
      </c>
      <c r="D471" s="44" t="s">
        <v>116</v>
      </c>
      <c r="E471" s="125" t="str">
        <f>VLOOKUP($B471,'Выгр Торг'!$B:$Q,E$1,0)</f>
        <v>Руль анатомический "Ferrum" Cross Serie (со вставками из алькантары) для Лада Веста, XRAY (Зелёная нить, Чёрный глянец)</v>
      </c>
      <c r="F471" s="127" t="str">
        <f>VLOOKUP($B471,'Выгр Торг'!$B:$Q,F$1,0)</f>
        <v>Y</v>
      </c>
      <c r="G471" s="127" t="str">
        <f>VLOOKUP($B471,'Выгр Торг'!$B:$Q,G$1,0)</f>
        <v>1</v>
      </c>
      <c r="H471" s="127">
        <v>208122</v>
      </c>
      <c r="I471" s="156"/>
      <c r="J471" s="160"/>
      <c r="K471" s="161">
        <v>870</v>
      </c>
      <c r="L471" s="130">
        <f t="shared" ref="L471:L481" si="341">M471-1000</f>
        <v>41120</v>
      </c>
      <c r="M471" s="130">
        <f t="shared" si="319"/>
        <v>42120</v>
      </c>
      <c r="N471" s="130">
        <f t="shared" si="320"/>
        <v>35120</v>
      </c>
      <c r="O471" s="132">
        <f t="shared" si="324"/>
        <v>1.0243190661478598</v>
      </c>
      <c r="P471" s="132">
        <f t="shared" si="315"/>
        <v>1.1499999999999999</v>
      </c>
      <c r="Q471" s="130">
        <f t="shared" si="321"/>
        <v>50847.31182795699</v>
      </c>
      <c r="R471" s="148">
        <f t="shared" si="325"/>
        <v>50890</v>
      </c>
      <c r="S471" s="127">
        <f>VLOOKUP($B471,'Выгр Торг'!$B:$Q,S$1,0)</f>
        <v>41120</v>
      </c>
      <c r="T471" s="127">
        <f>VLOOKUP($B471,'Выгр Торг'!$B:$Q,T$1,0)</f>
        <v>50890</v>
      </c>
      <c r="U471" s="94">
        <f t="shared" si="316"/>
        <v>0</v>
      </c>
      <c r="V471" s="94">
        <f t="shared" si="317"/>
        <v>0</v>
      </c>
      <c r="W471" s="153">
        <f t="shared" ref="W471:W481" si="342">R471*(1-$W$2)</f>
        <v>47327.7</v>
      </c>
      <c r="X471" s="209">
        <f>IFERROR(VLOOKUP($B471,'Из ГУГЛа'!$B:$G,6,0)*Z471+Y471,VLOOKUP($B471,'Из ГУГЛа'!$B:$G,6,0))</f>
        <v>52260</v>
      </c>
      <c r="Y471" s="220">
        <f t="shared" si="322"/>
        <v>9970</v>
      </c>
      <c r="Z471" s="133">
        <v>1</v>
      </c>
      <c r="AA471" s="134"/>
      <c r="AB471" s="135">
        <f t="shared" ref="AB471:AB481" si="343">IFERROR(W471/L471-1,"")</f>
        <v>0.15096546692607005</v>
      </c>
      <c r="AC471" s="135">
        <f t="shared" ref="AC471:AC481" si="344">IFERROR((AE471-W471)/AE471,"")</f>
        <v>9.4380022962112564E-2</v>
      </c>
      <c r="AD471" s="135">
        <f t="shared" ref="AD471:AD481" si="345">IFERROR(IF(AE471="","",AE471/L471-1),"")</f>
        <v>0.27091439688715946</v>
      </c>
      <c r="AE471" s="222">
        <v>52260</v>
      </c>
      <c r="AF471" s="98" t="s">
        <v>648</v>
      </c>
      <c r="AH471" s="98" t="s">
        <v>116</v>
      </c>
    </row>
    <row r="472" spans="1:34" ht="46.5" thickTop="1" thickBot="1">
      <c r="A472" s="125" t="str">
        <f>INDEX('Выгр Торг'!$A:$A,MATCH($B472,'Выгр Торг'!$B:$B,0))</f>
        <v>Руль анатомический "Ferrum" Cross Serie (со вставками из алькантары) для Лада Веста, XRAY</v>
      </c>
      <c r="B472" s="126">
        <v>256964</v>
      </c>
      <c r="C472" s="127">
        <f>VLOOKUP($B472,'Выгр Торг'!$B:$Q,C$1,0)</f>
        <v>208116</v>
      </c>
      <c r="D472" s="44" t="s">
        <v>116</v>
      </c>
      <c r="E472" s="125" t="str">
        <f>VLOOKUP($B472,'Выгр Торг'!$B:$Q,E$1,0)</f>
        <v>Руль анатомический "Ferrum" Cross Serie(со вставками из алькантары) для Лада Веста, XRAY (Коричневая нить, Чёрный глянец)</v>
      </c>
      <c r="F472" s="127" t="str">
        <f>VLOOKUP($B472,'Выгр Торг'!$B:$Q,F$1,0)</f>
        <v>Y</v>
      </c>
      <c r="G472" s="127" t="str">
        <f>VLOOKUP($B472,'Выгр Торг'!$B:$Q,G$1,0)</f>
        <v>1</v>
      </c>
      <c r="H472" s="127">
        <v>208122</v>
      </c>
      <c r="I472" s="156"/>
      <c r="J472" s="160"/>
      <c r="K472" s="161">
        <v>870</v>
      </c>
      <c r="L472" s="130">
        <f t="shared" si="341"/>
        <v>41120</v>
      </c>
      <c r="M472" s="130">
        <f t="shared" si="319"/>
        <v>42120</v>
      </c>
      <c r="N472" s="130">
        <f t="shared" si="320"/>
        <v>35120</v>
      </c>
      <c r="O472" s="132">
        <f t="shared" si="324"/>
        <v>1.0243190661478598</v>
      </c>
      <c r="P472" s="132">
        <f t="shared" si="315"/>
        <v>1.1499999999999999</v>
      </c>
      <c r="Q472" s="130">
        <f t="shared" si="321"/>
        <v>50847.31182795699</v>
      </c>
      <c r="R472" s="148">
        <f t="shared" si="325"/>
        <v>50890</v>
      </c>
      <c r="S472" s="127">
        <f>VLOOKUP($B472,'Выгр Торг'!$B:$Q,S$1,0)</f>
        <v>41120</v>
      </c>
      <c r="T472" s="127">
        <f>VLOOKUP($B472,'Выгр Торг'!$B:$Q,T$1,0)</f>
        <v>50890</v>
      </c>
      <c r="U472" s="94">
        <f t="shared" si="316"/>
        <v>0</v>
      </c>
      <c r="V472" s="94">
        <f t="shared" si="317"/>
        <v>0</v>
      </c>
      <c r="W472" s="153">
        <f t="shared" si="342"/>
        <v>47327.7</v>
      </c>
      <c r="X472" s="209">
        <f>IFERROR(VLOOKUP($B472,'Из ГУГЛа'!$B:$G,6,0)*Z472+Y472,VLOOKUP($B472,'Из ГУГЛа'!$B:$G,6,0))</f>
        <v>52260</v>
      </c>
      <c r="Y472" s="220">
        <f t="shared" si="322"/>
        <v>9970</v>
      </c>
      <c r="Z472" s="133">
        <v>1</v>
      </c>
      <c r="AA472" s="134"/>
      <c r="AB472" s="135">
        <f t="shared" si="343"/>
        <v>0.15096546692607005</v>
      </c>
      <c r="AC472" s="135">
        <f t="shared" si="344"/>
        <v>9.4380022962112564E-2</v>
      </c>
      <c r="AD472" s="135">
        <f t="shared" si="345"/>
        <v>0.27091439688715946</v>
      </c>
      <c r="AE472" s="222">
        <v>52260</v>
      </c>
      <c r="AF472" s="98" t="s">
        <v>648</v>
      </c>
      <c r="AH472" s="98" t="s">
        <v>116</v>
      </c>
    </row>
    <row r="473" spans="1:34" ht="46.5" thickTop="1" thickBot="1">
      <c r="A473" s="125" t="str">
        <f>INDEX('Выгр Торг'!$A:$A,MATCH($B473,'Выгр Торг'!$B:$B,0))</f>
        <v>Руль анатомический "Ferrum" Cross Serie (со вставками из алькантары) для Лада Веста, XRAY</v>
      </c>
      <c r="B473" s="126">
        <v>256965</v>
      </c>
      <c r="C473" s="127">
        <f>VLOOKUP($B473,'Выгр Торг'!$B:$Q,C$1,0)</f>
        <v>208124</v>
      </c>
      <c r="D473" s="44" t="s">
        <v>116</v>
      </c>
      <c r="E473" s="125" t="str">
        <f>VLOOKUP($B473,'Выгр Торг'!$B:$Q,E$1,0)</f>
        <v>Руль анатомический "Ferrum" Cross Serie (со вставками из алькантары) для Лада Веста, XRAY (Красная нить, Чёрный глянец)</v>
      </c>
      <c r="F473" s="127" t="str">
        <f>VLOOKUP($B473,'Выгр Торг'!$B:$Q,F$1,0)</f>
        <v>Y</v>
      </c>
      <c r="G473" s="127" t="str">
        <f>VLOOKUP($B473,'Выгр Торг'!$B:$Q,G$1,0)</f>
        <v>1ск5</v>
      </c>
      <c r="H473" s="127">
        <v>208122</v>
      </c>
      <c r="I473" s="156"/>
      <c r="J473" s="160"/>
      <c r="K473" s="161">
        <v>870</v>
      </c>
      <c r="L473" s="130">
        <f t="shared" si="341"/>
        <v>41120</v>
      </c>
      <c r="M473" s="130">
        <f t="shared" si="319"/>
        <v>42120</v>
      </c>
      <c r="N473" s="130">
        <f t="shared" si="320"/>
        <v>35120</v>
      </c>
      <c r="O473" s="132">
        <f t="shared" si="324"/>
        <v>1.0243190661478598</v>
      </c>
      <c r="P473" s="132">
        <f t="shared" si="315"/>
        <v>1.1499999999999999</v>
      </c>
      <c r="Q473" s="130">
        <f t="shared" si="321"/>
        <v>50847.31182795699</v>
      </c>
      <c r="R473" s="148">
        <f t="shared" si="325"/>
        <v>50890</v>
      </c>
      <c r="S473" s="127">
        <f>VLOOKUP($B473,'Выгр Торг'!$B:$Q,S$1,0)</f>
        <v>41120</v>
      </c>
      <c r="T473" s="127">
        <f>VLOOKUP($B473,'Выгр Торг'!$B:$Q,T$1,0)</f>
        <v>50890</v>
      </c>
      <c r="U473" s="94">
        <f t="shared" si="316"/>
        <v>0</v>
      </c>
      <c r="V473" s="94">
        <f t="shared" si="317"/>
        <v>0</v>
      </c>
      <c r="W473" s="153">
        <f t="shared" si="342"/>
        <v>47327.7</v>
      </c>
      <c r="X473" s="209">
        <f>IFERROR(VLOOKUP($B473,'Из ГУГЛа'!$B:$G,6,0)*Z473+Y473,VLOOKUP($B473,'Из ГУГЛа'!$B:$G,6,0))</f>
        <v>52260</v>
      </c>
      <c r="Y473" s="220">
        <f t="shared" si="322"/>
        <v>9970</v>
      </c>
      <c r="Z473" s="133">
        <v>1</v>
      </c>
      <c r="AA473" s="134"/>
      <c r="AB473" s="135">
        <f t="shared" si="343"/>
        <v>0.15096546692607005</v>
      </c>
      <c r="AC473" s="135">
        <f t="shared" si="344"/>
        <v>9.4380022962112564E-2</v>
      </c>
      <c r="AD473" s="135">
        <f t="shared" si="345"/>
        <v>0.27091439688715946</v>
      </c>
      <c r="AE473" s="222">
        <v>52260</v>
      </c>
      <c r="AF473" s="98" t="s">
        <v>648</v>
      </c>
      <c r="AH473" s="98" t="s">
        <v>116</v>
      </c>
    </row>
    <row r="474" spans="1:34" ht="46.5" thickTop="1" thickBot="1">
      <c r="A474" s="125" t="str">
        <f>INDEX('Выгр Торг'!$A:$A,MATCH($B474,'Выгр Торг'!$B:$B,0))</f>
        <v>Руль анатомический "Ferrum" Cross Serie (со вставками из алькантары) для Лада Веста, XRAY</v>
      </c>
      <c r="B474" s="126">
        <v>256966</v>
      </c>
      <c r="C474" s="127">
        <f>VLOOKUP($B474,'Выгр Торг'!$B:$Q,C$1,0)</f>
        <v>208119</v>
      </c>
      <c r="D474" s="44" t="s">
        <v>116</v>
      </c>
      <c r="E474" s="125" t="str">
        <f>VLOOKUP($B474,'Выгр Торг'!$B:$Q,E$1,0)</f>
        <v>Руль анатомический "Ferrum" Cross Serie (со вставками из алькантары) для Лада Веста, XRAY (Оранжевая нить, Чёрный глянец)</v>
      </c>
      <c r="F474" s="127" t="str">
        <f>VLOOKUP($B474,'Выгр Торг'!$B:$Q,F$1,0)</f>
        <v>Y</v>
      </c>
      <c r="G474" s="127" t="str">
        <f>VLOOKUP($B474,'Выгр Торг'!$B:$Q,G$1,0)</f>
        <v>1</v>
      </c>
      <c r="H474" s="127">
        <v>208122</v>
      </c>
      <c r="I474" s="156"/>
      <c r="J474" s="160"/>
      <c r="K474" s="161">
        <v>870</v>
      </c>
      <c r="L474" s="130">
        <f t="shared" si="341"/>
        <v>41120</v>
      </c>
      <c r="M474" s="130">
        <f t="shared" si="319"/>
        <v>42120</v>
      </c>
      <c r="N474" s="130">
        <f t="shared" si="320"/>
        <v>35120</v>
      </c>
      <c r="O474" s="132">
        <f t="shared" si="324"/>
        <v>1.0243190661478598</v>
      </c>
      <c r="P474" s="132">
        <f t="shared" si="315"/>
        <v>1.1499999999999999</v>
      </c>
      <c r="Q474" s="130">
        <f t="shared" si="321"/>
        <v>50847.31182795699</v>
      </c>
      <c r="R474" s="148">
        <f t="shared" si="325"/>
        <v>50890</v>
      </c>
      <c r="S474" s="127">
        <f>VLOOKUP($B474,'Выгр Торг'!$B:$Q,S$1,0)</f>
        <v>41120</v>
      </c>
      <c r="T474" s="127">
        <f>VLOOKUP($B474,'Выгр Торг'!$B:$Q,T$1,0)</f>
        <v>50890</v>
      </c>
      <c r="U474" s="94">
        <f t="shared" si="316"/>
        <v>0</v>
      </c>
      <c r="V474" s="94">
        <f t="shared" si="317"/>
        <v>0</v>
      </c>
      <c r="W474" s="153">
        <f t="shared" si="342"/>
        <v>47327.7</v>
      </c>
      <c r="X474" s="209">
        <f>IFERROR(VLOOKUP($B474,'Из ГУГЛа'!$B:$G,6,0)*Z474+Y474,VLOOKUP($B474,'Из ГУГЛа'!$B:$G,6,0))</f>
        <v>52260</v>
      </c>
      <c r="Y474" s="220">
        <f t="shared" si="322"/>
        <v>9970</v>
      </c>
      <c r="Z474" s="133">
        <v>1</v>
      </c>
      <c r="AA474" s="134"/>
      <c r="AB474" s="135">
        <f t="shared" si="343"/>
        <v>0.15096546692607005</v>
      </c>
      <c r="AC474" s="135">
        <f t="shared" si="344"/>
        <v>9.4380022962112564E-2</v>
      </c>
      <c r="AD474" s="135">
        <f t="shared" si="345"/>
        <v>0.27091439688715946</v>
      </c>
      <c r="AE474" s="222">
        <v>52260</v>
      </c>
      <c r="AF474" s="98" t="s">
        <v>648</v>
      </c>
      <c r="AH474" s="98" t="s">
        <v>116</v>
      </c>
    </row>
    <row r="475" spans="1:34" ht="46.5" thickTop="1" thickBot="1">
      <c r="A475" s="125" t="str">
        <f>INDEX('Выгр Торг'!$A:$A,MATCH($B475,'Выгр Торг'!$B:$B,0))</f>
        <v>Руль анатомический "Ferrum" Cross Serie (со вставками из алькантары) для Лада Веста, XRAY</v>
      </c>
      <c r="B475" s="126">
        <v>256967</v>
      </c>
      <c r="C475" s="127">
        <f>VLOOKUP($B475,'Выгр Торг'!$B:$Q,C$1,0)</f>
        <v>208121</v>
      </c>
      <c r="D475" s="44" t="s">
        <v>116</v>
      </c>
      <c r="E475" s="125" t="str">
        <f>VLOOKUP($B475,'Выгр Торг'!$B:$Q,E$1,0)</f>
        <v>Руль анатомический "Ferrum" Cross Serie (со вставками из алькантары) для Лада Веста, XRAY (Салатовая нить, Чёрный глянец)</v>
      </c>
      <c r="F475" s="127" t="str">
        <f>VLOOKUP($B475,'Выгр Торг'!$B:$Q,F$1,0)</f>
        <v>Y</v>
      </c>
      <c r="G475" s="127" t="str">
        <f>VLOOKUP($B475,'Выгр Торг'!$B:$Q,G$1,0)</f>
        <v>1</v>
      </c>
      <c r="H475" s="127">
        <v>208122</v>
      </c>
      <c r="I475" s="156"/>
      <c r="J475" s="160"/>
      <c r="K475" s="161">
        <v>870</v>
      </c>
      <c r="L475" s="130">
        <f t="shared" si="341"/>
        <v>41120</v>
      </c>
      <c r="M475" s="130">
        <f t="shared" si="319"/>
        <v>42120</v>
      </c>
      <c r="N475" s="130">
        <f t="shared" si="320"/>
        <v>35120</v>
      </c>
      <c r="O475" s="132">
        <f t="shared" si="324"/>
        <v>1.0243190661478598</v>
      </c>
      <c r="P475" s="132">
        <f t="shared" si="315"/>
        <v>1.1499999999999999</v>
      </c>
      <c r="Q475" s="130">
        <f t="shared" si="321"/>
        <v>50847.31182795699</v>
      </c>
      <c r="R475" s="148">
        <f t="shared" si="325"/>
        <v>50890</v>
      </c>
      <c r="S475" s="127">
        <f>VLOOKUP($B475,'Выгр Торг'!$B:$Q,S$1,0)</f>
        <v>41120</v>
      </c>
      <c r="T475" s="127">
        <f>VLOOKUP($B475,'Выгр Торг'!$B:$Q,T$1,0)</f>
        <v>50890</v>
      </c>
      <c r="U475" s="94">
        <f t="shared" si="316"/>
        <v>0</v>
      </c>
      <c r="V475" s="94">
        <f t="shared" si="317"/>
        <v>0</v>
      </c>
      <c r="W475" s="153">
        <f t="shared" si="342"/>
        <v>47327.7</v>
      </c>
      <c r="X475" s="209">
        <f>IFERROR(VLOOKUP($B475,'Из ГУГЛа'!$B:$G,6,0)*Z475+Y475,VLOOKUP($B475,'Из ГУГЛа'!$B:$G,6,0))</f>
        <v>52260</v>
      </c>
      <c r="Y475" s="220">
        <f t="shared" si="322"/>
        <v>9970</v>
      </c>
      <c r="Z475" s="133">
        <v>1</v>
      </c>
      <c r="AA475" s="134"/>
      <c r="AB475" s="135">
        <f t="shared" si="343"/>
        <v>0.15096546692607005</v>
      </c>
      <c r="AC475" s="135">
        <f t="shared" si="344"/>
        <v>9.4380022962112564E-2</v>
      </c>
      <c r="AD475" s="135">
        <f t="shared" si="345"/>
        <v>0.27091439688715946</v>
      </c>
      <c r="AE475" s="222">
        <v>52260</v>
      </c>
      <c r="AF475" s="98" t="s">
        <v>648</v>
      </c>
      <c r="AH475" s="98" t="s">
        <v>116</v>
      </c>
    </row>
    <row r="476" spans="1:34" ht="46.5" thickTop="1" thickBot="1">
      <c r="A476" s="125" t="str">
        <f>INDEX('Выгр Торг'!$A:$A,MATCH($B476,'Выгр Торг'!$B:$B,0))</f>
        <v>Руль анатомический "Ferrum" Cross Serie (со вставками из алькантары) для Лада Веста, XRAY</v>
      </c>
      <c r="B476" s="126">
        <v>256968</v>
      </c>
      <c r="C476" s="127">
        <f>VLOOKUP($B476,'Выгр Торг'!$B:$Q,C$1,0)</f>
        <v>208123</v>
      </c>
      <c r="D476" s="44" t="s">
        <v>116</v>
      </c>
      <c r="E476" s="125" t="str">
        <f>VLOOKUP($B476,'Выгр Торг'!$B:$Q,E$1,0)</f>
        <v>Руль анатомический "Ferrum" Cross Serie (со вставками из алькантары) для Лада Веста, XRAY (Светло-серая нить, Чёрный глянец)</v>
      </c>
      <c r="F476" s="127" t="str">
        <f>VLOOKUP($B476,'Выгр Торг'!$B:$Q,F$1,0)</f>
        <v>Y</v>
      </c>
      <c r="G476" s="127" t="str">
        <f>VLOOKUP($B476,'Выгр Торг'!$B:$Q,G$1,0)</f>
        <v>1</v>
      </c>
      <c r="H476" s="127">
        <v>208122</v>
      </c>
      <c r="I476" s="156"/>
      <c r="J476" s="160"/>
      <c r="K476" s="161">
        <v>870</v>
      </c>
      <c r="L476" s="130">
        <f t="shared" si="341"/>
        <v>41120</v>
      </c>
      <c r="M476" s="130">
        <f t="shared" si="319"/>
        <v>42120</v>
      </c>
      <c r="N476" s="130">
        <f t="shared" si="320"/>
        <v>35120</v>
      </c>
      <c r="O476" s="132">
        <f t="shared" si="324"/>
        <v>1.0243190661478598</v>
      </c>
      <c r="P476" s="132">
        <f t="shared" si="315"/>
        <v>1.1499999999999999</v>
      </c>
      <c r="Q476" s="130">
        <f t="shared" si="321"/>
        <v>50847.31182795699</v>
      </c>
      <c r="R476" s="148">
        <f t="shared" si="325"/>
        <v>50890</v>
      </c>
      <c r="S476" s="127">
        <f>VLOOKUP($B476,'Выгр Торг'!$B:$Q,S$1,0)</f>
        <v>41120</v>
      </c>
      <c r="T476" s="127">
        <f>VLOOKUP($B476,'Выгр Торг'!$B:$Q,T$1,0)</f>
        <v>50890</v>
      </c>
      <c r="U476" s="94">
        <f t="shared" si="316"/>
        <v>0</v>
      </c>
      <c r="V476" s="94">
        <f t="shared" si="317"/>
        <v>0</v>
      </c>
      <c r="W476" s="153">
        <f t="shared" si="342"/>
        <v>47327.7</v>
      </c>
      <c r="X476" s="209">
        <f>IFERROR(VLOOKUP($B476,'Из ГУГЛа'!$B:$G,6,0)*Z476+Y476,VLOOKUP($B476,'Из ГУГЛа'!$B:$G,6,0))</f>
        <v>52260</v>
      </c>
      <c r="Y476" s="220">
        <f t="shared" si="322"/>
        <v>9970</v>
      </c>
      <c r="Z476" s="133">
        <v>1</v>
      </c>
      <c r="AA476" s="134"/>
      <c r="AB476" s="135">
        <f t="shared" si="343"/>
        <v>0.15096546692607005</v>
      </c>
      <c r="AC476" s="135">
        <f t="shared" si="344"/>
        <v>9.4380022962112564E-2</v>
      </c>
      <c r="AD476" s="135">
        <f t="shared" si="345"/>
        <v>0.27091439688715946</v>
      </c>
      <c r="AE476" s="222">
        <v>52260</v>
      </c>
      <c r="AF476" s="98" t="s">
        <v>648</v>
      </c>
      <c r="AH476" s="98" t="s">
        <v>116</v>
      </c>
    </row>
    <row r="477" spans="1:34" ht="46.5" thickTop="1" thickBot="1">
      <c r="A477" s="125" t="str">
        <f>INDEX('Выгр Торг'!$A:$A,MATCH($B477,'Выгр Торг'!$B:$B,0))</f>
        <v>Руль анатомический "Ferrum" Cross Serie (со вставками из алькантары) для Лада Веста, XRAY</v>
      </c>
      <c r="B477" s="126">
        <v>256969</v>
      </c>
      <c r="C477" s="127">
        <f>VLOOKUP($B477,'Выгр Торг'!$B:$Q,C$1,0)</f>
        <v>208118</v>
      </c>
      <c r="D477" s="44" t="s">
        <v>116</v>
      </c>
      <c r="E477" s="125" t="str">
        <f>VLOOKUP($B477,'Выгр Торг'!$B:$Q,E$1,0)</f>
        <v>Руль анатомический "Ferrum" Cross Serie (со вставками из алькантары) для Лада Веста, XRAY (Сине-зелёная нить, Чёрный глянец)</v>
      </c>
      <c r="F477" s="127" t="str">
        <f>VLOOKUP($B477,'Выгр Торг'!$B:$Q,F$1,0)</f>
        <v>Y</v>
      </c>
      <c r="G477" s="127" t="str">
        <f>VLOOKUP($B477,'Выгр Торг'!$B:$Q,G$1,0)</f>
        <v>1</v>
      </c>
      <c r="H477" s="127">
        <v>208122</v>
      </c>
      <c r="I477" s="156"/>
      <c r="J477" s="160"/>
      <c r="K477" s="161">
        <v>870</v>
      </c>
      <c r="L477" s="130">
        <f t="shared" si="341"/>
        <v>41120</v>
      </c>
      <c r="M477" s="130">
        <f t="shared" si="319"/>
        <v>42120</v>
      </c>
      <c r="N477" s="130">
        <f t="shared" si="320"/>
        <v>35120</v>
      </c>
      <c r="O477" s="132">
        <f t="shared" si="324"/>
        <v>1.0243190661478598</v>
      </c>
      <c r="P477" s="132">
        <f t="shared" si="315"/>
        <v>1.1499999999999999</v>
      </c>
      <c r="Q477" s="130">
        <f t="shared" si="321"/>
        <v>50847.31182795699</v>
      </c>
      <c r="R477" s="148">
        <f t="shared" si="325"/>
        <v>50890</v>
      </c>
      <c r="S477" s="127">
        <f>VLOOKUP($B477,'Выгр Торг'!$B:$Q,S$1,0)</f>
        <v>41120</v>
      </c>
      <c r="T477" s="127">
        <f>VLOOKUP($B477,'Выгр Торг'!$B:$Q,T$1,0)</f>
        <v>50890</v>
      </c>
      <c r="U477" s="94">
        <f t="shared" si="316"/>
        <v>0</v>
      </c>
      <c r="V477" s="94">
        <f t="shared" si="317"/>
        <v>0</v>
      </c>
      <c r="W477" s="153">
        <f t="shared" si="342"/>
        <v>47327.7</v>
      </c>
      <c r="X477" s="209">
        <f>IFERROR(VLOOKUP($B477,'Из ГУГЛа'!$B:$G,6,0)*Z477+Y477,VLOOKUP($B477,'Из ГУГЛа'!$B:$G,6,0))</f>
        <v>52260</v>
      </c>
      <c r="Y477" s="220">
        <f t="shared" si="322"/>
        <v>9970</v>
      </c>
      <c r="Z477" s="133">
        <v>1</v>
      </c>
      <c r="AA477" s="134"/>
      <c r="AB477" s="135">
        <f t="shared" si="343"/>
        <v>0.15096546692607005</v>
      </c>
      <c r="AC477" s="135">
        <f t="shared" si="344"/>
        <v>9.4380022962112564E-2</v>
      </c>
      <c r="AD477" s="135">
        <f t="shared" si="345"/>
        <v>0.27091439688715946</v>
      </c>
      <c r="AE477" s="222">
        <v>52260</v>
      </c>
      <c r="AF477" s="98" t="s">
        <v>648</v>
      </c>
      <c r="AH477" s="98" t="s">
        <v>116</v>
      </c>
    </row>
    <row r="478" spans="1:34" ht="46.5" thickTop="1" thickBot="1">
      <c r="A478" s="125" t="str">
        <f>INDEX('Выгр Торг'!$A:$A,MATCH($B478,'Выгр Торг'!$B:$B,0))</f>
        <v>Руль анатомический "Ferrum" Cross Serie (со вставками из алькантары) для Лада Веста, XRAY</v>
      </c>
      <c r="B478" s="126">
        <v>256970</v>
      </c>
      <c r="C478" s="127">
        <f>VLOOKUP($B478,'Выгр Торг'!$B:$Q,C$1,0)</f>
        <v>208117</v>
      </c>
      <c r="D478" s="44" t="s">
        <v>116</v>
      </c>
      <c r="E478" s="125" t="str">
        <f>VLOOKUP($B478,'Выгр Торг'!$B:$Q,E$1,0)</f>
        <v>Руль анатомический "Ferrum" Cross Serie(со вставками из алькантары) для Лада Веста, XRAY (Синяя нить, Чёрный глянец)</v>
      </c>
      <c r="F478" s="127" t="str">
        <f>VLOOKUP($B478,'Выгр Торг'!$B:$Q,F$1,0)</f>
        <v>Y</v>
      </c>
      <c r="G478" s="127" t="str">
        <f>VLOOKUP($B478,'Выгр Торг'!$B:$Q,G$1,0)</f>
        <v>1</v>
      </c>
      <c r="H478" s="127">
        <v>208122</v>
      </c>
      <c r="I478" s="156"/>
      <c r="J478" s="160"/>
      <c r="K478" s="161">
        <v>870</v>
      </c>
      <c r="L478" s="130">
        <f t="shared" si="341"/>
        <v>41120</v>
      </c>
      <c r="M478" s="130">
        <f t="shared" si="319"/>
        <v>42120</v>
      </c>
      <c r="N478" s="130">
        <f t="shared" si="320"/>
        <v>35120</v>
      </c>
      <c r="O478" s="132">
        <f t="shared" si="324"/>
        <v>1.0243190661478598</v>
      </c>
      <c r="P478" s="132">
        <f t="shared" si="315"/>
        <v>1.1499999999999999</v>
      </c>
      <c r="Q478" s="130">
        <f t="shared" si="321"/>
        <v>50847.31182795699</v>
      </c>
      <c r="R478" s="148">
        <f t="shared" si="325"/>
        <v>50890</v>
      </c>
      <c r="S478" s="127">
        <f>VLOOKUP($B478,'Выгр Торг'!$B:$Q,S$1,0)</f>
        <v>41120</v>
      </c>
      <c r="T478" s="127">
        <f>VLOOKUP($B478,'Выгр Торг'!$B:$Q,T$1,0)</f>
        <v>50890</v>
      </c>
      <c r="U478" s="94">
        <f t="shared" si="316"/>
        <v>0</v>
      </c>
      <c r="V478" s="94">
        <f t="shared" si="317"/>
        <v>0</v>
      </c>
      <c r="W478" s="153">
        <f t="shared" si="342"/>
        <v>47327.7</v>
      </c>
      <c r="X478" s="209">
        <f>IFERROR(VLOOKUP($B478,'Из ГУГЛа'!$B:$G,6,0)*Z478+Y478,VLOOKUP($B478,'Из ГУГЛа'!$B:$G,6,0))</f>
        <v>52260</v>
      </c>
      <c r="Y478" s="220">
        <f t="shared" si="322"/>
        <v>9970</v>
      </c>
      <c r="Z478" s="133">
        <v>1</v>
      </c>
      <c r="AA478" s="134"/>
      <c r="AB478" s="135">
        <f t="shared" si="343"/>
        <v>0.15096546692607005</v>
      </c>
      <c r="AC478" s="135">
        <f t="shared" si="344"/>
        <v>9.4380022962112564E-2</v>
      </c>
      <c r="AD478" s="135">
        <f t="shared" si="345"/>
        <v>0.27091439688715946</v>
      </c>
      <c r="AE478" s="222">
        <v>52260</v>
      </c>
      <c r="AF478" s="98" t="s">
        <v>648</v>
      </c>
      <c r="AH478" s="98" t="s">
        <v>116</v>
      </c>
    </row>
    <row r="479" spans="1:34" ht="46.5" thickTop="1" thickBot="1">
      <c r="A479" s="125" t="str">
        <f>INDEX('Выгр Торг'!$A:$A,MATCH($B479,'Выгр Торг'!$B:$B,0))</f>
        <v>Руль анатомический "Ferrum" Cross Serie (со вставками из алькантары) для Лада Веста, XRAY</v>
      </c>
      <c r="B479" s="126">
        <v>256971</v>
      </c>
      <c r="C479" s="127">
        <f>VLOOKUP($B479,'Выгр Торг'!$B:$Q,C$1,0)</f>
        <v>208115</v>
      </c>
      <c r="D479" s="44" t="s">
        <v>116</v>
      </c>
      <c r="E479" s="125" t="str">
        <f>VLOOKUP($B479,'Выгр Торг'!$B:$Q,E$1,0)</f>
        <v>Руль анатомический "Ferrum" Cross Serie (со вставками из алькантары) для Лада Веста, XRAY (Тёмно-серая нить, Чёрный глянец)</v>
      </c>
      <c r="F479" s="127" t="str">
        <f>VLOOKUP($B479,'Выгр Торг'!$B:$Q,F$1,0)</f>
        <v>Y</v>
      </c>
      <c r="G479" s="127" t="str">
        <f>VLOOKUP($B479,'Выгр Торг'!$B:$Q,G$1,0)</f>
        <v>1</v>
      </c>
      <c r="H479" s="127">
        <v>208122</v>
      </c>
      <c r="I479" s="156"/>
      <c r="J479" s="160"/>
      <c r="K479" s="161">
        <v>870</v>
      </c>
      <c r="L479" s="130">
        <f t="shared" si="341"/>
        <v>41120</v>
      </c>
      <c r="M479" s="130">
        <f t="shared" si="319"/>
        <v>42120</v>
      </c>
      <c r="N479" s="130">
        <f t="shared" si="320"/>
        <v>35120</v>
      </c>
      <c r="O479" s="132">
        <f t="shared" si="324"/>
        <v>1.0243190661478598</v>
      </c>
      <c r="P479" s="132">
        <f t="shared" si="315"/>
        <v>1.1499999999999999</v>
      </c>
      <c r="Q479" s="130">
        <f t="shared" si="321"/>
        <v>50847.31182795699</v>
      </c>
      <c r="R479" s="148">
        <f t="shared" si="325"/>
        <v>50890</v>
      </c>
      <c r="S479" s="127">
        <f>VLOOKUP($B479,'Выгр Торг'!$B:$Q,S$1,0)</f>
        <v>41120</v>
      </c>
      <c r="T479" s="127">
        <f>VLOOKUP($B479,'Выгр Торг'!$B:$Q,T$1,0)</f>
        <v>50890</v>
      </c>
      <c r="U479" s="94">
        <f t="shared" si="316"/>
        <v>0</v>
      </c>
      <c r="V479" s="94">
        <f t="shared" si="317"/>
        <v>0</v>
      </c>
      <c r="W479" s="153">
        <f t="shared" si="342"/>
        <v>47327.7</v>
      </c>
      <c r="X479" s="209">
        <f>IFERROR(VLOOKUP($B479,'Из ГУГЛа'!$B:$G,6,0)*Z479+Y479,VLOOKUP($B479,'Из ГУГЛа'!$B:$G,6,0))</f>
        <v>52260</v>
      </c>
      <c r="Y479" s="220">
        <f t="shared" si="322"/>
        <v>9970</v>
      </c>
      <c r="Z479" s="133">
        <v>1</v>
      </c>
      <c r="AA479" s="134"/>
      <c r="AB479" s="135">
        <f t="shared" si="343"/>
        <v>0.15096546692607005</v>
      </c>
      <c r="AC479" s="135">
        <f t="shared" si="344"/>
        <v>9.4380022962112564E-2</v>
      </c>
      <c r="AD479" s="135">
        <f t="shared" si="345"/>
        <v>0.27091439688715946</v>
      </c>
      <c r="AE479" s="222">
        <v>52260</v>
      </c>
      <c r="AF479" s="98" t="s">
        <v>648</v>
      </c>
      <c r="AH479" s="98" t="s">
        <v>116</v>
      </c>
    </row>
    <row r="480" spans="1:34" ht="46.5" thickTop="1" thickBot="1">
      <c r="A480" s="125" t="str">
        <f>INDEX('Выгр Торг'!$A:$A,MATCH($B480,'Выгр Торг'!$B:$B,0))</f>
        <v>Руль анатомический "Ferrum" Cross Serie (со вставками из алькантары) для Лада Веста, XRAY</v>
      </c>
      <c r="B480" s="126">
        <v>256972</v>
      </c>
      <c r="C480" s="127">
        <f>VLOOKUP($B480,'Выгр Торг'!$B:$Q,C$1,0)</f>
        <v>208113</v>
      </c>
      <c r="D480" s="44" t="s">
        <v>116</v>
      </c>
      <c r="E480" s="125" t="str">
        <f>VLOOKUP($B480,'Выгр Торг'!$B:$Q,E$1,0)</f>
        <v>Руль анатомический "Ferrum" Cross Serie (со вставками из алькантары) для Лада Веста, XRAY (Фиолетовая нить, Чёрный глянец)</v>
      </c>
      <c r="F480" s="127" t="str">
        <f>VLOOKUP($B480,'Выгр Торг'!$B:$Q,F$1,0)</f>
        <v>Y</v>
      </c>
      <c r="G480" s="127" t="str">
        <f>VLOOKUP($B480,'Выгр Торг'!$B:$Q,G$1,0)</f>
        <v>1</v>
      </c>
      <c r="H480" s="127">
        <v>208122</v>
      </c>
      <c r="I480" s="156"/>
      <c r="J480" s="160"/>
      <c r="K480" s="161">
        <v>870</v>
      </c>
      <c r="L480" s="130">
        <f t="shared" si="341"/>
        <v>41120</v>
      </c>
      <c r="M480" s="130">
        <f t="shared" si="319"/>
        <v>42120</v>
      </c>
      <c r="N480" s="130">
        <f t="shared" si="320"/>
        <v>35120</v>
      </c>
      <c r="O480" s="132">
        <f t="shared" si="324"/>
        <v>1.0243190661478598</v>
      </c>
      <c r="P480" s="132">
        <f t="shared" si="315"/>
        <v>1.1499999999999999</v>
      </c>
      <c r="Q480" s="130">
        <f t="shared" si="321"/>
        <v>50847.31182795699</v>
      </c>
      <c r="R480" s="148">
        <f t="shared" si="325"/>
        <v>50890</v>
      </c>
      <c r="S480" s="127">
        <f>VLOOKUP($B480,'Выгр Торг'!$B:$Q,S$1,0)</f>
        <v>41120</v>
      </c>
      <c r="T480" s="127">
        <f>VLOOKUP($B480,'Выгр Торг'!$B:$Q,T$1,0)</f>
        <v>50890</v>
      </c>
      <c r="U480" s="94">
        <f t="shared" si="316"/>
        <v>0</v>
      </c>
      <c r="V480" s="94">
        <f t="shared" si="317"/>
        <v>0</v>
      </c>
      <c r="W480" s="153">
        <f t="shared" si="342"/>
        <v>47327.7</v>
      </c>
      <c r="X480" s="209">
        <f>IFERROR(VLOOKUP($B480,'Из ГУГЛа'!$B:$G,6,0)*Z480+Y480,VLOOKUP($B480,'Из ГУГЛа'!$B:$G,6,0))</f>
        <v>52260</v>
      </c>
      <c r="Y480" s="220">
        <f t="shared" si="322"/>
        <v>9970</v>
      </c>
      <c r="Z480" s="133">
        <v>1</v>
      </c>
      <c r="AA480" s="134"/>
      <c r="AB480" s="135">
        <f t="shared" si="343"/>
        <v>0.15096546692607005</v>
      </c>
      <c r="AC480" s="135">
        <f t="shared" si="344"/>
        <v>9.4380022962112564E-2</v>
      </c>
      <c r="AD480" s="135">
        <f t="shared" si="345"/>
        <v>0.27091439688715946</v>
      </c>
      <c r="AE480" s="222">
        <v>52260</v>
      </c>
      <c r="AF480" s="98" t="s">
        <v>648</v>
      </c>
      <c r="AH480" s="98" t="s">
        <v>116</v>
      </c>
    </row>
    <row r="481" spans="1:34" ht="46.5" thickTop="1" thickBot="1">
      <c r="A481" s="125" t="str">
        <f>INDEX('Выгр Торг'!$A:$A,MATCH($B481,'Выгр Торг'!$B:$B,0))</f>
        <v>Руль анатомический "Ferrum" Cross Serie (со вставками из алькантары) для Лада Веста, XRAY</v>
      </c>
      <c r="B481" s="126">
        <v>256961</v>
      </c>
      <c r="C481" s="127">
        <f>VLOOKUP($B481,'Выгр Торг'!$B:$Q,C$1,0)</f>
        <v>208127</v>
      </c>
      <c r="D481" s="44" t="s">
        <v>116</v>
      </c>
      <c r="E481" s="125" t="str">
        <f>VLOOKUP($B481,'Выгр Торг'!$B:$Q,E$1,0)</f>
        <v>Руль анатомический "Ferrum" Cross Serie (со вставками из алькантары) для Лада Веста, XRAY (Белая нить, Чёрный глянец)</v>
      </c>
      <c r="F481" s="127" t="str">
        <f>VLOOKUP($B481,'Выгр Торг'!$B:$Q,F$1,0)</f>
        <v>Y</v>
      </c>
      <c r="G481" s="127" t="str">
        <f>VLOOKUP($B481,'Выгр Торг'!$B:$Q,G$1,0)</f>
        <v>1</v>
      </c>
      <c r="H481" s="127">
        <v>208122</v>
      </c>
      <c r="I481" s="156"/>
      <c r="J481" s="160"/>
      <c r="K481" s="161">
        <v>870</v>
      </c>
      <c r="L481" s="130">
        <f t="shared" si="341"/>
        <v>41120</v>
      </c>
      <c r="M481" s="130">
        <f t="shared" si="319"/>
        <v>42120</v>
      </c>
      <c r="N481" s="130">
        <f t="shared" si="320"/>
        <v>35120</v>
      </c>
      <c r="O481" s="132">
        <f t="shared" si="324"/>
        <v>1.0243190661478598</v>
      </c>
      <c r="P481" s="132">
        <f t="shared" si="315"/>
        <v>1.1499999999999999</v>
      </c>
      <c r="Q481" s="130">
        <f t="shared" si="321"/>
        <v>50847.31182795699</v>
      </c>
      <c r="R481" s="148">
        <f t="shared" si="325"/>
        <v>50890</v>
      </c>
      <c r="S481" s="127">
        <f>VLOOKUP($B481,'Выгр Торг'!$B:$Q,S$1,0)</f>
        <v>41120</v>
      </c>
      <c r="T481" s="127">
        <f>VLOOKUP($B481,'Выгр Торг'!$B:$Q,T$1,0)</f>
        <v>50890</v>
      </c>
      <c r="U481" s="94">
        <f t="shared" si="316"/>
        <v>0</v>
      </c>
      <c r="V481" s="94">
        <f t="shared" si="317"/>
        <v>0</v>
      </c>
      <c r="W481" s="153">
        <f t="shared" si="342"/>
        <v>47327.7</v>
      </c>
      <c r="X481" s="209">
        <f>IFERROR(VLOOKUP($B481,'Из ГУГЛа'!$B:$G,6,0)*Z481+Y481,VLOOKUP($B481,'Из ГУГЛа'!$B:$G,6,0))</f>
        <v>52260</v>
      </c>
      <c r="Y481" s="220">
        <f t="shared" si="322"/>
        <v>9970</v>
      </c>
      <c r="Z481" s="133">
        <v>1</v>
      </c>
      <c r="AA481" s="134"/>
      <c r="AB481" s="135">
        <f t="shared" si="343"/>
        <v>0.15096546692607005</v>
      </c>
      <c r="AC481" s="135">
        <f t="shared" si="344"/>
        <v>9.4380022962112564E-2</v>
      </c>
      <c r="AD481" s="135">
        <f t="shared" si="345"/>
        <v>0.27091439688715946</v>
      </c>
      <c r="AE481" s="222">
        <v>52260</v>
      </c>
      <c r="AF481" s="98" t="s">
        <v>648</v>
      </c>
      <c r="AH481" s="98" t="s">
        <v>116</v>
      </c>
    </row>
    <row r="482" spans="1:34" ht="61.5" thickTop="1" thickBot="1">
      <c r="A482" s="125" t="str">
        <f>INDEX('Выгр Торг'!$A:$A,MATCH($B482,'Выгр Торг'!$B:$B,0))</f>
        <v>Анатомическое рулевое колесо (руль) "Ferrum Group" Arkana со вставками из алькантары для Renault Arkana</v>
      </c>
      <c r="B482" s="126">
        <v>322487</v>
      </c>
      <c r="C482" s="127">
        <f>VLOOKUP($B482,'Выгр Торг'!$B:$Q,C$1,0)</f>
        <v>322487</v>
      </c>
      <c r="D482" s="44" t="s">
        <v>157</v>
      </c>
      <c r="E482" s="125" t="str">
        <f>VLOOKUP($B482,'Выгр Торг'!$B:$Q,E$1,0)</f>
        <v>Анатомическое рулевое колесо (руль) "Ferrum Group" Arkana со вставками из алькантары для Renault Arkana (Чёрная нить)</v>
      </c>
      <c r="F482" s="127" t="str">
        <f>VLOOKUP($B482,'Выгр Торг'!$B:$Q,F$1,0)</f>
        <v>Y</v>
      </c>
      <c r="G482" s="127" t="str">
        <f>VLOOKUP($B482,'Выгр Торг'!$B:$Q,G$1,0)</f>
        <v>1</v>
      </c>
      <c r="H482" s="127">
        <v>322487</v>
      </c>
      <c r="I482" s="156"/>
      <c r="J482" s="160">
        <v>10000</v>
      </c>
      <c r="K482" s="161">
        <v>0</v>
      </c>
      <c r="L482" s="130">
        <f>M482-1000</f>
        <v>52600</v>
      </c>
      <c r="M482" s="131">
        <f>N482+J482</f>
        <v>53600</v>
      </c>
      <c r="N482" s="131">
        <v>43600</v>
      </c>
      <c r="O482" s="132">
        <f>M482/L482</f>
        <v>1.0190114068441065</v>
      </c>
      <c r="P482" s="132">
        <f t="shared" si="315"/>
        <v>1.1499999999999999</v>
      </c>
      <c r="Q482" s="147">
        <f t="shared" ref="Q482" si="346">L482*P482*100/93</f>
        <v>65043.010752688162</v>
      </c>
      <c r="R482" s="148">
        <f>IF(Q482&lt;=1000,(ROUNDUP(Q482,-2)-1),(ROUNDUP(Q482,-2)-10))</f>
        <v>65090</v>
      </c>
      <c r="S482" s="127">
        <f>VLOOKUP($B482,'Выгр Торг'!$B:$Q,S$1,0)</f>
        <v>52600</v>
      </c>
      <c r="T482" s="127">
        <f>VLOOKUP($B482,'Выгр Торг'!$B:$Q,T$1,0)</f>
        <v>65090</v>
      </c>
      <c r="U482" s="94">
        <f t="shared" si="316"/>
        <v>0</v>
      </c>
      <c r="V482" s="94">
        <f t="shared" si="317"/>
        <v>0</v>
      </c>
      <c r="W482" s="153">
        <f>R482*(1-$W$2)</f>
        <v>60533.7</v>
      </c>
      <c r="X482" s="209" t="str">
        <f>IFERROR(VLOOKUP($B482,'Из ГУГЛа'!$B:$G,6,0)*Z482+Y482,VLOOKUP($B482,'Из ГУГЛа'!$B:$G,6,0))</f>
        <v/>
      </c>
      <c r="Y482" s="106">
        <f>(J482+K482)*$Y$2</f>
        <v>13000</v>
      </c>
      <c r="Z482" s="133">
        <v>1</v>
      </c>
      <c r="AA482" s="134"/>
      <c r="AB482" s="135">
        <f>IFERROR(W482/L482-1,"")</f>
        <v>0.15083079847908731</v>
      </c>
      <c r="AC482" s="135" t="str">
        <f>IFERROR((AE482-W482)/AE482,"")</f>
        <v/>
      </c>
      <c r="AD482" s="135" t="str">
        <f>IFERROR(IF(AE482="","",AE482/L482-1),"")</f>
        <v/>
      </c>
      <c r="AE482" s="137" t="s">
        <v>879</v>
      </c>
      <c r="AH482" s="98" t="s">
        <v>157</v>
      </c>
    </row>
    <row r="483" spans="1:34" ht="61.5" thickTop="1" thickBot="1">
      <c r="A483" s="125" t="str">
        <f>INDEX('Выгр Торг'!$A:$A,MATCH($B483,'Выгр Торг'!$B:$B,0))</f>
        <v>Анатомическое рулевое колесо (руль) "Ferrum Group" Arkana со вставками из алькантары для Renault Arkana</v>
      </c>
      <c r="B483" s="126">
        <v>322488</v>
      </c>
      <c r="C483" s="127">
        <f>VLOOKUP($B483,'Выгр Торг'!$B:$Q,C$1,0)</f>
        <v>322488</v>
      </c>
      <c r="D483" s="44" t="s">
        <v>157</v>
      </c>
      <c r="E483" s="125" t="str">
        <f>VLOOKUP($B483,'Выгр Торг'!$B:$Q,E$1,0)</f>
        <v>Анатомическое рулевое колесо (руль) "Ferrum Group" Arkana со вставками из алькантары для Renault Arkana (Белая нить)</v>
      </c>
      <c r="F483" s="127" t="str">
        <f>VLOOKUP($B483,'Выгр Торг'!$B:$Q,F$1,0)</f>
        <v>Y</v>
      </c>
      <c r="G483" s="127" t="str">
        <f>VLOOKUP($B483,'Выгр Торг'!$B:$Q,G$1,0)</f>
        <v>1</v>
      </c>
      <c r="H483" s="127">
        <v>322487</v>
      </c>
      <c r="I483" s="156"/>
      <c r="J483" s="160"/>
      <c r="K483" s="161">
        <v>870</v>
      </c>
      <c r="L483" s="130">
        <f>M483-1000</f>
        <v>53470</v>
      </c>
      <c r="M483" s="130">
        <f t="shared" ref="M483:M494" si="347">INDEX($M:$M,MATCH($H483,$C:$C,0))+$K483+$J483</f>
        <v>54470</v>
      </c>
      <c r="N483" s="130">
        <f t="shared" ref="N483:N494" si="348">INDEX($N:$N,MATCH($H483,$C:$C,0))+$K483+$J483</f>
        <v>44470</v>
      </c>
      <c r="O483" s="132">
        <f t="shared" ref="O483:O520" si="349">M483/L483</f>
        <v>1.0187020759304284</v>
      </c>
      <c r="P483" s="132">
        <f t="shared" si="315"/>
        <v>1.1499999999999999</v>
      </c>
      <c r="Q483" s="130">
        <f t="shared" ref="Q483:Q494" si="350">INDEX($Q:$Q,MATCH($H483,$C:$C,0))+($K483+$J483)*INDEX($P:$P,MATCH($H483,$C:$C,0))*100/93</f>
        <v>66118.817204301071</v>
      </c>
      <c r="R483" s="148">
        <f t="shared" ref="R483:R520" si="351">IF(Q483&lt;=1000,(ROUNDUP(Q483,-2)-1),(ROUNDUP(Q483,-2)-10))</f>
        <v>66190</v>
      </c>
      <c r="S483" s="127">
        <f>VLOOKUP($B483,'Выгр Торг'!$B:$Q,S$1,0)</f>
        <v>53470</v>
      </c>
      <c r="T483" s="127">
        <f>VLOOKUP($B483,'Выгр Торг'!$B:$Q,T$1,0)</f>
        <v>66190</v>
      </c>
      <c r="U483" s="94">
        <f t="shared" si="316"/>
        <v>0</v>
      </c>
      <c r="V483" s="94">
        <f t="shared" si="317"/>
        <v>0</v>
      </c>
      <c r="W483" s="153">
        <f t="shared" ref="W483" si="352">R483*(1-$W$2)</f>
        <v>61556.7</v>
      </c>
      <c r="X483" s="209" t="str">
        <f>IFERROR(VLOOKUP($B483,'Из ГУГЛа'!$B:$G,6,0)*Z483+Y483,VLOOKUP($B483,'Из ГУГЛа'!$B:$G,6,0))</f>
        <v/>
      </c>
      <c r="Y483" s="220">
        <f t="shared" ref="Y483:Y494" si="353">INDEX($Y:$Y,MATCH($H483,$C:$C,0))+J483+K483</f>
        <v>13870</v>
      </c>
      <c r="Z483" s="133">
        <v>1</v>
      </c>
      <c r="AA483" s="134"/>
      <c r="AB483" s="135">
        <f t="shared" ref="AB483" si="354">IFERROR(W483/L483-1,"")</f>
        <v>0.15123807742659423</v>
      </c>
      <c r="AC483" s="135" t="str">
        <f t="shared" ref="AC483" si="355">IFERROR((AE483-W483)/AE483,"")</f>
        <v/>
      </c>
      <c r="AD483" s="135" t="str">
        <f t="shared" ref="AD483" si="356">IFERROR(IF(AE483="","",AE483/L483-1),"")</f>
        <v/>
      </c>
      <c r="AE483" s="137" t="s">
        <v>879</v>
      </c>
      <c r="AH483" s="98" t="s">
        <v>157</v>
      </c>
    </row>
    <row r="484" spans="1:34" ht="61.5" thickTop="1" thickBot="1">
      <c r="A484" s="125" t="str">
        <f>INDEX('Выгр Торг'!$A:$A,MATCH($B484,'Выгр Торг'!$B:$B,0))</f>
        <v>Анатомическое рулевое колесо (руль) "Ferrum Group" Arkana со вставками из алькантары для Renault Arkana</v>
      </c>
      <c r="B484" s="126">
        <v>322499</v>
      </c>
      <c r="C484" s="127">
        <f>VLOOKUP($B484,'Выгр Торг'!$B:$Q,C$1,0)</f>
        <v>322499</v>
      </c>
      <c r="D484" s="44" t="s">
        <v>157</v>
      </c>
      <c r="E484" s="125" t="str">
        <f>VLOOKUP($B484,'Выгр Торг'!$B:$Q,E$1,0)</f>
        <v>Анатомическое рулевое колесо (руль) "Ferrum Group" Arkana со вставками из алькантары для Renault Arkana (Жёлтая нить)</v>
      </c>
      <c r="F484" s="127" t="str">
        <f>VLOOKUP($B484,'Выгр Торг'!$B:$Q,F$1,0)</f>
        <v>Y</v>
      </c>
      <c r="G484" s="127" t="str">
        <f>VLOOKUP($B484,'Выгр Торг'!$B:$Q,G$1,0)</f>
        <v>1</v>
      </c>
      <c r="H484" s="127">
        <v>322487</v>
      </c>
      <c r="I484" s="156"/>
      <c r="J484" s="160"/>
      <c r="K484" s="161">
        <v>870</v>
      </c>
      <c r="L484" s="130">
        <f t="shared" ref="L484:L572" si="357">M484-1000</f>
        <v>53470</v>
      </c>
      <c r="M484" s="130">
        <f t="shared" si="347"/>
        <v>54470</v>
      </c>
      <c r="N484" s="130">
        <f t="shared" si="348"/>
        <v>44470</v>
      </c>
      <c r="O484" s="132">
        <f t="shared" si="349"/>
        <v>1.0187020759304284</v>
      </c>
      <c r="P484" s="132">
        <f t="shared" si="315"/>
        <v>1.1499999999999999</v>
      </c>
      <c r="Q484" s="130">
        <f t="shared" si="350"/>
        <v>66118.817204301071</v>
      </c>
      <c r="R484" s="148">
        <f t="shared" si="351"/>
        <v>66190</v>
      </c>
      <c r="S484" s="127">
        <f>VLOOKUP($B484,'Выгр Торг'!$B:$Q,S$1,0)</f>
        <v>53470</v>
      </c>
      <c r="T484" s="127">
        <f>VLOOKUP($B484,'Выгр Торг'!$B:$Q,T$1,0)</f>
        <v>66190</v>
      </c>
      <c r="U484" s="94">
        <f t="shared" si="316"/>
        <v>0</v>
      </c>
      <c r="V484" s="94">
        <f t="shared" si="317"/>
        <v>0</v>
      </c>
      <c r="W484" s="153">
        <f t="shared" ref="W484:W588" si="358">R484*(1-$W$2)</f>
        <v>61556.7</v>
      </c>
      <c r="X484" s="209" t="str">
        <f>IFERROR(VLOOKUP($B484,'Из ГУГЛа'!$B:$G,6,0)*Z484+Y484,VLOOKUP($B484,'Из ГУГЛа'!$B:$G,6,0))</f>
        <v/>
      </c>
      <c r="Y484" s="220">
        <f t="shared" si="353"/>
        <v>13870</v>
      </c>
      <c r="Z484" s="133">
        <v>1</v>
      </c>
      <c r="AA484" s="134"/>
      <c r="AB484" s="135">
        <f t="shared" ref="AB484:AB588" si="359">IFERROR(W484/L484-1,"")</f>
        <v>0.15123807742659423</v>
      </c>
      <c r="AC484" s="135" t="str">
        <f t="shared" ref="AC484:AC588" si="360">IFERROR((AE484-W484)/AE484,"")</f>
        <v/>
      </c>
      <c r="AD484" s="135" t="str">
        <f t="shared" ref="AD484:AD588" si="361">IFERROR(IF(AE484="","",AE484/L484-1),"")</f>
        <v/>
      </c>
      <c r="AE484" s="137" t="s">
        <v>879</v>
      </c>
      <c r="AH484" s="98" t="s">
        <v>157</v>
      </c>
    </row>
    <row r="485" spans="1:34" ht="61.5" thickTop="1" thickBot="1">
      <c r="A485" s="125" t="str">
        <f>INDEX('Выгр Торг'!$A:$A,MATCH($B485,'Выгр Торг'!$B:$B,0))</f>
        <v>Анатомическое рулевое колесо (руль) "Ferrum Group" Arkana со вставками из алькантары для Renault Arkana</v>
      </c>
      <c r="B485" s="126">
        <v>322498</v>
      </c>
      <c r="C485" s="127">
        <f>VLOOKUP($B485,'Выгр Торг'!$B:$Q,C$1,0)</f>
        <v>322498</v>
      </c>
      <c r="D485" s="44" t="s">
        <v>157</v>
      </c>
      <c r="E485" s="125" t="str">
        <f>VLOOKUP($B485,'Выгр Торг'!$B:$Q,E$1,0)</f>
        <v>Анатомическое рулевое колесо (руль) "Ferrum Group" Arkana со вставками из алькантары для Renault Arkana (Зелёная нить)</v>
      </c>
      <c r="F485" s="127" t="str">
        <f>VLOOKUP($B485,'Выгр Торг'!$B:$Q,F$1,0)</f>
        <v>Y</v>
      </c>
      <c r="G485" s="127" t="str">
        <f>VLOOKUP($B485,'Выгр Торг'!$B:$Q,G$1,0)</f>
        <v>1</v>
      </c>
      <c r="H485" s="127">
        <v>322487</v>
      </c>
      <c r="I485" s="156"/>
      <c r="J485" s="160"/>
      <c r="K485" s="161">
        <v>870</v>
      </c>
      <c r="L485" s="130">
        <f t="shared" si="357"/>
        <v>53470</v>
      </c>
      <c r="M485" s="130">
        <f t="shared" si="347"/>
        <v>54470</v>
      </c>
      <c r="N485" s="130">
        <f t="shared" si="348"/>
        <v>44470</v>
      </c>
      <c r="O485" s="132">
        <f t="shared" si="349"/>
        <v>1.0187020759304284</v>
      </c>
      <c r="P485" s="132">
        <f t="shared" si="315"/>
        <v>1.1499999999999999</v>
      </c>
      <c r="Q485" s="130">
        <f t="shared" si="350"/>
        <v>66118.817204301071</v>
      </c>
      <c r="R485" s="148">
        <f t="shared" si="351"/>
        <v>66190</v>
      </c>
      <c r="S485" s="127">
        <f>VLOOKUP($B485,'Выгр Торг'!$B:$Q,S$1,0)</f>
        <v>53470</v>
      </c>
      <c r="T485" s="127">
        <f>VLOOKUP($B485,'Выгр Торг'!$B:$Q,T$1,0)</f>
        <v>66190</v>
      </c>
      <c r="U485" s="94">
        <f t="shared" si="316"/>
        <v>0</v>
      </c>
      <c r="V485" s="94">
        <f t="shared" si="317"/>
        <v>0</v>
      </c>
      <c r="W485" s="153">
        <f t="shared" si="358"/>
        <v>61556.7</v>
      </c>
      <c r="X485" s="209" t="str">
        <f>IFERROR(VLOOKUP($B485,'Из ГУГЛа'!$B:$G,6,0)*Z485+Y485,VLOOKUP($B485,'Из ГУГЛа'!$B:$G,6,0))</f>
        <v/>
      </c>
      <c r="Y485" s="220">
        <f t="shared" si="353"/>
        <v>13870</v>
      </c>
      <c r="Z485" s="133">
        <v>1</v>
      </c>
      <c r="AA485" s="134"/>
      <c r="AB485" s="135">
        <f t="shared" si="359"/>
        <v>0.15123807742659423</v>
      </c>
      <c r="AC485" s="135" t="str">
        <f t="shared" si="360"/>
        <v/>
      </c>
      <c r="AD485" s="135" t="str">
        <f t="shared" si="361"/>
        <v/>
      </c>
      <c r="AE485" s="137" t="s">
        <v>879</v>
      </c>
      <c r="AH485" s="98" t="s">
        <v>157</v>
      </c>
    </row>
    <row r="486" spans="1:34" ht="61.5" thickTop="1" thickBot="1">
      <c r="A486" s="125" t="str">
        <f>INDEX('Выгр Торг'!$A:$A,MATCH($B486,'Выгр Торг'!$B:$B,0))</f>
        <v>Анатомическое рулевое колесо (руль) "Ferrum Group" Arkana со вставками из алькантары для Renault Arkana</v>
      </c>
      <c r="B486" s="126">
        <v>322490</v>
      </c>
      <c r="C486" s="127">
        <f>VLOOKUP($B486,'Выгр Торг'!$B:$Q,C$1,0)</f>
        <v>322490</v>
      </c>
      <c r="D486" s="44" t="s">
        <v>157</v>
      </c>
      <c r="E486" s="125" t="str">
        <f>VLOOKUP($B486,'Выгр Торг'!$B:$Q,E$1,0)</f>
        <v>Анатомическое рулевое колесо (руль) "Ferrum Group" Arkana со вставками из алькантары для Renault Arkana (Коричневая нить)</v>
      </c>
      <c r="F486" s="127" t="str">
        <f>VLOOKUP($B486,'Выгр Торг'!$B:$Q,F$1,0)</f>
        <v>Y</v>
      </c>
      <c r="G486" s="127" t="str">
        <f>VLOOKUP($B486,'Выгр Торг'!$B:$Q,G$1,0)</f>
        <v>1</v>
      </c>
      <c r="H486" s="127">
        <v>322487</v>
      </c>
      <c r="I486" s="156"/>
      <c r="J486" s="160"/>
      <c r="K486" s="161">
        <v>870</v>
      </c>
      <c r="L486" s="130">
        <f t="shared" si="357"/>
        <v>53470</v>
      </c>
      <c r="M486" s="130">
        <f t="shared" si="347"/>
        <v>54470</v>
      </c>
      <c r="N486" s="130">
        <f t="shared" si="348"/>
        <v>44470</v>
      </c>
      <c r="O486" s="132">
        <f t="shared" si="349"/>
        <v>1.0187020759304284</v>
      </c>
      <c r="P486" s="132">
        <f t="shared" si="315"/>
        <v>1.1499999999999999</v>
      </c>
      <c r="Q486" s="130">
        <f t="shared" si="350"/>
        <v>66118.817204301071</v>
      </c>
      <c r="R486" s="148">
        <f t="shared" si="351"/>
        <v>66190</v>
      </c>
      <c r="S486" s="127">
        <f>VLOOKUP($B486,'Выгр Торг'!$B:$Q,S$1,0)</f>
        <v>53470</v>
      </c>
      <c r="T486" s="127">
        <f>VLOOKUP($B486,'Выгр Торг'!$B:$Q,T$1,0)</f>
        <v>66190</v>
      </c>
      <c r="U486" s="94">
        <f t="shared" si="316"/>
        <v>0</v>
      </c>
      <c r="V486" s="94">
        <f t="shared" si="317"/>
        <v>0</v>
      </c>
      <c r="W486" s="153">
        <f t="shared" si="358"/>
        <v>61556.7</v>
      </c>
      <c r="X486" s="209" t="str">
        <f>IFERROR(VLOOKUP($B486,'Из ГУГЛа'!$B:$G,6,0)*Z486+Y486,VLOOKUP($B486,'Из ГУГЛа'!$B:$G,6,0))</f>
        <v/>
      </c>
      <c r="Y486" s="220">
        <f t="shared" si="353"/>
        <v>13870</v>
      </c>
      <c r="Z486" s="133">
        <v>1</v>
      </c>
      <c r="AA486" s="134"/>
      <c r="AB486" s="135">
        <f t="shared" si="359"/>
        <v>0.15123807742659423</v>
      </c>
      <c r="AC486" s="135" t="str">
        <f t="shared" si="360"/>
        <v/>
      </c>
      <c r="AD486" s="135" t="str">
        <f t="shared" si="361"/>
        <v/>
      </c>
      <c r="AE486" s="137" t="s">
        <v>879</v>
      </c>
      <c r="AH486" s="98" t="s">
        <v>157</v>
      </c>
    </row>
    <row r="487" spans="1:34" ht="61.5" thickTop="1" thickBot="1">
      <c r="A487" s="125" t="str">
        <f>INDEX('Выгр Торг'!$A:$A,MATCH($B487,'Выгр Торг'!$B:$B,0))</f>
        <v>Анатомическое рулевое колесо (руль) "Ferrum Group" Arkana со вставками из алькантары для Renault Arkana</v>
      </c>
      <c r="B487" s="126">
        <v>322491</v>
      </c>
      <c r="C487" s="127">
        <f>VLOOKUP($B487,'Выгр Торг'!$B:$Q,C$1,0)</f>
        <v>322491</v>
      </c>
      <c r="D487" s="44" t="s">
        <v>157</v>
      </c>
      <c r="E487" s="125" t="str">
        <f>VLOOKUP($B487,'Выгр Торг'!$B:$Q,E$1,0)</f>
        <v>Анатомическое рулевое колесо (руль) "Ferrum Group" Arkana со вставками из алькантары для Renault Arkana (Красная нить)</v>
      </c>
      <c r="F487" s="127" t="str">
        <f>VLOOKUP($B487,'Выгр Торг'!$B:$Q,F$1,0)</f>
        <v>Y</v>
      </c>
      <c r="G487" s="127" t="str">
        <f>VLOOKUP($B487,'Выгр Торг'!$B:$Q,G$1,0)</f>
        <v>1</v>
      </c>
      <c r="H487" s="127">
        <v>322487</v>
      </c>
      <c r="I487" s="156"/>
      <c r="J487" s="160"/>
      <c r="K487" s="161">
        <v>870</v>
      </c>
      <c r="L487" s="130">
        <f t="shared" si="357"/>
        <v>53470</v>
      </c>
      <c r="M487" s="130">
        <f t="shared" si="347"/>
        <v>54470</v>
      </c>
      <c r="N487" s="130">
        <f t="shared" si="348"/>
        <v>44470</v>
      </c>
      <c r="O487" s="132">
        <f t="shared" si="349"/>
        <v>1.0187020759304284</v>
      </c>
      <c r="P487" s="132">
        <f t="shared" si="315"/>
        <v>1.1499999999999999</v>
      </c>
      <c r="Q487" s="130">
        <f t="shared" si="350"/>
        <v>66118.817204301071</v>
      </c>
      <c r="R487" s="148">
        <f t="shared" si="351"/>
        <v>66190</v>
      </c>
      <c r="S487" s="127">
        <f>VLOOKUP($B487,'Выгр Торг'!$B:$Q,S$1,0)</f>
        <v>53470</v>
      </c>
      <c r="T487" s="127">
        <f>VLOOKUP($B487,'Выгр Торг'!$B:$Q,T$1,0)</f>
        <v>66190</v>
      </c>
      <c r="U487" s="94">
        <f t="shared" si="316"/>
        <v>0</v>
      </c>
      <c r="V487" s="94">
        <f t="shared" si="317"/>
        <v>0</v>
      </c>
      <c r="W487" s="153">
        <f t="shared" si="358"/>
        <v>61556.7</v>
      </c>
      <c r="X487" s="209" t="str">
        <f>IFERROR(VLOOKUP($B487,'Из ГУГЛа'!$B:$G,6,0)*Z487+Y487,VLOOKUP($B487,'Из ГУГЛа'!$B:$G,6,0))</f>
        <v/>
      </c>
      <c r="Y487" s="220">
        <f t="shared" si="353"/>
        <v>13870</v>
      </c>
      <c r="Z487" s="133">
        <v>1</v>
      </c>
      <c r="AA487" s="134"/>
      <c r="AB487" s="135">
        <f t="shared" si="359"/>
        <v>0.15123807742659423</v>
      </c>
      <c r="AC487" s="135" t="str">
        <f t="shared" si="360"/>
        <v/>
      </c>
      <c r="AD487" s="135" t="str">
        <f t="shared" si="361"/>
        <v/>
      </c>
      <c r="AE487" s="137" t="s">
        <v>879</v>
      </c>
      <c r="AH487" s="98" t="s">
        <v>157</v>
      </c>
    </row>
    <row r="488" spans="1:34" ht="61.5" thickTop="1" thickBot="1">
      <c r="A488" s="125" t="str">
        <f>INDEX('Выгр Торг'!$A:$A,MATCH($B488,'Выгр Торг'!$B:$B,0))</f>
        <v>Анатомическое рулевое колесо (руль) "Ferrum Group" Arkana со вставками из алькантары для Renault Arkana</v>
      </c>
      <c r="B488" s="126">
        <v>322492</v>
      </c>
      <c r="C488" s="127">
        <f>VLOOKUP($B488,'Выгр Торг'!$B:$Q,C$1,0)</f>
        <v>322492</v>
      </c>
      <c r="D488" s="44" t="s">
        <v>157</v>
      </c>
      <c r="E488" s="125" t="str">
        <f>VLOOKUP($B488,'Выгр Торг'!$B:$Q,E$1,0)</f>
        <v>Анатомическое рулевое колесо (руль) "Ferrum Group" Arkana со вставками из алькантары для Renault Arkana (Оранжевая нить)</v>
      </c>
      <c r="F488" s="127" t="str">
        <f>VLOOKUP($B488,'Выгр Торг'!$B:$Q,F$1,0)</f>
        <v>Y</v>
      </c>
      <c r="G488" s="127" t="str">
        <f>VLOOKUP($B488,'Выгр Торг'!$B:$Q,G$1,0)</f>
        <v>1</v>
      </c>
      <c r="H488" s="127">
        <v>322487</v>
      </c>
      <c r="I488" s="156"/>
      <c r="J488" s="160"/>
      <c r="K488" s="161">
        <v>870</v>
      </c>
      <c r="L488" s="130">
        <f t="shared" si="357"/>
        <v>53470</v>
      </c>
      <c r="M488" s="130">
        <f t="shared" si="347"/>
        <v>54470</v>
      </c>
      <c r="N488" s="130">
        <f t="shared" si="348"/>
        <v>44470</v>
      </c>
      <c r="O488" s="132">
        <f t="shared" si="349"/>
        <v>1.0187020759304284</v>
      </c>
      <c r="P488" s="132">
        <f t="shared" si="315"/>
        <v>1.1499999999999999</v>
      </c>
      <c r="Q488" s="130">
        <f t="shared" si="350"/>
        <v>66118.817204301071</v>
      </c>
      <c r="R488" s="148">
        <f t="shared" si="351"/>
        <v>66190</v>
      </c>
      <c r="S488" s="127">
        <f>VLOOKUP($B488,'Выгр Торг'!$B:$Q,S$1,0)</f>
        <v>53470</v>
      </c>
      <c r="T488" s="127">
        <f>VLOOKUP($B488,'Выгр Торг'!$B:$Q,T$1,0)</f>
        <v>66190</v>
      </c>
      <c r="U488" s="94">
        <f t="shared" si="316"/>
        <v>0</v>
      </c>
      <c r="V488" s="94">
        <f t="shared" si="317"/>
        <v>0</v>
      </c>
      <c r="W488" s="153">
        <f t="shared" si="358"/>
        <v>61556.7</v>
      </c>
      <c r="X488" s="209" t="str">
        <f>IFERROR(VLOOKUP($B488,'Из ГУГЛа'!$B:$G,6,0)*Z488+Y488,VLOOKUP($B488,'Из ГУГЛа'!$B:$G,6,0))</f>
        <v/>
      </c>
      <c r="Y488" s="220">
        <f t="shared" si="353"/>
        <v>13870</v>
      </c>
      <c r="Z488" s="133">
        <v>1</v>
      </c>
      <c r="AA488" s="134"/>
      <c r="AB488" s="135">
        <f t="shared" si="359"/>
        <v>0.15123807742659423</v>
      </c>
      <c r="AC488" s="135" t="str">
        <f t="shared" si="360"/>
        <v/>
      </c>
      <c r="AD488" s="135" t="str">
        <f t="shared" si="361"/>
        <v/>
      </c>
      <c r="AE488" s="137" t="s">
        <v>879</v>
      </c>
      <c r="AH488" s="98" t="s">
        <v>157</v>
      </c>
    </row>
    <row r="489" spans="1:34" ht="61.5" thickTop="1" thickBot="1">
      <c r="A489" s="125" t="str">
        <f>INDEX('Выгр Торг'!$A:$A,MATCH($B489,'Выгр Торг'!$B:$B,0))</f>
        <v>Анатомическое рулевое колесо (руль) "Ferrum Group" Arkana со вставками из алькантары для Renault Arkana</v>
      </c>
      <c r="B489" s="126">
        <v>322493</v>
      </c>
      <c r="C489" s="127">
        <f>VLOOKUP($B489,'Выгр Торг'!$B:$Q,C$1,0)</f>
        <v>322493</v>
      </c>
      <c r="D489" s="44" t="s">
        <v>157</v>
      </c>
      <c r="E489" s="125" t="str">
        <f>VLOOKUP($B489,'Выгр Торг'!$B:$Q,E$1,0)</f>
        <v>Анатомическое рулевое колесо (руль) "Ferrum Group" Arkana со вставками из алькантары для Renault Arkana (Салатовая нить)</v>
      </c>
      <c r="F489" s="127" t="str">
        <f>VLOOKUP($B489,'Выгр Торг'!$B:$Q,F$1,0)</f>
        <v>Y</v>
      </c>
      <c r="G489" s="127" t="str">
        <f>VLOOKUP($B489,'Выгр Торг'!$B:$Q,G$1,0)</f>
        <v>1</v>
      </c>
      <c r="H489" s="127">
        <v>322487</v>
      </c>
      <c r="I489" s="156"/>
      <c r="J489" s="160"/>
      <c r="K489" s="161">
        <v>870</v>
      </c>
      <c r="L489" s="130">
        <f t="shared" si="357"/>
        <v>53470</v>
      </c>
      <c r="M489" s="130">
        <f t="shared" si="347"/>
        <v>54470</v>
      </c>
      <c r="N489" s="130">
        <f t="shared" si="348"/>
        <v>44470</v>
      </c>
      <c r="O489" s="132">
        <f t="shared" si="349"/>
        <v>1.0187020759304284</v>
      </c>
      <c r="P489" s="132">
        <f t="shared" si="315"/>
        <v>1.1499999999999999</v>
      </c>
      <c r="Q489" s="130">
        <f t="shared" si="350"/>
        <v>66118.817204301071</v>
      </c>
      <c r="R489" s="148">
        <f t="shared" si="351"/>
        <v>66190</v>
      </c>
      <c r="S489" s="127">
        <f>VLOOKUP($B489,'Выгр Торг'!$B:$Q,S$1,0)</f>
        <v>53470</v>
      </c>
      <c r="T489" s="127">
        <f>VLOOKUP($B489,'Выгр Торг'!$B:$Q,T$1,0)</f>
        <v>66190</v>
      </c>
      <c r="U489" s="94">
        <f t="shared" si="316"/>
        <v>0</v>
      </c>
      <c r="V489" s="94">
        <f t="shared" si="317"/>
        <v>0</v>
      </c>
      <c r="W489" s="153">
        <f t="shared" si="358"/>
        <v>61556.7</v>
      </c>
      <c r="X489" s="209" t="str">
        <f>IFERROR(VLOOKUP($B489,'Из ГУГЛа'!$B:$G,6,0)*Z489+Y489,VLOOKUP($B489,'Из ГУГЛа'!$B:$G,6,0))</f>
        <v/>
      </c>
      <c r="Y489" s="220">
        <f t="shared" si="353"/>
        <v>13870</v>
      </c>
      <c r="Z489" s="133">
        <v>1</v>
      </c>
      <c r="AA489" s="134"/>
      <c r="AB489" s="135">
        <f t="shared" si="359"/>
        <v>0.15123807742659423</v>
      </c>
      <c r="AC489" s="135" t="str">
        <f t="shared" si="360"/>
        <v/>
      </c>
      <c r="AD489" s="135" t="str">
        <f t="shared" si="361"/>
        <v/>
      </c>
      <c r="AE489" s="137" t="s">
        <v>879</v>
      </c>
      <c r="AH489" s="98" t="s">
        <v>157</v>
      </c>
    </row>
    <row r="490" spans="1:34" ht="61.5" thickTop="1" thickBot="1">
      <c r="A490" s="125" t="str">
        <f>INDEX('Выгр Торг'!$A:$A,MATCH($B490,'Выгр Торг'!$B:$B,0))</f>
        <v>Анатомическое рулевое колесо (руль) "Ferrum Group" Arkana со вставками из алькантары для Renault Arkana</v>
      </c>
      <c r="B490" s="126">
        <v>322496</v>
      </c>
      <c r="C490" s="127">
        <f>VLOOKUP($B490,'Выгр Торг'!$B:$Q,C$1,0)</f>
        <v>322496</v>
      </c>
      <c r="D490" s="44" t="s">
        <v>157</v>
      </c>
      <c r="E490" s="125" t="str">
        <f>VLOOKUP($B490,'Выгр Торг'!$B:$Q,E$1,0)</f>
        <v>Анатомическое рулевое колесо (руль) "Ferrum Group" Arkana со вставками из алькантары для Renault Arkana (Светло-серая нить)</v>
      </c>
      <c r="F490" s="127" t="str">
        <f>VLOOKUP($B490,'Выгр Торг'!$B:$Q,F$1,0)</f>
        <v>Y</v>
      </c>
      <c r="G490" s="127" t="str">
        <f>VLOOKUP($B490,'Выгр Торг'!$B:$Q,G$1,0)</f>
        <v>1</v>
      </c>
      <c r="H490" s="127">
        <v>322487</v>
      </c>
      <c r="I490" s="156"/>
      <c r="J490" s="160"/>
      <c r="K490" s="161">
        <v>870</v>
      </c>
      <c r="L490" s="130">
        <f t="shared" si="357"/>
        <v>53470</v>
      </c>
      <c r="M490" s="130">
        <f t="shared" si="347"/>
        <v>54470</v>
      </c>
      <c r="N490" s="130">
        <f t="shared" si="348"/>
        <v>44470</v>
      </c>
      <c r="O490" s="132">
        <f t="shared" si="349"/>
        <v>1.0187020759304284</v>
      </c>
      <c r="P490" s="132">
        <f t="shared" si="315"/>
        <v>1.1499999999999999</v>
      </c>
      <c r="Q490" s="130">
        <f t="shared" si="350"/>
        <v>66118.817204301071</v>
      </c>
      <c r="R490" s="148">
        <f t="shared" si="351"/>
        <v>66190</v>
      </c>
      <c r="S490" s="127">
        <f>VLOOKUP($B490,'Выгр Торг'!$B:$Q,S$1,0)</f>
        <v>53470</v>
      </c>
      <c r="T490" s="127">
        <f>VLOOKUP($B490,'Выгр Торг'!$B:$Q,T$1,0)</f>
        <v>66190</v>
      </c>
      <c r="U490" s="94">
        <f t="shared" si="316"/>
        <v>0</v>
      </c>
      <c r="V490" s="94">
        <f t="shared" si="317"/>
        <v>0</v>
      </c>
      <c r="W490" s="153">
        <f t="shared" si="358"/>
        <v>61556.7</v>
      </c>
      <c r="X490" s="209" t="str">
        <f>IFERROR(VLOOKUP($B490,'Из ГУГЛа'!$B:$G,6,0)*Z490+Y490,VLOOKUP($B490,'Из ГУГЛа'!$B:$G,6,0))</f>
        <v/>
      </c>
      <c r="Y490" s="220">
        <f t="shared" si="353"/>
        <v>13870</v>
      </c>
      <c r="Z490" s="133">
        <v>1</v>
      </c>
      <c r="AA490" s="134"/>
      <c r="AB490" s="135">
        <f t="shared" si="359"/>
        <v>0.15123807742659423</v>
      </c>
      <c r="AC490" s="135" t="str">
        <f t="shared" si="360"/>
        <v/>
      </c>
      <c r="AD490" s="135" t="str">
        <f t="shared" si="361"/>
        <v/>
      </c>
      <c r="AE490" s="137" t="s">
        <v>879</v>
      </c>
      <c r="AH490" s="98" t="s">
        <v>157</v>
      </c>
    </row>
    <row r="491" spans="1:34" ht="61.5" thickTop="1" thickBot="1">
      <c r="A491" s="125" t="str">
        <f>INDEX('Выгр Торг'!$A:$A,MATCH($B491,'Выгр Торг'!$B:$B,0))</f>
        <v>Анатомическое рулевое колесо (руль) "Ferrum Group" Arkana со вставками из алькантары для Renault Arkana</v>
      </c>
      <c r="B491" s="126">
        <v>322494</v>
      </c>
      <c r="C491" s="127">
        <f>VLOOKUP($B491,'Выгр Торг'!$B:$Q,C$1,0)</f>
        <v>322494</v>
      </c>
      <c r="D491" s="44" t="s">
        <v>157</v>
      </c>
      <c r="E491" s="125" t="str">
        <f>VLOOKUP($B491,'Выгр Торг'!$B:$Q,E$1,0)</f>
        <v>Анатомическое рулевое колесо (руль) "Ferrum Group" Arkana со вставками из алькантары для Renault Arkana (Сине-зелёная нить)</v>
      </c>
      <c r="F491" s="127" t="str">
        <f>VLOOKUP($B491,'Выгр Торг'!$B:$Q,F$1,0)</f>
        <v>Y</v>
      </c>
      <c r="G491" s="127" t="str">
        <f>VLOOKUP($B491,'Выгр Торг'!$B:$Q,G$1,0)</f>
        <v>1</v>
      </c>
      <c r="H491" s="127">
        <v>322487</v>
      </c>
      <c r="I491" s="156"/>
      <c r="J491" s="160"/>
      <c r="K491" s="161">
        <v>870</v>
      </c>
      <c r="L491" s="130">
        <f t="shared" si="357"/>
        <v>53470</v>
      </c>
      <c r="M491" s="130">
        <f t="shared" si="347"/>
        <v>54470</v>
      </c>
      <c r="N491" s="130">
        <f t="shared" si="348"/>
        <v>44470</v>
      </c>
      <c r="O491" s="132">
        <f t="shared" si="349"/>
        <v>1.0187020759304284</v>
      </c>
      <c r="P491" s="132">
        <f t="shared" si="315"/>
        <v>1.1499999999999999</v>
      </c>
      <c r="Q491" s="130">
        <f t="shared" si="350"/>
        <v>66118.817204301071</v>
      </c>
      <c r="R491" s="148">
        <f t="shared" si="351"/>
        <v>66190</v>
      </c>
      <c r="S491" s="127">
        <f>VLOOKUP($B491,'Выгр Торг'!$B:$Q,S$1,0)</f>
        <v>53470</v>
      </c>
      <c r="T491" s="127">
        <f>VLOOKUP($B491,'Выгр Торг'!$B:$Q,T$1,0)</f>
        <v>66190</v>
      </c>
      <c r="U491" s="94">
        <f t="shared" si="316"/>
        <v>0</v>
      </c>
      <c r="V491" s="94">
        <f t="shared" si="317"/>
        <v>0</v>
      </c>
      <c r="W491" s="153">
        <f t="shared" si="358"/>
        <v>61556.7</v>
      </c>
      <c r="X491" s="209" t="str">
        <f>IFERROR(VLOOKUP($B491,'Из ГУГЛа'!$B:$G,6,0)*Z491+Y491,VLOOKUP($B491,'Из ГУГЛа'!$B:$G,6,0))</f>
        <v/>
      </c>
      <c r="Y491" s="220">
        <f t="shared" si="353"/>
        <v>13870</v>
      </c>
      <c r="Z491" s="133">
        <v>1</v>
      </c>
      <c r="AA491" s="134"/>
      <c r="AB491" s="135">
        <f t="shared" si="359"/>
        <v>0.15123807742659423</v>
      </c>
      <c r="AC491" s="135" t="str">
        <f t="shared" si="360"/>
        <v/>
      </c>
      <c r="AD491" s="135" t="str">
        <f t="shared" si="361"/>
        <v/>
      </c>
      <c r="AE491" s="137" t="s">
        <v>879</v>
      </c>
      <c r="AH491" s="98" t="s">
        <v>157</v>
      </c>
    </row>
    <row r="492" spans="1:34" ht="61.5" thickTop="1" thickBot="1">
      <c r="A492" s="125" t="str">
        <f>INDEX('Выгр Торг'!$A:$A,MATCH($B492,'Выгр Торг'!$B:$B,0))</f>
        <v>Анатомическое рулевое колесо (руль) "Ferrum Group" Arkana со вставками из алькантары для Renault Arkana</v>
      </c>
      <c r="B492" s="126">
        <v>322495</v>
      </c>
      <c r="C492" s="127">
        <f>VLOOKUP($B492,'Выгр Торг'!$B:$Q,C$1,0)</f>
        <v>322495</v>
      </c>
      <c r="D492" s="44" t="s">
        <v>157</v>
      </c>
      <c r="E492" s="125" t="str">
        <f>VLOOKUP($B492,'Выгр Торг'!$B:$Q,E$1,0)</f>
        <v>Анатомическое рулевое колесо (руль) "Ferrum Group" Arkana со вставками из алькантары для Renault Arkana (Синяя нить)</v>
      </c>
      <c r="F492" s="127" t="str">
        <f>VLOOKUP($B492,'Выгр Торг'!$B:$Q,F$1,0)</f>
        <v>Y</v>
      </c>
      <c r="G492" s="127" t="str">
        <f>VLOOKUP($B492,'Выгр Торг'!$B:$Q,G$1,0)</f>
        <v>1</v>
      </c>
      <c r="H492" s="127">
        <v>322487</v>
      </c>
      <c r="I492" s="156"/>
      <c r="J492" s="160"/>
      <c r="K492" s="161">
        <v>870</v>
      </c>
      <c r="L492" s="130">
        <f t="shared" si="357"/>
        <v>53470</v>
      </c>
      <c r="M492" s="130">
        <f t="shared" si="347"/>
        <v>54470</v>
      </c>
      <c r="N492" s="130">
        <f t="shared" si="348"/>
        <v>44470</v>
      </c>
      <c r="O492" s="132">
        <f t="shared" si="349"/>
        <v>1.0187020759304284</v>
      </c>
      <c r="P492" s="132">
        <f t="shared" si="315"/>
        <v>1.1499999999999999</v>
      </c>
      <c r="Q492" s="130">
        <f t="shared" si="350"/>
        <v>66118.817204301071</v>
      </c>
      <c r="R492" s="148">
        <f t="shared" si="351"/>
        <v>66190</v>
      </c>
      <c r="S492" s="127">
        <f>VLOOKUP($B492,'Выгр Торг'!$B:$Q,S$1,0)</f>
        <v>53470</v>
      </c>
      <c r="T492" s="127">
        <f>VLOOKUP($B492,'Выгр Торг'!$B:$Q,T$1,0)</f>
        <v>66190</v>
      </c>
      <c r="U492" s="94">
        <f t="shared" si="316"/>
        <v>0</v>
      </c>
      <c r="V492" s="94">
        <f t="shared" si="317"/>
        <v>0</v>
      </c>
      <c r="W492" s="153">
        <f t="shared" si="358"/>
        <v>61556.7</v>
      </c>
      <c r="X492" s="209" t="str">
        <f>IFERROR(VLOOKUP($B492,'Из ГУГЛа'!$B:$G,6,0)*Z492+Y492,VLOOKUP($B492,'Из ГУГЛа'!$B:$G,6,0))</f>
        <v/>
      </c>
      <c r="Y492" s="220">
        <f t="shared" si="353"/>
        <v>13870</v>
      </c>
      <c r="Z492" s="133">
        <v>1</v>
      </c>
      <c r="AA492" s="134"/>
      <c r="AB492" s="135">
        <f t="shared" si="359"/>
        <v>0.15123807742659423</v>
      </c>
      <c r="AC492" s="135" t="str">
        <f t="shared" si="360"/>
        <v/>
      </c>
      <c r="AD492" s="135" t="str">
        <f t="shared" si="361"/>
        <v/>
      </c>
      <c r="AE492" s="137" t="s">
        <v>879</v>
      </c>
      <c r="AH492" s="98" t="s">
        <v>157</v>
      </c>
    </row>
    <row r="493" spans="1:34" ht="61.5" thickTop="1" thickBot="1">
      <c r="A493" s="125" t="str">
        <f>INDEX('Выгр Торг'!$A:$A,MATCH($B493,'Выгр Торг'!$B:$B,0))</f>
        <v>Анатомическое рулевое колесо (руль) "Ferrum Group" Arkana со вставками из алькантары для Renault Arkana</v>
      </c>
      <c r="B493" s="126">
        <v>322497</v>
      </c>
      <c r="C493" s="127">
        <f>VLOOKUP($B493,'Выгр Торг'!$B:$Q,C$1,0)</f>
        <v>322497</v>
      </c>
      <c r="D493" s="44" t="s">
        <v>157</v>
      </c>
      <c r="E493" s="125" t="str">
        <f>VLOOKUP($B493,'Выгр Торг'!$B:$Q,E$1,0)</f>
        <v>Анатомическое рулевое колесо (руль) "Ferrum Group" Arkana со вставками из алькантары для Renault Arkana (Тёмно-серая нить)</v>
      </c>
      <c r="F493" s="127" t="str">
        <f>VLOOKUP($B493,'Выгр Торг'!$B:$Q,F$1,0)</f>
        <v>Y</v>
      </c>
      <c r="G493" s="127" t="str">
        <f>VLOOKUP($B493,'Выгр Торг'!$B:$Q,G$1,0)</f>
        <v>1</v>
      </c>
      <c r="H493" s="127">
        <v>322487</v>
      </c>
      <c r="I493" s="156"/>
      <c r="J493" s="160"/>
      <c r="K493" s="161">
        <v>870</v>
      </c>
      <c r="L493" s="130">
        <f t="shared" si="357"/>
        <v>53470</v>
      </c>
      <c r="M493" s="130">
        <f t="shared" si="347"/>
        <v>54470</v>
      </c>
      <c r="N493" s="130">
        <f t="shared" si="348"/>
        <v>44470</v>
      </c>
      <c r="O493" s="132">
        <f t="shared" si="349"/>
        <v>1.0187020759304284</v>
      </c>
      <c r="P493" s="132">
        <f t="shared" si="315"/>
        <v>1.1499999999999999</v>
      </c>
      <c r="Q493" s="130">
        <f t="shared" si="350"/>
        <v>66118.817204301071</v>
      </c>
      <c r="R493" s="148">
        <f t="shared" si="351"/>
        <v>66190</v>
      </c>
      <c r="S493" s="127">
        <f>VLOOKUP($B493,'Выгр Торг'!$B:$Q,S$1,0)</f>
        <v>53470</v>
      </c>
      <c r="T493" s="127">
        <f>VLOOKUP($B493,'Выгр Торг'!$B:$Q,T$1,0)</f>
        <v>66190</v>
      </c>
      <c r="U493" s="94">
        <f t="shared" si="316"/>
        <v>0</v>
      </c>
      <c r="V493" s="94">
        <f t="shared" si="317"/>
        <v>0</v>
      </c>
      <c r="W493" s="153">
        <f t="shared" si="358"/>
        <v>61556.7</v>
      </c>
      <c r="X493" s="209" t="str">
        <f>IFERROR(VLOOKUP($B493,'Из ГУГЛа'!$B:$G,6,0)*Z493+Y493,VLOOKUP($B493,'Из ГУГЛа'!$B:$G,6,0))</f>
        <v/>
      </c>
      <c r="Y493" s="220">
        <f t="shared" si="353"/>
        <v>13870</v>
      </c>
      <c r="Z493" s="133">
        <v>1</v>
      </c>
      <c r="AA493" s="134"/>
      <c r="AB493" s="135">
        <f t="shared" si="359"/>
        <v>0.15123807742659423</v>
      </c>
      <c r="AC493" s="135" t="str">
        <f t="shared" si="360"/>
        <v/>
      </c>
      <c r="AD493" s="135" t="str">
        <f t="shared" si="361"/>
        <v/>
      </c>
      <c r="AE493" s="137" t="s">
        <v>879</v>
      </c>
      <c r="AH493" s="98" t="s">
        <v>157</v>
      </c>
    </row>
    <row r="494" spans="1:34" ht="61.5" thickTop="1" thickBot="1">
      <c r="A494" s="125" t="str">
        <f>INDEX('Выгр Торг'!$A:$A,MATCH($B494,'Выгр Торг'!$B:$B,0))</f>
        <v>Анатомическое рулевое колесо (руль) "Ferrum Group" Arkana со вставками из алькантары для Renault Arkana</v>
      </c>
      <c r="B494" s="126">
        <v>322489</v>
      </c>
      <c r="C494" s="127">
        <f>VLOOKUP($B494,'Выгр Торг'!$B:$Q,C$1,0)</f>
        <v>322489</v>
      </c>
      <c r="D494" s="44" t="s">
        <v>157</v>
      </c>
      <c r="E494" s="125" t="str">
        <f>VLOOKUP($B494,'Выгр Торг'!$B:$Q,E$1,0)</f>
        <v>Анатомическое рулевое колесо (руль) "Ferrum Group" Arkana со вставками из алькантары для Renault Arkana (Фиолетовая нить)</v>
      </c>
      <c r="F494" s="127" t="str">
        <f>VLOOKUP($B494,'Выгр Торг'!$B:$Q,F$1,0)</f>
        <v>Y</v>
      </c>
      <c r="G494" s="127" t="str">
        <f>VLOOKUP($B494,'Выгр Торг'!$B:$Q,G$1,0)</f>
        <v>1</v>
      </c>
      <c r="H494" s="127">
        <v>322487</v>
      </c>
      <c r="I494" s="156"/>
      <c r="J494" s="160"/>
      <c r="K494" s="161">
        <v>870</v>
      </c>
      <c r="L494" s="130">
        <f t="shared" si="357"/>
        <v>53470</v>
      </c>
      <c r="M494" s="130">
        <f t="shared" si="347"/>
        <v>54470</v>
      </c>
      <c r="N494" s="130">
        <f t="shared" si="348"/>
        <v>44470</v>
      </c>
      <c r="O494" s="132">
        <f t="shared" si="349"/>
        <v>1.0187020759304284</v>
      </c>
      <c r="P494" s="132">
        <f t="shared" si="315"/>
        <v>1.1499999999999999</v>
      </c>
      <c r="Q494" s="130">
        <f t="shared" si="350"/>
        <v>66118.817204301071</v>
      </c>
      <c r="R494" s="148">
        <f t="shared" si="351"/>
        <v>66190</v>
      </c>
      <c r="S494" s="127">
        <f>VLOOKUP($B494,'Выгр Торг'!$B:$Q,S$1,0)</f>
        <v>53470</v>
      </c>
      <c r="T494" s="127">
        <f>VLOOKUP($B494,'Выгр Торг'!$B:$Q,T$1,0)</f>
        <v>66190</v>
      </c>
      <c r="U494" s="94">
        <f t="shared" si="316"/>
        <v>0</v>
      </c>
      <c r="V494" s="94">
        <f t="shared" si="317"/>
        <v>0</v>
      </c>
      <c r="W494" s="153">
        <f t="shared" si="358"/>
        <v>61556.7</v>
      </c>
      <c r="X494" s="209" t="str">
        <f>IFERROR(VLOOKUP($B494,'Из ГУГЛа'!$B:$G,6,0)*Z494+Y494,VLOOKUP($B494,'Из ГУГЛа'!$B:$G,6,0))</f>
        <v/>
      </c>
      <c r="Y494" s="220">
        <f t="shared" si="353"/>
        <v>13870</v>
      </c>
      <c r="Z494" s="133">
        <v>1</v>
      </c>
      <c r="AA494" s="134"/>
      <c r="AB494" s="135">
        <f t="shared" si="359"/>
        <v>0.15123807742659423</v>
      </c>
      <c r="AC494" s="135" t="str">
        <f t="shared" si="360"/>
        <v/>
      </c>
      <c r="AD494" s="135" t="str">
        <f t="shared" si="361"/>
        <v/>
      </c>
      <c r="AE494" s="137" t="s">
        <v>879</v>
      </c>
      <c r="AH494" s="98" t="s">
        <v>157</v>
      </c>
    </row>
    <row r="495" spans="1:34" ht="46.5" thickTop="1" thickBot="1">
      <c r="A495" s="125" t="str">
        <f>INDEX('Выгр Торг'!$A:$A,MATCH($B495,'Выгр Торг'!$B:$B,0))</f>
        <v>Руль анатомический "Ferrum" Vesta Cross Serie для Лада Веста, XRAY</v>
      </c>
      <c r="B495" s="126">
        <v>323222</v>
      </c>
      <c r="C495" s="127">
        <f>VLOOKUP($B495,'Выгр Торг'!$B:$Q,C$1,0)</f>
        <v>323222</v>
      </c>
      <c r="D495" s="44" t="s">
        <v>148</v>
      </c>
      <c r="E495" s="125" t="str">
        <f>VLOOKUP($B495,'Выгр Торг'!$B:$Q,E$1,0)</f>
        <v>Руль анатомический "Ferrum" Vesta Cross Serie для Лада Веста, XRAY (Чёрная нить, Чёрный глянец)</v>
      </c>
      <c r="F495" s="127" t="str">
        <f>VLOOKUP($B495,'Выгр Торг'!$B:$Q,F$1,0)</f>
        <v>Y</v>
      </c>
      <c r="G495" s="127" t="str">
        <f>VLOOKUP($B495,'Выгр Торг'!$B:$Q,G$1,0)</f>
        <v>1</v>
      </c>
      <c r="H495" s="127">
        <v>323222</v>
      </c>
      <c r="I495" s="156"/>
      <c r="J495" s="160">
        <v>7000</v>
      </c>
      <c r="K495" s="161">
        <v>0</v>
      </c>
      <c r="L495" s="130">
        <f>M495-1000</f>
        <v>39600</v>
      </c>
      <c r="M495" s="131">
        <f>N495+J495</f>
        <v>40600</v>
      </c>
      <c r="N495" s="131">
        <v>33600</v>
      </c>
      <c r="O495" s="132">
        <f>M495/L495</f>
        <v>1.0252525252525253</v>
      </c>
      <c r="P495" s="132">
        <f t="shared" si="315"/>
        <v>1.1499999999999999</v>
      </c>
      <c r="Q495" s="147">
        <f t="shared" ref="Q495" si="362">L495*P495*100/93</f>
        <v>48967.741935483871</v>
      </c>
      <c r="R495" s="148">
        <f>IF(Q495&lt;=1000,(ROUNDUP(Q495,-2)-1),(ROUNDUP(Q495,-2)-10))</f>
        <v>48990</v>
      </c>
      <c r="S495" s="127">
        <f>VLOOKUP($B495,'Выгр Торг'!$B:$Q,S$1,0)</f>
        <v>39600</v>
      </c>
      <c r="T495" s="127">
        <f>VLOOKUP($B495,'Выгр Торг'!$B:$Q,T$1,0)</f>
        <v>48990</v>
      </c>
      <c r="U495" s="94">
        <f t="shared" si="316"/>
        <v>0</v>
      </c>
      <c r="V495" s="94">
        <f t="shared" si="317"/>
        <v>0</v>
      </c>
      <c r="W495" s="153">
        <f>R495*(1-$W$2)</f>
        <v>45560.7</v>
      </c>
      <c r="X495" s="209">
        <f>IFERROR(VLOOKUP($B495,'Из ГУГЛа'!$B:$G,6,0)*Z495+Y495,VLOOKUP($B495,'Из ГУГЛа'!$B:$G,6,0))</f>
        <v>50590</v>
      </c>
      <c r="Y495" s="106">
        <f>(J495+K495)*$Y$2</f>
        <v>9100</v>
      </c>
      <c r="Z495" s="133">
        <v>1</v>
      </c>
      <c r="AA495" s="134"/>
      <c r="AB495" s="135">
        <f>IFERROR(W495/L495-1,"")</f>
        <v>0.1505227272727272</v>
      </c>
      <c r="AC495" s="135">
        <f>IFERROR((AE495-W495)/AE495,"")</f>
        <v>9.941292745601904E-2</v>
      </c>
      <c r="AD495" s="135">
        <f>IFERROR(IF(AE495="","",AE495/L495-1),"")</f>
        <v>0.27752525252525251</v>
      </c>
      <c r="AE495" s="137">
        <v>50590</v>
      </c>
      <c r="AF495" s="98" t="s">
        <v>615</v>
      </c>
      <c r="AH495" s="98" t="s">
        <v>148</v>
      </c>
    </row>
    <row r="496" spans="1:34" ht="46.5" thickTop="1" thickBot="1">
      <c r="A496" s="176" t="str">
        <f>INDEX('Выгр Торг'!$A:$A,MATCH($B496,'Выгр Торг'!$B:$B,0))</f>
        <v>Руль анатомический "Ferrum" Vesta Cross Serie для Лада Веста, XRAY</v>
      </c>
      <c r="B496" s="178">
        <v>341664</v>
      </c>
      <c r="C496" s="179">
        <f>VLOOKUP($B496,'Выгр Торг'!$B:$Q,C$1,0)</f>
        <v>341664</v>
      </c>
      <c r="D496" s="186" t="s">
        <v>148</v>
      </c>
      <c r="E496" s="176" t="str">
        <f>VLOOKUP($B496,'Выгр Торг'!$B:$Q,E$1,0)</f>
        <v>Руль анатомический "Ferrum" Vesta Cross Serie для Лада Веста, XRAY (Чёрная нить, Чёрный мат)</v>
      </c>
      <c r="F496" s="179" t="str">
        <f>VLOOKUP($B496,'Выгр Торг'!$B:$Q,F$1,0)</f>
        <v>Y</v>
      </c>
      <c r="G496" s="179" t="str">
        <f>VLOOKUP($B496,'Выгр Торг'!$B:$Q,G$1,0)</f>
        <v>1</v>
      </c>
      <c r="H496" s="179">
        <v>323222</v>
      </c>
      <c r="I496" s="156"/>
      <c r="J496" s="160">
        <v>830</v>
      </c>
      <c r="K496" s="161">
        <v>0</v>
      </c>
      <c r="L496" s="180">
        <f>M496-1000</f>
        <v>40430</v>
      </c>
      <c r="M496" s="180">
        <f t="shared" ref="M496:M520" si="363">INDEX($M:$M,MATCH($H496,$C:$C,0))+$K496+$J496</f>
        <v>41430</v>
      </c>
      <c r="N496" s="180">
        <f t="shared" ref="N496:N520" si="364">INDEX($N:$N,MATCH($H496,$C:$C,0))+$K496+$J496</f>
        <v>34430</v>
      </c>
      <c r="O496" s="107">
        <f>M496/L496</f>
        <v>1.0247341083353945</v>
      </c>
      <c r="P496" s="132">
        <f t="shared" si="315"/>
        <v>1.1499999999999999</v>
      </c>
      <c r="Q496" s="180">
        <f t="shared" ref="Q496:Q520" si="365">INDEX($Q:$Q,MATCH($H496,$C:$C,0))+($K496+$J496)*INDEX($P:$P,MATCH($H496,$C:$C,0))*100/93</f>
        <v>49994.086021505376</v>
      </c>
      <c r="R496" s="144">
        <f>IF(Q496&lt;=1000,(ROUNDUP(Q496,-2)-1),(ROUNDUP(Q496,-2)-10))</f>
        <v>49990</v>
      </c>
      <c r="S496" s="179">
        <f>VLOOKUP($B496,'Выгр Торг'!$B:$Q,S$1,0)</f>
        <v>40430</v>
      </c>
      <c r="T496" s="179">
        <f>VLOOKUP($B496,'Выгр Торг'!$B:$Q,T$1,0)</f>
        <v>49990</v>
      </c>
      <c r="U496" s="94">
        <f t="shared" si="316"/>
        <v>0</v>
      </c>
      <c r="V496" s="94">
        <f t="shared" si="317"/>
        <v>0</v>
      </c>
      <c r="W496" s="182">
        <f>R496*(1-$W$2)</f>
        <v>46490.7</v>
      </c>
      <c r="X496" s="218">
        <f>IFERROR(VLOOKUP($B496,'Из ГУГЛа'!$B:$G,6,0)*Z496+Y496,VLOOKUP($B496,'Из ГУГЛа'!$B:$G,6,0))</f>
        <v>51420</v>
      </c>
      <c r="Y496" s="220">
        <f t="shared" ref="Y496:Y520" si="366">INDEX($Y:$Y,MATCH($H496,$C:$C,0))+J496+K496</f>
        <v>9930</v>
      </c>
      <c r="Z496" s="133">
        <v>1</v>
      </c>
      <c r="AA496" s="133">
        <v>1300</v>
      </c>
      <c r="AB496" s="184">
        <f>IFERROR(W496/L496-1,"")</f>
        <v>0.14990601038832541</v>
      </c>
      <c r="AC496" s="184">
        <f>IFERROR((AE496-W496)/AE496,"")</f>
        <v>9.5863477246207751E-2</v>
      </c>
      <c r="AD496" s="184">
        <f>IFERROR(IF(AE496="","",AE496/L496-1),"")</f>
        <v>0.27182785060598569</v>
      </c>
      <c r="AE496" s="223">
        <v>51420</v>
      </c>
      <c r="AF496" s="98" t="s">
        <v>615</v>
      </c>
      <c r="AH496" s="98" t="s">
        <v>148</v>
      </c>
    </row>
    <row r="497" spans="1:34" ht="46.5" thickTop="1" thickBot="1">
      <c r="A497" s="125" t="str">
        <f>INDEX('Выгр Торг'!$A:$A,MATCH($B497,'Выгр Торг'!$B:$B,0))</f>
        <v>Руль анатомический "Ferrum" Vesta Cross Serie для Лада Веста, XRAY</v>
      </c>
      <c r="B497" s="126">
        <v>341663</v>
      </c>
      <c r="C497" s="127">
        <f>VLOOKUP($B497,'Выгр Торг'!$B:$Q,C$1,0)</f>
        <v>341663</v>
      </c>
      <c r="D497" s="44" t="s">
        <v>148</v>
      </c>
      <c r="E497" s="125" t="str">
        <f>VLOOKUP($B497,'Выгр Торг'!$B:$Q,E$1,0)</f>
        <v>Руль анатомический "Ferrum" Vesta Cross Serie для Лада Веста, XRAY (Белая нить, Чёрный мат)</v>
      </c>
      <c r="F497" s="127" t="str">
        <f>VLOOKUP($B497,'Выгр Торг'!$B:$Q,F$1,0)</f>
        <v>Y</v>
      </c>
      <c r="G497" s="127" t="str">
        <f>VLOOKUP($B497,'Выгр Торг'!$B:$Q,G$1,0)</f>
        <v>1</v>
      </c>
      <c r="H497" s="127">
        <v>323222</v>
      </c>
      <c r="I497" s="156"/>
      <c r="J497" s="160">
        <v>830</v>
      </c>
      <c r="K497" s="161">
        <v>870</v>
      </c>
      <c r="L497" s="130">
        <f t="shared" si="357"/>
        <v>41300</v>
      </c>
      <c r="M497" s="130">
        <f t="shared" si="363"/>
        <v>42300</v>
      </c>
      <c r="N497" s="130">
        <f t="shared" si="364"/>
        <v>35300</v>
      </c>
      <c r="O497" s="132">
        <f t="shared" si="349"/>
        <v>1.0242130750605327</v>
      </c>
      <c r="P497" s="132">
        <f t="shared" si="315"/>
        <v>1.1499999999999999</v>
      </c>
      <c r="Q497" s="130">
        <f t="shared" si="365"/>
        <v>51069.892473118278</v>
      </c>
      <c r="R497" s="148">
        <f t="shared" si="351"/>
        <v>51090</v>
      </c>
      <c r="S497" s="127">
        <f>VLOOKUP($B497,'Выгр Торг'!$B:$Q,S$1,0)</f>
        <v>41300</v>
      </c>
      <c r="T497" s="127">
        <f>VLOOKUP($B497,'Выгр Торг'!$B:$Q,T$1,0)</f>
        <v>51090</v>
      </c>
      <c r="U497" s="94">
        <f t="shared" si="316"/>
        <v>0</v>
      </c>
      <c r="V497" s="94">
        <f t="shared" si="317"/>
        <v>0</v>
      </c>
      <c r="W497" s="153">
        <f t="shared" si="358"/>
        <v>47513.7</v>
      </c>
      <c r="X497" s="209">
        <f>IFERROR(VLOOKUP($B497,'Из ГУГЛа'!$B:$G,6,0)*Z497+Y497,VLOOKUP($B497,'Из ГУГЛа'!$B:$G,6,0))</f>
        <v>52290</v>
      </c>
      <c r="Y497" s="220">
        <f t="shared" si="366"/>
        <v>10800</v>
      </c>
      <c r="Z497" s="133">
        <v>1</v>
      </c>
      <c r="AA497" s="133">
        <v>1300</v>
      </c>
      <c r="AB497" s="135">
        <f t="shared" si="359"/>
        <v>0.15045278450363186</v>
      </c>
      <c r="AC497" s="135">
        <f t="shared" si="360"/>
        <v>9.1342512908778026E-2</v>
      </c>
      <c r="AD497" s="135">
        <f t="shared" si="361"/>
        <v>0.26610169491525415</v>
      </c>
      <c r="AE497" s="223">
        <v>52290</v>
      </c>
      <c r="AF497" s="98" t="s">
        <v>615</v>
      </c>
      <c r="AH497" s="98" t="s">
        <v>148</v>
      </c>
    </row>
    <row r="498" spans="1:34" ht="46.5" thickTop="1" thickBot="1">
      <c r="A498" s="176" t="str">
        <f>INDEX('Выгр Торг'!$A:$A,MATCH($B498,'Выгр Торг'!$B:$B,0))</f>
        <v>Руль анатомический "Ferrum" Vesta Cross Serie для Лада Веста, XRAY</v>
      </c>
      <c r="B498" s="178">
        <v>341675</v>
      </c>
      <c r="C498" s="179">
        <f>VLOOKUP($B498,'Выгр Торг'!$B:$Q,C$1,0)</f>
        <v>341675</v>
      </c>
      <c r="D498" s="186" t="s">
        <v>148</v>
      </c>
      <c r="E498" s="176" t="str">
        <f>VLOOKUP($B498,'Выгр Торг'!$B:$Q,E$1,0)</f>
        <v>Руль анатомический "Ferrum" Vesta Cross Serie для Лада Веста, XRAY (Жёлтая нить, Чёрный мат)</v>
      </c>
      <c r="F498" s="179" t="str">
        <f>VLOOKUP($B498,'Выгр Торг'!$B:$Q,F$1,0)</f>
        <v>Y</v>
      </c>
      <c r="G498" s="179" t="str">
        <f>VLOOKUP($B498,'Выгр Торг'!$B:$Q,G$1,0)</f>
        <v>1</v>
      </c>
      <c r="H498" s="179">
        <v>323222</v>
      </c>
      <c r="I498" s="156"/>
      <c r="J498" s="160">
        <v>830</v>
      </c>
      <c r="K498" s="161">
        <v>870</v>
      </c>
      <c r="L498" s="180">
        <f t="shared" ref="L498:L509" si="367">M498-1000</f>
        <v>41300</v>
      </c>
      <c r="M498" s="180">
        <f t="shared" si="363"/>
        <v>42300</v>
      </c>
      <c r="N498" s="180">
        <f t="shared" si="364"/>
        <v>35300</v>
      </c>
      <c r="O498" s="107">
        <f t="shared" ref="O498:O509" si="368">M498/L498</f>
        <v>1.0242130750605327</v>
      </c>
      <c r="P498" s="132">
        <f t="shared" si="315"/>
        <v>1.1499999999999999</v>
      </c>
      <c r="Q498" s="180">
        <f t="shared" si="365"/>
        <v>51069.892473118278</v>
      </c>
      <c r="R498" s="144">
        <f t="shared" ref="R498:R509" si="369">IF(Q498&lt;=1000,(ROUNDUP(Q498,-2)-1),(ROUNDUP(Q498,-2)-10))</f>
        <v>51090</v>
      </c>
      <c r="S498" s="179">
        <f>VLOOKUP($B498,'Выгр Торг'!$B:$Q,S$1,0)</f>
        <v>41300</v>
      </c>
      <c r="T498" s="179">
        <f>VLOOKUP($B498,'Выгр Торг'!$B:$Q,T$1,0)</f>
        <v>51090</v>
      </c>
      <c r="U498" s="94">
        <f t="shared" si="316"/>
        <v>0</v>
      </c>
      <c r="V498" s="94">
        <f t="shared" si="317"/>
        <v>0</v>
      </c>
      <c r="W498" s="182">
        <f t="shared" ref="W498:W509" si="370">R498*(1-$W$2)</f>
        <v>47513.7</v>
      </c>
      <c r="X498" s="218">
        <f>IFERROR(VLOOKUP($B498,'Из ГУГЛа'!$B:$G,6,0)*Z498+Y498,VLOOKUP($B498,'Из ГУГЛа'!$B:$G,6,0))</f>
        <v>52290</v>
      </c>
      <c r="Y498" s="220">
        <f t="shared" si="366"/>
        <v>10800</v>
      </c>
      <c r="Z498" s="133">
        <v>1</v>
      </c>
      <c r="AA498" s="133">
        <v>1300</v>
      </c>
      <c r="AB498" s="184">
        <f t="shared" ref="AB498:AB509" si="371">IFERROR(W498/L498-1,"")</f>
        <v>0.15045278450363186</v>
      </c>
      <c r="AC498" s="184">
        <f t="shared" ref="AC498:AC509" si="372">IFERROR((AE498-W498)/AE498,"")</f>
        <v>9.1342512908778026E-2</v>
      </c>
      <c r="AD498" s="184">
        <f t="shared" ref="AD498:AD509" si="373">IFERROR(IF(AE498="","",AE498/L498-1),"")</f>
        <v>0.26610169491525415</v>
      </c>
      <c r="AE498" s="223">
        <v>52290</v>
      </c>
      <c r="AF498" s="98" t="s">
        <v>615</v>
      </c>
      <c r="AH498" s="98" t="s">
        <v>148</v>
      </c>
    </row>
    <row r="499" spans="1:34" ht="46.5" thickTop="1" thickBot="1">
      <c r="A499" s="176" t="str">
        <f>INDEX('Выгр Торг'!$A:$A,MATCH($B499,'Выгр Торг'!$B:$B,0))</f>
        <v>Руль анатомический "Ferrum" Vesta Cross Serie для Лада Веста, XRAY</v>
      </c>
      <c r="B499" s="178">
        <v>341674</v>
      </c>
      <c r="C499" s="179">
        <f>VLOOKUP($B499,'Выгр Торг'!$B:$Q,C$1,0)</f>
        <v>341674</v>
      </c>
      <c r="D499" s="186" t="s">
        <v>148</v>
      </c>
      <c r="E499" s="176" t="str">
        <f>VLOOKUP($B499,'Выгр Торг'!$B:$Q,E$1,0)</f>
        <v>Руль анатомический "Ferrum" Vesta Cross Serie для Лада Веста, XRAY (Зелёная нить, Чёрный мат)</v>
      </c>
      <c r="F499" s="179" t="str">
        <f>VLOOKUP($B499,'Выгр Торг'!$B:$Q,F$1,0)</f>
        <v>Y</v>
      </c>
      <c r="G499" s="179" t="str">
        <f>VLOOKUP($B499,'Выгр Торг'!$B:$Q,G$1,0)</f>
        <v>1</v>
      </c>
      <c r="H499" s="179">
        <v>323222</v>
      </c>
      <c r="I499" s="156"/>
      <c r="J499" s="160">
        <v>830</v>
      </c>
      <c r="K499" s="161">
        <v>870</v>
      </c>
      <c r="L499" s="180">
        <f t="shared" si="367"/>
        <v>41300</v>
      </c>
      <c r="M499" s="180">
        <f t="shared" si="363"/>
        <v>42300</v>
      </c>
      <c r="N499" s="180">
        <f t="shared" si="364"/>
        <v>35300</v>
      </c>
      <c r="O499" s="107">
        <f t="shared" si="368"/>
        <v>1.0242130750605327</v>
      </c>
      <c r="P499" s="132">
        <f t="shared" si="315"/>
        <v>1.1499999999999999</v>
      </c>
      <c r="Q499" s="180">
        <f t="shared" si="365"/>
        <v>51069.892473118278</v>
      </c>
      <c r="R499" s="144">
        <f t="shared" si="369"/>
        <v>51090</v>
      </c>
      <c r="S499" s="179">
        <f>VLOOKUP($B499,'Выгр Торг'!$B:$Q,S$1,0)</f>
        <v>41300</v>
      </c>
      <c r="T499" s="179">
        <f>VLOOKUP($B499,'Выгр Торг'!$B:$Q,T$1,0)</f>
        <v>51090</v>
      </c>
      <c r="U499" s="94">
        <f t="shared" si="316"/>
        <v>0</v>
      </c>
      <c r="V499" s="94">
        <f t="shared" si="317"/>
        <v>0</v>
      </c>
      <c r="W499" s="182">
        <f t="shared" si="370"/>
        <v>47513.7</v>
      </c>
      <c r="X499" s="218">
        <f>IFERROR(VLOOKUP($B499,'Из ГУГЛа'!$B:$G,6,0)*Z499+Y499,VLOOKUP($B499,'Из ГУГЛа'!$B:$G,6,0))</f>
        <v>52290</v>
      </c>
      <c r="Y499" s="220">
        <f t="shared" si="366"/>
        <v>10800</v>
      </c>
      <c r="Z499" s="133">
        <v>1</v>
      </c>
      <c r="AA499" s="133">
        <v>1300</v>
      </c>
      <c r="AB499" s="184">
        <f t="shared" si="371"/>
        <v>0.15045278450363186</v>
      </c>
      <c r="AC499" s="184">
        <f t="shared" si="372"/>
        <v>9.1342512908778026E-2</v>
      </c>
      <c r="AD499" s="184">
        <f t="shared" si="373"/>
        <v>0.26610169491525415</v>
      </c>
      <c r="AE499" s="223">
        <v>52290</v>
      </c>
      <c r="AF499" s="98" t="s">
        <v>615</v>
      </c>
      <c r="AH499" s="98" t="s">
        <v>148</v>
      </c>
    </row>
    <row r="500" spans="1:34" ht="46.5" thickTop="1" thickBot="1">
      <c r="A500" s="176" t="str">
        <f>INDEX('Выгр Торг'!$A:$A,MATCH($B500,'Выгр Торг'!$B:$B,0))</f>
        <v>Руль анатомический "Ferrum" Vesta Cross Serie для Лада Веста, XRAY</v>
      </c>
      <c r="B500" s="178">
        <v>341666</v>
      </c>
      <c r="C500" s="179">
        <f>VLOOKUP($B500,'Выгр Торг'!$B:$Q,C$1,0)</f>
        <v>341666</v>
      </c>
      <c r="D500" s="186" t="s">
        <v>148</v>
      </c>
      <c r="E500" s="176" t="str">
        <f>VLOOKUP($B500,'Выгр Торг'!$B:$Q,E$1,0)</f>
        <v>Руль анатомический "Ferrum" Vesta Cross Serie для Лада Веста, XRAY (Коричневая нить, Чёрный мат)</v>
      </c>
      <c r="F500" s="179" t="str">
        <f>VLOOKUP($B500,'Выгр Торг'!$B:$Q,F$1,0)</f>
        <v>Y</v>
      </c>
      <c r="G500" s="179" t="str">
        <f>VLOOKUP($B500,'Выгр Торг'!$B:$Q,G$1,0)</f>
        <v>1</v>
      </c>
      <c r="H500" s="179">
        <v>323222</v>
      </c>
      <c r="I500" s="156"/>
      <c r="J500" s="160">
        <v>830</v>
      </c>
      <c r="K500" s="161">
        <v>870</v>
      </c>
      <c r="L500" s="180">
        <f t="shared" si="367"/>
        <v>41300</v>
      </c>
      <c r="M500" s="180">
        <f t="shared" si="363"/>
        <v>42300</v>
      </c>
      <c r="N500" s="180">
        <f t="shared" si="364"/>
        <v>35300</v>
      </c>
      <c r="O500" s="107">
        <f t="shared" si="368"/>
        <v>1.0242130750605327</v>
      </c>
      <c r="P500" s="132">
        <f t="shared" si="315"/>
        <v>1.1499999999999999</v>
      </c>
      <c r="Q500" s="180">
        <f t="shared" si="365"/>
        <v>51069.892473118278</v>
      </c>
      <c r="R500" s="144">
        <f t="shared" si="369"/>
        <v>51090</v>
      </c>
      <c r="S500" s="179">
        <f>VLOOKUP($B500,'Выгр Торг'!$B:$Q,S$1,0)</f>
        <v>41300</v>
      </c>
      <c r="T500" s="179">
        <f>VLOOKUP($B500,'Выгр Торг'!$B:$Q,T$1,0)</f>
        <v>51090</v>
      </c>
      <c r="U500" s="94">
        <f t="shared" si="316"/>
        <v>0</v>
      </c>
      <c r="V500" s="94">
        <f t="shared" si="317"/>
        <v>0</v>
      </c>
      <c r="W500" s="182">
        <f t="shared" si="370"/>
        <v>47513.7</v>
      </c>
      <c r="X500" s="218">
        <f>IFERROR(VLOOKUP($B500,'Из ГУГЛа'!$B:$G,6,0)*Z500+Y500,VLOOKUP($B500,'Из ГУГЛа'!$B:$G,6,0))</f>
        <v>52290</v>
      </c>
      <c r="Y500" s="220">
        <f t="shared" si="366"/>
        <v>10800</v>
      </c>
      <c r="Z500" s="133">
        <v>1</v>
      </c>
      <c r="AA500" s="133">
        <v>1300</v>
      </c>
      <c r="AB500" s="184">
        <f t="shared" si="371"/>
        <v>0.15045278450363186</v>
      </c>
      <c r="AC500" s="184">
        <f t="shared" si="372"/>
        <v>9.1342512908778026E-2</v>
      </c>
      <c r="AD500" s="184">
        <f t="shared" si="373"/>
        <v>0.26610169491525415</v>
      </c>
      <c r="AE500" s="223">
        <v>52290</v>
      </c>
      <c r="AF500" s="98" t="s">
        <v>615</v>
      </c>
      <c r="AH500" s="98" t="s">
        <v>148</v>
      </c>
    </row>
    <row r="501" spans="1:34" ht="46.5" thickTop="1" thickBot="1">
      <c r="A501" s="176" t="str">
        <f>INDEX('Выгр Торг'!$A:$A,MATCH($B501,'Выгр Торг'!$B:$B,0))</f>
        <v>Руль анатомический "Ferrum" Vesta Cross Serie для Лада Веста, XRAY</v>
      </c>
      <c r="B501" s="178">
        <v>341667</v>
      </c>
      <c r="C501" s="179">
        <f>VLOOKUP($B501,'Выгр Торг'!$B:$Q,C$1,0)</f>
        <v>341667</v>
      </c>
      <c r="D501" s="186" t="s">
        <v>148</v>
      </c>
      <c r="E501" s="176" t="str">
        <f>VLOOKUP($B501,'Выгр Торг'!$B:$Q,E$1,0)</f>
        <v>Руль анатомический "Ferrum" Vesta Cross Serie для Лада Веста, XRAY (Красная нить, Чёрный мат)</v>
      </c>
      <c r="F501" s="179" t="str">
        <f>VLOOKUP($B501,'Выгр Торг'!$B:$Q,F$1,0)</f>
        <v>Y</v>
      </c>
      <c r="G501" s="179" t="str">
        <f>VLOOKUP($B501,'Выгр Торг'!$B:$Q,G$1,0)</f>
        <v>1</v>
      </c>
      <c r="H501" s="179">
        <v>323222</v>
      </c>
      <c r="I501" s="156"/>
      <c r="J501" s="160">
        <v>830</v>
      </c>
      <c r="K501" s="161">
        <v>870</v>
      </c>
      <c r="L501" s="180">
        <f t="shared" si="367"/>
        <v>41300</v>
      </c>
      <c r="M501" s="180">
        <f t="shared" si="363"/>
        <v>42300</v>
      </c>
      <c r="N501" s="180">
        <f t="shared" si="364"/>
        <v>35300</v>
      </c>
      <c r="O501" s="107">
        <f t="shared" si="368"/>
        <v>1.0242130750605327</v>
      </c>
      <c r="P501" s="132">
        <f t="shared" si="315"/>
        <v>1.1499999999999999</v>
      </c>
      <c r="Q501" s="180">
        <f t="shared" si="365"/>
        <v>51069.892473118278</v>
      </c>
      <c r="R501" s="144">
        <f t="shared" si="369"/>
        <v>51090</v>
      </c>
      <c r="S501" s="179">
        <f>VLOOKUP($B501,'Выгр Торг'!$B:$Q,S$1,0)</f>
        <v>41300</v>
      </c>
      <c r="T501" s="179">
        <f>VLOOKUP($B501,'Выгр Торг'!$B:$Q,T$1,0)</f>
        <v>51090</v>
      </c>
      <c r="U501" s="94">
        <f t="shared" si="316"/>
        <v>0</v>
      </c>
      <c r="V501" s="94">
        <f t="shared" si="317"/>
        <v>0</v>
      </c>
      <c r="W501" s="182">
        <f t="shared" si="370"/>
        <v>47513.7</v>
      </c>
      <c r="X501" s="218">
        <f>IFERROR(VLOOKUP($B501,'Из ГУГЛа'!$B:$G,6,0)*Z501+Y501,VLOOKUP($B501,'Из ГУГЛа'!$B:$G,6,0))</f>
        <v>52290</v>
      </c>
      <c r="Y501" s="220">
        <f t="shared" si="366"/>
        <v>10800</v>
      </c>
      <c r="Z501" s="133">
        <v>1</v>
      </c>
      <c r="AA501" s="133">
        <v>1300</v>
      </c>
      <c r="AB501" s="184">
        <f t="shared" si="371"/>
        <v>0.15045278450363186</v>
      </c>
      <c r="AC501" s="184">
        <f t="shared" si="372"/>
        <v>9.1342512908778026E-2</v>
      </c>
      <c r="AD501" s="184">
        <f t="shared" si="373"/>
        <v>0.26610169491525415</v>
      </c>
      <c r="AE501" s="223">
        <v>52290</v>
      </c>
      <c r="AF501" s="98" t="s">
        <v>615</v>
      </c>
      <c r="AH501" s="98" t="s">
        <v>148</v>
      </c>
    </row>
    <row r="502" spans="1:34" ht="46.5" thickTop="1" thickBot="1">
      <c r="A502" s="176" t="str">
        <f>INDEX('Выгр Торг'!$A:$A,MATCH($B502,'Выгр Торг'!$B:$B,0))</f>
        <v>Руль анатомический "Ferrum" Vesta Cross Serie для Лада Веста, XRAY</v>
      </c>
      <c r="B502" s="178">
        <v>341668</v>
      </c>
      <c r="C502" s="179">
        <f>VLOOKUP($B502,'Выгр Торг'!$B:$Q,C$1,0)</f>
        <v>341668</v>
      </c>
      <c r="D502" s="186" t="s">
        <v>148</v>
      </c>
      <c r="E502" s="176" t="str">
        <f>VLOOKUP($B502,'Выгр Торг'!$B:$Q,E$1,0)</f>
        <v>Руль анатомический "Ferrum" Vesta Cross Serie для Лада Веста, XRAY (Оранжевая нить, Чёрный мат)</v>
      </c>
      <c r="F502" s="179" t="str">
        <f>VLOOKUP($B502,'Выгр Торг'!$B:$Q,F$1,0)</f>
        <v>Y</v>
      </c>
      <c r="G502" s="179" t="str">
        <f>VLOOKUP($B502,'Выгр Торг'!$B:$Q,G$1,0)</f>
        <v>1</v>
      </c>
      <c r="H502" s="179">
        <v>323222</v>
      </c>
      <c r="I502" s="156"/>
      <c r="J502" s="160">
        <v>830</v>
      </c>
      <c r="K502" s="161">
        <v>870</v>
      </c>
      <c r="L502" s="180">
        <f t="shared" si="367"/>
        <v>41300</v>
      </c>
      <c r="M502" s="180">
        <f t="shared" si="363"/>
        <v>42300</v>
      </c>
      <c r="N502" s="180">
        <f t="shared" si="364"/>
        <v>35300</v>
      </c>
      <c r="O502" s="107">
        <f t="shared" si="368"/>
        <v>1.0242130750605327</v>
      </c>
      <c r="P502" s="132">
        <f t="shared" si="315"/>
        <v>1.1499999999999999</v>
      </c>
      <c r="Q502" s="180">
        <f t="shared" si="365"/>
        <v>51069.892473118278</v>
      </c>
      <c r="R502" s="144">
        <f t="shared" si="369"/>
        <v>51090</v>
      </c>
      <c r="S502" s="179">
        <f>VLOOKUP($B502,'Выгр Торг'!$B:$Q,S$1,0)</f>
        <v>41300</v>
      </c>
      <c r="T502" s="179">
        <f>VLOOKUP($B502,'Выгр Торг'!$B:$Q,T$1,0)</f>
        <v>51090</v>
      </c>
      <c r="U502" s="94">
        <f t="shared" si="316"/>
        <v>0</v>
      </c>
      <c r="V502" s="94">
        <f t="shared" si="317"/>
        <v>0</v>
      </c>
      <c r="W502" s="182">
        <f t="shared" si="370"/>
        <v>47513.7</v>
      </c>
      <c r="X502" s="218">
        <f>IFERROR(VLOOKUP($B502,'Из ГУГЛа'!$B:$G,6,0)*Z502+Y502,VLOOKUP($B502,'Из ГУГЛа'!$B:$G,6,0))</f>
        <v>52290</v>
      </c>
      <c r="Y502" s="220">
        <f t="shared" si="366"/>
        <v>10800</v>
      </c>
      <c r="Z502" s="133">
        <v>1</v>
      </c>
      <c r="AA502" s="133">
        <v>1300</v>
      </c>
      <c r="AB502" s="184">
        <f t="shared" si="371"/>
        <v>0.15045278450363186</v>
      </c>
      <c r="AC502" s="184">
        <f t="shared" si="372"/>
        <v>9.1342512908778026E-2</v>
      </c>
      <c r="AD502" s="184">
        <f t="shared" si="373"/>
        <v>0.26610169491525415</v>
      </c>
      <c r="AE502" s="223">
        <v>52290</v>
      </c>
      <c r="AF502" s="98" t="s">
        <v>615</v>
      </c>
      <c r="AH502" s="98" t="s">
        <v>148</v>
      </c>
    </row>
    <row r="503" spans="1:34" ht="46.5" thickTop="1" thickBot="1">
      <c r="A503" s="176" t="str">
        <f>INDEX('Выгр Торг'!$A:$A,MATCH($B503,'Выгр Торг'!$B:$B,0))</f>
        <v>Руль анатомический "Ferrum" Vesta Cross Serie для Лада Веста, XRAY</v>
      </c>
      <c r="B503" s="178">
        <v>341669</v>
      </c>
      <c r="C503" s="179">
        <f>VLOOKUP($B503,'Выгр Торг'!$B:$Q,C$1,0)</f>
        <v>341669</v>
      </c>
      <c r="D503" s="186" t="s">
        <v>148</v>
      </c>
      <c r="E503" s="176" t="str">
        <f>VLOOKUP($B503,'Выгр Торг'!$B:$Q,E$1,0)</f>
        <v>Руль анатомический "Ferrum" Vesta Cross Serie для Лада Веста, XRAY (Салатовая нить, Чёрный мат)</v>
      </c>
      <c r="F503" s="179" t="str">
        <f>VLOOKUP($B503,'Выгр Торг'!$B:$Q,F$1,0)</f>
        <v>Y</v>
      </c>
      <c r="G503" s="179" t="str">
        <f>VLOOKUP($B503,'Выгр Торг'!$B:$Q,G$1,0)</f>
        <v>1</v>
      </c>
      <c r="H503" s="179">
        <v>323222</v>
      </c>
      <c r="I503" s="156"/>
      <c r="J503" s="160">
        <v>830</v>
      </c>
      <c r="K503" s="161">
        <v>870</v>
      </c>
      <c r="L503" s="180">
        <f t="shared" si="367"/>
        <v>41300</v>
      </c>
      <c r="M503" s="180">
        <f t="shared" si="363"/>
        <v>42300</v>
      </c>
      <c r="N503" s="180">
        <f t="shared" si="364"/>
        <v>35300</v>
      </c>
      <c r="O503" s="107">
        <f t="shared" si="368"/>
        <v>1.0242130750605327</v>
      </c>
      <c r="P503" s="132">
        <f t="shared" si="315"/>
        <v>1.1499999999999999</v>
      </c>
      <c r="Q503" s="180">
        <f t="shared" si="365"/>
        <v>51069.892473118278</v>
      </c>
      <c r="R503" s="144">
        <f t="shared" si="369"/>
        <v>51090</v>
      </c>
      <c r="S503" s="179">
        <f>VLOOKUP($B503,'Выгр Торг'!$B:$Q,S$1,0)</f>
        <v>41300</v>
      </c>
      <c r="T503" s="179">
        <f>VLOOKUP($B503,'Выгр Торг'!$B:$Q,T$1,0)</f>
        <v>51090</v>
      </c>
      <c r="U503" s="94">
        <f t="shared" si="316"/>
        <v>0</v>
      </c>
      <c r="V503" s="94">
        <f t="shared" si="317"/>
        <v>0</v>
      </c>
      <c r="W503" s="182">
        <f t="shared" si="370"/>
        <v>47513.7</v>
      </c>
      <c r="X503" s="218">
        <f>IFERROR(VLOOKUP($B503,'Из ГУГЛа'!$B:$G,6,0)*Z503+Y503,VLOOKUP($B503,'Из ГУГЛа'!$B:$G,6,0))</f>
        <v>52290</v>
      </c>
      <c r="Y503" s="220">
        <f t="shared" si="366"/>
        <v>10800</v>
      </c>
      <c r="Z503" s="133">
        <v>1</v>
      </c>
      <c r="AA503" s="133">
        <v>1300</v>
      </c>
      <c r="AB503" s="184">
        <f t="shared" si="371"/>
        <v>0.15045278450363186</v>
      </c>
      <c r="AC503" s="184">
        <f t="shared" si="372"/>
        <v>9.1342512908778026E-2</v>
      </c>
      <c r="AD503" s="184">
        <f t="shared" si="373"/>
        <v>0.26610169491525415</v>
      </c>
      <c r="AE503" s="223">
        <v>52290</v>
      </c>
      <c r="AF503" s="98" t="s">
        <v>615</v>
      </c>
      <c r="AH503" s="98" t="s">
        <v>148</v>
      </c>
    </row>
    <row r="504" spans="1:34" ht="46.5" thickTop="1" thickBot="1">
      <c r="A504" s="176" t="str">
        <f>INDEX('Выгр Торг'!$A:$A,MATCH($B504,'Выгр Торг'!$B:$B,0))</f>
        <v>Руль анатомический "Ferrum" Vesta Cross Serie для Лада Веста, XRAY</v>
      </c>
      <c r="B504" s="178">
        <v>341672</v>
      </c>
      <c r="C504" s="179">
        <f>VLOOKUP($B504,'Выгр Торг'!$B:$Q,C$1,0)</f>
        <v>341672</v>
      </c>
      <c r="D504" s="186" t="s">
        <v>148</v>
      </c>
      <c r="E504" s="176" t="str">
        <f>VLOOKUP($B504,'Выгр Торг'!$B:$Q,E$1,0)</f>
        <v>Руль анатомический "Ferrum" Vesta Cross Serie для Лада Веста, XRAY (Светло-серая нить, Чёрный мат)</v>
      </c>
      <c r="F504" s="179" t="str">
        <f>VLOOKUP($B504,'Выгр Торг'!$B:$Q,F$1,0)</f>
        <v>Y</v>
      </c>
      <c r="G504" s="179" t="str">
        <f>VLOOKUP($B504,'Выгр Торг'!$B:$Q,G$1,0)</f>
        <v>1</v>
      </c>
      <c r="H504" s="179">
        <v>323222</v>
      </c>
      <c r="I504" s="156"/>
      <c r="J504" s="160">
        <v>830</v>
      </c>
      <c r="K504" s="161">
        <v>870</v>
      </c>
      <c r="L504" s="180">
        <f t="shared" si="367"/>
        <v>41300</v>
      </c>
      <c r="M504" s="180">
        <f t="shared" si="363"/>
        <v>42300</v>
      </c>
      <c r="N504" s="180">
        <f t="shared" si="364"/>
        <v>35300</v>
      </c>
      <c r="O504" s="107">
        <f t="shared" si="368"/>
        <v>1.0242130750605327</v>
      </c>
      <c r="P504" s="132">
        <f t="shared" si="315"/>
        <v>1.1499999999999999</v>
      </c>
      <c r="Q504" s="180">
        <f t="shared" si="365"/>
        <v>51069.892473118278</v>
      </c>
      <c r="R504" s="144">
        <f t="shared" si="369"/>
        <v>51090</v>
      </c>
      <c r="S504" s="179">
        <f>VLOOKUP($B504,'Выгр Торг'!$B:$Q,S$1,0)</f>
        <v>41300</v>
      </c>
      <c r="T504" s="179">
        <f>VLOOKUP($B504,'Выгр Торг'!$B:$Q,T$1,0)</f>
        <v>51090</v>
      </c>
      <c r="U504" s="94">
        <f t="shared" si="316"/>
        <v>0</v>
      </c>
      <c r="V504" s="94">
        <f t="shared" si="317"/>
        <v>0</v>
      </c>
      <c r="W504" s="182">
        <f t="shared" si="370"/>
        <v>47513.7</v>
      </c>
      <c r="X504" s="218">
        <f>IFERROR(VLOOKUP($B504,'Из ГУГЛа'!$B:$G,6,0)*Z504+Y504,VLOOKUP($B504,'Из ГУГЛа'!$B:$G,6,0))</f>
        <v>52290</v>
      </c>
      <c r="Y504" s="220">
        <f t="shared" si="366"/>
        <v>10800</v>
      </c>
      <c r="Z504" s="133">
        <v>1</v>
      </c>
      <c r="AA504" s="133">
        <v>1300</v>
      </c>
      <c r="AB504" s="184">
        <f t="shared" si="371"/>
        <v>0.15045278450363186</v>
      </c>
      <c r="AC504" s="184">
        <f t="shared" si="372"/>
        <v>9.1342512908778026E-2</v>
      </c>
      <c r="AD504" s="184">
        <f t="shared" si="373"/>
        <v>0.26610169491525415</v>
      </c>
      <c r="AE504" s="223">
        <v>52290</v>
      </c>
      <c r="AF504" s="98" t="s">
        <v>615</v>
      </c>
      <c r="AH504" s="98" t="s">
        <v>148</v>
      </c>
    </row>
    <row r="505" spans="1:34" ht="46.5" thickTop="1" thickBot="1">
      <c r="A505" s="176" t="str">
        <f>INDEX('Выгр Торг'!$A:$A,MATCH($B505,'Выгр Торг'!$B:$B,0))</f>
        <v>Руль анатомический "Ferrum" Vesta Cross Serie для Лада Веста, XRAY</v>
      </c>
      <c r="B505" s="178">
        <v>341670</v>
      </c>
      <c r="C505" s="179">
        <f>VLOOKUP($B505,'Выгр Торг'!$B:$Q,C$1,0)</f>
        <v>341670</v>
      </c>
      <c r="D505" s="186" t="s">
        <v>148</v>
      </c>
      <c r="E505" s="176" t="str">
        <f>VLOOKUP($B505,'Выгр Торг'!$B:$Q,E$1,0)</f>
        <v>Руль анатомический "Ferrum" Vesta Cross Serie для Лада Веста, XRAY (Сине-зелёная нить, Чёрный мат)</v>
      </c>
      <c r="F505" s="179" t="str">
        <f>VLOOKUP($B505,'Выгр Торг'!$B:$Q,F$1,0)</f>
        <v>Y</v>
      </c>
      <c r="G505" s="179" t="str">
        <f>VLOOKUP($B505,'Выгр Торг'!$B:$Q,G$1,0)</f>
        <v>1</v>
      </c>
      <c r="H505" s="179">
        <v>323222</v>
      </c>
      <c r="I505" s="156"/>
      <c r="J505" s="160">
        <v>830</v>
      </c>
      <c r="K505" s="161">
        <v>870</v>
      </c>
      <c r="L505" s="180">
        <f t="shared" si="367"/>
        <v>41300</v>
      </c>
      <c r="M505" s="180">
        <f t="shared" si="363"/>
        <v>42300</v>
      </c>
      <c r="N505" s="180">
        <f t="shared" si="364"/>
        <v>35300</v>
      </c>
      <c r="O505" s="107">
        <f t="shared" si="368"/>
        <v>1.0242130750605327</v>
      </c>
      <c r="P505" s="132">
        <f t="shared" si="315"/>
        <v>1.1499999999999999</v>
      </c>
      <c r="Q505" s="180">
        <f t="shared" si="365"/>
        <v>51069.892473118278</v>
      </c>
      <c r="R505" s="144">
        <f t="shared" si="369"/>
        <v>51090</v>
      </c>
      <c r="S505" s="179">
        <f>VLOOKUP($B505,'Выгр Торг'!$B:$Q,S$1,0)</f>
        <v>41300</v>
      </c>
      <c r="T505" s="179">
        <f>VLOOKUP($B505,'Выгр Торг'!$B:$Q,T$1,0)</f>
        <v>51090</v>
      </c>
      <c r="U505" s="94">
        <f t="shared" si="316"/>
        <v>0</v>
      </c>
      <c r="V505" s="94">
        <f t="shared" si="317"/>
        <v>0</v>
      </c>
      <c r="W505" s="182">
        <f t="shared" si="370"/>
        <v>47513.7</v>
      </c>
      <c r="X505" s="218">
        <f>IFERROR(VLOOKUP($B505,'Из ГУГЛа'!$B:$G,6,0)*Z505+Y505,VLOOKUP($B505,'Из ГУГЛа'!$B:$G,6,0))</f>
        <v>52290</v>
      </c>
      <c r="Y505" s="220">
        <f t="shared" si="366"/>
        <v>10800</v>
      </c>
      <c r="Z505" s="133">
        <v>1</v>
      </c>
      <c r="AA505" s="133">
        <v>1300</v>
      </c>
      <c r="AB505" s="184">
        <f t="shared" si="371"/>
        <v>0.15045278450363186</v>
      </c>
      <c r="AC505" s="184">
        <f t="shared" si="372"/>
        <v>9.1342512908778026E-2</v>
      </c>
      <c r="AD505" s="184">
        <f t="shared" si="373"/>
        <v>0.26610169491525415</v>
      </c>
      <c r="AE505" s="223">
        <v>52290</v>
      </c>
      <c r="AF505" s="98" t="s">
        <v>615</v>
      </c>
      <c r="AH505" s="98" t="s">
        <v>148</v>
      </c>
    </row>
    <row r="506" spans="1:34" ht="46.5" thickTop="1" thickBot="1">
      <c r="A506" s="176" t="str">
        <f>INDEX('Выгр Торг'!$A:$A,MATCH($B506,'Выгр Торг'!$B:$B,0))</f>
        <v>Руль анатомический "Ferrum" Vesta Cross Serie для Лада Веста, XRAY</v>
      </c>
      <c r="B506" s="178">
        <v>341671</v>
      </c>
      <c r="C506" s="179">
        <f>VLOOKUP($B506,'Выгр Торг'!$B:$Q,C$1,0)</f>
        <v>341671</v>
      </c>
      <c r="D506" s="186" t="s">
        <v>148</v>
      </c>
      <c r="E506" s="176" t="str">
        <f>VLOOKUP($B506,'Выгр Торг'!$B:$Q,E$1,0)</f>
        <v>Руль анатомический "Ferrum" Vesta Cross Serie для Лада Веста, XRAY (Синяя нить, Чёрный мат)</v>
      </c>
      <c r="F506" s="179" t="str">
        <f>VLOOKUP($B506,'Выгр Торг'!$B:$Q,F$1,0)</f>
        <v>Y</v>
      </c>
      <c r="G506" s="179" t="str">
        <f>VLOOKUP($B506,'Выгр Торг'!$B:$Q,G$1,0)</f>
        <v>1</v>
      </c>
      <c r="H506" s="179">
        <v>323222</v>
      </c>
      <c r="I506" s="156"/>
      <c r="J506" s="160">
        <v>830</v>
      </c>
      <c r="K506" s="161">
        <v>870</v>
      </c>
      <c r="L506" s="180">
        <f t="shared" si="367"/>
        <v>41300</v>
      </c>
      <c r="M506" s="180">
        <f t="shared" si="363"/>
        <v>42300</v>
      </c>
      <c r="N506" s="180">
        <f t="shared" si="364"/>
        <v>35300</v>
      </c>
      <c r="O506" s="107">
        <f t="shared" si="368"/>
        <v>1.0242130750605327</v>
      </c>
      <c r="P506" s="132">
        <f t="shared" si="315"/>
        <v>1.1499999999999999</v>
      </c>
      <c r="Q506" s="180">
        <f t="shared" si="365"/>
        <v>51069.892473118278</v>
      </c>
      <c r="R506" s="144">
        <f t="shared" si="369"/>
        <v>51090</v>
      </c>
      <c r="S506" s="179">
        <f>VLOOKUP($B506,'Выгр Торг'!$B:$Q,S$1,0)</f>
        <v>41300</v>
      </c>
      <c r="T506" s="179">
        <f>VLOOKUP($B506,'Выгр Торг'!$B:$Q,T$1,0)</f>
        <v>51090</v>
      </c>
      <c r="U506" s="94">
        <f t="shared" si="316"/>
        <v>0</v>
      </c>
      <c r="V506" s="94">
        <f t="shared" si="317"/>
        <v>0</v>
      </c>
      <c r="W506" s="182">
        <f t="shared" si="370"/>
        <v>47513.7</v>
      </c>
      <c r="X506" s="218">
        <f>IFERROR(VLOOKUP($B506,'Из ГУГЛа'!$B:$G,6,0)*Z506+Y506,VLOOKUP($B506,'Из ГУГЛа'!$B:$G,6,0))</f>
        <v>52290</v>
      </c>
      <c r="Y506" s="220">
        <f t="shared" si="366"/>
        <v>10800</v>
      </c>
      <c r="Z506" s="133">
        <v>1</v>
      </c>
      <c r="AA506" s="133">
        <v>1300</v>
      </c>
      <c r="AB506" s="184">
        <f t="shared" si="371"/>
        <v>0.15045278450363186</v>
      </c>
      <c r="AC506" s="184">
        <f t="shared" si="372"/>
        <v>9.1342512908778026E-2</v>
      </c>
      <c r="AD506" s="184">
        <f t="shared" si="373"/>
        <v>0.26610169491525415</v>
      </c>
      <c r="AE506" s="223">
        <v>52290</v>
      </c>
      <c r="AF506" s="98" t="s">
        <v>615</v>
      </c>
      <c r="AH506" s="98" t="s">
        <v>148</v>
      </c>
    </row>
    <row r="507" spans="1:34" ht="46.5" thickTop="1" thickBot="1">
      <c r="A507" s="176" t="str">
        <f>INDEX('Выгр Торг'!$A:$A,MATCH($B507,'Выгр Торг'!$B:$B,0))</f>
        <v>Руль анатомический "Ferrum" Vesta Cross Serie для Лада Веста, XRAY</v>
      </c>
      <c r="B507" s="178">
        <v>341673</v>
      </c>
      <c r="C507" s="179">
        <f>VLOOKUP($B507,'Выгр Торг'!$B:$Q,C$1,0)</f>
        <v>341673</v>
      </c>
      <c r="D507" s="186" t="s">
        <v>148</v>
      </c>
      <c r="E507" s="176" t="str">
        <f>VLOOKUP($B507,'Выгр Торг'!$B:$Q,E$1,0)</f>
        <v>Руль анатомический "Ferrum" Vesta Cross Serie для Лада Веста, XRAY (Тёмно-серая нить, Чёрный мат)</v>
      </c>
      <c r="F507" s="179" t="str">
        <f>VLOOKUP($B507,'Выгр Торг'!$B:$Q,F$1,0)</f>
        <v>Y</v>
      </c>
      <c r="G507" s="179" t="str">
        <f>VLOOKUP($B507,'Выгр Торг'!$B:$Q,G$1,0)</f>
        <v>1</v>
      </c>
      <c r="H507" s="179">
        <v>323222</v>
      </c>
      <c r="I507" s="156"/>
      <c r="J507" s="160">
        <v>830</v>
      </c>
      <c r="K507" s="161">
        <v>870</v>
      </c>
      <c r="L507" s="180">
        <f t="shared" si="367"/>
        <v>41300</v>
      </c>
      <c r="M507" s="180">
        <f t="shared" si="363"/>
        <v>42300</v>
      </c>
      <c r="N507" s="180">
        <f t="shared" si="364"/>
        <v>35300</v>
      </c>
      <c r="O507" s="107">
        <f t="shared" si="368"/>
        <v>1.0242130750605327</v>
      </c>
      <c r="P507" s="132">
        <f t="shared" si="315"/>
        <v>1.1499999999999999</v>
      </c>
      <c r="Q507" s="180">
        <f t="shared" si="365"/>
        <v>51069.892473118278</v>
      </c>
      <c r="R507" s="144">
        <f t="shared" si="369"/>
        <v>51090</v>
      </c>
      <c r="S507" s="179">
        <f>VLOOKUP($B507,'Выгр Торг'!$B:$Q,S$1,0)</f>
        <v>41300</v>
      </c>
      <c r="T507" s="179">
        <f>VLOOKUP($B507,'Выгр Торг'!$B:$Q,T$1,0)</f>
        <v>51090</v>
      </c>
      <c r="U507" s="94">
        <f t="shared" si="316"/>
        <v>0</v>
      </c>
      <c r="V507" s="94">
        <f t="shared" si="317"/>
        <v>0</v>
      </c>
      <c r="W507" s="182">
        <f t="shared" si="370"/>
        <v>47513.7</v>
      </c>
      <c r="X507" s="218">
        <f>IFERROR(VLOOKUP($B507,'Из ГУГЛа'!$B:$G,6,0)*Z507+Y507,VLOOKUP($B507,'Из ГУГЛа'!$B:$G,6,0))</f>
        <v>52290</v>
      </c>
      <c r="Y507" s="220">
        <f t="shared" si="366"/>
        <v>10800</v>
      </c>
      <c r="Z507" s="133">
        <v>1</v>
      </c>
      <c r="AA507" s="133">
        <v>1300</v>
      </c>
      <c r="AB507" s="184">
        <f t="shared" si="371"/>
        <v>0.15045278450363186</v>
      </c>
      <c r="AC507" s="184">
        <f t="shared" si="372"/>
        <v>9.1342512908778026E-2</v>
      </c>
      <c r="AD507" s="184">
        <f t="shared" si="373"/>
        <v>0.26610169491525415</v>
      </c>
      <c r="AE507" s="223">
        <v>52290</v>
      </c>
      <c r="AF507" s="98" t="s">
        <v>615</v>
      </c>
      <c r="AH507" s="98" t="s">
        <v>148</v>
      </c>
    </row>
    <row r="508" spans="1:34" ht="46.5" thickTop="1" thickBot="1">
      <c r="A508" s="176" t="str">
        <f>INDEX('Выгр Торг'!$A:$A,MATCH($B508,'Выгр Торг'!$B:$B,0))</f>
        <v>Руль анатомический "Ferrum" Vesta Cross Serie для Лада Веста, XRAY</v>
      </c>
      <c r="B508" s="178">
        <v>341665</v>
      </c>
      <c r="C508" s="179">
        <f>VLOOKUP($B508,'Выгр Торг'!$B:$Q,C$1,0)</f>
        <v>341665</v>
      </c>
      <c r="D508" s="186" t="s">
        <v>148</v>
      </c>
      <c r="E508" s="176" t="str">
        <f>VLOOKUP($B508,'Выгр Торг'!$B:$Q,E$1,0)</f>
        <v>Руль анатомический "Ferrum" Vesta Cross Serie для Лада Веста, XRAY (Фиолетовая нить, Чёрный мат)</v>
      </c>
      <c r="F508" s="179" t="str">
        <f>VLOOKUP($B508,'Выгр Торг'!$B:$Q,F$1,0)</f>
        <v>Y</v>
      </c>
      <c r="G508" s="179" t="str">
        <f>VLOOKUP($B508,'Выгр Торг'!$B:$Q,G$1,0)</f>
        <v>1</v>
      </c>
      <c r="H508" s="179">
        <v>323222</v>
      </c>
      <c r="I508" s="156"/>
      <c r="J508" s="160">
        <v>830</v>
      </c>
      <c r="K508" s="161">
        <v>870</v>
      </c>
      <c r="L508" s="180">
        <f t="shared" si="367"/>
        <v>41300</v>
      </c>
      <c r="M508" s="180">
        <f t="shared" si="363"/>
        <v>42300</v>
      </c>
      <c r="N508" s="180">
        <f t="shared" si="364"/>
        <v>35300</v>
      </c>
      <c r="O508" s="107">
        <f t="shared" si="368"/>
        <v>1.0242130750605327</v>
      </c>
      <c r="P508" s="132">
        <f t="shared" si="315"/>
        <v>1.1499999999999999</v>
      </c>
      <c r="Q508" s="180">
        <f t="shared" si="365"/>
        <v>51069.892473118278</v>
      </c>
      <c r="R508" s="144">
        <f t="shared" si="369"/>
        <v>51090</v>
      </c>
      <c r="S508" s="179">
        <f>VLOOKUP($B508,'Выгр Торг'!$B:$Q,S$1,0)</f>
        <v>41300</v>
      </c>
      <c r="T508" s="179">
        <f>VLOOKUP($B508,'Выгр Торг'!$B:$Q,T$1,0)</f>
        <v>51090</v>
      </c>
      <c r="U508" s="94">
        <f t="shared" si="316"/>
        <v>0</v>
      </c>
      <c r="V508" s="94">
        <f t="shared" si="317"/>
        <v>0</v>
      </c>
      <c r="W508" s="182">
        <f t="shared" si="370"/>
        <v>47513.7</v>
      </c>
      <c r="X508" s="218">
        <f>IFERROR(VLOOKUP($B508,'Из ГУГЛа'!$B:$G,6,0)*Z508+Y508,VLOOKUP($B508,'Из ГУГЛа'!$B:$G,6,0))</f>
        <v>52290</v>
      </c>
      <c r="Y508" s="220">
        <f t="shared" si="366"/>
        <v>10800</v>
      </c>
      <c r="Z508" s="133">
        <v>1</v>
      </c>
      <c r="AA508" s="133">
        <v>1300</v>
      </c>
      <c r="AB508" s="184">
        <f t="shared" si="371"/>
        <v>0.15045278450363186</v>
      </c>
      <c r="AC508" s="184">
        <f t="shared" si="372"/>
        <v>9.1342512908778026E-2</v>
      </c>
      <c r="AD508" s="184">
        <f t="shared" si="373"/>
        <v>0.26610169491525415</v>
      </c>
      <c r="AE508" s="223">
        <v>52290</v>
      </c>
      <c r="AF508" s="98" t="s">
        <v>615</v>
      </c>
      <c r="AH508" s="98" t="s">
        <v>148</v>
      </c>
    </row>
    <row r="509" spans="1:34" ht="46.5" thickTop="1" thickBot="1">
      <c r="A509" s="176" t="str">
        <f>INDEX('Выгр Торг'!$A:$A,MATCH($B509,'Выгр Торг'!$B:$B,0))</f>
        <v>Руль анатомический "Ferrum" Vesta Cross Serie для Лада Веста, XRAY</v>
      </c>
      <c r="B509" s="178">
        <v>323224</v>
      </c>
      <c r="C509" s="179">
        <f>VLOOKUP($B509,'Выгр Торг'!$B:$Q,C$1,0)</f>
        <v>323224</v>
      </c>
      <c r="D509" s="186" t="s">
        <v>148</v>
      </c>
      <c r="E509" s="176" t="str">
        <f>VLOOKUP($B509,'Выгр Торг'!$B:$Q,E$1,0)</f>
        <v>Руль анатомический "Ferrum" Vesta Cross Serie для Лада Веста, XRAY (Белая нить, Чёрный глянец)</v>
      </c>
      <c r="F509" s="179" t="str">
        <f>VLOOKUP($B509,'Выгр Торг'!$B:$Q,F$1,0)</f>
        <v>Y</v>
      </c>
      <c r="G509" s="179" t="str">
        <f>VLOOKUP($B509,'Выгр Торг'!$B:$Q,G$1,0)</f>
        <v>1</v>
      </c>
      <c r="H509" s="179">
        <v>323222</v>
      </c>
      <c r="I509" s="156"/>
      <c r="J509" s="160"/>
      <c r="K509" s="161">
        <v>870</v>
      </c>
      <c r="L509" s="180">
        <f t="shared" si="367"/>
        <v>40470</v>
      </c>
      <c r="M509" s="180">
        <f t="shared" si="363"/>
        <v>41470</v>
      </c>
      <c r="N509" s="180">
        <f t="shared" si="364"/>
        <v>34470</v>
      </c>
      <c r="O509" s="107">
        <f t="shared" si="368"/>
        <v>1.0247096614776376</v>
      </c>
      <c r="P509" s="132">
        <f t="shared" si="315"/>
        <v>1.1499999999999999</v>
      </c>
      <c r="Q509" s="180">
        <f t="shared" si="365"/>
        <v>50043.548387096773</v>
      </c>
      <c r="R509" s="144">
        <f t="shared" si="369"/>
        <v>50090</v>
      </c>
      <c r="S509" s="179">
        <f>VLOOKUP($B509,'Выгр Торг'!$B:$Q,S$1,0)</f>
        <v>40470</v>
      </c>
      <c r="T509" s="179">
        <f>VLOOKUP($B509,'Выгр Торг'!$B:$Q,T$1,0)</f>
        <v>50090</v>
      </c>
      <c r="U509" s="94">
        <f t="shared" si="316"/>
        <v>0</v>
      </c>
      <c r="V509" s="94">
        <f t="shared" si="317"/>
        <v>0</v>
      </c>
      <c r="W509" s="182">
        <f t="shared" si="370"/>
        <v>46583.7</v>
      </c>
      <c r="X509" s="218">
        <f>IFERROR(VLOOKUP($B509,'Из ГУГЛа'!$B:$G,6,0)*Z509+Y509,VLOOKUP($B509,'Из ГУГЛа'!$B:$G,6,0))</f>
        <v>51460</v>
      </c>
      <c r="Y509" s="220">
        <f t="shared" si="366"/>
        <v>9970</v>
      </c>
      <c r="Z509" s="133">
        <v>1</v>
      </c>
      <c r="AA509" s="133"/>
      <c r="AB509" s="184">
        <f t="shared" si="371"/>
        <v>0.15106745737583394</v>
      </c>
      <c r="AC509" s="184">
        <f t="shared" si="372"/>
        <v>9.4759036144578368E-2</v>
      </c>
      <c r="AD509" s="184">
        <f t="shared" si="373"/>
        <v>0.27155917963923892</v>
      </c>
      <c r="AE509" s="223">
        <v>51460</v>
      </c>
      <c r="AF509" s="98" t="s">
        <v>615</v>
      </c>
      <c r="AH509" s="98" t="s">
        <v>148</v>
      </c>
    </row>
    <row r="510" spans="1:34" ht="46.5" thickTop="1" thickBot="1">
      <c r="A510" s="125" t="str">
        <f>INDEX('Выгр Торг'!$A:$A,MATCH($B510,'Выгр Торг'!$B:$B,0))</f>
        <v>Руль анатомический "Ferrum" Vesta Cross Serie для Лада Веста, XRAY</v>
      </c>
      <c r="B510" s="126">
        <v>323235</v>
      </c>
      <c r="C510" s="127">
        <f>VLOOKUP($B510,'Выгр Торг'!$B:$Q,C$1,0)</f>
        <v>323235</v>
      </c>
      <c r="D510" s="44" t="s">
        <v>148</v>
      </c>
      <c r="E510" s="125" t="str">
        <f>VLOOKUP($B510,'Выгр Торг'!$B:$Q,E$1,0)</f>
        <v>Руль анатомический "Ferrum" Vesta Cross Serie для Лада Веста, XRAY (Жёлтая нить, Чёрный глянец)</v>
      </c>
      <c r="F510" s="127" t="str">
        <f>VLOOKUP($B510,'Выгр Торг'!$B:$Q,F$1,0)</f>
        <v>Y</v>
      </c>
      <c r="G510" s="127" t="str">
        <f>VLOOKUP($B510,'Выгр Торг'!$B:$Q,G$1,0)</f>
        <v>1</v>
      </c>
      <c r="H510" s="127">
        <v>323222</v>
      </c>
      <c r="I510" s="156"/>
      <c r="J510" s="160"/>
      <c r="K510" s="161">
        <v>870</v>
      </c>
      <c r="L510" s="130">
        <f t="shared" si="357"/>
        <v>40470</v>
      </c>
      <c r="M510" s="130">
        <f t="shared" si="363"/>
        <v>41470</v>
      </c>
      <c r="N510" s="130">
        <f t="shared" si="364"/>
        <v>34470</v>
      </c>
      <c r="O510" s="132">
        <f t="shared" si="349"/>
        <v>1.0247096614776376</v>
      </c>
      <c r="P510" s="132">
        <f t="shared" si="315"/>
        <v>1.1499999999999999</v>
      </c>
      <c r="Q510" s="130">
        <f t="shared" si="365"/>
        <v>50043.548387096773</v>
      </c>
      <c r="R510" s="148">
        <f t="shared" si="351"/>
        <v>50090</v>
      </c>
      <c r="S510" s="127">
        <f>VLOOKUP($B510,'Выгр Торг'!$B:$Q,S$1,0)</f>
        <v>40470</v>
      </c>
      <c r="T510" s="127">
        <f>VLOOKUP($B510,'Выгр Торг'!$B:$Q,T$1,0)</f>
        <v>50090</v>
      </c>
      <c r="U510" s="94">
        <f t="shared" si="316"/>
        <v>0</v>
      </c>
      <c r="V510" s="94">
        <f t="shared" si="317"/>
        <v>0</v>
      </c>
      <c r="W510" s="153">
        <f t="shared" si="358"/>
        <v>46583.7</v>
      </c>
      <c r="X510" s="209">
        <f>IFERROR(VLOOKUP($B510,'Из ГУГЛа'!$B:$G,6,0)*Z510+Y510,VLOOKUP($B510,'Из ГУГЛа'!$B:$G,6,0))</f>
        <v>51460</v>
      </c>
      <c r="Y510" s="220">
        <f t="shared" si="366"/>
        <v>9970</v>
      </c>
      <c r="Z510" s="133">
        <v>1</v>
      </c>
      <c r="AA510" s="134"/>
      <c r="AB510" s="135">
        <f t="shared" si="359"/>
        <v>0.15106745737583394</v>
      </c>
      <c r="AC510" s="135">
        <f t="shared" si="360"/>
        <v>9.4759036144578368E-2</v>
      </c>
      <c r="AD510" s="135">
        <f t="shared" si="361"/>
        <v>0.27155917963923892</v>
      </c>
      <c r="AE510" s="223">
        <v>51460</v>
      </c>
      <c r="AF510" s="98" t="s">
        <v>615</v>
      </c>
      <c r="AH510" s="98" t="s">
        <v>148</v>
      </c>
    </row>
    <row r="511" spans="1:34" ht="46.5" thickTop="1" thickBot="1">
      <c r="A511" s="125" t="str">
        <f>INDEX('Выгр Торг'!$A:$A,MATCH($B511,'Выгр Торг'!$B:$B,0))</f>
        <v>Руль анатомический "Ferrum" Vesta Cross Serie для Лада Веста, XRAY</v>
      </c>
      <c r="B511" s="126">
        <v>323234</v>
      </c>
      <c r="C511" s="127">
        <f>VLOOKUP($B511,'Выгр Торг'!$B:$Q,C$1,0)</f>
        <v>323234</v>
      </c>
      <c r="D511" s="44" t="s">
        <v>148</v>
      </c>
      <c r="E511" s="125" t="str">
        <f>VLOOKUP($B511,'Выгр Торг'!$B:$Q,E$1,0)</f>
        <v>Руль анатомический "Ferrum" Vesta Cross Serie для Лада Веста, XRAY (Зелёная нить, Чёрный глянец)</v>
      </c>
      <c r="F511" s="127" t="str">
        <f>VLOOKUP($B511,'Выгр Торг'!$B:$Q,F$1,0)</f>
        <v>Y</v>
      </c>
      <c r="G511" s="127" t="str">
        <f>VLOOKUP($B511,'Выгр Торг'!$B:$Q,G$1,0)</f>
        <v>1</v>
      </c>
      <c r="H511" s="127">
        <v>323222</v>
      </c>
      <c r="I511" s="156"/>
      <c r="J511" s="160"/>
      <c r="K511" s="161">
        <v>870</v>
      </c>
      <c r="L511" s="130">
        <f t="shared" si="357"/>
        <v>40470</v>
      </c>
      <c r="M511" s="130">
        <f t="shared" si="363"/>
        <v>41470</v>
      </c>
      <c r="N511" s="130">
        <f t="shared" si="364"/>
        <v>34470</v>
      </c>
      <c r="O511" s="132">
        <f t="shared" si="349"/>
        <v>1.0247096614776376</v>
      </c>
      <c r="P511" s="132">
        <f t="shared" si="315"/>
        <v>1.1499999999999999</v>
      </c>
      <c r="Q511" s="130">
        <f t="shared" si="365"/>
        <v>50043.548387096773</v>
      </c>
      <c r="R511" s="148">
        <f t="shared" si="351"/>
        <v>50090</v>
      </c>
      <c r="S511" s="127">
        <f>VLOOKUP($B511,'Выгр Торг'!$B:$Q,S$1,0)</f>
        <v>40470</v>
      </c>
      <c r="T511" s="127">
        <f>VLOOKUP($B511,'Выгр Торг'!$B:$Q,T$1,0)</f>
        <v>50090</v>
      </c>
      <c r="U511" s="94">
        <f t="shared" si="316"/>
        <v>0</v>
      </c>
      <c r="V511" s="94">
        <f t="shared" si="317"/>
        <v>0</v>
      </c>
      <c r="W511" s="153">
        <f t="shared" si="358"/>
        <v>46583.7</v>
      </c>
      <c r="X511" s="209">
        <f>IFERROR(VLOOKUP($B511,'Из ГУГЛа'!$B:$G,6,0)*Z511+Y511,VLOOKUP($B511,'Из ГУГЛа'!$B:$G,6,0))</f>
        <v>51460</v>
      </c>
      <c r="Y511" s="220">
        <f t="shared" si="366"/>
        <v>9970</v>
      </c>
      <c r="Z511" s="133">
        <v>1</v>
      </c>
      <c r="AA511" s="134"/>
      <c r="AB511" s="135">
        <f t="shared" si="359"/>
        <v>0.15106745737583394</v>
      </c>
      <c r="AC511" s="135">
        <f t="shared" si="360"/>
        <v>9.4759036144578368E-2</v>
      </c>
      <c r="AD511" s="135">
        <f t="shared" si="361"/>
        <v>0.27155917963923892</v>
      </c>
      <c r="AE511" s="223">
        <v>51460</v>
      </c>
      <c r="AF511" s="98" t="s">
        <v>615</v>
      </c>
      <c r="AH511" s="98" t="s">
        <v>148</v>
      </c>
    </row>
    <row r="512" spans="1:34" ht="46.5" thickTop="1" thickBot="1">
      <c r="A512" s="125" t="str">
        <f>INDEX('Выгр Торг'!$A:$A,MATCH($B512,'Выгр Торг'!$B:$B,0))</f>
        <v>Руль анатомический "Ferrum" Vesta Cross Serie для Лада Веста, XRAY</v>
      </c>
      <c r="B512" s="126">
        <v>323226</v>
      </c>
      <c r="C512" s="127">
        <f>VLOOKUP($B512,'Выгр Торг'!$B:$Q,C$1,0)</f>
        <v>323226</v>
      </c>
      <c r="D512" s="44" t="s">
        <v>148</v>
      </c>
      <c r="E512" s="125" t="str">
        <f>VLOOKUP($B512,'Выгр Торг'!$B:$Q,E$1,0)</f>
        <v>Руль анатомический "Ferrum" Vesta Cross Serie для Лада Веста, XRAY (Коричневая нить, Чёрный глянец)</v>
      </c>
      <c r="F512" s="127" t="str">
        <f>VLOOKUP($B512,'Выгр Торг'!$B:$Q,F$1,0)</f>
        <v>Y</v>
      </c>
      <c r="G512" s="127" t="str">
        <f>VLOOKUP($B512,'Выгр Торг'!$B:$Q,G$1,0)</f>
        <v>1</v>
      </c>
      <c r="H512" s="127">
        <v>323222</v>
      </c>
      <c r="I512" s="156"/>
      <c r="J512" s="160"/>
      <c r="K512" s="161">
        <v>870</v>
      </c>
      <c r="L512" s="130">
        <f t="shared" si="357"/>
        <v>40470</v>
      </c>
      <c r="M512" s="130">
        <f t="shared" si="363"/>
        <v>41470</v>
      </c>
      <c r="N512" s="130">
        <f t="shared" si="364"/>
        <v>34470</v>
      </c>
      <c r="O512" s="132">
        <f t="shared" si="349"/>
        <v>1.0247096614776376</v>
      </c>
      <c r="P512" s="132">
        <f t="shared" si="315"/>
        <v>1.1499999999999999</v>
      </c>
      <c r="Q512" s="130">
        <f t="shared" si="365"/>
        <v>50043.548387096773</v>
      </c>
      <c r="R512" s="148">
        <f t="shared" si="351"/>
        <v>50090</v>
      </c>
      <c r="S512" s="127">
        <f>VLOOKUP($B512,'Выгр Торг'!$B:$Q,S$1,0)</f>
        <v>40470</v>
      </c>
      <c r="T512" s="127">
        <f>VLOOKUP($B512,'Выгр Торг'!$B:$Q,T$1,0)</f>
        <v>50090</v>
      </c>
      <c r="U512" s="94">
        <f t="shared" si="316"/>
        <v>0</v>
      </c>
      <c r="V512" s="94">
        <f t="shared" si="317"/>
        <v>0</v>
      </c>
      <c r="W512" s="153">
        <f t="shared" si="358"/>
        <v>46583.7</v>
      </c>
      <c r="X512" s="209">
        <f>IFERROR(VLOOKUP($B512,'Из ГУГЛа'!$B:$G,6,0)*Z512+Y512,VLOOKUP($B512,'Из ГУГЛа'!$B:$G,6,0))</f>
        <v>51460</v>
      </c>
      <c r="Y512" s="220">
        <f t="shared" si="366"/>
        <v>9970</v>
      </c>
      <c r="Z512" s="133">
        <v>1</v>
      </c>
      <c r="AA512" s="134"/>
      <c r="AB512" s="135">
        <f t="shared" si="359"/>
        <v>0.15106745737583394</v>
      </c>
      <c r="AC512" s="135">
        <f t="shared" si="360"/>
        <v>9.4759036144578368E-2</v>
      </c>
      <c r="AD512" s="135">
        <f t="shared" si="361"/>
        <v>0.27155917963923892</v>
      </c>
      <c r="AE512" s="223">
        <v>51460</v>
      </c>
      <c r="AF512" s="98" t="s">
        <v>615</v>
      </c>
      <c r="AH512" s="98" t="s">
        <v>148</v>
      </c>
    </row>
    <row r="513" spans="1:34" ht="46.5" thickTop="1" thickBot="1">
      <c r="A513" s="125" t="str">
        <f>INDEX('Выгр Торг'!$A:$A,MATCH($B513,'Выгр Торг'!$B:$B,0))</f>
        <v>Руль анатомический "Ferrum" Vesta Cross Serie для Лада Веста, XRAY</v>
      </c>
      <c r="B513" s="126">
        <v>323227</v>
      </c>
      <c r="C513" s="127">
        <f>VLOOKUP($B513,'Выгр Торг'!$B:$Q,C$1,0)</f>
        <v>323227</v>
      </c>
      <c r="D513" s="44" t="s">
        <v>148</v>
      </c>
      <c r="E513" s="125" t="str">
        <f>VLOOKUP($B513,'Выгр Торг'!$B:$Q,E$1,0)</f>
        <v>Руль анатомический "Ferrum" Vesta Cross Serie для Лада Веста, XRAY (Красная нить, Чёрный глянец)</v>
      </c>
      <c r="F513" s="127" t="str">
        <f>VLOOKUP($B513,'Выгр Торг'!$B:$Q,F$1,0)</f>
        <v>Y</v>
      </c>
      <c r="G513" s="127" t="str">
        <f>VLOOKUP($B513,'Выгр Торг'!$B:$Q,G$1,0)</f>
        <v>1</v>
      </c>
      <c r="H513" s="127">
        <v>323222</v>
      </c>
      <c r="I513" s="156"/>
      <c r="J513" s="160"/>
      <c r="K513" s="161">
        <v>870</v>
      </c>
      <c r="L513" s="130">
        <f t="shared" si="357"/>
        <v>40470</v>
      </c>
      <c r="M513" s="130">
        <f t="shared" si="363"/>
        <v>41470</v>
      </c>
      <c r="N513" s="130">
        <f t="shared" si="364"/>
        <v>34470</v>
      </c>
      <c r="O513" s="132">
        <f t="shared" si="349"/>
        <v>1.0247096614776376</v>
      </c>
      <c r="P513" s="132">
        <f t="shared" si="315"/>
        <v>1.1499999999999999</v>
      </c>
      <c r="Q513" s="130">
        <f t="shared" si="365"/>
        <v>50043.548387096773</v>
      </c>
      <c r="R513" s="148">
        <f t="shared" si="351"/>
        <v>50090</v>
      </c>
      <c r="S513" s="127">
        <f>VLOOKUP($B513,'Выгр Торг'!$B:$Q,S$1,0)</f>
        <v>40470</v>
      </c>
      <c r="T513" s="127">
        <f>VLOOKUP($B513,'Выгр Торг'!$B:$Q,T$1,0)</f>
        <v>50090</v>
      </c>
      <c r="U513" s="94">
        <f t="shared" si="316"/>
        <v>0</v>
      </c>
      <c r="V513" s="94">
        <f t="shared" si="317"/>
        <v>0</v>
      </c>
      <c r="W513" s="153">
        <f t="shared" si="358"/>
        <v>46583.7</v>
      </c>
      <c r="X513" s="209">
        <f>IFERROR(VLOOKUP($B513,'Из ГУГЛа'!$B:$G,6,0)*Z513+Y513,VLOOKUP($B513,'Из ГУГЛа'!$B:$G,6,0))</f>
        <v>51460</v>
      </c>
      <c r="Y513" s="220">
        <f t="shared" si="366"/>
        <v>9970</v>
      </c>
      <c r="Z513" s="133">
        <v>1</v>
      </c>
      <c r="AA513" s="134"/>
      <c r="AB513" s="135">
        <f t="shared" si="359"/>
        <v>0.15106745737583394</v>
      </c>
      <c r="AC513" s="135">
        <f t="shared" si="360"/>
        <v>9.4759036144578368E-2</v>
      </c>
      <c r="AD513" s="135">
        <f t="shared" si="361"/>
        <v>0.27155917963923892</v>
      </c>
      <c r="AE513" s="223">
        <v>51460</v>
      </c>
      <c r="AF513" s="98" t="s">
        <v>615</v>
      </c>
      <c r="AH513" s="98" t="s">
        <v>148</v>
      </c>
    </row>
    <row r="514" spans="1:34" ht="46.5" thickTop="1" thickBot="1">
      <c r="A514" s="125" t="str">
        <f>INDEX('Выгр Торг'!$A:$A,MATCH($B514,'Выгр Торг'!$B:$B,0))</f>
        <v>Руль анатомический "Ferrum" Vesta Cross Serie для Лада Веста, XRAY</v>
      </c>
      <c r="B514" s="126">
        <v>323228</v>
      </c>
      <c r="C514" s="127">
        <f>VLOOKUP($B514,'Выгр Торг'!$B:$Q,C$1,0)</f>
        <v>323228</v>
      </c>
      <c r="D514" s="44" t="s">
        <v>148</v>
      </c>
      <c r="E514" s="125" t="str">
        <f>VLOOKUP($B514,'Выгр Торг'!$B:$Q,E$1,0)</f>
        <v>Руль анатомический "Ferrum" Vesta Cross Serie для Лада Веста, XRAY (Оранжевая нить, Чёрный глянец)</v>
      </c>
      <c r="F514" s="127" t="str">
        <f>VLOOKUP($B514,'Выгр Торг'!$B:$Q,F$1,0)</f>
        <v>Y</v>
      </c>
      <c r="G514" s="127" t="str">
        <f>VLOOKUP($B514,'Выгр Торг'!$B:$Q,G$1,0)</f>
        <v>1</v>
      </c>
      <c r="H514" s="127">
        <v>323222</v>
      </c>
      <c r="I514" s="156"/>
      <c r="J514" s="160"/>
      <c r="K514" s="161">
        <v>870</v>
      </c>
      <c r="L514" s="130">
        <f t="shared" si="357"/>
        <v>40470</v>
      </c>
      <c r="M514" s="130">
        <f t="shared" si="363"/>
        <v>41470</v>
      </c>
      <c r="N514" s="130">
        <f t="shared" si="364"/>
        <v>34470</v>
      </c>
      <c r="O514" s="132">
        <f t="shared" si="349"/>
        <v>1.0247096614776376</v>
      </c>
      <c r="P514" s="132">
        <f t="shared" si="315"/>
        <v>1.1499999999999999</v>
      </c>
      <c r="Q514" s="130">
        <f t="shared" si="365"/>
        <v>50043.548387096773</v>
      </c>
      <c r="R514" s="148">
        <f t="shared" si="351"/>
        <v>50090</v>
      </c>
      <c r="S514" s="127">
        <f>VLOOKUP($B514,'Выгр Торг'!$B:$Q,S$1,0)</f>
        <v>40470</v>
      </c>
      <c r="T514" s="127">
        <f>VLOOKUP($B514,'Выгр Торг'!$B:$Q,T$1,0)</f>
        <v>50090</v>
      </c>
      <c r="U514" s="94">
        <f t="shared" si="316"/>
        <v>0</v>
      </c>
      <c r="V514" s="94">
        <f t="shared" si="317"/>
        <v>0</v>
      </c>
      <c r="W514" s="153">
        <f t="shared" si="358"/>
        <v>46583.7</v>
      </c>
      <c r="X514" s="209">
        <f>IFERROR(VLOOKUP($B514,'Из ГУГЛа'!$B:$G,6,0)*Z514+Y514,VLOOKUP($B514,'Из ГУГЛа'!$B:$G,6,0))</f>
        <v>51460</v>
      </c>
      <c r="Y514" s="220">
        <f t="shared" si="366"/>
        <v>9970</v>
      </c>
      <c r="Z514" s="133">
        <v>1</v>
      </c>
      <c r="AA514" s="134"/>
      <c r="AB514" s="135">
        <f t="shared" si="359"/>
        <v>0.15106745737583394</v>
      </c>
      <c r="AC514" s="135">
        <f t="shared" si="360"/>
        <v>9.4759036144578368E-2</v>
      </c>
      <c r="AD514" s="135">
        <f t="shared" si="361"/>
        <v>0.27155917963923892</v>
      </c>
      <c r="AE514" s="223">
        <v>51460</v>
      </c>
      <c r="AF514" s="98" t="s">
        <v>615</v>
      </c>
      <c r="AH514" s="98" t="s">
        <v>148</v>
      </c>
    </row>
    <row r="515" spans="1:34" ht="46.5" thickTop="1" thickBot="1">
      <c r="A515" s="125" t="str">
        <f>INDEX('Выгр Торг'!$A:$A,MATCH($B515,'Выгр Торг'!$B:$B,0))</f>
        <v>Руль анатомический "Ferrum" Vesta Cross Serie для Лада Веста, XRAY</v>
      </c>
      <c r="B515" s="126">
        <v>323229</v>
      </c>
      <c r="C515" s="127">
        <f>VLOOKUP($B515,'Выгр Торг'!$B:$Q,C$1,0)</f>
        <v>323229</v>
      </c>
      <c r="D515" s="44" t="s">
        <v>148</v>
      </c>
      <c r="E515" s="125" t="str">
        <f>VLOOKUP($B515,'Выгр Торг'!$B:$Q,E$1,0)</f>
        <v>Руль анатомический "Ferrum" Vesta Cross Serie для Лада Веста, XRAY (Салатовая нить, Чёрный глянец)</v>
      </c>
      <c r="F515" s="127" t="str">
        <f>VLOOKUP($B515,'Выгр Торг'!$B:$Q,F$1,0)</f>
        <v>Y</v>
      </c>
      <c r="G515" s="127" t="str">
        <f>VLOOKUP($B515,'Выгр Торг'!$B:$Q,G$1,0)</f>
        <v>1</v>
      </c>
      <c r="H515" s="127">
        <v>323222</v>
      </c>
      <c r="I515" s="156"/>
      <c r="J515" s="160"/>
      <c r="K515" s="161">
        <v>870</v>
      </c>
      <c r="L515" s="130">
        <f t="shared" si="357"/>
        <v>40470</v>
      </c>
      <c r="M515" s="130">
        <f t="shared" si="363"/>
        <v>41470</v>
      </c>
      <c r="N515" s="130">
        <f t="shared" si="364"/>
        <v>34470</v>
      </c>
      <c r="O515" s="132">
        <f t="shared" si="349"/>
        <v>1.0247096614776376</v>
      </c>
      <c r="P515" s="132">
        <f t="shared" si="315"/>
        <v>1.1499999999999999</v>
      </c>
      <c r="Q515" s="130">
        <f t="shared" si="365"/>
        <v>50043.548387096773</v>
      </c>
      <c r="R515" s="148">
        <f t="shared" si="351"/>
        <v>50090</v>
      </c>
      <c r="S515" s="127">
        <f>VLOOKUP($B515,'Выгр Торг'!$B:$Q,S$1,0)</f>
        <v>40470</v>
      </c>
      <c r="T515" s="127">
        <f>VLOOKUP($B515,'Выгр Торг'!$B:$Q,T$1,0)</f>
        <v>50090</v>
      </c>
      <c r="U515" s="94">
        <f t="shared" si="316"/>
        <v>0</v>
      </c>
      <c r="V515" s="94">
        <f t="shared" si="317"/>
        <v>0</v>
      </c>
      <c r="W515" s="153">
        <f t="shared" si="358"/>
        <v>46583.7</v>
      </c>
      <c r="X515" s="209">
        <f>IFERROR(VLOOKUP($B515,'Из ГУГЛа'!$B:$G,6,0)*Z515+Y515,VLOOKUP($B515,'Из ГУГЛа'!$B:$G,6,0))</f>
        <v>51460</v>
      </c>
      <c r="Y515" s="220">
        <f t="shared" si="366"/>
        <v>9970</v>
      </c>
      <c r="Z515" s="133">
        <v>1</v>
      </c>
      <c r="AA515" s="134"/>
      <c r="AB515" s="135">
        <f t="shared" si="359"/>
        <v>0.15106745737583394</v>
      </c>
      <c r="AC515" s="135">
        <f t="shared" si="360"/>
        <v>9.4759036144578368E-2</v>
      </c>
      <c r="AD515" s="135">
        <f t="shared" si="361"/>
        <v>0.27155917963923892</v>
      </c>
      <c r="AE515" s="223">
        <v>51460</v>
      </c>
      <c r="AF515" s="98" t="s">
        <v>615</v>
      </c>
      <c r="AH515" s="98" t="s">
        <v>148</v>
      </c>
    </row>
    <row r="516" spans="1:34" ht="46.5" thickTop="1" thickBot="1">
      <c r="A516" s="125" t="str">
        <f>INDEX('Выгр Торг'!$A:$A,MATCH($B516,'Выгр Торг'!$B:$B,0))</f>
        <v>Руль анатомический "Ferrum" Vesta Cross Serie для Лада Веста, XRAY</v>
      </c>
      <c r="B516" s="126">
        <v>323232</v>
      </c>
      <c r="C516" s="127">
        <f>VLOOKUP($B516,'Выгр Торг'!$B:$Q,C$1,0)</f>
        <v>323232</v>
      </c>
      <c r="D516" s="44" t="s">
        <v>148</v>
      </c>
      <c r="E516" s="125" t="str">
        <f>VLOOKUP($B516,'Выгр Торг'!$B:$Q,E$1,0)</f>
        <v>Руль анатомический "Ferrum" Vesta Cross Serie для Лада Веста, XRAY (Светло-серая нить, Чёрный глянец)</v>
      </c>
      <c r="F516" s="127" t="str">
        <f>VLOOKUP($B516,'Выгр Торг'!$B:$Q,F$1,0)</f>
        <v>Y</v>
      </c>
      <c r="G516" s="127" t="str">
        <f>VLOOKUP($B516,'Выгр Торг'!$B:$Q,G$1,0)</f>
        <v>1</v>
      </c>
      <c r="H516" s="127">
        <v>323222</v>
      </c>
      <c r="I516" s="156"/>
      <c r="J516" s="160"/>
      <c r="K516" s="161">
        <v>870</v>
      </c>
      <c r="L516" s="130">
        <f t="shared" si="357"/>
        <v>40470</v>
      </c>
      <c r="M516" s="130">
        <f t="shared" si="363"/>
        <v>41470</v>
      </c>
      <c r="N516" s="130">
        <f t="shared" si="364"/>
        <v>34470</v>
      </c>
      <c r="O516" s="132">
        <f t="shared" si="349"/>
        <v>1.0247096614776376</v>
      </c>
      <c r="P516" s="132">
        <f t="shared" ref="P516:P579" si="374">IF(O516&lt;=$P$1,$P$1,O516)</f>
        <v>1.1499999999999999</v>
      </c>
      <c r="Q516" s="130">
        <f t="shared" si="365"/>
        <v>50043.548387096773</v>
      </c>
      <c r="R516" s="148">
        <f t="shared" si="351"/>
        <v>50090</v>
      </c>
      <c r="S516" s="127">
        <f>VLOOKUP($B516,'Выгр Торг'!$B:$Q,S$1,0)</f>
        <v>40470</v>
      </c>
      <c r="T516" s="127">
        <f>VLOOKUP($B516,'Выгр Торг'!$B:$Q,T$1,0)</f>
        <v>50090</v>
      </c>
      <c r="U516" s="94">
        <f t="shared" ref="U516:U579" si="375">S516-L516</f>
        <v>0</v>
      </c>
      <c r="V516" s="94">
        <f t="shared" ref="V516:V579" si="376">T516-R516</f>
        <v>0</v>
      </c>
      <c r="W516" s="153">
        <f t="shared" si="358"/>
        <v>46583.7</v>
      </c>
      <c r="X516" s="209">
        <f>IFERROR(VLOOKUP($B516,'Из ГУГЛа'!$B:$G,6,0)*Z516+Y516,VLOOKUP($B516,'Из ГУГЛа'!$B:$G,6,0))</f>
        <v>51460</v>
      </c>
      <c r="Y516" s="220">
        <f t="shared" si="366"/>
        <v>9970</v>
      </c>
      <c r="Z516" s="133">
        <v>1</v>
      </c>
      <c r="AA516" s="134"/>
      <c r="AB516" s="135">
        <f t="shared" si="359"/>
        <v>0.15106745737583394</v>
      </c>
      <c r="AC516" s="135">
        <f t="shared" si="360"/>
        <v>9.4759036144578368E-2</v>
      </c>
      <c r="AD516" s="135">
        <f t="shared" si="361"/>
        <v>0.27155917963923892</v>
      </c>
      <c r="AE516" s="223">
        <v>51460</v>
      </c>
      <c r="AF516" s="98" t="s">
        <v>615</v>
      </c>
      <c r="AH516" s="98" t="s">
        <v>148</v>
      </c>
    </row>
    <row r="517" spans="1:34" ht="46.5" thickTop="1" thickBot="1">
      <c r="A517" s="125" t="str">
        <f>INDEX('Выгр Торг'!$A:$A,MATCH($B517,'Выгр Торг'!$B:$B,0))</f>
        <v>Руль анатомический "Ferrum" Vesta Cross Serie для Лада Веста, XRAY</v>
      </c>
      <c r="B517" s="126">
        <v>323230</v>
      </c>
      <c r="C517" s="127">
        <f>VLOOKUP($B517,'Выгр Торг'!$B:$Q,C$1,0)</f>
        <v>323230</v>
      </c>
      <c r="D517" s="44" t="s">
        <v>148</v>
      </c>
      <c r="E517" s="125" t="str">
        <f>VLOOKUP($B517,'Выгр Торг'!$B:$Q,E$1,0)</f>
        <v>Руль анатомический "Ferrum" Vesta Cross Serie для Лада Веста, XRAY (Сине-зелёная нить, Чёрный глянец)</v>
      </c>
      <c r="F517" s="127" t="str">
        <f>VLOOKUP($B517,'Выгр Торг'!$B:$Q,F$1,0)</f>
        <v>Y</v>
      </c>
      <c r="G517" s="127" t="str">
        <f>VLOOKUP($B517,'Выгр Торг'!$B:$Q,G$1,0)</f>
        <v>1</v>
      </c>
      <c r="H517" s="127">
        <v>323222</v>
      </c>
      <c r="I517" s="156"/>
      <c r="J517" s="160"/>
      <c r="K517" s="161">
        <v>870</v>
      </c>
      <c r="L517" s="130">
        <f t="shared" si="357"/>
        <v>40470</v>
      </c>
      <c r="M517" s="130">
        <f t="shared" si="363"/>
        <v>41470</v>
      </c>
      <c r="N517" s="130">
        <f t="shared" si="364"/>
        <v>34470</v>
      </c>
      <c r="O517" s="132">
        <f t="shared" si="349"/>
        <v>1.0247096614776376</v>
      </c>
      <c r="P517" s="132">
        <f t="shared" si="374"/>
        <v>1.1499999999999999</v>
      </c>
      <c r="Q517" s="130">
        <f t="shared" si="365"/>
        <v>50043.548387096773</v>
      </c>
      <c r="R517" s="148">
        <f t="shared" si="351"/>
        <v>50090</v>
      </c>
      <c r="S517" s="127">
        <f>VLOOKUP($B517,'Выгр Торг'!$B:$Q,S$1,0)</f>
        <v>40470</v>
      </c>
      <c r="T517" s="127">
        <f>VLOOKUP($B517,'Выгр Торг'!$B:$Q,T$1,0)</f>
        <v>50090</v>
      </c>
      <c r="U517" s="94">
        <f t="shared" si="375"/>
        <v>0</v>
      </c>
      <c r="V517" s="94">
        <f t="shared" si="376"/>
        <v>0</v>
      </c>
      <c r="W517" s="153">
        <f t="shared" si="358"/>
        <v>46583.7</v>
      </c>
      <c r="X517" s="209">
        <f>IFERROR(VLOOKUP($B517,'Из ГУГЛа'!$B:$G,6,0)*Z517+Y517,VLOOKUP($B517,'Из ГУГЛа'!$B:$G,6,0))</f>
        <v>51460</v>
      </c>
      <c r="Y517" s="220">
        <f t="shared" si="366"/>
        <v>9970</v>
      </c>
      <c r="Z517" s="133">
        <v>1</v>
      </c>
      <c r="AA517" s="134"/>
      <c r="AB517" s="135">
        <f t="shared" si="359"/>
        <v>0.15106745737583394</v>
      </c>
      <c r="AC517" s="135">
        <f t="shared" si="360"/>
        <v>9.4759036144578368E-2</v>
      </c>
      <c r="AD517" s="135">
        <f t="shared" si="361"/>
        <v>0.27155917963923892</v>
      </c>
      <c r="AE517" s="223">
        <v>51460</v>
      </c>
      <c r="AF517" s="98" t="s">
        <v>615</v>
      </c>
      <c r="AH517" s="98" t="s">
        <v>148</v>
      </c>
    </row>
    <row r="518" spans="1:34" ht="46.5" thickTop="1" thickBot="1">
      <c r="A518" s="125" t="str">
        <f>INDEX('Выгр Торг'!$A:$A,MATCH($B518,'Выгр Торг'!$B:$B,0))</f>
        <v>Руль анатомический "Ferrum" Vesta Cross Serie для Лада Веста, XRAY</v>
      </c>
      <c r="B518" s="126">
        <v>323231</v>
      </c>
      <c r="C518" s="127">
        <f>VLOOKUP($B518,'Выгр Торг'!$B:$Q,C$1,0)</f>
        <v>323231</v>
      </c>
      <c r="D518" s="44" t="s">
        <v>148</v>
      </c>
      <c r="E518" s="125" t="str">
        <f>VLOOKUP($B518,'Выгр Торг'!$B:$Q,E$1,0)</f>
        <v>Руль анатомический "Ferrum" Vesta Cross Serie для Лада Веста, XRAY (Синяя нить, Чёрный глянец)</v>
      </c>
      <c r="F518" s="127" t="str">
        <f>VLOOKUP($B518,'Выгр Торг'!$B:$Q,F$1,0)</f>
        <v>Y</v>
      </c>
      <c r="G518" s="127" t="str">
        <f>VLOOKUP($B518,'Выгр Торг'!$B:$Q,G$1,0)</f>
        <v>1</v>
      </c>
      <c r="H518" s="127">
        <v>323222</v>
      </c>
      <c r="I518" s="156"/>
      <c r="J518" s="160"/>
      <c r="K518" s="161">
        <v>870</v>
      </c>
      <c r="L518" s="130">
        <f t="shared" si="357"/>
        <v>40470</v>
      </c>
      <c r="M518" s="130">
        <f t="shared" si="363"/>
        <v>41470</v>
      </c>
      <c r="N518" s="130">
        <f t="shared" si="364"/>
        <v>34470</v>
      </c>
      <c r="O518" s="132">
        <f t="shared" si="349"/>
        <v>1.0247096614776376</v>
      </c>
      <c r="P518" s="132">
        <f t="shared" si="374"/>
        <v>1.1499999999999999</v>
      </c>
      <c r="Q518" s="130">
        <f t="shared" si="365"/>
        <v>50043.548387096773</v>
      </c>
      <c r="R518" s="148">
        <f t="shared" si="351"/>
        <v>50090</v>
      </c>
      <c r="S518" s="127">
        <f>VLOOKUP($B518,'Выгр Торг'!$B:$Q,S$1,0)</f>
        <v>40470</v>
      </c>
      <c r="T518" s="127">
        <f>VLOOKUP($B518,'Выгр Торг'!$B:$Q,T$1,0)</f>
        <v>50090</v>
      </c>
      <c r="U518" s="94">
        <f t="shared" si="375"/>
        <v>0</v>
      </c>
      <c r="V518" s="94">
        <f t="shared" si="376"/>
        <v>0</v>
      </c>
      <c r="W518" s="153">
        <f t="shared" si="358"/>
        <v>46583.7</v>
      </c>
      <c r="X518" s="209">
        <f>IFERROR(VLOOKUP($B518,'Из ГУГЛа'!$B:$G,6,0)*Z518+Y518,VLOOKUP($B518,'Из ГУГЛа'!$B:$G,6,0))</f>
        <v>51460</v>
      </c>
      <c r="Y518" s="220">
        <f t="shared" si="366"/>
        <v>9970</v>
      </c>
      <c r="Z518" s="133">
        <v>1</v>
      </c>
      <c r="AA518" s="134"/>
      <c r="AB518" s="135">
        <f t="shared" si="359"/>
        <v>0.15106745737583394</v>
      </c>
      <c r="AC518" s="135">
        <f t="shared" si="360"/>
        <v>9.4759036144578368E-2</v>
      </c>
      <c r="AD518" s="135">
        <f t="shared" si="361"/>
        <v>0.27155917963923892</v>
      </c>
      <c r="AE518" s="223">
        <v>51460</v>
      </c>
      <c r="AF518" s="98" t="s">
        <v>615</v>
      </c>
      <c r="AH518" s="98" t="s">
        <v>148</v>
      </c>
    </row>
    <row r="519" spans="1:34" ht="46.5" thickTop="1" thickBot="1">
      <c r="A519" s="125" t="str">
        <f>INDEX('Выгр Торг'!$A:$A,MATCH($B519,'Выгр Торг'!$B:$B,0))</f>
        <v>Руль анатомический "Ferrum" Vesta Cross Serie для Лада Веста, XRAY</v>
      </c>
      <c r="B519" s="126">
        <v>323233</v>
      </c>
      <c r="C519" s="127">
        <f>VLOOKUP($B519,'Выгр Торг'!$B:$Q,C$1,0)</f>
        <v>323233</v>
      </c>
      <c r="D519" s="44" t="s">
        <v>148</v>
      </c>
      <c r="E519" s="125" t="str">
        <f>VLOOKUP($B519,'Выгр Торг'!$B:$Q,E$1,0)</f>
        <v>Руль анатомический "Ferrum" Vesta Cross Serie для Лада Веста, XRAY (Тёмно-серая нить, Чёрный глянец)</v>
      </c>
      <c r="F519" s="127" t="str">
        <f>VLOOKUP($B519,'Выгр Торг'!$B:$Q,F$1,0)</f>
        <v>Y</v>
      </c>
      <c r="G519" s="127" t="str">
        <f>VLOOKUP($B519,'Выгр Торг'!$B:$Q,G$1,0)</f>
        <v>1</v>
      </c>
      <c r="H519" s="127">
        <v>323222</v>
      </c>
      <c r="I519" s="156"/>
      <c r="J519" s="160"/>
      <c r="K519" s="161">
        <v>870</v>
      </c>
      <c r="L519" s="130">
        <f t="shared" si="357"/>
        <v>40470</v>
      </c>
      <c r="M519" s="130">
        <f t="shared" si="363"/>
        <v>41470</v>
      </c>
      <c r="N519" s="130">
        <f t="shared" si="364"/>
        <v>34470</v>
      </c>
      <c r="O519" s="132">
        <f t="shared" si="349"/>
        <v>1.0247096614776376</v>
      </c>
      <c r="P519" s="132">
        <f t="shared" si="374"/>
        <v>1.1499999999999999</v>
      </c>
      <c r="Q519" s="130">
        <f t="shared" si="365"/>
        <v>50043.548387096773</v>
      </c>
      <c r="R519" s="148">
        <f t="shared" si="351"/>
        <v>50090</v>
      </c>
      <c r="S519" s="127">
        <f>VLOOKUP($B519,'Выгр Торг'!$B:$Q,S$1,0)</f>
        <v>40470</v>
      </c>
      <c r="T519" s="127">
        <f>VLOOKUP($B519,'Выгр Торг'!$B:$Q,T$1,0)</f>
        <v>50090</v>
      </c>
      <c r="U519" s="94">
        <f t="shared" si="375"/>
        <v>0</v>
      </c>
      <c r="V519" s="94">
        <f t="shared" si="376"/>
        <v>0</v>
      </c>
      <c r="W519" s="153">
        <f t="shared" si="358"/>
        <v>46583.7</v>
      </c>
      <c r="X519" s="209">
        <f>IFERROR(VLOOKUP($B519,'Из ГУГЛа'!$B:$G,6,0)*Z519+Y519,VLOOKUP($B519,'Из ГУГЛа'!$B:$G,6,0))</f>
        <v>51460</v>
      </c>
      <c r="Y519" s="220">
        <f t="shared" si="366"/>
        <v>9970</v>
      </c>
      <c r="Z519" s="133">
        <v>1</v>
      </c>
      <c r="AA519" s="134"/>
      <c r="AB519" s="135">
        <f t="shared" si="359"/>
        <v>0.15106745737583394</v>
      </c>
      <c r="AC519" s="135">
        <f t="shared" si="360"/>
        <v>9.4759036144578368E-2</v>
      </c>
      <c r="AD519" s="135">
        <f t="shared" si="361"/>
        <v>0.27155917963923892</v>
      </c>
      <c r="AE519" s="223">
        <v>51460</v>
      </c>
      <c r="AF519" s="98" t="s">
        <v>615</v>
      </c>
      <c r="AH519" s="98" t="s">
        <v>148</v>
      </c>
    </row>
    <row r="520" spans="1:34" ht="46.5" thickTop="1" thickBot="1">
      <c r="A520" s="125" t="str">
        <f>INDEX('Выгр Торг'!$A:$A,MATCH($B520,'Выгр Торг'!$B:$B,0))</f>
        <v>Руль анатомический "Ferrum" Vesta Cross Serie для Лада Веста, XRAY</v>
      </c>
      <c r="B520" s="126">
        <v>323225</v>
      </c>
      <c r="C520" s="127">
        <f>VLOOKUP($B520,'Выгр Торг'!$B:$Q,C$1,0)</f>
        <v>323225</v>
      </c>
      <c r="D520" s="44" t="s">
        <v>148</v>
      </c>
      <c r="E520" s="125" t="str">
        <f>VLOOKUP($B520,'Выгр Торг'!$B:$Q,E$1,0)</f>
        <v>Руль анатомический "Ferrum" Vesta Cross Serie для Лада Веста, XRAY (Фиолетовая нить, Чёрный глянец)</v>
      </c>
      <c r="F520" s="127" t="str">
        <f>VLOOKUP($B520,'Выгр Торг'!$B:$Q,F$1,0)</f>
        <v>Y</v>
      </c>
      <c r="G520" s="127" t="str">
        <f>VLOOKUP($B520,'Выгр Торг'!$B:$Q,G$1,0)</f>
        <v>1</v>
      </c>
      <c r="H520" s="127">
        <v>323222</v>
      </c>
      <c r="I520" s="156"/>
      <c r="J520" s="160"/>
      <c r="K520" s="161">
        <v>870</v>
      </c>
      <c r="L520" s="130">
        <f t="shared" si="357"/>
        <v>40470</v>
      </c>
      <c r="M520" s="130">
        <f t="shared" si="363"/>
        <v>41470</v>
      </c>
      <c r="N520" s="130">
        <f t="shared" si="364"/>
        <v>34470</v>
      </c>
      <c r="O520" s="132">
        <f t="shared" si="349"/>
        <v>1.0247096614776376</v>
      </c>
      <c r="P520" s="132">
        <f t="shared" si="374"/>
        <v>1.1499999999999999</v>
      </c>
      <c r="Q520" s="130">
        <f t="shared" si="365"/>
        <v>50043.548387096773</v>
      </c>
      <c r="R520" s="148">
        <f t="shared" si="351"/>
        <v>50090</v>
      </c>
      <c r="S520" s="127">
        <f>VLOOKUP($B520,'Выгр Торг'!$B:$Q,S$1,0)</f>
        <v>40470</v>
      </c>
      <c r="T520" s="127">
        <f>VLOOKUP($B520,'Выгр Торг'!$B:$Q,T$1,0)</f>
        <v>50090</v>
      </c>
      <c r="U520" s="94">
        <f t="shared" si="375"/>
        <v>0</v>
      </c>
      <c r="V520" s="94">
        <f t="shared" si="376"/>
        <v>0</v>
      </c>
      <c r="W520" s="153">
        <f t="shared" si="358"/>
        <v>46583.7</v>
      </c>
      <c r="X520" s="209">
        <f>IFERROR(VLOOKUP($B520,'Из ГУГЛа'!$B:$G,6,0)*Z520+Y520,VLOOKUP($B520,'Из ГУГЛа'!$B:$G,6,0))</f>
        <v>51460</v>
      </c>
      <c r="Y520" s="220">
        <f t="shared" si="366"/>
        <v>9970</v>
      </c>
      <c r="Z520" s="133">
        <v>1</v>
      </c>
      <c r="AA520" s="134"/>
      <c r="AB520" s="135">
        <f t="shared" si="359"/>
        <v>0.15106745737583394</v>
      </c>
      <c r="AC520" s="135">
        <f t="shared" si="360"/>
        <v>9.4759036144578368E-2</v>
      </c>
      <c r="AD520" s="135">
        <f t="shared" si="361"/>
        <v>0.27155917963923892</v>
      </c>
      <c r="AE520" s="223">
        <v>51460</v>
      </c>
      <c r="AF520" s="98" t="s">
        <v>615</v>
      </c>
      <c r="AH520" s="98" t="s">
        <v>148</v>
      </c>
    </row>
    <row r="521" spans="1:34" ht="46.5" thickTop="1" thickBot="1">
      <c r="A521" s="125" t="str">
        <f>INDEX('Выгр Торг'!$A:$A,MATCH($B521,'Выгр Торг'!$B:$B,0))</f>
        <v>Руль анатомический "Ferrum" Vesta Premium для Лада Веста, XRAY</v>
      </c>
      <c r="B521" s="126">
        <v>322913</v>
      </c>
      <c r="C521" s="127">
        <f>VLOOKUP($B521,'Выгр Торг'!$B:$Q,C$1,0)</f>
        <v>322913</v>
      </c>
      <c r="D521" s="44" t="s">
        <v>110</v>
      </c>
      <c r="E521" s="125" t="str">
        <f>VLOOKUP($B521,'Выгр Торг'!$B:$Q,E$1,0)</f>
        <v>Руль анатомический "Ferrum Group" Vesta Cross для Лада Веста, XRAY (Чёрная нить, Чёрный глянец)</v>
      </c>
      <c r="F521" s="127" t="str">
        <f>VLOOKUP($B521,'Выгр Торг'!$B:$Q,F$1,0)</f>
        <v>Y</v>
      </c>
      <c r="G521" s="127" t="str">
        <f>VLOOKUP($B521,'Выгр Торг'!$B:$Q,G$1,0)</f>
        <v>1</v>
      </c>
      <c r="H521" s="127">
        <v>322913</v>
      </c>
      <c r="I521" s="156"/>
      <c r="J521" s="160">
        <v>7000</v>
      </c>
      <c r="K521" s="161">
        <v>0</v>
      </c>
      <c r="L521" s="130">
        <f>M521-1000</f>
        <v>39300</v>
      </c>
      <c r="M521" s="131">
        <f>N521+J521</f>
        <v>40300</v>
      </c>
      <c r="N521" s="131">
        <v>33300</v>
      </c>
      <c r="O521" s="132">
        <f>M521/L521</f>
        <v>1.025445292620865</v>
      </c>
      <c r="P521" s="132">
        <f t="shared" si="374"/>
        <v>1.1499999999999999</v>
      </c>
      <c r="Q521" s="147">
        <f t="shared" ref="Q521" si="377">L521*P521*100/93</f>
        <v>48596.774193548386</v>
      </c>
      <c r="R521" s="148">
        <f>IF(Q521&lt;=1000,(ROUNDUP(Q521,-2)-1),(ROUNDUP(Q521,-2)-10))</f>
        <v>48590</v>
      </c>
      <c r="S521" s="127">
        <f>VLOOKUP($B521,'Выгр Торг'!$B:$Q,S$1,0)</f>
        <v>39300</v>
      </c>
      <c r="T521" s="127">
        <f>VLOOKUP($B521,'Выгр Торг'!$B:$Q,T$1,0)</f>
        <v>48590</v>
      </c>
      <c r="U521" s="94">
        <f t="shared" si="375"/>
        <v>0</v>
      </c>
      <c r="V521" s="94">
        <f t="shared" si="376"/>
        <v>0</v>
      </c>
      <c r="W521" s="153">
        <f>R521*(1-$W$2)</f>
        <v>45188.7</v>
      </c>
      <c r="X521" s="209">
        <f>IFERROR(VLOOKUP($B521,'Из ГУГЛа'!$B:$G,6,0)*Z521+Y521,VLOOKUP($B521,'Из ГУГЛа'!$B:$G,6,0))</f>
        <v>50290</v>
      </c>
      <c r="Y521" s="106">
        <f>(J521+K521)*$Y$2</f>
        <v>9100</v>
      </c>
      <c r="Z521" s="133">
        <v>1</v>
      </c>
      <c r="AA521" s="134"/>
      <c r="AB521" s="135">
        <f>IFERROR(W521/L521-1,"")</f>
        <v>0.14983969465648839</v>
      </c>
      <c r="AC521" s="135">
        <f>IFERROR((AE521-W521)/AE521,"")</f>
        <v>0.10143766156293503</v>
      </c>
      <c r="AD521" s="135">
        <f>IFERROR(IF(AE521="","",AE521/L521-1),"")</f>
        <v>0.27964376590330797</v>
      </c>
      <c r="AE521" s="137">
        <v>50290</v>
      </c>
      <c r="AF521" s="98" t="s">
        <v>619</v>
      </c>
      <c r="AH521" s="98" t="s">
        <v>110</v>
      </c>
    </row>
    <row r="522" spans="1:34" ht="46.5" thickTop="1" thickBot="1">
      <c r="A522" s="125" t="str">
        <f>INDEX('Выгр Торг'!$A:$A,MATCH($B522,'Выгр Торг'!$B:$B,0))</f>
        <v>Руль анатомический "Ferrum" Vesta Premium для Лада Веста, XRAY</v>
      </c>
      <c r="B522" s="126">
        <v>342047</v>
      </c>
      <c r="C522" s="127">
        <f>VLOOKUP($B522,'Выгр Торг'!$B:$Q,C$1,0)</f>
        <v>342047</v>
      </c>
      <c r="D522" s="44" t="s">
        <v>110</v>
      </c>
      <c r="E522" s="125" t="str">
        <f>VLOOKUP($B522,'Выгр Торг'!$B:$Q,E$1,0)</f>
        <v>Руль анатомический "Ferrum" Vesta Premium для Лада Веста, XRAY (Белая нить, Чёрный мат)</v>
      </c>
      <c r="F522" s="127" t="str">
        <f>VLOOKUP($B522,'Выгр Торг'!$B:$Q,F$1,0)</f>
        <v>Y</v>
      </c>
      <c r="G522" s="127" t="str">
        <f>VLOOKUP($B522,'Выгр Торг'!$B:$Q,G$1,0)</f>
        <v>1</v>
      </c>
      <c r="H522" s="127">
        <v>322913</v>
      </c>
      <c r="I522" s="156"/>
      <c r="J522" s="160">
        <v>830</v>
      </c>
      <c r="K522" s="161">
        <v>870</v>
      </c>
      <c r="L522" s="130">
        <f t="shared" si="357"/>
        <v>41000</v>
      </c>
      <c r="M522" s="130">
        <f t="shared" ref="M522:M546" si="378">INDEX($M:$M,MATCH($H522,$C:$C,0))+$K522+$J522</f>
        <v>42000</v>
      </c>
      <c r="N522" s="130">
        <f t="shared" ref="N522:N546" si="379">INDEX($N:$N,MATCH($H522,$C:$C,0))+$K522+$J522</f>
        <v>35000</v>
      </c>
      <c r="O522" s="132">
        <f t="shared" ref="O522:O546" si="380">M522/L522</f>
        <v>1.024390243902439</v>
      </c>
      <c r="P522" s="132">
        <f t="shared" si="374"/>
        <v>1.1499999999999999</v>
      </c>
      <c r="Q522" s="130">
        <f t="shared" ref="Q522:Q546" si="381">INDEX($Q:$Q,MATCH($H522,$C:$C,0))+($K522+$J522)*INDEX($P:$P,MATCH($H522,$C:$C,0))*100/93</f>
        <v>50698.924731182793</v>
      </c>
      <c r="R522" s="148">
        <f t="shared" ref="R522:R546" si="382">IF(Q522&lt;=1000,(ROUNDUP(Q522,-2)-1),(ROUNDUP(Q522,-2)-10))</f>
        <v>50690</v>
      </c>
      <c r="S522" s="127">
        <f>VLOOKUP($B522,'Выгр Торг'!$B:$Q,S$1,0)</f>
        <v>41000</v>
      </c>
      <c r="T522" s="127">
        <f>VLOOKUP($B522,'Выгр Торг'!$B:$Q,T$1,0)</f>
        <v>50690</v>
      </c>
      <c r="U522" s="94">
        <f t="shared" si="375"/>
        <v>0</v>
      </c>
      <c r="V522" s="94">
        <f t="shared" si="376"/>
        <v>0</v>
      </c>
      <c r="W522" s="153">
        <f t="shared" si="358"/>
        <v>47141.7</v>
      </c>
      <c r="X522" s="209">
        <f>IFERROR(VLOOKUP($B522,'Из ГУГЛа'!$B:$G,6,0)*Z522+Y522,VLOOKUP($B522,'Из ГУГЛа'!$B:$G,6,0))</f>
        <v>51990</v>
      </c>
      <c r="Y522" s="220">
        <f t="shared" ref="Y522:Y546" si="383">INDEX($Y:$Y,MATCH($H522,$C:$C,0))+J522+K522</f>
        <v>10800</v>
      </c>
      <c r="Z522" s="133">
        <v>1</v>
      </c>
      <c r="AA522" s="133">
        <v>1300</v>
      </c>
      <c r="AB522" s="135">
        <f t="shared" si="359"/>
        <v>0.1497975609756097</v>
      </c>
      <c r="AC522" s="135">
        <f t="shared" si="360"/>
        <v>9.3254472013848871E-2</v>
      </c>
      <c r="AD522" s="135">
        <f t="shared" si="361"/>
        <v>0.26804878048780489</v>
      </c>
      <c r="AE522" s="223">
        <v>51990</v>
      </c>
      <c r="AF522" s="98" t="s">
        <v>619</v>
      </c>
      <c r="AH522" s="98" t="s">
        <v>110</v>
      </c>
    </row>
    <row r="523" spans="1:34" ht="46.5" thickTop="1" thickBot="1">
      <c r="A523" s="176" t="str">
        <f>INDEX('Выгр Торг'!$A:$A,MATCH($B523,'Выгр Торг'!$B:$B,0))</f>
        <v>Руль анатомический "Ferrum" Vesta Premium для Лада Веста, XRAY</v>
      </c>
      <c r="B523" s="178">
        <v>342059</v>
      </c>
      <c r="C523" s="179">
        <f>VLOOKUP($B523,'Выгр Торг'!$B:$Q,C$1,0)</f>
        <v>342059</v>
      </c>
      <c r="D523" s="186" t="s">
        <v>110</v>
      </c>
      <c r="E523" s="176" t="str">
        <f>VLOOKUP($B523,'Выгр Торг'!$B:$Q,E$1,0)</f>
        <v>Руль анатомический "Ferrum" Vesta Premium для Лада Веста, XRAY (Жёлтая нить, Чёрный мат)</v>
      </c>
      <c r="F523" s="179" t="str">
        <f>VLOOKUP($B523,'Выгр Торг'!$B:$Q,F$1,0)</f>
        <v>Y</v>
      </c>
      <c r="G523" s="179" t="str">
        <f>VLOOKUP($B523,'Выгр Торг'!$B:$Q,G$1,0)</f>
        <v>1</v>
      </c>
      <c r="H523" s="179">
        <v>322913</v>
      </c>
      <c r="I523" s="156"/>
      <c r="J523" s="160">
        <v>830</v>
      </c>
      <c r="K523" s="161">
        <v>870</v>
      </c>
      <c r="L523" s="180">
        <f t="shared" ref="L523:L535" si="384">M523-1000</f>
        <v>41000</v>
      </c>
      <c r="M523" s="180">
        <f t="shared" si="378"/>
        <v>42000</v>
      </c>
      <c r="N523" s="180">
        <f t="shared" si="379"/>
        <v>35000</v>
      </c>
      <c r="O523" s="107">
        <f t="shared" ref="O523:O535" si="385">M523/L523</f>
        <v>1.024390243902439</v>
      </c>
      <c r="P523" s="132">
        <f t="shared" si="374"/>
        <v>1.1499999999999999</v>
      </c>
      <c r="Q523" s="180">
        <f t="shared" si="381"/>
        <v>50698.924731182793</v>
      </c>
      <c r="R523" s="144">
        <f t="shared" ref="R523:R535" si="386">IF(Q523&lt;=1000,(ROUNDUP(Q523,-2)-1),(ROUNDUP(Q523,-2)-10))</f>
        <v>50690</v>
      </c>
      <c r="S523" s="179">
        <f>VLOOKUP($B523,'Выгр Торг'!$B:$Q,S$1,0)</f>
        <v>41000</v>
      </c>
      <c r="T523" s="179">
        <f>VLOOKUP($B523,'Выгр Торг'!$B:$Q,T$1,0)</f>
        <v>50690</v>
      </c>
      <c r="U523" s="94">
        <f t="shared" si="375"/>
        <v>0</v>
      </c>
      <c r="V523" s="94">
        <f t="shared" si="376"/>
        <v>0</v>
      </c>
      <c r="W523" s="182">
        <f t="shared" ref="W523:W535" si="387">R523*(1-$W$2)</f>
        <v>47141.7</v>
      </c>
      <c r="X523" s="218">
        <f>IFERROR(VLOOKUP($B523,'Из ГУГЛа'!$B:$G,6,0)*Z523+Y523,VLOOKUP($B523,'Из ГУГЛа'!$B:$G,6,0))</f>
        <v>51990</v>
      </c>
      <c r="Y523" s="220">
        <f t="shared" si="383"/>
        <v>10800</v>
      </c>
      <c r="Z523" s="133">
        <v>1</v>
      </c>
      <c r="AA523" s="133">
        <v>1300</v>
      </c>
      <c r="AB523" s="184">
        <f t="shared" ref="AB523:AB535" si="388">IFERROR(W523/L523-1,"")</f>
        <v>0.1497975609756097</v>
      </c>
      <c r="AC523" s="184">
        <f t="shared" ref="AC523:AC535" si="389">IFERROR((AE523-W523)/AE523,"")</f>
        <v>9.3254472013848871E-2</v>
      </c>
      <c r="AD523" s="184">
        <f t="shared" ref="AD523:AD535" si="390">IFERROR(IF(AE523="","",AE523/L523-1),"")</f>
        <v>0.26804878048780489</v>
      </c>
      <c r="AE523" s="223">
        <v>51990</v>
      </c>
      <c r="AF523" s="98" t="s">
        <v>619</v>
      </c>
      <c r="AH523" s="98" t="s">
        <v>110</v>
      </c>
    </row>
    <row r="524" spans="1:34" ht="46.5" thickTop="1" thickBot="1">
      <c r="A524" s="176" t="str">
        <f>INDEX('Выгр Торг'!$A:$A,MATCH($B524,'Выгр Торг'!$B:$B,0))</f>
        <v>Руль анатомический "Ferrum" Vesta Premium для Лада Веста, XRAY</v>
      </c>
      <c r="B524" s="178">
        <v>342058</v>
      </c>
      <c r="C524" s="179">
        <f>VLOOKUP($B524,'Выгр Торг'!$B:$Q,C$1,0)</f>
        <v>342058</v>
      </c>
      <c r="D524" s="186" t="s">
        <v>110</v>
      </c>
      <c r="E524" s="176" t="str">
        <f>VLOOKUP($B524,'Выгр Торг'!$B:$Q,E$1,0)</f>
        <v>Руль анатомический "Ferrum" Vesta Premium для Лада Веста, XRAY (Зелёная нить, Чёрный мат)</v>
      </c>
      <c r="F524" s="179" t="str">
        <f>VLOOKUP($B524,'Выгр Торг'!$B:$Q,F$1,0)</f>
        <v>Y</v>
      </c>
      <c r="G524" s="179" t="str">
        <f>VLOOKUP($B524,'Выгр Торг'!$B:$Q,G$1,0)</f>
        <v>1</v>
      </c>
      <c r="H524" s="179">
        <v>322913</v>
      </c>
      <c r="I524" s="156"/>
      <c r="J524" s="160">
        <v>830</v>
      </c>
      <c r="K524" s="161">
        <v>870</v>
      </c>
      <c r="L524" s="180">
        <f t="shared" si="384"/>
        <v>41000</v>
      </c>
      <c r="M524" s="180">
        <f t="shared" si="378"/>
        <v>42000</v>
      </c>
      <c r="N524" s="180">
        <f t="shared" si="379"/>
        <v>35000</v>
      </c>
      <c r="O524" s="107">
        <f t="shared" si="385"/>
        <v>1.024390243902439</v>
      </c>
      <c r="P524" s="132">
        <f t="shared" si="374"/>
        <v>1.1499999999999999</v>
      </c>
      <c r="Q524" s="180">
        <f t="shared" si="381"/>
        <v>50698.924731182793</v>
      </c>
      <c r="R524" s="144">
        <f t="shared" si="386"/>
        <v>50690</v>
      </c>
      <c r="S524" s="179">
        <f>VLOOKUP($B524,'Выгр Торг'!$B:$Q,S$1,0)</f>
        <v>41000</v>
      </c>
      <c r="T524" s="179">
        <f>VLOOKUP($B524,'Выгр Торг'!$B:$Q,T$1,0)</f>
        <v>50690</v>
      </c>
      <c r="U524" s="94">
        <f t="shared" si="375"/>
        <v>0</v>
      </c>
      <c r="V524" s="94">
        <f t="shared" si="376"/>
        <v>0</v>
      </c>
      <c r="W524" s="182">
        <f t="shared" si="387"/>
        <v>47141.7</v>
      </c>
      <c r="X524" s="218">
        <f>IFERROR(VLOOKUP($B524,'Из ГУГЛа'!$B:$G,6,0)*Z524+Y524,VLOOKUP($B524,'Из ГУГЛа'!$B:$G,6,0))</f>
        <v>51990</v>
      </c>
      <c r="Y524" s="220">
        <f t="shared" si="383"/>
        <v>10800</v>
      </c>
      <c r="Z524" s="133">
        <v>1</v>
      </c>
      <c r="AA524" s="133">
        <v>1300</v>
      </c>
      <c r="AB524" s="184">
        <f t="shared" si="388"/>
        <v>0.1497975609756097</v>
      </c>
      <c r="AC524" s="184">
        <f t="shared" si="389"/>
        <v>9.3254472013848871E-2</v>
      </c>
      <c r="AD524" s="184">
        <f t="shared" si="390"/>
        <v>0.26804878048780489</v>
      </c>
      <c r="AE524" s="223">
        <v>51990</v>
      </c>
      <c r="AF524" s="98" t="s">
        <v>619</v>
      </c>
      <c r="AH524" s="98" t="s">
        <v>110</v>
      </c>
    </row>
    <row r="525" spans="1:34" ht="46.5" thickTop="1" thickBot="1">
      <c r="A525" s="176" t="str">
        <f>INDEX('Выгр Торг'!$A:$A,MATCH($B525,'Выгр Торг'!$B:$B,0))</f>
        <v>Руль анатомический "Ferrum" Vesta Premium для Лада Веста, XRAY</v>
      </c>
      <c r="B525" s="178">
        <v>342050</v>
      </c>
      <c r="C525" s="179">
        <f>VLOOKUP($B525,'Выгр Торг'!$B:$Q,C$1,0)</f>
        <v>342050</v>
      </c>
      <c r="D525" s="186" t="s">
        <v>110</v>
      </c>
      <c r="E525" s="176" t="str">
        <f>VLOOKUP($B525,'Выгр Торг'!$B:$Q,E$1,0)</f>
        <v>Руль анатомический "Ferrum" Vesta Premium для Лада Веста, XRAY (Коричневая нить, Чёрный мат)</v>
      </c>
      <c r="F525" s="179" t="str">
        <f>VLOOKUP($B525,'Выгр Торг'!$B:$Q,F$1,0)</f>
        <v>Y</v>
      </c>
      <c r="G525" s="179" t="str">
        <f>VLOOKUP($B525,'Выгр Торг'!$B:$Q,G$1,0)</f>
        <v>1</v>
      </c>
      <c r="H525" s="179">
        <v>322913</v>
      </c>
      <c r="I525" s="156"/>
      <c r="J525" s="160">
        <v>830</v>
      </c>
      <c r="K525" s="161">
        <v>870</v>
      </c>
      <c r="L525" s="180">
        <f t="shared" si="384"/>
        <v>41000</v>
      </c>
      <c r="M525" s="180">
        <f t="shared" si="378"/>
        <v>42000</v>
      </c>
      <c r="N525" s="180">
        <f t="shared" si="379"/>
        <v>35000</v>
      </c>
      <c r="O525" s="107">
        <f t="shared" si="385"/>
        <v>1.024390243902439</v>
      </c>
      <c r="P525" s="132">
        <f t="shared" si="374"/>
        <v>1.1499999999999999</v>
      </c>
      <c r="Q525" s="180">
        <f t="shared" si="381"/>
        <v>50698.924731182793</v>
      </c>
      <c r="R525" s="144">
        <f t="shared" si="386"/>
        <v>50690</v>
      </c>
      <c r="S525" s="179">
        <f>VLOOKUP($B525,'Выгр Торг'!$B:$Q,S$1,0)</f>
        <v>41000</v>
      </c>
      <c r="T525" s="179">
        <f>VLOOKUP($B525,'Выгр Торг'!$B:$Q,T$1,0)</f>
        <v>50690</v>
      </c>
      <c r="U525" s="94">
        <f t="shared" si="375"/>
        <v>0</v>
      </c>
      <c r="V525" s="94">
        <f t="shared" si="376"/>
        <v>0</v>
      </c>
      <c r="W525" s="182">
        <f t="shared" si="387"/>
        <v>47141.7</v>
      </c>
      <c r="X525" s="218">
        <f>IFERROR(VLOOKUP($B525,'Из ГУГЛа'!$B:$G,6,0)*Z525+Y525,VLOOKUP($B525,'Из ГУГЛа'!$B:$G,6,0))</f>
        <v>51990</v>
      </c>
      <c r="Y525" s="220">
        <f t="shared" si="383"/>
        <v>10800</v>
      </c>
      <c r="Z525" s="133">
        <v>1</v>
      </c>
      <c r="AA525" s="133">
        <v>1300</v>
      </c>
      <c r="AB525" s="184">
        <f t="shared" si="388"/>
        <v>0.1497975609756097</v>
      </c>
      <c r="AC525" s="184">
        <f t="shared" si="389"/>
        <v>9.3254472013848871E-2</v>
      </c>
      <c r="AD525" s="184">
        <f t="shared" si="390"/>
        <v>0.26804878048780489</v>
      </c>
      <c r="AE525" s="223">
        <v>51990</v>
      </c>
      <c r="AF525" s="98" t="s">
        <v>619</v>
      </c>
      <c r="AH525" s="98" t="s">
        <v>110</v>
      </c>
    </row>
    <row r="526" spans="1:34" ht="46.5" thickTop="1" thickBot="1">
      <c r="A526" s="176" t="str">
        <f>INDEX('Выгр Торг'!$A:$A,MATCH($B526,'Выгр Торг'!$B:$B,0))</f>
        <v>Руль анатомический "Ferrum" Vesta Premium для Лада Веста, XRAY</v>
      </c>
      <c r="B526" s="178">
        <v>342051</v>
      </c>
      <c r="C526" s="179">
        <f>VLOOKUP($B526,'Выгр Торг'!$B:$Q,C$1,0)</f>
        <v>342051</v>
      </c>
      <c r="D526" s="186" t="s">
        <v>110</v>
      </c>
      <c r="E526" s="176" t="str">
        <f>VLOOKUP($B526,'Выгр Торг'!$B:$Q,E$1,0)</f>
        <v>Руль анатомический "Ferrum" Vesta Premium для Лада Веста, XRAY (Красная нить, Чёрный мат)</v>
      </c>
      <c r="F526" s="179" t="str">
        <f>VLOOKUP($B526,'Выгр Торг'!$B:$Q,F$1,0)</f>
        <v>Y</v>
      </c>
      <c r="G526" s="179" t="str">
        <f>VLOOKUP($B526,'Выгр Торг'!$B:$Q,G$1,0)</f>
        <v>1</v>
      </c>
      <c r="H526" s="179">
        <v>322913</v>
      </c>
      <c r="I526" s="156"/>
      <c r="J526" s="160">
        <v>830</v>
      </c>
      <c r="K526" s="161">
        <v>870</v>
      </c>
      <c r="L526" s="180">
        <f t="shared" si="384"/>
        <v>41000</v>
      </c>
      <c r="M526" s="180">
        <f t="shared" si="378"/>
        <v>42000</v>
      </c>
      <c r="N526" s="180">
        <f t="shared" si="379"/>
        <v>35000</v>
      </c>
      <c r="O526" s="107">
        <f t="shared" si="385"/>
        <v>1.024390243902439</v>
      </c>
      <c r="P526" s="132">
        <f t="shared" si="374"/>
        <v>1.1499999999999999</v>
      </c>
      <c r="Q526" s="180">
        <f t="shared" si="381"/>
        <v>50698.924731182793</v>
      </c>
      <c r="R526" s="144">
        <f t="shared" si="386"/>
        <v>50690</v>
      </c>
      <c r="S526" s="179">
        <f>VLOOKUP($B526,'Выгр Торг'!$B:$Q,S$1,0)</f>
        <v>41000</v>
      </c>
      <c r="T526" s="179">
        <f>VLOOKUP($B526,'Выгр Торг'!$B:$Q,T$1,0)</f>
        <v>50690</v>
      </c>
      <c r="U526" s="94">
        <f t="shared" si="375"/>
        <v>0</v>
      </c>
      <c r="V526" s="94">
        <f t="shared" si="376"/>
        <v>0</v>
      </c>
      <c r="W526" s="182">
        <f t="shared" si="387"/>
        <v>47141.7</v>
      </c>
      <c r="X526" s="218">
        <f>IFERROR(VLOOKUP($B526,'Из ГУГЛа'!$B:$G,6,0)*Z526+Y526,VLOOKUP($B526,'Из ГУГЛа'!$B:$G,6,0))</f>
        <v>51990</v>
      </c>
      <c r="Y526" s="220">
        <f t="shared" si="383"/>
        <v>10800</v>
      </c>
      <c r="Z526" s="133">
        <v>1</v>
      </c>
      <c r="AA526" s="133">
        <v>1300</v>
      </c>
      <c r="AB526" s="184">
        <f t="shared" si="388"/>
        <v>0.1497975609756097</v>
      </c>
      <c r="AC526" s="184">
        <f t="shared" si="389"/>
        <v>9.3254472013848871E-2</v>
      </c>
      <c r="AD526" s="184">
        <f t="shared" si="390"/>
        <v>0.26804878048780489</v>
      </c>
      <c r="AE526" s="223">
        <v>51990</v>
      </c>
      <c r="AF526" s="98" t="s">
        <v>619</v>
      </c>
      <c r="AH526" s="98" t="s">
        <v>110</v>
      </c>
    </row>
    <row r="527" spans="1:34" ht="46.5" thickTop="1" thickBot="1">
      <c r="A527" s="176" t="str">
        <f>INDEX('Выгр Торг'!$A:$A,MATCH($B527,'Выгр Торг'!$B:$B,0))</f>
        <v>Руль анатомический "Ferrum" Vesta Premium для Лада Веста, XRAY</v>
      </c>
      <c r="B527" s="178">
        <v>342052</v>
      </c>
      <c r="C527" s="179">
        <f>VLOOKUP($B527,'Выгр Торг'!$B:$Q,C$1,0)</f>
        <v>342052</v>
      </c>
      <c r="D527" s="186" t="s">
        <v>110</v>
      </c>
      <c r="E527" s="176" t="str">
        <f>VLOOKUP($B527,'Выгр Торг'!$B:$Q,E$1,0)</f>
        <v>Руль анатомический "Ferrum" Vesta Premium для Лада Веста, XRAY (Оранжевая нить, Чёрный мат)</v>
      </c>
      <c r="F527" s="179" t="str">
        <f>VLOOKUP($B527,'Выгр Торг'!$B:$Q,F$1,0)</f>
        <v>Y</v>
      </c>
      <c r="G527" s="179" t="str">
        <f>VLOOKUP($B527,'Выгр Торг'!$B:$Q,G$1,0)</f>
        <v>1</v>
      </c>
      <c r="H527" s="179">
        <v>322913</v>
      </c>
      <c r="I527" s="156"/>
      <c r="J527" s="160">
        <v>830</v>
      </c>
      <c r="K527" s="161">
        <v>870</v>
      </c>
      <c r="L527" s="180">
        <f t="shared" si="384"/>
        <v>41000</v>
      </c>
      <c r="M527" s="180">
        <f t="shared" si="378"/>
        <v>42000</v>
      </c>
      <c r="N527" s="180">
        <f t="shared" si="379"/>
        <v>35000</v>
      </c>
      <c r="O527" s="107">
        <f t="shared" si="385"/>
        <v>1.024390243902439</v>
      </c>
      <c r="P527" s="132">
        <f t="shared" si="374"/>
        <v>1.1499999999999999</v>
      </c>
      <c r="Q527" s="180">
        <f t="shared" si="381"/>
        <v>50698.924731182793</v>
      </c>
      <c r="R527" s="144">
        <f t="shared" si="386"/>
        <v>50690</v>
      </c>
      <c r="S527" s="179">
        <f>VLOOKUP($B527,'Выгр Торг'!$B:$Q,S$1,0)</f>
        <v>41000</v>
      </c>
      <c r="T527" s="179">
        <f>VLOOKUP($B527,'Выгр Торг'!$B:$Q,T$1,0)</f>
        <v>50690</v>
      </c>
      <c r="U527" s="94">
        <f t="shared" si="375"/>
        <v>0</v>
      </c>
      <c r="V527" s="94">
        <f t="shared" si="376"/>
        <v>0</v>
      </c>
      <c r="W527" s="182">
        <f t="shared" si="387"/>
        <v>47141.7</v>
      </c>
      <c r="X527" s="218">
        <f>IFERROR(VLOOKUP($B527,'Из ГУГЛа'!$B:$G,6,0)*Z527+Y527,VLOOKUP($B527,'Из ГУГЛа'!$B:$G,6,0))</f>
        <v>51990</v>
      </c>
      <c r="Y527" s="220">
        <f t="shared" si="383"/>
        <v>10800</v>
      </c>
      <c r="Z527" s="133">
        <v>1</v>
      </c>
      <c r="AA527" s="133">
        <v>1300</v>
      </c>
      <c r="AB527" s="184">
        <f t="shared" si="388"/>
        <v>0.1497975609756097</v>
      </c>
      <c r="AC527" s="184">
        <f t="shared" si="389"/>
        <v>9.3254472013848871E-2</v>
      </c>
      <c r="AD527" s="184">
        <f t="shared" si="390"/>
        <v>0.26804878048780489</v>
      </c>
      <c r="AE527" s="223">
        <v>51990</v>
      </c>
      <c r="AF527" s="98" t="s">
        <v>619</v>
      </c>
      <c r="AH527" s="98" t="s">
        <v>110</v>
      </c>
    </row>
    <row r="528" spans="1:34" ht="46.5" thickTop="1" thickBot="1">
      <c r="A528" s="176" t="str">
        <f>INDEX('Выгр Торг'!$A:$A,MATCH($B528,'Выгр Торг'!$B:$B,0))</f>
        <v>Руль анатомический "Ferrum" Vesta Premium для Лада Веста, XRAY</v>
      </c>
      <c r="B528" s="178">
        <v>342053</v>
      </c>
      <c r="C528" s="179">
        <f>VLOOKUP($B528,'Выгр Торг'!$B:$Q,C$1,0)</f>
        <v>342053</v>
      </c>
      <c r="D528" s="186" t="s">
        <v>110</v>
      </c>
      <c r="E528" s="176" t="str">
        <f>VLOOKUP($B528,'Выгр Торг'!$B:$Q,E$1,0)</f>
        <v>Руль анатомический "Ferrum" Vesta Premium для Лада Веста, XRAY (Салатовая нить, Чёрный мат)</v>
      </c>
      <c r="F528" s="179" t="str">
        <f>VLOOKUP($B528,'Выгр Торг'!$B:$Q,F$1,0)</f>
        <v>Y</v>
      </c>
      <c r="G528" s="179" t="str">
        <f>VLOOKUP($B528,'Выгр Торг'!$B:$Q,G$1,0)</f>
        <v>1</v>
      </c>
      <c r="H528" s="179">
        <v>322913</v>
      </c>
      <c r="I528" s="156"/>
      <c r="J528" s="160">
        <v>830</v>
      </c>
      <c r="K528" s="161">
        <v>870</v>
      </c>
      <c r="L528" s="180">
        <f t="shared" si="384"/>
        <v>41000</v>
      </c>
      <c r="M528" s="180">
        <f t="shared" si="378"/>
        <v>42000</v>
      </c>
      <c r="N528" s="180">
        <f t="shared" si="379"/>
        <v>35000</v>
      </c>
      <c r="O528" s="107">
        <f t="shared" si="385"/>
        <v>1.024390243902439</v>
      </c>
      <c r="P528" s="132">
        <f t="shared" si="374"/>
        <v>1.1499999999999999</v>
      </c>
      <c r="Q528" s="180">
        <f t="shared" si="381"/>
        <v>50698.924731182793</v>
      </c>
      <c r="R528" s="144">
        <f t="shared" si="386"/>
        <v>50690</v>
      </c>
      <c r="S528" s="179">
        <f>VLOOKUP($B528,'Выгр Торг'!$B:$Q,S$1,0)</f>
        <v>41000</v>
      </c>
      <c r="T528" s="179">
        <f>VLOOKUP($B528,'Выгр Торг'!$B:$Q,T$1,0)</f>
        <v>50690</v>
      </c>
      <c r="U528" s="94">
        <f t="shared" si="375"/>
        <v>0</v>
      </c>
      <c r="V528" s="94">
        <f t="shared" si="376"/>
        <v>0</v>
      </c>
      <c r="W528" s="182">
        <f t="shared" si="387"/>
        <v>47141.7</v>
      </c>
      <c r="X528" s="218">
        <f>IFERROR(VLOOKUP($B528,'Из ГУГЛа'!$B:$G,6,0)*Z528+Y528,VLOOKUP($B528,'Из ГУГЛа'!$B:$G,6,0))</f>
        <v>51990</v>
      </c>
      <c r="Y528" s="220">
        <f t="shared" si="383"/>
        <v>10800</v>
      </c>
      <c r="Z528" s="133">
        <v>1</v>
      </c>
      <c r="AA528" s="133">
        <v>1300</v>
      </c>
      <c r="AB528" s="184">
        <f t="shared" si="388"/>
        <v>0.1497975609756097</v>
      </c>
      <c r="AC528" s="184">
        <f t="shared" si="389"/>
        <v>9.3254472013848871E-2</v>
      </c>
      <c r="AD528" s="184">
        <f t="shared" si="390"/>
        <v>0.26804878048780489</v>
      </c>
      <c r="AE528" s="223">
        <v>51990</v>
      </c>
      <c r="AF528" s="98" t="s">
        <v>619</v>
      </c>
      <c r="AH528" s="98" t="s">
        <v>110</v>
      </c>
    </row>
    <row r="529" spans="1:34" ht="46.5" thickTop="1" thickBot="1">
      <c r="A529" s="176" t="str">
        <f>INDEX('Выгр Торг'!$A:$A,MATCH($B529,'Выгр Торг'!$B:$B,0))</f>
        <v>Руль анатомический "Ferrum" Vesta Premium для Лада Веста, XRAY</v>
      </c>
      <c r="B529" s="178">
        <v>342056</v>
      </c>
      <c r="C529" s="179">
        <f>VLOOKUP($B529,'Выгр Торг'!$B:$Q,C$1,0)</f>
        <v>342056</v>
      </c>
      <c r="D529" s="186" t="s">
        <v>110</v>
      </c>
      <c r="E529" s="176" t="str">
        <f>VLOOKUP($B529,'Выгр Торг'!$B:$Q,E$1,0)</f>
        <v>Руль анатомический "Ferrum" Vesta Premium для Лада Веста, XRAY (Светло-серая нить, Чёрный мат)</v>
      </c>
      <c r="F529" s="179" t="str">
        <f>VLOOKUP($B529,'Выгр Торг'!$B:$Q,F$1,0)</f>
        <v>Y</v>
      </c>
      <c r="G529" s="179" t="str">
        <f>VLOOKUP($B529,'Выгр Торг'!$B:$Q,G$1,0)</f>
        <v>1</v>
      </c>
      <c r="H529" s="179">
        <v>322913</v>
      </c>
      <c r="I529" s="156"/>
      <c r="J529" s="160">
        <v>830</v>
      </c>
      <c r="K529" s="161">
        <v>870</v>
      </c>
      <c r="L529" s="180">
        <f t="shared" si="384"/>
        <v>41000</v>
      </c>
      <c r="M529" s="180">
        <f t="shared" si="378"/>
        <v>42000</v>
      </c>
      <c r="N529" s="180">
        <f t="shared" si="379"/>
        <v>35000</v>
      </c>
      <c r="O529" s="107">
        <f t="shared" si="385"/>
        <v>1.024390243902439</v>
      </c>
      <c r="P529" s="132">
        <f t="shared" si="374"/>
        <v>1.1499999999999999</v>
      </c>
      <c r="Q529" s="180">
        <f t="shared" si="381"/>
        <v>50698.924731182793</v>
      </c>
      <c r="R529" s="144">
        <f t="shared" si="386"/>
        <v>50690</v>
      </c>
      <c r="S529" s="179">
        <f>VLOOKUP($B529,'Выгр Торг'!$B:$Q,S$1,0)</f>
        <v>41000</v>
      </c>
      <c r="T529" s="179">
        <f>VLOOKUP($B529,'Выгр Торг'!$B:$Q,T$1,0)</f>
        <v>50690</v>
      </c>
      <c r="U529" s="94">
        <f t="shared" si="375"/>
        <v>0</v>
      </c>
      <c r="V529" s="94">
        <f t="shared" si="376"/>
        <v>0</v>
      </c>
      <c r="W529" s="182">
        <f t="shared" si="387"/>
        <v>47141.7</v>
      </c>
      <c r="X529" s="218">
        <f>IFERROR(VLOOKUP($B529,'Из ГУГЛа'!$B:$G,6,0)*Z529+Y529,VLOOKUP($B529,'Из ГУГЛа'!$B:$G,6,0))</f>
        <v>51990</v>
      </c>
      <c r="Y529" s="220">
        <f t="shared" si="383"/>
        <v>10800</v>
      </c>
      <c r="Z529" s="133">
        <v>1</v>
      </c>
      <c r="AA529" s="133">
        <v>1300</v>
      </c>
      <c r="AB529" s="184">
        <f t="shared" si="388"/>
        <v>0.1497975609756097</v>
      </c>
      <c r="AC529" s="184">
        <f t="shared" si="389"/>
        <v>9.3254472013848871E-2</v>
      </c>
      <c r="AD529" s="184">
        <f t="shared" si="390"/>
        <v>0.26804878048780489</v>
      </c>
      <c r="AE529" s="223">
        <v>51990</v>
      </c>
      <c r="AF529" s="98" t="s">
        <v>619</v>
      </c>
      <c r="AH529" s="98" t="s">
        <v>110</v>
      </c>
    </row>
    <row r="530" spans="1:34" ht="46.5" thickTop="1" thickBot="1">
      <c r="A530" s="176" t="str">
        <f>INDEX('Выгр Торг'!$A:$A,MATCH($B530,'Выгр Торг'!$B:$B,0))</f>
        <v>Руль анатомический "Ferrum" Vesta Premium для Лада Веста, XRAY</v>
      </c>
      <c r="B530" s="178">
        <v>342054</v>
      </c>
      <c r="C530" s="179">
        <f>VLOOKUP($B530,'Выгр Торг'!$B:$Q,C$1,0)</f>
        <v>342054</v>
      </c>
      <c r="D530" s="186" t="s">
        <v>110</v>
      </c>
      <c r="E530" s="176" t="str">
        <f>VLOOKUP($B530,'Выгр Торг'!$B:$Q,E$1,0)</f>
        <v>Руль анатомический "Ferrum" Vesta Premium для Лада Веста, XRAY (Сине-зелёная нить, Чёрный мат)</v>
      </c>
      <c r="F530" s="179" t="str">
        <f>VLOOKUP($B530,'Выгр Торг'!$B:$Q,F$1,0)</f>
        <v>Y</v>
      </c>
      <c r="G530" s="179" t="str">
        <f>VLOOKUP($B530,'Выгр Торг'!$B:$Q,G$1,0)</f>
        <v>1</v>
      </c>
      <c r="H530" s="179">
        <v>322913</v>
      </c>
      <c r="I530" s="156"/>
      <c r="J530" s="160">
        <v>830</v>
      </c>
      <c r="K530" s="161">
        <v>870</v>
      </c>
      <c r="L530" s="180">
        <f t="shared" si="384"/>
        <v>41000</v>
      </c>
      <c r="M530" s="180">
        <f t="shared" si="378"/>
        <v>42000</v>
      </c>
      <c r="N530" s="180">
        <f t="shared" si="379"/>
        <v>35000</v>
      </c>
      <c r="O530" s="107">
        <f t="shared" si="385"/>
        <v>1.024390243902439</v>
      </c>
      <c r="P530" s="132">
        <f t="shared" si="374"/>
        <v>1.1499999999999999</v>
      </c>
      <c r="Q530" s="180">
        <f t="shared" si="381"/>
        <v>50698.924731182793</v>
      </c>
      <c r="R530" s="144">
        <f t="shared" si="386"/>
        <v>50690</v>
      </c>
      <c r="S530" s="179">
        <f>VLOOKUP($B530,'Выгр Торг'!$B:$Q,S$1,0)</f>
        <v>41000</v>
      </c>
      <c r="T530" s="179">
        <f>VLOOKUP($B530,'Выгр Торг'!$B:$Q,T$1,0)</f>
        <v>50690</v>
      </c>
      <c r="U530" s="94">
        <f t="shared" si="375"/>
        <v>0</v>
      </c>
      <c r="V530" s="94">
        <f t="shared" si="376"/>
        <v>0</v>
      </c>
      <c r="W530" s="182">
        <f t="shared" si="387"/>
        <v>47141.7</v>
      </c>
      <c r="X530" s="218">
        <f>IFERROR(VLOOKUP($B530,'Из ГУГЛа'!$B:$G,6,0)*Z530+Y530,VLOOKUP($B530,'Из ГУГЛа'!$B:$G,6,0))</f>
        <v>51990</v>
      </c>
      <c r="Y530" s="220">
        <f t="shared" si="383"/>
        <v>10800</v>
      </c>
      <c r="Z530" s="133">
        <v>1</v>
      </c>
      <c r="AA530" s="133">
        <v>1300</v>
      </c>
      <c r="AB530" s="184">
        <f t="shared" si="388"/>
        <v>0.1497975609756097</v>
      </c>
      <c r="AC530" s="184">
        <f t="shared" si="389"/>
        <v>9.3254472013848871E-2</v>
      </c>
      <c r="AD530" s="184">
        <f t="shared" si="390"/>
        <v>0.26804878048780489</v>
      </c>
      <c r="AE530" s="223">
        <v>51990</v>
      </c>
      <c r="AF530" s="98" t="s">
        <v>619</v>
      </c>
      <c r="AH530" s="98" t="s">
        <v>110</v>
      </c>
    </row>
    <row r="531" spans="1:34" ht="46.5" thickTop="1" thickBot="1">
      <c r="A531" s="176" t="str">
        <f>INDEX('Выгр Торг'!$A:$A,MATCH($B531,'Выгр Торг'!$B:$B,0))</f>
        <v>Руль анатомический "Ferrum" Vesta Premium для Лада Веста, XRAY</v>
      </c>
      <c r="B531" s="178">
        <v>342055</v>
      </c>
      <c r="C531" s="179">
        <f>VLOOKUP($B531,'Выгр Торг'!$B:$Q,C$1,0)</f>
        <v>342055</v>
      </c>
      <c r="D531" s="186" t="s">
        <v>110</v>
      </c>
      <c r="E531" s="176" t="str">
        <f>VLOOKUP($B531,'Выгр Торг'!$B:$Q,E$1,0)</f>
        <v>Руль анатомический "Ferrum" Vesta Premium для Лада Веста, XRAY (Синяя нить, Чёрный мат)</v>
      </c>
      <c r="F531" s="179" t="str">
        <f>VLOOKUP($B531,'Выгр Торг'!$B:$Q,F$1,0)</f>
        <v>Y</v>
      </c>
      <c r="G531" s="179" t="str">
        <f>VLOOKUP($B531,'Выгр Торг'!$B:$Q,G$1,0)</f>
        <v>1</v>
      </c>
      <c r="H531" s="179">
        <v>322913</v>
      </c>
      <c r="I531" s="156"/>
      <c r="J531" s="160">
        <v>830</v>
      </c>
      <c r="K531" s="161">
        <v>870</v>
      </c>
      <c r="L531" s="180">
        <f t="shared" si="384"/>
        <v>41000</v>
      </c>
      <c r="M531" s="180">
        <f t="shared" si="378"/>
        <v>42000</v>
      </c>
      <c r="N531" s="180">
        <f t="shared" si="379"/>
        <v>35000</v>
      </c>
      <c r="O531" s="107">
        <f t="shared" si="385"/>
        <v>1.024390243902439</v>
      </c>
      <c r="P531" s="132">
        <f t="shared" si="374"/>
        <v>1.1499999999999999</v>
      </c>
      <c r="Q531" s="180">
        <f t="shared" si="381"/>
        <v>50698.924731182793</v>
      </c>
      <c r="R531" s="144">
        <f t="shared" si="386"/>
        <v>50690</v>
      </c>
      <c r="S531" s="179">
        <f>VLOOKUP($B531,'Выгр Торг'!$B:$Q,S$1,0)</f>
        <v>41000</v>
      </c>
      <c r="T531" s="179">
        <f>VLOOKUP($B531,'Выгр Торг'!$B:$Q,T$1,0)</f>
        <v>50690</v>
      </c>
      <c r="U531" s="94">
        <f t="shared" si="375"/>
        <v>0</v>
      </c>
      <c r="V531" s="94">
        <f t="shared" si="376"/>
        <v>0</v>
      </c>
      <c r="W531" s="182">
        <f t="shared" si="387"/>
        <v>47141.7</v>
      </c>
      <c r="X531" s="218">
        <f>IFERROR(VLOOKUP($B531,'Из ГУГЛа'!$B:$G,6,0)*Z531+Y531,VLOOKUP($B531,'Из ГУГЛа'!$B:$G,6,0))</f>
        <v>51990</v>
      </c>
      <c r="Y531" s="220">
        <f t="shared" si="383"/>
        <v>10800</v>
      </c>
      <c r="Z531" s="133">
        <v>1</v>
      </c>
      <c r="AA531" s="133">
        <v>1300</v>
      </c>
      <c r="AB531" s="184">
        <f t="shared" si="388"/>
        <v>0.1497975609756097</v>
      </c>
      <c r="AC531" s="184">
        <f t="shared" si="389"/>
        <v>9.3254472013848871E-2</v>
      </c>
      <c r="AD531" s="184">
        <f t="shared" si="390"/>
        <v>0.26804878048780489</v>
      </c>
      <c r="AE531" s="223">
        <v>51990</v>
      </c>
      <c r="AF531" s="98" t="s">
        <v>619</v>
      </c>
      <c r="AH531" s="98" t="s">
        <v>110</v>
      </c>
    </row>
    <row r="532" spans="1:34" ht="46.5" thickTop="1" thickBot="1">
      <c r="A532" s="176" t="str">
        <f>INDEX('Выгр Торг'!$A:$A,MATCH($B532,'Выгр Торг'!$B:$B,0))</f>
        <v>Руль анатомический "Ferrum" Vesta Premium для Лада Веста, XRAY</v>
      </c>
      <c r="B532" s="178">
        <v>342057</v>
      </c>
      <c r="C532" s="179">
        <f>VLOOKUP($B532,'Выгр Торг'!$B:$Q,C$1,0)</f>
        <v>342057</v>
      </c>
      <c r="D532" s="186" t="s">
        <v>110</v>
      </c>
      <c r="E532" s="176" t="str">
        <f>VLOOKUP($B532,'Выгр Торг'!$B:$Q,E$1,0)</f>
        <v>Руль анатомический "Ferrum" Vesta Premium для Лада Веста, XRAY (Тёмно-серая нить, Чёрный мат)</v>
      </c>
      <c r="F532" s="179" t="str">
        <f>VLOOKUP($B532,'Выгр Торг'!$B:$Q,F$1,0)</f>
        <v>Y</v>
      </c>
      <c r="G532" s="179" t="str">
        <f>VLOOKUP($B532,'Выгр Торг'!$B:$Q,G$1,0)</f>
        <v>1</v>
      </c>
      <c r="H532" s="179">
        <v>322913</v>
      </c>
      <c r="I532" s="156"/>
      <c r="J532" s="160">
        <v>830</v>
      </c>
      <c r="K532" s="161">
        <v>870</v>
      </c>
      <c r="L532" s="180">
        <f t="shared" si="384"/>
        <v>41000</v>
      </c>
      <c r="M532" s="180">
        <f t="shared" si="378"/>
        <v>42000</v>
      </c>
      <c r="N532" s="180">
        <f t="shared" si="379"/>
        <v>35000</v>
      </c>
      <c r="O532" s="107">
        <f t="shared" si="385"/>
        <v>1.024390243902439</v>
      </c>
      <c r="P532" s="132">
        <f t="shared" si="374"/>
        <v>1.1499999999999999</v>
      </c>
      <c r="Q532" s="180">
        <f t="shared" si="381"/>
        <v>50698.924731182793</v>
      </c>
      <c r="R532" s="144">
        <f t="shared" si="386"/>
        <v>50690</v>
      </c>
      <c r="S532" s="179">
        <f>VLOOKUP($B532,'Выгр Торг'!$B:$Q,S$1,0)</f>
        <v>41000</v>
      </c>
      <c r="T532" s="179">
        <f>VLOOKUP($B532,'Выгр Торг'!$B:$Q,T$1,0)</f>
        <v>50690</v>
      </c>
      <c r="U532" s="94">
        <f t="shared" si="375"/>
        <v>0</v>
      </c>
      <c r="V532" s="94">
        <f t="shared" si="376"/>
        <v>0</v>
      </c>
      <c r="W532" s="182">
        <f t="shared" si="387"/>
        <v>47141.7</v>
      </c>
      <c r="X532" s="218">
        <f>IFERROR(VLOOKUP($B532,'Из ГУГЛа'!$B:$G,6,0)*Z532+Y532,VLOOKUP($B532,'Из ГУГЛа'!$B:$G,6,0))</f>
        <v>51990</v>
      </c>
      <c r="Y532" s="220">
        <f t="shared" si="383"/>
        <v>10800</v>
      </c>
      <c r="Z532" s="133">
        <v>1</v>
      </c>
      <c r="AA532" s="133">
        <v>1300</v>
      </c>
      <c r="AB532" s="184">
        <f t="shared" si="388"/>
        <v>0.1497975609756097</v>
      </c>
      <c r="AC532" s="184">
        <f t="shared" si="389"/>
        <v>9.3254472013848871E-2</v>
      </c>
      <c r="AD532" s="184">
        <f t="shared" si="390"/>
        <v>0.26804878048780489</v>
      </c>
      <c r="AE532" s="223">
        <v>51990</v>
      </c>
      <c r="AF532" s="98" t="s">
        <v>619</v>
      </c>
      <c r="AH532" s="98" t="s">
        <v>110</v>
      </c>
    </row>
    <row r="533" spans="1:34" ht="46.5" thickTop="1" thickBot="1">
      <c r="A533" s="176" t="str">
        <f>INDEX('Выгр Торг'!$A:$A,MATCH($B533,'Выгр Торг'!$B:$B,0))</f>
        <v>Руль анатомический "Ferrum" Vesta Premium для Лада Веста, XRAY</v>
      </c>
      <c r="B533" s="178">
        <v>342049</v>
      </c>
      <c r="C533" s="179">
        <f>VLOOKUP($B533,'Выгр Торг'!$B:$Q,C$1,0)</f>
        <v>342049</v>
      </c>
      <c r="D533" s="186" t="s">
        <v>110</v>
      </c>
      <c r="E533" s="176" t="str">
        <f>VLOOKUP($B533,'Выгр Торг'!$B:$Q,E$1,0)</f>
        <v>Руль анатомический "Ferrum" Vesta Premium для Лада Веста, XRAY (Фиолетовая нить, Чёрный мат)</v>
      </c>
      <c r="F533" s="179" t="str">
        <f>VLOOKUP($B533,'Выгр Торг'!$B:$Q,F$1,0)</f>
        <v>Y</v>
      </c>
      <c r="G533" s="179" t="str">
        <f>VLOOKUP($B533,'Выгр Торг'!$B:$Q,G$1,0)</f>
        <v>1</v>
      </c>
      <c r="H533" s="179">
        <v>322913</v>
      </c>
      <c r="I533" s="156"/>
      <c r="J533" s="160">
        <v>830</v>
      </c>
      <c r="K533" s="161">
        <v>870</v>
      </c>
      <c r="L533" s="180">
        <f t="shared" si="384"/>
        <v>41000</v>
      </c>
      <c r="M533" s="180">
        <f t="shared" si="378"/>
        <v>42000</v>
      </c>
      <c r="N533" s="180">
        <f t="shared" si="379"/>
        <v>35000</v>
      </c>
      <c r="O533" s="107">
        <f t="shared" si="385"/>
        <v>1.024390243902439</v>
      </c>
      <c r="P533" s="132">
        <f t="shared" si="374"/>
        <v>1.1499999999999999</v>
      </c>
      <c r="Q533" s="180">
        <f t="shared" si="381"/>
        <v>50698.924731182793</v>
      </c>
      <c r="R533" s="144">
        <f t="shared" si="386"/>
        <v>50690</v>
      </c>
      <c r="S533" s="179">
        <f>VLOOKUP($B533,'Выгр Торг'!$B:$Q,S$1,0)</f>
        <v>41000</v>
      </c>
      <c r="T533" s="179">
        <f>VLOOKUP($B533,'Выгр Торг'!$B:$Q,T$1,0)</f>
        <v>50690</v>
      </c>
      <c r="U533" s="94">
        <f t="shared" si="375"/>
        <v>0</v>
      </c>
      <c r="V533" s="94">
        <f t="shared" si="376"/>
        <v>0</v>
      </c>
      <c r="W533" s="182">
        <f t="shared" si="387"/>
        <v>47141.7</v>
      </c>
      <c r="X533" s="218">
        <f>IFERROR(VLOOKUP($B533,'Из ГУГЛа'!$B:$G,6,0)*Z533+Y533,VLOOKUP($B533,'Из ГУГЛа'!$B:$G,6,0))</f>
        <v>51990</v>
      </c>
      <c r="Y533" s="220">
        <f t="shared" si="383"/>
        <v>10800</v>
      </c>
      <c r="Z533" s="133">
        <v>1</v>
      </c>
      <c r="AA533" s="133">
        <v>1300</v>
      </c>
      <c r="AB533" s="184">
        <f t="shared" si="388"/>
        <v>0.1497975609756097</v>
      </c>
      <c r="AC533" s="184">
        <f t="shared" si="389"/>
        <v>9.3254472013848871E-2</v>
      </c>
      <c r="AD533" s="184">
        <f t="shared" si="390"/>
        <v>0.26804878048780489</v>
      </c>
      <c r="AE533" s="223">
        <v>51990</v>
      </c>
      <c r="AF533" s="98" t="s">
        <v>619</v>
      </c>
      <c r="AH533" s="98" t="s">
        <v>110</v>
      </c>
    </row>
    <row r="534" spans="1:34" ht="46.5" thickTop="1" thickBot="1">
      <c r="A534" s="176" t="str">
        <f>INDEX('Выгр Торг'!$A:$A,MATCH($B534,'Выгр Торг'!$B:$B,0))</f>
        <v>Руль анатомический "Ferrum" Vesta Premium для Лада Веста, XRAY</v>
      </c>
      <c r="B534" s="178">
        <v>342048</v>
      </c>
      <c r="C534" s="179">
        <f>VLOOKUP($B534,'Выгр Торг'!$B:$Q,C$1,0)</f>
        <v>342048</v>
      </c>
      <c r="D534" s="186" t="s">
        <v>110</v>
      </c>
      <c r="E534" s="176" t="str">
        <f>VLOOKUP($B534,'Выгр Торг'!$B:$Q,E$1,0)</f>
        <v>Руль анатомический "Ferrum" Vesta Premium для Лада Веста, XRAY (Чёрная нить, Чёрный мат)</v>
      </c>
      <c r="F534" s="179" t="str">
        <f>VLOOKUP($B534,'Выгр Торг'!$B:$Q,F$1,0)</f>
        <v>Y</v>
      </c>
      <c r="G534" s="179" t="str">
        <f>VLOOKUP($B534,'Выгр Торг'!$B:$Q,G$1,0)</f>
        <v>1</v>
      </c>
      <c r="H534" s="179">
        <v>322913</v>
      </c>
      <c r="I534" s="156"/>
      <c r="J534" s="160">
        <v>830</v>
      </c>
      <c r="K534" s="161">
        <v>0</v>
      </c>
      <c r="L534" s="180">
        <f t="shared" si="384"/>
        <v>40130</v>
      </c>
      <c r="M534" s="180">
        <f t="shared" si="378"/>
        <v>41130</v>
      </c>
      <c r="N534" s="180">
        <f t="shared" si="379"/>
        <v>34130</v>
      </c>
      <c r="O534" s="107">
        <f t="shared" si="385"/>
        <v>1.0249190132070769</v>
      </c>
      <c r="P534" s="132">
        <f t="shared" si="374"/>
        <v>1.1499999999999999</v>
      </c>
      <c r="Q534" s="180">
        <f t="shared" si="381"/>
        <v>49623.118279569891</v>
      </c>
      <c r="R534" s="144">
        <f t="shared" si="386"/>
        <v>49690</v>
      </c>
      <c r="S534" s="179">
        <f>VLOOKUP($B534,'Выгр Торг'!$B:$Q,S$1,0)</f>
        <v>40130</v>
      </c>
      <c r="T534" s="179">
        <f>VLOOKUP($B534,'Выгр Торг'!$B:$Q,T$1,0)</f>
        <v>49690</v>
      </c>
      <c r="U534" s="94">
        <f t="shared" si="375"/>
        <v>0</v>
      </c>
      <c r="V534" s="94">
        <f t="shared" si="376"/>
        <v>0</v>
      </c>
      <c r="W534" s="182">
        <f t="shared" si="387"/>
        <v>46211.7</v>
      </c>
      <c r="X534" s="218">
        <f>IFERROR(VLOOKUP($B534,'Из ГУГЛа'!$B:$G,6,0)*Z534+Y534,VLOOKUP($B534,'Из ГУГЛа'!$B:$G,6,0))</f>
        <v>51120</v>
      </c>
      <c r="Y534" s="220">
        <f t="shared" si="383"/>
        <v>9930</v>
      </c>
      <c r="Z534" s="133">
        <v>1</v>
      </c>
      <c r="AA534" s="133">
        <v>1300</v>
      </c>
      <c r="AB534" s="184">
        <f t="shared" si="388"/>
        <v>0.15154996262148002</v>
      </c>
      <c r="AC534" s="184">
        <f t="shared" si="389"/>
        <v>9.6015258215962504E-2</v>
      </c>
      <c r="AD534" s="184">
        <f t="shared" si="390"/>
        <v>0.27385995514577632</v>
      </c>
      <c r="AE534" s="223">
        <v>51120</v>
      </c>
      <c r="AF534" s="98" t="s">
        <v>619</v>
      </c>
      <c r="AH534" s="98" t="s">
        <v>110</v>
      </c>
    </row>
    <row r="535" spans="1:34" ht="46.5" thickTop="1" thickBot="1">
      <c r="A535" s="176" t="str">
        <f>INDEX('Выгр Торг'!$A:$A,MATCH($B535,'Выгр Торг'!$B:$B,0))</f>
        <v>Руль анатомический "Ferrum" Vesta Premium для Лада Веста, XRAY</v>
      </c>
      <c r="B535" s="178">
        <v>322916</v>
      </c>
      <c r="C535" s="179">
        <f>VLOOKUP($B535,'Выгр Торг'!$B:$Q,C$1,0)</f>
        <v>322916</v>
      </c>
      <c r="D535" s="186" t="s">
        <v>110</v>
      </c>
      <c r="E535" s="176" t="str">
        <f>VLOOKUP($B535,'Выгр Торг'!$B:$Q,E$1,0)</f>
        <v>Руль анатомический "Ferrum Group" Vesta Cross для Лада Веста, XRAY (Белая нить, Чёрный глянец)</v>
      </c>
      <c r="F535" s="179" t="str">
        <f>VLOOKUP($B535,'Выгр Торг'!$B:$Q,F$1,0)</f>
        <v>Y</v>
      </c>
      <c r="G535" s="179" t="str">
        <f>VLOOKUP($B535,'Выгр Торг'!$B:$Q,G$1,0)</f>
        <v>0</v>
      </c>
      <c r="H535" s="179">
        <v>322913</v>
      </c>
      <c r="I535" s="156"/>
      <c r="J535" s="160"/>
      <c r="K535" s="161">
        <v>870</v>
      </c>
      <c r="L535" s="180">
        <f t="shared" si="384"/>
        <v>40170</v>
      </c>
      <c r="M535" s="180">
        <f t="shared" si="378"/>
        <v>41170</v>
      </c>
      <c r="N535" s="180">
        <f t="shared" si="379"/>
        <v>34170</v>
      </c>
      <c r="O535" s="107">
        <f t="shared" si="385"/>
        <v>1.0248941996514811</v>
      </c>
      <c r="P535" s="132">
        <f t="shared" si="374"/>
        <v>1.1499999999999999</v>
      </c>
      <c r="Q535" s="180">
        <f t="shared" si="381"/>
        <v>49672.580645161288</v>
      </c>
      <c r="R535" s="144">
        <f t="shared" si="386"/>
        <v>49690</v>
      </c>
      <c r="S535" s="179">
        <f>VLOOKUP($B535,'Выгр Торг'!$B:$Q,S$1,0)</f>
        <v>40170</v>
      </c>
      <c r="T535" s="179">
        <f>VLOOKUP($B535,'Выгр Торг'!$B:$Q,T$1,0)</f>
        <v>49690</v>
      </c>
      <c r="U535" s="94">
        <f t="shared" si="375"/>
        <v>0</v>
      </c>
      <c r="V535" s="94">
        <f t="shared" si="376"/>
        <v>0</v>
      </c>
      <c r="W535" s="182">
        <f t="shared" si="387"/>
        <v>46211.7</v>
      </c>
      <c r="X535" s="218">
        <f>IFERROR(VLOOKUP($B535,'Из ГУГЛа'!$B:$G,6,0)*Z535+Y535,VLOOKUP($B535,'Из ГУГЛа'!$B:$G,6,0))</f>
        <v>51160</v>
      </c>
      <c r="Y535" s="220">
        <f t="shared" si="383"/>
        <v>9970</v>
      </c>
      <c r="Z535" s="133">
        <v>1</v>
      </c>
      <c r="AA535" s="133"/>
      <c r="AB535" s="184">
        <f t="shared" si="388"/>
        <v>0.15040328603435382</v>
      </c>
      <c r="AC535" s="184">
        <f t="shared" si="389"/>
        <v>9.6722048475371442E-2</v>
      </c>
      <c r="AD535" s="184">
        <f t="shared" si="390"/>
        <v>0.27358725416977836</v>
      </c>
      <c r="AE535" s="223">
        <v>51160</v>
      </c>
      <c r="AF535" s="98" t="s">
        <v>619</v>
      </c>
      <c r="AH535" s="98" t="s">
        <v>110</v>
      </c>
    </row>
    <row r="536" spans="1:34" ht="46.5" thickTop="1" thickBot="1">
      <c r="A536" s="125" t="str">
        <f>INDEX('Выгр Торг'!$A:$A,MATCH($B536,'Выгр Торг'!$B:$B,0))</f>
        <v>Руль анатомический "Ferrum" Vesta Premium для Лада Веста, XRAY</v>
      </c>
      <c r="B536" s="126">
        <v>322927</v>
      </c>
      <c r="C536" s="127">
        <f>VLOOKUP($B536,'Выгр Торг'!$B:$Q,C$1,0)</f>
        <v>322927</v>
      </c>
      <c r="D536" s="44" t="s">
        <v>110</v>
      </c>
      <c r="E536" s="125" t="str">
        <f>VLOOKUP($B536,'Выгр Торг'!$B:$Q,E$1,0)</f>
        <v>Руль анатомический "Ferrum Group" Vesta Cross для Лада Веста, XRAY (Жёлтая нить, Чёрный глянец)</v>
      </c>
      <c r="F536" s="127" t="str">
        <f>VLOOKUP($B536,'Выгр Торг'!$B:$Q,F$1,0)</f>
        <v>Y</v>
      </c>
      <c r="G536" s="127" t="str">
        <f>VLOOKUP($B536,'Выгр Торг'!$B:$Q,G$1,0)</f>
        <v>0</v>
      </c>
      <c r="H536" s="127">
        <v>322913</v>
      </c>
      <c r="I536" s="156"/>
      <c r="J536" s="160"/>
      <c r="K536" s="161">
        <v>870</v>
      </c>
      <c r="L536" s="130">
        <f t="shared" si="357"/>
        <v>40170</v>
      </c>
      <c r="M536" s="130">
        <f t="shared" si="378"/>
        <v>41170</v>
      </c>
      <c r="N536" s="130">
        <f t="shared" si="379"/>
        <v>34170</v>
      </c>
      <c r="O536" s="132">
        <f t="shared" si="380"/>
        <v>1.0248941996514811</v>
      </c>
      <c r="P536" s="132">
        <f t="shared" si="374"/>
        <v>1.1499999999999999</v>
      </c>
      <c r="Q536" s="130">
        <f t="shared" si="381"/>
        <v>49672.580645161288</v>
      </c>
      <c r="R536" s="148">
        <f t="shared" si="382"/>
        <v>49690</v>
      </c>
      <c r="S536" s="127">
        <f>VLOOKUP($B536,'Выгр Торг'!$B:$Q,S$1,0)</f>
        <v>40170</v>
      </c>
      <c r="T536" s="127">
        <f>VLOOKUP($B536,'Выгр Торг'!$B:$Q,T$1,0)</f>
        <v>49690</v>
      </c>
      <c r="U536" s="94">
        <f t="shared" si="375"/>
        <v>0</v>
      </c>
      <c r="V536" s="94">
        <f t="shared" si="376"/>
        <v>0</v>
      </c>
      <c r="W536" s="153">
        <f t="shared" si="358"/>
        <v>46211.7</v>
      </c>
      <c r="X536" s="209">
        <f>IFERROR(VLOOKUP($B536,'Из ГУГЛа'!$B:$G,6,0)*Z536+Y536,VLOOKUP($B536,'Из ГУГЛа'!$B:$G,6,0))</f>
        <v>51160</v>
      </c>
      <c r="Y536" s="220">
        <f t="shared" si="383"/>
        <v>9970</v>
      </c>
      <c r="Z536" s="133">
        <v>1</v>
      </c>
      <c r="AA536" s="134"/>
      <c r="AB536" s="135">
        <f t="shared" si="359"/>
        <v>0.15040328603435382</v>
      </c>
      <c r="AC536" s="135">
        <f t="shared" si="360"/>
        <v>9.6722048475371442E-2</v>
      </c>
      <c r="AD536" s="135">
        <f t="shared" si="361"/>
        <v>0.27358725416977836</v>
      </c>
      <c r="AE536" s="223">
        <v>51160</v>
      </c>
      <c r="AF536" s="98" t="s">
        <v>619</v>
      </c>
      <c r="AH536" s="98" t="s">
        <v>110</v>
      </c>
    </row>
    <row r="537" spans="1:34" ht="46.5" thickTop="1" thickBot="1">
      <c r="A537" s="125" t="str">
        <f>INDEX('Выгр Торг'!$A:$A,MATCH($B537,'Выгр Торг'!$B:$B,0))</f>
        <v>Руль анатомический "Ferrum" Vesta Premium для Лада Веста, XRAY</v>
      </c>
      <c r="B537" s="126">
        <v>322926</v>
      </c>
      <c r="C537" s="127">
        <f>VLOOKUP($B537,'Выгр Торг'!$B:$Q,C$1,0)</f>
        <v>322926</v>
      </c>
      <c r="D537" s="44" t="s">
        <v>110</v>
      </c>
      <c r="E537" s="125" t="str">
        <f>VLOOKUP($B537,'Выгр Торг'!$B:$Q,E$1,0)</f>
        <v>Руль анатомический "Ferrum Group" Vesta Cross для Лада Веста, XRAY (Зелёная нить, Чёрный глянец)</v>
      </c>
      <c r="F537" s="127" t="str">
        <f>VLOOKUP($B537,'Выгр Торг'!$B:$Q,F$1,0)</f>
        <v>Y</v>
      </c>
      <c r="G537" s="127" t="str">
        <f>VLOOKUP($B537,'Выгр Торг'!$B:$Q,G$1,0)</f>
        <v>0</v>
      </c>
      <c r="H537" s="127">
        <v>322913</v>
      </c>
      <c r="I537" s="156"/>
      <c r="J537" s="160"/>
      <c r="K537" s="161">
        <v>870</v>
      </c>
      <c r="L537" s="130">
        <f t="shared" si="357"/>
        <v>40170</v>
      </c>
      <c r="M537" s="130">
        <f t="shared" si="378"/>
        <v>41170</v>
      </c>
      <c r="N537" s="130">
        <f t="shared" si="379"/>
        <v>34170</v>
      </c>
      <c r="O537" s="132">
        <f t="shared" si="380"/>
        <v>1.0248941996514811</v>
      </c>
      <c r="P537" s="132">
        <f t="shared" si="374"/>
        <v>1.1499999999999999</v>
      </c>
      <c r="Q537" s="130">
        <f t="shared" si="381"/>
        <v>49672.580645161288</v>
      </c>
      <c r="R537" s="148">
        <f t="shared" si="382"/>
        <v>49690</v>
      </c>
      <c r="S537" s="127">
        <f>VLOOKUP($B537,'Выгр Торг'!$B:$Q,S$1,0)</f>
        <v>40170</v>
      </c>
      <c r="T537" s="127">
        <f>VLOOKUP($B537,'Выгр Торг'!$B:$Q,T$1,0)</f>
        <v>49690</v>
      </c>
      <c r="U537" s="94">
        <f t="shared" si="375"/>
        <v>0</v>
      </c>
      <c r="V537" s="94">
        <f t="shared" si="376"/>
        <v>0</v>
      </c>
      <c r="W537" s="153">
        <f t="shared" si="358"/>
        <v>46211.7</v>
      </c>
      <c r="X537" s="209">
        <f>IFERROR(VLOOKUP($B537,'Из ГУГЛа'!$B:$G,6,0)*Z537+Y537,VLOOKUP($B537,'Из ГУГЛа'!$B:$G,6,0))</f>
        <v>51160</v>
      </c>
      <c r="Y537" s="220">
        <f t="shared" si="383"/>
        <v>9970</v>
      </c>
      <c r="Z537" s="133">
        <v>1</v>
      </c>
      <c r="AA537" s="134"/>
      <c r="AB537" s="135">
        <f t="shared" si="359"/>
        <v>0.15040328603435382</v>
      </c>
      <c r="AC537" s="135">
        <f t="shared" si="360"/>
        <v>9.6722048475371442E-2</v>
      </c>
      <c r="AD537" s="135">
        <f t="shared" si="361"/>
        <v>0.27358725416977836</v>
      </c>
      <c r="AE537" s="223">
        <v>51160</v>
      </c>
      <c r="AF537" s="98" t="s">
        <v>619</v>
      </c>
      <c r="AH537" s="98" t="s">
        <v>110</v>
      </c>
    </row>
    <row r="538" spans="1:34" ht="46.5" thickTop="1" thickBot="1">
      <c r="A538" s="125" t="str">
        <f>INDEX('Выгр Торг'!$A:$A,MATCH($B538,'Выгр Торг'!$B:$B,0))</f>
        <v>Руль анатомический "Ferrum" Vesta Premium для Лада Веста, XRAY</v>
      </c>
      <c r="B538" s="126">
        <v>322918</v>
      </c>
      <c r="C538" s="127">
        <f>VLOOKUP($B538,'Выгр Торг'!$B:$Q,C$1,0)</f>
        <v>322918</v>
      </c>
      <c r="D538" s="44" t="s">
        <v>110</v>
      </c>
      <c r="E538" s="125" t="str">
        <f>VLOOKUP($B538,'Выгр Торг'!$B:$Q,E$1,0)</f>
        <v>Руль анатомический "Ferrum Group" Vesta Cross для Лада Веста, XRAY (Коричневая нить, Чёрный глянец)</v>
      </c>
      <c r="F538" s="127" t="str">
        <f>VLOOKUP($B538,'Выгр Торг'!$B:$Q,F$1,0)</f>
        <v>Y</v>
      </c>
      <c r="G538" s="127" t="str">
        <f>VLOOKUP($B538,'Выгр Торг'!$B:$Q,G$1,0)</f>
        <v>0</v>
      </c>
      <c r="H538" s="127">
        <v>322913</v>
      </c>
      <c r="I538" s="156"/>
      <c r="J538" s="160"/>
      <c r="K538" s="161">
        <v>870</v>
      </c>
      <c r="L538" s="130">
        <f t="shared" si="357"/>
        <v>40170</v>
      </c>
      <c r="M538" s="130">
        <f t="shared" si="378"/>
        <v>41170</v>
      </c>
      <c r="N538" s="130">
        <f t="shared" si="379"/>
        <v>34170</v>
      </c>
      <c r="O538" s="132">
        <f t="shared" si="380"/>
        <v>1.0248941996514811</v>
      </c>
      <c r="P538" s="132">
        <f t="shared" si="374"/>
        <v>1.1499999999999999</v>
      </c>
      <c r="Q538" s="130">
        <f t="shared" si="381"/>
        <v>49672.580645161288</v>
      </c>
      <c r="R538" s="148">
        <f t="shared" si="382"/>
        <v>49690</v>
      </c>
      <c r="S538" s="127">
        <f>VLOOKUP($B538,'Выгр Торг'!$B:$Q,S$1,0)</f>
        <v>40170</v>
      </c>
      <c r="T538" s="127">
        <f>VLOOKUP($B538,'Выгр Торг'!$B:$Q,T$1,0)</f>
        <v>49690</v>
      </c>
      <c r="U538" s="94">
        <f t="shared" si="375"/>
        <v>0</v>
      </c>
      <c r="V538" s="94">
        <f t="shared" si="376"/>
        <v>0</v>
      </c>
      <c r="W538" s="153">
        <f t="shared" si="358"/>
        <v>46211.7</v>
      </c>
      <c r="X538" s="209">
        <f>IFERROR(VLOOKUP($B538,'Из ГУГЛа'!$B:$G,6,0)*Z538+Y538,VLOOKUP($B538,'Из ГУГЛа'!$B:$G,6,0))</f>
        <v>51160</v>
      </c>
      <c r="Y538" s="220">
        <f t="shared" si="383"/>
        <v>9970</v>
      </c>
      <c r="Z538" s="133">
        <v>1</v>
      </c>
      <c r="AA538" s="134"/>
      <c r="AB538" s="135">
        <f t="shared" si="359"/>
        <v>0.15040328603435382</v>
      </c>
      <c r="AC538" s="135">
        <f t="shared" si="360"/>
        <v>9.6722048475371442E-2</v>
      </c>
      <c r="AD538" s="135">
        <f t="shared" si="361"/>
        <v>0.27358725416977836</v>
      </c>
      <c r="AE538" s="223">
        <v>51160</v>
      </c>
      <c r="AF538" s="98" t="s">
        <v>619</v>
      </c>
      <c r="AH538" s="98" t="s">
        <v>110</v>
      </c>
    </row>
    <row r="539" spans="1:34" ht="46.5" thickTop="1" thickBot="1">
      <c r="A539" s="125" t="str">
        <f>INDEX('Выгр Торг'!$A:$A,MATCH($B539,'Выгр Торг'!$B:$B,0))</f>
        <v>Руль анатомический "Ferrum" Vesta Premium для Лада Веста, XRAY</v>
      </c>
      <c r="B539" s="126">
        <v>322919</v>
      </c>
      <c r="C539" s="127">
        <f>VLOOKUP($B539,'Выгр Торг'!$B:$Q,C$1,0)</f>
        <v>322919</v>
      </c>
      <c r="D539" s="44" t="s">
        <v>110</v>
      </c>
      <c r="E539" s="125" t="str">
        <f>VLOOKUP($B539,'Выгр Торг'!$B:$Q,E$1,0)</f>
        <v>Руль анатомический "Ferrum Group" Vesta Cross для Лада Веста, XRAY (Красная нить, Чёрный глянец)</v>
      </c>
      <c r="F539" s="127" t="str">
        <f>VLOOKUP($B539,'Выгр Торг'!$B:$Q,F$1,0)</f>
        <v>Y</v>
      </c>
      <c r="G539" s="127" t="str">
        <f>VLOOKUP($B539,'Выгр Торг'!$B:$Q,G$1,0)</f>
        <v>0</v>
      </c>
      <c r="H539" s="127">
        <v>322913</v>
      </c>
      <c r="I539" s="156"/>
      <c r="J539" s="160"/>
      <c r="K539" s="161">
        <v>870</v>
      </c>
      <c r="L539" s="130">
        <f t="shared" si="357"/>
        <v>40170</v>
      </c>
      <c r="M539" s="130">
        <f t="shared" si="378"/>
        <v>41170</v>
      </c>
      <c r="N539" s="130">
        <f t="shared" si="379"/>
        <v>34170</v>
      </c>
      <c r="O539" s="132">
        <f t="shared" si="380"/>
        <v>1.0248941996514811</v>
      </c>
      <c r="P539" s="132">
        <f t="shared" si="374"/>
        <v>1.1499999999999999</v>
      </c>
      <c r="Q539" s="130">
        <f t="shared" si="381"/>
        <v>49672.580645161288</v>
      </c>
      <c r="R539" s="148">
        <f t="shared" si="382"/>
        <v>49690</v>
      </c>
      <c r="S539" s="127">
        <f>VLOOKUP($B539,'Выгр Торг'!$B:$Q,S$1,0)</f>
        <v>40170</v>
      </c>
      <c r="T539" s="127">
        <f>VLOOKUP($B539,'Выгр Торг'!$B:$Q,T$1,0)</f>
        <v>49690</v>
      </c>
      <c r="U539" s="94">
        <f t="shared" si="375"/>
        <v>0</v>
      </c>
      <c r="V539" s="94">
        <f t="shared" si="376"/>
        <v>0</v>
      </c>
      <c r="W539" s="153">
        <f t="shared" si="358"/>
        <v>46211.7</v>
      </c>
      <c r="X539" s="209">
        <f>IFERROR(VLOOKUP($B539,'Из ГУГЛа'!$B:$G,6,0)*Z539+Y539,VLOOKUP($B539,'Из ГУГЛа'!$B:$G,6,0))</f>
        <v>51160</v>
      </c>
      <c r="Y539" s="220">
        <f t="shared" si="383"/>
        <v>9970</v>
      </c>
      <c r="Z539" s="133">
        <v>1</v>
      </c>
      <c r="AA539" s="134"/>
      <c r="AB539" s="135">
        <f t="shared" si="359"/>
        <v>0.15040328603435382</v>
      </c>
      <c r="AC539" s="135">
        <f t="shared" si="360"/>
        <v>9.6722048475371442E-2</v>
      </c>
      <c r="AD539" s="135">
        <f t="shared" si="361"/>
        <v>0.27358725416977836</v>
      </c>
      <c r="AE539" s="223">
        <v>51160</v>
      </c>
      <c r="AF539" s="98" t="s">
        <v>619</v>
      </c>
      <c r="AH539" s="98" t="s">
        <v>110</v>
      </c>
    </row>
    <row r="540" spans="1:34" ht="46.5" thickTop="1" thickBot="1">
      <c r="A540" s="125" t="str">
        <f>INDEX('Выгр Торг'!$A:$A,MATCH($B540,'Выгр Торг'!$B:$B,0))</f>
        <v>Руль анатомический "Ferrum" Vesta Premium для Лада Веста, XRAY</v>
      </c>
      <c r="B540" s="126">
        <v>322920</v>
      </c>
      <c r="C540" s="127">
        <f>VLOOKUP($B540,'Выгр Торг'!$B:$Q,C$1,0)</f>
        <v>322920</v>
      </c>
      <c r="D540" s="44" t="s">
        <v>110</v>
      </c>
      <c r="E540" s="125" t="str">
        <f>VLOOKUP($B540,'Выгр Торг'!$B:$Q,E$1,0)</f>
        <v>Руль анатомический "Ferrum Group" Vesta Cross для Лада Веста, XRAY (Оранжевая нить, Чёрный глянец)</v>
      </c>
      <c r="F540" s="127" t="str">
        <f>VLOOKUP($B540,'Выгр Торг'!$B:$Q,F$1,0)</f>
        <v>Y</v>
      </c>
      <c r="G540" s="127" t="str">
        <f>VLOOKUP($B540,'Выгр Торг'!$B:$Q,G$1,0)</f>
        <v>0</v>
      </c>
      <c r="H540" s="127">
        <v>322913</v>
      </c>
      <c r="I540" s="156"/>
      <c r="J540" s="160"/>
      <c r="K540" s="161">
        <v>870</v>
      </c>
      <c r="L540" s="130">
        <f t="shared" si="357"/>
        <v>40170</v>
      </c>
      <c r="M540" s="130">
        <f t="shared" si="378"/>
        <v>41170</v>
      </c>
      <c r="N540" s="130">
        <f t="shared" si="379"/>
        <v>34170</v>
      </c>
      <c r="O540" s="132">
        <f t="shared" si="380"/>
        <v>1.0248941996514811</v>
      </c>
      <c r="P540" s="132">
        <f t="shared" si="374"/>
        <v>1.1499999999999999</v>
      </c>
      <c r="Q540" s="130">
        <f t="shared" si="381"/>
        <v>49672.580645161288</v>
      </c>
      <c r="R540" s="148">
        <f t="shared" si="382"/>
        <v>49690</v>
      </c>
      <c r="S540" s="127">
        <f>VLOOKUP($B540,'Выгр Торг'!$B:$Q,S$1,0)</f>
        <v>40170</v>
      </c>
      <c r="T540" s="127">
        <f>VLOOKUP($B540,'Выгр Торг'!$B:$Q,T$1,0)</f>
        <v>49690</v>
      </c>
      <c r="U540" s="94">
        <f t="shared" si="375"/>
        <v>0</v>
      </c>
      <c r="V540" s="94">
        <f t="shared" si="376"/>
        <v>0</v>
      </c>
      <c r="W540" s="153">
        <f t="shared" si="358"/>
        <v>46211.7</v>
      </c>
      <c r="X540" s="209">
        <f>IFERROR(VLOOKUP($B540,'Из ГУГЛа'!$B:$G,6,0)*Z540+Y540,VLOOKUP($B540,'Из ГУГЛа'!$B:$G,6,0))</f>
        <v>51160</v>
      </c>
      <c r="Y540" s="220">
        <f t="shared" si="383"/>
        <v>9970</v>
      </c>
      <c r="Z540" s="133">
        <v>1</v>
      </c>
      <c r="AA540" s="134"/>
      <c r="AB540" s="135">
        <f t="shared" si="359"/>
        <v>0.15040328603435382</v>
      </c>
      <c r="AC540" s="135">
        <f t="shared" si="360"/>
        <v>9.6722048475371442E-2</v>
      </c>
      <c r="AD540" s="135">
        <f t="shared" si="361"/>
        <v>0.27358725416977836</v>
      </c>
      <c r="AE540" s="223">
        <v>51160</v>
      </c>
      <c r="AF540" s="98" t="s">
        <v>619</v>
      </c>
      <c r="AH540" s="98" t="s">
        <v>110</v>
      </c>
    </row>
    <row r="541" spans="1:34" ht="46.5" thickTop="1" thickBot="1">
      <c r="A541" s="125" t="str">
        <f>INDEX('Выгр Торг'!$A:$A,MATCH($B541,'Выгр Торг'!$B:$B,0))</f>
        <v>Руль анатомический "Ferrum" Vesta Premium для Лада Веста, XRAY</v>
      </c>
      <c r="B541" s="126">
        <v>322921</v>
      </c>
      <c r="C541" s="127">
        <f>VLOOKUP($B541,'Выгр Торг'!$B:$Q,C$1,0)</f>
        <v>322921</v>
      </c>
      <c r="D541" s="44" t="s">
        <v>110</v>
      </c>
      <c r="E541" s="125" t="str">
        <f>VLOOKUP($B541,'Выгр Торг'!$B:$Q,E$1,0)</f>
        <v>Руль анатомический "Ferrum Group" Vesta Cross для Лада Веста, XRAY (Салатовая нить, Чёрный глянец)</v>
      </c>
      <c r="F541" s="127" t="str">
        <f>VLOOKUP($B541,'Выгр Торг'!$B:$Q,F$1,0)</f>
        <v>Y</v>
      </c>
      <c r="G541" s="127" t="str">
        <f>VLOOKUP($B541,'Выгр Торг'!$B:$Q,G$1,0)</f>
        <v>0</v>
      </c>
      <c r="H541" s="127">
        <v>322913</v>
      </c>
      <c r="I541" s="156"/>
      <c r="J541" s="160"/>
      <c r="K541" s="161">
        <v>870</v>
      </c>
      <c r="L541" s="130">
        <f t="shared" si="357"/>
        <v>40170</v>
      </c>
      <c r="M541" s="130">
        <f t="shared" si="378"/>
        <v>41170</v>
      </c>
      <c r="N541" s="130">
        <f t="shared" si="379"/>
        <v>34170</v>
      </c>
      <c r="O541" s="132">
        <f t="shared" si="380"/>
        <v>1.0248941996514811</v>
      </c>
      <c r="P541" s="132">
        <f t="shared" si="374"/>
        <v>1.1499999999999999</v>
      </c>
      <c r="Q541" s="130">
        <f t="shared" si="381"/>
        <v>49672.580645161288</v>
      </c>
      <c r="R541" s="148">
        <f t="shared" si="382"/>
        <v>49690</v>
      </c>
      <c r="S541" s="127">
        <f>VLOOKUP($B541,'Выгр Торг'!$B:$Q,S$1,0)</f>
        <v>40170</v>
      </c>
      <c r="T541" s="127">
        <f>VLOOKUP($B541,'Выгр Торг'!$B:$Q,T$1,0)</f>
        <v>49690</v>
      </c>
      <c r="U541" s="94">
        <f t="shared" si="375"/>
        <v>0</v>
      </c>
      <c r="V541" s="94">
        <f t="shared" si="376"/>
        <v>0</v>
      </c>
      <c r="W541" s="153">
        <f t="shared" si="358"/>
        <v>46211.7</v>
      </c>
      <c r="X541" s="209">
        <f>IFERROR(VLOOKUP($B541,'Из ГУГЛа'!$B:$G,6,0)*Z541+Y541,VLOOKUP($B541,'Из ГУГЛа'!$B:$G,6,0))</f>
        <v>51160</v>
      </c>
      <c r="Y541" s="220">
        <f t="shared" si="383"/>
        <v>9970</v>
      </c>
      <c r="Z541" s="133">
        <v>1</v>
      </c>
      <c r="AA541" s="134"/>
      <c r="AB541" s="135">
        <f t="shared" si="359"/>
        <v>0.15040328603435382</v>
      </c>
      <c r="AC541" s="135">
        <f t="shared" si="360"/>
        <v>9.6722048475371442E-2</v>
      </c>
      <c r="AD541" s="135">
        <f t="shared" si="361"/>
        <v>0.27358725416977836</v>
      </c>
      <c r="AE541" s="223">
        <v>51160</v>
      </c>
      <c r="AF541" s="98" t="s">
        <v>619</v>
      </c>
      <c r="AH541" s="98" t="s">
        <v>110</v>
      </c>
    </row>
    <row r="542" spans="1:34" ht="46.5" thickTop="1" thickBot="1">
      <c r="A542" s="125" t="str">
        <f>INDEX('Выгр Торг'!$A:$A,MATCH($B542,'Выгр Торг'!$B:$B,0))</f>
        <v>Руль анатомический "Ferrum" Vesta Premium для Лада Веста, XRAY</v>
      </c>
      <c r="B542" s="126">
        <v>322924</v>
      </c>
      <c r="C542" s="127">
        <f>VLOOKUP($B542,'Выгр Торг'!$B:$Q,C$1,0)</f>
        <v>322924</v>
      </c>
      <c r="D542" s="44" t="s">
        <v>110</v>
      </c>
      <c r="E542" s="125" t="str">
        <f>VLOOKUP($B542,'Выгр Торг'!$B:$Q,E$1,0)</f>
        <v>Руль анатомический "Ferrum Group" Vesta Cross для Лада Веста, XRAY (Светло-серая нить, Чёрный глянец)</v>
      </c>
      <c r="F542" s="127" t="str">
        <f>VLOOKUP($B542,'Выгр Торг'!$B:$Q,F$1,0)</f>
        <v>Y</v>
      </c>
      <c r="G542" s="127" t="str">
        <f>VLOOKUP($B542,'Выгр Торг'!$B:$Q,G$1,0)</f>
        <v>0</v>
      </c>
      <c r="H542" s="127">
        <v>322913</v>
      </c>
      <c r="I542" s="156"/>
      <c r="J542" s="160"/>
      <c r="K542" s="161">
        <v>870</v>
      </c>
      <c r="L542" s="130">
        <f t="shared" si="357"/>
        <v>40170</v>
      </c>
      <c r="M542" s="130">
        <f t="shared" si="378"/>
        <v>41170</v>
      </c>
      <c r="N542" s="130">
        <f t="shared" si="379"/>
        <v>34170</v>
      </c>
      <c r="O542" s="132">
        <f t="shared" si="380"/>
        <v>1.0248941996514811</v>
      </c>
      <c r="P542" s="132">
        <f t="shared" si="374"/>
        <v>1.1499999999999999</v>
      </c>
      <c r="Q542" s="130">
        <f t="shared" si="381"/>
        <v>49672.580645161288</v>
      </c>
      <c r="R542" s="148">
        <f t="shared" si="382"/>
        <v>49690</v>
      </c>
      <c r="S542" s="127">
        <f>VLOOKUP($B542,'Выгр Торг'!$B:$Q,S$1,0)</f>
        <v>40170</v>
      </c>
      <c r="T542" s="127">
        <f>VLOOKUP($B542,'Выгр Торг'!$B:$Q,T$1,0)</f>
        <v>49690</v>
      </c>
      <c r="U542" s="94">
        <f t="shared" si="375"/>
        <v>0</v>
      </c>
      <c r="V542" s="94">
        <f t="shared" si="376"/>
        <v>0</v>
      </c>
      <c r="W542" s="153">
        <f t="shared" si="358"/>
        <v>46211.7</v>
      </c>
      <c r="X542" s="209">
        <f>IFERROR(VLOOKUP($B542,'Из ГУГЛа'!$B:$G,6,0)*Z542+Y542,VLOOKUP($B542,'Из ГУГЛа'!$B:$G,6,0))</f>
        <v>51160</v>
      </c>
      <c r="Y542" s="220">
        <f t="shared" si="383"/>
        <v>9970</v>
      </c>
      <c r="Z542" s="133">
        <v>1</v>
      </c>
      <c r="AA542" s="134"/>
      <c r="AB542" s="135">
        <f t="shared" si="359"/>
        <v>0.15040328603435382</v>
      </c>
      <c r="AC542" s="135">
        <f t="shared" si="360"/>
        <v>9.6722048475371442E-2</v>
      </c>
      <c r="AD542" s="135">
        <f t="shared" si="361"/>
        <v>0.27358725416977836</v>
      </c>
      <c r="AE542" s="223">
        <v>51160</v>
      </c>
      <c r="AF542" s="98" t="s">
        <v>619</v>
      </c>
      <c r="AH542" s="98" t="s">
        <v>110</v>
      </c>
    </row>
    <row r="543" spans="1:34" ht="46.5" thickTop="1" thickBot="1">
      <c r="A543" s="125" t="str">
        <f>INDEX('Выгр Торг'!$A:$A,MATCH($B543,'Выгр Торг'!$B:$B,0))</f>
        <v>Руль анатомический "Ferrum" Vesta Premium для Лада Веста, XRAY</v>
      </c>
      <c r="B543" s="126">
        <v>322922</v>
      </c>
      <c r="C543" s="127">
        <f>VLOOKUP($B543,'Выгр Торг'!$B:$Q,C$1,0)</f>
        <v>322922</v>
      </c>
      <c r="D543" s="44" t="s">
        <v>110</v>
      </c>
      <c r="E543" s="125" t="str">
        <f>VLOOKUP($B543,'Выгр Торг'!$B:$Q,E$1,0)</f>
        <v>Руль анатомический "Ferrum Group" Vesta Cross для Лада Веста, XRAY (Сине-зелёная нить, Чёрный глянец)</v>
      </c>
      <c r="F543" s="127" t="str">
        <f>VLOOKUP($B543,'Выгр Торг'!$B:$Q,F$1,0)</f>
        <v>Y</v>
      </c>
      <c r="G543" s="127" t="str">
        <f>VLOOKUP($B543,'Выгр Торг'!$B:$Q,G$1,0)</f>
        <v>0</v>
      </c>
      <c r="H543" s="127">
        <v>322913</v>
      </c>
      <c r="I543" s="156"/>
      <c r="J543" s="160"/>
      <c r="K543" s="161">
        <v>870</v>
      </c>
      <c r="L543" s="130">
        <f t="shared" si="357"/>
        <v>40170</v>
      </c>
      <c r="M543" s="130">
        <f t="shared" si="378"/>
        <v>41170</v>
      </c>
      <c r="N543" s="130">
        <f t="shared" si="379"/>
        <v>34170</v>
      </c>
      <c r="O543" s="132">
        <f t="shared" si="380"/>
        <v>1.0248941996514811</v>
      </c>
      <c r="P543" s="132">
        <f t="shared" si="374"/>
        <v>1.1499999999999999</v>
      </c>
      <c r="Q543" s="130">
        <f t="shared" si="381"/>
        <v>49672.580645161288</v>
      </c>
      <c r="R543" s="148">
        <f t="shared" si="382"/>
        <v>49690</v>
      </c>
      <c r="S543" s="127">
        <f>VLOOKUP($B543,'Выгр Торг'!$B:$Q,S$1,0)</f>
        <v>40170</v>
      </c>
      <c r="T543" s="127">
        <f>VLOOKUP($B543,'Выгр Торг'!$B:$Q,T$1,0)</f>
        <v>49690</v>
      </c>
      <c r="U543" s="94">
        <f t="shared" si="375"/>
        <v>0</v>
      </c>
      <c r="V543" s="94">
        <f t="shared" si="376"/>
        <v>0</v>
      </c>
      <c r="W543" s="153">
        <f t="shared" si="358"/>
        <v>46211.7</v>
      </c>
      <c r="X543" s="209">
        <f>IFERROR(VLOOKUP($B543,'Из ГУГЛа'!$B:$G,6,0)*Z543+Y543,VLOOKUP($B543,'Из ГУГЛа'!$B:$G,6,0))</f>
        <v>51160</v>
      </c>
      <c r="Y543" s="220">
        <f t="shared" si="383"/>
        <v>9970</v>
      </c>
      <c r="Z543" s="133">
        <v>1</v>
      </c>
      <c r="AA543" s="134"/>
      <c r="AB543" s="135">
        <f t="shared" si="359"/>
        <v>0.15040328603435382</v>
      </c>
      <c r="AC543" s="135">
        <f t="shared" si="360"/>
        <v>9.6722048475371442E-2</v>
      </c>
      <c r="AD543" s="135">
        <f t="shared" si="361"/>
        <v>0.27358725416977836</v>
      </c>
      <c r="AE543" s="223">
        <v>51160</v>
      </c>
      <c r="AF543" s="98" t="s">
        <v>619</v>
      </c>
      <c r="AH543" s="98" t="s">
        <v>110</v>
      </c>
    </row>
    <row r="544" spans="1:34" ht="46.5" thickTop="1" thickBot="1">
      <c r="A544" s="125" t="str">
        <f>INDEX('Выгр Торг'!$A:$A,MATCH($B544,'Выгр Торг'!$B:$B,0))</f>
        <v>Руль анатомический "Ferrum" Vesta Premium для Лада Веста, XRAY</v>
      </c>
      <c r="B544" s="126">
        <v>322923</v>
      </c>
      <c r="C544" s="127">
        <f>VLOOKUP($B544,'Выгр Торг'!$B:$Q,C$1,0)</f>
        <v>322923</v>
      </c>
      <c r="D544" s="44" t="s">
        <v>110</v>
      </c>
      <c r="E544" s="125" t="str">
        <f>VLOOKUP($B544,'Выгр Торг'!$B:$Q,E$1,0)</f>
        <v>Руль анатомический "Ferrum Group" Vesta Cross для Лада Веста, XRAY (Синяя нить, Чёрный глянец)</v>
      </c>
      <c r="F544" s="127" t="str">
        <f>VLOOKUP($B544,'Выгр Торг'!$B:$Q,F$1,0)</f>
        <v>Y</v>
      </c>
      <c r="G544" s="127" t="str">
        <f>VLOOKUP($B544,'Выгр Торг'!$B:$Q,G$1,0)</f>
        <v>0</v>
      </c>
      <c r="H544" s="127">
        <v>322913</v>
      </c>
      <c r="I544" s="156"/>
      <c r="J544" s="160"/>
      <c r="K544" s="161">
        <v>870</v>
      </c>
      <c r="L544" s="130">
        <f t="shared" si="357"/>
        <v>40170</v>
      </c>
      <c r="M544" s="130">
        <f t="shared" si="378"/>
        <v>41170</v>
      </c>
      <c r="N544" s="130">
        <f t="shared" si="379"/>
        <v>34170</v>
      </c>
      <c r="O544" s="132">
        <f t="shared" si="380"/>
        <v>1.0248941996514811</v>
      </c>
      <c r="P544" s="132">
        <f t="shared" si="374"/>
        <v>1.1499999999999999</v>
      </c>
      <c r="Q544" s="130">
        <f t="shared" si="381"/>
        <v>49672.580645161288</v>
      </c>
      <c r="R544" s="148">
        <f t="shared" si="382"/>
        <v>49690</v>
      </c>
      <c r="S544" s="127">
        <f>VLOOKUP($B544,'Выгр Торг'!$B:$Q,S$1,0)</f>
        <v>40170</v>
      </c>
      <c r="T544" s="127">
        <f>VLOOKUP($B544,'Выгр Торг'!$B:$Q,T$1,0)</f>
        <v>49690</v>
      </c>
      <c r="U544" s="94">
        <f t="shared" si="375"/>
        <v>0</v>
      </c>
      <c r="V544" s="94">
        <f t="shared" si="376"/>
        <v>0</v>
      </c>
      <c r="W544" s="153">
        <f t="shared" si="358"/>
        <v>46211.7</v>
      </c>
      <c r="X544" s="209">
        <f>IFERROR(VLOOKUP($B544,'Из ГУГЛа'!$B:$G,6,0)*Z544+Y544,VLOOKUP($B544,'Из ГУГЛа'!$B:$G,6,0))</f>
        <v>51160</v>
      </c>
      <c r="Y544" s="220">
        <f t="shared" si="383"/>
        <v>9970</v>
      </c>
      <c r="Z544" s="133">
        <v>1</v>
      </c>
      <c r="AA544" s="134"/>
      <c r="AB544" s="135">
        <f t="shared" si="359"/>
        <v>0.15040328603435382</v>
      </c>
      <c r="AC544" s="135">
        <f t="shared" si="360"/>
        <v>9.6722048475371442E-2</v>
      </c>
      <c r="AD544" s="135">
        <f t="shared" si="361"/>
        <v>0.27358725416977836</v>
      </c>
      <c r="AE544" s="223">
        <v>51160</v>
      </c>
      <c r="AF544" s="98" t="s">
        <v>619</v>
      </c>
      <c r="AH544" s="98" t="s">
        <v>110</v>
      </c>
    </row>
    <row r="545" spans="1:34" ht="46.5" thickTop="1" thickBot="1">
      <c r="A545" s="125" t="str">
        <f>INDEX('Выгр Торг'!$A:$A,MATCH($B545,'Выгр Торг'!$B:$B,0))</f>
        <v>Руль анатомический "Ferrum" Vesta Premium для Лада Веста, XRAY</v>
      </c>
      <c r="B545" s="126">
        <v>322925</v>
      </c>
      <c r="C545" s="127">
        <f>VLOOKUP($B545,'Выгр Торг'!$B:$Q,C$1,0)</f>
        <v>322925</v>
      </c>
      <c r="D545" s="44" t="s">
        <v>110</v>
      </c>
      <c r="E545" s="125" t="str">
        <f>VLOOKUP($B545,'Выгр Торг'!$B:$Q,E$1,0)</f>
        <v>Руль анатомический "Ferrum Group" Vesta Cross для Лада Веста, XRAY (Тёмно-серая нить, Чёрный глянец)</v>
      </c>
      <c r="F545" s="127" t="str">
        <f>VLOOKUP($B545,'Выгр Торг'!$B:$Q,F$1,0)</f>
        <v>Y</v>
      </c>
      <c r="G545" s="127" t="str">
        <f>VLOOKUP($B545,'Выгр Торг'!$B:$Q,G$1,0)</f>
        <v>0</v>
      </c>
      <c r="H545" s="127">
        <v>322913</v>
      </c>
      <c r="I545" s="156"/>
      <c r="J545" s="160"/>
      <c r="K545" s="161">
        <v>870</v>
      </c>
      <c r="L545" s="130">
        <f t="shared" si="357"/>
        <v>40170</v>
      </c>
      <c r="M545" s="130">
        <f t="shared" si="378"/>
        <v>41170</v>
      </c>
      <c r="N545" s="130">
        <f t="shared" si="379"/>
        <v>34170</v>
      </c>
      <c r="O545" s="132">
        <f t="shared" si="380"/>
        <v>1.0248941996514811</v>
      </c>
      <c r="P545" s="132">
        <f t="shared" si="374"/>
        <v>1.1499999999999999</v>
      </c>
      <c r="Q545" s="130">
        <f t="shared" si="381"/>
        <v>49672.580645161288</v>
      </c>
      <c r="R545" s="148">
        <f t="shared" si="382"/>
        <v>49690</v>
      </c>
      <c r="S545" s="127">
        <f>VLOOKUP($B545,'Выгр Торг'!$B:$Q,S$1,0)</f>
        <v>40170</v>
      </c>
      <c r="T545" s="127">
        <f>VLOOKUP($B545,'Выгр Торг'!$B:$Q,T$1,0)</f>
        <v>49690</v>
      </c>
      <c r="U545" s="94">
        <f t="shared" si="375"/>
        <v>0</v>
      </c>
      <c r="V545" s="94">
        <f t="shared" si="376"/>
        <v>0</v>
      </c>
      <c r="W545" s="153">
        <f t="shared" si="358"/>
        <v>46211.7</v>
      </c>
      <c r="X545" s="209">
        <f>IFERROR(VLOOKUP($B545,'Из ГУГЛа'!$B:$G,6,0)*Z545+Y545,VLOOKUP($B545,'Из ГУГЛа'!$B:$G,6,0))</f>
        <v>51160</v>
      </c>
      <c r="Y545" s="220">
        <f t="shared" si="383"/>
        <v>9970</v>
      </c>
      <c r="Z545" s="133">
        <v>1</v>
      </c>
      <c r="AA545" s="134"/>
      <c r="AB545" s="135">
        <f t="shared" si="359"/>
        <v>0.15040328603435382</v>
      </c>
      <c r="AC545" s="135">
        <f t="shared" si="360"/>
        <v>9.6722048475371442E-2</v>
      </c>
      <c r="AD545" s="135">
        <f t="shared" si="361"/>
        <v>0.27358725416977836</v>
      </c>
      <c r="AE545" s="223">
        <v>51160</v>
      </c>
      <c r="AF545" s="98" t="s">
        <v>619</v>
      </c>
      <c r="AH545" s="98" t="s">
        <v>110</v>
      </c>
    </row>
    <row r="546" spans="1:34" ht="46.5" thickTop="1" thickBot="1">
      <c r="A546" s="125" t="str">
        <f>INDEX('Выгр Торг'!$A:$A,MATCH($B546,'Выгр Торг'!$B:$B,0))</f>
        <v>Руль анатомический "Ferrum" Vesta Premium для Лада Веста, XRAY</v>
      </c>
      <c r="B546" s="126">
        <v>322917</v>
      </c>
      <c r="C546" s="127">
        <f>VLOOKUP($B546,'Выгр Торг'!$B:$Q,C$1,0)</f>
        <v>322917</v>
      </c>
      <c r="D546" s="44" t="s">
        <v>110</v>
      </c>
      <c r="E546" s="125" t="str">
        <f>VLOOKUP($B546,'Выгр Торг'!$B:$Q,E$1,0)</f>
        <v>Руль анатомический "Ferrum Group" Vesta Cross для Лада Веста, XRAY (Фиолетовая нить, Чёрный глянец)</v>
      </c>
      <c r="F546" s="127" t="str">
        <f>VLOOKUP($B546,'Выгр Торг'!$B:$Q,F$1,0)</f>
        <v>Y</v>
      </c>
      <c r="G546" s="127" t="str">
        <f>VLOOKUP($B546,'Выгр Торг'!$B:$Q,G$1,0)</f>
        <v>0</v>
      </c>
      <c r="H546" s="127">
        <v>322913</v>
      </c>
      <c r="I546" s="156"/>
      <c r="J546" s="160"/>
      <c r="K546" s="161">
        <v>870</v>
      </c>
      <c r="L546" s="130">
        <f t="shared" si="357"/>
        <v>40170</v>
      </c>
      <c r="M546" s="130">
        <f t="shared" si="378"/>
        <v>41170</v>
      </c>
      <c r="N546" s="130">
        <f t="shared" si="379"/>
        <v>34170</v>
      </c>
      <c r="O546" s="132">
        <f t="shared" si="380"/>
        <v>1.0248941996514811</v>
      </c>
      <c r="P546" s="132">
        <f t="shared" si="374"/>
        <v>1.1499999999999999</v>
      </c>
      <c r="Q546" s="130">
        <f t="shared" si="381"/>
        <v>49672.580645161288</v>
      </c>
      <c r="R546" s="148">
        <f t="shared" si="382"/>
        <v>49690</v>
      </c>
      <c r="S546" s="127">
        <f>VLOOKUP($B546,'Выгр Торг'!$B:$Q,S$1,0)</f>
        <v>40170</v>
      </c>
      <c r="T546" s="127">
        <f>VLOOKUP($B546,'Выгр Торг'!$B:$Q,T$1,0)</f>
        <v>49690</v>
      </c>
      <c r="U546" s="94">
        <f t="shared" si="375"/>
        <v>0</v>
      </c>
      <c r="V546" s="94">
        <f t="shared" si="376"/>
        <v>0</v>
      </c>
      <c r="W546" s="153">
        <f t="shared" si="358"/>
        <v>46211.7</v>
      </c>
      <c r="X546" s="209">
        <f>IFERROR(VLOOKUP($B546,'Из ГУГЛа'!$B:$G,6,0)*Z546+Y546,VLOOKUP($B546,'Из ГУГЛа'!$B:$G,6,0))</f>
        <v>51160</v>
      </c>
      <c r="Y546" s="220">
        <f t="shared" si="383"/>
        <v>9970</v>
      </c>
      <c r="Z546" s="133">
        <v>1</v>
      </c>
      <c r="AA546" s="134"/>
      <c r="AB546" s="135">
        <f t="shared" si="359"/>
        <v>0.15040328603435382</v>
      </c>
      <c r="AC546" s="135">
        <f t="shared" si="360"/>
        <v>9.6722048475371442E-2</v>
      </c>
      <c r="AD546" s="135">
        <f t="shared" si="361"/>
        <v>0.27358725416977836</v>
      </c>
      <c r="AE546" s="223">
        <v>51160</v>
      </c>
      <c r="AF546" s="98" t="s">
        <v>619</v>
      </c>
      <c r="AH546" s="98" t="s">
        <v>110</v>
      </c>
    </row>
    <row r="547" spans="1:34" ht="31.5" thickTop="1" thickBot="1">
      <c r="A547" s="125" t="str">
        <f>INDEX('Выгр Торг'!$A:$A,MATCH($B547,'Выгр Торг'!$B:$B,0))</f>
        <v>Руль анатомический "Ferrum" Vesta Sport для Лада Веста, XRAY</v>
      </c>
      <c r="B547" s="126">
        <v>322928</v>
      </c>
      <c r="C547" s="127">
        <f>VLOOKUP($B547,'Выгр Торг'!$B:$Q,C$1,0)</f>
        <v>322928</v>
      </c>
      <c r="D547" s="44" t="s">
        <v>112</v>
      </c>
      <c r="E547" s="125" t="str">
        <f>VLOOKUP($B547,'Выгр Торг'!$B:$Q,E$1,0)</f>
        <v>Руль анатомический "Ferrum Group" Vesta Cross для Лада Веста, XRAY (Чёрная нить, Чёрный глянец)</v>
      </c>
      <c r="F547" s="127" t="str">
        <f>VLOOKUP($B547,'Выгр Торг'!$B:$Q,F$1,0)</f>
        <v>Y</v>
      </c>
      <c r="G547" s="127" t="str">
        <f>VLOOKUP($B547,'Выгр Торг'!$B:$Q,G$1,0)</f>
        <v>1</v>
      </c>
      <c r="H547" s="127">
        <v>322928</v>
      </c>
      <c r="I547" s="156"/>
      <c r="J547" s="160">
        <v>7000</v>
      </c>
      <c r="K547" s="161">
        <v>0</v>
      </c>
      <c r="L547" s="130">
        <f>M547-1000</f>
        <v>39200</v>
      </c>
      <c r="M547" s="131">
        <f>N547+J547</f>
        <v>40200</v>
      </c>
      <c r="N547" s="131">
        <v>33200</v>
      </c>
      <c r="O547" s="132">
        <f>M547/L547</f>
        <v>1.0255102040816326</v>
      </c>
      <c r="P547" s="132">
        <f t="shared" si="374"/>
        <v>1.1499999999999999</v>
      </c>
      <c r="Q547" s="147">
        <f>L547*P547*100/93</f>
        <v>48473.118279569891</v>
      </c>
      <c r="R547" s="148">
        <f>IF(Q547&lt;=1000,(ROUNDUP(Q547,-2)-1),(ROUNDUP(Q547,-2)-10))</f>
        <v>48490</v>
      </c>
      <c r="S547" s="127">
        <f>VLOOKUP($B547,'Выгр Торг'!$B:$Q,S$1,0)</f>
        <v>39200</v>
      </c>
      <c r="T547" s="127">
        <f>VLOOKUP($B547,'Выгр Торг'!$B:$Q,T$1,0)</f>
        <v>48490</v>
      </c>
      <c r="U547" s="94">
        <f t="shared" si="375"/>
        <v>0</v>
      </c>
      <c r="V547" s="94">
        <f t="shared" si="376"/>
        <v>0</v>
      </c>
      <c r="W547" s="153">
        <f>R547*(1-$W$2)</f>
        <v>45095.7</v>
      </c>
      <c r="X547" s="209">
        <f>IFERROR(VLOOKUP($B547,'Из ГУГЛа'!$B:$G,6,0)*Z547+Y547,VLOOKUP($B547,'Из ГУГЛа'!$B:$G,6,0))</f>
        <v>49090</v>
      </c>
      <c r="Y547" s="106">
        <f>(J547+K547)*$Y$2</f>
        <v>9100</v>
      </c>
      <c r="Z547" s="133">
        <v>1</v>
      </c>
      <c r="AA547" s="134"/>
      <c r="AB547" s="135">
        <f>IFERROR(W547/L547-1,"")</f>
        <v>0.15040051020408152</v>
      </c>
      <c r="AC547" s="135">
        <f>IFERROR((AE547-W547)/AE547,"")</f>
        <v>8.136687716439199E-2</v>
      </c>
      <c r="AD547" s="135">
        <f>IFERROR(IF(AE547="","",AE547/L547-1),"")</f>
        <v>0.25229591836734699</v>
      </c>
      <c r="AE547" s="137">
        <v>49090</v>
      </c>
      <c r="AF547" s="98" t="s">
        <v>616</v>
      </c>
      <c r="AH547" s="98" t="s">
        <v>112</v>
      </c>
    </row>
    <row r="548" spans="1:34" ht="31.5" thickTop="1" thickBot="1">
      <c r="A548" s="125" t="str">
        <f>INDEX('Выгр Торг'!$A:$A,MATCH($B548,'Выгр Торг'!$B:$B,0))</f>
        <v>Руль анатомический "Ferrum" Vesta Sport для Лада Веста, XRAY</v>
      </c>
      <c r="B548" s="126">
        <v>342070</v>
      </c>
      <c r="C548" s="127">
        <f>VLOOKUP($B548,'Выгр Торг'!$B:$Q,C$1,0)</f>
        <v>342070</v>
      </c>
      <c r="D548" s="44" t="s">
        <v>112</v>
      </c>
      <c r="E548" s="125" t="str">
        <f>VLOOKUP($B548,'Выгр Торг'!$B:$Q,E$1,0)</f>
        <v>Руль анатомический "Ferrum" Vesta Sport для Лада Веста, XRAY (Белая нить, Чёрный мат)</v>
      </c>
      <c r="F548" s="127" t="str">
        <f>VLOOKUP($B548,'Выгр Торг'!$B:$Q,F$1,0)</f>
        <v>Y</v>
      </c>
      <c r="G548" s="127" t="str">
        <f>VLOOKUP($B548,'Выгр Торг'!$B:$Q,G$1,0)</f>
        <v>1</v>
      </c>
      <c r="H548" s="127">
        <v>322928</v>
      </c>
      <c r="I548" s="156"/>
      <c r="J548" s="160">
        <v>830</v>
      </c>
      <c r="K548" s="161">
        <v>870</v>
      </c>
      <c r="L548" s="130">
        <f t="shared" si="357"/>
        <v>40900</v>
      </c>
      <c r="M548" s="130">
        <f t="shared" ref="M548:M572" si="391">INDEX($M:$M,MATCH($H548,$C:$C,0))+$K548+$J548</f>
        <v>41900</v>
      </c>
      <c r="N548" s="130">
        <f t="shared" ref="N548:N572" si="392">INDEX($N:$N,MATCH($H548,$C:$C,0))+$K548+$J548</f>
        <v>34900</v>
      </c>
      <c r="O548" s="132">
        <f t="shared" ref="O548:O572" si="393">M548/L548</f>
        <v>1.0244498777506112</v>
      </c>
      <c r="P548" s="132">
        <f t="shared" si="374"/>
        <v>1.1499999999999999</v>
      </c>
      <c r="Q548" s="130">
        <f t="shared" ref="Q548:Q572" si="394">INDEX($Q:$Q,MATCH($H548,$C:$C,0))+($K548+$J548)*INDEX($P:$P,MATCH($H548,$C:$C,0))*100/93</f>
        <v>50575.268817204298</v>
      </c>
      <c r="R548" s="148">
        <f t="shared" ref="R548:R572" si="395">IF(Q548&lt;=1000,(ROUNDUP(Q548,-2)-1),(ROUNDUP(Q548,-2)-10))</f>
        <v>50590</v>
      </c>
      <c r="S548" s="127">
        <f>VLOOKUP($B548,'Выгр Торг'!$B:$Q,S$1,0)</f>
        <v>40900</v>
      </c>
      <c r="T548" s="127">
        <f>VLOOKUP($B548,'Выгр Торг'!$B:$Q,T$1,0)</f>
        <v>50590</v>
      </c>
      <c r="U548" s="94">
        <f t="shared" si="375"/>
        <v>0</v>
      </c>
      <c r="V548" s="94">
        <f t="shared" si="376"/>
        <v>0</v>
      </c>
      <c r="W548" s="153">
        <f t="shared" si="358"/>
        <v>47048.7</v>
      </c>
      <c r="X548" s="209">
        <f>IFERROR(VLOOKUP($B548,'Из ГУГЛа'!$B:$G,6,0)*Z548+Y548,VLOOKUP($B548,'Из ГУГЛа'!$B:$G,6,0))</f>
        <v>50790</v>
      </c>
      <c r="Y548" s="220">
        <f t="shared" ref="Y548:Y572" si="396">INDEX($Y:$Y,MATCH($H548,$C:$C,0))+J548+K548</f>
        <v>10800</v>
      </c>
      <c r="Z548" s="133">
        <v>1</v>
      </c>
      <c r="AA548" s="133">
        <v>1300</v>
      </c>
      <c r="AB548" s="135">
        <f t="shared" si="359"/>
        <v>0.15033496332518337</v>
      </c>
      <c r="AC548" s="135">
        <f t="shared" si="360"/>
        <v>7.366213821618435E-2</v>
      </c>
      <c r="AD548" s="135">
        <f t="shared" si="361"/>
        <v>0.2418092909535452</v>
      </c>
      <c r="AE548" s="223">
        <v>50790</v>
      </c>
      <c r="AF548" s="98" t="s">
        <v>616</v>
      </c>
      <c r="AH548" s="98" t="s">
        <v>112</v>
      </c>
    </row>
    <row r="549" spans="1:34" ht="31.5" thickTop="1" thickBot="1">
      <c r="A549" s="176" t="str">
        <f>INDEX('Выгр Торг'!$A:$A,MATCH($B549,'Выгр Торг'!$B:$B,0))</f>
        <v>Руль анатомический "Ferrum" Vesta Sport для Лада Веста, XRAY</v>
      </c>
      <c r="B549" s="178">
        <v>342082</v>
      </c>
      <c r="C549" s="179">
        <f>VLOOKUP($B549,'Выгр Торг'!$B:$Q,C$1,0)</f>
        <v>342082</v>
      </c>
      <c r="D549" s="186" t="s">
        <v>112</v>
      </c>
      <c r="E549" s="176" t="str">
        <f>VLOOKUP($B549,'Выгр Торг'!$B:$Q,E$1,0)</f>
        <v>Руль анатомический "Ferrum" Vesta Sport для Лада Веста, XRAY (Жёлтая нить, Чёрный мат)</v>
      </c>
      <c r="F549" s="179" t="str">
        <f>VLOOKUP($B549,'Выгр Торг'!$B:$Q,F$1,0)</f>
        <v>Y</v>
      </c>
      <c r="G549" s="179" t="str">
        <f>VLOOKUP($B549,'Выгр Торг'!$B:$Q,G$1,0)</f>
        <v>1</v>
      </c>
      <c r="H549" s="179">
        <v>322928</v>
      </c>
      <c r="I549" s="156"/>
      <c r="J549" s="160">
        <v>830</v>
      </c>
      <c r="K549" s="161">
        <v>870</v>
      </c>
      <c r="L549" s="180">
        <f t="shared" ref="L549:L561" si="397">M549-1000</f>
        <v>40900</v>
      </c>
      <c r="M549" s="180">
        <f t="shared" si="391"/>
        <v>41900</v>
      </c>
      <c r="N549" s="180">
        <f t="shared" si="392"/>
        <v>34900</v>
      </c>
      <c r="O549" s="107">
        <f t="shared" ref="O549:O561" si="398">M549/L549</f>
        <v>1.0244498777506112</v>
      </c>
      <c r="P549" s="132">
        <f t="shared" si="374"/>
        <v>1.1499999999999999</v>
      </c>
      <c r="Q549" s="180">
        <f t="shared" si="394"/>
        <v>50575.268817204298</v>
      </c>
      <c r="R549" s="144">
        <f t="shared" ref="R549:R561" si="399">IF(Q549&lt;=1000,(ROUNDUP(Q549,-2)-1),(ROUNDUP(Q549,-2)-10))</f>
        <v>50590</v>
      </c>
      <c r="S549" s="179">
        <f>VLOOKUP($B549,'Выгр Торг'!$B:$Q,S$1,0)</f>
        <v>40900</v>
      </c>
      <c r="T549" s="179">
        <f>VLOOKUP($B549,'Выгр Торг'!$B:$Q,T$1,0)</f>
        <v>50590</v>
      </c>
      <c r="U549" s="94">
        <f t="shared" si="375"/>
        <v>0</v>
      </c>
      <c r="V549" s="94">
        <f t="shared" si="376"/>
        <v>0</v>
      </c>
      <c r="W549" s="182">
        <f t="shared" ref="W549:W561" si="400">R549*(1-$W$2)</f>
        <v>47048.7</v>
      </c>
      <c r="X549" s="218">
        <f>IFERROR(VLOOKUP($B549,'Из ГУГЛа'!$B:$G,6,0)*Z549+Y549,VLOOKUP($B549,'Из ГУГЛа'!$B:$G,6,0))</f>
        <v>50790</v>
      </c>
      <c r="Y549" s="220">
        <f t="shared" si="396"/>
        <v>10800</v>
      </c>
      <c r="Z549" s="133">
        <v>1</v>
      </c>
      <c r="AA549" s="133">
        <v>1300</v>
      </c>
      <c r="AB549" s="184">
        <f t="shared" ref="AB549:AB561" si="401">IFERROR(W549/L549-1,"")</f>
        <v>0.15033496332518337</v>
      </c>
      <c r="AC549" s="184">
        <f t="shared" ref="AC549:AC561" si="402">IFERROR((AE549-W549)/AE549,"")</f>
        <v>7.366213821618435E-2</v>
      </c>
      <c r="AD549" s="184">
        <f t="shared" ref="AD549:AD561" si="403">IFERROR(IF(AE549="","",AE549/L549-1),"")</f>
        <v>0.2418092909535452</v>
      </c>
      <c r="AE549" s="223">
        <v>50790</v>
      </c>
      <c r="AF549" s="98" t="s">
        <v>616</v>
      </c>
      <c r="AH549" s="98" t="s">
        <v>112</v>
      </c>
    </row>
    <row r="550" spans="1:34" ht="31.5" thickTop="1" thickBot="1">
      <c r="A550" s="176" t="str">
        <f>INDEX('Выгр Торг'!$A:$A,MATCH($B550,'Выгр Торг'!$B:$B,0))</f>
        <v>Руль анатомический "Ferrum" Vesta Sport для Лада Веста, XRAY</v>
      </c>
      <c r="B550" s="178">
        <v>342081</v>
      </c>
      <c r="C550" s="179">
        <f>VLOOKUP($B550,'Выгр Торг'!$B:$Q,C$1,0)</f>
        <v>342081</v>
      </c>
      <c r="D550" s="186" t="s">
        <v>112</v>
      </c>
      <c r="E550" s="176" t="str">
        <f>VLOOKUP($B550,'Выгр Торг'!$B:$Q,E$1,0)</f>
        <v>Руль анатомический "Ferrum" Vesta Sport для Лада Веста, XRAY (Зелёная нить, Чёрный мат)</v>
      </c>
      <c r="F550" s="179" t="str">
        <f>VLOOKUP($B550,'Выгр Торг'!$B:$Q,F$1,0)</f>
        <v>Y</v>
      </c>
      <c r="G550" s="179" t="str">
        <f>VLOOKUP($B550,'Выгр Торг'!$B:$Q,G$1,0)</f>
        <v>1</v>
      </c>
      <c r="H550" s="179">
        <v>322928</v>
      </c>
      <c r="I550" s="156"/>
      <c r="J550" s="160">
        <v>830</v>
      </c>
      <c r="K550" s="161">
        <v>870</v>
      </c>
      <c r="L550" s="180">
        <f t="shared" si="397"/>
        <v>40900</v>
      </c>
      <c r="M550" s="180">
        <f t="shared" si="391"/>
        <v>41900</v>
      </c>
      <c r="N550" s="180">
        <f t="shared" si="392"/>
        <v>34900</v>
      </c>
      <c r="O550" s="107">
        <f t="shared" si="398"/>
        <v>1.0244498777506112</v>
      </c>
      <c r="P550" s="132">
        <f t="shared" si="374"/>
        <v>1.1499999999999999</v>
      </c>
      <c r="Q550" s="180">
        <f t="shared" si="394"/>
        <v>50575.268817204298</v>
      </c>
      <c r="R550" s="144">
        <f t="shared" si="399"/>
        <v>50590</v>
      </c>
      <c r="S550" s="179">
        <f>VLOOKUP($B550,'Выгр Торг'!$B:$Q,S$1,0)</f>
        <v>40900</v>
      </c>
      <c r="T550" s="179">
        <f>VLOOKUP($B550,'Выгр Торг'!$B:$Q,T$1,0)</f>
        <v>50590</v>
      </c>
      <c r="U550" s="94">
        <f t="shared" si="375"/>
        <v>0</v>
      </c>
      <c r="V550" s="94">
        <f t="shared" si="376"/>
        <v>0</v>
      </c>
      <c r="W550" s="182">
        <f t="shared" si="400"/>
        <v>47048.7</v>
      </c>
      <c r="X550" s="218">
        <f>IFERROR(VLOOKUP($B550,'Из ГУГЛа'!$B:$G,6,0)*Z550+Y550,VLOOKUP($B550,'Из ГУГЛа'!$B:$G,6,0))</f>
        <v>50790</v>
      </c>
      <c r="Y550" s="220">
        <f t="shared" si="396"/>
        <v>10800</v>
      </c>
      <c r="Z550" s="133">
        <v>1</v>
      </c>
      <c r="AA550" s="133">
        <v>1300</v>
      </c>
      <c r="AB550" s="184">
        <f t="shared" si="401"/>
        <v>0.15033496332518337</v>
      </c>
      <c r="AC550" s="184">
        <f t="shared" si="402"/>
        <v>7.366213821618435E-2</v>
      </c>
      <c r="AD550" s="184">
        <f t="shared" si="403"/>
        <v>0.2418092909535452</v>
      </c>
      <c r="AE550" s="223">
        <v>50790</v>
      </c>
      <c r="AF550" s="98" t="s">
        <v>616</v>
      </c>
      <c r="AH550" s="98" t="s">
        <v>112</v>
      </c>
    </row>
    <row r="551" spans="1:34" ht="31.5" thickTop="1" thickBot="1">
      <c r="A551" s="176" t="str">
        <f>INDEX('Выгр Торг'!$A:$A,MATCH($B551,'Выгр Торг'!$B:$B,0))</f>
        <v>Руль анатомический "Ferrum" Vesta Sport для Лада Веста, XRAY</v>
      </c>
      <c r="B551" s="178">
        <v>342073</v>
      </c>
      <c r="C551" s="179">
        <f>VLOOKUP($B551,'Выгр Торг'!$B:$Q,C$1,0)</f>
        <v>342073</v>
      </c>
      <c r="D551" s="186" t="s">
        <v>112</v>
      </c>
      <c r="E551" s="176" t="str">
        <f>VLOOKUP($B551,'Выгр Торг'!$B:$Q,E$1,0)</f>
        <v>Руль анатомический "Ferrum" Vesta Sport для Лада Веста, XRAY (Коричневая нить, Чёрный мат)</v>
      </c>
      <c r="F551" s="179" t="str">
        <f>VLOOKUP($B551,'Выгр Торг'!$B:$Q,F$1,0)</f>
        <v>Y</v>
      </c>
      <c r="G551" s="179" t="str">
        <f>VLOOKUP($B551,'Выгр Торг'!$B:$Q,G$1,0)</f>
        <v>1</v>
      </c>
      <c r="H551" s="179">
        <v>322928</v>
      </c>
      <c r="I551" s="156"/>
      <c r="J551" s="160">
        <v>830</v>
      </c>
      <c r="K551" s="161">
        <v>870</v>
      </c>
      <c r="L551" s="180">
        <f t="shared" si="397"/>
        <v>40900</v>
      </c>
      <c r="M551" s="180">
        <f t="shared" si="391"/>
        <v>41900</v>
      </c>
      <c r="N551" s="180">
        <f t="shared" si="392"/>
        <v>34900</v>
      </c>
      <c r="O551" s="107">
        <f t="shared" si="398"/>
        <v>1.0244498777506112</v>
      </c>
      <c r="P551" s="132">
        <f t="shared" si="374"/>
        <v>1.1499999999999999</v>
      </c>
      <c r="Q551" s="180">
        <f t="shared" si="394"/>
        <v>50575.268817204298</v>
      </c>
      <c r="R551" s="144">
        <f t="shared" si="399"/>
        <v>50590</v>
      </c>
      <c r="S551" s="179">
        <f>VLOOKUP($B551,'Выгр Торг'!$B:$Q,S$1,0)</f>
        <v>40900</v>
      </c>
      <c r="T551" s="179">
        <f>VLOOKUP($B551,'Выгр Торг'!$B:$Q,T$1,0)</f>
        <v>50590</v>
      </c>
      <c r="U551" s="94">
        <f t="shared" si="375"/>
        <v>0</v>
      </c>
      <c r="V551" s="94">
        <f t="shared" si="376"/>
        <v>0</v>
      </c>
      <c r="W551" s="182">
        <f t="shared" si="400"/>
        <v>47048.7</v>
      </c>
      <c r="X551" s="218">
        <f>IFERROR(VLOOKUP($B551,'Из ГУГЛа'!$B:$G,6,0)*Z551+Y551,VLOOKUP($B551,'Из ГУГЛа'!$B:$G,6,0))</f>
        <v>50790</v>
      </c>
      <c r="Y551" s="220">
        <f t="shared" si="396"/>
        <v>10800</v>
      </c>
      <c r="Z551" s="133">
        <v>1</v>
      </c>
      <c r="AA551" s="133">
        <v>1300</v>
      </c>
      <c r="AB551" s="184">
        <f t="shared" si="401"/>
        <v>0.15033496332518337</v>
      </c>
      <c r="AC551" s="184">
        <f t="shared" si="402"/>
        <v>7.366213821618435E-2</v>
      </c>
      <c r="AD551" s="184">
        <f t="shared" si="403"/>
        <v>0.2418092909535452</v>
      </c>
      <c r="AE551" s="223">
        <v>50790</v>
      </c>
      <c r="AF551" s="98" t="s">
        <v>616</v>
      </c>
      <c r="AH551" s="98" t="s">
        <v>112</v>
      </c>
    </row>
    <row r="552" spans="1:34" ht="31.5" thickTop="1" thickBot="1">
      <c r="A552" s="176" t="str">
        <f>INDEX('Выгр Торг'!$A:$A,MATCH($B552,'Выгр Торг'!$B:$B,0))</f>
        <v>Руль анатомический "Ferrum" Vesta Sport для Лада Веста, XRAY</v>
      </c>
      <c r="B552" s="178">
        <v>342074</v>
      </c>
      <c r="C552" s="179">
        <f>VLOOKUP($B552,'Выгр Торг'!$B:$Q,C$1,0)</f>
        <v>342074</v>
      </c>
      <c r="D552" s="186" t="s">
        <v>112</v>
      </c>
      <c r="E552" s="176" t="str">
        <f>VLOOKUP($B552,'Выгр Торг'!$B:$Q,E$1,0)</f>
        <v>Руль анатомический "Ferrum" Vesta Sport для Лада Веста, XRAY (Красная нить, Чёрный мат)</v>
      </c>
      <c r="F552" s="179" t="str">
        <f>VLOOKUP($B552,'Выгр Торг'!$B:$Q,F$1,0)</f>
        <v>Y</v>
      </c>
      <c r="G552" s="179" t="str">
        <f>VLOOKUP($B552,'Выгр Торг'!$B:$Q,G$1,0)</f>
        <v>1</v>
      </c>
      <c r="H552" s="179">
        <v>322928</v>
      </c>
      <c r="I552" s="156"/>
      <c r="J552" s="160">
        <v>830</v>
      </c>
      <c r="K552" s="161">
        <v>870</v>
      </c>
      <c r="L552" s="180">
        <f t="shared" si="397"/>
        <v>40900</v>
      </c>
      <c r="M552" s="180">
        <f t="shared" si="391"/>
        <v>41900</v>
      </c>
      <c r="N552" s="180">
        <f t="shared" si="392"/>
        <v>34900</v>
      </c>
      <c r="O552" s="107">
        <f t="shared" si="398"/>
        <v>1.0244498777506112</v>
      </c>
      <c r="P552" s="132">
        <f t="shared" si="374"/>
        <v>1.1499999999999999</v>
      </c>
      <c r="Q552" s="180">
        <f t="shared" si="394"/>
        <v>50575.268817204298</v>
      </c>
      <c r="R552" s="144">
        <f t="shared" si="399"/>
        <v>50590</v>
      </c>
      <c r="S552" s="179">
        <f>VLOOKUP($B552,'Выгр Торг'!$B:$Q,S$1,0)</f>
        <v>40900</v>
      </c>
      <c r="T552" s="179">
        <f>VLOOKUP($B552,'Выгр Торг'!$B:$Q,T$1,0)</f>
        <v>50590</v>
      </c>
      <c r="U552" s="94">
        <f t="shared" si="375"/>
        <v>0</v>
      </c>
      <c r="V552" s="94">
        <f t="shared" si="376"/>
        <v>0</v>
      </c>
      <c r="W552" s="182">
        <f t="shared" si="400"/>
        <v>47048.7</v>
      </c>
      <c r="X552" s="218">
        <f>IFERROR(VLOOKUP($B552,'Из ГУГЛа'!$B:$G,6,0)*Z552+Y552,VLOOKUP($B552,'Из ГУГЛа'!$B:$G,6,0))</f>
        <v>50790</v>
      </c>
      <c r="Y552" s="220">
        <f t="shared" si="396"/>
        <v>10800</v>
      </c>
      <c r="Z552" s="133">
        <v>1</v>
      </c>
      <c r="AA552" s="133">
        <v>1300</v>
      </c>
      <c r="AB552" s="184">
        <f t="shared" si="401"/>
        <v>0.15033496332518337</v>
      </c>
      <c r="AC552" s="184">
        <f t="shared" si="402"/>
        <v>7.366213821618435E-2</v>
      </c>
      <c r="AD552" s="184">
        <f t="shared" si="403"/>
        <v>0.2418092909535452</v>
      </c>
      <c r="AE552" s="223">
        <v>50790</v>
      </c>
      <c r="AF552" s="98" t="s">
        <v>616</v>
      </c>
      <c r="AH552" s="98" t="s">
        <v>112</v>
      </c>
    </row>
    <row r="553" spans="1:34" ht="31.5" thickTop="1" thickBot="1">
      <c r="A553" s="176" t="str">
        <f>INDEX('Выгр Торг'!$A:$A,MATCH($B553,'Выгр Торг'!$B:$B,0))</f>
        <v>Руль анатомический "Ferrum" Vesta Sport для Лада Веста, XRAY</v>
      </c>
      <c r="B553" s="178">
        <v>342075</v>
      </c>
      <c r="C553" s="179">
        <f>VLOOKUP($B553,'Выгр Торг'!$B:$Q,C$1,0)</f>
        <v>342075</v>
      </c>
      <c r="D553" s="186" t="s">
        <v>112</v>
      </c>
      <c r="E553" s="176" t="str">
        <f>VLOOKUP($B553,'Выгр Торг'!$B:$Q,E$1,0)</f>
        <v>Руль анатомический "Ferrum" Vesta Sport для Лада Веста, XRAY (Оранжевая нить, Чёрный мат)</v>
      </c>
      <c r="F553" s="179" t="str">
        <f>VLOOKUP($B553,'Выгр Торг'!$B:$Q,F$1,0)</f>
        <v>Y</v>
      </c>
      <c r="G553" s="179" t="str">
        <f>VLOOKUP($B553,'Выгр Торг'!$B:$Q,G$1,0)</f>
        <v>1</v>
      </c>
      <c r="H553" s="179">
        <v>322928</v>
      </c>
      <c r="I553" s="156"/>
      <c r="J553" s="160">
        <v>830</v>
      </c>
      <c r="K553" s="161">
        <v>870</v>
      </c>
      <c r="L553" s="180">
        <f t="shared" si="397"/>
        <v>40900</v>
      </c>
      <c r="M553" s="180">
        <f t="shared" si="391"/>
        <v>41900</v>
      </c>
      <c r="N553" s="180">
        <f t="shared" si="392"/>
        <v>34900</v>
      </c>
      <c r="O553" s="107">
        <f t="shared" si="398"/>
        <v>1.0244498777506112</v>
      </c>
      <c r="P553" s="132">
        <f t="shared" si="374"/>
        <v>1.1499999999999999</v>
      </c>
      <c r="Q553" s="180">
        <f t="shared" si="394"/>
        <v>50575.268817204298</v>
      </c>
      <c r="R553" s="144">
        <f t="shared" si="399"/>
        <v>50590</v>
      </c>
      <c r="S553" s="179">
        <f>VLOOKUP($B553,'Выгр Торг'!$B:$Q,S$1,0)</f>
        <v>40900</v>
      </c>
      <c r="T553" s="179">
        <f>VLOOKUP($B553,'Выгр Торг'!$B:$Q,T$1,0)</f>
        <v>50590</v>
      </c>
      <c r="U553" s="94">
        <f t="shared" si="375"/>
        <v>0</v>
      </c>
      <c r="V553" s="94">
        <f t="shared" si="376"/>
        <v>0</v>
      </c>
      <c r="W553" s="182">
        <f t="shared" si="400"/>
        <v>47048.7</v>
      </c>
      <c r="X553" s="218">
        <f>IFERROR(VLOOKUP($B553,'Из ГУГЛа'!$B:$G,6,0)*Z553+Y553,VLOOKUP($B553,'Из ГУГЛа'!$B:$G,6,0))</f>
        <v>50790</v>
      </c>
      <c r="Y553" s="220">
        <f t="shared" si="396"/>
        <v>10800</v>
      </c>
      <c r="Z553" s="133">
        <v>1</v>
      </c>
      <c r="AA553" s="133">
        <v>1300</v>
      </c>
      <c r="AB553" s="184">
        <f t="shared" si="401"/>
        <v>0.15033496332518337</v>
      </c>
      <c r="AC553" s="184">
        <f t="shared" si="402"/>
        <v>7.366213821618435E-2</v>
      </c>
      <c r="AD553" s="184">
        <f t="shared" si="403"/>
        <v>0.2418092909535452</v>
      </c>
      <c r="AE553" s="223">
        <v>50790</v>
      </c>
      <c r="AF553" s="98" t="s">
        <v>616</v>
      </c>
      <c r="AH553" s="98" t="s">
        <v>112</v>
      </c>
    </row>
    <row r="554" spans="1:34" ht="31.5" thickTop="1" thickBot="1">
      <c r="A554" s="176" t="str">
        <f>INDEX('Выгр Торг'!$A:$A,MATCH($B554,'Выгр Торг'!$B:$B,0))</f>
        <v>Руль анатомический "Ferrum" Vesta Sport для Лада Веста, XRAY</v>
      </c>
      <c r="B554" s="178">
        <v>342076</v>
      </c>
      <c r="C554" s="179">
        <f>VLOOKUP($B554,'Выгр Торг'!$B:$Q,C$1,0)</f>
        <v>342076</v>
      </c>
      <c r="D554" s="186" t="s">
        <v>112</v>
      </c>
      <c r="E554" s="176" t="str">
        <f>VLOOKUP($B554,'Выгр Торг'!$B:$Q,E$1,0)</f>
        <v>Руль анатомический "Ferrum" Vesta Sport для Лада Веста, XRAY (Салатовая нить, Чёрный мат)</v>
      </c>
      <c r="F554" s="179" t="str">
        <f>VLOOKUP($B554,'Выгр Торг'!$B:$Q,F$1,0)</f>
        <v>Y</v>
      </c>
      <c r="G554" s="179" t="str">
        <f>VLOOKUP($B554,'Выгр Торг'!$B:$Q,G$1,0)</f>
        <v>1</v>
      </c>
      <c r="H554" s="179">
        <v>322928</v>
      </c>
      <c r="I554" s="156"/>
      <c r="J554" s="160">
        <v>830</v>
      </c>
      <c r="K554" s="161">
        <v>870</v>
      </c>
      <c r="L554" s="180">
        <f t="shared" si="397"/>
        <v>40900</v>
      </c>
      <c r="M554" s="180">
        <f t="shared" si="391"/>
        <v>41900</v>
      </c>
      <c r="N554" s="180">
        <f t="shared" si="392"/>
        <v>34900</v>
      </c>
      <c r="O554" s="107">
        <f t="shared" si="398"/>
        <v>1.0244498777506112</v>
      </c>
      <c r="P554" s="132">
        <f t="shared" si="374"/>
        <v>1.1499999999999999</v>
      </c>
      <c r="Q554" s="180">
        <f t="shared" si="394"/>
        <v>50575.268817204298</v>
      </c>
      <c r="R554" s="144">
        <f t="shared" si="399"/>
        <v>50590</v>
      </c>
      <c r="S554" s="179">
        <f>VLOOKUP($B554,'Выгр Торг'!$B:$Q,S$1,0)</f>
        <v>40900</v>
      </c>
      <c r="T554" s="179">
        <f>VLOOKUP($B554,'Выгр Торг'!$B:$Q,T$1,0)</f>
        <v>50590</v>
      </c>
      <c r="U554" s="94">
        <f t="shared" si="375"/>
        <v>0</v>
      </c>
      <c r="V554" s="94">
        <f t="shared" si="376"/>
        <v>0</v>
      </c>
      <c r="W554" s="182">
        <f t="shared" si="400"/>
        <v>47048.7</v>
      </c>
      <c r="X554" s="218">
        <f>IFERROR(VLOOKUP($B554,'Из ГУГЛа'!$B:$G,6,0)*Z554+Y554,VLOOKUP($B554,'Из ГУГЛа'!$B:$G,6,0))</f>
        <v>50790</v>
      </c>
      <c r="Y554" s="220">
        <f t="shared" si="396"/>
        <v>10800</v>
      </c>
      <c r="Z554" s="133">
        <v>1</v>
      </c>
      <c r="AA554" s="133">
        <v>1300</v>
      </c>
      <c r="AB554" s="184">
        <f t="shared" si="401"/>
        <v>0.15033496332518337</v>
      </c>
      <c r="AC554" s="184">
        <f t="shared" si="402"/>
        <v>7.366213821618435E-2</v>
      </c>
      <c r="AD554" s="184">
        <f t="shared" si="403"/>
        <v>0.2418092909535452</v>
      </c>
      <c r="AE554" s="223">
        <v>50790</v>
      </c>
      <c r="AF554" s="98" t="s">
        <v>616</v>
      </c>
      <c r="AH554" s="98" t="s">
        <v>112</v>
      </c>
    </row>
    <row r="555" spans="1:34" ht="31.5" thickTop="1" thickBot="1">
      <c r="A555" s="176" t="str">
        <f>INDEX('Выгр Торг'!$A:$A,MATCH($B555,'Выгр Торг'!$B:$B,0))</f>
        <v>Руль анатомический "Ferrum" Vesta Sport для Лада Веста, XRAY</v>
      </c>
      <c r="B555" s="178">
        <v>342079</v>
      </c>
      <c r="C555" s="179">
        <f>VLOOKUP($B555,'Выгр Торг'!$B:$Q,C$1,0)</f>
        <v>342079</v>
      </c>
      <c r="D555" s="186" t="s">
        <v>112</v>
      </c>
      <c r="E555" s="176" t="str">
        <f>VLOOKUP($B555,'Выгр Торг'!$B:$Q,E$1,0)</f>
        <v>Руль анатомический "Ferrum" Vesta Sport для Лада Веста, XRAY (Светло-серая нить, Чёрный мат)</v>
      </c>
      <c r="F555" s="179" t="str">
        <f>VLOOKUP($B555,'Выгр Торг'!$B:$Q,F$1,0)</f>
        <v>Y</v>
      </c>
      <c r="G555" s="179" t="str">
        <f>VLOOKUP($B555,'Выгр Торг'!$B:$Q,G$1,0)</f>
        <v>1</v>
      </c>
      <c r="H555" s="179">
        <v>322928</v>
      </c>
      <c r="I555" s="156"/>
      <c r="J555" s="160">
        <v>830</v>
      </c>
      <c r="K555" s="161">
        <v>870</v>
      </c>
      <c r="L555" s="180">
        <f t="shared" si="397"/>
        <v>40900</v>
      </c>
      <c r="M555" s="180">
        <f t="shared" si="391"/>
        <v>41900</v>
      </c>
      <c r="N555" s="180">
        <f t="shared" si="392"/>
        <v>34900</v>
      </c>
      <c r="O555" s="107">
        <f t="shared" si="398"/>
        <v>1.0244498777506112</v>
      </c>
      <c r="P555" s="132">
        <f t="shared" si="374"/>
        <v>1.1499999999999999</v>
      </c>
      <c r="Q555" s="180">
        <f t="shared" si="394"/>
        <v>50575.268817204298</v>
      </c>
      <c r="R555" s="144">
        <f t="shared" si="399"/>
        <v>50590</v>
      </c>
      <c r="S555" s="179">
        <f>VLOOKUP($B555,'Выгр Торг'!$B:$Q,S$1,0)</f>
        <v>40900</v>
      </c>
      <c r="T555" s="179">
        <f>VLOOKUP($B555,'Выгр Торг'!$B:$Q,T$1,0)</f>
        <v>50590</v>
      </c>
      <c r="U555" s="94">
        <f t="shared" si="375"/>
        <v>0</v>
      </c>
      <c r="V555" s="94">
        <f t="shared" si="376"/>
        <v>0</v>
      </c>
      <c r="W555" s="182">
        <f t="shared" si="400"/>
        <v>47048.7</v>
      </c>
      <c r="X555" s="218">
        <f>IFERROR(VLOOKUP($B555,'Из ГУГЛа'!$B:$G,6,0)*Z555+Y555,VLOOKUP($B555,'Из ГУГЛа'!$B:$G,6,0))</f>
        <v>50790</v>
      </c>
      <c r="Y555" s="220">
        <f t="shared" si="396"/>
        <v>10800</v>
      </c>
      <c r="Z555" s="133">
        <v>1</v>
      </c>
      <c r="AA555" s="133">
        <v>1300</v>
      </c>
      <c r="AB555" s="184">
        <f t="shared" si="401"/>
        <v>0.15033496332518337</v>
      </c>
      <c r="AC555" s="184">
        <f t="shared" si="402"/>
        <v>7.366213821618435E-2</v>
      </c>
      <c r="AD555" s="184">
        <f t="shared" si="403"/>
        <v>0.2418092909535452</v>
      </c>
      <c r="AE555" s="223">
        <v>50790</v>
      </c>
      <c r="AF555" s="98" t="s">
        <v>616</v>
      </c>
      <c r="AH555" s="98" t="s">
        <v>112</v>
      </c>
    </row>
    <row r="556" spans="1:34" ht="31.5" thickTop="1" thickBot="1">
      <c r="A556" s="176" t="str">
        <f>INDEX('Выгр Торг'!$A:$A,MATCH($B556,'Выгр Торг'!$B:$B,0))</f>
        <v>Руль анатомический "Ferrum" Vesta Sport для Лада Веста, XRAY</v>
      </c>
      <c r="B556" s="178">
        <v>342077</v>
      </c>
      <c r="C556" s="179">
        <f>VLOOKUP($B556,'Выгр Торг'!$B:$Q,C$1,0)</f>
        <v>342077</v>
      </c>
      <c r="D556" s="186" t="s">
        <v>112</v>
      </c>
      <c r="E556" s="176" t="str">
        <f>VLOOKUP($B556,'Выгр Торг'!$B:$Q,E$1,0)</f>
        <v>Руль анатомический "Ferrum" Vesta Sport для Лада Веста, XRAY (Сине-зелёная нить, Чёрный мат)</v>
      </c>
      <c r="F556" s="179" t="str">
        <f>VLOOKUP($B556,'Выгр Торг'!$B:$Q,F$1,0)</f>
        <v>Y</v>
      </c>
      <c r="G556" s="179" t="str">
        <f>VLOOKUP($B556,'Выгр Торг'!$B:$Q,G$1,0)</f>
        <v>1</v>
      </c>
      <c r="H556" s="179">
        <v>322928</v>
      </c>
      <c r="I556" s="156"/>
      <c r="J556" s="160">
        <v>830</v>
      </c>
      <c r="K556" s="161">
        <v>870</v>
      </c>
      <c r="L556" s="180">
        <f t="shared" si="397"/>
        <v>40900</v>
      </c>
      <c r="M556" s="180">
        <f t="shared" si="391"/>
        <v>41900</v>
      </c>
      <c r="N556" s="180">
        <f t="shared" si="392"/>
        <v>34900</v>
      </c>
      <c r="O556" s="107">
        <f t="shared" si="398"/>
        <v>1.0244498777506112</v>
      </c>
      <c r="P556" s="132">
        <f t="shared" si="374"/>
        <v>1.1499999999999999</v>
      </c>
      <c r="Q556" s="180">
        <f t="shared" si="394"/>
        <v>50575.268817204298</v>
      </c>
      <c r="R556" s="144">
        <f t="shared" si="399"/>
        <v>50590</v>
      </c>
      <c r="S556" s="179">
        <f>VLOOKUP($B556,'Выгр Торг'!$B:$Q,S$1,0)</f>
        <v>40900</v>
      </c>
      <c r="T556" s="179">
        <f>VLOOKUP($B556,'Выгр Торг'!$B:$Q,T$1,0)</f>
        <v>50590</v>
      </c>
      <c r="U556" s="94">
        <f t="shared" si="375"/>
        <v>0</v>
      </c>
      <c r="V556" s="94">
        <f t="shared" si="376"/>
        <v>0</v>
      </c>
      <c r="W556" s="182">
        <f t="shared" si="400"/>
        <v>47048.7</v>
      </c>
      <c r="X556" s="218">
        <f>IFERROR(VLOOKUP($B556,'Из ГУГЛа'!$B:$G,6,0)*Z556+Y556,VLOOKUP($B556,'Из ГУГЛа'!$B:$G,6,0))</f>
        <v>50790</v>
      </c>
      <c r="Y556" s="220">
        <f t="shared" si="396"/>
        <v>10800</v>
      </c>
      <c r="Z556" s="133">
        <v>1</v>
      </c>
      <c r="AA556" s="133">
        <v>1300</v>
      </c>
      <c r="AB556" s="184">
        <f t="shared" si="401"/>
        <v>0.15033496332518337</v>
      </c>
      <c r="AC556" s="184">
        <f t="shared" si="402"/>
        <v>7.366213821618435E-2</v>
      </c>
      <c r="AD556" s="184">
        <f t="shared" si="403"/>
        <v>0.2418092909535452</v>
      </c>
      <c r="AE556" s="223">
        <v>50790</v>
      </c>
      <c r="AF556" s="98" t="s">
        <v>616</v>
      </c>
      <c r="AH556" s="98" t="s">
        <v>112</v>
      </c>
    </row>
    <row r="557" spans="1:34" ht="31.5" thickTop="1" thickBot="1">
      <c r="A557" s="176" t="str">
        <f>INDEX('Выгр Торг'!$A:$A,MATCH($B557,'Выгр Торг'!$B:$B,0))</f>
        <v>Руль анатомический "Ferrum" Vesta Sport для Лада Веста, XRAY</v>
      </c>
      <c r="B557" s="178">
        <v>342078</v>
      </c>
      <c r="C557" s="179">
        <f>VLOOKUP($B557,'Выгр Торг'!$B:$Q,C$1,0)</f>
        <v>342078</v>
      </c>
      <c r="D557" s="186" t="s">
        <v>112</v>
      </c>
      <c r="E557" s="176" t="str">
        <f>VLOOKUP($B557,'Выгр Торг'!$B:$Q,E$1,0)</f>
        <v>Руль анатомический "Ferrum" Vesta Sport для Лада Веста, XRAY (Синяя нить, Чёрный мат)</v>
      </c>
      <c r="F557" s="179" t="str">
        <f>VLOOKUP($B557,'Выгр Торг'!$B:$Q,F$1,0)</f>
        <v>Y</v>
      </c>
      <c r="G557" s="179" t="str">
        <f>VLOOKUP($B557,'Выгр Торг'!$B:$Q,G$1,0)</f>
        <v>1</v>
      </c>
      <c r="H557" s="179">
        <v>322928</v>
      </c>
      <c r="I557" s="156"/>
      <c r="J557" s="160">
        <v>830</v>
      </c>
      <c r="K557" s="161">
        <v>870</v>
      </c>
      <c r="L557" s="180">
        <f t="shared" si="397"/>
        <v>40900</v>
      </c>
      <c r="M557" s="180">
        <f t="shared" si="391"/>
        <v>41900</v>
      </c>
      <c r="N557" s="180">
        <f t="shared" si="392"/>
        <v>34900</v>
      </c>
      <c r="O557" s="107">
        <f t="shared" si="398"/>
        <v>1.0244498777506112</v>
      </c>
      <c r="P557" s="132">
        <f t="shared" si="374"/>
        <v>1.1499999999999999</v>
      </c>
      <c r="Q557" s="180">
        <f t="shared" si="394"/>
        <v>50575.268817204298</v>
      </c>
      <c r="R557" s="144">
        <f t="shared" si="399"/>
        <v>50590</v>
      </c>
      <c r="S557" s="179">
        <f>VLOOKUP($B557,'Выгр Торг'!$B:$Q,S$1,0)</f>
        <v>40900</v>
      </c>
      <c r="T557" s="179">
        <f>VLOOKUP($B557,'Выгр Торг'!$B:$Q,T$1,0)</f>
        <v>50590</v>
      </c>
      <c r="U557" s="94">
        <f t="shared" si="375"/>
        <v>0</v>
      </c>
      <c r="V557" s="94">
        <f t="shared" si="376"/>
        <v>0</v>
      </c>
      <c r="W557" s="182">
        <f t="shared" si="400"/>
        <v>47048.7</v>
      </c>
      <c r="X557" s="218">
        <f>IFERROR(VLOOKUP($B557,'Из ГУГЛа'!$B:$G,6,0)*Z557+Y557,VLOOKUP($B557,'Из ГУГЛа'!$B:$G,6,0))</f>
        <v>50790</v>
      </c>
      <c r="Y557" s="220">
        <f t="shared" si="396"/>
        <v>10800</v>
      </c>
      <c r="Z557" s="133">
        <v>1</v>
      </c>
      <c r="AA557" s="133">
        <v>1300</v>
      </c>
      <c r="AB557" s="184">
        <f t="shared" si="401"/>
        <v>0.15033496332518337</v>
      </c>
      <c r="AC557" s="184">
        <f t="shared" si="402"/>
        <v>7.366213821618435E-2</v>
      </c>
      <c r="AD557" s="184">
        <f t="shared" si="403"/>
        <v>0.2418092909535452</v>
      </c>
      <c r="AE557" s="223">
        <v>50790</v>
      </c>
      <c r="AF557" s="98" t="s">
        <v>616</v>
      </c>
      <c r="AH557" s="98" t="s">
        <v>112</v>
      </c>
    </row>
    <row r="558" spans="1:34" ht="31.5" thickTop="1" thickBot="1">
      <c r="A558" s="176" t="str">
        <f>INDEX('Выгр Торг'!$A:$A,MATCH($B558,'Выгр Торг'!$B:$B,0))</f>
        <v>Руль анатомический "Ferrum" Vesta Sport для Лада Веста, XRAY</v>
      </c>
      <c r="B558" s="178">
        <v>342080</v>
      </c>
      <c r="C558" s="179">
        <f>VLOOKUP($B558,'Выгр Торг'!$B:$Q,C$1,0)</f>
        <v>342080</v>
      </c>
      <c r="D558" s="186" t="s">
        <v>112</v>
      </c>
      <c r="E558" s="176" t="str">
        <f>VLOOKUP($B558,'Выгр Торг'!$B:$Q,E$1,0)</f>
        <v>Руль анатомический "Ferrum" Vesta Sport для Лада Веста, XRAY (Тёмно-серая нить, Чёрный мат)</v>
      </c>
      <c r="F558" s="179" t="str">
        <f>VLOOKUP($B558,'Выгр Торг'!$B:$Q,F$1,0)</f>
        <v>Y</v>
      </c>
      <c r="G558" s="179" t="str">
        <f>VLOOKUP($B558,'Выгр Торг'!$B:$Q,G$1,0)</f>
        <v>1</v>
      </c>
      <c r="H558" s="179">
        <v>322928</v>
      </c>
      <c r="I558" s="156"/>
      <c r="J558" s="160">
        <v>830</v>
      </c>
      <c r="K558" s="161">
        <v>870</v>
      </c>
      <c r="L558" s="180">
        <f t="shared" si="397"/>
        <v>40900</v>
      </c>
      <c r="M558" s="180">
        <f t="shared" si="391"/>
        <v>41900</v>
      </c>
      <c r="N558" s="180">
        <f t="shared" si="392"/>
        <v>34900</v>
      </c>
      <c r="O558" s="107">
        <f t="shared" si="398"/>
        <v>1.0244498777506112</v>
      </c>
      <c r="P558" s="132">
        <f t="shared" si="374"/>
        <v>1.1499999999999999</v>
      </c>
      <c r="Q558" s="180">
        <f t="shared" si="394"/>
        <v>50575.268817204298</v>
      </c>
      <c r="R558" s="144">
        <f t="shared" si="399"/>
        <v>50590</v>
      </c>
      <c r="S558" s="179">
        <f>VLOOKUP($B558,'Выгр Торг'!$B:$Q,S$1,0)</f>
        <v>40900</v>
      </c>
      <c r="T558" s="179">
        <f>VLOOKUP($B558,'Выгр Торг'!$B:$Q,T$1,0)</f>
        <v>50590</v>
      </c>
      <c r="U558" s="94">
        <f t="shared" si="375"/>
        <v>0</v>
      </c>
      <c r="V558" s="94">
        <f t="shared" si="376"/>
        <v>0</v>
      </c>
      <c r="W558" s="182">
        <f t="shared" si="400"/>
        <v>47048.7</v>
      </c>
      <c r="X558" s="218">
        <f>IFERROR(VLOOKUP($B558,'Из ГУГЛа'!$B:$G,6,0)*Z558+Y558,VLOOKUP($B558,'Из ГУГЛа'!$B:$G,6,0))</f>
        <v>50790</v>
      </c>
      <c r="Y558" s="220">
        <f t="shared" si="396"/>
        <v>10800</v>
      </c>
      <c r="Z558" s="133">
        <v>1</v>
      </c>
      <c r="AA558" s="133">
        <v>1300</v>
      </c>
      <c r="AB558" s="184">
        <f t="shared" si="401"/>
        <v>0.15033496332518337</v>
      </c>
      <c r="AC558" s="184">
        <f t="shared" si="402"/>
        <v>7.366213821618435E-2</v>
      </c>
      <c r="AD558" s="184">
        <f t="shared" si="403"/>
        <v>0.2418092909535452</v>
      </c>
      <c r="AE558" s="223">
        <v>50790</v>
      </c>
      <c r="AF558" s="98" t="s">
        <v>616</v>
      </c>
      <c r="AH558" s="98" t="s">
        <v>112</v>
      </c>
    </row>
    <row r="559" spans="1:34" ht="31.5" thickTop="1" thickBot="1">
      <c r="A559" s="176" t="str">
        <f>INDEX('Выгр Торг'!$A:$A,MATCH($B559,'Выгр Торг'!$B:$B,0))</f>
        <v>Руль анатомический "Ferrum" Vesta Sport для Лада Веста, XRAY</v>
      </c>
      <c r="B559" s="178">
        <v>342072</v>
      </c>
      <c r="C559" s="179">
        <f>VLOOKUP($B559,'Выгр Торг'!$B:$Q,C$1,0)</f>
        <v>342072</v>
      </c>
      <c r="D559" s="186" t="s">
        <v>112</v>
      </c>
      <c r="E559" s="176" t="str">
        <f>VLOOKUP($B559,'Выгр Торг'!$B:$Q,E$1,0)</f>
        <v>Руль анатомический "Ferrum" Vesta Sport для Лада Веста, XRAY (Фиолетовая нить, Чёрный мат)</v>
      </c>
      <c r="F559" s="179" t="str">
        <f>VLOOKUP($B559,'Выгр Торг'!$B:$Q,F$1,0)</f>
        <v>Y</v>
      </c>
      <c r="G559" s="179" t="str">
        <f>VLOOKUP($B559,'Выгр Торг'!$B:$Q,G$1,0)</f>
        <v>1</v>
      </c>
      <c r="H559" s="179">
        <v>322928</v>
      </c>
      <c r="I559" s="156"/>
      <c r="J559" s="160">
        <v>830</v>
      </c>
      <c r="K559" s="161">
        <v>870</v>
      </c>
      <c r="L559" s="180">
        <f t="shared" si="397"/>
        <v>40900</v>
      </c>
      <c r="M559" s="180">
        <f t="shared" si="391"/>
        <v>41900</v>
      </c>
      <c r="N559" s="180">
        <f t="shared" si="392"/>
        <v>34900</v>
      </c>
      <c r="O559" s="107">
        <f t="shared" si="398"/>
        <v>1.0244498777506112</v>
      </c>
      <c r="P559" s="132">
        <f t="shared" si="374"/>
        <v>1.1499999999999999</v>
      </c>
      <c r="Q559" s="180">
        <f t="shared" si="394"/>
        <v>50575.268817204298</v>
      </c>
      <c r="R559" s="144">
        <f t="shared" si="399"/>
        <v>50590</v>
      </c>
      <c r="S559" s="179">
        <f>VLOOKUP($B559,'Выгр Торг'!$B:$Q,S$1,0)</f>
        <v>40900</v>
      </c>
      <c r="T559" s="179">
        <f>VLOOKUP($B559,'Выгр Торг'!$B:$Q,T$1,0)</f>
        <v>50590</v>
      </c>
      <c r="U559" s="94">
        <f t="shared" si="375"/>
        <v>0</v>
      </c>
      <c r="V559" s="94">
        <f t="shared" si="376"/>
        <v>0</v>
      </c>
      <c r="W559" s="182">
        <f t="shared" si="400"/>
        <v>47048.7</v>
      </c>
      <c r="X559" s="218">
        <f>IFERROR(VLOOKUP($B559,'Из ГУГЛа'!$B:$G,6,0)*Z559+Y559,VLOOKUP($B559,'Из ГУГЛа'!$B:$G,6,0))</f>
        <v>50790</v>
      </c>
      <c r="Y559" s="220">
        <f t="shared" si="396"/>
        <v>10800</v>
      </c>
      <c r="Z559" s="133">
        <v>1</v>
      </c>
      <c r="AA559" s="133">
        <v>1300</v>
      </c>
      <c r="AB559" s="184">
        <f t="shared" si="401"/>
        <v>0.15033496332518337</v>
      </c>
      <c r="AC559" s="184">
        <f t="shared" si="402"/>
        <v>7.366213821618435E-2</v>
      </c>
      <c r="AD559" s="184">
        <f t="shared" si="403"/>
        <v>0.2418092909535452</v>
      </c>
      <c r="AE559" s="223">
        <v>50790</v>
      </c>
      <c r="AF559" s="98" t="s">
        <v>616</v>
      </c>
      <c r="AH559" s="98" t="s">
        <v>112</v>
      </c>
    </row>
    <row r="560" spans="1:34" ht="31.5" thickTop="1" thickBot="1">
      <c r="A560" s="176" t="str">
        <f>INDEX('Выгр Торг'!$A:$A,MATCH($B560,'Выгр Торг'!$B:$B,0))</f>
        <v>Руль анатомический "Ferrum" Vesta Sport для Лада Веста, XRAY</v>
      </c>
      <c r="B560" s="178">
        <v>342071</v>
      </c>
      <c r="C560" s="179">
        <f>VLOOKUP($B560,'Выгр Торг'!$B:$Q,C$1,0)</f>
        <v>342071</v>
      </c>
      <c r="D560" s="186" t="s">
        <v>112</v>
      </c>
      <c r="E560" s="176" t="str">
        <f>VLOOKUP($B560,'Выгр Торг'!$B:$Q,E$1,0)</f>
        <v>Руль анатомический "Ferrum" Vesta Sport для Лада Веста, XRAY (Чёрная нить, Чёрный мат)</v>
      </c>
      <c r="F560" s="179" t="str">
        <f>VLOOKUP($B560,'Выгр Торг'!$B:$Q,F$1,0)</f>
        <v>Y</v>
      </c>
      <c r="G560" s="179" t="str">
        <f>VLOOKUP($B560,'Выгр Торг'!$B:$Q,G$1,0)</f>
        <v>1</v>
      </c>
      <c r="H560" s="179">
        <v>322928</v>
      </c>
      <c r="I560" s="156"/>
      <c r="J560" s="160">
        <v>830</v>
      </c>
      <c r="K560" s="161">
        <v>0</v>
      </c>
      <c r="L560" s="180">
        <f t="shared" si="397"/>
        <v>40030</v>
      </c>
      <c r="M560" s="180">
        <f t="shared" si="391"/>
        <v>41030</v>
      </c>
      <c r="N560" s="180">
        <f t="shared" si="392"/>
        <v>34030</v>
      </c>
      <c r="O560" s="107">
        <f t="shared" si="398"/>
        <v>1.0249812640519611</v>
      </c>
      <c r="P560" s="132">
        <f t="shared" si="374"/>
        <v>1.1499999999999999</v>
      </c>
      <c r="Q560" s="180">
        <f t="shared" si="394"/>
        <v>49499.462365591397</v>
      </c>
      <c r="R560" s="144">
        <f t="shared" si="399"/>
        <v>49490</v>
      </c>
      <c r="S560" s="179">
        <f>VLOOKUP($B560,'Выгр Торг'!$B:$Q,S$1,0)</f>
        <v>40030</v>
      </c>
      <c r="T560" s="179">
        <f>VLOOKUP($B560,'Выгр Торг'!$B:$Q,T$1,0)</f>
        <v>49490</v>
      </c>
      <c r="U560" s="94">
        <f t="shared" si="375"/>
        <v>0</v>
      </c>
      <c r="V560" s="94">
        <f t="shared" si="376"/>
        <v>0</v>
      </c>
      <c r="W560" s="182">
        <f t="shared" si="400"/>
        <v>46025.7</v>
      </c>
      <c r="X560" s="218">
        <f>IFERROR(VLOOKUP($B560,'Из ГУГЛа'!$B:$G,6,0)*Z560+Y560,VLOOKUP($B560,'Из ГУГЛа'!$B:$G,6,0))</f>
        <v>49920</v>
      </c>
      <c r="Y560" s="220">
        <f t="shared" si="396"/>
        <v>9930</v>
      </c>
      <c r="Z560" s="133">
        <v>1</v>
      </c>
      <c r="AA560" s="133">
        <v>1300</v>
      </c>
      <c r="AB560" s="184">
        <f t="shared" si="401"/>
        <v>0.1497801648763426</v>
      </c>
      <c r="AC560" s="184">
        <f t="shared" si="402"/>
        <v>7.8010817307692368E-2</v>
      </c>
      <c r="AD560" s="184">
        <f t="shared" si="403"/>
        <v>0.24706470147389448</v>
      </c>
      <c r="AE560" s="223">
        <v>49920</v>
      </c>
      <c r="AF560" s="98" t="s">
        <v>616</v>
      </c>
      <c r="AH560" s="98" t="s">
        <v>112</v>
      </c>
    </row>
    <row r="561" spans="1:34" ht="31.5" thickTop="1" thickBot="1">
      <c r="A561" s="176" t="str">
        <f>INDEX('Выгр Торг'!$A:$A,MATCH($B561,'Выгр Торг'!$B:$B,0))</f>
        <v>Руль анатомический "Ferrum" Vesta Sport для Лада Веста, XRAY</v>
      </c>
      <c r="B561" s="178">
        <v>322929</v>
      </c>
      <c r="C561" s="179">
        <f>VLOOKUP($B561,'Выгр Торг'!$B:$Q,C$1,0)</f>
        <v>322929</v>
      </c>
      <c r="D561" s="186" t="s">
        <v>112</v>
      </c>
      <c r="E561" s="176" t="str">
        <f>VLOOKUP($B561,'Выгр Торг'!$B:$Q,E$1,0)</f>
        <v>Руль анатомический "Ferrum Group" Vesta Cross для Лада Веста, XRAY (Белая нить, Чёрный глянец)</v>
      </c>
      <c r="F561" s="179" t="str">
        <f>VLOOKUP($B561,'Выгр Торг'!$B:$Q,F$1,0)</f>
        <v>Y</v>
      </c>
      <c r="G561" s="179" t="str">
        <f>VLOOKUP($B561,'Выгр Торг'!$B:$Q,G$1,0)</f>
        <v>1</v>
      </c>
      <c r="H561" s="179">
        <v>322928</v>
      </c>
      <c r="I561" s="156"/>
      <c r="J561" s="160"/>
      <c r="K561" s="161">
        <v>870</v>
      </c>
      <c r="L561" s="180">
        <f t="shared" si="397"/>
        <v>40070</v>
      </c>
      <c r="M561" s="180">
        <f t="shared" si="391"/>
        <v>41070</v>
      </c>
      <c r="N561" s="180">
        <f t="shared" si="392"/>
        <v>34070</v>
      </c>
      <c r="O561" s="107">
        <f t="shared" si="398"/>
        <v>1.0249563264287498</v>
      </c>
      <c r="P561" s="132">
        <f t="shared" si="374"/>
        <v>1.1499999999999999</v>
      </c>
      <c r="Q561" s="180">
        <f t="shared" si="394"/>
        <v>49548.924731182793</v>
      </c>
      <c r="R561" s="144">
        <f t="shared" si="399"/>
        <v>49590</v>
      </c>
      <c r="S561" s="179">
        <f>VLOOKUP($B561,'Выгр Торг'!$B:$Q,S$1,0)</f>
        <v>40070</v>
      </c>
      <c r="T561" s="179">
        <f>VLOOKUP($B561,'Выгр Торг'!$B:$Q,T$1,0)</f>
        <v>49590</v>
      </c>
      <c r="U561" s="94">
        <f t="shared" si="375"/>
        <v>0</v>
      </c>
      <c r="V561" s="94">
        <f t="shared" si="376"/>
        <v>0</v>
      </c>
      <c r="W561" s="182">
        <f t="shared" si="400"/>
        <v>46118.7</v>
      </c>
      <c r="X561" s="218">
        <f>IFERROR(VLOOKUP($B561,'Из ГУГЛа'!$B:$G,6,0)*Z561+Y561,VLOOKUP($B561,'Из ГУГЛа'!$B:$G,6,0))</f>
        <v>49960</v>
      </c>
      <c r="Y561" s="220">
        <f t="shared" si="396"/>
        <v>9970</v>
      </c>
      <c r="Z561" s="133">
        <v>1</v>
      </c>
      <c r="AA561" s="133"/>
      <c r="AB561" s="184">
        <f t="shared" si="401"/>
        <v>0.15095333166957814</v>
      </c>
      <c r="AC561" s="184">
        <f t="shared" si="402"/>
        <v>7.6887510008006463E-2</v>
      </c>
      <c r="AD561" s="184">
        <f t="shared" si="403"/>
        <v>0.24681806838033449</v>
      </c>
      <c r="AE561" s="223">
        <v>49960</v>
      </c>
      <c r="AF561" s="98" t="s">
        <v>616</v>
      </c>
      <c r="AH561" s="98" t="s">
        <v>112</v>
      </c>
    </row>
    <row r="562" spans="1:34" ht="31.5" thickTop="1" thickBot="1">
      <c r="A562" s="125" t="str">
        <f>INDEX('Выгр Торг'!$A:$A,MATCH($B562,'Выгр Торг'!$B:$B,0))</f>
        <v>Руль анатомический "Ferrum" Vesta Sport для Лада Веста, XRAY</v>
      </c>
      <c r="B562" s="126">
        <v>322940</v>
      </c>
      <c r="C562" s="127">
        <f>VLOOKUP($B562,'Выгр Торг'!$B:$Q,C$1,0)</f>
        <v>322940</v>
      </c>
      <c r="D562" s="44" t="s">
        <v>112</v>
      </c>
      <c r="E562" s="125" t="str">
        <f>VLOOKUP($B562,'Выгр Торг'!$B:$Q,E$1,0)</f>
        <v>Руль анатомический "Ferrum Group" Vesta Cross для Лада Веста, XRAY (Жёлтая нить, Чёрный глянец)</v>
      </c>
      <c r="F562" s="127" t="str">
        <f>VLOOKUP($B562,'Выгр Торг'!$B:$Q,F$1,0)</f>
        <v>Y</v>
      </c>
      <c r="G562" s="127" t="str">
        <f>VLOOKUP($B562,'Выгр Торг'!$B:$Q,G$1,0)</f>
        <v>1</v>
      </c>
      <c r="H562" s="127">
        <v>322928</v>
      </c>
      <c r="I562" s="156"/>
      <c r="J562" s="160"/>
      <c r="K562" s="161">
        <v>870</v>
      </c>
      <c r="L562" s="130">
        <f t="shared" si="357"/>
        <v>40070</v>
      </c>
      <c r="M562" s="130">
        <f t="shared" si="391"/>
        <v>41070</v>
      </c>
      <c r="N562" s="130">
        <f t="shared" si="392"/>
        <v>34070</v>
      </c>
      <c r="O562" s="132">
        <f t="shared" si="393"/>
        <v>1.0249563264287498</v>
      </c>
      <c r="P562" s="132">
        <f t="shared" si="374"/>
        <v>1.1499999999999999</v>
      </c>
      <c r="Q562" s="130">
        <f t="shared" si="394"/>
        <v>49548.924731182793</v>
      </c>
      <c r="R562" s="148">
        <f t="shared" si="395"/>
        <v>49590</v>
      </c>
      <c r="S562" s="127">
        <f>VLOOKUP($B562,'Выгр Торг'!$B:$Q,S$1,0)</f>
        <v>40070</v>
      </c>
      <c r="T562" s="127">
        <f>VLOOKUP($B562,'Выгр Торг'!$B:$Q,T$1,0)</f>
        <v>49590</v>
      </c>
      <c r="U562" s="94">
        <f t="shared" si="375"/>
        <v>0</v>
      </c>
      <c r="V562" s="94">
        <f t="shared" si="376"/>
        <v>0</v>
      </c>
      <c r="W562" s="153">
        <f t="shared" si="358"/>
        <v>46118.7</v>
      </c>
      <c r="X562" s="209">
        <f>IFERROR(VLOOKUP($B562,'Из ГУГЛа'!$B:$G,6,0)*Z562+Y562,VLOOKUP($B562,'Из ГУГЛа'!$B:$G,6,0))</f>
        <v>49960</v>
      </c>
      <c r="Y562" s="220">
        <f t="shared" si="396"/>
        <v>9970</v>
      </c>
      <c r="Z562" s="133">
        <v>1</v>
      </c>
      <c r="AA562" s="134"/>
      <c r="AB562" s="135">
        <f t="shared" si="359"/>
        <v>0.15095333166957814</v>
      </c>
      <c r="AC562" s="135">
        <f t="shared" si="360"/>
        <v>7.6887510008006463E-2</v>
      </c>
      <c r="AD562" s="135">
        <f t="shared" si="361"/>
        <v>0.24681806838033449</v>
      </c>
      <c r="AE562" s="223">
        <v>49960</v>
      </c>
      <c r="AF562" s="98" t="s">
        <v>616</v>
      </c>
      <c r="AH562" s="98" t="s">
        <v>112</v>
      </c>
    </row>
    <row r="563" spans="1:34" ht="31.5" thickTop="1" thickBot="1">
      <c r="A563" s="125" t="str">
        <f>INDEX('Выгр Торг'!$A:$A,MATCH($B563,'Выгр Торг'!$B:$B,0))</f>
        <v>Руль анатомический "Ferrum" Vesta Sport для Лада Веста, XRAY</v>
      </c>
      <c r="B563" s="126">
        <v>322939</v>
      </c>
      <c r="C563" s="127">
        <f>VLOOKUP($B563,'Выгр Торг'!$B:$Q,C$1,0)</f>
        <v>322939</v>
      </c>
      <c r="D563" s="44" t="s">
        <v>112</v>
      </c>
      <c r="E563" s="125" t="str">
        <f>VLOOKUP($B563,'Выгр Торг'!$B:$Q,E$1,0)</f>
        <v>Руль анатомический "Ferrum Group" Vesta Cross для Лада Веста, XRAY (Зелёная нить, Чёрный глянец)</v>
      </c>
      <c r="F563" s="127" t="str">
        <f>VLOOKUP($B563,'Выгр Торг'!$B:$Q,F$1,0)</f>
        <v>Y</v>
      </c>
      <c r="G563" s="127" t="str">
        <f>VLOOKUP($B563,'Выгр Торг'!$B:$Q,G$1,0)</f>
        <v>1</v>
      </c>
      <c r="H563" s="127">
        <v>322928</v>
      </c>
      <c r="I563" s="156"/>
      <c r="J563" s="160"/>
      <c r="K563" s="161">
        <v>870</v>
      </c>
      <c r="L563" s="130">
        <f t="shared" si="357"/>
        <v>40070</v>
      </c>
      <c r="M563" s="130">
        <f t="shared" si="391"/>
        <v>41070</v>
      </c>
      <c r="N563" s="130">
        <f t="shared" si="392"/>
        <v>34070</v>
      </c>
      <c r="O563" s="132">
        <f t="shared" si="393"/>
        <v>1.0249563264287498</v>
      </c>
      <c r="P563" s="132">
        <f t="shared" si="374"/>
        <v>1.1499999999999999</v>
      </c>
      <c r="Q563" s="130">
        <f t="shared" si="394"/>
        <v>49548.924731182793</v>
      </c>
      <c r="R563" s="148">
        <f t="shared" si="395"/>
        <v>49590</v>
      </c>
      <c r="S563" s="127">
        <f>VLOOKUP($B563,'Выгр Торг'!$B:$Q,S$1,0)</f>
        <v>40070</v>
      </c>
      <c r="T563" s="127">
        <f>VLOOKUP($B563,'Выгр Торг'!$B:$Q,T$1,0)</f>
        <v>49590</v>
      </c>
      <c r="U563" s="94">
        <f t="shared" si="375"/>
        <v>0</v>
      </c>
      <c r="V563" s="94">
        <f t="shared" si="376"/>
        <v>0</v>
      </c>
      <c r="W563" s="153">
        <f t="shared" si="358"/>
        <v>46118.7</v>
      </c>
      <c r="X563" s="209">
        <f>IFERROR(VLOOKUP($B563,'Из ГУГЛа'!$B:$G,6,0)*Z563+Y563,VLOOKUP($B563,'Из ГУГЛа'!$B:$G,6,0))</f>
        <v>49960</v>
      </c>
      <c r="Y563" s="220">
        <f t="shared" si="396"/>
        <v>9970</v>
      </c>
      <c r="Z563" s="133">
        <v>1</v>
      </c>
      <c r="AA563" s="134"/>
      <c r="AB563" s="135">
        <f t="shared" si="359"/>
        <v>0.15095333166957814</v>
      </c>
      <c r="AC563" s="135">
        <f t="shared" si="360"/>
        <v>7.6887510008006463E-2</v>
      </c>
      <c r="AD563" s="135">
        <f t="shared" si="361"/>
        <v>0.24681806838033449</v>
      </c>
      <c r="AE563" s="223">
        <v>49960</v>
      </c>
      <c r="AF563" s="98" t="s">
        <v>616</v>
      </c>
      <c r="AH563" s="98" t="s">
        <v>112</v>
      </c>
    </row>
    <row r="564" spans="1:34" ht="31.5" thickTop="1" thickBot="1">
      <c r="A564" s="125" t="str">
        <f>INDEX('Выгр Торг'!$A:$A,MATCH($B564,'Выгр Торг'!$B:$B,0))</f>
        <v>Руль анатомический "Ferrum" Vesta Sport для Лада Веста, XRAY</v>
      </c>
      <c r="B564" s="126">
        <v>322931</v>
      </c>
      <c r="C564" s="127">
        <f>VLOOKUP($B564,'Выгр Торг'!$B:$Q,C$1,0)</f>
        <v>322931</v>
      </c>
      <c r="D564" s="44" t="s">
        <v>112</v>
      </c>
      <c r="E564" s="125" t="str">
        <f>VLOOKUP($B564,'Выгр Торг'!$B:$Q,E$1,0)</f>
        <v>Руль анатомический "Ferrum Group" Vesta Cross для Лада Веста, XRAY (Коричневая нить, Чёрный глянец)</v>
      </c>
      <c r="F564" s="127" t="str">
        <f>VLOOKUP($B564,'Выгр Торг'!$B:$Q,F$1,0)</f>
        <v>Y</v>
      </c>
      <c r="G564" s="127" t="str">
        <f>VLOOKUP($B564,'Выгр Торг'!$B:$Q,G$1,0)</f>
        <v>1</v>
      </c>
      <c r="H564" s="127">
        <v>322928</v>
      </c>
      <c r="I564" s="156"/>
      <c r="J564" s="160"/>
      <c r="K564" s="161">
        <v>870</v>
      </c>
      <c r="L564" s="130">
        <f t="shared" si="357"/>
        <v>40070</v>
      </c>
      <c r="M564" s="130">
        <f t="shared" si="391"/>
        <v>41070</v>
      </c>
      <c r="N564" s="130">
        <f t="shared" si="392"/>
        <v>34070</v>
      </c>
      <c r="O564" s="132">
        <f t="shared" si="393"/>
        <v>1.0249563264287498</v>
      </c>
      <c r="P564" s="132">
        <f t="shared" si="374"/>
        <v>1.1499999999999999</v>
      </c>
      <c r="Q564" s="130">
        <f t="shared" si="394"/>
        <v>49548.924731182793</v>
      </c>
      <c r="R564" s="148">
        <f t="shared" si="395"/>
        <v>49590</v>
      </c>
      <c r="S564" s="127">
        <f>VLOOKUP($B564,'Выгр Торг'!$B:$Q,S$1,0)</f>
        <v>40070</v>
      </c>
      <c r="T564" s="127">
        <f>VLOOKUP($B564,'Выгр Торг'!$B:$Q,T$1,0)</f>
        <v>49590</v>
      </c>
      <c r="U564" s="94">
        <f t="shared" si="375"/>
        <v>0</v>
      </c>
      <c r="V564" s="94">
        <f t="shared" si="376"/>
        <v>0</v>
      </c>
      <c r="W564" s="153">
        <f t="shared" si="358"/>
        <v>46118.7</v>
      </c>
      <c r="X564" s="209">
        <f>IFERROR(VLOOKUP($B564,'Из ГУГЛа'!$B:$G,6,0)*Z564+Y564,VLOOKUP($B564,'Из ГУГЛа'!$B:$G,6,0))</f>
        <v>49960</v>
      </c>
      <c r="Y564" s="220">
        <f t="shared" si="396"/>
        <v>9970</v>
      </c>
      <c r="Z564" s="133">
        <v>1</v>
      </c>
      <c r="AA564" s="134"/>
      <c r="AB564" s="135">
        <f t="shared" si="359"/>
        <v>0.15095333166957814</v>
      </c>
      <c r="AC564" s="135">
        <f t="shared" si="360"/>
        <v>7.6887510008006463E-2</v>
      </c>
      <c r="AD564" s="135">
        <f t="shared" si="361"/>
        <v>0.24681806838033449</v>
      </c>
      <c r="AE564" s="223">
        <v>49960</v>
      </c>
      <c r="AF564" s="98" t="s">
        <v>616</v>
      </c>
      <c r="AH564" s="98" t="s">
        <v>112</v>
      </c>
    </row>
    <row r="565" spans="1:34" ht="31.5" thickTop="1" thickBot="1">
      <c r="A565" s="125" t="str">
        <f>INDEX('Выгр Торг'!$A:$A,MATCH($B565,'Выгр Торг'!$B:$B,0))</f>
        <v>Руль анатомический "Ferrum" Vesta Sport для Лада Веста, XRAY</v>
      </c>
      <c r="B565" s="126">
        <v>322932</v>
      </c>
      <c r="C565" s="127">
        <f>VLOOKUP($B565,'Выгр Торг'!$B:$Q,C$1,0)</f>
        <v>322932</v>
      </c>
      <c r="D565" s="44" t="s">
        <v>112</v>
      </c>
      <c r="E565" s="125" t="str">
        <f>VLOOKUP($B565,'Выгр Торг'!$B:$Q,E$1,0)</f>
        <v>Руль анатомический "Ferrum Group" Vesta Cross для Лада Веста, XRAY (Красная нить, Чёрный глянец)</v>
      </c>
      <c r="F565" s="127" t="str">
        <f>VLOOKUP($B565,'Выгр Торг'!$B:$Q,F$1,0)</f>
        <v>Y</v>
      </c>
      <c r="G565" s="127" t="str">
        <f>VLOOKUP($B565,'Выгр Торг'!$B:$Q,G$1,0)</f>
        <v>1</v>
      </c>
      <c r="H565" s="127">
        <v>322928</v>
      </c>
      <c r="I565" s="156"/>
      <c r="J565" s="160"/>
      <c r="K565" s="161">
        <v>870</v>
      </c>
      <c r="L565" s="130">
        <f t="shared" si="357"/>
        <v>40070</v>
      </c>
      <c r="M565" s="130">
        <f t="shared" si="391"/>
        <v>41070</v>
      </c>
      <c r="N565" s="130">
        <f t="shared" si="392"/>
        <v>34070</v>
      </c>
      <c r="O565" s="132">
        <f t="shared" si="393"/>
        <v>1.0249563264287498</v>
      </c>
      <c r="P565" s="132">
        <f t="shared" si="374"/>
        <v>1.1499999999999999</v>
      </c>
      <c r="Q565" s="130">
        <f t="shared" si="394"/>
        <v>49548.924731182793</v>
      </c>
      <c r="R565" s="148">
        <f t="shared" si="395"/>
        <v>49590</v>
      </c>
      <c r="S565" s="127">
        <f>VLOOKUP($B565,'Выгр Торг'!$B:$Q,S$1,0)</f>
        <v>40070</v>
      </c>
      <c r="T565" s="127">
        <f>VLOOKUP($B565,'Выгр Торг'!$B:$Q,T$1,0)</f>
        <v>49590</v>
      </c>
      <c r="U565" s="94">
        <f t="shared" si="375"/>
        <v>0</v>
      </c>
      <c r="V565" s="94">
        <f t="shared" si="376"/>
        <v>0</v>
      </c>
      <c r="W565" s="153">
        <f t="shared" si="358"/>
        <v>46118.7</v>
      </c>
      <c r="X565" s="209">
        <f>IFERROR(VLOOKUP($B565,'Из ГУГЛа'!$B:$G,6,0)*Z565+Y565,VLOOKUP($B565,'Из ГУГЛа'!$B:$G,6,0))</f>
        <v>49960</v>
      </c>
      <c r="Y565" s="220">
        <f t="shared" si="396"/>
        <v>9970</v>
      </c>
      <c r="Z565" s="133">
        <v>1</v>
      </c>
      <c r="AA565" s="134"/>
      <c r="AB565" s="135">
        <f t="shared" si="359"/>
        <v>0.15095333166957814</v>
      </c>
      <c r="AC565" s="135">
        <f t="shared" si="360"/>
        <v>7.6887510008006463E-2</v>
      </c>
      <c r="AD565" s="135">
        <f t="shared" si="361"/>
        <v>0.24681806838033449</v>
      </c>
      <c r="AE565" s="223">
        <v>49960</v>
      </c>
      <c r="AF565" s="98" t="s">
        <v>616</v>
      </c>
      <c r="AH565" s="98" t="s">
        <v>112</v>
      </c>
    </row>
    <row r="566" spans="1:34" ht="31.5" thickTop="1" thickBot="1">
      <c r="A566" s="125" t="str">
        <f>INDEX('Выгр Торг'!$A:$A,MATCH($B566,'Выгр Торг'!$B:$B,0))</f>
        <v>Руль анатомический "Ferrum" Vesta Sport для Лада Веста, XRAY</v>
      </c>
      <c r="B566" s="126">
        <v>322933</v>
      </c>
      <c r="C566" s="127">
        <f>VLOOKUP($B566,'Выгр Торг'!$B:$Q,C$1,0)</f>
        <v>322933</v>
      </c>
      <c r="D566" s="44" t="s">
        <v>112</v>
      </c>
      <c r="E566" s="125" t="str">
        <f>VLOOKUP($B566,'Выгр Торг'!$B:$Q,E$1,0)</f>
        <v>Руль анатомический "Ferrum Group" Vesta Cross для Лада Веста, XRAY (Оранжевая нить, Чёрный глянец)</v>
      </c>
      <c r="F566" s="127" t="str">
        <f>VLOOKUP($B566,'Выгр Торг'!$B:$Q,F$1,0)</f>
        <v>Y</v>
      </c>
      <c r="G566" s="127" t="str">
        <f>VLOOKUP($B566,'Выгр Торг'!$B:$Q,G$1,0)</f>
        <v>1</v>
      </c>
      <c r="H566" s="127">
        <v>322928</v>
      </c>
      <c r="I566" s="156"/>
      <c r="J566" s="160"/>
      <c r="K566" s="161">
        <v>870</v>
      </c>
      <c r="L566" s="130">
        <f t="shared" si="357"/>
        <v>40070</v>
      </c>
      <c r="M566" s="130">
        <f t="shared" si="391"/>
        <v>41070</v>
      </c>
      <c r="N566" s="130">
        <f t="shared" si="392"/>
        <v>34070</v>
      </c>
      <c r="O566" s="132">
        <f t="shared" si="393"/>
        <v>1.0249563264287498</v>
      </c>
      <c r="P566" s="132">
        <f t="shared" si="374"/>
        <v>1.1499999999999999</v>
      </c>
      <c r="Q566" s="130">
        <f t="shared" si="394"/>
        <v>49548.924731182793</v>
      </c>
      <c r="R566" s="148">
        <f t="shared" si="395"/>
        <v>49590</v>
      </c>
      <c r="S566" s="127">
        <f>VLOOKUP($B566,'Выгр Торг'!$B:$Q,S$1,0)</f>
        <v>40070</v>
      </c>
      <c r="T566" s="127">
        <f>VLOOKUP($B566,'Выгр Торг'!$B:$Q,T$1,0)</f>
        <v>49590</v>
      </c>
      <c r="U566" s="94">
        <f t="shared" si="375"/>
        <v>0</v>
      </c>
      <c r="V566" s="94">
        <f t="shared" si="376"/>
        <v>0</v>
      </c>
      <c r="W566" s="153">
        <f t="shared" si="358"/>
        <v>46118.7</v>
      </c>
      <c r="X566" s="209">
        <f>IFERROR(VLOOKUP($B566,'Из ГУГЛа'!$B:$G,6,0)*Z566+Y566,VLOOKUP($B566,'Из ГУГЛа'!$B:$G,6,0))</f>
        <v>49960</v>
      </c>
      <c r="Y566" s="220">
        <f t="shared" si="396"/>
        <v>9970</v>
      </c>
      <c r="Z566" s="133">
        <v>1</v>
      </c>
      <c r="AA566" s="134"/>
      <c r="AB566" s="135">
        <f t="shared" si="359"/>
        <v>0.15095333166957814</v>
      </c>
      <c r="AC566" s="135">
        <f t="shared" si="360"/>
        <v>7.6887510008006463E-2</v>
      </c>
      <c r="AD566" s="135">
        <f t="shared" si="361"/>
        <v>0.24681806838033449</v>
      </c>
      <c r="AE566" s="223">
        <v>49960</v>
      </c>
      <c r="AF566" s="98" t="s">
        <v>616</v>
      </c>
      <c r="AH566" s="98" t="s">
        <v>112</v>
      </c>
    </row>
    <row r="567" spans="1:34" ht="31.5" thickTop="1" thickBot="1">
      <c r="A567" s="125" t="str">
        <f>INDEX('Выгр Торг'!$A:$A,MATCH($B567,'Выгр Торг'!$B:$B,0))</f>
        <v>Руль анатомический "Ferrum" Vesta Sport для Лада Веста, XRAY</v>
      </c>
      <c r="B567" s="126">
        <v>322934</v>
      </c>
      <c r="C567" s="127">
        <f>VLOOKUP($B567,'Выгр Торг'!$B:$Q,C$1,0)</f>
        <v>322934</v>
      </c>
      <c r="D567" s="44" t="s">
        <v>112</v>
      </c>
      <c r="E567" s="125" t="str">
        <f>VLOOKUP($B567,'Выгр Торг'!$B:$Q,E$1,0)</f>
        <v>Руль анатомический "Ferrum Group" Vesta Cross для Лада Веста, XRAY (Салатовая нить, Чёрный глянец)</v>
      </c>
      <c r="F567" s="127" t="str">
        <f>VLOOKUP($B567,'Выгр Торг'!$B:$Q,F$1,0)</f>
        <v>Y</v>
      </c>
      <c r="G567" s="127" t="str">
        <f>VLOOKUP($B567,'Выгр Торг'!$B:$Q,G$1,0)</f>
        <v>1</v>
      </c>
      <c r="H567" s="127">
        <v>322928</v>
      </c>
      <c r="I567" s="156"/>
      <c r="J567" s="160"/>
      <c r="K567" s="161">
        <v>870</v>
      </c>
      <c r="L567" s="130">
        <f t="shared" si="357"/>
        <v>40070</v>
      </c>
      <c r="M567" s="130">
        <f t="shared" si="391"/>
        <v>41070</v>
      </c>
      <c r="N567" s="130">
        <f t="shared" si="392"/>
        <v>34070</v>
      </c>
      <c r="O567" s="132">
        <f t="shared" si="393"/>
        <v>1.0249563264287498</v>
      </c>
      <c r="P567" s="132">
        <f t="shared" si="374"/>
        <v>1.1499999999999999</v>
      </c>
      <c r="Q567" s="130">
        <f t="shared" si="394"/>
        <v>49548.924731182793</v>
      </c>
      <c r="R567" s="148">
        <f t="shared" si="395"/>
        <v>49590</v>
      </c>
      <c r="S567" s="127">
        <f>VLOOKUP($B567,'Выгр Торг'!$B:$Q,S$1,0)</f>
        <v>40070</v>
      </c>
      <c r="T567" s="127">
        <f>VLOOKUP($B567,'Выгр Торг'!$B:$Q,T$1,0)</f>
        <v>49590</v>
      </c>
      <c r="U567" s="94">
        <f t="shared" si="375"/>
        <v>0</v>
      </c>
      <c r="V567" s="94">
        <f t="shared" si="376"/>
        <v>0</v>
      </c>
      <c r="W567" s="153">
        <f t="shared" si="358"/>
        <v>46118.7</v>
      </c>
      <c r="X567" s="209">
        <f>IFERROR(VLOOKUP($B567,'Из ГУГЛа'!$B:$G,6,0)*Z567+Y567,VLOOKUP($B567,'Из ГУГЛа'!$B:$G,6,0))</f>
        <v>49960</v>
      </c>
      <c r="Y567" s="220">
        <f t="shared" si="396"/>
        <v>9970</v>
      </c>
      <c r="Z567" s="133">
        <v>1</v>
      </c>
      <c r="AA567" s="134"/>
      <c r="AB567" s="135">
        <f t="shared" si="359"/>
        <v>0.15095333166957814</v>
      </c>
      <c r="AC567" s="135">
        <f t="shared" si="360"/>
        <v>7.6887510008006463E-2</v>
      </c>
      <c r="AD567" s="135">
        <f t="shared" si="361"/>
        <v>0.24681806838033449</v>
      </c>
      <c r="AE567" s="223">
        <v>49960</v>
      </c>
      <c r="AF567" s="98" t="s">
        <v>616</v>
      </c>
      <c r="AH567" s="98" t="s">
        <v>112</v>
      </c>
    </row>
    <row r="568" spans="1:34" ht="31.5" thickTop="1" thickBot="1">
      <c r="A568" s="125" t="str">
        <f>INDEX('Выгр Торг'!$A:$A,MATCH($B568,'Выгр Торг'!$B:$B,0))</f>
        <v>Руль анатомический "Ferrum" Vesta Sport для Лада Веста, XRAY</v>
      </c>
      <c r="B568" s="126">
        <v>322937</v>
      </c>
      <c r="C568" s="127">
        <f>VLOOKUP($B568,'Выгр Торг'!$B:$Q,C$1,0)</f>
        <v>322937</v>
      </c>
      <c r="D568" s="44" t="s">
        <v>112</v>
      </c>
      <c r="E568" s="125" t="str">
        <f>VLOOKUP($B568,'Выгр Торг'!$B:$Q,E$1,0)</f>
        <v>Руль анатомический "Ferrum Group" Vesta Cross для Лада Веста, XRAY (Светло-серая нить, Чёрный глянец)</v>
      </c>
      <c r="F568" s="127" t="str">
        <f>VLOOKUP($B568,'Выгр Торг'!$B:$Q,F$1,0)</f>
        <v>Y</v>
      </c>
      <c r="G568" s="127" t="str">
        <f>VLOOKUP($B568,'Выгр Торг'!$B:$Q,G$1,0)</f>
        <v>1</v>
      </c>
      <c r="H568" s="127">
        <v>322928</v>
      </c>
      <c r="I568" s="156"/>
      <c r="J568" s="160"/>
      <c r="K568" s="161">
        <v>870</v>
      </c>
      <c r="L568" s="130">
        <f t="shared" si="357"/>
        <v>40070</v>
      </c>
      <c r="M568" s="130">
        <f t="shared" si="391"/>
        <v>41070</v>
      </c>
      <c r="N568" s="130">
        <f t="shared" si="392"/>
        <v>34070</v>
      </c>
      <c r="O568" s="132">
        <f t="shared" si="393"/>
        <v>1.0249563264287498</v>
      </c>
      <c r="P568" s="132">
        <f t="shared" si="374"/>
        <v>1.1499999999999999</v>
      </c>
      <c r="Q568" s="130">
        <f t="shared" si="394"/>
        <v>49548.924731182793</v>
      </c>
      <c r="R568" s="148">
        <f t="shared" si="395"/>
        <v>49590</v>
      </c>
      <c r="S568" s="127">
        <f>VLOOKUP($B568,'Выгр Торг'!$B:$Q,S$1,0)</f>
        <v>40070</v>
      </c>
      <c r="T568" s="127">
        <f>VLOOKUP($B568,'Выгр Торг'!$B:$Q,T$1,0)</f>
        <v>49590</v>
      </c>
      <c r="U568" s="94">
        <f t="shared" si="375"/>
        <v>0</v>
      </c>
      <c r="V568" s="94">
        <f t="shared" si="376"/>
        <v>0</v>
      </c>
      <c r="W568" s="153">
        <f t="shared" si="358"/>
        <v>46118.7</v>
      </c>
      <c r="X568" s="209">
        <f>IFERROR(VLOOKUP($B568,'Из ГУГЛа'!$B:$G,6,0)*Z568+Y568,VLOOKUP($B568,'Из ГУГЛа'!$B:$G,6,0))</f>
        <v>49960</v>
      </c>
      <c r="Y568" s="220">
        <f t="shared" si="396"/>
        <v>9970</v>
      </c>
      <c r="Z568" s="133">
        <v>1</v>
      </c>
      <c r="AA568" s="134"/>
      <c r="AB568" s="135">
        <f t="shared" si="359"/>
        <v>0.15095333166957814</v>
      </c>
      <c r="AC568" s="135">
        <f t="shared" si="360"/>
        <v>7.6887510008006463E-2</v>
      </c>
      <c r="AD568" s="135">
        <f t="shared" si="361"/>
        <v>0.24681806838033449</v>
      </c>
      <c r="AE568" s="223">
        <v>49960</v>
      </c>
      <c r="AF568" s="98" t="s">
        <v>616</v>
      </c>
      <c r="AH568" s="98" t="s">
        <v>112</v>
      </c>
    </row>
    <row r="569" spans="1:34" ht="31.5" thickTop="1" thickBot="1">
      <c r="A569" s="125" t="str">
        <f>INDEX('Выгр Торг'!$A:$A,MATCH($B569,'Выгр Торг'!$B:$B,0))</f>
        <v>Руль анатомический "Ferrum" Vesta Sport для Лада Веста, XRAY</v>
      </c>
      <c r="B569" s="126">
        <v>322935</v>
      </c>
      <c r="C569" s="127">
        <f>VLOOKUP($B569,'Выгр Торг'!$B:$Q,C$1,0)</f>
        <v>322935</v>
      </c>
      <c r="D569" s="44" t="s">
        <v>112</v>
      </c>
      <c r="E569" s="125" t="str">
        <f>VLOOKUP($B569,'Выгр Торг'!$B:$Q,E$1,0)</f>
        <v>Руль анатомический "Ferrum Group" Vesta Cross для Лада Веста, XRAY (Сине-зелёная нить, Чёрный глянец)</v>
      </c>
      <c r="F569" s="127" t="str">
        <f>VLOOKUP($B569,'Выгр Торг'!$B:$Q,F$1,0)</f>
        <v>Y</v>
      </c>
      <c r="G569" s="127" t="str">
        <f>VLOOKUP($B569,'Выгр Торг'!$B:$Q,G$1,0)</f>
        <v>1</v>
      </c>
      <c r="H569" s="127">
        <v>322928</v>
      </c>
      <c r="I569" s="156"/>
      <c r="J569" s="160"/>
      <c r="K569" s="161">
        <v>870</v>
      </c>
      <c r="L569" s="130">
        <f t="shared" si="357"/>
        <v>40070</v>
      </c>
      <c r="M569" s="130">
        <f t="shared" si="391"/>
        <v>41070</v>
      </c>
      <c r="N569" s="130">
        <f t="shared" si="392"/>
        <v>34070</v>
      </c>
      <c r="O569" s="132">
        <f t="shared" si="393"/>
        <v>1.0249563264287498</v>
      </c>
      <c r="P569" s="132">
        <f t="shared" si="374"/>
        <v>1.1499999999999999</v>
      </c>
      <c r="Q569" s="130">
        <f t="shared" si="394"/>
        <v>49548.924731182793</v>
      </c>
      <c r="R569" s="148">
        <f t="shared" si="395"/>
        <v>49590</v>
      </c>
      <c r="S569" s="127">
        <f>VLOOKUP($B569,'Выгр Торг'!$B:$Q,S$1,0)</f>
        <v>40070</v>
      </c>
      <c r="T569" s="127">
        <f>VLOOKUP($B569,'Выгр Торг'!$B:$Q,T$1,0)</f>
        <v>49590</v>
      </c>
      <c r="U569" s="94">
        <f t="shared" si="375"/>
        <v>0</v>
      </c>
      <c r="V569" s="94">
        <f t="shared" si="376"/>
        <v>0</v>
      </c>
      <c r="W569" s="153">
        <f t="shared" si="358"/>
        <v>46118.7</v>
      </c>
      <c r="X569" s="209">
        <f>IFERROR(VLOOKUP($B569,'Из ГУГЛа'!$B:$G,6,0)*Z569+Y569,VLOOKUP($B569,'Из ГУГЛа'!$B:$G,6,0))</f>
        <v>49960</v>
      </c>
      <c r="Y569" s="220">
        <f t="shared" si="396"/>
        <v>9970</v>
      </c>
      <c r="Z569" s="133">
        <v>1</v>
      </c>
      <c r="AA569" s="134"/>
      <c r="AB569" s="135">
        <f t="shared" si="359"/>
        <v>0.15095333166957814</v>
      </c>
      <c r="AC569" s="135">
        <f t="shared" si="360"/>
        <v>7.6887510008006463E-2</v>
      </c>
      <c r="AD569" s="135">
        <f t="shared" si="361"/>
        <v>0.24681806838033449</v>
      </c>
      <c r="AE569" s="223">
        <v>49960</v>
      </c>
      <c r="AF569" s="98" t="s">
        <v>616</v>
      </c>
      <c r="AH569" s="98" t="s">
        <v>112</v>
      </c>
    </row>
    <row r="570" spans="1:34" ht="31.5" thickTop="1" thickBot="1">
      <c r="A570" s="125" t="str">
        <f>INDEX('Выгр Торг'!$A:$A,MATCH($B570,'Выгр Торг'!$B:$B,0))</f>
        <v>Руль анатомический "Ferrum" Vesta Sport для Лада Веста, XRAY</v>
      </c>
      <c r="B570" s="126">
        <v>322936</v>
      </c>
      <c r="C570" s="127">
        <f>VLOOKUP($B570,'Выгр Торг'!$B:$Q,C$1,0)</f>
        <v>322936</v>
      </c>
      <c r="D570" s="44" t="s">
        <v>112</v>
      </c>
      <c r="E570" s="125" t="str">
        <f>VLOOKUP($B570,'Выгр Торг'!$B:$Q,E$1,0)</f>
        <v>Руль анатомический "Ferrum Group" Vesta Cross для Лада Веста, XRAY (Синяя нить, Чёрный глянец)</v>
      </c>
      <c r="F570" s="127" t="str">
        <f>VLOOKUP($B570,'Выгр Торг'!$B:$Q,F$1,0)</f>
        <v>Y</v>
      </c>
      <c r="G570" s="127" t="str">
        <f>VLOOKUP($B570,'Выгр Торг'!$B:$Q,G$1,0)</f>
        <v>1</v>
      </c>
      <c r="H570" s="127">
        <v>322928</v>
      </c>
      <c r="I570" s="156"/>
      <c r="J570" s="160"/>
      <c r="K570" s="161">
        <v>870</v>
      </c>
      <c r="L570" s="130">
        <f t="shared" si="357"/>
        <v>40070</v>
      </c>
      <c r="M570" s="130">
        <f t="shared" si="391"/>
        <v>41070</v>
      </c>
      <c r="N570" s="130">
        <f t="shared" si="392"/>
        <v>34070</v>
      </c>
      <c r="O570" s="132">
        <f t="shared" si="393"/>
        <v>1.0249563264287498</v>
      </c>
      <c r="P570" s="132">
        <f t="shared" si="374"/>
        <v>1.1499999999999999</v>
      </c>
      <c r="Q570" s="130">
        <f t="shared" si="394"/>
        <v>49548.924731182793</v>
      </c>
      <c r="R570" s="148">
        <f t="shared" si="395"/>
        <v>49590</v>
      </c>
      <c r="S570" s="127">
        <f>VLOOKUP($B570,'Выгр Торг'!$B:$Q,S$1,0)</f>
        <v>40070</v>
      </c>
      <c r="T570" s="127">
        <f>VLOOKUP($B570,'Выгр Торг'!$B:$Q,T$1,0)</f>
        <v>49590</v>
      </c>
      <c r="U570" s="94">
        <f t="shared" si="375"/>
        <v>0</v>
      </c>
      <c r="V570" s="94">
        <f t="shared" si="376"/>
        <v>0</v>
      </c>
      <c r="W570" s="153">
        <f t="shared" si="358"/>
        <v>46118.7</v>
      </c>
      <c r="X570" s="209">
        <f>IFERROR(VLOOKUP($B570,'Из ГУГЛа'!$B:$G,6,0)*Z570+Y570,VLOOKUP($B570,'Из ГУГЛа'!$B:$G,6,0))</f>
        <v>49960</v>
      </c>
      <c r="Y570" s="220">
        <f t="shared" si="396"/>
        <v>9970</v>
      </c>
      <c r="Z570" s="133">
        <v>1</v>
      </c>
      <c r="AA570" s="134"/>
      <c r="AB570" s="135">
        <f t="shared" si="359"/>
        <v>0.15095333166957814</v>
      </c>
      <c r="AC570" s="135">
        <f t="shared" si="360"/>
        <v>7.6887510008006463E-2</v>
      </c>
      <c r="AD570" s="135">
        <f t="shared" si="361"/>
        <v>0.24681806838033449</v>
      </c>
      <c r="AE570" s="223">
        <v>49960</v>
      </c>
      <c r="AF570" s="98" t="s">
        <v>616</v>
      </c>
      <c r="AH570" s="98" t="s">
        <v>112</v>
      </c>
    </row>
    <row r="571" spans="1:34" ht="31.5" thickTop="1" thickBot="1">
      <c r="A571" s="125" t="str">
        <f>INDEX('Выгр Торг'!$A:$A,MATCH($B571,'Выгр Торг'!$B:$B,0))</f>
        <v>Руль анатомический "Ferrum" Vesta Sport для Лада Веста, XRAY</v>
      </c>
      <c r="B571" s="126">
        <v>322938</v>
      </c>
      <c r="C571" s="127">
        <f>VLOOKUP($B571,'Выгр Торг'!$B:$Q,C$1,0)</f>
        <v>322938</v>
      </c>
      <c r="D571" s="44" t="s">
        <v>112</v>
      </c>
      <c r="E571" s="125" t="str">
        <f>VLOOKUP($B571,'Выгр Торг'!$B:$Q,E$1,0)</f>
        <v>Руль анатомический "Ferrum Group" Vesta Cross для Лада Веста, XRAY (Тёмно-серая нить, Чёрный глянец)</v>
      </c>
      <c r="F571" s="127" t="str">
        <f>VLOOKUP($B571,'Выгр Торг'!$B:$Q,F$1,0)</f>
        <v>Y</v>
      </c>
      <c r="G571" s="127" t="str">
        <f>VLOOKUP($B571,'Выгр Торг'!$B:$Q,G$1,0)</f>
        <v>1</v>
      </c>
      <c r="H571" s="127">
        <v>322928</v>
      </c>
      <c r="I571" s="156"/>
      <c r="J571" s="160"/>
      <c r="K571" s="161">
        <v>870</v>
      </c>
      <c r="L571" s="130">
        <f t="shared" si="357"/>
        <v>40070</v>
      </c>
      <c r="M571" s="130">
        <f t="shared" si="391"/>
        <v>41070</v>
      </c>
      <c r="N571" s="130">
        <f t="shared" si="392"/>
        <v>34070</v>
      </c>
      <c r="O571" s="132">
        <f t="shared" si="393"/>
        <v>1.0249563264287498</v>
      </c>
      <c r="P571" s="132">
        <f t="shared" si="374"/>
        <v>1.1499999999999999</v>
      </c>
      <c r="Q571" s="130">
        <f t="shared" si="394"/>
        <v>49548.924731182793</v>
      </c>
      <c r="R571" s="148">
        <f t="shared" si="395"/>
        <v>49590</v>
      </c>
      <c r="S571" s="127">
        <f>VLOOKUP($B571,'Выгр Торг'!$B:$Q,S$1,0)</f>
        <v>40070</v>
      </c>
      <c r="T571" s="127">
        <f>VLOOKUP($B571,'Выгр Торг'!$B:$Q,T$1,0)</f>
        <v>49590</v>
      </c>
      <c r="U571" s="94">
        <f t="shared" si="375"/>
        <v>0</v>
      </c>
      <c r="V571" s="94">
        <f t="shared" si="376"/>
        <v>0</v>
      </c>
      <c r="W571" s="153">
        <f t="shared" si="358"/>
        <v>46118.7</v>
      </c>
      <c r="X571" s="209">
        <f>IFERROR(VLOOKUP($B571,'Из ГУГЛа'!$B:$G,6,0)*Z571+Y571,VLOOKUP($B571,'Из ГУГЛа'!$B:$G,6,0))</f>
        <v>49960</v>
      </c>
      <c r="Y571" s="220">
        <f t="shared" si="396"/>
        <v>9970</v>
      </c>
      <c r="Z571" s="133">
        <v>1</v>
      </c>
      <c r="AA571" s="134"/>
      <c r="AB571" s="135">
        <f t="shared" si="359"/>
        <v>0.15095333166957814</v>
      </c>
      <c r="AC571" s="135">
        <f t="shared" si="360"/>
        <v>7.6887510008006463E-2</v>
      </c>
      <c r="AD571" s="135">
        <f t="shared" si="361"/>
        <v>0.24681806838033449</v>
      </c>
      <c r="AE571" s="223">
        <v>49960</v>
      </c>
      <c r="AF571" s="98" t="s">
        <v>616</v>
      </c>
      <c r="AH571" s="98" t="s">
        <v>112</v>
      </c>
    </row>
    <row r="572" spans="1:34" ht="31.5" thickTop="1" thickBot="1">
      <c r="A572" s="125" t="str">
        <f>INDEX('Выгр Торг'!$A:$A,MATCH($B572,'Выгр Торг'!$B:$B,0))</f>
        <v>Руль анатомический "Ferrum" Vesta Sport для Лада Веста, XRAY</v>
      </c>
      <c r="B572" s="126">
        <v>322930</v>
      </c>
      <c r="C572" s="127">
        <f>VLOOKUP($B572,'Выгр Торг'!$B:$Q,C$1,0)</f>
        <v>322930</v>
      </c>
      <c r="D572" s="44" t="s">
        <v>112</v>
      </c>
      <c r="E572" s="125" t="str">
        <f>VLOOKUP($B572,'Выгр Торг'!$B:$Q,E$1,0)</f>
        <v>Руль анатомический "Ferrum Group" Vesta Cross для Лада Веста, XRAY (Фиолетовая нить, Чёрный глянец)</v>
      </c>
      <c r="F572" s="127" t="str">
        <f>VLOOKUP($B572,'Выгр Торг'!$B:$Q,F$1,0)</f>
        <v>Y</v>
      </c>
      <c r="G572" s="127" t="str">
        <f>VLOOKUP($B572,'Выгр Торг'!$B:$Q,G$1,0)</f>
        <v>1</v>
      </c>
      <c r="H572" s="127">
        <v>322928</v>
      </c>
      <c r="I572" s="156"/>
      <c r="J572" s="160"/>
      <c r="K572" s="161">
        <v>870</v>
      </c>
      <c r="L572" s="130">
        <f t="shared" si="357"/>
        <v>40070</v>
      </c>
      <c r="M572" s="130">
        <f t="shared" si="391"/>
        <v>41070</v>
      </c>
      <c r="N572" s="130">
        <f t="shared" si="392"/>
        <v>34070</v>
      </c>
      <c r="O572" s="132">
        <f t="shared" si="393"/>
        <v>1.0249563264287498</v>
      </c>
      <c r="P572" s="132">
        <f t="shared" si="374"/>
        <v>1.1499999999999999</v>
      </c>
      <c r="Q572" s="130">
        <f t="shared" si="394"/>
        <v>49548.924731182793</v>
      </c>
      <c r="R572" s="148">
        <f t="shared" si="395"/>
        <v>49590</v>
      </c>
      <c r="S572" s="127">
        <f>VLOOKUP($B572,'Выгр Торг'!$B:$Q,S$1,0)</f>
        <v>40070</v>
      </c>
      <c r="T572" s="127">
        <f>VLOOKUP($B572,'Выгр Торг'!$B:$Q,T$1,0)</f>
        <v>49590</v>
      </c>
      <c r="U572" s="94">
        <f t="shared" si="375"/>
        <v>0</v>
      </c>
      <c r="V572" s="94">
        <f t="shared" si="376"/>
        <v>0</v>
      </c>
      <c r="W572" s="153">
        <f t="shared" si="358"/>
        <v>46118.7</v>
      </c>
      <c r="X572" s="209">
        <f>IFERROR(VLOOKUP($B572,'Из ГУГЛа'!$B:$G,6,0)*Z572+Y572,VLOOKUP($B572,'Из ГУГЛа'!$B:$G,6,0))</f>
        <v>49960</v>
      </c>
      <c r="Y572" s="220">
        <f t="shared" si="396"/>
        <v>9970</v>
      </c>
      <c r="Z572" s="133">
        <v>1</v>
      </c>
      <c r="AA572" s="134"/>
      <c r="AB572" s="135">
        <f t="shared" si="359"/>
        <v>0.15095333166957814</v>
      </c>
      <c r="AC572" s="135">
        <f t="shared" si="360"/>
        <v>7.6887510008006463E-2</v>
      </c>
      <c r="AD572" s="135">
        <f t="shared" si="361"/>
        <v>0.24681806838033449</v>
      </c>
      <c r="AE572" s="223">
        <v>49960</v>
      </c>
      <c r="AF572" s="98" t="s">
        <v>616</v>
      </c>
      <c r="AH572" s="98" t="s">
        <v>112</v>
      </c>
    </row>
    <row r="573" spans="1:34" ht="53.25" thickTop="1" thickBot="1">
      <c r="A573" s="125" t="str">
        <f>INDEX('Выгр Торг'!$A:$A,MATCH($B573,'Выгр Торг'!$B:$B,0))</f>
        <v>Модельная ручка КПП "Ferrum Group" для Лада Веста</v>
      </c>
      <c r="B573" s="126">
        <v>311717</v>
      </c>
      <c r="C573" s="127">
        <f>VLOOKUP($B573,'Выгр Торг'!$B:$Q,C$1,0)</f>
        <v>311717</v>
      </c>
      <c r="D573" s="44" t="s">
        <v>245</v>
      </c>
      <c r="E573" s="125" t="str">
        <f>VLOOKUP($B573,'Выгр Торг'!$B:$Q,E$1,0)</f>
        <v>Модельная ручка КПП "Ferrum Group" для Лада Веста (Белая R)</v>
      </c>
      <c r="F573" s="127" t="str">
        <f>VLOOKUP($B573,'Выгр Торг'!$B:$Q,F$1,0)</f>
        <v>Y</v>
      </c>
      <c r="G573" s="127" t="str">
        <f>VLOOKUP($B573,'Выгр Торг'!$B:$Q,G$1,0)</f>
        <v>1</v>
      </c>
      <c r="H573" s="127"/>
      <c r="I573" s="158" t="s">
        <v>388</v>
      </c>
      <c r="J573" s="162"/>
      <c r="K573" s="162"/>
      <c r="L573" s="138">
        <f>VLOOKUP(I573,'Прайс Gamma'!A:F,4,0)+J573+K573</f>
        <v>7200</v>
      </c>
      <c r="M573" s="138">
        <f>VLOOKUP(I573,'Прайс Gamma'!A:F,5,0)+J573+K573</f>
        <v>7500</v>
      </c>
      <c r="N573" s="138"/>
      <c r="O573" s="132">
        <f t="shared" ref="O573:O575" si="404">M573/L573</f>
        <v>1.0416666666666667</v>
      </c>
      <c r="P573" s="132">
        <f t="shared" si="374"/>
        <v>1.1499999999999999</v>
      </c>
      <c r="Q573" s="147">
        <f t="shared" ref="Q573:Q574" si="405">L573*P573*100/93</f>
        <v>8903.2258064516136</v>
      </c>
      <c r="R573" s="148">
        <f t="shared" ref="R573:R575" si="406">IF(Q573&lt;=1000,(ROUNDUP(Q573,-2)-1),(ROUNDUP(Q573,-2)-10))</f>
        <v>8990</v>
      </c>
      <c r="S573" s="127">
        <f>VLOOKUP($B573,'Выгр Торг'!$B:$Q,S$1,0)</f>
        <v>7200</v>
      </c>
      <c r="T573" s="127">
        <f>VLOOKUP($B573,'Выгр Торг'!$B:$Q,T$1,0)</f>
        <v>8990</v>
      </c>
      <c r="U573" s="94">
        <f t="shared" si="375"/>
        <v>0</v>
      </c>
      <c r="V573" s="94">
        <f t="shared" si="376"/>
        <v>0</v>
      </c>
      <c r="W573" s="153">
        <f t="shared" si="358"/>
        <v>8360.6999999999989</v>
      </c>
      <c r="X573" s="209" t="str">
        <f>IFERROR(VLOOKUP($B573,'Из ГУГЛа'!$B:$G,6,0)*Z573+Y573,VLOOKUP($B573,'Из ГУГЛа'!$B:$G,6,0))</f>
        <v/>
      </c>
      <c r="Y573" s="76"/>
      <c r="Z573" s="133">
        <v>1</v>
      </c>
      <c r="AA573" s="134"/>
      <c r="AB573" s="135">
        <f t="shared" si="359"/>
        <v>0.16120833333333318</v>
      </c>
      <c r="AC573" s="135" t="str">
        <f t="shared" si="360"/>
        <v/>
      </c>
      <c r="AD573" s="135" t="str">
        <f t="shared" si="361"/>
        <v/>
      </c>
      <c r="AE573" s="137" t="s">
        <v>879</v>
      </c>
      <c r="AH573" s="98" t="s">
        <v>245</v>
      </c>
    </row>
    <row r="574" spans="1:34" ht="53.25" thickTop="1" thickBot="1">
      <c r="A574" s="125" t="str">
        <f>INDEX('Выгр Торг'!$A:$A,MATCH($B574,'Выгр Торг'!$B:$B,0))</f>
        <v>Модельная ручка КПП "Ferrum Group" для Лада Веста</v>
      </c>
      <c r="B574" s="126">
        <v>311718</v>
      </c>
      <c r="C574" s="127">
        <f>VLOOKUP($B574,'Выгр Торг'!$B:$Q,C$1,0)</f>
        <v>311718</v>
      </c>
      <c r="D574" s="44" t="s">
        <v>245</v>
      </c>
      <c r="E574" s="125" t="str">
        <f>VLOOKUP($B574,'Выгр Торг'!$B:$Q,E$1,0)</f>
        <v>Модельная ручка КПП "Ferrum Group" для Лада Веста (Красная R)</v>
      </c>
      <c r="F574" s="127" t="str">
        <f>VLOOKUP($B574,'Выгр Торг'!$B:$Q,F$1,0)</f>
        <v>Y</v>
      </c>
      <c r="G574" s="127" t="str">
        <f>VLOOKUP($B574,'Выгр Торг'!$B:$Q,G$1,0)</f>
        <v>1</v>
      </c>
      <c r="H574" s="127"/>
      <c r="I574" s="158" t="s">
        <v>388</v>
      </c>
      <c r="J574" s="162"/>
      <c r="K574" s="162"/>
      <c r="L574" s="138">
        <f>VLOOKUP(I574,'Прайс Gamma'!A:F,4,0)+J574+K574</f>
        <v>7200</v>
      </c>
      <c r="M574" s="138">
        <f>VLOOKUP(I574,'Прайс Gamma'!A:F,5,0)+J574+K574</f>
        <v>7500</v>
      </c>
      <c r="N574" s="138"/>
      <c r="O574" s="132">
        <f t="shared" si="404"/>
        <v>1.0416666666666667</v>
      </c>
      <c r="P574" s="132">
        <f t="shared" si="374"/>
        <v>1.1499999999999999</v>
      </c>
      <c r="Q574" s="147">
        <f t="shared" si="405"/>
        <v>8903.2258064516136</v>
      </c>
      <c r="R574" s="148">
        <f t="shared" si="406"/>
        <v>8990</v>
      </c>
      <c r="S574" s="127">
        <f>VLOOKUP($B574,'Выгр Торг'!$B:$Q,S$1,0)</f>
        <v>7200</v>
      </c>
      <c r="T574" s="127">
        <f>VLOOKUP($B574,'Выгр Торг'!$B:$Q,T$1,0)</f>
        <v>8990</v>
      </c>
      <c r="U574" s="94">
        <f t="shared" si="375"/>
        <v>0</v>
      </c>
      <c r="V574" s="94">
        <f t="shared" si="376"/>
        <v>0</v>
      </c>
      <c r="W574" s="153">
        <f t="shared" si="358"/>
        <v>8360.6999999999989</v>
      </c>
      <c r="X574" s="209" t="str">
        <f>IFERROR(VLOOKUP($B574,'Из ГУГЛа'!$B:$G,6,0)*Z574+Y574,VLOOKUP($B574,'Из ГУГЛа'!$B:$G,6,0))</f>
        <v/>
      </c>
      <c r="Y574" s="76"/>
      <c r="Z574" s="133">
        <v>1</v>
      </c>
      <c r="AA574" s="134"/>
      <c r="AB574" s="135">
        <f t="shared" si="359"/>
        <v>0.16120833333333318</v>
      </c>
      <c r="AC574" s="135" t="str">
        <f t="shared" si="360"/>
        <v/>
      </c>
      <c r="AD574" s="135" t="str">
        <f t="shared" si="361"/>
        <v/>
      </c>
      <c r="AE574" s="137" t="s">
        <v>879</v>
      </c>
      <c r="AH574" s="98" t="s">
        <v>245</v>
      </c>
    </row>
    <row r="575" spans="1:34" ht="104.25" thickTop="1" thickBot="1">
      <c r="A575" s="176" t="str">
        <f>INDEX('Выгр Торг'!$A:$A,MATCH($B575,'Выгр Торг'!$B:$B,0))</f>
        <v>Модельная ручка КПП "Ferrum Group" для Лада Веста (с вариатором)</v>
      </c>
      <c r="B575" s="178">
        <v>341366</v>
      </c>
      <c r="C575" s="179">
        <f>VLOOKUP($B575,'Выгр Торг'!$B:$Q,C$1,0)</f>
        <v>341366</v>
      </c>
      <c r="D575" s="186" t="s">
        <v>281</v>
      </c>
      <c r="E575" s="176" t="str">
        <f>VLOOKUP($B575,'Выгр Торг'!$B:$Q,E$1,0)</f>
        <v>Модельная ручка КПП "Ferrum Group" для Лада Веста (с вариатором) (Серый)</v>
      </c>
      <c r="F575" s="179" t="str">
        <f>VLOOKUP($B575,'Выгр Торг'!$B:$Q,F$1,0)</f>
        <v>Y</v>
      </c>
      <c r="G575" s="179" t="str">
        <f>VLOOKUP($B575,'Выгр Торг'!$B:$Q,G$1,0)</f>
        <v>1</v>
      </c>
      <c r="H575" s="179"/>
      <c r="I575" s="187" t="s">
        <v>381</v>
      </c>
      <c r="J575" s="162"/>
      <c r="K575" s="162"/>
      <c r="L575" s="188">
        <f>VLOOKUP(I575,'Прайс Gamma'!A:F,4,0)+J575+K575</f>
        <v>9400</v>
      </c>
      <c r="M575" s="188">
        <f>VLOOKUP(I575,'Прайс Gamma'!A:F,5,0)+J575+K575</f>
        <v>9700</v>
      </c>
      <c r="N575" s="188"/>
      <c r="O575" s="107">
        <f t="shared" si="404"/>
        <v>1.0319148936170213</v>
      </c>
      <c r="P575" s="132">
        <f t="shared" si="374"/>
        <v>1.1499999999999999</v>
      </c>
      <c r="Q575" s="150">
        <f>AE575*1.03</f>
        <v>12143.7</v>
      </c>
      <c r="R575" s="144">
        <f t="shared" si="406"/>
        <v>12190</v>
      </c>
      <c r="S575" s="179">
        <f>VLOOKUP($B575,'Выгр Торг'!$B:$Q,S$1,0)</f>
        <v>9400</v>
      </c>
      <c r="T575" s="179">
        <f>VLOOKUP($B575,'Выгр Торг'!$B:$Q,T$1,0)</f>
        <v>12190</v>
      </c>
      <c r="U575" s="94">
        <f t="shared" si="375"/>
        <v>0</v>
      </c>
      <c r="V575" s="94">
        <f t="shared" si="376"/>
        <v>0</v>
      </c>
      <c r="W575" s="182">
        <f t="shared" ref="W575" si="407">R575*(1-$W$2)</f>
        <v>11336.699999999999</v>
      </c>
      <c r="X575" s="218">
        <f>IFERROR(VLOOKUP($B575,'Из ГУГЛа'!$B:$G,6,0)*Z575+Y575,VLOOKUP($B575,'Из ГУГЛа'!$B:$G,6,0))</f>
        <v>11790</v>
      </c>
      <c r="Y575" s="183"/>
      <c r="Z575" s="133">
        <v>1</v>
      </c>
      <c r="AA575" s="133"/>
      <c r="AB575" s="184">
        <f t="shared" ref="AB575" si="408">IFERROR(W575/L575-1,"")</f>
        <v>0.20603191489361694</v>
      </c>
      <c r="AC575" s="184">
        <f t="shared" ref="AC575" si="409">IFERROR((AE575-W575)/AE575,"")</f>
        <v>3.8447837150127319E-2</v>
      </c>
      <c r="AD575" s="184">
        <f t="shared" ref="AD575" si="410">IFERROR(IF(AE575="","",AE575/L575-1),"")</f>
        <v>0.25425531914893607</v>
      </c>
      <c r="AE575" s="137">
        <v>11790</v>
      </c>
      <c r="AF575" s="98" t="s">
        <v>625</v>
      </c>
      <c r="AH575" s="98" t="s">
        <v>281</v>
      </c>
    </row>
    <row r="576" spans="1:34" ht="104.25" thickTop="1" thickBot="1">
      <c r="A576" s="125" t="str">
        <f>INDEX('Выгр Торг'!$A:$A,MATCH($B576,'Выгр Торг'!$B:$B,0))</f>
        <v>Модельная ручка КПП "Ferrum Group" для Лада Веста (с вариатором)</v>
      </c>
      <c r="B576" s="126">
        <v>300693</v>
      </c>
      <c r="C576" s="127">
        <f>VLOOKUP($B576,'Выгр Торг'!$B:$Q,C$1,0)</f>
        <v>300693</v>
      </c>
      <c r="D576" s="44" t="s">
        <v>281</v>
      </c>
      <c r="E576" s="125" t="str">
        <f>VLOOKUP($B576,'Выгр Торг'!$B:$Q,E$1,0)</f>
        <v>Модельная ручка КПП "Ferrum Group" для Лада Веста (с вариатором) (Красный)</v>
      </c>
      <c r="F576" s="127" t="str">
        <f>VLOOKUP($B576,'Выгр Торг'!$B:$Q,F$1,0)</f>
        <v>Y</v>
      </c>
      <c r="G576" s="127" t="str">
        <f>VLOOKUP($B576,'Выгр Торг'!$B:$Q,G$1,0)</f>
        <v>1</v>
      </c>
      <c r="H576" s="127"/>
      <c r="I576" s="155" t="s">
        <v>381</v>
      </c>
      <c r="J576" s="160"/>
      <c r="K576" s="162"/>
      <c r="L576" s="138">
        <f>VLOOKUP(I576,'Прайс Gamma'!A:F,4,0)+J576+K576</f>
        <v>9400</v>
      </c>
      <c r="M576" s="138">
        <f>VLOOKUP(I576,'Прайс Gamma'!A:F,5,0)+J576+K576</f>
        <v>9700</v>
      </c>
      <c r="N576" s="138"/>
      <c r="O576" s="132">
        <f t="shared" ref="O576:O605" si="411">M576/L576</f>
        <v>1.0319148936170213</v>
      </c>
      <c r="P576" s="132">
        <f t="shared" si="374"/>
        <v>1.1499999999999999</v>
      </c>
      <c r="Q576" s="150">
        <f>AE576*1.03</f>
        <v>12143.7</v>
      </c>
      <c r="R576" s="148">
        <f t="shared" ref="R576:R605" si="412">IF(Q576&lt;=1000,(ROUNDUP(Q576,-2)-1),(ROUNDUP(Q576,-2)-10))</f>
        <v>12190</v>
      </c>
      <c r="S576" s="127">
        <f>VLOOKUP($B576,'Выгр Торг'!$B:$Q,S$1,0)</f>
        <v>9400</v>
      </c>
      <c r="T576" s="127">
        <f>VLOOKUP($B576,'Выгр Торг'!$B:$Q,T$1,0)</f>
        <v>12190</v>
      </c>
      <c r="U576" s="94">
        <f t="shared" si="375"/>
        <v>0</v>
      </c>
      <c r="V576" s="94">
        <f t="shared" si="376"/>
        <v>0</v>
      </c>
      <c r="W576" s="153">
        <f t="shared" si="358"/>
        <v>11336.699999999999</v>
      </c>
      <c r="X576" s="209">
        <f>IFERROR(VLOOKUP($B576,'Из ГУГЛа'!$B:$G,6,0)*Z576+Y576,VLOOKUP($B576,'Из ГУГЛа'!$B:$G,6,0))</f>
        <v>11790</v>
      </c>
      <c r="Y576" s="76"/>
      <c r="Z576" s="133">
        <v>1</v>
      </c>
      <c r="AA576" s="134"/>
      <c r="AB576" s="135">
        <f t="shared" si="359"/>
        <v>0.20603191489361694</v>
      </c>
      <c r="AC576" s="135">
        <f t="shared" si="360"/>
        <v>3.8447837150127319E-2</v>
      </c>
      <c r="AD576" s="135">
        <f t="shared" si="361"/>
        <v>0.25425531914893607</v>
      </c>
      <c r="AE576" s="137">
        <v>11790</v>
      </c>
      <c r="AF576" s="98" t="s">
        <v>625</v>
      </c>
      <c r="AH576" s="98" t="s">
        <v>281</v>
      </c>
    </row>
    <row r="577" spans="1:34" ht="104.25" thickTop="1" thickBot="1">
      <c r="A577" s="125" t="str">
        <f>INDEX('Выгр Торг'!$A:$A,MATCH($B577,'Выгр Торг'!$B:$B,0))</f>
        <v>Модельная ручка КПП "Ferrum Group" для Лада Веста (с вариатором)</v>
      </c>
      <c r="B577" s="126">
        <v>300694</v>
      </c>
      <c r="C577" s="127">
        <f>VLOOKUP($B577,'Выгр Торг'!$B:$Q,C$1,0)</f>
        <v>300694</v>
      </c>
      <c r="D577" s="44" t="s">
        <v>281</v>
      </c>
      <c r="E577" s="125" t="str">
        <f>VLOOKUP($B577,'Выгр Торг'!$B:$Q,E$1,0)</f>
        <v>Модельная ручка КПП "Ferrum Group" для Лада Веста (с вариатором) (Оранжевый)</v>
      </c>
      <c r="F577" s="127" t="str">
        <f>VLOOKUP($B577,'Выгр Торг'!$B:$Q,F$1,0)</f>
        <v>Y</v>
      </c>
      <c r="G577" s="127" t="str">
        <f>VLOOKUP($B577,'Выгр Торг'!$B:$Q,G$1,0)</f>
        <v>1</v>
      </c>
      <c r="H577" s="127"/>
      <c r="I577" s="155" t="s">
        <v>381</v>
      </c>
      <c r="J577" s="160"/>
      <c r="K577" s="162"/>
      <c r="L577" s="138">
        <f>VLOOKUP(I577,'Прайс Gamma'!A:F,4,0)+J577+K577</f>
        <v>9400</v>
      </c>
      <c r="M577" s="138">
        <f>VLOOKUP(I577,'Прайс Gamma'!A:F,5,0)+J577+K577</f>
        <v>9700</v>
      </c>
      <c r="N577" s="138"/>
      <c r="O577" s="132">
        <f t="shared" si="411"/>
        <v>1.0319148936170213</v>
      </c>
      <c r="P577" s="132">
        <f t="shared" si="374"/>
        <v>1.1499999999999999</v>
      </c>
      <c r="Q577" s="150">
        <f t="shared" ref="Q577:Q579" si="413">AE577*1.03</f>
        <v>12143.7</v>
      </c>
      <c r="R577" s="148">
        <f t="shared" si="412"/>
        <v>12190</v>
      </c>
      <c r="S577" s="127">
        <f>VLOOKUP($B577,'Выгр Торг'!$B:$Q,S$1,0)</f>
        <v>9400</v>
      </c>
      <c r="T577" s="127">
        <f>VLOOKUP($B577,'Выгр Торг'!$B:$Q,T$1,0)</f>
        <v>12190</v>
      </c>
      <c r="U577" s="94">
        <f t="shared" si="375"/>
        <v>0</v>
      </c>
      <c r="V577" s="94">
        <f t="shared" si="376"/>
        <v>0</v>
      </c>
      <c r="W577" s="153">
        <f t="shared" si="358"/>
        <v>11336.699999999999</v>
      </c>
      <c r="X577" s="209">
        <f>IFERROR(VLOOKUP($B577,'Из ГУГЛа'!$B:$G,6,0)*Z577+Y577,VLOOKUP($B577,'Из ГУГЛа'!$B:$G,6,0))</f>
        <v>11790</v>
      </c>
      <c r="Y577" s="76"/>
      <c r="Z577" s="133">
        <v>1</v>
      </c>
      <c r="AA577" s="134"/>
      <c r="AB577" s="135">
        <f t="shared" si="359"/>
        <v>0.20603191489361694</v>
      </c>
      <c r="AC577" s="135">
        <f t="shared" si="360"/>
        <v>3.8447837150127319E-2</v>
      </c>
      <c r="AD577" s="135">
        <f t="shared" si="361"/>
        <v>0.25425531914893607</v>
      </c>
      <c r="AE577" s="137">
        <v>11790</v>
      </c>
      <c r="AF577" s="98" t="s">
        <v>876</v>
      </c>
      <c r="AH577" s="98" t="s">
        <v>281</v>
      </c>
    </row>
    <row r="578" spans="1:34" ht="104.25" thickTop="1" thickBot="1">
      <c r="A578" s="125" t="str">
        <f>INDEX('Выгр Торг'!$A:$A,MATCH($B578,'Выгр Торг'!$B:$B,0))</f>
        <v>Модельная ручка КПП "Ferrum Group" для Лада Веста (с вариатором)</v>
      </c>
      <c r="B578" s="126">
        <v>300695</v>
      </c>
      <c r="C578" s="127">
        <f>VLOOKUP($B578,'Выгр Торг'!$B:$Q,C$1,0)</f>
        <v>300695</v>
      </c>
      <c r="D578" s="44" t="s">
        <v>281</v>
      </c>
      <c r="E578" s="125" t="str">
        <f>VLOOKUP($B578,'Выгр Торг'!$B:$Q,E$1,0)</f>
        <v>Модельная ручка КПП "Ferrum Group" для Лада Веста (с вариатором) (Синий)</v>
      </c>
      <c r="F578" s="127" t="str">
        <f>VLOOKUP($B578,'Выгр Торг'!$B:$Q,F$1,0)</f>
        <v>Y</v>
      </c>
      <c r="G578" s="127" t="str">
        <f>VLOOKUP($B578,'Выгр Торг'!$B:$Q,G$1,0)</f>
        <v>1</v>
      </c>
      <c r="H578" s="127"/>
      <c r="I578" s="155" t="s">
        <v>381</v>
      </c>
      <c r="J578" s="160"/>
      <c r="K578" s="162"/>
      <c r="L578" s="138">
        <f>VLOOKUP(I578,'Прайс Gamma'!A:F,4,0)+J578+K578</f>
        <v>9400</v>
      </c>
      <c r="M578" s="138">
        <f>VLOOKUP(I578,'Прайс Gamma'!A:F,5,0)+J578+K578</f>
        <v>9700</v>
      </c>
      <c r="N578" s="138"/>
      <c r="O578" s="132">
        <f t="shared" si="411"/>
        <v>1.0319148936170213</v>
      </c>
      <c r="P578" s="132">
        <f t="shared" si="374"/>
        <v>1.1499999999999999</v>
      </c>
      <c r="Q578" s="150">
        <f t="shared" si="413"/>
        <v>12143.7</v>
      </c>
      <c r="R578" s="148">
        <f t="shared" si="412"/>
        <v>12190</v>
      </c>
      <c r="S578" s="127">
        <f>VLOOKUP($B578,'Выгр Торг'!$B:$Q,S$1,0)</f>
        <v>9400</v>
      </c>
      <c r="T578" s="127">
        <f>VLOOKUP($B578,'Выгр Торг'!$B:$Q,T$1,0)</f>
        <v>12190</v>
      </c>
      <c r="U578" s="94">
        <f t="shared" si="375"/>
        <v>0</v>
      </c>
      <c r="V578" s="94">
        <f t="shared" si="376"/>
        <v>0</v>
      </c>
      <c r="W578" s="153">
        <f t="shared" si="358"/>
        <v>11336.699999999999</v>
      </c>
      <c r="X578" s="209">
        <f>IFERROR(VLOOKUP($B578,'Из ГУГЛа'!$B:$G,6,0)*Z578+Y578,VLOOKUP($B578,'Из ГУГЛа'!$B:$G,6,0))</f>
        <v>11790</v>
      </c>
      <c r="Y578" s="76"/>
      <c r="Z578" s="133">
        <v>1</v>
      </c>
      <c r="AA578" s="134"/>
      <c r="AB578" s="135">
        <f t="shared" si="359"/>
        <v>0.20603191489361694</v>
      </c>
      <c r="AC578" s="135">
        <f t="shared" si="360"/>
        <v>3.8447837150127319E-2</v>
      </c>
      <c r="AD578" s="135">
        <f t="shared" si="361"/>
        <v>0.25425531914893607</v>
      </c>
      <c r="AE578" s="137">
        <v>11790</v>
      </c>
      <c r="AF578" s="98" t="s">
        <v>878</v>
      </c>
      <c r="AH578" s="98" t="s">
        <v>281</v>
      </c>
    </row>
    <row r="579" spans="1:34" ht="104.25" thickTop="1" thickBot="1">
      <c r="A579" s="125" t="str">
        <f>INDEX('Выгр Торг'!$A:$A,MATCH($B579,'Выгр Торг'!$B:$B,0))</f>
        <v>Модельная ручка КПП "Ferrum Group" для Лада Веста (с вариатором)</v>
      </c>
      <c r="B579" s="126">
        <v>300696</v>
      </c>
      <c r="C579" s="127">
        <f>VLOOKUP($B579,'Выгр Торг'!$B:$Q,C$1,0)</f>
        <v>300696</v>
      </c>
      <c r="D579" s="44" t="s">
        <v>281</v>
      </c>
      <c r="E579" s="125" t="str">
        <f>VLOOKUP($B579,'Выгр Торг'!$B:$Q,E$1,0)</f>
        <v>Модельная ручка КПП "Ferrum Group" для Лада Веста (с вариатором) (Чёрный)</v>
      </c>
      <c r="F579" s="127" t="str">
        <f>VLOOKUP($B579,'Выгр Торг'!$B:$Q,F$1,0)</f>
        <v>Y</v>
      </c>
      <c r="G579" s="127" t="str">
        <f>VLOOKUP($B579,'Выгр Торг'!$B:$Q,G$1,0)</f>
        <v>1</v>
      </c>
      <c r="H579" s="127"/>
      <c r="I579" s="155" t="s">
        <v>381</v>
      </c>
      <c r="J579" s="160"/>
      <c r="K579" s="162"/>
      <c r="L579" s="138">
        <f>VLOOKUP(I579,'Прайс Gamma'!A:F,4,0)+J579+K579</f>
        <v>9400</v>
      </c>
      <c r="M579" s="138">
        <f>VLOOKUP(I579,'Прайс Gamma'!A:F,5,0)+J579+K579</f>
        <v>9700</v>
      </c>
      <c r="N579" s="138"/>
      <c r="O579" s="132">
        <f t="shared" si="411"/>
        <v>1.0319148936170213</v>
      </c>
      <c r="P579" s="132">
        <f t="shared" si="374"/>
        <v>1.1499999999999999</v>
      </c>
      <c r="Q579" s="150">
        <f t="shared" si="413"/>
        <v>12143.7</v>
      </c>
      <c r="R579" s="148">
        <f t="shared" si="412"/>
        <v>12190</v>
      </c>
      <c r="S579" s="127">
        <f>VLOOKUP($B579,'Выгр Торг'!$B:$Q,S$1,0)</f>
        <v>9400</v>
      </c>
      <c r="T579" s="127">
        <f>VLOOKUP($B579,'Выгр Торг'!$B:$Q,T$1,0)</f>
        <v>12190</v>
      </c>
      <c r="U579" s="94">
        <f t="shared" si="375"/>
        <v>0</v>
      </c>
      <c r="V579" s="94">
        <f t="shared" si="376"/>
        <v>0</v>
      </c>
      <c r="W579" s="153">
        <f t="shared" si="358"/>
        <v>11336.699999999999</v>
      </c>
      <c r="X579" s="209">
        <f>IFERROR(VLOOKUP($B579,'Из ГУГЛа'!$B:$G,6,0)*Z579+Y579,VLOOKUP($B579,'Из ГУГЛа'!$B:$G,6,0))</f>
        <v>11790</v>
      </c>
      <c r="Y579" s="76"/>
      <c r="Z579" s="133">
        <v>1</v>
      </c>
      <c r="AA579" s="134"/>
      <c r="AB579" s="135">
        <f t="shared" si="359"/>
        <v>0.20603191489361694</v>
      </c>
      <c r="AC579" s="135">
        <f t="shared" si="360"/>
        <v>3.8447837150127319E-2</v>
      </c>
      <c r="AD579" s="135">
        <f t="shared" si="361"/>
        <v>0.25425531914893607</v>
      </c>
      <c r="AE579" s="137">
        <v>11790</v>
      </c>
      <c r="AF579" s="98" t="s">
        <v>877</v>
      </c>
      <c r="AH579" s="98" t="s">
        <v>281</v>
      </c>
    </row>
    <row r="580" spans="1:34" ht="46.5" thickTop="1" thickBot="1">
      <c r="A580" s="125" t="str">
        <f>INDEX('Выгр Торг'!$A:$A,MATCH($B580,'Выгр Торг'!$B:$B,0))</f>
        <v>Руль анатомический "Ferrum" Exclusive (со вставками из алькантары) для Лада Веста, XRAY</v>
      </c>
      <c r="B580" s="126">
        <v>274813</v>
      </c>
      <c r="C580" s="127">
        <f>VLOOKUP($B580,'Выгр Торг'!$B:$Q,C$1,0)</f>
        <v>226573</v>
      </c>
      <c r="D580" s="44" t="s">
        <v>117</v>
      </c>
      <c r="E580" s="125" t="str">
        <f>VLOOKUP($B580,'Выгр Торг'!$B:$Q,E$1,0)</f>
        <v>Руль анатомический "Ferrum" Exclusive (со вставками из алькантары) для Лада Веста, XRAY (Чёрная нить, Черный глянец)</v>
      </c>
      <c r="F580" s="127" t="str">
        <f>VLOOKUP($B580,'Выгр Торг'!$B:$Q,F$1,0)</f>
        <v>Y</v>
      </c>
      <c r="G580" s="127" t="str">
        <f>VLOOKUP($B580,'Выгр Торг'!$B:$Q,G$1,0)</f>
        <v>1</v>
      </c>
      <c r="H580" s="127">
        <v>226573</v>
      </c>
      <c r="I580" s="156"/>
      <c r="J580" s="160">
        <v>7000</v>
      </c>
      <c r="K580" s="161">
        <v>0</v>
      </c>
      <c r="L580" s="130">
        <f>M580-1000</f>
        <v>40250</v>
      </c>
      <c r="M580" s="131">
        <f>N580+J580</f>
        <v>41250</v>
      </c>
      <c r="N580" s="131">
        <v>34250</v>
      </c>
      <c r="O580" s="132">
        <f>M580/L580</f>
        <v>1.0248447204968945</v>
      </c>
      <c r="P580" s="132">
        <f t="shared" ref="P580:P643" si="414">IF(O580&lt;=$P$1,$P$1,O580)</f>
        <v>1.1499999999999999</v>
      </c>
      <c r="Q580" s="147">
        <f t="shared" ref="Q580" si="415">L580*P580*100/93</f>
        <v>49771.505376344088</v>
      </c>
      <c r="R580" s="148">
        <f>IF(Q580&lt;=1000,(ROUNDUP(Q580,-2)-1),(ROUNDUP(Q580,-2)-10))</f>
        <v>49790</v>
      </c>
      <c r="S580" s="127">
        <f>VLOOKUP($B580,'Выгр Торг'!$B:$Q,S$1,0)</f>
        <v>40250</v>
      </c>
      <c r="T580" s="127">
        <f>VLOOKUP($B580,'Выгр Торг'!$B:$Q,T$1,0)</f>
        <v>49790</v>
      </c>
      <c r="U580" s="94">
        <f t="shared" ref="U580:U643" si="416">S580-L580</f>
        <v>0</v>
      </c>
      <c r="V580" s="94">
        <f t="shared" ref="V580:V643" si="417">T580-R580</f>
        <v>0</v>
      </c>
      <c r="W580" s="153">
        <f>R580*(1-$W$2)</f>
        <v>46304.7</v>
      </c>
      <c r="X580" s="209">
        <f>IFERROR(VLOOKUP($B580,'Из ГУГЛа'!$B:$G,6,0)*Z580+Y580,VLOOKUP($B580,'Из ГУГЛа'!$B:$G,6,0))</f>
        <v>51390</v>
      </c>
      <c r="Y580" s="106">
        <f>(J580+K580)*$Y$2</f>
        <v>9100</v>
      </c>
      <c r="Z580" s="133">
        <v>1</v>
      </c>
      <c r="AA580" s="134"/>
      <c r="AB580" s="135">
        <f>IFERROR(W580/L580-1,"")</f>
        <v>0.15042732919254642</v>
      </c>
      <c r="AC580" s="135">
        <f>IFERROR((AE580-W580)/AE580,"")</f>
        <v>9.8955049620548796E-2</v>
      </c>
      <c r="AD580" s="135">
        <f>IFERROR(IF(AE580="","",AE580/L580-1),"")</f>
        <v>0.27677018633540373</v>
      </c>
      <c r="AE580" s="137">
        <v>51390</v>
      </c>
      <c r="AF580" s="98" t="s">
        <v>623</v>
      </c>
      <c r="AH580" s="98" t="s">
        <v>117</v>
      </c>
    </row>
    <row r="581" spans="1:34" ht="46.5" thickTop="1" thickBot="1">
      <c r="A581" s="125" t="str">
        <f>INDEX('Выгр Торг'!$A:$A,MATCH($B581,'Выгр Торг'!$B:$B,0))</f>
        <v>Руль анатомический "Ferrum" Exclusive (со вставками из алькантары) для Лада Веста, XRAY</v>
      </c>
      <c r="B581" s="126">
        <v>274814</v>
      </c>
      <c r="C581" s="127">
        <f>VLOOKUP($B581,'Выгр Торг'!$B:$Q,C$1,0)</f>
        <v>226574</v>
      </c>
      <c r="D581" s="44" t="s">
        <v>117</v>
      </c>
      <c r="E581" s="125" t="str">
        <f>VLOOKUP($B581,'Выгр Торг'!$B:$Q,E$1,0)</f>
        <v>Руль анатомический "Ferrum" Exclusive (со вставками из алькантары) для Лада Веста, XRAY (Чёрная нить, Чёрный мат)</v>
      </c>
      <c r="F581" s="127" t="str">
        <f>VLOOKUP($B581,'Выгр Торг'!$B:$Q,F$1,0)</f>
        <v>Y</v>
      </c>
      <c r="G581" s="127" t="str">
        <f>VLOOKUP($B581,'Выгр Торг'!$B:$Q,G$1,0)</f>
        <v>1</v>
      </c>
      <c r="H581" s="127">
        <v>226573</v>
      </c>
      <c r="I581" s="156"/>
      <c r="J581" s="160">
        <v>830</v>
      </c>
      <c r="K581" s="161">
        <v>0</v>
      </c>
      <c r="L581" s="130">
        <f t="shared" ref="L581" si="418">M581-1000</f>
        <v>41080</v>
      </c>
      <c r="M581" s="130">
        <f t="shared" ref="M581:M605" si="419">INDEX($M:$M,MATCH($H581,$C:$C,0))+$K581+$J581</f>
        <v>42080</v>
      </c>
      <c r="N581" s="130">
        <f t="shared" ref="N581:N605" si="420">INDEX($N:$N,MATCH($H581,$C:$C,0))+$K581+$J581</f>
        <v>35080</v>
      </c>
      <c r="O581" s="132">
        <f t="shared" ref="O581" si="421">M581/L581</f>
        <v>1.0243427458617331</v>
      </c>
      <c r="P581" s="132">
        <f t="shared" si="414"/>
        <v>1.1499999999999999</v>
      </c>
      <c r="Q581" s="130">
        <f t="shared" ref="Q581:Q605" si="422">INDEX($Q:$Q,MATCH($H581,$C:$C,0))+($K581+$J581)*INDEX($P:$P,MATCH($H581,$C:$C,0))*100/93</f>
        <v>50797.849462365593</v>
      </c>
      <c r="R581" s="148">
        <f t="shared" ref="R581" si="423">IF(Q581&lt;=1000,(ROUNDUP(Q581,-2)-1),(ROUNDUP(Q581,-2)-10))</f>
        <v>50790</v>
      </c>
      <c r="S581" s="127">
        <f>VLOOKUP($B581,'Выгр Торг'!$B:$Q,S$1,0)</f>
        <v>41080</v>
      </c>
      <c r="T581" s="127">
        <f>VLOOKUP($B581,'Выгр Торг'!$B:$Q,T$1,0)</f>
        <v>50790</v>
      </c>
      <c r="U581" s="94">
        <f t="shared" si="416"/>
        <v>0</v>
      </c>
      <c r="V581" s="94">
        <f t="shared" si="417"/>
        <v>0</v>
      </c>
      <c r="W581" s="153">
        <f>R581*(1-$W$2)</f>
        <v>47234.7</v>
      </c>
      <c r="X581" s="209">
        <f>IFERROR(VLOOKUP($B581,'Из ГУГЛа'!$B:$G,6,0)*Z581+Y581,VLOOKUP($B581,'Из ГУГЛа'!$B:$G,6,0))</f>
        <v>43369</v>
      </c>
      <c r="Y581" s="106">
        <f>(J581+K581)*$Y$2</f>
        <v>1079</v>
      </c>
      <c r="Z581" s="133">
        <v>1</v>
      </c>
      <c r="AA581" s="134">
        <v>1300</v>
      </c>
      <c r="AB581" s="135">
        <f>IFERROR(W581/L581-1,"")</f>
        <v>0.14982229795520929</v>
      </c>
      <c r="AC581" s="135">
        <f>IFERROR((AE581-W581)/AE581,"")</f>
        <v>-8.9135096497498151E-2</v>
      </c>
      <c r="AD581" s="135">
        <f>IFERROR(IF(AE581="","",AE581/L581-1),"")</f>
        <v>5.5720545277507361E-2</v>
      </c>
      <c r="AE581" s="137">
        <v>43369</v>
      </c>
      <c r="AF581" s="98" t="s">
        <v>623</v>
      </c>
      <c r="AH581" s="98" t="s">
        <v>117</v>
      </c>
    </row>
    <row r="582" spans="1:34" ht="46.5" thickTop="1" thickBot="1">
      <c r="A582" s="125" t="str">
        <f>INDEX('Выгр Торг'!$A:$A,MATCH($B582,'Выгр Торг'!$B:$B,0))</f>
        <v>Руль анатомический "Ferrum" Exclusive (со вставками из алькантары) для Лада Веста, XRAY</v>
      </c>
      <c r="B582" s="126">
        <v>274815</v>
      </c>
      <c r="C582" s="127">
        <f>VLOOKUP($B582,'Выгр Торг'!$B:$Q,C$1,0)</f>
        <v>226588</v>
      </c>
      <c r="D582" s="44" t="s">
        <v>117</v>
      </c>
      <c r="E582" s="125" t="str">
        <f>VLOOKUP($B582,'Выгр Торг'!$B:$Q,E$1,0)</f>
        <v>Руль анатомический "Ferrum" Exclusive (со вставками из алькантары) для Лада Веста, XRAY (Белая нить, Чёрный глянец)</v>
      </c>
      <c r="F582" s="127" t="str">
        <f>VLOOKUP($B582,'Выгр Торг'!$B:$Q,F$1,0)</f>
        <v>Y</v>
      </c>
      <c r="G582" s="127" t="str">
        <f>VLOOKUP($B582,'Выгр Торг'!$B:$Q,G$1,0)</f>
        <v>1</v>
      </c>
      <c r="H582" s="127">
        <v>226573</v>
      </c>
      <c r="I582" s="156"/>
      <c r="J582" s="160"/>
      <c r="K582" s="161">
        <v>870</v>
      </c>
      <c r="L582" s="130">
        <f t="shared" ref="L582:L605" si="424">M582-1000</f>
        <v>41120</v>
      </c>
      <c r="M582" s="130">
        <f t="shared" si="419"/>
        <v>42120</v>
      </c>
      <c r="N582" s="130">
        <f t="shared" si="420"/>
        <v>35120</v>
      </c>
      <c r="O582" s="132">
        <f t="shared" si="411"/>
        <v>1.0243190661478598</v>
      </c>
      <c r="P582" s="132">
        <f t="shared" si="414"/>
        <v>1.1499999999999999</v>
      </c>
      <c r="Q582" s="130">
        <f t="shared" si="422"/>
        <v>50847.31182795699</v>
      </c>
      <c r="R582" s="148">
        <f t="shared" si="412"/>
        <v>50890</v>
      </c>
      <c r="S582" s="127">
        <f>VLOOKUP($B582,'Выгр Торг'!$B:$Q,S$1,0)</f>
        <v>41120</v>
      </c>
      <c r="T582" s="127">
        <f>VLOOKUP($B582,'Выгр Торг'!$B:$Q,T$1,0)</f>
        <v>50890</v>
      </c>
      <c r="U582" s="94">
        <f t="shared" si="416"/>
        <v>0</v>
      </c>
      <c r="V582" s="94">
        <f t="shared" si="417"/>
        <v>0</v>
      </c>
      <c r="W582" s="153">
        <f t="shared" si="358"/>
        <v>47327.7</v>
      </c>
      <c r="X582" s="209">
        <f>IFERROR(VLOOKUP($B582,'Из ГУГЛа'!$B:$G,6,0)*Z582+Y582,VLOOKUP($B582,'Из ГУГЛа'!$B:$G,6,0))</f>
        <v>52260</v>
      </c>
      <c r="Y582" s="220">
        <f t="shared" ref="Y582:Y605" si="425">INDEX($Y:$Y,MATCH($H582,$C:$C,0))+J582+K582</f>
        <v>9970</v>
      </c>
      <c r="Z582" s="133">
        <v>1</v>
      </c>
      <c r="AA582" s="134"/>
      <c r="AB582" s="135">
        <f t="shared" si="359"/>
        <v>0.15096546692607005</v>
      </c>
      <c r="AC582" s="135">
        <f t="shared" si="360"/>
        <v>9.4380022962112564E-2</v>
      </c>
      <c r="AD582" s="135">
        <f t="shared" si="361"/>
        <v>0.27091439688715946</v>
      </c>
      <c r="AE582" s="223">
        <v>52260</v>
      </c>
      <c r="AF582" s="98" t="s">
        <v>623</v>
      </c>
      <c r="AH582" s="98" t="s">
        <v>117</v>
      </c>
    </row>
    <row r="583" spans="1:34" ht="46.5" thickTop="1" thickBot="1">
      <c r="A583" s="125" t="str">
        <f>INDEX('Выгр Торг'!$A:$A,MATCH($B583,'Выгр Торг'!$B:$B,0))</f>
        <v>Руль анатомический "Ferrum" Exclusive (со вставками из алькантары) для Лада Веста, XRAY</v>
      </c>
      <c r="B583" s="126">
        <v>274827</v>
      </c>
      <c r="C583" s="127">
        <f>VLOOKUP($B583,'Выгр Торг'!$B:$Q,C$1,0)</f>
        <v>226609</v>
      </c>
      <c r="D583" s="44" t="s">
        <v>117</v>
      </c>
      <c r="E583" s="125" t="str">
        <f>VLOOKUP($B583,'Выгр Торг'!$B:$Q,E$1,0)</f>
        <v>Руль анатомический "Ferrum" Exclusive (со вставками из алькантары) для Лада Веста, XRAY (Белая нить, Чёрный мат)</v>
      </c>
      <c r="F583" s="127" t="str">
        <f>VLOOKUP($B583,'Выгр Торг'!$B:$Q,F$1,0)</f>
        <v>Y</v>
      </c>
      <c r="G583" s="127" t="str">
        <f>VLOOKUP($B583,'Выгр Торг'!$B:$Q,G$1,0)</f>
        <v>1</v>
      </c>
      <c r="H583" s="127">
        <v>226573</v>
      </c>
      <c r="I583" s="156"/>
      <c r="J583" s="160">
        <v>830</v>
      </c>
      <c r="K583" s="161">
        <v>870</v>
      </c>
      <c r="L583" s="130">
        <f t="shared" si="424"/>
        <v>41950</v>
      </c>
      <c r="M583" s="130">
        <f t="shared" si="419"/>
        <v>42950</v>
      </c>
      <c r="N583" s="130">
        <f t="shared" si="420"/>
        <v>35950</v>
      </c>
      <c r="O583" s="132">
        <f t="shared" si="411"/>
        <v>1.0238379022646007</v>
      </c>
      <c r="P583" s="132">
        <f t="shared" si="414"/>
        <v>1.1499999999999999</v>
      </c>
      <c r="Q583" s="130">
        <f t="shared" si="422"/>
        <v>51873.655913978495</v>
      </c>
      <c r="R583" s="148">
        <f t="shared" si="412"/>
        <v>51890</v>
      </c>
      <c r="S583" s="127">
        <f>VLOOKUP($B583,'Выгр Торг'!$B:$Q,S$1,0)</f>
        <v>41950</v>
      </c>
      <c r="T583" s="127">
        <f>VLOOKUP($B583,'Выгр Торг'!$B:$Q,T$1,0)</f>
        <v>51890</v>
      </c>
      <c r="U583" s="94">
        <f t="shared" si="416"/>
        <v>0</v>
      </c>
      <c r="V583" s="94">
        <f t="shared" si="417"/>
        <v>0</v>
      </c>
      <c r="W583" s="153">
        <f t="shared" si="358"/>
        <v>48257.7</v>
      </c>
      <c r="X583" s="209">
        <f>IFERROR(VLOOKUP($B583,'Из ГУГЛа'!$B:$G,6,0)*Z583+Y583,VLOOKUP($B583,'Из ГУГЛа'!$B:$G,6,0))</f>
        <v>53090</v>
      </c>
      <c r="Y583" s="220">
        <f t="shared" si="425"/>
        <v>10800</v>
      </c>
      <c r="Z583" s="133">
        <v>1</v>
      </c>
      <c r="AA583" s="134">
        <v>1300</v>
      </c>
      <c r="AB583" s="135">
        <f t="shared" si="359"/>
        <v>0.15036233611442196</v>
      </c>
      <c r="AC583" s="135">
        <f t="shared" si="360"/>
        <v>9.1020907892258487E-2</v>
      </c>
      <c r="AD583" s="135">
        <f t="shared" si="361"/>
        <v>0.26555423122765198</v>
      </c>
      <c r="AE583" s="223">
        <v>53090</v>
      </c>
      <c r="AF583" s="98" t="s">
        <v>623</v>
      </c>
      <c r="AH583" s="98" t="s">
        <v>117</v>
      </c>
    </row>
    <row r="584" spans="1:34" ht="46.5" thickTop="1" thickBot="1">
      <c r="A584" s="125" t="str">
        <f>INDEX('Выгр Торг'!$A:$A,MATCH($B584,'Выгр Торг'!$B:$B,0))</f>
        <v>Руль анатомический "Ferrum" Exclusive (со вставками из алькантары) для Лада Веста, XRAY</v>
      </c>
      <c r="B584" s="126">
        <v>274826</v>
      </c>
      <c r="C584" s="127">
        <f>VLOOKUP($B584,'Выгр Торг'!$B:$Q,C$1,0)</f>
        <v>226583</v>
      </c>
      <c r="D584" s="44" t="s">
        <v>117</v>
      </c>
      <c r="E584" s="125" t="str">
        <f>VLOOKUP($B584,'Выгр Торг'!$B:$Q,E$1,0)</f>
        <v>Руль анатомический "Ferrum" Exclusive (со вставками из алькантары) для Лада Веста, XRAY (Жёлтая нить, Чёрный глянец)</v>
      </c>
      <c r="F584" s="127" t="str">
        <f>VLOOKUP($B584,'Выгр Торг'!$B:$Q,F$1,0)</f>
        <v>Y</v>
      </c>
      <c r="G584" s="127" t="str">
        <f>VLOOKUP($B584,'Выгр Торг'!$B:$Q,G$1,0)</f>
        <v>1</v>
      </c>
      <c r="H584" s="127">
        <v>226573</v>
      </c>
      <c r="I584" s="156"/>
      <c r="J584" s="160"/>
      <c r="K584" s="161">
        <v>870</v>
      </c>
      <c r="L584" s="130">
        <f t="shared" si="424"/>
        <v>41120</v>
      </c>
      <c r="M584" s="130">
        <f t="shared" si="419"/>
        <v>42120</v>
      </c>
      <c r="N584" s="130">
        <f t="shared" si="420"/>
        <v>35120</v>
      </c>
      <c r="O584" s="132">
        <f t="shared" si="411"/>
        <v>1.0243190661478598</v>
      </c>
      <c r="P584" s="132">
        <f t="shared" si="414"/>
        <v>1.1499999999999999</v>
      </c>
      <c r="Q584" s="130">
        <f t="shared" si="422"/>
        <v>50847.31182795699</v>
      </c>
      <c r="R584" s="148">
        <f t="shared" si="412"/>
        <v>50890</v>
      </c>
      <c r="S584" s="127">
        <f>VLOOKUP($B584,'Выгр Торг'!$B:$Q,S$1,0)</f>
        <v>41120</v>
      </c>
      <c r="T584" s="127">
        <f>VLOOKUP($B584,'Выгр Торг'!$B:$Q,T$1,0)</f>
        <v>50890</v>
      </c>
      <c r="U584" s="94">
        <f t="shared" si="416"/>
        <v>0</v>
      </c>
      <c r="V584" s="94">
        <f t="shared" si="417"/>
        <v>0</v>
      </c>
      <c r="W584" s="153">
        <f t="shared" si="358"/>
        <v>47327.7</v>
      </c>
      <c r="X584" s="209">
        <f>IFERROR(VLOOKUP($B584,'Из ГУГЛа'!$B:$G,6,0)*Z584+Y584,VLOOKUP($B584,'Из ГУГЛа'!$B:$G,6,0))</f>
        <v>52260</v>
      </c>
      <c r="Y584" s="220">
        <f t="shared" si="425"/>
        <v>9970</v>
      </c>
      <c r="Z584" s="133">
        <v>1</v>
      </c>
      <c r="AA584" s="134"/>
      <c r="AB584" s="135">
        <f t="shared" si="359"/>
        <v>0.15096546692607005</v>
      </c>
      <c r="AC584" s="135">
        <f t="shared" si="360"/>
        <v>9.4380022962112564E-2</v>
      </c>
      <c r="AD584" s="135">
        <f t="shared" si="361"/>
        <v>0.27091439688715946</v>
      </c>
      <c r="AE584" s="223">
        <v>52260</v>
      </c>
      <c r="AF584" s="98" t="s">
        <v>623</v>
      </c>
      <c r="AH584" s="98" t="s">
        <v>117</v>
      </c>
    </row>
    <row r="585" spans="1:34" ht="46.5" thickTop="1" thickBot="1">
      <c r="A585" s="125" t="str">
        <f>INDEX('Выгр Торг'!$A:$A,MATCH($B585,'Выгр Торг'!$B:$B,0))</f>
        <v>Руль анатомический "Ferrum" Exclusive (со вставками из алькантары) для Лада Веста, XRAY</v>
      </c>
      <c r="B585" s="126">
        <v>274838</v>
      </c>
      <c r="C585" s="127">
        <f>VLOOKUP($B585,'Выгр Торг'!$B:$Q,C$1,0)</f>
        <v>226604</v>
      </c>
      <c r="D585" s="44" t="s">
        <v>117</v>
      </c>
      <c r="E585" s="125" t="str">
        <f>VLOOKUP($B585,'Выгр Торг'!$B:$Q,E$1,0)</f>
        <v>Руль анатомический "Ferrum" Exclusive (со вставками из алькантары) для Лада Веста, XRAY (Жёлтая нить, Чёрный мат)</v>
      </c>
      <c r="F585" s="127" t="str">
        <f>VLOOKUP($B585,'Выгр Торг'!$B:$Q,F$1,0)</f>
        <v>Y</v>
      </c>
      <c r="G585" s="127" t="str">
        <f>VLOOKUP($B585,'Выгр Торг'!$B:$Q,G$1,0)</f>
        <v>1</v>
      </c>
      <c r="H585" s="127">
        <v>226573</v>
      </c>
      <c r="I585" s="156"/>
      <c r="J585" s="160">
        <v>830</v>
      </c>
      <c r="K585" s="161">
        <v>870</v>
      </c>
      <c r="L585" s="130">
        <f t="shared" si="424"/>
        <v>41950</v>
      </c>
      <c r="M585" s="130">
        <f t="shared" si="419"/>
        <v>42950</v>
      </c>
      <c r="N585" s="130">
        <f t="shared" si="420"/>
        <v>35950</v>
      </c>
      <c r="O585" s="132">
        <f t="shared" si="411"/>
        <v>1.0238379022646007</v>
      </c>
      <c r="P585" s="132">
        <f t="shared" si="414"/>
        <v>1.1499999999999999</v>
      </c>
      <c r="Q585" s="130">
        <f t="shared" si="422"/>
        <v>51873.655913978495</v>
      </c>
      <c r="R585" s="148">
        <f t="shared" si="412"/>
        <v>51890</v>
      </c>
      <c r="S585" s="127">
        <f>VLOOKUP($B585,'Выгр Торг'!$B:$Q,S$1,0)</f>
        <v>41950</v>
      </c>
      <c r="T585" s="127">
        <f>VLOOKUP($B585,'Выгр Торг'!$B:$Q,T$1,0)</f>
        <v>51890</v>
      </c>
      <c r="U585" s="94">
        <f t="shared" si="416"/>
        <v>0</v>
      </c>
      <c r="V585" s="94">
        <f t="shared" si="417"/>
        <v>0</v>
      </c>
      <c r="W585" s="153">
        <f t="shared" si="358"/>
        <v>48257.7</v>
      </c>
      <c r="X585" s="209">
        <f>IFERROR(VLOOKUP($B585,'Из ГУГЛа'!$B:$G,6,0)*Z585+Y585,VLOOKUP($B585,'Из ГУГЛа'!$B:$G,6,0))</f>
        <v>53090</v>
      </c>
      <c r="Y585" s="220">
        <f t="shared" si="425"/>
        <v>10800</v>
      </c>
      <c r="Z585" s="133">
        <v>1</v>
      </c>
      <c r="AA585" s="134">
        <v>1300</v>
      </c>
      <c r="AB585" s="135">
        <f t="shared" si="359"/>
        <v>0.15036233611442196</v>
      </c>
      <c r="AC585" s="135">
        <f t="shared" si="360"/>
        <v>9.1020907892258487E-2</v>
      </c>
      <c r="AD585" s="135">
        <f t="shared" si="361"/>
        <v>0.26555423122765198</v>
      </c>
      <c r="AE585" s="223">
        <v>53090</v>
      </c>
      <c r="AF585" s="98" t="s">
        <v>623</v>
      </c>
      <c r="AH585" s="98" t="s">
        <v>117</v>
      </c>
    </row>
    <row r="586" spans="1:34" ht="46.5" thickTop="1" thickBot="1">
      <c r="A586" s="125" t="str">
        <f>INDEX('Выгр Торг'!$A:$A,MATCH($B586,'Выгр Торг'!$B:$B,0))</f>
        <v>Руль анатомический "Ferrum" Exclusive (со вставками из алькантары) для Лада Веста, XRAY</v>
      </c>
      <c r="B586" s="126">
        <v>274825</v>
      </c>
      <c r="C586" s="127">
        <f>VLOOKUP($B586,'Выгр Торг'!$B:$Q,C$1,0)</f>
        <v>226587</v>
      </c>
      <c r="D586" s="44" t="s">
        <v>117</v>
      </c>
      <c r="E586" s="125" t="str">
        <f>VLOOKUP($B586,'Выгр Торг'!$B:$Q,E$1,0)</f>
        <v>Руль анатомический "Ferrum" Exclusive (со вставками из алькантары) для Лада Веста, XRAY (Зелёная нить, Чёрный глянец)</v>
      </c>
      <c r="F586" s="127" t="str">
        <f>VLOOKUP($B586,'Выгр Торг'!$B:$Q,F$1,0)</f>
        <v>Y</v>
      </c>
      <c r="G586" s="127" t="str">
        <f>VLOOKUP($B586,'Выгр Торг'!$B:$Q,G$1,0)</f>
        <v>1</v>
      </c>
      <c r="H586" s="127">
        <v>226573</v>
      </c>
      <c r="I586" s="156"/>
      <c r="J586" s="160"/>
      <c r="K586" s="161">
        <v>870</v>
      </c>
      <c r="L586" s="130">
        <f t="shared" si="424"/>
        <v>41120</v>
      </c>
      <c r="M586" s="130">
        <f t="shared" si="419"/>
        <v>42120</v>
      </c>
      <c r="N586" s="130">
        <f t="shared" si="420"/>
        <v>35120</v>
      </c>
      <c r="O586" s="132">
        <f t="shared" si="411"/>
        <v>1.0243190661478598</v>
      </c>
      <c r="P586" s="132">
        <f t="shared" si="414"/>
        <v>1.1499999999999999</v>
      </c>
      <c r="Q586" s="130">
        <f t="shared" si="422"/>
        <v>50847.31182795699</v>
      </c>
      <c r="R586" s="148">
        <f t="shared" si="412"/>
        <v>50890</v>
      </c>
      <c r="S586" s="127">
        <f>VLOOKUP($B586,'Выгр Торг'!$B:$Q,S$1,0)</f>
        <v>41120</v>
      </c>
      <c r="T586" s="127">
        <f>VLOOKUP($B586,'Выгр Торг'!$B:$Q,T$1,0)</f>
        <v>50890</v>
      </c>
      <c r="U586" s="94">
        <f t="shared" si="416"/>
        <v>0</v>
      </c>
      <c r="V586" s="94">
        <f t="shared" si="417"/>
        <v>0</v>
      </c>
      <c r="W586" s="153">
        <f t="shared" si="358"/>
        <v>47327.7</v>
      </c>
      <c r="X586" s="209">
        <f>IFERROR(VLOOKUP($B586,'Из ГУГЛа'!$B:$G,6,0)*Z586+Y586,VLOOKUP($B586,'Из ГУГЛа'!$B:$G,6,0))</f>
        <v>52260</v>
      </c>
      <c r="Y586" s="220">
        <f t="shared" si="425"/>
        <v>9970</v>
      </c>
      <c r="Z586" s="133">
        <v>1</v>
      </c>
      <c r="AA586" s="134"/>
      <c r="AB586" s="135">
        <f t="shared" si="359"/>
        <v>0.15096546692607005</v>
      </c>
      <c r="AC586" s="135">
        <f t="shared" si="360"/>
        <v>9.4380022962112564E-2</v>
      </c>
      <c r="AD586" s="135">
        <f t="shared" si="361"/>
        <v>0.27091439688715946</v>
      </c>
      <c r="AE586" s="223">
        <v>52260</v>
      </c>
      <c r="AF586" s="98" t="s">
        <v>623</v>
      </c>
      <c r="AH586" s="98" t="s">
        <v>117</v>
      </c>
    </row>
    <row r="587" spans="1:34" ht="46.5" thickTop="1" thickBot="1">
      <c r="A587" s="125" t="str">
        <f>INDEX('Выгр Торг'!$A:$A,MATCH($B587,'Выгр Торг'!$B:$B,0))</f>
        <v>Руль анатомический "Ferrum" Exclusive (со вставками из алькантары) для Лада Веста, XRAY</v>
      </c>
      <c r="B587" s="126">
        <v>274837</v>
      </c>
      <c r="C587" s="127">
        <f>VLOOKUP($B587,'Выгр Торг'!$B:$Q,C$1,0)</f>
        <v>226608</v>
      </c>
      <c r="D587" s="44" t="s">
        <v>117</v>
      </c>
      <c r="E587" s="125" t="str">
        <f>VLOOKUP($B587,'Выгр Торг'!$B:$Q,E$1,0)</f>
        <v>Руль анатомический "Ferrum" Exclusive (со вставками из алькантары) для Лада Веста, XRAY (Зелёная нить, Чёрный мат)</v>
      </c>
      <c r="F587" s="127" t="str">
        <f>VLOOKUP($B587,'Выгр Торг'!$B:$Q,F$1,0)</f>
        <v>Y</v>
      </c>
      <c r="G587" s="127" t="str">
        <f>VLOOKUP($B587,'Выгр Торг'!$B:$Q,G$1,0)</f>
        <v>1</v>
      </c>
      <c r="H587" s="127">
        <v>226573</v>
      </c>
      <c r="I587" s="156"/>
      <c r="J587" s="160">
        <v>830</v>
      </c>
      <c r="K587" s="161">
        <v>870</v>
      </c>
      <c r="L587" s="130">
        <f t="shared" si="424"/>
        <v>41950</v>
      </c>
      <c r="M587" s="130">
        <f t="shared" si="419"/>
        <v>42950</v>
      </c>
      <c r="N587" s="130">
        <f t="shared" si="420"/>
        <v>35950</v>
      </c>
      <c r="O587" s="132">
        <f t="shared" si="411"/>
        <v>1.0238379022646007</v>
      </c>
      <c r="P587" s="132">
        <f t="shared" si="414"/>
        <v>1.1499999999999999</v>
      </c>
      <c r="Q587" s="130">
        <f t="shared" si="422"/>
        <v>51873.655913978495</v>
      </c>
      <c r="R587" s="148">
        <f t="shared" si="412"/>
        <v>51890</v>
      </c>
      <c r="S587" s="127">
        <f>VLOOKUP($B587,'Выгр Торг'!$B:$Q,S$1,0)</f>
        <v>41950</v>
      </c>
      <c r="T587" s="127">
        <f>VLOOKUP($B587,'Выгр Торг'!$B:$Q,T$1,0)</f>
        <v>51890</v>
      </c>
      <c r="U587" s="94">
        <f t="shared" si="416"/>
        <v>0</v>
      </c>
      <c r="V587" s="94">
        <f t="shared" si="417"/>
        <v>0</v>
      </c>
      <c r="W587" s="153">
        <f t="shared" si="358"/>
        <v>48257.7</v>
      </c>
      <c r="X587" s="209">
        <f>IFERROR(VLOOKUP($B587,'Из ГУГЛа'!$B:$G,6,0)*Z587+Y587,VLOOKUP($B587,'Из ГУГЛа'!$B:$G,6,0))</f>
        <v>53090</v>
      </c>
      <c r="Y587" s="220">
        <f t="shared" si="425"/>
        <v>10800</v>
      </c>
      <c r="Z587" s="133">
        <v>1</v>
      </c>
      <c r="AA587" s="134">
        <v>1300</v>
      </c>
      <c r="AB587" s="135">
        <f t="shared" si="359"/>
        <v>0.15036233611442196</v>
      </c>
      <c r="AC587" s="135">
        <f t="shared" si="360"/>
        <v>9.1020907892258487E-2</v>
      </c>
      <c r="AD587" s="135">
        <f t="shared" si="361"/>
        <v>0.26555423122765198</v>
      </c>
      <c r="AE587" s="223">
        <v>53090</v>
      </c>
      <c r="AF587" s="98" t="s">
        <v>623</v>
      </c>
      <c r="AH587" s="98" t="s">
        <v>117</v>
      </c>
    </row>
    <row r="588" spans="1:34" ht="46.5" thickTop="1" thickBot="1">
      <c r="A588" s="125" t="str">
        <f>INDEX('Выгр Торг'!$A:$A,MATCH($B588,'Выгр Торг'!$B:$B,0))</f>
        <v>Руль анатомический "Ferrum" Exclusive (со вставками из алькантары) для Лада Веста, XRAY</v>
      </c>
      <c r="B588" s="126">
        <v>274817</v>
      </c>
      <c r="C588" s="127">
        <f>VLOOKUP($B588,'Выгр Торг'!$B:$Q,C$1,0)</f>
        <v>226578</v>
      </c>
      <c r="D588" s="44" t="s">
        <v>117</v>
      </c>
      <c r="E588" s="125" t="str">
        <f>VLOOKUP($B588,'Выгр Торг'!$B:$Q,E$1,0)</f>
        <v>Руль анатомический "Ferrum" Exclusive (со вставками из алькантары) для Лада Веста, XRAY (Коричневая нить, Чёрный глянец)</v>
      </c>
      <c r="F588" s="127" t="str">
        <f>VLOOKUP($B588,'Выгр Торг'!$B:$Q,F$1,0)</f>
        <v>Y</v>
      </c>
      <c r="G588" s="127" t="str">
        <f>VLOOKUP($B588,'Выгр Торг'!$B:$Q,G$1,0)</f>
        <v>1</v>
      </c>
      <c r="H588" s="127">
        <v>226573</v>
      </c>
      <c r="I588" s="156"/>
      <c r="J588" s="160"/>
      <c r="K588" s="161">
        <v>870</v>
      </c>
      <c r="L588" s="130">
        <f t="shared" si="424"/>
        <v>41120</v>
      </c>
      <c r="M588" s="130">
        <f t="shared" si="419"/>
        <v>42120</v>
      </c>
      <c r="N588" s="130">
        <f t="shared" si="420"/>
        <v>35120</v>
      </c>
      <c r="O588" s="132">
        <f t="shared" si="411"/>
        <v>1.0243190661478598</v>
      </c>
      <c r="P588" s="132">
        <f t="shared" si="414"/>
        <v>1.1499999999999999</v>
      </c>
      <c r="Q588" s="130">
        <f t="shared" si="422"/>
        <v>50847.31182795699</v>
      </c>
      <c r="R588" s="148">
        <f t="shared" si="412"/>
        <v>50890</v>
      </c>
      <c r="S588" s="127">
        <f>VLOOKUP($B588,'Выгр Торг'!$B:$Q,S$1,0)</f>
        <v>41120</v>
      </c>
      <c r="T588" s="127">
        <f>VLOOKUP($B588,'Выгр Торг'!$B:$Q,T$1,0)</f>
        <v>50890</v>
      </c>
      <c r="U588" s="94">
        <f t="shared" si="416"/>
        <v>0</v>
      </c>
      <c r="V588" s="94">
        <f t="shared" si="417"/>
        <v>0</v>
      </c>
      <c r="W588" s="153">
        <f t="shared" si="358"/>
        <v>47327.7</v>
      </c>
      <c r="X588" s="209">
        <f>IFERROR(VLOOKUP($B588,'Из ГУГЛа'!$B:$G,6,0)*Z588+Y588,VLOOKUP($B588,'Из ГУГЛа'!$B:$G,6,0))</f>
        <v>52260</v>
      </c>
      <c r="Y588" s="220">
        <f t="shared" si="425"/>
        <v>9970</v>
      </c>
      <c r="Z588" s="133">
        <v>1</v>
      </c>
      <c r="AA588" s="134"/>
      <c r="AB588" s="135">
        <f t="shared" si="359"/>
        <v>0.15096546692607005</v>
      </c>
      <c r="AC588" s="135">
        <f t="shared" si="360"/>
        <v>9.4380022962112564E-2</v>
      </c>
      <c r="AD588" s="135">
        <f t="shared" si="361"/>
        <v>0.27091439688715946</v>
      </c>
      <c r="AE588" s="223">
        <v>52260</v>
      </c>
      <c r="AF588" s="98" t="s">
        <v>623</v>
      </c>
      <c r="AH588" s="98" t="s">
        <v>117</v>
      </c>
    </row>
    <row r="589" spans="1:34" ht="46.5" thickTop="1" thickBot="1">
      <c r="A589" s="125" t="str">
        <f>INDEX('Выгр Торг'!$A:$A,MATCH($B589,'Выгр Торг'!$B:$B,0))</f>
        <v>Руль анатомический "Ferrum" Exclusive (со вставками из алькантары) для Лада Веста, XRAY</v>
      </c>
      <c r="B589" s="126">
        <v>274829</v>
      </c>
      <c r="C589" s="127">
        <f>VLOOKUP($B589,'Выгр Торг'!$B:$Q,C$1,0)</f>
        <v>226600</v>
      </c>
      <c r="D589" s="44" t="s">
        <v>117</v>
      </c>
      <c r="E589" s="125" t="str">
        <f>VLOOKUP($B589,'Выгр Торг'!$B:$Q,E$1,0)</f>
        <v>Руль анатомический "Ferrum" Exclusive (со вставками из алькантары) для Лада Веста, XRAY (Коричневая нить, Чёрный мат)</v>
      </c>
      <c r="F589" s="127" t="str">
        <f>VLOOKUP($B589,'Выгр Торг'!$B:$Q,F$1,0)</f>
        <v>Y</v>
      </c>
      <c r="G589" s="127" t="str">
        <f>VLOOKUP($B589,'Выгр Торг'!$B:$Q,G$1,0)</f>
        <v>1</v>
      </c>
      <c r="H589" s="127">
        <v>226573</v>
      </c>
      <c r="I589" s="156"/>
      <c r="J589" s="160">
        <v>830</v>
      </c>
      <c r="K589" s="161">
        <v>870</v>
      </c>
      <c r="L589" s="130">
        <f t="shared" si="424"/>
        <v>41950</v>
      </c>
      <c r="M589" s="130">
        <f t="shared" si="419"/>
        <v>42950</v>
      </c>
      <c r="N589" s="130">
        <f t="shared" si="420"/>
        <v>35950</v>
      </c>
      <c r="O589" s="132">
        <f t="shared" si="411"/>
        <v>1.0238379022646007</v>
      </c>
      <c r="P589" s="132">
        <f t="shared" si="414"/>
        <v>1.1499999999999999</v>
      </c>
      <c r="Q589" s="130">
        <f t="shared" si="422"/>
        <v>51873.655913978495</v>
      </c>
      <c r="R589" s="148">
        <f t="shared" si="412"/>
        <v>51890</v>
      </c>
      <c r="S589" s="127">
        <f>VLOOKUP($B589,'Выгр Торг'!$B:$Q,S$1,0)</f>
        <v>41950</v>
      </c>
      <c r="T589" s="127">
        <f>VLOOKUP($B589,'Выгр Торг'!$B:$Q,T$1,0)</f>
        <v>51890</v>
      </c>
      <c r="U589" s="94">
        <f t="shared" si="416"/>
        <v>0</v>
      </c>
      <c r="V589" s="94">
        <f t="shared" si="417"/>
        <v>0</v>
      </c>
      <c r="W589" s="153">
        <f t="shared" ref="W589:W652" si="426">R589*(1-$W$2)</f>
        <v>48257.7</v>
      </c>
      <c r="X589" s="209">
        <f>IFERROR(VLOOKUP($B589,'Из ГУГЛа'!$B:$G,6,0)*Z589+Y589,VLOOKUP($B589,'Из ГУГЛа'!$B:$G,6,0))</f>
        <v>53090</v>
      </c>
      <c r="Y589" s="220">
        <f t="shared" si="425"/>
        <v>10800</v>
      </c>
      <c r="Z589" s="133">
        <v>1</v>
      </c>
      <c r="AA589" s="134">
        <v>1300</v>
      </c>
      <c r="AB589" s="135">
        <f t="shared" ref="AB589:AB652" si="427">IFERROR(W589/L589-1,"")</f>
        <v>0.15036233611442196</v>
      </c>
      <c r="AC589" s="135">
        <f t="shared" ref="AC589:AC652" si="428">IFERROR((AE589-W589)/AE589,"")</f>
        <v>9.1020907892258487E-2</v>
      </c>
      <c r="AD589" s="135">
        <f t="shared" ref="AD589:AD652" si="429">IFERROR(IF(AE589="","",AE589/L589-1),"")</f>
        <v>0.26555423122765198</v>
      </c>
      <c r="AE589" s="223">
        <v>53090</v>
      </c>
      <c r="AF589" s="98" t="s">
        <v>623</v>
      </c>
      <c r="AH589" s="98" t="s">
        <v>117</v>
      </c>
    </row>
    <row r="590" spans="1:34" ht="46.5" thickTop="1" thickBot="1">
      <c r="A590" s="125" t="str">
        <f>INDEX('Выгр Торг'!$A:$A,MATCH($B590,'Выгр Торг'!$B:$B,0))</f>
        <v>Руль анатомический "Ferrum" Exclusive (со вставками из алькантары) для Лада Веста, XRAY</v>
      </c>
      <c r="B590" s="126">
        <v>274818</v>
      </c>
      <c r="C590" s="127">
        <f>VLOOKUP($B590,'Выгр Торг'!$B:$Q,C$1,0)</f>
        <v>226586</v>
      </c>
      <c r="D590" s="44" t="s">
        <v>117</v>
      </c>
      <c r="E590" s="125" t="str">
        <f>VLOOKUP($B590,'Выгр Торг'!$B:$Q,E$1,0)</f>
        <v>Руль анатомический "Ferrum" Exclusive (со вставками из алькантары) для Лада Веста, XRAY (Красная нить, Чёрный глянец)</v>
      </c>
      <c r="F590" s="127" t="str">
        <f>VLOOKUP($B590,'Выгр Торг'!$B:$Q,F$1,0)</f>
        <v>Y</v>
      </c>
      <c r="G590" s="127" t="str">
        <f>VLOOKUP($B590,'Выгр Торг'!$B:$Q,G$1,0)</f>
        <v>1</v>
      </c>
      <c r="H590" s="127">
        <v>226573</v>
      </c>
      <c r="I590" s="156"/>
      <c r="J590" s="160"/>
      <c r="K590" s="161">
        <v>870</v>
      </c>
      <c r="L590" s="130">
        <f t="shared" si="424"/>
        <v>41120</v>
      </c>
      <c r="M590" s="130">
        <f t="shared" si="419"/>
        <v>42120</v>
      </c>
      <c r="N590" s="130">
        <f t="shared" si="420"/>
        <v>35120</v>
      </c>
      <c r="O590" s="132">
        <f t="shared" si="411"/>
        <v>1.0243190661478598</v>
      </c>
      <c r="P590" s="132">
        <f t="shared" si="414"/>
        <v>1.1499999999999999</v>
      </c>
      <c r="Q590" s="130">
        <f t="shared" si="422"/>
        <v>50847.31182795699</v>
      </c>
      <c r="R590" s="148">
        <f t="shared" si="412"/>
        <v>50890</v>
      </c>
      <c r="S590" s="127">
        <f>VLOOKUP($B590,'Выгр Торг'!$B:$Q,S$1,0)</f>
        <v>41120</v>
      </c>
      <c r="T590" s="127">
        <f>VLOOKUP($B590,'Выгр Торг'!$B:$Q,T$1,0)</f>
        <v>50890</v>
      </c>
      <c r="U590" s="94">
        <f t="shared" si="416"/>
        <v>0</v>
      </c>
      <c r="V590" s="94">
        <f t="shared" si="417"/>
        <v>0</v>
      </c>
      <c r="W590" s="153">
        <f t="shared" si="426"/>
        <v>47327.7</v>
      </c>
      <c r="X590" s="209">
        <f>IFERROR(VLOOKUP($B590,'Из ГУГЛа'!$B:$G,6,0)*Z590+Y590,VLOOKUP($B590,'Из ГУГЛа'!$B:$G,6,0))</f>
        <v>52260</v>
      </c>
      <c r="Y590" s="220">
        <f t="shared" si="425"/>
        <v>9970</v>
      </c>
      <c r="Z590" s="133">
        <v>1</v>
      </c>
      <c r="AA590" s="134"/>
      <c r="AB590" s="135">
        <f t="shared" si="427"/>
        <v>0.15096546692607005</v>
      </c>
      <c r="AC590" s="135">
        <f t="shared" si="428"/>
        <v>9.4380022962112564E-2</v>
      </c>
      <c r="AD590" s="135">
        <f t="shared" si="429"/>
        <v>0.27091439688715946</v>
      </c>
      <c r="AE590" s="223">
        <v>52260</v>
      </c>
      <c r="AF590" s="98" t="s">
        <v>623</v>
      </c>
      <c r="AH590" s="98" t="s">
        <v>117</v>
      </c>
    </row>
    <row r="591" spans="1:34" ht="46.5" thickTop="1" thickBot="1">
      <c r="A591" s="125" t="str">
        <f>INDEX('Выгр Торг'!$A:$A,MATCH($B591,'Выгр Торг'!$B:$B,0))</f>
        <v>Руль анатомический "Ferrum" Exclusive (со вставками из алькантары) для Лада Веста, XRAY</v>
      </c>
      <c r="B591" s="126">
        <v>274830</v>
      </c>
      <c r="C591" s="127">
        <f>VLOOKUP($B591,'Выгр Торг'!$B:$Q,C$1,0)</f>
        <v>226607</v>
      </c>
      <c r="D591" s="44" t="s">
        <v>117</v>
      </c>
      <c r="E591" s="125" t="str">
        <f>VLOOKUP($B591,'Выгр Торг'!$B:$Q,E$1,0)</f>
        <v>Руль анатомический "Ferrum" Exclusive (со вставками из алькантары) для Лада Веста, XRAY (Красная нить, Чёрный мат)</v>
      </c>
      <c r="F591" s="127" t="str">
        <f>VLOOKUP($B591,'Выгр Торг'!$B:$Q,F$1,0)</f>
        <v>Y</v>
      </c>
      <c r="G591" s="127" t="str">
        <f>VLOOKUP($B591,'Выгр Торг'!$B:$Q,G$1,0)</f>
        <v>1</v>
      </c>
      <c r="H591" s="127">
        <v>226573</v>
      </c>
      <c r="I591" s="156"/>
      <c r="J591" s="160">
        <v>830</v>
      </c>
      <c r="K591" s="161">
        <v>870</v>
      </c>
      <c r="L591" s="130">
        <f t="shared" si="424"/>
        <v>41950</v>
      </c>
      <c r="M591" s="130">
        <f t="shared" si="419"/>
        <v>42950</v>
      </c>
      <c r="N591" s="130">
        <f t="shared" si="420"/>
        <v>35950</v>
      </c>
      <c r="O591" s="132">
        <f t="shared" si="411"/>
        <v>1.0238379022646007</v>
      </c>
      <c r="P591" s="132">
        <f t="shared" si="414"/>
        <v>1.1499999999999999</v>
      </c>
      <c r="Q591" s="130">
        <f t="shared" si="422"/>
        <v>51873.655913978495</v>
      </c>
      <c r="R591" s="148">
        <f t="shared" si="412"/>
        <v>51890</v>
      </c>
      <c r="S591" s="127">
        <f>VLOOKUP($B591,'Выгр Торг'!$B:$Q,S$1,0)</f>
        <v>41950</v>
      </c>
      <c r="T591" s="127">
        <f>VLOOKUP($B591,'Выгр Торг'!$B:$Q,T$1,0)</f>
        <v>51890</v>
      </c>
      <c r="U591" s="94">
        <f t="shared" si="416"/>
        <v>0</v>
      </c>
      <c r="V591" s="94">
        <f t="shared" si="417"/>
        <v>0</v>
      </c>
      <c r="W591" s="153">
        <f t="shared" si="426"/>
        <v>48257.7</v>
      </c>
      <c r="X591" s="209">
        <f>IFERROR(VLOOKUP($B591,'Из ГУГЛа'!$B:$G,6,0)*Z591+Y591,VLOOKUP($B591,'Из ГУГЛа'!$B:$G,6,0))</f>
        <v>53090</v>
      </c>
      <c r="Y591" s="220">
        <f t="shared" si="425"/>
        <v>10800</v>
      </c>
      <c r="Z591" s="133">
        <v>1</v>
      </c>
      <c r="AA591" s="134">
        <v>1300</v>
      </c>
      <c r="AB591" s="135">
        <f t="shared" si="427"/>
        <v>0.15036233611442196</v>
      </c>
      <c r="AC591" s="135">
        <f t="shared" si="428"/>
        <v>9.1020907892258487E-2</v>
      </c>
      <c r="AD591" s="135">
        <f t="shared" si="429"/>
        <v>0.26555423122765198</v>
      </c>
      <c r="AE591" s="223">
        <v>53090</v>
      </c>
      <c r="AF591" s="98" t="s">
        <v>623</v>
      </c>
      <c r="AH591" s="98" t="s">
        <v>117</v>
      </c>
    </row>
    <row r="592" spans="1:34" ht="46.5" thickTop="1" thickBot="1">
      <c r="A592" s="125" t="str">
        <f>INDEX('Выгр Торг'!$A:$A,MATCH($B592,'Выгр Торг'!$B:$B,0))</f>
        <v>Руль анатомический "Ferrum" Exclusive (со вставками из алькантары) для Лада Веста, XRAY</v>
      </c>
      <c r="B592" s="126">
        <v>274819</v>
      </c>
      <c r="C592" s="127">
        <f>VLOOKUP($B592,'Выгр Торг'!$B:$Q,C$1,0)</f>
        <v>226581</v>
      </c>
      <c r="D592" s="44" t="s">
        <v>117</v>
      </c>
      <c r="E592" s="125" t="str">
        <f>VLOOKUP($B592,'Выгр Торг'!$B:$Q,E$1,0)</f>
        <v>Руль анатомический "Ferrum" Exclusive (со вставками из алькантары) для Лада Веста, XRAY (Оранжевая нить, Чёрный глянец)</v>
      </c>
      <c r="F592" s="127" t="str">
        <f>VLOOKUP($B592,'Выгр Торг'!$B:$Q,F$1,0)</f>
        <v>Y</v>
      </c>
      <c r="G592" s="127" t="str">
        <f>VLOOKUP($B592,'Выгр Торг'!$B:$Q,G$1,0)</f>
        <v>1</v>
      </c>
      <c r="H592" s="127">
        <v>226573</v>
      </c>
      <c r="I592" s="156"/>
      <c r="J592" s="160"/>
      <c r="K592" s="161">
        <v>870</v>
      </c>
      <c r="L592" s="130">
        <f t="shared" si="424"/>
        <v>41120</v>
      </c>
      <c r="M592" s="130">
        <f t="shared" si="419"/>
        <v>42120</v>
      </c>
      <c r="N592" s="130">
        <f t="shared" si="420"/>
        <v>35120</v>
      </c>
      <c r="O592" s="132">
        <f t="shared" si="411"/>
        <v>1.0243190661478598</v>
      </c>
      <c r="P592" s="132">
        <f t="shared" si="414"/>
        <v>1.1499999999999999</v>
      </c>
      <c r="Q592" s="130">
        <f t="shared" si="422"/>
        <v>50847.31182795699</v>
      </c>
      <c r="R592" s="148">
        <f t="shared" si="412"/>
        <v>50890</v>
      </c>
      <c r="S592" s="127">
        <f>VLOOKUP($B592,'Выгр Торг'!$B:$Q,S$1,0)</f>
        <v>41120</v>
      </c>
      <c r="T592" s="127">
        <f>VLOOKUP($B592,'Выгр Торг'!$B:$Q,T$1,0)</f>
        <v>50890</v>
      </c>
      <c r="U592" s="94">
        <f t="shared" si="416"/>
        <v>0</v>
      </c>
      <c r="V592" s="94">
        <f t="shared" si="417"/>
        <v>0</v>
      </c>
      <c r="W592" s="153">
        <f t="shared" si="426"/>
        <v>47327.7</v>
      </c>
      <c r="X592" s="209">
        <f>IFERROR(VLOOKUP($B592,'Из ГУГЛа'!$B:$G,6,0)*Z592+Y592,VLOOKUP($B592,'Из ГУГЛа'!$B:$G,6,0))</f>
        <v>52260</v>
      </c>
      <c r="Y592" s="220">
        <f t="shared" si="425"/>
        <v>9970</v>
      </c>
      <c r="Z592" s="133">
        <v>1</v>
      </c>
      <c r="AA592" s="134"/>
      <c r="AB592" s="135">
        <f t="shared" si="427"/>
        <v>0.15096546692607005</v>
      </c>
      <c r="AC592" s="135">
        <f t="shared" si="428"/>
        <v>9.4380022962112564E-2</v>
      </c>
      <c r="AD592" s="135">
        <f t="shared" si="429"/>
        <v>0.27091439688715946</v>
      </c>
      <c r="AE592" s="223">
        <v>52260</v>
      </c>
      <c r="AF592" s="98" t="s">
        <v>623</v>
      </c>
      <c r="AH592" s="98" t="s">
        <v>117</v>
      </c>
    </row>
    <row r="593" spans="1:34" ht="46.5" thickTop="1" thickBot="1">
      <c r="A593" s="125" t="str">
        <f>INDEX('Выгр Торг'!$A:$A,MATCH($B593,'Выгр Торг'!$B:$B,0))</f>
        <v>Руль анатомический "Ferrum" Exclusive (со вставками из алькантары) для Лада Веста, XRAY</v>
      </c>
      <c r="B593" s="126">
        <v>274831</v>
      </c>
      <c r="C593" s="127">
        <f>VLOOKUP($B593,'Выгр Торг'!$B:$Q,C$1,0)</f>
        <v>226603</v>
      </c>
      <c r="D593" s="44" t="s">
        <v>117</v>
      </c>
      <c r="E593" s="125" t="str">
        <f>VLOOKUP($B593,'Выгр Торг'!$B:$Q,E$1,0)</f>
        <v>Руль анатомический "Ferrum" Exclusive (со вставками из алькантары) для Лада Веста, XRAY (Оранжевая нить, Чёрный мат)</v>
      </c>
      <c r="F593" s="127" t="str">
        <f>VLOOKUP($B593,'Выгр Торг'!$B:$Q,F$1,0)</f>
        <v>Y</v>
      </c>
      <c r="G593" s="127" t="str">
        <f>VLOOKUP($B593,'Выгр Торг'!$B:$Q,G$1,0)</f>
        <v>1</v>
      </c>
      <c r="H593" s="127">
        <v>226573</v>
      </c>
      <c r="I593" s="156"/>
      <c r="J593" s="160">
        <v>830</v>
      </c>
      <c r="K593" s="161">
        <v>870</v>
      </c>
      <c r="L593" s="130">
        <f t="shared" si="424"/>
        <v>41950</v>
      </c>
      <c r="M593" s="130">
        <f t="shared" si="419"/>
        <v>42950</v>
      </c>
      <c r="N593" s="130">
        <f t="shared" si="420"/>
        <v>35950</v>
      </c>
      <c r="O593" s="132">
        <f t="shared" si="411"/>
        <v>1.0238379022646007</v>
      </c>
      <c r="P593" s="132">
        <f t="shared" si="414"/>
        <v>1.1499999999999999</v>
      </c>
      <c r="Q593" s="130">
        <f t="shared" si="422"/>
        <v>51873.655913978495</v>
      </c>
      <c r="R593" s="148">
        <f t="shared" si="412"/>
        <v>51890</v>
      </c>
      <c r="S593" s="127">
        <f>VLOOKUP($B593,'Выгр Торг'!$B:$Q,S$1,0)</f>
        <v>41950</v>
      </c>
      <c r="T593" s="127">
        <f>VLOOKUP($B593,'Выгр Торг'!$B:$Q,T$1,0)</f>
        <v>51890</v>
      </c>
      <c r="U593" s="94">
        <f t="shared" si="416"/>
        <v>0</v>
      </c>
      <c r="V593" s="94">
        <f t="shared" si="417"/>
        <v>0</v>
      </c>
      <c r="W593" s="153">
        <f t="shared" si="426"/>
        <v>48257.7</v>
      </c>
      <c r="X593" s="209">
        <f>IFERROR(VLOOKUP($B593,'Из ГУГЛа'!$B:$G,6,0)*Z593+Y593,VLOOKUP($B593,'Из ГУГЛа'!$B:$G,6,0))</f>
        <v>53090</v>
      </c>
      <c r="Y593" s="220">
        <f t="shared" si="425"/>
        <v>10800</v>
      </c>
      <c r="Z593" s="133">
        <v>1</v>
      </c>
      <c r="AA593" s="134">
        <v>1300</v>
      </c>
      <c r="AB593" s="135">
        <f t="shared" si="427"/>
        <v>0.15036233611442196</v>
      </c>
      <c r="AC593" s="135">
        <f t="shared" si="428"/>
        <v>9.1020907892258487E-2</v>
      </c>
      <c r="AD593" s="135">
        <f t="shared" si="429"/>
        <v>0.26555423122765198</v>
      </c>
      <c r="AE593" s="223">
        <v>53090</v>
      </c>
      <c r="AF593" s="98" t="s">
        <v>623</v>
      </c>
      <c r="AH593" s="98" t="s">
        <v>117</v>
      </c>
    </row>
    <row r="594" spans="1:34" ht="46.5" thickTop="1" thickBot="1">
      <c r="A594" s="125" t="str">
        <f>INDEX('Выгр Торг'!$A:$A,MATCH($B594,'Выгр Торг'!$B:$B,0))</f>
        <v>Руль анатомический "Ferrum" Exclusive (со вставками из алькантары) для Лада Веста, XRAY</v>
      </c>
      <c r="B594" s="126">
        <v>274820</v>
      </c>
      <c r="C594" s="127">
        <f>VLOOKUP($B594,'Выгр Торг'!$B:$Q,C$1,0)</f>
        <v>226584</v>
      </c>
      <c r="D594" s="44" t="s">
        <v>117</v>
      </c>
      <c r="E594" s="125" t="str">
        <f>VLOOKUP($B594,'Выгр Торг'!$B:$Q,E$1,0)</f>
        <v>Руль анатомический "Ferrum" Exclusive (со вставками из алькантары) для Лада Веста, XRAY (Салатовая нить, Чёрный глянец)</v>
      </c>
      <c r="F594" s="127" t="str">
        <f>VLOOKUP($B594,'Выгр Торг'!$B:$Q,F$1,0)</f>
        <v>Y</v>
      </c>
      <c r="G594" s="127" t="str">
        <f>VLOOKUP($B594,'Выгр Торг'!$B:$Q,G$1,0)</f>
        <v>1</v>
      </c>
      <c r="H594" s="127">
        <v>226573</v>
      </c>
      <c r="I594" s="156"/>
      <c r="J594" s="160"/>
      <c r="K594" s="161">
        <v>870</v>
      </c>
      <c r="L594" s="130">
        <f t="shared" si="424"/>
        <v>41120</v>
      </c>
      <c r="M594" s="130">
        <f t="shared" si="419"/>
        <v>42120</v>
      </c>
      <c r="N594" s="130">
        <f t="shared" si="420"/>
        <v>35120</v>
      </c>
      <c r="O594" s="132">
        <f t="shared" si="411"/>
        <v>1.0243190661478598</v>
      </c>
      <c r="P594" s="132">
        <f t="shared" si="414"/>
        <v>1.1499999999999999</v>
      </c>
      <c r="Q594" s="130">
        <f t="shared" si="422"/>
        <v>50847.31182795699</v>
      </c>
      <c r="R594" s="148">
        <f t="shared" si="412"/>
        <v>50890</v>
      </c>
      <c r="S594" s="127">
        <f>VLOOKUP($B594,'Выгр Торг'!$B:$Q,S$1,0)</f>
        <v>41120</v>
      </c>
      <c r="T594" s="127">
        <f>VLOOKUP($B594,'Выгр Торг'!$B:$Q,T$1,0)</f>
        <v>50890</v>
      </c>
      <c r="U594" s="94">
        <f t="shared" si="416"/>
        <v>0</v>
      </c>
      <c r="V594" s="94">
        <f t="shared" si="417"/>
        <v>0</v>
      </c>
      <c r="W594" s="153">
        <f t="shared" si="426"/>
        <v>47327.7</v>
      </c>
      <c r="X594" s="209">
        <f>IFERROR(VLOOKUP($B594,'Из ГУГЛа'!$B:$G,6,0)*Z594+Y594,VLOOKUP($B594,'Из ГУГЛа'!$B:$G,6,0))</f>
        <v>52260</v>
      </c>
      <c r="Y594" s="220">
        <f t="shared" si="425"/>
        <v>9970</v>
      </c>
      <c r="Z594" s="133">
        <v>1</v>
      </c>
      <c r="AA594" s="134"/>
      <c r="AB594" s="135">
        <f t="shared" si="427"/>
        <v>0.15096546692607005</v>
      </c>
      <c r="AC594" s="135">
        <f t="shared" si="428"/>
        <v>9.4380022962112564E-2</v>
      </c>
      <c r="AD594" s="135">
        <f t="shared" si="429"/>
        <v>0.27091439688715946</v>
      </c>
      <c r="AE594" s="223">
        <v>52260</v>
      </c>
      <c r="AF594" s="98" t="s">
        <v>623</v>
      </c>
      <c r="AH594" s="98" t="s">
        <v>117</v>
      </c>
    </row>
    <row r="595" spans="1:34" ht="46.5" thickTop="1" thickBot="1">
      <c r="A595" s="125" t="str">
        <f>INDEX('Выгр Торг'!$A:$A,MATCH($B595,'Выгр Торг'!$B:$B,0))</f>
        <v>Руль анатомический "Ferrum" Exclusive (со вставками из алькантары) для Лада Веста, XRAY</v>
      </c>
      <c r="B595" s="126">
        <v>274832</v>
      </c>
      <c r="C595" s="127">
        <f>VLOOKUP($B595,'Выгр Торг'!$B:$Q,C$1,0)</f>
        <v>226605</v>
      </c>
      <c r="D595" s="44" t="s">
        <v>117</v>
      </c>
      <c r="E595" s="125" t="str">
        <f>VLOOKUP($B595,'Выгр Торг'!$B:$Q,E$1,0)</f>
        <v>Руль анатомический "Ferrum" Exclusive (со вставками из алькантары) для Лада Веста, XRAY (Салатовая нить, Чёрный мат)</v>
      </c>
      <c r="F595" s="127" t="str">
        <f>VLOOKUP($B595,'Выгр Торг'!$B:$Q,F$1,0)</f>
        <v>Y</v>
      </c>
      <c r="G595" s="127" t="str">
        <f>VLOOKUP($B595,'Выгр Торг'!$B:$Q,G$1,0)</f>
        <v>1</v>
      </c>
      <c r="H595" s="127">
        <v>226573</v>
      </c>
      <c r="I595" s="156"/>
      <c r="J595" s="160">
        <v>830</v>
      </c>
      <c r="K595" s="161">
        <v>870</v>
      </c>
      <c r="L595" s="130">
        <f t="shared" si="424"/>
        <v>41950</v>
      </c>
      <c r="M595" s="130">
        <f t="shared" si="419"/>
        <v>42950</v>
      </c>
      <c r="N595" s="130">
        <f t="shared" si="420"/>
        <v>35950</v>
      </c>
      <c r="O595" s="132">
        <f t="shared" si="411"/>
        <v>1.0238379022646007</v>
      </c>
      <c r="P595" s="132">
        <f t="shared" si="414"/>
        <v>1.1499999999999999</v>
      </c>
      <c r="Q595" s="130">
        <f t="shared" si="422"/>
        <v>51873.655913978495</v>
      </c>
      <c r="R595" s="148">
        <f t="shared" si="412"/>
        <v>51890</v>
      </c>
      <c r="S595" s="127">
        <f>VLOOKUP($B595,'Выгр Торг'!$B:$Q,S$1,0)</f>
        <v>41950</v>
      </c>
      <c r="T595" s="127">
        <f>VLOOKUP($B595,'Выгр Торг'!$B:$Q,T$1,0)</f>
        <v>51890</v>
      </c>
      <c r="U595" s="94">
        <f t="shared" si="416"/>
        <v>0</v>
      </c>
      <c r="V595" s="94">
        <f t="shared" si="417"/>
        <v>0</v>
      </c>
      <c r="W595" s="153">
        <f t="shared" si="426"/>
        <v>48257.7</v>
      </c>
      <c r="X595" s="209">
        <f>IFERROR(VLOOKUP($B595,'Из ГУГЛа'!$B:$G,6,0)*Z595+Y595,VLOOKUP($B595,'Из ГУГЛа'!$B:$G,6,0))</f>
        <v>53090</v>
      </c>
      <c r="Y595" s="220">
        <f t="shared" si="425"/>
        <v>10800</v>
      </c>
      <c r="Z595" s="133">
        <v>1</v>
      </c>
      <c r="AA595" s="134">
        <v>1300</v>
      </c>
      <c r="AB595" s="135">
        <f t="shared" si="427"/>
        <v>0.15036233611442196</v>
      </c>
      <c r="AC595" s="135">
        <f t="shared" si="428"/>
        <v>9.1020907892258487E-2</v>
      </c>
      <c r="AD595" s="135">
        <f t="shared" si="429"/>
        <v>0.26555423122765198</v>
      </c>
      <c r="AE595" s="223">
        <v>53090</v>
      </c>
      <c r="AF595" s="98" t="s">
        <v>623</v>
      </c>
      <c r="AH595" s="98" t="s">
        <v>117</v>
      </c>
    </row>
    <row r="596" spans="1:34" ht="46.5" thickTop="1" thickBot="1">
      <c r="A596" s="125" t="str">
        <f>INDEX('Выгр Торг'!$A:$A,MATCH($B596,'Выгр Торг'!$B:$B,0))</f>
        <v>Руль анатомический "Ferrum" Exclusive (со вставками из алькантары) для Лада Веста, XRAY</v>
      </c>
      <c r="B596" s="126">
        <v>274823</v>
      </c>
      <c r="C596" s="127">
        <f>VLOOKUP($B596,'Выгр Торг'!$B:$Q,C$1,0)</f>
        <v>226585</v>
      </c>
      <c r="D596" s="44" t="s">
        <v>117</v>
      </c>
      <c r="E596" s="125" t="str">
        <f>VLOOKUP($B596,'Выгр Торг'!$B:$Q,E$1,0)</f>
        <v>Руль анатомический "Ferrum" Exclusive (со вставками из алькантары) для Лада Веста, XRAY (Светло-серая нить, Чёрный глянец)</v>
      </c>
      <c r="F596" s="127" t="str">
        <f>VLOOKUP($B596,'Выгр Торг'!$B:$Q,F$1,0)</f>
        <v>Y</v>
      </c>
      <c r="G596" s="127" t="str">
        <f>VLOOKUP($B596,'Выгр Торг'!$B:$Q,G$1,0)</f>
        <v>1</v>
      </c>
      <c r="H596" s="127">
        <v>226573</v>
      </c>
      <c r="I596" s="156"/>
      <c r="J596" s="160"/>
      <c r="K596" s="161">
        <v>870</v>
      </c>
      <c r="L596" s="130">
        <f t="shared" si="424"/>
        <v>41120</v>
      </c>
      <c r="M596" s="130">
        <f t="shared" si="419"/>
        <v>42120</v>
      </c>
      <c r="N596" s="130">
        <f t="shared" si="420"/>
        <v>35120</v>
      </c>
      <c r="O596" s="132">
        <f t="shared" si="411"/>
        <v>1.0243190661478598</v>
      </c>
      <c r="P596" s="132">
        <f t="shared" si="414"/>
        <v>1.1499999999999999</v>
      </c>
      <c r="Q596" s="130">
        <f t="shared" si="422"/>
        <v>50847.31182795699</v>
      </c>
      <c r="R596" s="148">
        <f t="shared" si="412"/>
        <v>50890</v>
      </c>
      <c r="S596" s="127">
        <f>VLOOKUP($B596,'Выгр Торг'!$B:$Q,S$1,0)</f>
        <v>41120</v>
      </c>
      <c r="T596" s="127">
        <f>VLOOKUP($B596,'Выгр Торг'!$B:$Q,T$1,0)</f>
        <v>50890</v>
      </c>
      <c r="U596" s="94">
        <f t="shared" si="416"/>
        <v>0</v>
      </c>
      <c r="V596" s="94">
        <f t="shared" si="417"/>
        <v>0</v>
      </c>
      <c r="W596" s="153">
        <f t="shared" si="426"/>
        <v>47327.7</v>
      </c>
      <c r="X596" s="209">
        <f>IFERROR(VLOOKUP($B596,'Из ГУГЛа'!$B:$G,6,0)*Z596+Y596,VLOOKUP($B596,'Из ГУГЛа'!$B:$G,6,0))</f>
        <v>52260</v>
      </c>
      <c r="Y596" s="220">
        <f t="shared" si="425"/>
        <v>9970</v>
      </c>
      <c r="Z596" s="133">
        <v>1</v>
      </c>
      <c r="AA596" s="134"/>
      <c r="AB596" s="135">
        <f t="shared" si="427"/>
        <v>0.15096546692607005</v>
      </c>
      <c r="AC596" s="135">
        <f t="shared" si="428"/>
        <v>9.4380022962112564E-2</v>
      </c>
      <c r="AD596" s="135">
        <f t="shared" si="429"/>
        <v>0.27091439688715946</v>
      </c>
      <c r="AE596" s="223">
        <v>52260</v>
      </c>
      <c r="AF596" s="98" t="s">
        <v>623</v>
      </c>
      <c r="AH596" s="98" t="s">
        <v>117</v>
      </c>
    </row>
    <row r="597" spans="1:34" ht="46.5" thickTop="1" thickBot="1">
      <c r="A597" s="125" t="str">
        <f>INDEX('Выгр Торг'!$A:$A,MATCH($B597,'Выгр Торг'!$B:$B,0))</f>
        <v>Руль анатомический "Ferrum" Exclusive (со вставками из алькантары) для Лада Веста, XRAY</v>
      </c>
      <c r="B597" s="126">
        <v>274835</v>
      </c>
      <c r="C597" s="127">
        <f>VLOOKUP($B597,'Выгр Торг'!$B:$Q,C$1,0)</f>
        <v>226606</v>
      </c>
      <c r="D597" s="44" t="s">
        <v>117</v>
      </c>
      <c r="E597" s="125" t="str">
        <f>VLOOKUP($B597,'Выгр Торг'!$B:$Q,E$1,0)</f>
        <v>Руль анатомический "Ferrum" Exclusive (со вставками из алькантары) для Лада Веста, XRAY (Светло-серая нить, Чёрный мат)</v>
      </c>
      <c r="F597" s="127" t="str">
        <f>VLOOKUP($B597,'Выгр Торг'!$B:$Q,F$1,0)</f>
        <v>Y</v>
      </c>
      <c r="G597" s="127" t="str">
        <f>VLOOKUP($B597,'Выгр Торг'!$B:$Q,G$1,0)</f>
        <v>1</v>
      </c>
      <c r="H597" s="127">
        <v>226573</v>
      </c>
      <c r="I597" s="156"/>
      <c r="J597" s="160">
        <v>830</v>
      </c>
      <c r="K597" s="161">
        <v>870</v>
      </c>
      <c r="L597" s="130">
        <f t="shared" si="424"/>
        <v>41950</v>
      </c>
      <c r="M597" s="130">
        <f t="shared" si="419"/>
        <v>42950</v>
      </c>
      <c r="N597" s="130">
        <f t="shared" si="420"/>
        <v>35950</v>
      </c>
      <c r="O597" s="132">
        <f t="shared" si="411"/>
        <v>1.0238379022646007</v>
      </c>
      <c r="P597" s="132">
        <f t="shared" si="414"/>
        <v>1.1499999999999999</v>
      </c>
      <c r="Q597" s="130">
        <f t="shared" si="422"/>
        <v>51873.655913978495</v>
      </c>
      <c r="R597" s="148">
        <f t="shared" si="412"/>
        <v>51890</v>
      </c>
      <c r="S597" s="127">
        <f>VLOOKUP($B597,'Выгр Торг'!$B:$Q,S$1,0)</f>
        <v>41950</v>
      </c>
      <c r="T597" s="127">
        <f>VLOOKUP($B597,'Выгр Торг'!$B:$Q,T$1,0)</f>
        <v>51890</v>
      </c>
      <c r="U597" s="94">
        <f t="shared" si="416"/>
        <v>0</v>
      </c>
      <c r="V597" s="94">
        <f t="shared" si="417"/>
        <v>0</v>
      </c>
      <c r="W597" s="153">
        <f t="shared" si="426"/>
        <v>48257.7</v>
      </c>
      <c r="X597" s="209">
        <f>IFERROR(VLOOKUP($B597,'Из ГУГЛа'!$B:$G,6,0)*Z597+Y597,VLOOKUP($B597,'Из ГУГЛа'!$B:$G,6,0))</f>
        <v>53090</v>
      </c>
      <c r="Y597" s="220">
        <f t="shared" si="425"/>
        <v>10800</v>
      </c>
      <c r="Z597" s="133">
        <v>1</v>
      </c>
      <c r="AA597" s="134">
        <v>1300</v>
      </c>
      <c r="AB597" s="135">
        <f t="shared" si="427"/>
        <v>0.15036233611442196</v>
      </c>
      <c r="AC597" s="135">
        <f t="shared" si="428"/>
        <v>9.1020907892258487E-2</v>
      </c>
      <c r="AD597" s="135">
        <f t="shared" si="429"/>
        <v>0.26555423122765198</v>
      </c>
      <c r="AE597" s="223">
        <v>53090</v>
      </c>
      <c r="AF597" s="98" t="s">
        <v>623</v>
      </c>
      <c r="AH597" s="98" t="s">
        <v>117</v>
      </c>
    </row>
    <row r="598" spans="1:34" ht="46.5" thickTop="1" thickBot="1">
      <c r="A598" s="125" t="str">
        <f>INDEX('Выгр Торг'!$A:$A,MATCH($B598,'Выгр Торг'!$B:$B,0))</f>
        <v>Руль анатомический "Ferrum" Exclusive (со вставками из алькантары) для Лада Веста, XRAY</v>
      </c>
      <c r="B598" s="126">
        <v>274821</v>
      </c>
      <c r="C598" s="127">
        <f>VLOOKUP($B598,'Выгр Торг'!$B:$Q,C$1,0)</f>
        <v>226580</v>
      </c>
      <c r="D598" s="44" t="s">
        <v>117</v>
      </c>
      <c r="E598" s="125" t="str">
        <f>VLOOKUP($B598,'Выгр Торг'!$B:$Q,E$1,0)</f>
        <v>Руль анатомический "Ferrum" Exclusive (со вставками из алькантары) для Лада Веста, XRAY (Сине-зелёная нить, Чёрный глянец)</v>
      </c>
      <c r="F598" s="127" t="str">
        <f>VLOOKUP($B598,'Выгр Торг'!$B:$Q,F$1,0)</f>
        <v>Y</v>
      </c>
      <c r="G598" s="127" t="str">
        <f>VLOOKUP($B598,'Выгр Торг'!$B:$Q,G$1,0)</f>
        <v>1</v>
      </c>
      <c r="H598" s="127">
        <v>226573</v>
      </c>
      <c r="I598" s="156"/>
      <c r="J598" s="160"/>
      <c r="K598" s="161">
        <v>870</v>
      </c>
      <c r="L598" s="130">
        <f t="shared" si="424"/>
        <v>41120</v>
      </c>
      <c r="M598" s="130">
        <f t="shared" si="419"/>
        <v>42120</v>
      </c>
      <c r="N598" s="130">
        <f t="shared" si="420"/>
        <v>35120</v>
      </c>
      <c r="O598" s="132">
        <f t="shared" si="411"/>
        <v>1.0243190661478598</v>
      </c>
      <c r="P598" s="132">
        <f t="shared" si="414"/>
        <v>1.1499999999999999</v>
      </c>
      <c r="Q598" s="130">
        <f t="shared" si="422"/>
        <v>50847.31182795699</v>
      </c>
      <c r="R598" s="148">
        <f t="shared" si="412"/>
        <v>50890</v>
      </c>
      <c r="S598" s="127">
        <f>VLOOKUP($B598,'Выгр Торг'!$B:$Q,S$1,0)</f>
        <v>41120</v>
      </c>
      <c r="T598" s="127">
        <f>VLOOKUP($B598,'Выгр Торг'!$B:$Q,T$1,0)</f>
        <v>50890</v>
      </c>
      <c r="U598" s="94">
        <f t="shared" si="416"/>
        <v>0</v>
      </c>
      <c r="V598" s="94">
        <f t="shared" si="417"/>
        <v>0</v>
      </c>
      <c r="W598" s="153">
        <f t="shared" si="426"/>
        <v>47327.7</v>
      </c>
      <c r="X598" s="209">
        <f>IFERROR(VLOOKUP($B598,'Из ГУГЛа'!$B:$G,6,0)*Z598+Y598,VLOOKUP($B598,'Из ГУГЛа'!$B:$G,6,0))</f>
        <v>52260</v>
      </c>
      <c r="Y598" s="220">
        <f t="shared" si="425"/>
        <v>9970</v>
      </c>
      <c r="Z598" s="133">
        <v>1</v>
      </c>
      <c r="AA598" s="134"/>
      <c r="AB598" s="135">
        <f t="shared" si="427"/>
        <v>0.15096546692607005</v>
      </c>
      <c r="AC598" s="135">
        <f t="shared" si="428"/>
        <v>9.4380022962112564E-2</v>
      </c>
      <c r="AD598" s="135">
        <f t="shared" si="429"/>
        <v>0.27091439688715946</v>
      </c>
      <c r="AE598" s="223">
        <v>52260</v>
      </c>
      <c r="AF598" s="98" t="s">
        <v>623</v>
      </c>
      <c r="AH598" s="98" t="s">
        <v>117</v>
      </c>
    </row>
    <row r="599" spans="1:34" ht="46.5" thickTop="1" thickBot="1">
      <c r="A599" s="125" t="str">
        <f>INDEX('Выгр Торг'!$A:$A,MATCH($B599,'Выгр Торг'!$B:$B,0))</f>
        <v>Руль анатомический "Ferrum" Exclusive (со вставками из алькантары) для Лада Веста, XRAY</v>
      </c>
      <c r="B599" s="126">
        <v>274833</v>
      </c>
      <c r="C599" s="127">
        <f>VLOOKUP($B599,'Выгр Торг'!$B:$Q,C$1,0)</f>
        <v>226602</v>
      </c>
      <c r="D599" s="44" t="s">
        <v>117</v>
      </c>
      <c r="E599" s="125" t="str">
        <f>VLOOKUP($B599,'Выгр Торг'!$B:$Q,E$1,0)</f>
        <v>Руль анатомический "Ferrum" Exclusive (со вставками из алькантары) для Лада Веста, XRAY (Сине-зелёная нить, Чёрный мат)</v>
      </c>
      <c r="F599" s="127" t="str">
        <f>VLOOKUP($B599,'Выгр Торг'!$B:$Q,F$1,0)</f>
        <v>Y</v>
      </c>
      <c r="G599" s="127" t="str">
        <f>VLOOKUP($B599,'Выгр Торг'!$B:$Q,G$1,0)</f>
        <v>1</v>
      </c>
      <c r="H599" s="127">
        <v>226573</v>
      </c>
      <c r="I599" s="156"/>
      <c r="J599" s="160">
        <v>830</v>
      </c>
      <c r="K599" s="161">
        <v>870</v>
      </c>
      <c r="L599" s="130">
        <f t="shared" si="424"/>
        <v>41950</v>
      </c>
      <c r="M599" s="130">
        <f t="shared" si="419"/>
        <v>42950</v>
      </c>
      <c r="N599" s="130">
        <f t="shared" si="420"/>
        <v>35950</v>
      </c>
      <c r="O599" s="132">
        <f t="shared" si="411"/>
        <v>1.0238379022646007</v>
      </c>
      <c r="P599" s="132">
        <f t="shared" si="414"/>
        <v>1.1499999999999999</v>
      </c>
      <c r="Q599" s="130">
        <f t="shared" si="422"/>
        <v>51873.655913978495</v>
      </c>
      <c r="R599" s="148">
        <f t="shared" si="412"/>
        <v>51890</v>
      </c>
      <c r="S599" s="127">
        <f>VLOOKUP($B599,'Выгр Торг'!$B:$Q,S$1,0)</f>
        <v>41950</v>
      </c>
      <c r="T599" s="127">
        <f>VLOOKUP($B599,'Выгр Торг'!$B:$Q,T$1,0)</f>
        <v>51890</v>
      </c>
      <c r="U599" s="94">
        <f t="shared" si="416"/>
        <v>0</v>
      </c>
      <c r="V599" s="94">
        <f t="shared" si="417"/>
        <v>0</v>
      </c>
      <c r="W599" s="153">
        <f t="shared" si="426"/>
        <v>48257.7</v>
      </c>
      <c r="X599" s="209">
        <f>IFERROR(VLOOKUP($B599,'Из ГУГЛа'!$B:$G,6,0)*Z599+Y599,VLOOKUP($B599,'Из ГУГЛа'!$B:$G,6,0))</f>
        <v>53090</v>
      </c>
      <c r="Y599" s="220">
        <f t="shared" si="425"/>
        <v>10800</v>
      </c>
      <c r="Z599" s="133">
        <v>1</v>
      </c>
      <c r="AA599" s="134">
        <v>1300</v>
      </c>
      <c r="AB599" s="135">
        <f t="shared" si="427"/>
        <v>0.15036233611442196</v>
      </c>
      <c r="AC599" s="135">
        <f t="shared" si="428"/>
        <v>9.1020907892258487E-2</v>
      </c>
      <c r="AD599" s="135">
        <f t="shared" si="429"/>
        <v>0.26555423122765198</v>
      </c>
      <c r="AE599" s="223">
        <v>53090</v>
      </c>
      <c r="AF599" s="98" t="s">
        <v>623</v>
      </c>
      <c r="AH599" s="98" t="s">
        <v>117</v>
      </c>
    </row>
    <row r="600" spans="1:34" ht="46.5" thickTop="1" thickBot="1">
      <c r="A600" s="125" t="str">
        <f>INDEX('Выгр Торг'!$A:$A,MATCH($B600,'Выгр Торг'!$B:$B,0))</f>
        <v>Руль анатомический "Ferrum" Exclusive (со вставками из алькантары) для Лада Веста, XRAY</v>
      </c>
      <c r="B600" s="126">
        <v>274822</v>
      </c>
      <c r="C600" s="127">
        <f>VLOOKUP($B600,'Выгр Торг'!$B:$Q,C$1,0)</f>
        <v>226579</v>
      </c>
      <c r="D600" s="44" t="s">
        <v>117</v>
      </c>
      <c r="E600" s="125" t="str">
        <f>VLOOKUP($B600,'Выгр Торг'!$B:$Q,E$1,0)</f>
        <v>Руль анатомический "Ferrum" Exclusive (со вставками из алькантары) для Лада Веста, XRAY (Синяя нить, Чёрный глянец)</v>
      </c>
      <c r="F600" s="127" t="str">
        <f>VLOOKUP($B600,'Выгр Торг'!$B:$Q,F$1,0)</f>
        <v>Y</v>
      </c>
      <c r="G600" s="127" t="str">
        <f>VLOOKUP($B600,'Выгр Торг'!$B:$Q,G$1,0)</f>
        <v>1</v>
      </c>
      <c r="H600" s="127">
        <v>226573</v>
      </c>
      <c r="I600" s="156"/>
      <c r="J600" s="160"/>
      <c r="K600" s="161">
        <v>870</v>
      </c>
      <c r="L600" s="130">
        <f t="shared" si="424"/>
        <v>41120</v>
      </c>
      <c r="M600" s="130">
        <f t="shared" si="419"/>
        <v>42120</v>
      </c>
      <c r="N600" s="130">
        <f t="shared" si="420"/>
        <v>35120</v>
      </c>
      <c r="O600" s="132">
        <f t="shared" si="411"/>
        <v>1.0243190661478598</v>
      </c>
      <c r="P600" s="132">
        <f t="shared" si="414"/>
        <v>1.1499999999999999</v>
      </c>
      <c r="Q600" s="130">
        <f t="shared" si="422"/>
        <v>50847.31182795699</v>
      </c>
      <c r="R600" s="148">
        <f t="shared" si="412"/>
        <v>50890</v>
      </c>
      <c r="S600" s="127">
        <f>VLOOKUP($B600,'Выгр Торг'!$B:$Q,S$1,0)</f>
        <v>41120</v>
      </c>
      <c r="T600" s="127">
        <f>VLOOKUP($B600,'Выгр Торг'!$B:$Q,T$1,0)</f>
        <v>50890</v>
      </c>
      <c r="U600" s="94">
        <f t="shared" si="416"/>
        <v>0</v>
      </c>
      <c r="V600" s="94">
        <f t="shared" si="417"/>
        <v>0</v>
      </c>
      <c r="W600" s="153">
        <f t="shared" si="426"/>
        <v>47327.7</v>
      </c>
      <c r="X600" s="209">
        <f>IFERROR(VLOOKUP($B600,'Из ГУГЛа'!$B:$G,6,0)*Z600+Y600,VLOOKUP($B600,'Из ГУГЛа'!$B:$G,6,0))</f>
        <v>52260</v>
      </c>
      <c r="Y600" s="220">
        <f t="shared" si="425"/>
        <v>9970</v>
      </c>
      <c r="Z600" s="133">
        <v>1</v>
      </c>
      <c r="AA600" s="134"/>
      <c r="AB600" s="135">
        <f t="shared" si="427"/>
        <v>0.15096546692607005</v>
      </c>
      <c r="AC600" s="135">
        <f t="shared" si="428"/>
        <v>9.4380022962112564E-2</v>
      </c>
      <c r="AD600" s="135">
        <f t="shared" si="429"/>
        <v>0.27091439688715946</v>
      </c>
      <c r="AE600" s="223">
        <v>52260</v>
      </c>
      <c r="AF600" s="98" t="s">
        <v>623</v>
      </c>
      <c r="AH600" s="98" t="s">
        <v>117</v>
      </c>
    </row>
    <row r="601" spans="1:34" ht="46.5" thickTop="1" thickBot="1">
      <c r="A601" s="125" t="str">
        <f>INDEX('Выгр Торг'!$A:$A,MATCH($B601,'Выгр Торг'!$B:$B,0))</f>
        <v>Руль анатомический "Ferrum" Exclusive (со вставками из алькантары) для Лада Веста, XRAY</v>
      </c>
      <c r="B601" s="126">
        <v>274834</v>
      </c>
      <c r="C601" s="127">
        <f>VLOOKUP($B601,'Выгр Торг'!$B:$Q,C$1,0)</f>
        <v>226601</v>
      </c>
      <c r="D601" s="44" t="s">
        <v>117</v>
      </c>
      <c r="E601" s="125" t="str">
        <f>VLOOKUP($B601,'Выгр Торг'!$B:$Q,E$1,0)</f>
        <v>Руль анатомический "Ferrum" Exclusive (со вставками из алькантары) для Лада Веста, XRAY (Синяя нить, Чёрный мат)</v>
      </c>
      <c r="F601" s="127" t="str">
        <f>VLOOKUP($B601,'Выгр Торг'!$B:$Q,F$1,0)</f>
        <v>Y</v>
      </c>
      <c r="G601" s="127" t="str">
        <f>VLOOKUP($B601,'Выгр Торг'!$B:$Q,G$1,0)</f>
        <v>1</v>
      </c>
      <c r="H601" s="127">
        <v>226573</v>
      </c>
      <c r="I601" s="156"/>
      <c r="J601" s="160">
        <v>830</v>
      </c>
      <c r="K601" s="161">
        <v>870</v>
      </c>
      <c r="L601" s="130">
        <f t="shared" si="424"/>
        <v>41950</v>
      </c>
      <c r="M601" s="130">
        <f t="shared" si="419"/>
        <v>42950</v>
      </c>
      <c r="N601" s="130">
        <f t="shared" si="420"/>
        <v>35950</v>
      </c>
      <c r="O601" s="132">
        <f t="shared" si="411"/>
        <v>1.0238379022646007</v>
      </c>
      <c r="P601" s="132">
        <f t="shared" si="414"/>
        <v>1.1499999999999999</v>
      </c>
      <c r="Q601" s="130">
        <f t="shared" si="422"/>
        <v>51873.655913978495</v>
      </c>
      <c r="R601" s="148">
        <f t="shared" si="412"/>
        <v>51890</v>
      </c>
      <c r="S601" s="127">
        <f>VLOOKUP($B601,'Выгр Торг'!$B:$Q,S$1,0)</f>
        <v>41950</v>
      </c>
      <c r="T601" s="127">
        <f>VLOOKUP($B601,'Выгр Торг'!$B:$Q,T$1,0)</f>
        <v>51890</v>
      </c>
      <c r="U601" s="94">
        <f t="shared" si="416"/>
        <v>0</v>
      </c>
      <c r="V601" s="94">
        <f t="shared" si="417"/>
        <v>0</v>
      </c>
      <c r="W601" s="153">
        <f t="shared" si="426"/>
        <v>48257.7</v>
      </c>
      <c r="X601" s="209">
        <f>IFERROR(VLOOKUP($B601,'Из ГУГЛа'!$B:$G,6,0)*Z601+Y601,VLOOKUP($B601,'Из ГУГЛа'!$B:$G,6,0))</f>
        <v>53090</v>
      </c>
      <c r="Y601" s="220">
        <f t="shared" si="425"/>
        <v>10800</v>
      </c>
      <c r="Z601" s="133">
        <v>1</v>
      </c>
      <c r="AA601" s="134">
        <v>1300</v>
      </c>
      <c r="AB601" s="135">
        <f t="shared" si="427"/>
        <v>0.15036233611442196</v>
      </c>
      <c r="AC601" s="135">
        <f t="shared" si="428"/>
        <v>9.1020907892258487E-2</v>
      </c>
      <c r="AD601" s="135">
        <f t="shared" si="429"/>
        <v>0.26555423122765198</v>
      </c>
      <c r="AE601" s="223">
        <v>53090</v>
      </c>
      <c r="AF601" s="98" t="s">
        <v>623</v>
      </c>
      <c r="AH601" s="98" t="s">
        <v>117</v>
      </c>
    </row>
    <row r="602" spans="1:34" ht="46.5" thickTop="1" thickBot="1">
      <c r="A602" s="125" t="str">
        <f>INDEX('Выгр Торг'!$A:$A,MATCH($B602,'Выгр Торг'!$B:$B,0))</f>
        <v>Руль анатомический "Ferrum" Exclusive (со вставками из алькантары) для Лада Веста, XRAY</v>
      </c>
      <c r="B602" s="126">
        <v>274824</v>
      </c>
      <c r="C602" s="127">
        <f>VLOOKUP($B602,'Выгр Торг'!$B:$Q,C$1,0)</f>
        <v>226577</v>
      </c>
      <c r="D602" s="44" t="s">
        <v>117</v>
      </c>
      <c r="E602" s="125" t="str">
        <f>VLOOKUP($B602,'Выгр Торг'!$B:$Q,E$1,0)</f>
        <v>Руль анатомический "Ferrum" Exclusive (со вставками из алькантары) для Лада Веста, XRAY (Тёмно-серая нить, Чёрный глянец)</v>
      </c>
      <c r="F602" s="127" t="str">
        <f>VLOOKUP($B602,'Выгр Торг'!$B:$Q,F$1,0)</f>
        <v>Y</v>
      </c>
      <c r="G602" s="127" t="str">
        <f>VLOOKUP($B602,'Выгр Торг'!$B:$Q,G$1,0)</f>
        <v>1</v>
      </c>
      <c r="H602" s="127">
        <v>226573</v>
      </c>
      <c r="I602" s="156"/>
      <c r="J602" s="160"/>
      <c r="K602" s="161">
        <v>870</v>
      </c>
      <c r="L602" s="130">
        <f t="shared" si="424"/>
        <v>41120</v>
      </c>
      <c r="M602" s="130">
        <f t="shared" si="419"/>
        <v>42120</v>
      </c>
      <c r="N602" s="130">
        <f t="shared" si="420"/>
        <v>35120</v>
      </c>
      <c r="O602" s="132">
        <f t="shared" si="411"/>
        <v>1.0243190661478598</v>
      </c>
      <c r="P602" s="132">
        <f t="shared" si="414"/>
        <v>1.1499999999999999</v>
      </c>
      <c r="Q602" s="130">
        <f t="shared" si="422"/>
        <v>50847.31182795699</v>
      </c>
      <c r="R602" s="148">
        <f t="shared" si="412"/>
        <v>50890</v>
      </c>
      <c r="S602" s="127">
        <f>VLOOKUP($B602,'Выгр Торг'!$B:$Q,S$1,0)</f>
        <v>41120</v>
      </c>
      <c r="T602" s="127">
        <f>VLOOKUP($B602,'Выгр Торг'!$B:$Q,T$1,0)</f>
        <v>50890</v>
      </c>
      <c r="U602" s="94">
        <f t="shared" si="416"/>
        <v>0</v>
      </c>
      <c r="V602" s="94">
        <f t="shared" si="417"/>
        <v>0</v>
      </c>
      <c r="W602" s="153">
        <f t="shared" si="426"/>
        <v>47327.7</v>
      </c>
      <c r="X602" s="209">
        <f>IFERROR(VLOOKUP($B602,'Из ГУГЛа'!$B:$G,6,0)*Z602+Y602,VLOOKUP($B602,'Из ГУГЛа'!$B:$G,6,0))</f>
        <v>52260</v>
      </c>
      <c r="Y602" s="220">
        <f t="shared" si="425"/>
        <v>9970</v>
      </c>
      <c r="Z602" s="133">
        <v>1</v>
      </c>
      <c r="AA602" s="134"/>
      <c r="AB602" s="135">
        <f t="shared" si="427"/>
        <v>0.15096546692607005</v>
      </c>
      <c r="AC602" s="135">
        <f t="shared" si="428"/>
        <v>9.4380022962112564E-2</v>
      </c>
      <c r="AD602" s="135">
        <f t="shared" si="429"/>
        <v>0.27091439688715946</v>
      </c>
      <c r="AE602" s="223">
        <v>52260</v>
      </c>
      <c r="AF602" s="98" t="s">
        <v>623</v>
      </c>
      <c r="AH602" s="98" t="s">
        <v>117</v>
      </c>
    </row>
    <row r="603" spans="1:34" ht="46.5" thickTop="1" thickBot="1">
      <c r="A603" s="125" t="str">
        <f>INDEX('Выгр Торг'!$A:$A,MATCH($B603,'Выгр Торг'!$B:$B,0))</f>
        <v>Руль анатомический "Ferrum" Exclusive (со вставками из алькантары) для Лада Веста, XRAY</v>
      </c>
      <c r="B603" s="126">
        <v>274836</v>
      </c>
      <c r="C603" s="127">
        <f>VLOOKUP($B603,'Выгр Торг'!$B:$Q,C$1,0)</f>
        <v>226599</v>
      </c>
      <c r="D603" s="44" t="s">
        <v>117</v>
      </c>
      <c r="E603" s="125" t="str">
        <f>VLOOKUP($B603,'Выгр Торг'!$B:$Q,E$1,0)</f>
        <v>Руль анатомический "Ferrum" Exclusive (со вставками из алькантары) для Лада Веста, XRAY (Тёмно-серая нить, Чёрный мат)</v>
      </c>
      <c r="F603" s="127" t="str">
        <f>VLOOKUP($B603,'Выгр Торг'!$B:$Q,F$1,0)</f>
        <v>Y</v>
      </c>
      <c r="G603" s="127" t="str">
        <f>VLOOKUP($B603,'Выгр Торг'!$B:$Q,G$1,0)</f>
        <v>1</v>
      </c>
      <c r="H603" s="127">
        <v>226573</v>
      </c>
      <c r="I603" s="156"/>
      <c r="J603" s="160">
        <v>830</v>
      </c>
      <c r="K603" s="161">
        <v>870</v>
      </c>
      <c r="L603" s="130">
        <f t="shared" si="424"/>
        <v>41950</v>
      </c>
      <c r="M603" s="130">
        <f t="shared" si="419"/>
        <v>42950</v>
      </c>
      <c r="N603" s="130">
        <f t="shared" si="420"/>
        <v>35950</v>
      </c>
      <c r="O603" s="132">
        <f t="shared" si="411"/>
        <v>1.0238379022646007</v>
      </c>
      <c r="P603" s="132">
        <f t="shared" si="414"/>
        <v>1.1499999999999999</v>
      </c>
      <c r="Q603" s="130">
        <f t="shared" si="422"/>
        <v>51873.655913978495</v>
      </c>
      <c r="R603" s="148">
        <f t="shared" si="412"/>
        <v>51890</v>
      </c>
      <c r="S603" s="127">
        <f>VLOOKUP($B603,'Выгр Торг'!$B:$Q,S$1,0)</f>
        <v>41950</v>
      </c>
      <c r="T603" s="127">
        <f>VLOOKUP($B603,'Выгр Торг'!$B:$Q,T$1,0)</f>
        <v>51890</v>
      </c>
      <c r="U603" s="94">
        <f t="shared" si="416"/>
        <v>0</v>
      </c>
      <c r="V603" s="94">
        <f t="shared" si="417"/>
        <v>0</v>
      </c>
      <c r="W603" s="153">
        <f t="shared" si="426"/>
        <v>48257.7</v>
      </c>
      <c r="X603" s="209">
        <f>IFERROR(VLOOKUP($B603,'Из ГУГЛа'!$B:$G,6,0)*Z603+Y603,VLOOKUP($B603,'Из ГУГЛа'!$B:$G,6,0))</f>
        <v>53090</v>
      </c>
      <c r="Y603" s="220">
        <f t="shared" si="425"/>
        <v>10800</v>
      </c>
      <c r="Z603" s="133">
        <v>1</v>
      </c>
      <c r="AA603" s="134">
        <v>1300</v>
      </c>
      <c r="AB603" s="135">
        <f t="shared" si="427"/>
        <v>0.15036233611442196</v>
      </c>
      <c r="AC603" s="135">
        <f t="shared" si="428"/>
        <v>9.1020907892258487E-2</v>
      </c>
      <c r="AD603" s="135">
        <f t="shared" si="429"/>
        <v>0.26555423122765198</v>
      </c>
      <c r="AE603" s="223">
        <v>53090</v>
      </c>
      <c r="AF603" s="98" t="s">
        <v>623</v>
      </c>
      <c r="AH603" s="98" t="s">
        <v>117</v>
      </c>
    </row>
    <row r="604" spans="1:34" ht="46.5" thickTop="1" thickBot="1">
      <c r="A604" s="125" t="str">
        <f>INDEX('Выгр Торг'!$A:$A,MATCH($B604,'Выгр Торг'!$B:$B,0))</f>
        <v>Руль анатомический "Ferrum" Exclusive (со вставками из алькантары) для Лада Веста, XRAY</v>
      </c>
      <c r="B604" s="126">
        <v>274816</v>
      </c>
      <c r="C604" s="127">
        <f>VLOOKUP($B604,'Выгр Торг'!$B:$Q,C$1,0)</f>
        <v>226576</v>
      </c>
      <c r="D604" s="44" t="s">
        <v>117</v>
      </c>
      <c r="E604" s="125" t="str">
        <f>VLOOKUP($B604,'Выгр Торг'!$B:$Q,E$1,0)</f>
        <v>Руль анатомический "Ferrum" Exclusive (со вставками из алькантары) для Лада Веста, XRAY (Фиолетовая нить, Чёрный глянец)</v>
      </c>
      <c r="F604" s="127" t="str">
        <f>VLOOKUP($B604,'Выгр Торг'!$B:$Q,F$1,0)</f>
        <v>Y</v>
      </c>
      <c r="G604" s="127" t="str">
        <f>VLOOKUP($B604,'Выгр Торг'!$B:$Q,G$1,0)</f>
        <v>1</v>
      </c>
      <c r="H604" s="127">
        <v>226573</v>
      </c>
      <c r="I604" s="156"/>
      <c r="J604" s="160"/>
      <c r="K604" s="161">
        <v>870</v>
      </c>
      <c r="L604" s="130">
        <f t="shared" si="424"/>
        <v>41120</v>
      </c>
      <c r="M604" s="130">
        <f t="shared" si="419"/>
        <v>42120</v>
      </c>
      <c r="N604" s="130">
        <f t="shared" si="420"/>
        <v>35120</v>
      </c>
      <c r="O604" s="132">
        <f t="shared" si="411"/>
        <v>1.0243190661478598</v>
      </c>
      <c r="P604" s="132">
        <f t="shared" si="414"/>
        <v>1.1499999999999999</v>
      </c>
      <c r="Q604" s="130">
        <f t="shared" si="422"/>
        <v>50847.31182795699</v>
      </c>
      <c r="R604" s="148">
        <f t="shared" si="412"/>
        <v>50890</v>
      </c>
      <c r="S604" s="127">
        <f>VLOOKUP($B604,'Выгр Торг'!$B:$Q,S$1,0)</f>
        <v>41120</v>
      </c>
      <c r="T604" s="127">
        <f>VLOOKUP($B604,'Выгр Торг'!$B:$Q,T$1,0)</f>
        <v>50890</v>
      </c>
      <c r="U604" s="94">
        <f t="shared" si="416"/>
        <v>0</v>
      </c>
      <c r="V604" s="94">
        <f t="shared" si="417"/>
        <v>0</v>
      </c>
      <c r="W604" s="153">
        <f t="shared" si="426"/>
        <v>47327.7</v>
      </c>
      <c r="X604" s="209">
        <f>IFERROR(VLOOKUP($B604,'Из ГУГЛа'!$B:$G,6,0)*Z604+Y604,VLOOKUP($B604,'Из ГУГЛа'!$B:$G,6,0))</f>
        <v>52260</v>
      </c>
      <c r="Y604" s="220">
        <f t="shared" si="425"/>
        <v>9970</v>
      </c>
      <c r="Z604" s="133">
        <v>1</v>
      </c>
      <c r="AA604" s="134"/>
      <c r="AB604" s="135">
        <f t="shared" si="427"/>
        <v>0.15096546692607005</v>
      </c>
      <c r="AC604" s="135">
        <f t="shared" si="428"/>
        <v>9.4380022962112564E-2</v>
      </c>
      <c r="AD604" s="135">
        <f t="shared" si="429"/>
        <v>0.27091439688715946</v>
      </c>
      <c r="AE604" s="223">
        <v>52260</v>
      </c>
      <c r="AF604" s="98" t="s">
        <v>623</v>
      </c>
      <c r="AH604" s="98" t="s">
        <v>117</v>
      </c>
    </row>
    <row r="605" spans="1:34" ht="46.5" thickTop="1" thickBot="1">
      <c r="A605" s="125" t="str">
        <f>INDEX('Выгр Торг'!$A:$A,MATCH($B605,'Выгр Торг'!$B:$B,0))</f>
        <v>Руль анатомический "Ferrum" Exclusive (со вставками из алькантары) для Лада Веста, XRAY</v>
      </c>
      <c r="B605" s="126">
        <v>274828</v>
      </c>
      <c r="C605" s="127">
        <f>VLOOKUP($B605,'Выгр Торг'!$B:$Q,C$1,0)</f>
        <v>226598</v>
      </c>
      <c r="D605" s="44" t="s">
        <v>117</v>
      </c>
      <c r="E605" s="125" t="str">
        <f>VLOOKUP($B605,'Выгр Торг'!$B:$Q,E$1,0)</f>
        <v>Руль анатомический "Ferrum" Exclusive (со вставками из алькантары) для Лада Веста, XRAY (Фиолетовая нить, Чёрный мат)</v>
      </c>
      <c r="F605" s="127" t="str">
        <f>VLOOKUP($B605,'Выгр Торг'!$B:$Q,F$1,0)</f>
        <v>Y</v>
      </c>
      <c r="G605" s="127" t="str">
        <f>VLOOKUP($B605,'Выгр Торг'!$B:$Q,G$1,0)</f>
        <v>1</v>
      </c>
      <c r="H605" s="127">
        <v>226573</v>
      </c>
      <c r="I605" s="156"/>
      <c r="J605" s="160">
        <v>830</v>
      </c>
      <c r="K605" s="161">
        <v>870</v>
      </c>
      <c r="L605" s="130">
        <f t="shared" si="424"/>
        <v>41950</v>
      </c>
      <c r="M605" s="130">
        <f t="shared" si="419"/>
        <v>42950</v>
      </c>
      <c r="N605" s="130">
        <f t="shared" si="420"/>
        <v>35950</v>
      </c>
      <c r="O605" s="132">
        <f t="shared" si="411"/>
        <v>1.0238379022646007</v>
      </c>
      <c r="P605" s="132">
        <f t="shared" si="414"/>
        <v>1.1499999999999999</v>
      </c>
      <c r="Q605" s="130">
        <f t="shared" si="422"/>
        <v>51873.655913978495</v>
      </c>
      <c r="R605" s="148">
        <f t="shared" si="412"/>
        <v>51890</v>
      </c>
      <c r="S605" s="127">
        <f>VLOOKUP($B605,'Выгр Торг'!$B:$Q,S$1,0)</f>
        <v>41950</v>
      </c>
      <c r="T605" s="127">
        <f>VLOOKUP($B605,'Выгр Торг'!$B:$Q,T$1,0)</f>
        <v>51890</v>
      </c>
      <c r="U605" s="94">
        <f t="shared" si="416"/>
        <v>0</v>
      </c>
      <c r="V605" s="94">
        <f t="shared" si="417"/>
        <v>0</v>
      </c>
      <c r="W605" s="153">
        <f t="shared" si="426"/>
        <v>48257.7</v>
      </c>
      <c r="X605" s="209">
        <f>IFERROR(VLOOKUP($B605,'Из ГУГЛа'!$B:$G,6,0)*Z605+Y605,VLOOKUP($B605,'Из ГУГЛа'!$B:$G,6,0))</f>
        <v>53090</v>
      </c>
      <c r="Y605" s="220">
        <f t="shared" si="425"/>
        <v>10800</v>
      </c>
      <c r="Z605" s="133">
        <v>1</v>
      </c>
      <c r="AA605" s="134">
        <v>1300</v>
      </c>
      <c r="AB605" s="135">
        <f t="shared" si="427"/>
        <v>0.15036233611442196</v>
      </c>
      <c r="AC605" s="135">
        <f t="shared" si="428"/>
        <v>9.1020907892258487E-2</v>
      </c>
      <c r="AD605" s="135">
        <f t="shared" si="429"/>
        <v>0.26555423122765198</v>
      </c>
      <c r="AE605" s="223">
        <v>53090</v>
      </c>
      <c r="AF605" s="98" t="s">
        <v>623</v>
      </c>
      <c r="AH605" s="98" t="s">
        <v>117</v>
      </c>
    </row>
    <row r="606" spans="1:34" ht="46.5" thickTop="1" thickBot="1">
      <c r="A606" s="125" t="str">
        <f>INDEX('Выгр Торг'!$A:$A,MATCH($B606,'Выгр Торг'!$B:$B,0))</f>
        <v>Руль анатомический "Ferrum" Grand Premium (со вставками из алькантары) для Лада Веста, XRAY</v>
      </c>
      <c r="B606" s="126">
        <v>274922</v>
      </c>
      <c r="C606" s="127">
        <f>VLOOKUP($B606,'Выгр Торг'!$B:$Q,C$1,0)</f>
        <v>226815</v>
      </c>
      <c r="D606" s="44" t="s">
        <v>115</v>
      </c>
      <c r="E606" s="125" t="str">
        <f>VLOOKUP($B606,'Выгр Торг'!$B:$Q,E$1,0)</f>
        <v>Руль анатомический "Ferrum" Grand Premium (со вставками из алькантары) для Лада Веста, XRAY (Чёрная нить, Чёрный глянец)</v>
      </c>
      <c r="F606" s="127" t="str">
        <f>VLOOKUP($B606,'Выгр Торг'!$B:$Q,F$1,0)</f>
        <v>Y</v>
      </c>
      <c r="G606" s="127" t="str">
        <f>VLOOKUP($B606,'Выгр Торг'!$B:$Q,G$1,0)</f>
        <v>1</v>
      </c>
      <c r="H606" s="127">
        <v>226815</v>
      </c>
      <c r="I606" s="156"/>
      <c r="J606" s="160">
        <v>7000</v>
      </c>
      <c r="K606" s="161">
        <v>0</v>
      </c>
      <c r="L606" s="130">
        <f>M606-1000</f>
        <v>40250</v>
      </c>
      <c r="M606" s="131">
        <f>N606+J606</f>
        <v>41250</v>
      </c>
      <c r="N606" s="131">
        <v>34250</v>
      </c>
      <c r="O606" s="132">
        <f>M606/L606</f>
        <v>1.0248447204968945</v>
      </c>
      <c r="P606" s="132">
        <f t="shared" si="414"/>
        <v>1.1499999999999999</v>
      </c>
      <c r="Q606" s="147">
        <f t="shared" ref="Q606" si="430">L606*P606*100/93</f>
        <v>49771.505376344088</v>
      </c>
      <c r="R606" s="148">
        <f>IF(Q606&lt;=1000,(ROUNDUP(Q606,-2)-1),(ROUNDUP(Q606,-2)-10))</f>
        <v>49790</v>
      </c>
      <c r="S606" s="127">
        <f>VLOOKUP($B606,'Выгр Торг'!$B:$Q,S$1,0)</f>
        <v>40250</v>
      </c>
      <c r="T606" s="127">
        <f>VLOOKUP($B606,'Выгр Торг'!$B:$Q,T$1,0)</f>
        <v>49790</v>
      </c>
      <c r="U606" s="94">
        <f t="shared" si="416"/>
        <v>0</v>
      </c>
      <c r="V606" s="94">
        <f t="shared" si="417"/>
        <v>0</v>
      </c>
      <c r="W606" s="153">
        <f>R606*(1-$W$2)</f>
        <v>46304.7</v>
      </c>
      <c r="X606" s="209">
        <f>IFERROR(VLOOKUP($B606,'Из ГУГЛа'!$B:$G,6,0)*Z606+Y606,VLOOKUP($B606,'Из ГУГЛа'!$B:$G,6,0))</f>
        <v>51390</v>
      </c>
      <c r="Y606" s="106">
        <f>(J606+K606)*$Y$2</f>
        <v>9100</v>
      </c>
      <c r="Z606" s="133">
        <v>1</v>
      </c>
      <c r="AA606" s="134"/>
      <c r="AB606" s="135">
        <f>IFERROR(W606/L606-1,"")</f>
        <v>0.15042732919254642</v>
      </c>
      <c r="AC606" s="135">
        <f>IFERROR((AE606-W606)/AE606,"")</f>
        <v>9.8955049620548796E-2</v>
      </c>
      <c r="AD606" s="135">
        <f>IFERROR(IF(AE606="","",AE606/L606-1),"")</f>
        <v>0.27677018633540373</v>
      </c>
      <c r="AE606" s="137">
        <v>51390</v>
      </c>
      <c r="AF606" s="98" t="s">
        <v>621</v>
      </c>
      <c r="AH606" s="98" t="s">
        <v>115</v>
      </c>
    </row>
    <row r="607" spans="1:34" ht="46.5" thickTop="1" thickBot="1">
      <c r="A607" s="125" t="str">
        <f>INDEX('Выгр Торг'!$A:$A,MATCH($B607,'Выгр Торг'!$B:$B,0))</f>
        <v>Руль анатомический "Ferrum" Grand Premium (со вставками из алькантары) для Лада Веста, XRAY</v>
      </c>
      <c r="B607" s="126">
        <v>274923</v>
      </c>
      <c r="C607" s="127">
        <f>VLOOKUP($B607,'Выгр Торг'!$B:$Q,C$1,0)</f>
        <v>226816</v>
      </c>
      <c r="D607" s="44" t="s">
        <v>115</v>
      </c>
      <c r="E607" s="125" t="str">
        <f>VLOOKUP($B607,'Выгр Торг'!$B:$Q,E$1,0)</f>
        <v>Руль анатомический "Ferrum" Grand Premium (со вставками из алькантары) для Лада Веста, XRAY (Чёрная нить, Чёрный мат)</v>
      </c>
      <c r="F607" s="127" t="str">
        <f>VLOOKUP($B607,'Выгр Торг'!$B:$Q,F$1,0)</f>
        <v>Y</v>
      </c>
      <c r="G607" s="127" t="str">
        <f>VLOOKUP($B607,'Выгр Торг'!$B:$Q,G$1,0)</f>
        <v>1</v>
      </c>
      <c r="H607" s="127">
        <v>226815</v>
      </c>
      <c r="I607" s="156"/>
      <c r="J607" s="161">
        <v>830</v>
      </c>
      <c r="K607" s="161">
        <v>0</v>
      </c>
      <c r="L607" s="130">
        <f t="shared" ref="L607" si="431">M607-1000</f>
        <v>41080</v>
      </c>
      <c r="M607" s="130">
        <f t="shared" ref="M607:M631" si="432">INDEX($M:$M,MATCH($H607,$C:$C,0))+$K607+$J607</f>
        <v>42080</v>
      </c>
      <c r="N607" s="130">
        <f t="shared" ref="N607:N631" si="433">INDEX($N:$N,MATCH($H607,$C:$C,0))+$K607+$J607</f>
        <v>35080</v>
      </c>
      <c r="O607" s="132">
        <f t="shared" ref="O607" si="434">M607/L607</f>
        <v>1.0243427458617331</v>
      </c>
      <c r="P607" s="132">
        <f t="shared" si="414"/>
        <v>1.1499999999999999</v>
      </c>
      <c r="Q607" s="130">
        <f t="shared" ref="Q607:Q631" si="435">INDEX($Q:$Q,MATCH($H607,$C:$C,0))+($K607+$J607)*INDEX($P:$P,MATCH($H607,$C:$C,0))*100/93</f>
        <v>50797.849462365593</v>
      </c>
      <c r="R607" s="148">
        <f t="shared" ref="R607" si="436">IF(Q607&lt;=1000,(ROUNDUP(Q607,-2)-1),(ROUNDUP(Q607,-2)-10))</f>
        <v>50790</v>
      </c>
      <c r="S607" s="127">
        <f>VLOOKUP($B607,'Выгр Торг'!$B:$Q,S$1,0)</f>
        <v>41080</v>
      </c>
      <c r="T607" s="127">
        <f>VLOOKUP($B607,'Выгр Торг'!$B:$Q,T$1,0)</f>
        <v>50790</v>
      </c>
      <c r="U607" s="94">
        <f t="shared" si="416"/>
        <v>0</v>
      </c>
      <c r="V607" s="94">
        <f t="shared" si="417"/>
        <v>0</v>
      </c>
      <c r="W607" s="153">
        <f>R607*(1-$W$2)</f>
        <v>47234.7</v>
      </c>
      <c r="X607" s="209">
        <f>IFERROR(VLOOKUP($B607,'Из ГУГЛа'!$B:$G,6,0)*Z607+Y607,VLOOKUP($B607,'Из ГУГЛа'!$B:$G,6,0))</f>
        <v>43369</v>
      </c>
      <c r="Y607" s="106">
        <f>(J607+K607)*$Y$2</f>
        <v>1079</v>
      </c>
      <c r="Z607" s="133">
        <v>1</v>
      </c>
      <c r="AA607" s="134">
        <v>1300</v>
      </c>
      <c r="AB607" s="135">
        <f>IFERROR(W607/L607-1,"")</f>
        <v>0.14982229795520929</v>
      </c>
      <c r="AC607" s="135">
        <f>IFERROR((AE607-W607)/AE607,"")</f>
        <v>-8.9135096497498151E-2</v>
      </c>
      <c r="AD607" s="135">
        <f>IFERROR(IF(AE607="","",AE607/L607-1),"")</f>
        <v>5.5720545277507361E-2</v>
      </c>
      <c r="AE607" s="137">
        <v>43369</v>
      </c>
      <c r="AF607" s="98" t="s">
        <v>621</v>
      </c>
      <c r="AH607" s="98" t="s">
        <v>115</v>
      </c>
    </row>
    <row r="608" spans="1:34" ht="46.5" thickTop="1" thickBot="1">
      <c r="A608" s="125" t="str">
        <f>INDEX('Выгр Торг'!$A:$A,MATCH($B608,'Выгр Торг'!$B:$B,0))</f>
        <v>Руль анатомический "Ferrum" Grand Premium (со вставками из алькантары) для Лада Веста, XRAY</v>
      </c>
      <c r="B608" s="126">
        <v>274924</v>
      </c>
      <c r="C608" s="127">
        <f>VLOOKUP($B608,'Выгр Торг'!$B:$Q,C$1,0)</f>
        <v>226829</v>
      </c>
      <c r="D608" s="44" t="s">
        <v>115</v>
      </c>
      <c r="E608" s="125" t="str">
        <f>VLOOKUP($B608,'Выгр Торг'!$B:$Q,E$1,0)</f>
        <v>Руль анатомический "Ferrum" Grand Premium (со вставками из алькантары) для Лада Веста, XRAY (Белая нить, Чёрный глянец)</v>
      </c>
      <c r="F608" s="127" t="str">
        <f>VLOOKUP($B608,'Выгр Торг'!$B:$Q,F$1,0)</f>
        <v>Y</v>
      </c>
      <c r="G608" s="127" t="str">
        <f>VLOOKUP($B608,'Выгр Торг'!$B:$Q,G$1,0)</f>
        <v>1</v>
      </c>
      <c r="H608" s="127">
        <v>226815</v>
      </c>
      <c r="I608" s="156"/>
      <c r="J608" s="160"/>
      <c r="K608" s="161">
        <v>870</v>
      </c>
      <c r="L608" s="130">
        <f t="shared" ref="L608:L631" si="437">M608-1000</f>
        <v>41120</v>
      </c>
      <c r="M608" s="130">
        <f t="shared" si="432"/>
        <v>42120</v>
      </c>
      <c r="N608" s="130">
        <f t="shared" si="433"/>
        <v>35120</v>
      </c>
      <c r="O608" s="132">
        <f t="shared" ref="O608:O631" si="438">M608/L608</f>
        <v>1.0243190661478598</v>
      </c>
      <c r="P608" s="132">
        <f t="shared" si="414"/>
        <v>1.1499999999999999</v>
      </c>
      <c r="Q608" s="130">
        <f t="shared" si="435"/>
        <v>50847.31182795699</v>
      </c>
      <c r="R608" s="148">
        <f t="shared" ref="R608:R631" si="439">IF(Q608&lt;=1000,(ROUNDUP(Q608,-2)-1),(ROUNDUP(Q608,-2)-10))</f>
        <v>50890</v>
      </c>
      <c r="S608" s="127">
        <f>VLOOKUP($B608,'Выгр Торг'!$B:$Q,S$1,0)</f>
        <v>41120</v>
      </c>
      <c r="T608" s="127">
        <f>VLOOKUP($B608,'Выгр Торг'!$B:$Q,T$1,0)</f>
        <v>50890</v>
      </c>
      <c r="U608" s="94">
        <f t="shared" si="416"/>
        <v>0</v>
      </c>
      <c r="V608" s="94">
        <f t="shared" si="417"/>
        <v>0</v>
      </c>
      <c r="W608" s="153">
        <f t="shared" si="426"/>
        <v>47327.7</v>
      </c>
      <c r="X608" s="209">
        <f>IFERROR(VLOOKUP($B608,'Из ГУГЛа'!$B:$G,6,0)*Z608+Y608,VLOOKUP($B608,'Из ГУГЛа'!$B:$G,6,0))</f>
        <v>52260</v>
      </c>
      <c r="Y608" s="220">
        <f t="shared" ref="Y608:Y631" si="440">INDEX($Y:$Y,MATCH($H608,$C:$C,0))+J608+K608</f>
        <v>9970</v>
      </c>
      <c r="Z608" s="133">
        <v>1</v>
      </c>
      <c r="AA608" s="134"/>
      <c r="AB608" s="135">
        <f t="shared" si="427"/>
        <v>0.15096546692607005</v>
      </c>
      <c r="AC608" s="135">
        <f t="shared" si="428"/>
        <v>9.4380022962112564E-2</v>
      </c>
      <c r="AD608" s="135">
        <f t="shared" si="429"/>
        <v>0.27091439688715946</v>
      </c>
      <c r="AE608" s="223">
        <v>52260</v>
      </c>
      <c r="AF608" s="98" t="s">
        <v>621</v>
      </c>
      <c r="AH608" s="98" t="s">
        <v>115</v>
      </c>
    </row>
    <row r="609" spans="1:34" ht="46.5" thickTop="1" thickBot="1">
      <c r="A609" s="125" t="str">
        <f>INDEX('Выгр Торг'!$A:$A,MATCH($B609,'Выгр Торг'!$B:$B,0))</f>
        <v>Руль анатомический "Ferrum" Grand Premium (со вставками из алькантары) для Лада Веста, XRAY</v>
      </c>
      <c r="B609" s="126">
        <v>274936</v>
      </c>
      <c r="C609" s="127">
        <f>VLOOKUP($B609,'Выгр Торг'!$B:$Q,C$1,0)</f>
        <v>226841</v>
      </c>
      <c r="D609" s="44" t="s">
        <v>115</v>
      </c>
      <c r="E609" s="125" t="str">
        <f>VLOOKUP($B609,'Выгр Торг'!$B:$Q,E$1,0)</f>
        <v>Руль анатомический "Ferrum" Grand Premium (со вставками из алькантары) для Лада Веста, XRAY (Белая нить, Чёрный мат)</v>
      </c>
      <c r="F609" s="127" t="str">
        <f>VLOOKUP($B609,'Выгр Торг'!$B:$Q,F$1,0)</f>
        <v>Y</v>
      </c>
      <c r="G609" s="127" t="str">
        <f>VLOOKUP($B609,'Выгр Торг'!$B:$Q,G$1,0)</f>
        <v>1</v>
      </c>
      <c r="H609" s="127">
        <v>226815</v>
      </c>
      <c r="I609" s="156"/>
      <c r="J609" s="160">
        <v>830</v>
      </c>
      <c r="K609" s="161">
        <v>870</v>
      </c>
      <c r="L609" s="130">
        <f t="shared" si="437"/>
        <v>41950</v>
      </c>
      <c r="M609" s="130">
        <f t="shared" si="432"/>
        <v>42950</v>
      </c>
      <c r="N609" s="130">
        <f t="shared" si="433"/>
        <v>35950</v>
      </c>
      <c r="O609" s="132">
        <f t="shared" si="438"/>
        <v>1.0238379022646007</v>
      </c>
      <c r="P609" s="132">
        <f t="shared" si="414"/>
        <v>1.1499999999999999</v>
      </c>
      <c r="Q609" s="130">
        <f t="shared" si="435"/>
        <v>51873.655913978495</v>
      </c>
      <c r="R609" s="148">
        <f t="shared" si="439"/>
        <v>51890</v>
      </c>
      <c r="S609" s="127">
        <f>VLOOKUP($B609,'Выгр Торг'!$B:$Q,S$1,0)</f>
        <v>41950</v>
      </c>
      <c r="T609" s="127">
        <f>VLOOKUP($B609,'Выгр Торг'!$B:$Q,T$1,0)</f>
        <v>51890</v>
      </c>
      <c r="U609" s="94">
        <f t="shared" si="416"/>
        <v>0</v>
      </c>
      <c r="V609" s="94">
        <f t="shared" si="417"/>
        <v>0</v>
      </c>
      <c r="W609" s="153">
        <f t="shared" si="426"/>
        <v>48257.7</v>
      </c>
      <c r="X609" s="209">
        <f>IFERROR(VLOOKUP($B609,'Из ГУГЛа'!$B:$G,6,0)*Z609+Y609,VLOOKUP($B609,'Из ГУГЛа'!$B:$G,6,0))</f>
        <v>53090</v>
      </c>
      <c r="Y609" s="220">
        <f t="shared" si="440"/>
        <v>10800</v>
      </c>
      <c r="Z609" s="133">
        <v>1</v>
      </c>
      <c r="AA609" s="134">
        <v>1300</v>
      </c>
      <c r="AB609" s="135">
        <f t="shared" si="427"/>
        <v>0.15036233611442196</v>
      </c>
      <c r="AC609" s="135">
        <f t="shared" si="428"/>
        <v>9.1020907892258487E-2</v>
      </c>
      <c r="AD609" s="135">
        <f t="shared" si="429"/>
        <v>0.26555423122765198</v>
      </c>
      <c r="AE609" s="223">
        <v>53090</v>
      </c>
      <c r="AF609" s="98" t="s">
        <v>621</v>
      </c>
      <c r="AH609" s="98" t="s">
        <v>115</v>
      </c>
    </row>
    <row r="610" spans="1:34" ht="46.5" thickTop="1" thickBot="1">
      <c r="A610" s="125" t="str">
        <f>INDEX('Выгр Торг'!$A:$A,MATCH($B610,'Выгр Торг'!$B:$B,0))</f>
        <v>Руль анатомический "Ferrum" Grand Premium (со вставками из алькантары) для Лада Веста, XRAY</v>
      </c>
      <c r="B610" s="126">
        <v>274935</v>
      </c>
      <c r="C610" s="127">
        <f>VLOOKUP($B610,'Выгр Торг'!$B:$Q,C$1,0)</f>
        <v>226824</v>
      </c>
      <c r="D610" s="44" t="s">
        <v>115</v>
      </c>
      <c r="E610" s="125" t="str">
        <f>VLOOKUP($B610,'Выгр Торг'!$B:$Q,E$1,0)</f>
        <v>Руль анатомический "Ferrum" Grand Premium (со вставками из алькантары) для Лада Веста, XRAY (Жёлтая нить, Чёрный глянец)</v>
      </c>
      <c r="F610" s="127" t="str">
        <f>VLOOKUP($B610,'Выгр Торг'!$B:$Q,F$1,0)</f>
        <v>Y</v>
      </c>
      <c r="G610" s="127" t="str">
        <f>VLOOKUP($B610,'Выгр Торг'!$B:$Q,G$1,0)</f>
        <v>1</v>
      </c>
      <c r="H610" s="127">
        <v>226815</v>
      </c>
      <c r="I610" s="156"/>
      <c r="J610" s="160"/>
      <c r="K610" s="161">
        <v>870</v>
      </c>
      <c r="L610" s="130">
        <f t="shared" si="437"/>
        <v>41120</v>
      </c>
      <c r="M610" s="130">
        <f t="shared" si="432"/>
        <v>42120</v>
      </c>
      <c r="N610" s="130">
        <f t="shared" si="433"/>
        <v>35120</v>
      </c>
      <c r="O610" s="132">
        <f t="shared" si="438"/>
        <v>1.0243190661478598</v>
      </c>
      <c r="P610" s="132">
        <f t="shared" si="414"/>
        <v>1.1499999999999999</v>
      </c>
      <c r="Q610" s="130">
        <f t="shared" si="435"/>
        <v>50847.31182795699</v>
      </c>
      <c r="R610" s="148">
        <f t="shared" si="439"/>
        <v>50890</v>
      </c>
      <c r="S610" s="127">
        <f>VLOOKUP($B610,'Выгр Торг'!$B:$Q,S$1,0)</f>
        <v>41120</v>
      </c>
      <c r="T610" s="127">
        <f>VLOOKUP($B610,'Выгр Торг'!$B:$Q,T$1,0)</f>
        <v>50890</v>
      </c>
      <c r="U610" s="94">
        <f t="shared" si="416"/>
        <v>0</v>
      </c>
      <c r="V610" s="94">
        <f t="shared" si="417"/>
        <v>0</v>
      </c>
      <c r="W610" s="153">
        <f t="shared" si="426"/>
        <v>47327.7</v>
      </c>
      <c r="X610" s="209">
        <f>IFERROR(VLOOKUP($B610,'Из ГУГЛа'!$B:$G,6,0)*Z610+Y610,VLOOKUP($B610,'Из ГУГЛа'!$B:$G,6,0))</f>
        <v>52260</v>
      </c>
      <c r="Y610" s="220">
        <f t="shared" si="440"/>
        <v>9970</v>
      </c>
      <c r="Z610" s="133">
        <v>1</v>
      </c>
      <c r="AA610" s="134"/>
      <c r="AB610" s="135">
        <f t="shared" si="427"/>
        <v>0.15096546692607005</v>
      </c>
      <c r="AC610" s="135">
        <f t="shared" si="428"/>
        <v>9.4380022962112564E-2</v>
      </c>
      <c r="AD610" s="135">
        <f t="shared" si="429"/>
        <v>0.27091439688715946</v>
      </c>
      <c r="AE610" s="223">
        <v>52260</v>
      </c>
      <c r="AF610" s="98" t="s">
        <v>621</v>
      </c>
      <c r="AH610" s="98" t="s">
        <v>115</v>
      </c>
    </row>
    <row r="611" spans="1:34" ht="46.5" thickTop="1" thickBot="1">
      <c r="A611" s="125" t="str">
        <f>INDEX('Выгр Торг'!$A:$A,MATCH($B611,'Выгр Торг'!$B:$B,0))</f>
        <v>Руль анатомический "Ferrum" Grand Premium (со вставками из алькантары) для Лада Веста, XRAY</v>
      </c>
      <c r="B611" s="126">
        <v>274947</v>
      </c>
      <c r="C611" s="127">
        <f>VLOOKUP($B611,'Выгр Торг'!$B:$Q,C$1,0)</f>
        <v>226836</v>
      </c>
      <c r="D611" s="44" t="s">
        <v>115</v>
      </c>
      <c r="E611" s="125" t="str">
        <f>VLOOKUP($B611,'Выгр Торг'!$B:$Q,E$1,0)</f>
        <v>Руль анатомический "Ferrum" Grand Premium (со вставками из алькантары) для Лада Веста, XRAY (Жёлтая нить, Чёрный мат)</v>
      </c>
      <c r="F611" s="127" t="str">
        <f>VLOOKUP($B611,'Выгр Торг'!$B:$Q,F$1,0)</f>
        <v>Y</v>
      </c>
      <c r="G611" s="127" t="str">
        <f>VLOOKUP($B611,'Выгр Торг'!$B:$Q,G$1,0)</f>
        <v>1</v>
      </c>
      <c r="H611" s="127">
        <v>226815</v>
      </c>
      <c r="I611" s="156"/>
      <c r="J611" s="160">
        <v>830</v>
      </c>
      <c r="K611" s="161">
        <v>870</v>
      </c>
      <c r="L611" s="130">
        <f t="shared" si="437"/>
        <v>41950</v>
      </c>
      <c r="M611" s="130">
        <f t="shared" si="432"/>
        <v>42950</v>
      </c>
      <c r="N611" s="130">
        <f t="shared" si="433"/>
        <v>35950</v>
      </c>
      <c r="O611" s="132">
        <f t="shared" si="438"/>
        <v>1.0238379022646007</v>
      </c>
      <c r="P611" s="132">
        <f t="shared" si="414"/>
        <v>1.1499999999999999</v>
      </c>
      <c r="Q611" s="130">
        <f t="shared" si="435"/>
        <v>51873.655913978495</v>
      </c>
      <c r="R611" s="148">
        <f t="shared" si="439"/>
        <v>51890</v>
      </c>
      <c r="S611" s="127">
        <f>VLOOKUP($B611,'Выгр Торг'!$B:$Q,S$1,0)</f>
        <v>41950</v>
      </c>
      <c r="T611" s="127">
        <f>VLOOKUP($B611,'Выгр Торг'!$B:$Q,T$1,0)</f>
        <v>51890</v>
      </c>
      <c r="U611" s="94">
        <f t="shared" si="416"/>
        <v>0</v>
      </c>
      <c r="V611" s="94">
        <f t="shared" si="417"/>
        <v>0</v>
      </c>
      <c r="W611" s="153">
        <f t="shared" si="426"/>
        <v>48257.7</v>
      </c>
      <c r="X611" s="209">
        <f>IFERROR(VLOOKUP($B611,'Из ГУГЛа'!$B:$G,6,0)*Z611+Y611,VLOOKUP($B611,'Из ГУГЛа'!$B:$G,6,0))</f>
        <v>53090</v>
      </c>
      <c r="Y611" s="220">
        <f t="shared" si="440"/>
        <v>10800</v>
      </c>
      <c r="Z611" s="133">
        <v>1</v>
      </c>
      <c r="AA611" s="134">
        <v>1300</v>
      </c>
      <c r="AB611" s="135">
        <f t="shared" si="427"/>
        <v>0.15036233611442196</v>
      </c>
      <c r="AC611" s="135">
        <f t="shared" si="428"/>
        <v>9.1020907892258487E-2</v>
      </c>
      <c r="AD611" s="135">
        <f t="shared" si="429"/>
        <v>0.26555423122765198</v>
      </c>
      <c r="AE611" s="223">
        <v>53090</v>
      </c>
      <c r="AF611" s="98" t="s">
        <v>621</v>
      </c>
      <c r="AH611" s="98" t="s">
        <v>115</v>
      </c>
    </row>
    <row r="612" spans="1:34" ht="46.5" thickTop="1" thickBot="1">
      <c r="A612" s="125" t="str">
        <f>INDEX('Выгр Торг'!$A:$A,MATCH($B612,'Выгр Торг'!$B:$B,0))</f>
        <v>Руль анатомический "Ferrum" Grand Premium (со вставками из алькантары) для Лада Веста, XRAY</v>
      </c>
      <c r="B612" s="126">
        <v>274934</v>
      </c>
      <c r="C612" s="127">
        <f>VLOOKUP($B612,'Выгр Торг'!$B:$Q,C$1,0)</f>
        <v>226828</v>
      </c>
      <c r="D612" s="44" t="s">
        <v>115</v>
      </c>
      <c r="E612" s="125" t="str">
        <f>VLOOKUP($B612,'Выгр Торг'!$B:$Q,E$1,0)</f>
        <v>Руль анатомический "Ferrum" Grand Premium (со вставками из алькантары) для Лада Веста, XRAY (Зелёная нить, Чёрный глянец)</v>
      </c>
      <c r="F612" s="127" t="str">
        <f>VLOOKUP($B612,'Выгр Торг'!$B:$Q,F$1,0)</f>
        <v>Y</v>
      </c>
      <c r="G612" s="127" t="str">
        <f>VLOOKUP($B612,'Выгр Торг'!$B:$Q,G$1,0)</f>
        <v>1</v>
      </c>
      <c r="H612" s="127">
        <v>226815</v>
      </c>
      <c r="I612" s="156"/>
      <c r="J612" s="160"/>
      <c r="K612" s="161">
        <v>870</v>
      </c>
      <c r="L612" s="130">
        <f t="shared" si="437"/>
        <v>41120</v>
      </c>
      <c r="M612" s="130">
        <f t="shared" si="432"/>
        <v>42120</v>
      </c>
      <c r="N612" s="130">
        <f t="shared" si="433"/>
        <v>35120</v>
      </c>
      <c r="O612" s="132">
        <f t="shared" si="438"/>
        <v>1.0243190661478598</v>
      </c>
      <c r="P612" s="132">
        <f t="shared" si="414"/>
        <v>1.1499999999999999</v>
      </c>
      <c r="Q612" s="130">
        <f t="shared" si="435"/>
        <v>50847.31182795699</v>
      </c>
      <c r="R612" s="148">
        <f t="shared" si="439"/>
        <v>50890</v>
      </c>
      <c r="S612" s="127">
        <f>VLOOKUP($B612,'Выгр Торг'!$B:$Q,S$1,0)</f>
        <v>41120</v>
      </c>
      <c r="T612" s="127">
        <f>VLOOKUP($B612,'Выгр Торг'!$B:$Q,T$1,0)</f>
        <v>50890</v>
      </c>
      <c r="U612" s="94">
        <f t="shared" si="416"/>
        <v>0</v>
      </c>
      <c r="V612" s="94">
        <f t="shared" si="417"/>
        <v>0</v>
      </c>
      <c r="W612" s="153">
        <f t="shared" si="426"/>
        <v>47327.7</v>
      </c>
      <c r="X612" s="209">
        <f>IFERROR(VLOOKUP($B612,'Из ГУГЛа'!$B:$G,6,0)*Z612+Y612,VLOOKUP($B612,'Из ГУГЛа'!$B:$G,6,0))</f>
        <v>52260</v>
      </c>
      <c r="Y612" s="220">
        <f t="shared" si="440"/>
        <v>9970</v>
      </c>
      <c r="Z612" s="133">
        <v>1</v>
      </c>
      <c r="AA612" s="134"/>
      <c r="AB612" s="135">
        <f t="shared" si="427"/>
        <v>0.15096546692607005</v>
      </c>
      <c r="AC612" s="135">
        <f t="shared" si="428"/>
        <v>9.4380022962112564E-2</v>
      </c>
      <c r="AD612" s="135">
        <f t="shared" si="429"/>
        <v>0.27091439688715946</v>
      </c>
      <c r="AE612" s="223">
        <v>52260</v>
      </c>
      <c r="AF612" s="98" t="s">
        <v>621</v>
      </c>
      <c r="AH612" s="98" t="s">
        <v>115</v>
      </c>
    </row>
    <row r="613" spans="1:34" ht="46.5" thickTop="1" thickBot="1">
      <c r="A613" s="125" t="str">
        <f>INDEX('Выгр Торг'!$A:$A,MATCH($B613,'Выгр Торг'!$B:$B,0))</f>
        <v>Руль анатомический "Ferrum" Grand Premium (со вставками из алькантары) для Лада Веста, XRAY</v>
      </c>
      <c r="B613" s="126">
        <v>274946</v>
      </c>
      <c r="C613" s="127">
        <f>VLOOKUP($B613,'Выгр Торг'!$B:$Q,C$1,0)</f>
        <v>226840</v>
      </c>
      <c r="D613" s="44" t="s">
        <v>115</v>
      </c>
      <c r="E613" s="125" t="str">
        <f>VLOOKUP($B613,'Выгр Торг'!$B:$Q,E$1,0)</f>
        <v>Руль анатомический "Ferrum" Grand Premium (со вставками из алькантары) для Лада Веста, XRAY (Зелёная нить, Чёрный мат)</v>
      </c>
      <c r="F613" s="127" t="str">
        <f>VLOOKUP($B613,'Выгр Торг'!$B:$Q,F$1,0)</f>
        <v>Y</v>
      </c>
      <c r="G613" s="127" t="str">
        <f>VLOOKUP($B613,'Выгр Торг'!$B:$Q,G$1,0)</f>
        <v>1</v>
      </c>
      <c r="H613" s="127">
        <v>226815</v>
      </c>
      <c r="I613" s="156"/>
      <c r="J613" s="160">
        <v>830</v>
      </c>
      <c r="K613" s="161">
        <v>870</v>
      </c>
      <c r="L613" s="130">
        <f t="shared" si="437"/>
        <v>41950</v>
      </c>
      <c r="M613" s="130">
        <f t="shared" si="432"/>
        <v>42950</v>
      </c>
      <c r="N613" s="130">
        <f t="shared" si="433"/>
        <v>35950</v>
      </c>
      <c r="O613" s="132">
        <f t="shared" si="438"/>
        <v>1.0238379022646007</v>
      </c>
      <c r="P613" s="132">
        <f t="shared" si="414"/>
        <v>1.1499999999999999</v>
      </c>
      <c r="Q613" s="130">
        <f t="shared" si="435"/>
        <v>51873.655913978495</v>
      </c>
      <c r="R613" s="148">
        <f t="shared" si="439"/>
        <v>51890</v>
      </c>
      <c r="S613" s="127">
        <f>VLOOKUP($B613,'Выгр Торг'!$B:$Q,S$1,0)</f>
        <v>41950</v>
      </c>
      <c r="T613" s="127">
        <f>VLOOKUP($B613,'Выгр Торг'!$B:$Q,T$1,0)</f>
        <v>51890</v>
      </c>
      <c r="U613" s="94">
        <f t="shared" si="416"/>
        <v>0</v>
      </c>
      <c r="V613" s="94">
        <f t="shared" si="417"/>
        <v>0</v>
      </c>
      <c r="W613" s="153">
        <f t="shared" si="426"/>
        <v>48257.7</v>
      </c>
      <c r="X613" s="209">
        <f>IFERROR(VLOOKUP($B613,'Из ГУГЛа'!$B:$G,6,0)*Z613+Y613,VLOOKUP($B613,'Из ГУГЛа'!$B:$G,6,0))</f>
        <v>53090</v>
      </c>
      <c r="Y613" s="220">
        <f t="shared" si="440"/>
        <v>10800</v>
      </c>
      <c r="Z613" s="133">
        <v>1</v>
      </c>
      <c r="AA613" s="134">
        <v>1300</v>
      </c>
      <c r="AB613" s="135">
        <f t="shared" si="427"/>
        <v>0.15036233611442196</v>
      </c>
      <c r="AC613" s="135">
        <f t="shared" si="428"/>
        <v>9.1020907892258487E-2</v>
      </c>
      <c r="AD613" s="135">
        <f t="shared" si="429"/>
        <v>0.26555423122765198</v>
      </c>
      <c r="AE613" s="223">
        <v>53090</v>
      </c>
      <c r="AF613" s="98" t="s">
        <v>621</v>
      </c>
      <c r="AH613" s="98" t="s">
        <v>115</v>
      </c>
    </row>
    <row r="614" spans="1:34" ht="46.5" thickTop="1" thickBot="1">
      <c r="A614" s="125" t="str">
        <f>INDEX('Выгр Торг'!$A:$A,MATCH($B614,'Выгр Торг'!$B:$B,0))</f>
        <v>Руль анатомический "Ferrum" Grand Premium (со вставками из алькантары) для Лада Веста, XRAY</v>
      </c>
      <c r="B614" s="126">
        <v>274926</v>
      </c>
      <c r="C614" s="127">
        <f>VLOOKUP($B614,'Выгр Торг'!$B:$Q,C$1,0)</f>
        <v>226820</v>
      </c>
      <c r="D614" s="44" t="s">
        <v>115</v>
      </c>
      <c r="E614" s="125" t="str">
        <f>VLOOKUP($B614,'Выгр Торг'!$B:$Q,E$1,0)</f>
        <v>Руль анатомический "Ferrum" Grand Premium (со вставками из алькантары) для Лада Веста, XRAY (Коричневая нить, Чёрный глянец)</v>
      </c>
      <c r="F614" s="127" t="str">
        <f>VLOOKUP($B614,'Выгр Торг'!$B:$Q,F$1,0)</f>
        <v>Y</v>
      </c>
      <c r="G614" s="127" t="str">
        <f>VLOOKUP($B614,'Выгр Торг'!$B:$Q,G$1,0)</f>
        <v>1</v>
      </c>
      <c r="H614" s="127">
        <v>226815</v>
      </c>
      <c r="I614" s="156"/>
      <c r="J614" s="160"/>
      <c r="K614" s="161">
        <v>870</v>
      </c>
      <c r="L614" s="130">
        <f t="shared" si="437"/>
        <v>41120</v>
      </c>
      <c r="M614" s="130">
        <f t="shared" si="432"/>
        <v>42120</v>
      </c>
      <c r="N614" s="130">
        <f t="shared" si="433"/>
        <v>35120</v>
      </c>
      <c r="O614" s="132">
        <f t="shared" si="438"/>
        <v>1.0243190661478598</v>
      </c>
      <c r="P614" s="132">
        <f t="shared" si="414"/>
        <v>1.1499999999999999</v>
      </c>
      <c r="Q614" s="130">
        <f t="shared" si="435"/>
        <v>50847.31182795699</v>
      </c>
      <c r="R614" s="148">
        <f t="shared" si="439"/>
        <v>50890</v>
      </c>
      <c r="S614" s="127">
        <f>VLOOKUP($B614,'Выгр Торг'!$B:$Q,S$1,0)</f>
        <v>41120</v>
      </c>
      <c r="T614" s="127">
        <f>VLOOKUP($B614,'Выгр Торг'!$B:$Q,T$1,0)</f>
        <v>50890</v>
      </c>
      <c r="U614" s="94">
        <f t="shared" si="416"/>
        <v>0</v>
      </c>
      <c r="V614" s="94">
        <f t="shared" si="417"/>
        <v>0</v>
      </c>
      <c r="W614" s="153">
        <f t="shared" si="426"/>
        <v>47327.7</v>
      </c>
      <c r="X614" s="209">
        <f>IFERROR(VLOOKUP($B614,'Из ГУГЛа'!$B:$G,6,0)*Z614+Y614,VLOOKUP($B614,'Из ГУГЛа'!$B:$G,6,0))</f>
        <v>52260</v>
      </c>
      <c r="Y614" s="220">
        <f t="shared" si="440"/>
        <v>9970</v>
      </c>
      <c r="Z614" s="133">
        <v>1</v>
      </c>
      <c r="AA614" s="134"/>
      <c r="AB614" s="135">
        <f t="shared" si="427"/>
        <v>0.15096546692607005</v>
      </c>
      <c r="AC614" s="135">
        <f t="shared" si="428"/>
        <v>9.4380022962112564E-2</v>
      </c>
      <c r="AD614" s="135">
        <f t="shared" si="429"/>
        <v>0.27091439688715946</v>
      </c>
      <c r="AE614" s="223">
        <v>52260</v>
      </c>
      <c r="AF614" s="98" t="s">
        <v>621</v>
      </c>
      <c r="AH614" s="98" t="s">
        <v>115</v>
      </c>
    </row>
    <row r="615" spans="1:34" ht="46.5" thickTop="1" thickBot="1">
      <c r="A615" s="125" t="str">
        <f>INDEX('Выгр Торг'!$A:$A,MATCH($B615,'Выгр Торг'!$B:$B,0))</f>
        <v>Руль анатомический "Ferrum" Grand Premium (со вставками из алькантары) для Лада Веста, XRAY</v>
      </c>
      <c r="B615" s="126">
        <v>274938</v>
      </c>
      <c r="C615" s="127">
        <f>VLOOKUP($B615,'Выгр Торг'!$B:$Q,C$1,0)</f>
        <v>226832</v>
      </c>
      <c r="D615" s="44" t="s">
        <v>115</v>
      </c>
      <c r="E615" s="125" t="str">
        <f>VLOOKUP($B615,'Выгр Торг'!$B:$Q,E$1,0)</f>
        <v>Руль анатомический "Ferrum" Grand Premium (со вставками из алькантары) для Лада Веста, XRAY (Коричневая нить, Чёрный мат)</v>
      </c>
      <c r="F615" s="127" t="str">
        <f>VLOOKUP($B615,'Выгр Торг'!$B:$Q,F$1,0)</f>
        <v>Y</v>
      </c>
      <c r="G615" s="127" t="str">
        <f>VLOOKUP($B615,'Выгр Торг'!$B:$Q,G$1,0)</f>
        <v>1</v>
      </c>
      <c r="H615" s="127">
        <v>226815</v>
      </c>
      <c r="I615" s="156"/>
      <c r="J615" s="160">
        <v>830</v>
      </c>
      <c r="K615" s="161">
        <v>870</v>
      </c>
      <c r="L615" s="130">
        <f t="shared" si="437"/>
        <v>41950</v>
      </c>
      <c r="M615" s="130">
        <f t="shared" si="432"/>
        <v>42950</v>
      </c>
      <c r="N615" s="130">
        <f t="shared" si="433"/>
        <v>35950</v>
      </c>
      <c r="O615" s="132">
        <f t="shared" si="438"/>
        <v>1.0238379022646007</v>
      </c>
      <c r="P615" s="132">
        <f t="shared" si="414"/>
        <v>1.1499999999999999</v>
      </c>
      <c r="Q615" s="130">
        <f t="shared" si="435"/>
        <v>51873.655913978495</v>
      </c>
      <c r="R615" s="148">
        <f t="shared" si="439"/>
        <v>51890</v>
      </c>
      <c r="S615" s="127">
        <f>VLOOKUP($B615,'Выгр Торг'!$B:$Q,S$1,0)</f>
        <v>41950</v>
      </c>
      <c r="T615" s="127">
        <f>VLOOKUP($B615,'Выгр Торг'!$B:$Q,T$1,0)</f>
        <v>51890</v>
      </c>
      <c r="U615" s="94">
        <f t="shared" si="416"/>
        <v>0</v>
      </c>
      <c r="V615" s="94">
        <f t="shared" si="417"/>
        <v>0</v>
      </c>
      <c r="W615" s="153">
        <f t="shared" si="426"/>
        <v>48257.7</v>
      </c>
      <c r="X615" s="209">
        <f>IFERROR(VLOOKUP($B615,'Из ГУГЛа'!$B:$G,6,0)*Z615+Y615,VLOOKUP($B615,'Из ГУГЛа'!$B:$G,6,0))</f>
        <v>53090</v>
      </c>
      <c r="Y615" s="220">
        <f t="shared" si="440"/>
        <v>10800</v>
      </c>
      <c r="Z615" s="133">
        <v>1</v>
      </c>
      <c r="AA615" s="134">
        <v>1300</v>
      </c>
      <c r="AB615" s="135">
        <f t="shared" si="427"/>
        <v>0.15036233611442196</v>
      </c>
      <c r="AC615" s="135">
        <f t="shared" si="428"/>
        <v>9.1020907892258487E-2</v>
      </c>
      <c r="AD615" s="135">
        <f t="shared" si="429"/>
        <v>0.26555423122765198</v>
      </c>
      <c r="AE615" s="223">
        <v>53090</v>
      </c>
      <c r="AF615" s="98" t="s">
        <v>621</v>
      </c>
      <c r="AH615" s="98" t="s">
        <v>115</v>
      </c>
    </row>
    <row r="616" spans="1:34" ht="46.5" thickTop="1" thickBot="1">
      <c r="A616" s="125" t="str">
        <f>INDEX('Выгр Торг'!$A:$A,MATCH($B616,'Выгр Торг'!$B:$B,0))</f>
        <v>Руль анатомический "Ferrum" Grand Premium (со вставками из алькантары) для Лада Веста, XRAY</v>
      </c>
      <c r="B616" s="126">
        <v>274927</v>
      </c>
      <c r="C616" s="127">
        <f>VLOOKUP($B616,'Выгр Торг'!$B:$Q,C$1,0)</f>
        <v>226827</v>
      </c>
      <c r="D616" s="44" t="s">
        <v>115</v>
      </c>
      <c r="E616" s="125" t="str">
        <f>VLOOKUP($B616,'Выгр Торг'!$B:$Q,E$1,0)</f>
        <v>Руль анатомический "Ferrum" Grand Premium (со вставками из алькантары) для Лада Веста, XRAY (Красная нить, Чёрный глянец)</v>
      </c>
      <c r="F616" s="127" t="str">
        <f>VLOOKUP($B616,'Выгр Торг'!$B:$Q,F$1,0)</f>
        <v>Y</v>
      </c>
      <c r="G616" s="127" t="str">
        <f>VLOOKUP($B616,'Выгр Торг'!$B:$Q,G$1,0)</f>
        <v>1</v>
      </c>
      <c r="H616" s="127">
        <v>226815</v>
      </c>
      <c r="I616" s="156"/>
      <c r="J616" s="160"/>
      <c r="K616" s="161">
        <v>870</v>
      </c>
      <c r="L616" s="130">
        <f t="shared" si="437"/>
        <v>41120</v>
      </c>
      <c r="M616" s="130">
        <f t="shared" si="432"/>
        <v>42120</v>
      </c>
      <c r="N616" s="130">
        <f t="shared" si="433"/>
        <v>35120</v>
      </c>
      <c r="O616" s="132">
        <f t="shared" si="438"/>
        <v>1.0243190661478598</v>
      </c>
      <c r="P616" s="132">
        <f t="shared" si="414"/>
        <v>1.1499999999999999</v>
      </c>
      <c r="Q616" s="130">
        <f t="shared" si="435"/>
        <v>50847.31182795699</v>
      </c>
      <c r="R616" s="148">
        <f t="shared" si="439"/>
        <v>50890</v>
      </c>
      <c r="S616" s="127">
        <f>VLOOKUP($B616,'Выгр Торг'!$B:$Q,S$1,0)</f>
        <v>41120</v>
      </c>
      <c r="T616" s="127">
        <f>VLOOKUP($B616,'Выгр Торг'!$B:$Q,T$1,0)</f>
        <v>50890</v>
      </c>
      <c r="U616" s="94">
        <f t="shared" si="416"/>
        <v>0</v>
      </c>
      <c r="V616" s="94">
        <f t="shared" si="417"/>
        <v>0</v>
      </c>
      <c r="W616" s="153">
        <f t="shared" si="426"/>
        <v>47327.7</v>
      </c>
      <c r="X616" s="209">
        <f>IFERROR(VLOOKUP($B616,'Из ГУГЛа'!$B:$G,6,0)*Z616+Y616,VLOOKUP($B616,'Из ГУГЛа'!$B:$G,6,0))</f>
        <v>52260</v>
      </c>
      <c r="Y616" s="220">
        <f t="shared" si="440"/>
        <v>9970</v>
      </c>
      <c r="Z616" s="133">
        <v>1</v>
      </c>
      <c r="AA616" s="134"/>
      <c r="AB616" s="135">
        <f t="shared" si="427"/>
        <v>0.15096546692607005</v>
      </c>
      <c r="AC616" s="135">
        <f t="shared" si="428"/>
        <v>9.4380022962112564E-2</v>
      </c>
      <c r="AD616" s="135">
        <f t="shared" si="429"/>
        <v>0.27091439688715946</v>
      </c>
      <c r="AE616" s="223">
        <v>52260</v>
      </c>
      <c r="AF616" s="98" t="s">
        <v>621</v>
      </c>
      <c r="AH616" s="98" t="s">
        <v>115</v>
      </c>
    </row>
    <row r="617" spans="1:34" ht="46.5" thickTop="1" thickBot="1">
      <c r="A617" s="125" t="str">
        <f>INDEX('Выгр Торг'!$A:$A,MATCH($B617,'Выгр Торг'!$B:$B,0))</f>
        <v>Руль анатомический "Ferrum" Grand Premium (со вставками из алькантары) для Лада Веста, XRAY</v>
      </c>
      <c r="B617" s="126">
        <v>274939</v>
      </c>
      <c r="C617" s="127">
        <f>VLOOKUP($B617,'Выгр Торг'!$B:$Q,C$1,0)</f>
        <v>226839</v>
      </c>
      <c r="D617" s="44" t="s">
        <v>115</v>
      </c>
      <c r="E617" s="125" t="str">
        <f>VLOOKUP($B617,'Выгр Торг'!$B:$Q,E$1,0)</f>
        <v>Руль анатомический "Ferrum" Grand Premium (со вставками из алькантары) для Лада Веста, XRAY (Красная нить, Чёрный мат)</v>
      </c>
      <c r="F617" s="127" t="str">
        <f>VLOOKUP($B617,'Выгр Торг'!$B:$Q,F$1,0)</f>
        <v>Y</v>
      </c>
      <c r="G617" s="127" t="str">
        <f>VLOOKUP($B617,'Выгр Торг'!$B:$Q,G$1,0)</f>
        <v>1</v>
      </c>
      <c r="H617" s="127">
        <v>226815</v>
      </c>
      <c r="I617" s="156"/>
      <c r="J617" s="160">
        <v>830</v>
      </c>
      <c r="K617" s="161">
        <v>870</v>
      </c>
      <c r="L617" s="130">
        <f t="shared" si="437"/>
        <v>41950</v>
      </c>
      <c r="M617" s="130">
        <f t="shared" si="432"/>
        <v>42950</v>
      </c>
      <c r="N617" s="130">
        <f t="shared" si="433"/>
        <v>35950</v>
      </c>
      <c r="O617" s="132">
        <f t="shared" si="438"/>
        <v>1.0238379022646007</v>
      </c>
      <c r="P617" s="132">
        <f t="shared" si="414"/>
        <v>1.1499999999999999</v>
      </c>
      <c r="Q617" s="130">
        <f t="shared" si="435"/>
        <v>51873.655913978495</v>
      </c>
      <c r="R617" s="148">
        <f t="shared" si="439"/>
        <v>51890</v>
      </c>
      <c r="S617" s="127">
        <f>VLOOKUP($B617,'Выгр Торг'!$B:$Q,S$1,0)</f>
        <v>41950</v>
      </c>
      <c r="T617" s="127">
        <f>VLOOKUP($B617,'Выгр Торг'!$B:$Q,T$1,0)</f>
        <v>51890</v>
      </c>
      <c r="U617" s="94">
        <f t="shared" si="416"/>
        <v>0</v>
      </c>
      <c r="V617" s="94">
        <f t="shared" si="417"/>
        <v>0</v>
      </c>
      <c r="W617" s="153">
        <f t="shared" si="426"/>
        <v>48257.7</v>
      </c>
      <c r="X617" s="209">
        <f>IFERROR(VLOOKUP($B617,'Из ГУГЛа'!$B:$G,6,0)*Z617+Y617,VLOOKUP($B617,'Из ГУГЛа'!$B:$G,6,0))</f>
        <v>53090</v>
      </c>
      <c r="Y617" s="220">
        <f t="shared" si="440"/>
        <v>10800</v>
      </c>
      <c r="Z617" s="133">
        <v>1</v>
      </c>
      <c r="AA617" s="134">
        <v>1300</v>
      </c>
      <c r="AB617" s="135">
        <f t="shared" si="427"/>
        <v>0.15036233611442196</v>
      </c>
      <c r="AC617" s="135">
        <f t="shared" si="428"/>
        <v>9.1020907892258487E-2</v>
      </c>
      <c r="AD617" s="135">
        <f t="shared" si="429"/>
        <v>0.26555423122765198</v>
      </c>
      <c r="AE617" s="223">
        <v>53090</v>
      </c>
      <c r="AF617" s="98" t="s">
        <v>621</v>
      </c>
      <c r="AH617" s="98" t="s">
        <v>115</v>
      </c>
    </row>
    <row r="618" spans="1:34" ht="46.5" thickTop="1" thickBot="1">
      <c r="A618" s="125" t="str">
        <f>INDEX('Выгр Торг'!$A:$A,MATCH($B618,'Выгр Торг'!$B:$B,0))</f>
        <v>Руль анатомический "Ferrum" Grand Premium (со вставками из алькантары) для Лада Веста, XRAY</v>
      </c>
      <c r="B618" s="126">
        <v>274928</v>
      </c>
      <c r="C618" s="127">
        <f>VLOOKUP($B618,'Выгр Торг'!$B:$Q,C$1,0)</f>
        <v>226823</v>
      </c>
      <c r="D618" s="44" t="s">
        <v>115</v>
      </c>
      <c r="E618" s="125" t="str">
        <f>VLOOKUP($B618,'Выгр Торг'!$B:$Q,E$1,0)</f>
        <v>Руль анатомический "Ferrum" Grand Premium (со вставками из алькантары) для Лада Веста, XRAY (Оранжевая нить, Чёрный глянец)</v>
      </c>
      <c r="F618" s="127" t="str">
        <f>VLOOKUP($B618,'Выгр Торг'!$B:$Q,F$1,0)</f>
        <v>Y</v>
      </c>
      <c r="G618" s="127" t="str">
        <f>VLOOKUP($B618,'Выгр Торг'!$B:$Q,G$1,0)</f>
        <v>1</v>
      </c>
      <c r="H618" s="127">
        <v>226815</v>
      </c>
      <c r="I618" s="156"/>
      <c r="J618" s="160"/>
      <c r="K618" s="161">
        <v>870</v>
      </c>
      <c r="L618" s="130">
        <f t="shared" si="437"/>
        <v>41120</v>
      </c>
      <c r="M618" s="130">
        <f t="shared" si="432"/>
        <v>42120</v>
      </c>
      <c r="N618" s="130">
        <f t="shared" si="433"/>
        <v>35120</v>
      </c>
      <c r="O618" s="132">
        <f t="shared" si="438"/>
        <v>1.0243190661478598</v>
      </c>
      <c r="P618" s="132">
        <f t="shared" si="414"/>
        <v>1.1499999999999999</v>
      </c>
      <c r="Q618" s="130">
        <f t="shared" si="435"/>
        <v>50847.31182795699</v>
      </c>
      <c r="R618" s="148">
        <f t="shared" si="439"/>
        <v>50890</v>
      </c>
      <c r="S618" s="127">
        <f>VLOOKUP($B618,'Выгр Торг'!$B:$Q,S$1,0)</f>
        <v>41120</v>
      </c>
      <c r="T618" s="127">
        <f>VLOOKUP($B618,'Выгр Торг'!$B:$Q,T$1,0)</f>
        <v>50890</v>
      </c>
      <c r="U618" s="94">
        <f t="shared" si="416"/>
        <v>0</v>
      </c>
      <c r="V618" s="94">
        <f t="shared" si="417"/>
        <v>0</v>
      </c>
      <c r="W618" s="153">
        <f t="shared" si="426"/>
        <v>47327.7</v>
      </c>
      <c r="X618" s="209">
        <f>IFERROR(VLOOKUP($B618,'Из ГУГЛа'!$B:$G,6,0)*Z618+Y618,VLOOKUP($B618,'Из ГУГЛа'!$B:$G,6,0))</f>
        <v>52260</v>
      </c>
      <c r="Y618" s="220">
        <f t="shared" si="440"/>
        <v>9970</v>
      </c>
      <c r="Z618" s="133">
        <v>1</v>
      </c>
      <c r="AA618" s="134"/>
      <c r="AB618" s="135">
        <f t="shared" si="427"/>
        <v>0.15096546692607005</v>
      </c>
      <c r="AC618" s="135">
        <f t="shared" si="428"/>
        <v>9.4380022962112564E-2</v>
      </c>
      <c r="AD618" s="135">
        <f t="shared" si="429"/>
        <v>0.27091439688715946</v>
      </c>
      <c r="AE618" s="223">
        <v>52260</v>
      </c>
      <c r="AF618" s="98" t="s">
        <v>621</v>
      </c>
      <c r="AH618" s="98" t="s">
        <v>115</v>
      </c>
    </row>
    <row r="619" spans="1:34" ht="46.5" thickTop="1" thickBot="1">
      <c r="A619" s="125" t="str">
        <f>INDEX('Выгр Торг'!$A:$A,MATCH($B619,'Выгр Торг'!$B:$B,0))</f>
        <v>Руль анатомический "Ferrum" Grand Premium (со вставками из алькантары) для Лада Веста, XRAY</v>
      </c>
      <c r="B619" s="126">
        <v>274940</v>
      </c>
      <c r="C619" s="127">
        <f>VLOOKUP($B619,'Выгр Торг'!$B:$Q,C$1,0)</f>
        <v>226835</v>
      </c>
      <c r="D619" s="44" t="s">
        <v>115</v>
      </c>
      <c r="E619" s="125" t="str">
        <f>VLOOKUP($B619,'Выгр Торг'!$B:$Q,E$1,0)</f>
        <v>Руль анатомический "Ferrum" Grand Premium (со вставками из алькантары) для Лада Веста, XRAY (Оранжевая нить, Чёрный мат)</v>
      </c>
      <c r="F619" s="127" t="str">
        <f>VLOOKUP($B619,'Выгр Торг'!$B:$Q,F$1,0)</f>
        <v>Y</v>
      </c>
      <c r="G619" s="127" t="str">
        <f>VLOOKUP($B619,'Выгр Торг'!$B:$Q,G$1,0)</f>
        <v>1</v>
      </c>
      <c r="H619" s="127">
        <v>226815</v>
      </c>
      <c r="I619" s="156"/>
      <c r="J619" s="160">
        <v>830</v>
      </c>
      <c r="K619" s="161">
        <v>870</v>
      </c>
      <c r="L619" s="130">
        <f t="shared" si="437"/>
        <v>41950</v>
      </c>
      <c r="M619" s="130">
        <f t="shared" si="432"/>
        <v>42950</v>
      </c>
      <c r="N619" s="130">
        <f t="shared" si="433"/>
        <v>35950</v>
      </c>
      <c r="O619" s="132">
        <f t="shared" si="438"/>
        <v>1.0238379022646007</v>
      </c>
      <c r="P619" s="132">
        <f t="shared" si="414"/>
        <v>1.1499999999999999</v>
      </c>
      <c r="Q619" s="130">
        <f t="shared" si="435"/>
        <v>51873.655913978495</v>
      </c>
      <c r="R619" s="148">
        <f t="shared" si="439"/>
        <v>51890</v>
      </c>
      <c r="S619" s="127">
        <f>VLOOKUP($B619,'Выгр Торг'!$B:$Q,S$1,0)</f>
        <v>41950</v>
      </c>
      <c r="T619" s="127">
        <f>VLOOKUP($B619,'Выгр Торг'!$B:$Q,T$1,0)</f>
        <v>51890</v>
      </c>
      <c r="U619" s="94">
        <f t="shared" si="416"/>
        <v>0</v>
      </c>
      <c r="V619" s="94">
        <f t="shared" si="417"/>
        <v>0</v>
      </c>
      <c r="W619" s="153">
        <f t="shared" si="426"/>
        <v>48257.7</v>
      </c>
      <c r="X619" s="209">
        <f>IFERROR(VLOOKUP($B619,'Из ГУГЛа'!$B:$G,6,0)*Z619+Y619,VLOOKUP($B619,'Из ГУГЛа'!$B:$G,6,0))</f>
        <v>53090</v>
      </c>
      <c r="Y619" s="220">
        <f t="shared" si="440"/>
        <v>10800</v>
      </c>
      <c r="Z619" s="133">
        <v>1</v>
      </c>
      <c r="AA619" s="134">
        <v>1300</v>
      </c>
      <c r="AB619" s="135">
        <f t="shared" si="427"/>
        <v>0.15036233611442196</v>
      </c>
      <c r="AC619" s="135">
        <f t="shared" si="428"/>
        <v>9.1020907892258487E-2</v>
      </c>
      <c r="AD619" s="135">
        <f t="shared" si="429"/>
        <v>0.26555423122765198</v>
      </c>
      <c r="AE619" s="223">
        <v>53090</v>
      </c>
      <c r="AF619" s="98" t="s">
        <v>621</v>
      </c>
      <c r="AH619" s="98" t="s">
        <v>115</v>
      </c>
    </row>
    <row r="620" spans="1:34" ht="46.5" thickTop="1" thickBot="1">
      <c r="A620" s="125" t="str">
        <f>INDEX('Выгр Торг'!$A:$A,MATCH($B620,'Выгр Торг'!$B:$B,0))</f>
        <v>Руль анатомический "Ferrum" Grand Premium (со вставками из алькантары) для Лада Веста, XRAY</v>
      </c>
      <c r="B620" s="126">
        <v>274929</v>
      </c>
      <c r="C620" s="127">
        <f>VLOOKUP($B620,'Выгр Торг'!$B:$Q,C$1,0)</f>
        <v>226825</v>
      </c>
      <c r="D620" s="44" t="s">
        <v>115</v>
      </c>
      <c r="E620" s="125" t="str">
        <f>VLOOKUP($B620,'Выгр Торг'!$B:$Q,E$1,0)</f>
        <v>Руль анатомический "Ferrum" Grand Premium (со вставками из алькантары) для Лада Веста, XRAY (Салатовая нить, Чёрный глянец)</v>
      </c>
      <c r="F620" s="127" t="str">
        <f>VLOOKUP($B620,'Выгр Торг'!$B:$Q,F$1,0)</f>
        <v>Y</v>
      </c>
      <c r="G620" s="127" t="str">
        <f>VLOOKUP($B620,'Выгр Торг'!$B:$Q,G$1,0)</f>
        <v>1</v>
      </c>
      <c r="H620" s="127">
        <v>226815</v>
      </c>
      <c r="I620" s="156"/>
      <c r="J620" s="160"/>
      <c r="K620" s="161">
        <v>870</v>
      </c>
      <c r="L620" s="130">
        <f t="shared" si="437"/>
        <v>41120</v>
      </c>
      <c r="M620" s="130">
        <f t="shared" si="432"/>
        <v>42120</v>
      </c>
      <c r="N620" s="130">
        <f t="shared" si="433"/>
        <v>35120</v>
      </c>
      <c r="O620" s="132">
        <f t="shared" si="438"/>
        <v>1.0243190661478598</v>
      </c>
      <c r="P620" s="132">
        <f t="shared" si="414"/>
        <v>1.1499999999999999</v>
      </c>
      <c r="Q620" s="130">
        <f t="shared" si="435"/>
        <v>50847.31182795699</v>
      </c>
      <c r="R620" s="148">
        <f t="shared" si="439"/>
        <v>50890</v>
      </c>
      <c r="S620" s="127">
        <f>VLOOKUP($B620,'Выгр Торг'!$B:$Q,S$1,0)</f>
        <v>41120</v>
      </c>
      <c r="T620" s="127">
        <f>VLOOKUP($B620,'Выгр Торг'!$B:$Q,T$1,0)</f>
        <v>50890</v>
      </c>
      <c r="U620" s="94">
        <f t="shared" si="416"/>
        <v>0</v>
      </c>
      <c r="V620" s="94">
        <f t="shared" si="417"/>
        <v>0</v>
      </c>
      <c r="W620" s="153">
        <f t="shared" si="426"/>
        <v>47327.7</v>
      </c>
      <c r="X620" s="209">
        <f>IFERROR(VLOOKUP($B620,'Из ГУГЛа'!$B:$G,6,0)*Z620+Y620,VLOOKUP($B620,'Из ГУГЛа'!$B:$G,6,0))</f>
        <v>52260</v>
      </c>
      <c r="Y620" s="220">
        <f t="shared" si="440"/>
        <v>9970</v>
      </c>
      <c r="Z620" s="133">
        <v>1</v>
      </c>
      <c r="AA620" s="134"/>
      <c r="AB620" s="135">
        <f t="shared" si="427"/>
        <v>0.15096546692607005</v>
      </c>
      <c r="AC620" s="135">
        <f t="shared" si="428"/>
        <v>9.4380022962112564E-2</v>
      </c>
      <c r="AD620" s="135">
        <f t="shared" si="429"/>
        <v>0.27091439688715946</v>
      </c>
      <c r="AE620" s="223">
        <v>52260</v>
      </c>
      <c r="AF620" s="98" t="s">
        <v>621</v>
      </c>
      <c r="AH620" s="98" t="s">
        <v>115</v>
      </c>
    </row>
    <row r="621" spans="1:34" ht="46.5" thickTop="1" thickBot="1">
      <c r="A621" s="125" t="str">
        <f>INDEX('Выгр Торг'!$A:$A,MATCH($B621,'Выгр Торг'!$B:$B,0))</f>
        <v>Руль анатомический "Ferrum" Grand Premium (со вставками из алькантары) для Лада Веста, XRAY</v>
      </c>
      <c r="B621" s="126">
        <v>274941</v>
      </c>
      <c r="C621" s="127">
        <f>VLOOKUP($B621,'Выгр Торг'!$B:$Q,C$1,0)</f>
        <v>226837</v>
      </c>
      <c r="D621" s="44" t="s">
        <v>115</v>
      </c>
      <c r="E621" s="125" t="str">
        <f>VLOOKUP($B621,'Выгр Торг'!$B:$Q,E$1,0)</f>
        <v>Руль анатомический "Ferrum" Grand Premium (со вставками из алькантары) для Лада Веста, XRAY (Салатовая нить, Чёрный мат)</v>
      </c>
      <c r="F621" s="127" t="str">
        <f>VLOOKUP($B621,'Выгр Торг'!$B:$Q,F$1,0)</f>
        <v>Y</v>
      </c>
      <c r="G621" s="127" t="str">
        <f>VLOOKUP($B621,'Выгр Торг'!$B:$Q,G$1,0)</f>
        <v>1</v>
      </c>
      <c r="H621" s="127">
        <v>226815</v>
      </c>
      <c r="I621" s="156"/>
      <c r="J621" s="160">
        <v>830</v>
      </c>
      <c r="K621" s="161">
        <v>870</v>
      </c>
      <c r="L621" s="130">
        <f t="shared" si="437"/>
        <v>41950</v>
      </c>
      <c r="M621" s="130">
        <f t="shared" si="432"/>
        <v>42950</v>
      </c>
      <c r="N621" s="130">
        <f t="shared" si="433"/>
        <v>35950</v>
      </c>
      <c r="O621" s="132">
        <f t="shared" si="438"/>
        <v>1.0238379022646007</v>
      </c>
      <c r="P621" s="132">
        <f t="shared" si="414"/>
        <v>1.1499999999999999</v>
      </c>
      <c r="Q621" s="130">
        <f t="shared" si="435"/>
        <v>51873.655913978495</v>
      </c>
      <c r="R621" s="148">
        <f t="shared" si="439"/>
        <v>51890</v>
      </c>
      <c r="S621" s="127">
        <f>VLOOKUP($B621,'Выгр Торг'!$B:$Q,S$1,0)</f>
        <v>41950</v>
      </c>
      <c r="T621" s="127">
        <f>VLOOKUP($B621,'Выгр Торг'!$B:$Q,T$1,0)</f>
        <v>51890</v>
      </c>
      <c r="U621" s="94">
        <f t="shared" si="416"/>
        <v>0</v>
      </c>
      <c r="V621" s="94">
        <f t="shared" si="417"/>
        <v>0</v>
      </c>
      <c r="W621" s="153">
        <f t="shared" si="426"/>
        <v>48257.7</v>
      </c>
      <c r="X621" s="209">
        <f>IFERROR(VLOOKUP($B621,'Из ГУГЛа'!$B:$G,6,0)*Z621+Y621,VLOOKUP($B621,'Из ГУГЛа'!$B:$G,6,0))</f>
        <v>53090</v>
      </c>
      <c r="Y621" s="220">
        <f t="shared" si="440"/>
        <v>10800</v>
      </c>
      <c r="Z621" s="133">
        <v>1</v>
      </c>
      <c r="AA621" s="134">
        <v>1300</v>
      </c>
      <c r="AB621" s="135">
        <f t="shared" si="427"/>
        <v>0.15036233611442196</v>
      </c>
      <c r="AC621" s="135">
        <f t="shared" si="428"/>
        <v>9.1020907892258487E-2</v>
      </c>
      <c r="AD621" s="135">
        <f t="shared" si="429"/>
        <v>0.26555423122765198</v>
      </c>
      <c r="AE621" s="223">
        <v>53090</v>
      </c>
      <c r="AF621" s="98" t="s">
        <v>621</v>
      </c>
      <c r="AH621" s="98" t="s">
        <v>115</v>
      </c>
    </row>
    <row r="622" spans="1:34" ht="46.5" thickTop="1" thickBot="1">
      <c r="A622" s="125" t="str">
        <f>INDEX('Выгр Торг'!$A:$A,MATCH($B622,'Выгр Торг'!$B:$B,0))</f>
        <v>Руль анатомический "Ferrum" Grand Premium (со вставками из алькантары) для Лада Веста, XRAY</v>
      </c>
      <c r="B622" s="126">
        <v>274932</v>
      </c>
      <c r="C622" s="127">
        <f>VLOOKUP($B622,'Выгр Торг'!$B:$Q,C$1,0)</f>
        <v>226826</v>
      </c>
      <c r="D622" s="44" t="s">
        <v>115</v>
      </c>
      <c r="E622" s="125" t="str">
        <f>VLOOKUP($B622,'Выгр Торг'!$B:$Q,E$1,0)</f>
        <v>Руль анатомический "Ferrum" Grand Premium (со вставками из алькантары) для Лада Веста, XRAY (Светло-серая нить, Чёрный глянец)</v>
      </c>
      <c r="F622" s="127" t="str">
        <f>VLOOKUP($B622,'Выгр Торг'!$B:$Q,F$1,0)</f>
        <v>Y</v>
      </c>
      <c r="G622" s="127" t="str">
        <f>VLOOKUP($B622,'Выгр Торг'!$B:$Q,G$1,0)</f>
        <v>1</v>
      </c>
      <c r="H622" s="127">
        <v>226815</v>
      </c>
      <c r="I622" s="156"/>
      <c r="J622" s="160"/>
      <c r="K622" s="161">
        <v>870</v>
      </c>
      <c r="L622" s="130">
        <f t="shared" si="437"/>
        <v>41120</v>
      </c>
      <c r="M622" s="130">
        <f t="shared" si="432"/>
        <v>42120</v>
      </c>
      <c r="N622" s="130">
        <f t="shared" si="433"/>
        <v>35120</v>
      </c>
      <c r="O622" s="132">
        <f t="shared" si="438"/>
        <v>1.0243190661478598</v>
      </c>
      <c r="P622" s="132">
        <f t="shared" si="414"/>
        <v>1.1499999999999999</v>
      </c>
      <c r="Q622" s="130">
        <f t="shared" si="435"/>
        <v>50847.31182795699</v>
      </c>
      <c r="R622" s="148">
        <f t="shared" si="439"/>
        <v>50890</v>
      </c>
      <c r="S622" s="127">
        <f>VLOOKUP($B622,'Выгр Торг'!$B:$Q,S$1,0)</f>
        <v>41120</v>
      </c>
      <c r="T622" s="127">
        <f>VLOOKUP($B622,'Выгр Торг'!$B:$Q,T$1,0)</f>
        <v>50890</v>
      </c>
      <c r="U622" s="94">
        <f t="shared" si="416"/>
        <v>0</v>
      </c>
      <c r="V622" s="94">
        <f t="shared" si="417"/>
        <v>0</v>
      </c>
      <c r="W622" s="153">
        <f t="shared" si="426"/>
        <v>47327.7</v>
      </c>
      <c r="X622" s="209">
        <f>IFERROR(VLOOKUP($B622,'Из ГУГЛа'!$B:$G,6,0)*Z622+Y622,VLOOKUP($B622,'Из ГУГЛа'!$B:$G,6,0))</f>
        <v>52260</v>
      </c>
      <c r="Y622" s="220">
        <f t="shared" si="440"/>
        <v>9970</v>
      </c>
      <c r="Z622" s="133">
        <v>1</v>
      </c>
      <c r="AA622" s="134"/>
      <c r="AB622" s="135">
        <f t="shared" si="427"/>
        <v>0.15096546692607005</v>
      </c>
      <c r="AC622" s="135">
        <f t="shared" si="428"/>
        <v>9.4380022962112564E-2</v>
      </c>
      <c r="AD622" s="135">
        <f t="shared" si="429"/>
        <v>0.27091439688715946</v>
      </c>
      <c r="AE622" s="223">
        <v>52260</v>
      </c>
      <c r="AF622" s="98" t="s">
        <v>621</v>
      </c>
      <c r="AH622" s="98" t="s">
        <v>115</v>
      </c>
    </row>
    <row r="623" spans="1:34" ht="46.5" thickTop="1" thickBot="1">
      <c r="A623" s="125" t="str">
        <f>INDEX('Выгр Торг'!$A:$A,MATCH($B623,'Выгр Торг'!$B:$B,0))</f>
        <v>Руль анатомический "Ferrum" Grand Premium (со вставками из алькантары) для Лада Веста, XRAY</v>
      </c>
      <c r="B623" s="126">
        <v>274944</v>
      </c>
      <c r="C623" s="127">
        <f>VLOOKUP($B623,'Выгр Торг'!$B:$Q,C$1,0)</f>
        <v>226838</v>
      </c>
      <c r="D623" s="44" t="s">
        <v>115</v>
      </c>
      <c r="E623" s="125" t="str">
        <f>VLOOKUP($B623,'Выгр Торг'!$B:$Q,E$1,0)</f>
        <v>Руль анатомический "Ferrum" Grand Premium (со вставками из алькантары) для Лада Веста, XRAY (Светло-серая нить, Чёрный мат)</v>
      </c>
      <c r="F623" s="127" t="str">
        <f>VLOOKUP($B623,'Выгр Торг'!$B:$Q,F$1,0)</f>
        <v>Y</v>
      </c>
      <c r="G623" s="127" t="str">
        <f>VLOOKUP($B623,'Выгр Торг'!$B:$Q,G$1,0)</f>
        <v>1</v>
      </c>
      <c r="H623" s="127">
        <v>226815</v>
      </c>
      <c r="I623" s="156"/>
      <c r="J623" s="160">
        <v>830</v>
      </c>
      <c r="K623" s="161">
        <v>870</v>
      </c>
      <c r="L623" s="130">
        <f t="shared" si="437"/>
        <v>41950</v>
      </c>
      <c r="M623" s="130">
        <f t="shared" si="432"/>
        <v>42950</v>
      </c>
      <c r="N623" s="130">
        <f t="shared" si="433"/>
        <v>35950</v>
      </c>
      <c r="O623" s="132">
        <f t="shared" si="438"/>
        <v>1.0238379022646007</v>
      </c>
      <c r="P623" s="132">
        <f t="shared" si="414"/>
        <v>1.1499999999999999</v>
      </c>
      <c r="Q623" s="130">
        <f t="shared" si="435"/>
        <v>51873.655913978495</v>
      </c>
      <c r="R623" s="148">
        <f t="shared" si="439"/>
        <v>51890</v>
      </c>
      <c r="S623" s="127">
        <f>VLOOKUP($B623,'Выгр Торг'!$B:$Q,S$1,0)</f>
        <v>41950</v>
      </c>
      <c r="T623" s="127">
        <f>VLOOKUP($B623,'Выгр Торг'!$B:$Q,T$1,0)</f>
        <v>51890</v>
      </c>
      <c r="U623" s="94">
        <f t="shared" si="416"/>
        <v>0</v>
      </c>
      <c r="V623" s="94">
        <f t="shared" si="417"/>
        <v>0</v>
      </c>
      <c r="W623" s="153">
        <f t="shared" si="426"/>
        <v>48257.7</v>
      </c>
      <c r="X623" s="209">
        <f>IFERROR(VLOOKUP($B623,'Из ГУГЛа'!$B:$G,6,0)*Z623+Y623,VLOOKUP($B623,'Из ГУГЛа'!$B:$G,6,0))</f>
        <v>53090</v>
      </c>
      <c r="Y623" s="220">
        <f t="shared" si="440"/>
        <v>10800</v>
      </c>
      <c r="Z623" s="133">
        <v>1</v>
      </c>
      <c r="AA623" s="134">
        <v>1300</v>
      </c>
      <c r="AB623" s="135">
        <f t="shared" si="427"/>
        <v>0.15036233611442196</v>
      </c>
      <c r="AC623" s="135">
        <f t="shared" si="428"/>
        <v>9.1020907892258487E-2</v>
      </c>
      <c r="AD623" s="135">
        <f t="shared" si="429"/>
        <v>0.26555423122765198</v>
      </c>
      <c r="AE623" s="223">
        <v>53090</v>
      </c>
      <c r="AF623" s="98" t="s">
        <v>621</v>
      </c>
      <c r="AH623" s="98" t="s">
        <v>115</v>
      </c>
    </row>
    <row r="624" spans="1:34" ht="46.5" thickTop="1" thickBot="1">
      <c r="A624" s="125" t="str">
        <f>INDEX('Выгр Торг'!$A:$A,MATCH($B624,'Выгр Торг'!$B:$B,0))</f>
        <v>Руль анатомический "Ferrum" Grand Premium (со вставками из алькантары) для Лада Веста, XRAY</v>
      </c>
      <c r="B624" s="126">
        <v>274930</v>
      </c>
      <c r="C624" s="127">
        <f>VLOOKUP($B624,'Выгр Торг'!$B:$Q,C$1,0)</f>
        <v>226822</v>
      </c>
      <c r="D624" s="44" t="s">
        <v>115</v>
      </c>
      <c r="E624" s="125" t="str">
        <f>VLOOKUP($B624,'Выгр Торг'!$B:$Q,E$1,0)</f>
        <v>Руль анатомический "Ferrum" Grand Premium (со вставками из алькантары) для Лада Веста, XRAY (Сине-зелёная нить, Чёрный глянец)</v>
      </c>
      <c r="F624" s="127" t="str">
        <f>VLOOKUP($B624,'Выгр Торг'!$B:$Q,F$1,0)</f>
        <v>Y</v>
      </c>
      <c r="G624" s="127" t="str">
        <f>VLOOKUP($B624,'Выгр Торг'!$B:$Q,G$1,0)</f>
        <v>1</v>
      </c>
      <c r="H624" s="127">
        <v>226815</v>
      </c>
      <c r="I624" s="156"/>
      <c r="J624" s="160"/>
      <c r="K624" s="161">
        <v>870</v>
      </c>
      <c r="L624" s="130">
        <f t="shared" si="437"/>
        <v>41120</v>
      </c>
      <c r="M624" s="130">
        <f t="shared" si="432"/>
        <v>42120</v>
      </c>
      <c r="N624" s="130">
        <f t="shared" si="433"/>
        <v>35120</v>
      </c>
      <c r="O624" s="132">
        <f t="shared" si="438"/>
        <v>1.0243190661478598</v>
      </c>
      <c r="P624" s="132">
        <f t="shared" si="414"/>
        <v>1.1499999999999999</v>
      </c>
      <c r="Q624" s="130">
        <f t="shared" si="435"/>
        <v>50847.31182795699</v>
      </c>
      <c r="R624" s="148">
        <f t="shared" si="439"/>
        <v>50890</v>
      </c>
      <c r="S624" s="127">
        <f>VLOOKUP($B624,'Выгр Торг'!$B:$Q,S$1,0)</f>
        <v>41120</v>
      </c>
      <c r="T624" s="127">
        <f>VLOOKUP($B624,'Выгр Торг'!$B:$Q,T$1,0)</f>
        <v>50890</v>
      </c>
      <c r="U624" s="94">
        <f t="shared" si="416"/>
        <v>0</v>
      </c>
      <c r="V624" s="94">
        <f t="shared" si="417"/>
        <v>0</v>
      </c>
      <c r="W624" s="153">
        <f t="shared" si="426"/>
        <v>47327.7</v>
      </c>
      <c r="X624" s="209">
        <f>IFERROR(VLOOKUP($B624,'Из ГУГЛа'!$B:$G,6,0)*Z624+Y624,VLOOKUP($B624,'Из ГУГЛа'!$B:$G,6,0))</f>
        <v>52260</v>
      </c>
      <c r="Y624" s="220">
        <f t="shared" si="440"/>
        <v>9970</v>
      </c>
      <c r="Z624" s="133">
        <v>1</v>
      </c>
      <c r="AA624" s="134"/>
      <c r="AB624" s="135">
        <f t="shared" si="427"/>
        <v>0.15096546692607005</v>
      </c>
      <c r="AC624" s="135">
        <f t="shared" si="428"/>
        <v>9.4380022962112564E-2</v>
      </c>
      <c r="AD624" s="135">
        <f t="shared" si="429"/>
        <v>0.27091439688715946</v>
      </c>
      <c r="AE624" s="223">
        <v>52260</v>
      </c>
      <c r="AF624" s="98" t="s">
        <v>621</v>
      </c>
      <c r="AH624" s="98" t="s">
        <v>115</v>
      </c>
    </row>
    <row r="625" spans="1:34" ht="46.5" thickTop="1" thickBot="1">
      <c r="A625" s="125" t="str">
        <f>INDEX('Выгр Торг'!$A:$A,MATCH($B625,'Выгр Торг'!$B:$B,0))</f>
        <v>Руль анатомический "Ferrum" Grand Premium (со вставками из алькантары) для Лада Веста, XRAY</v>
      </c>
      <c r="B625" s="126">
        <v>274942</v>
      </c>
      <c r="C625" s="127">
        <f>VLOOKUP($B625,'Выгр Торг'!$B:$Q,C$1,0)</f>
        <v>226834</v>
      </c>
      <c r="D625" s="44" t="s">
        <v>115</v>
      </c>
      <c r="E625" s="125" t="str">
        <f>VLOOKUP($B625,'Выгр Торг'!$B:$Q,E$1,0)</f>
        <v>Руль анатомический "Ferrum" Grand Premium (со вставками из алькантары) для Лада Веста, XRAY (Сине-зелёная нить, Чёрный мат)</v>
      </c>
      <c r="F625" s="127" t="str">
        <f>VLOOKUP($B625,'Выгр Торг'!$B:$Q,F$1,0)</f>
        <v>Y</v>
      </c>
      <c r="G625" s="127" t="str">
        <f>VLOOKUP($B625,'Выгр Торг'!$B:$Q,G$1,0)</f>
        <v>1</v>
      </c>
      <c r="H625" s="127">
        <v>226815</v>
      </c>
      <c r="I625" s="156"/>
      <c r="J625" s="160">
        <v>830</v>
      </c>
      <c r="K625" s="161">
        <v>870</v>
      </c>
      <c r="L625" s="130">
        <f t="shared" si="437"/>
        <v>41950</v>
      </c>
      <c r="M625" s="130">
        <f t="shared" si="432"/>
        <v>42950</v>
      </c>
      <c r="N625" s="130">
        <f t="shared" si="433"/>
        <v>35950</v>
      </c>
      <c r="O625" s="132">
        <f t="shared" si="438"/>
        <v>1.0238379022646007</v>
      </c>
      <c r="P625" s="132">
        <f t="shared" si="414"/>
        <v>1.1499999999999999</v>
      </c>
      <c r="Q625" s="130">
        <f t="shared" si="435"/>
        <v>51873.655913978495</v>
      </c>
      <c r="R625" s="148">
        <f t="shared" si="439"/>
        <v>51890</v>
      </c>
      <c r="S625" s="127">
        <f>VLOOKUP($B625,'Выгр Торг'!$B:$Q,S$1,0)</f>
        <v>41950</v>
      </c>
      <c r="T625" s="127">
        <f>VLOOKUP($B625,'Выгр Торг'!$B:$Q,T$1,0)</f>
        <v>51890</v>
      </c>
      <c r="U625" s="94">
        <f t="shared" si="416"/>
        <v>0</v>
      </c>
      <c r="V625" s="94">
        <f t="shared" si="417"/>
        <v>0</v>
      </c>
      <c r="W625" s="153">
        <f t="shared" si="426"/>
        <v>48257.7</v>
      </c>
      <c r="X625" s="209">
        <f>IFERROR(VLOOKUP($B625,'Из ГУГЛа'!$B:$G,6,0)*Z625+Y625,VLOOKUP($B625,'Из ГУГЛа'!$B:$G,6,0))</f>
        <v>53090</v>
      </c>
      <c r="Y625" s="220">
        <f t="shared" si="440"/>
        <v>10800</v>
      </c>
      <c r="Z625" s="133">
        <v>1</v>
      </c>
      <c r="AA625" s="134">
        <v>1300</v>
      </c>
      <c r="AB625" s="135">
        <f t="shared" si="427"/>
        <v>0.15036233611442196</v>
      </c>
      <c r="AC625" s="135">
        <f t="shared" si="428"/>
        <v>9.1020907892258487E-2</v>
      </c>
      <c r="AD625" s="135">
        <f t="shared" si="429"/>
        <v>0.26555423122765198</v>
      </c>
      <c r="AE625" s="223">
        <v>53090</v>
      </c>
      <c r="AF625" s="98" t="s">
        <v>621</v>
      </c>
      <c r="AH625" s="98" t="s">
        <v>115</v>
      </c>
    </row>
    <row r="626" spans="1:34" ht="46.5" thickTop="1" thickBot="1">
      <c r="A626" s="125" t="str">
        <f>INDEX('Выгр Торг'!$A:$A,MATCH($B626,'Выгр Торг'!$B:$B,0))</f>
        <v>Руль анатомический "Ferrum" Grand Premium (со вставками из алькантары) для Лада Веста, XRAY</v>
      </c>
      <c r="B626" s="126">
        <v>274931</v>
      </c>
      <c r="C626" s="127">
        <f>VLOOKUP($B626,'Выгр Торг'!$B:$Q,C$1,0)</f>
        <v>226821</v>
      </c>
      <c r="D626" s="44" t="s">
        <v>115</v>
      </c>
      <c r="E626" s="125" t="str">
        <f>VLOOKUP($B626,'Выгр Торг'!$B:$Q,E$1,0)</f>
        <v>Руль анатомический "Ferrum" Grand Premium (со вставками из алькантары) для Лада Веста, XRAY (Синяя нить, Чёрный глянец)</v>
      </c>
      <c r="F626" s="127" t="str">
        <f>VLOOKUP($B626,'Выгр Торг'!$B:$Q,F$1,0)</f>
        <v>Y</v>
      </c>
      <c r="G626" s="127" t="str">
        <f>VLOOKUP($B626,'Выгр Торг'!$B:$Q,G$1,0)</f>
        <v>1</v>
      </c>
      <c r="H626" s="127">
        <v>226815</v>
      </c>
      <c r="I626" s="156"/>
      <c r="J626" s="160"/>
      <c r="K626" s="161">
        <v>870</v>
      </c>
      <c r="L626" s="130">
        <f t="shared" si="437"/>
        <v>41120</v>
      </c>
      <c r="M626" s="130">
        <f t="shared" si="432"/>
        <v>42120</v>
      </c>
      <c r="N626" s="130">
        <f t="shared" si="433"/>
        <v>35120</v>
      </c>
      <c r="O626" s="132">
        <f t="shared" si="438"/>
        <v>1.0243190661478598</v>
      </c>
      <c r="P626" s="132">
        <f t="shared" si="414"/>
        <v>1.1499999999999999</v>
      </c>
      <c r="Q626" s="130">
        <f t="shared" si="435"/>
        <v>50847.31182795699</v>
      </c>
      <c r="R626" s="148">
        <f t="shared" si="439"/>
        <v>50890</v>
      </c>
      <c r="S626" s="127">
        <f>VLOOKUP($B626,'Выгр Торг'!$B:$Q,S$1,0)</f>
        <v>41120</v>
      </c>
      <c r="T626" s="127">
        <f>VLOOKUP($B626,'Выгр Торг'!$B:$Q,T$1,0)</f>
        <v>50890</v>
      </c>
      <c r="U626" s="94">
        <f t="shared" si="416"/>
        <v>0</v>
      </c>
      <c r="V626" s="94">
        <f t="shared" si="417"/>
        <v>0</v>
      </c>
      <c r="W626" s="153">
        <f t="shared" si="426"/>
        <v>47327.7</v>
      </c>
      <c r="X626" s="209">
        <f>IFERROR(VLOOKUP($B626,'Из ГУГЛа'!$B:$G,6,0)*Z626+Y626,VLOOKUP($B626,'Из ГУГЛа'!$B:$G,6,0))</f>
        <v>52260</v>
      </c>
      <c r="Y626" s="220">
        <f t="shared" si="440"/>
        <v>9970</v>
      </c>
      <c r="Z626" s="133">
        <v>1</v>
      </c>
      <c r="AA626" s="134"/>
      <c r="AB626" s="135">
        <f t="shared" si="427"/>
        <v>0.15096546692607005</v>
      </c>
      <c r="AC626" s="135">
        <f t="shared" si="428"/>
        <v>9.4380022962112564E-2</v>
      </c>
      <c r="AD626" s="135">
        <f t="shared" si="429"/>
        <v>0.27091439688715946</v>
      </c>
      <c r="AE626" s="223">
        <v>52260</v>
      </c>
      <c r="AF626" s="98" t="s">
        <v>621</v>
      </c>
      <c r="AH626" s="98" t="s">
        <v>115</v>
      </c>
    </row>
    <row r="627" spans="1:34" ht="46.5" thickTop="1" thickBot="1">
      <c r="A627" s="125" t="str">
        <f>INDEX('Выгр Торг'!$A:$A,MATCH($B627,'Выгр Торг'!$B:$B,0))</f>
        <v>Руль анатомический "Ferrum" Grand Premium (со вставками из алькантары) для Лада Веста, XRAY</v>
      </c>
      <c r="B627" s="126">
        <v>274943</v>
      </c>
      <c r="C627" s="127">
        <f>VLOOKUP($B627,'Выгр Торг'!$B:$Q,C$1,0)</f>
        <v>226833</v>
      </c>
      <c r="D627" s="44" t="s">
        <v>115</v>
      </c>
      <c r="E627" s="125" t="str">
        <f>VLOOKUP($B627,'Выгр Торг'!$B:$Q,E$1,0)</f>
        <v>Руль анатомический "Ferrum" Grand Premium (со вставками из алькантары) для Лада Веста, XRAY (Синяя нить, Чёрный мат)</v>
      </c>
      <c r="F627" s="127" t="str">
        <f>VLOOKUP($B627,'Выгр Торг'!$B:$Q,F$1,0)</f>
        <v>Y</v>
      </c>
      <c r="G627" s="127" t="str">
        <f>VLOOKUP($B627,'Выгр Торг'!$B:$Q,G$1,0)</f>
        <v>1</v>
      </c>
      <c r="H627" s="127">
        <v>226815</v>
      </c>
      <c r="I627" s="156"/>
      <c r="J627" s="160">
        <v>830</v>
      </c>
      <c r="K627" s="161">
        <v>870</v>
      </c>
      <c r="L627" s="130">
        <f t="shared" si="437"/>
        <v>41950</v>
      </c>
      <c r="M627" s="130">
        <f t="shared" si="432"/>
        <v>42950</v>
      </c>
      <c r="N627" s="130">
        <f t="shared" si="433"/>
        <v>35950</v>
      </c>
      <c r="O627" s="132">
        <f t="shared" si="438"/>
        <v>1.0238379022646007</v>
      </c>
      <c r="P627" s="132">
        <f t="shared" si="414"/>
        <v>1.1499999999999999</v>
      </c>
      <c r="Q627" s="130">
        <f t="shared" si="435"/>
        <v>51873.655913978495</v>
      </c>
      <c r="R627" s="148">
        <f t="shared" si="439"/>
        <v>51890</v>
      </c>
      <c r="S627" s="127">
        <f>VLOOKUP($B627,'Выгр Торг'!$B:$Q,S$1,0)</f>
        <v>41950</v>
      </c>
      <c r="T627" s="127">
        <f>VLOOKUP($B627,'Выгр Торг'!$B:$Q,T$1,0)</f>
        <v>51890</v>
      </c>
      <c r="U627" s="94">
        <f t="shared" si="416"/>
        <v>0</v>
      </c>
      <c r="V627" s="94">
        <f t="shared" si="417"/>
        <v>0</v>
      </c>
      <c r="W627" s="153">
        <f t="shared" si="426"/>
        <v>48257.7</v>
      </c>
      <c r="X627" s="209">
        <f>IFERROR(VLOOKUP($B627,'Из ГУГЛа'!$B:$G,6,0)*Z627+Y627,VLOOKUP($B627,'Из ГУГЛа'!$B:$G,6,0))</f>
        <v>53090</v>
      </c>
      <c r="Y627" s="220">
        <f t="shared" si="440"/>
        <v>10800</v>
      </c>
      <c r="Z627" s="133">
        <v>1</v>
      </c>
      <c r="AA627" s="134">
        <v>1300</v>
      </c>
      <c r="AB627" s="135">
        <f t="shared" si="427"/>
        <v>0.15036233611442196</v>
      </c>
      <c r="AC627" s="135">
        <f t="shared" si="428"/>
        <v>9.1020907892258487E-2</v>
      </c>
      <c r="AD627" s="135">
        <f t="shared" si="429"/>
        <v>0.26555423122765198</v>
      </c>
      <c r="AE627" s="223">
        <v>53090</v>
      </c>
      <c r="AF627" s="98" t="s">
        <v>621</v>
      </c>
      <c r="AH627" s="98" t="s">
        <v>115</v>
      </c>
    </row>
    <row r="628" spans="1:34" ht="46.5" thickTop="1" thickBot="1">
      <c r="A628" s="125" t="str">
        <f>INDEX('Выгр Торг'!$A:$A,MATCH($B628,'Выгр Торг'!$B:$B,0))</f>
        <v>Руль анатомический "Ferrum" Grand Premium (со вставками из алькантары) для Лада Веста, XRAY</v>
      </c>
      <c r="B628" s="126">
        <v>274933</v>
      </c>
      <c r="C628" s="127">
        <f>VLOOKUP($B628,'Выгр Торг'!$B:$Q,C$1,0)</f>
        <v>226819</v>
      </c>
      <c r="D628" s="44" t="s">
        <v>115</v>
      </c>
      <c r="E628" s="125" t="str">
        <f>VLOOKUP($B628,'Выгр Торг'!$B:$Q,E$1,0)</f>
        <v>Руль анатомический "Ferrum" Grand Premium (со вставками из алькантары) для Лада Веста, XRAY (Тёмно-серая нить, Чёрный глянец)</v>
      </c>
      <c r="F628" s="127" t="str">
        <f>VLOOKUP($B628,'Выгр Торг'!$B:$Q,F$1,0)</f>
        <v>Y</v>
      </c>
      <c r="G628" s="127" t="str">
        <f>VLOOKUP($B628,'Выгр Торг'!$B:$Q,G$1,0)</f>
        <v>1</v>
      </c>
      <c r="H628" s="127">
        <v>226815</v>
      </c>
      <c r="I628" s="156"/>
      <c r="J628" s="160"/>
      <c r="K628" s="161">
        <v>870</v>
      </c>
      <c r="L628" s="130">
        <f t="shared" si="437"/>
        <v>41120</v>
      </c>
      <c r="M628" s="130">
        <f t="shared" si="432"/>
        <v>42120</v>
      </c>
      <c r="N628" s="130">
        <f t="shared" si="433"/>
        <v>35120</v>
      </c>
      <c r="O628" s="132">
        <f t="shared" si="438"/>
        <v>1.0243190661478598</v>
      </c>
      <c r="P628" s="132">
        <f t="shared" si="414"/>
        <v>1.1499999999999999</v>
      </c>
      <c r="Q628" s="130">
        <f t="shared" si="435"/>
        <v>50847.31182795699</v>
      </c>
      <c r="R628" s="148">
        <f t="shared" si="439"/>
        <v>50890</v>
      </c>
      <c r="S628" s="127">
        <f>VLOOKUP($B628,'Выгр Торг'!$B:$Q,S$1,0)</f>
        <v>41120</v>
      </c>
      <c r="T628" s="127">
        <f>VLOOKUP($B628,'Выгр Торг'!$B:$Q,T$1,0)</f>
        <v>50890</v>
      </c>
      <c r="U628" s="94">
        <f t="shared" si="416"/>
        <v>0</v>
      </c>
      <c r="V628" s="94">
        <f t="shared" si="417"/>
        <v>0</v>
      </c>
      <c r="W628" s="153">
        <f t="shared" si="426"/>
        <v>47327.7</v>
      </c>
      <c r="X628" s="209">
        <f>IFERROR(VLOOKUP($B628,'Из ГУГЛа'!$B:$G,6,0)*Z628+Y628,VLOOKUP($B628,'Из ГУГЛа'!$B:$G,6,0))</f>
        <v>52260</v>
      </c>
      <c r="Y628" s="220">
        <f t="shared" si="440"/>
        <v>9970</v>
      </c>
      <c r="Z628" s="133">
        <v>1</v>
      </c>
      <c r="AA628" s="134"/>
      <c r="AB628" s="135">
        <f t="shared" si="427"/>
        <v>0.15096546692607005</v>
      </c>
      <c r="AC628" s="135">
        <f t="shared" si="428"/>
        <v>9.4380022962112564E-2</v>
      </c>
      <c r="AD628" s="135">
        <f t="shared" si="429"/>
        <v>0.27091439688715946</v>
      </c>
      <c r="AE628" s="223">
        <v>52260</v>
      </c>
      <c r="AF628" s="98" t="s">
        <v>621</v>
      </c>
      <c r="AH628" s="98" t="s">
        <v>115</v>
      </c>
    </row>
    <row r="629" spans="1:34" ht="46.5" thickTop="1" thickBot="1">
      <c r="A629" s="125" t="str">
        <f>INDEX('Выгр Торг'!$A:$A,MATCH($B629,'Выгр Торг'!$B:$B,0))</f>
        <v>Руль анатомический "Ferrum" Grand Premium (со вставками из алькантары) для Лада Веста, XRAY</v>
      </c>
      <c r="B629" s="126">
        <v>274945</v>
      </c>
      <c r="C629" s="127">
        <f>VLOOKUP($B629,'Выгр Торг'!$B:$Q,C$1,0)</f>
        <v>226831</v>
      </c>
      <c r="D629" s="44" t="s">
        <v>115</v>
      </c>
      <c r="E629" s="125" t="str">
        <f>VLOOKUP($B629,'Выгр Торг'!$B:$Q,E$1,0)</f>
        <v>Руль анатомический "Ferrum" Grand Premium (со вставками из алькантары) для Лада Веста, XRAY (Тёмно-серая нить, Чёрный мат)</v>
      </c>
      <c r="F629" s="127" t="str">
        <f>VLOOKUP($B629,'Выгр Торг'!$B:$Q,F$1,0)</f>
        <v>Y</v>
      </c>
      <c r="G629" s="127" t="str">
        <f>VLOOKUP($B629,'Выгр Торг'!$B:$Q,G$1,0)</f>
        <v>1</v>
      </c>
      <c r="H629" s="127">
        <v>226815</v>
      </c>
      <c r="I629" s="156"/>
      <c r="J629" s="160">
        <v>830</v>
      </c>
      <c r="K629" s="161">
        <v>870</v>
      </c>
      <c r="L629" s="130">
        <f t="shared" si="437"/>
        <v>41950</v>
      </c>
      <c r="M629" s="130">
        <f t="shared" si="432"/>
        <v>42950</v>
      </c>
      <c r="N629" s="130">
        <f t="shared" si="433"/>
        <v>35950</v>
      </c>
      <c r="O629" s="132">
        <f t="shared" si="438"/>
        <v>1.0238379022646007</v>
      </c>
      <c r="P629" s="132">
        <f t="shared" si="414"/>
        <v>1.1499999999999999</v>
      </c>
      <c r="Q629" s="130">
        <f t="shared" si="435"/>
        <v>51873.655913978495</v>
      </c>
      <c r="R629" s="148">
        <f t="shared" si="439"/>
        <v>51890</v>
      </c>
      <c r="S629" s="127">
        <f>VLOOKUP($B629,'Выгр Торг'!$B:$Q,S$1,0)</f>
        <v>41950</v>
      </c>
      <c r="T629" s="127">
        <f>VLOOKUP($B629,'Выгр Торг'!$B:$Q,T$1,0)</f>
        <v>51890</v>
      </c>
      <c r="U629" s="94">
        <f t="shared" si="416"/>
        <v>0</v>
      </c>
      <c r="V629" s="94">
        <f t="shared" si="417"/>
        <v>0</v>
      </c>
      <c r="W629" s="153">
        <f t="shared" si="426"/>
        <v>48257.7</v>
      </c>
      <c r="X629" s="209">
        <f>IFERROR(VLOOKUP($B629,'Из ГУГЛа'!$B:$G,6,0)*Z629+Y629,VLOOKUP($B629,'Из ГУГЛа'!$B:$G,6,0))</f>
        <v>53090</v>
      </c>
      <c r="Y629" s="220">
        <f t="shared" si="440"/>
        <v>10800</v>
      </c>
      <c r="Z629" s="133">
        <v>1</v>
      </c>
      <c r="AA629" s="134">
        <v>1300</v>
      </c>
      <c r="AB629" s="135">
        <f t="shared" si="427"/>
        <v>0.15036233611442196</v>
      </c>
      <c r="AC629" s="135">
        <f t="shared" si="428"/>
        <v>9.1020907892258487E-2</v>
      </c>
      <c r="AD629" s="135">
        <f t="shared" si="429"/>
        <v>0.26555423122765198</v>
      </c>
      <c r="AE629" s="223">
        <v>53090</v>
      </c>
      <c r="AF629" s="98" t="s">
        <v>621</v>
      </c>
      <c r="AH629" s="98" t="s">
        <v>115</v>
      </c>
    </row>
    <row r="630" spans="1:34" ht="46.5" thickTop="1" thickBot="1">
      <c r="A630" s="125" t="str">
        <f>INDEX('Выгр Торг'!$A:$A,MATCH($B630,'Выгр Торг'!$B:$B,0))</f>
        <v>Руль анатомический "Ferrum" Grand Premium (со вставками из алькантары) для Лада Веста, XRAY</v>
      </c>
      <c r="B630" s="126">
        <v>274925</v>
      </c>
      <c r="C630" s="127">
        <f>VLOOKUP($B630,'Выгр Торг'!$B:$Q,C$1,0)</f>
        <v>226818</v>
      </c>
      <c r="D630" s="44" t="s">
        <v>115</v>
      </c>
      <c r="E630" s="125" t="str">
        <f>VLOOKUP($B630,'Выгр Торг'!$B:$Q,E$1,0)</f>
        <v>Руль анатомический "Ferrum" Grand Premium (со вставками из алькантары) для Лада Веста, XRAY (Фиолетовая нить, Чёрный глянец)</v>
      </c>
      <c r="F630" s="127" t="str">
        <f>VLOOKUP($B630,'Выгр Торг'!$B:$Q,F$1,0)</f>
        <v>Y</v>
      </c>
      <c r="G630" s="127" t="str">
        <f>VLOOKUP($B630,'Выгр Торг'!$B:$Q,G$1,0)</f>
        <v>1</v>
      </c>
      <c r="H630" s="127">
        <v>226815</v>
      </c>
      <c r="I630" s="156"/>
      <c r="J630" s="160"/>
      <c r="K630" s="161">
        <v>870</v>
      </c>
      <c r="L630" s="130">
        <f t="shared" si="437"/>
        <v>41120</v>
      </c>
      <c r="M630" s="130">
        <f t="shared" si="432"/>
        <v>42120</v>
      </c>
      <c r="N630" s="130">
        <f t="shared" si="433"/>
        <v>35120</v>
      </c>
      <c r="O630" s="132">
        <f t="shared" si="438"/>
        <v>1.0243190661478598</v>
      </c>
      <c r="P630" s="132">
        <f t="shared" si="414"/>
        <v>1.1499999999999999</v>
      </c>
      <c r="Q630" s="130">
        <f t="shared" si="435"/>
        <v>50847.31182795699</v>
      </c>
      <c r="R630" s="148">
        <f t="shared" si="439"/>
        <v>50890</v>
      </c>
      <c r="S630" s="127">
        <f>VLOOKUP($B630,'Выгр Торг'!$B:$Q,S$1,0)</f>
        <v>41120</v>
      </c>
      <c r="T630" s="127">
        <f>VLOOKUP($B630,'Выгр Торг'!$B:$Q,T$1,0)</f>
        <v>50890</v>
      </c>
      <c r="U630" s="94">
        <f t="shared" si="416"/>
        <v>0</v>
      </c>
      <c r="V630" s="94">
        <f t="shared" si="417"/>
        <v>0</v>
      </c>
      <c r="W630" s="153">
        <f t="shared" si="426"/>
        <v>47327.7</v>
      </c>
      <c r="X630" s="209">
        <f>IFERROR(VLOOKUP($B630,'Из ГУГЛа'!$B:$G,6,0)*Z630+Y630,VLOOKUP($B630,'Из ГУГЛа'!$B:$G,6,0))</f>
        <v>52260</v>
      </c>
      <c r="Y630" s="220">
        <f t="shared" si="440"/>
        <v>9970</v>
      </c>
      <c r="Z630" s="133">
        <v>1</v>
      </c>
      <c r="AA630" s="134"/>
      <c r="AB630" s="135">
        <f t="shared" si="427"/>
        <v>0.15096546692607005</v>
      </c>
      <c r="AC630" s="135">
        <f t="shared" si="428"/>
        <v>9.4380022962112564E-2</v>
      </c>
      <c r="AD630" s="135">
        <f t="shared" si="429"/>
        <v>0.27091439688715946</v>
      </c>
      <c r="AE630" s="223">
        <v>52260</v>
      </c>
      <c r="AF630" s="98" t="s">
        <v>621</v>
      </c>
      <c r="AH630" s="98" t="s">
        <v>115</v>
      </c>
    </row>
    <row r="631" spans="1:34" ht="46.5" thickTop="1" thickBot="1">
      <c r="A631" s="125" t="str">
        <f>INDEX('Выгр Торг'!$A:$A,MATCH($B631,'Выгр Торг'!$B:$B,0))</f>
        <v>Руль анатомический "Ferrum" Grand Premium (со вставками из алькантары) для Лада Веста, XRAY</v>
      </c>
      <c r="B631" s="126">
        <v>274937</v>
      </c>
      <c r="C631" s="127">
        <f>VLOOKUP($B631,'Выгр Торг'!$B:$Q,C$1,0)</f>
        <v>226830</v>
      </c>
      <c r="D631" s="44" t="s">
        <v>115</v>
      </c>
      <c r="E631" s="125" t="str">
        <f>VLOOKUP($B631,'Выгр Торг'!$B:$Q,E$1,0)</f>
        <v>Руль анатомический "Ferrum" Grand Premium (со вставками из алькантары) для Лада Веста, XRAY (Фиолетовая нить, Чёрный мат)</v>
      </c>
      <c r="F631" s="127" t="str">
        <f>VLOOKUP($B631,'Выгр Торг'!$B:$Q,F$1,0)</f>
        <v>Y</v>
      </c>
      <c r="G631" s="127" t="str">
        <f>VLOOKUP($B631,'Выгр Торг'!$B:$Q,G$1,0)</f>
        <v>1</v>
      </c>
      <c r="H631" s="127">
        <v>226815</v>
      </c>
      <c r="I631" s="156"/>
      <c r="J631" s="160">
        <v>830</v>
      </c>
      <c r="K631" s="161">
        <v>870</v>
      </c>
      <c r="L631" s="130">
        <f t="shared" si="437"/>
        <v>41950</v>
      </c>
      <c r="M631" s="130">
        <f t="shared" si="432"/>
        <v>42950</v>
      </c>
      <c r="N631" s="130">
        <f t="shared" si="433"/>
        <v>35950</v>
      </c>
      <c r="O631" s="132">
        <f t="shared" si="438"/>
        <v>1.0238379022646007</v>
      </c>
      <c r="P631" s="132">
        <f t="shared" si="414"/>
        <v>1.1499999999999999</v>
      </c>
      <c r="Q631" s="130">
        <f t="shared" si="435"/>
        <v>51873.655913978495</v>
      </c>
      <c r="R631" s="148">
        <f t="shared" si="439"/>
        <v>51890</v>
      </c>
      <c r="S631" s="127">
        <f>VLOOKUP($B631,'Выгр Торг'!$B:$Q,S$1,0)</f>
        <v>41950</v>
      </c>
      <c r="T631" s="127">
        <f>VLOOKUP($B631,'Выгр Торг'!$B:$Q,T$1,0)</f>
        <v>51890</v>
      </c>
      <c r="U631" s="94">
        <f t="shared" si="416"/>
        <v>0</v>
      </c>
      <c r="V631" s="94">
        <f t="shared" si="417"/>
        <v>0</v>
      </c>
      <c r="W631" s="153">
        <f t="shared" si="426"/>
        <v>48257.7</v>
      </c>
      <c r="X631" s="209">
        <f>IFERROR(VLOOKUP($B631,'Из ГУГЛа'!$B:$G,6,0)*Z631+Y631,VLOOKUP($B631,'Из ГУГЛа'!$B:$G,6,0))</f>
        <v>53090</v>
      </c>
      <c r="Y631" s="220">
        <f t="shared" si="440"/>
        <v>10800</v>
      </c>
      <c r="Z631" s="133">
        <v>1</v>
      </c>
      <c r="AA631" s="134">
        <v>1300</v>
      </c>
      <c r="AB631" s="135">
        <f t="shared" si="427"/>
        <v>0.15036233611442196</v>
      </c>
      <c r="AC631" s="135">
        <f t="shared" si="428"/>
        <v>9.1020907892258487E-2</v>
      </c>
      <c r="AD631" s="135">
        <f t="shared" si="429"/>
        <v>0.26555423122765198</v>
      </c>
      <c r="AE631" s="223">
        <v>53090</v>
      </c>
      <c r="AF631" s="98" t="s">
        <v>621</v>
      </c>
      <c r="AH631" s="98" t="s">
        <v>115</v>
      </c>
    </row>
    <row r="632" spans="1:34" ht="31.5" thickTop="1" thickBot="1">
      <c r="A632" s="125" t="str">
        <f>INDEX('Выгр Торг'!$A:$A,MATCH($B632,'Выгр Торг'!$B:$B,0))</f>
        <v>Руль анатомический "Ferrum" Grand Sport для Лада Веста, XRAY</v>
      </c>
      <c r="B632" s="126">
        <v>275060</v>
      </c>
      <c r="C632" s="127">
        <f>VLOOKUP($B632,'Выгр Торг'!$B:$Q,C$1,0)</f>
        <v>226924</v>
      </c>
      <c r="D632" s="44" t="s">
        <v>118</v>
      </c>
      <c r="E632" s="125" t="str">
        <f>VLOOKUP($B632,'Выгр Торг'!$B:$Q,E$1,0)</f>
        <v>Руль анатомический "Ferrum" Grand Sport для Лада Веста, XRAY (Чёрная нить, Чёрный глянец)</v>
      </c>
      <c r="F632" s="127" t="str">
        <f>VLOOKUP($B632,'Выгр Торг'!$B:$Q,F$1,0)</f>
        <v>Y</v>
      </c>
      <c r="G632" s="127" t="str">
        <f>VLOOKUP($B632,'Выгр Торг'!$B:$Q,G$1,0)</f>
        <v>1</v>
      </c>
      <c r="H632" s="127">
        <v>226924</v>
      </c>
      <c r="I632" s="156"/>
      <c r="J632" s="160">
        <v>7000</v>
      </c>
      <c r="K632" s="161">
        <v>0</v>
      </c>
      <c r="L632" s="130">
        <f>M632-1000</f>
        <v>39600</v>
      </c>
      <c r="M632" s="131">
        <f>N632+J632</f>
        <v>40600</v>
      </c>
      <c r="N632" s="131">
        <v>33600</v>
      </c>
      <c r="O632" s="132">
        <f>M632/L632</f>
        <v>1.0252525252525253</v>
      </c>
      <c r="P632" s="132">
        <f t="shared" si="414"/>
        <v>1.1499999999999999</v>
      </c>
      <c r="Q632" s="147">
        <f t="shared" ref="Q632" si="441">L632*P632*100/93</f>
        <v>48967.741935483871</v>
      </c>
      <c r="R632" s="148">
        <f>IF(Q632&lt;=1000,(ROUNDUP(Q632,-2)-1),(ROUNDUP(Q632,-2)-10))</f>
        <v>48990</v>
      </c>
      <c r="S632" s="127">
        <f>VLOOKUP($B632,'Выгр Торг'!$B:$Q,S$1,0)</f>
        <v>39600</v>
      </c>
      <c r="T632" s="127">
        <f>VLOOKUP($B632,'Выгр Торг'!$B:$Q,T$1,0)</f>
        <v>48990</v>
      </c>
      <c r="U632" s="94">
        <f t="shared" si="416"/>
        <v>0</v>
      </c>
      <c r="V632" s="94">
        <f t="shared" si="417"/>
        <v>0</v>
      </c>
      <c r="W632" s="153">
        <f>R632*(1-$W$2)</f>
        <v>45560.7</v>
      </c>
      <c r="X632" s="209">
        <f>IFERROR(VLOOKUP($B632,'Из ГУГЛа'!$B:$G,6,0)*Z632+Y632,VLOOKUP($B632,'Из ГУГЛа'!$B:$G,6,0))</f>
        <v>50590</v>
      </c>
      <c r="Y632" s="106">
        <f>(J632+K632)*$Y$2</f>
        <v>9100</v>
      </c>
      <c r="Z632" s="133">
        <v>1</v>
      </c>
      <c r="AA632" s="134"/>
      <c r="AB632" s="135">
        <f>IFERROR(W632/L632-1,"")</f>
        <v>0.1505227272727272</v>
      </c>
      <c r="AC632" s="135">
        <f>IFERROR((AE632-W632)/AE632,"")</f>
        <v>9.941292745601904E-2</v>
      </c>
      <c r="AD632" s="135">
        <f>IFERROR(IF(AE632="","",AE632/L632-1),"")</f>
        <v>0.27752525252525251</v>
      </c>
      <c r="AE632" s="137">
        <v>50590</v>
      </c>
      <c r="AF632" s="98" t="s">
        <v>617</v>
      </c>
      <c r="AH632" s="98" t="s">
        <v>118</v>
      </c>
    </row>
    <row r="633" spans="1:34" ht="31.5" thickTop="1" thickBot="1">
      <c r="A633" s="125" t="str">
        <f>INDEX('Выгр Торг'!$A:$A,MATCH($B633,'Выгр Торг'!$B:$B,0))</f>
        <v>Руль анатомический "Ferrum" Grand Sport для Лада Веста, XRAY</v>
      </c>
      <c r="B633" s="126">
        <v>275061</v>
      </c>
      <c r="C633" s="127">
        <f>VLOOKUP($B633,'Выгр Торг'!$B:$Q,C$1,0)</f>
        <v>226925</v>
      </c>
      <c r="D633" s="44" t="s">
        <v>118</v>
      </c>
      <c r="E633" s="125" t="str">
        <f>VLOOKUP($B633,'Выгр Торг'!$B:$Q,E$1,0)</f>
        <v>Руль анатомический "Ferrum" Grand Sport для Лада Веста, XRAY (Чёрная нить, Чёрный мат)</v>
      </c>
      <c r="F633" s="127" t="str">
        <f>VLOOKUP($B633,'Выгр Торг'!$B:$Q,F$1,0)</f>
        <v>Y</v>
      </c>
      <c r="G633" s="127" t="str">
        <f>VLOOKUP($B633,'Выгр Торг'!$B:$Q,G$1,0)</f>
        <v>1</v>
      </c>
      <c r="H633" s="127">
        <v>226924</v>
      </c>
      <c r="I633" s="156"/>
      <c r="J633" s="160"/>
      <c r="K633" s="161">
        <v>830</v>
      </c>
      <c r="L633" s="130">
        <f t="shared" ref="L633" si="442">M633-1000</f>
        <v>40430</v>
      </c>
      <c r="M633" s="130">
        <f t="shared" ref="M633:M657" si="443">INDEX($M:$M,MATCH($H633,$C:$C,0))+$K633+$J633</f>
        <v>41430</v>
      </c>
      <c r="N633" s="130">
        <f t="shared" ref="N633:N657" si="444">INDEX($N:$N,MATCH($H633,$C:$C,0))+$K633+$J633</f>
        <v>34430</v>
      </c>
      <c r="O633" s="132">
        <f t="shared" ref="O633" si="445">M633/L633</f>
        <v>1.0247341083353945</v>
      </c>
      <c r="P633" s="132">
        <f t="shared" si="414"/>
        <v>1.1499999999999999</v>
      </c>
      <c r="Q633" s="130">
        <f t="shared" ref="Q633:Q657" si="446">INDEX($Q:$Q,MATCH($H633,$C:$C,0))+($K633+$J633)*INDEX($P:$P,MATCH($H633,$C:$C,0))*100/93</f>
        <v>49994.086021505376</v>
      </c>
      <c r="R633" s="148">
        <f t="shared" ref="R633" si="447">IF(Q633&lt;=1000,(ROUNDUP(Q633,-2)-1),(ROUNDUP(Q633,-2)-10))</f>
        <v>49990</v>
      </c>
      <c r="S633" s="127">
        <f>VLOOKUP($B633,'Выгр Торг'!$B:$Q,S$1,0)</f>
        <v>40430</v>
      </c>
      <c r="T633" s="127">
        <f>VLOOKUP($B633,'Выгр Торг'!$B:$Q,T$1,0)</f>
        <v>49990</v>
      </c>
      <c r="U633" s="94">
        <f t="shared" si="416"/>
        <v>0</v>
      </c>
      <c r="V633" s="94">
        <f t="shared" si="417"/>
        <v>0</v>
      </c>
      <c r="W633" s="153">
        <f>R633*(1-$W$2)</f>
        <v>46490.7</v>
      </c>
      <c r="X633" s="209">
        <f>IFERROR(VLOOKUP($B633,'Из ГУГЛа'!$B:$G,6,0)*Z633+Y633,VLOOKUP($B633,'Из ГУГЛа'!$B:$G,6,0))</f>
        <v>42569</v>
      </c>
      <c r="Y633" s="106">
        <f>(J633+K633)*$Y$2</f>
        <v>1079</v>
      </c>
      <c r="Z633" s="133">
        <v>1</v>
      </c>
      <c r="AA633" s="134">
        <v>1300</v>
      </c>
      <c r="AB633" s="135">
        <f>IFERROR(W633/L633-1,"")</f>
        <v>0.14990601038832541</v>
      </c>
      <c r="AC633" s="135">
        <f>IFERROR((AE633-W633)/AE633,"")</f>
        <v>-9.2125725293053559E-2</v>
      </c>
      <c r="AD633" s="135">
        <f>IFERROR(IF(AE633="","",AE633/L633-1),"")</f>
        <v>5.2906257729408823E-2</v>
      </c>
      <c r="AE633" s="137">
        <v>42569</v>
      </c>
      <c r="AF633" s="98" t="s">
        <v>617</v>
      </c>
      <c r="AH633" s="98" t="s">
        <v>118</v>
      </c>
    </row>
    <row r="634" spans="1:34" ht="31.5" thickTop="1" thickBot="1">
      <c r="A634" s="125" t="str">
        <f>INDEX('Выгр Торг'!$A:$A,MATCH($B634,'Выгр Торг'!$B:$B,0))</f>
        <v>Руль анатомический "Ferrum" Grand Sport для Лада Веста, XRAY</v>
      </c>
      <c r="B634" s="126">
        <v>275062</v>
      </c>
      <c r="C634" s="127">
        <f>VLOOKUP($B634,'Выгр Торг'!$B:$Q,C$1,0)</f>
        <v>226939</v>
      </c>
      <c r="D634" s="44" t="s">
        <v>118</v>
      </c>
      <c r="E634" s="125" t="str">
        <f>VLOOKUP($B634,'Выгр Торг'!$B:$Q,E$1,0)</f>
        <v>Руль анатомический "Ferrum" Grand Sport для Лада Веста, XRAY (Белая нить, Чёрный глянец)</v>
      </c>
      <c r="F634" s="127" t="str">
        <f>VLOOKUP($B634,'Выгр Торг'!$B:$Q,F$1,0)</f>
        <v>Y</v>
      </c>
      <c r="G634" s="127" t="str">
        <f>VLOOKUP($B634,'Выгр Торг'!$B:$Q,G$1,0)</f>
        <v>1</v>
      </c>
      <c r="H634" s="127">
        <v>226924</v>
      </c>
      <c r="I634" s="156"/>
      <c r="J634" s="160"/>
      <c r="K634" s="161">
        <v>870</v>
      </c>
      <c r="L634" s="130">
        <f t="shared" ref="L634:L657" si="448">M634-1000</f>
        <v>40470</v>
      </c>
      <c r="M634" s="130">
        <f t="shared" si="443"/>
        <v>41470</v>
      </c>
      <c r="N634" s="130">
        <f t="shared" si="444"/>
        <v>34470</v>
      </c>
      <c r="O634" s="132">
        <f t="shared" ref="O634:O657" si="449">M634/L634</f>
        <v>1.0247096614776376</v>
      </c>
      <c r="P634" s="132">
        <f t="shared" si="414"/>
        <v>1.1499999999999999</v>
      </c>
      <c r="Q634" s="130">
        <f t="shared" si="446"/>
        <v>50043.548387096773</v>
      </c>
      <c r="R634" s="148">
        <f t="shared" ref="R634:R657" si="450">IF(Q634&lt;=1000,(ROUNDUP(Q634,-2)-1),(ROUNDUP(Q634,-2)-10))</f>
        <v>50090</v>
      </c>
      <c r="S634" s="127">
        <f>VLOOKUP($B634,'Выгр Торг'!$B:$Q,S$1,0)</f>
        <v>40470</v>
      </c>
      <c r="T634" s="127">
        <f>VLOOKUP($B634,'Выгр Торг'!$B:$Q,T$1,0)</f>
        <v>50090</v>
      </c>
      <c r="U634" s="94">
        <f t="shared" si="416"/>
        <v>0</v>
      </c>
      <c r="V634" s="94">
        <f t="shared" si="417"/>
        <v>0</v>
      </c>
      <c r="W634" s="153">
        <f t="shared" si="426"/>
        <v>46583.7</v>
      </c>
      <c r="X634" s="209">
        <f>IFERROR(VLOOKUP($B634,'Из ГУГЛа'!$B:$G,6,0)*Z634+Y634,VLOOKUP($B634,'Из ГУГЛа'!$B:$G,6,0))</f>
        <v>51460</v>
      </c>
      <c r="Y634" s="220">
        <f t="shared" ref="Y634:Y657" si="451">INDEX($Y:$Y,MATCH($H634,$C:$C,0))+J634+K634</f>
        <v>9970</v>
      </c>
      <c r="Z634" s="133">
        <v>1</v>
      </c>
      <c r="AA634" s="134"/>
      <c r="AB634" s="135">
        <f t="shared" si="427"/>
        <v>0.15106745737583394</v>
      </c>
      <c r="AC634" s="135">
        <f t="shared" si="428"/>
        <v>9.4759036144578368E-2</v>
      </c>
      <c r="AD634" s="135">
        <f t="shared" si="429"/>
        <v>0.27155917963923892</v>
      </c>
      <c r="AE634" s="223">
        <v>51460</v>
      </c>
      <c r="AF634" s="98" t="s">
        <v>617</v>
      </c>
      <c r="AH634" s="98" t="s">
        <v>118</v>
      </c>
    </row>
    <row r="635" spans="1:34" ht="31.5" thickTop="1" thickBot="1">
      <c r="A635" s="125" t="str">
        <f>INDEX('Выгр Торг'!$A:$A,MATCH($B635,'Выгр Торг'!$B:$B,0))</f>
        <v>Руль анатомический "Ferrum" Grand Sport для Лада Веста, XRAY</v>
      </c>
      <c r="B635" s="126">
        <v>275074</v>
      </c>
      <c r="C635" s="127">
        <f>VLOOKUP($B635,'Выгр Торг'!$B:$Q,C$1,0)</f>
        <v>226952</v>
      </c>
      <c r="D635" s="44" t="s">
        <v>118</v>
      </c>
      <c r="E635" s="125" t="str">
        <f>VLOOKUP($B635,'Выгр Торг'!$B:$Q,E$1,0)</f>
        <v>Руль анатомический "Ferrum" Grand Sport для Лада Веста, XRAY (Белая нить, Чёрный мат)</v>
      </c>
      <c r="F635" s="127" t="str">
        <f>VLOOKUP($B635,'Выгр Торг'!$B:$Q,F$1,0)</f>
        <v>Y</v>
      </c>
      <c r="G635" s="127" t="str">
        <f>VLOOKUP($B635,'Выгр Торг'!$B:$Q,G$1,0)</f>
        <v>1</v>
      </c>
      <c r="H635" s="127">
        <v>226924</v>
      </c>
      <c r="I635" s="156"/>
      <c r="J635" s="160">
        <v>830</v>
      </c>
      <c r="K635" s="161">
        <v>870</v>
      </c>
      <c r="L635" s="130">
        <f t="shared" si="448"/>
        <v>41300</v>
      </c>
      <c r="M635" s="130">
        <f t="shared" si="443"/>
        <v>42300</v>
      </c>
      <c r="N635" s="130">
        <f t="shared" si="444"/>
        <v>35300</v>
      </c>
      <c r="O635" s="132">
        <f t="shared" si="449"/>
        <v>1.0242130750605327</v>
      </c>
      <c r="P635" s="132">
        <f t="shared" si="414"/>
        <v>1.1499999999999999</v>
      </c>
      <c r="Q635" s="130">
        <f t="shared" si="446"/>
        <v>51069.892473118278</v>
      </c>
      <c r="R635" s="148">
        <f t="shared" si="450"/>
        <v>51090</v>
      </c>
      <c r="S635" s="127">
        <f>VLOOKUP($B635,'Выгр Торг'!$B:$Q,S$1,0)</f>
        <v>41300</v>
      </c>
      <c r="T635" s="127">
        <f>VLOOKUP($B635,'Выгр Торг'!$B:$Q,T$1,0)</f>
        <v>51090</v>
      </c>
      <c r="U635" s="94">
        <f t="shared" si="416"/>
        <v>0</v>
      </c>
      <c r="V635" s="94">
        <f t="shared" si="417"/>
        <v>0</v>
      </c>
      <c r="W635" s="153">
        <f t="shared" si="426"/>
        <v>47513.7</v>
      </c>
      <c r="X635" s="209">
        <f>IFERROR(VLOOKUP($B635,'Из ГУГЛа'!$B:$G,6,0)*Z635+Y635,VLOOKUP($B635,'Из ГУГЛа'!$B:$G,6,0))</f>
        <v>52290</v>
      </c>
      <c r="Y635" s="220">
        <f t="shared" si="451"/>
        <v>10800</v>
      </c>
      <c r="Z635" s="133">
        <v>1</v>
      </c>
      <c r="AA635" s="134">
        <v>1300</v>
      </c>
      <c r="AB635" s="135">
        <f t="shared" si="427"/>
        <v>0.15045278450363186</v>
      </c>
      <c r="AC635" s="135">
        <f t="shared" si="428"/>
        <v>9.1342512908778026E-2</v>
      </c>
      <c r="AD635" s="135">
        <f t="shared" si="429"/>
        <v>0.26610169491525415</v>
      </c>
      <c r="AE635" s="223">
        <v>52290</v>
      </c>
      <c r="AF635" s="98" t="s">
        <v>617</v>
      </c>
      <c r="AH635" s="98" t="s">
        <v>118</v>
      </c>
    </row>
    <row r="636" spans="1:34" ht="31.5" thickTop="1" thickBot="1">
      <c r="A636" s="125" t="str">
        <f>INDEX('Выгр Торг'!$A:$A,MATCH($B636,'Выгр Торг'!$B:$B,0))</f>
        <v>Руль анатомический "Ferrum" Grand Sport для Лада Веста, XRAY</v>
      </c>
      <c r="B636" s="126">
        <v>275073</v>
      </c>
      <c r="C636" s="127">
        <f>VLOOKUP($B636,'Выгр Торг'!$B:$Q,C$1,0)</f>
        <v>226934</v>
      </c>
      <c r="D636" s="44" t="s">
        <v>118</v>
      </c>
      <c r="E636" s="125" t="str">
        <f>VLOOKUP($B636,'Выгр Торг'!$B:$Q,E$1,0)</f>
        <v>Руль анатомический "Ferrum" Grand Sport для Лада Веста, XRAY (Жёлтая нить, Чёрный глянец)</v>
      </c>
      <c r="F636" s="127" t="str">
        <f>VLOOKUP($B636,'Выгр Торг'!$B:$Q,F$1,0)</f>
        <v>Y</v>
      </c>
      <c r="G636" s="127" t="str">
        <f>VLOOKUP($B636,'Выгр Торг'!$B:$Q,G$1,0)</f>
        <v>1</v>
      </c>
      <c r="H636" s="127">
        <v>226924</v>
      </c>
      <c r="I636" s="156"/>
      <c r="J636" s="160"/>
      <c r="K636" s="161">
        <v>870</v>
      </c>
      <c r="L636" s="130">
        <f t="shared" si="448"/>
        <v>40470</v>
      </c>
      <c r="M636" s="130">
        <f t="shared" si="443"/>
        <v>41470</v>
      </c>
      <c r="N636" s="130">
        <f t="shared" si="444"/>
        <v>34470</v>
      </c>
      <c r="O636" s="132">
        <f t="shared" si="449"/>
        <v>1.0247096614776376</v>
      </c>
      <c r="P636" s="132">
        <f t="shared" si="414"/>
        <v>1.1499999999999999</v>
      </c>
      <c r="Q636" s="130">
        <f t="shared" si="446"/>
        <v>50043.548387096773</v>
      </c>
      <c r="R636" s="148">
        <f t="shared" si="450"/>
        <v>50090</v>
      </c>
      <c r="S636" s="127">
        <f>VLOOKUP($B636,'Выгр Торг'!$B:$Q,S$1,0)</f>
        <v>40470</v>
      </c>
      <c r="T636" s="127">
        <f>VLOOKUP($B636,'Выгр Торг'!$B:$Q,T$1,0)</f>
        <v>50090</v>
      </c>
      <c r="U636" s="94">
        <f t="shared" si="416"/>
        <v>0</v>
      </c>
      <c r="V636" s="94">
        <f t="shared" si="417"/>
        <v>0</v>
      </c>
      <c r="W636" s="153">
        <f t="shared" si="426"/>
        <v>46583.7</v>
      </c>
      <c r="X636" s="209">
        <f>IFERROR(VLOOKUP($B636,'Из ГУГЛа'!$B:$G,6,0)*Z636+Y636,VLOOKUP($B636,'Из ГУГЛа'!$B:$G,6,0))</f>
        <v>51460</v>
      </c>
      <c r="Y636" s="220">
        <f t="shared" si="451"/>
        <v>9970</v>
      </c>
      <c r="Z636" s="133">
        <v>1</v>
      </c>
      <c r="AA636" s="134"/>
      <c r="AB636" s="135">
        <f t="shared" si="427"/>
        <v>0.15106745737583394</v>
      </c>
      <c r="AC636" s="135">
        <f t="shared" si="428"/>
        <v>9.4759036144578368E-2</v>
      </c>
      <c r="AD636" s="135">
        <f t="shared" si="429"/>
        <v>0.27155917963923892</v>
      </c>
      <c r="AE636" s="223">
        <v>51460</v>
      </c>
      <c r="AF636" s="98" t="s">
        <v>617</v>
      </c>
      <c r="AH636" s="98" t="s">
        <v>118</v>
      </c>
    </row>
    <row r="637" spans="1:34" ht="31.5" thickTop="1" thickBot="1">
      <c r="A637" s="125" t="str">
        <f>INDEX('Выгр Торг'!$A:$A,MATCH($B637,'Выгр Торг'!$B:$B,0))</f>
        <v>Руль анатомический "Ferrum" Grand Sport для Лада Веста, XRAY</v>
      </c>
      <c r="B637" s="126">
        <v>275085</v>
      </c>
      <c r="C637" s="127">
        <f>VLOOKUP($B637,'Выгр Торг'!$B:$Q,C$1,0)</f>
        <v>226947</v>
      </c>
      <c r="D637" s="44" t="s">
        <v>118</v>
      </c>
      <c r="E637" s="125" t="str">
        <f>VLOOKUP($B637,'Выгр Торг'!$B:$Q,E$1,0)</f>
        <v>Руль анатомический "Ferrum" Grand Sport для Лада Веста, XRAY (Жёлтая нить, Чёрный мат)</v>
      </c>
      <c r="F637" s="127" t="str">
        <f>VLOOKUP($B637,'Выгр Торг'!$B:$Q,F$1,0)</f>
        <v>Y</v>
      </c>
      <c r="G637" s="127" t="str">
        <f>VLOOKUP($B637,'Выгр Торг'!$B:$Q,G$1,0)</f>
        <v>1</v>
      </c>
      <c r="H637" s="127">
        <v>226924</v>
      </c>
      <c r="I637" s="156"/>
      <c r="J637" s="160">
        <v>830</v>
      </c>
      <c r="K637" s="161">
        <v>870</v>
      </c>
      <c r="L637" s="130">
        <f t="shared" si="448"/>
        <v>41300</v>
      </c>
      <c r="M637" s="130">
        <f t="shared" si="443"/>
        <v>42300</v>
      </c>
      <c r="N637" s="130">
        <f t="shared" si="444"/>
        <v>35300</v>
      </c>
      <c r="O637" s="132">
        <f t="shared" si="449"/>
        <v>1.0242130750605327</v>
      </c>
      <c r="P637" s="132">
        <f t="shared" si="414"/>
        <v>1.1499999999999999</v>
      </c>
      <c r="Q637" s="130">
        <f t="shared" si="446"/>
        <v>51069.892473118278</v>
      </c>
      <c r="R637" s="148">
        <f t="shared" si="450"/>
        <v>51090</v>
      </c>
      <c r="S637" s="127">
        <f>VLOOKUP($B637,'Выгр Торг'!$B:$Q,S$1,0)</f>
        <v>41300</v>
      </c>
      <c r="T637" s="127">
        <f>VLOOKUP($B637,'Выгр Торг'!$B:$Q,T$1,0)</f>
        <v>51090</v>
      </c>
      <c r="U637" s="94">
        <f t="shared" si="416"/>
        <v>0</v>
      </c>
      <c r="V637" s="94">
        <f t="shared" si="417"/>
        <v>0</v>
      </c>
      <c r="W637" s="153">
        <f t="shared" si="426"/>
        <v>47513.7</v>
      </c>
      <c r="X637" s="209">
        <f>IFERROR(VLOOKUP($B637,'Из ГУГЛа'!$B:$G,6,0)*Z637+Y637,VLOOKUP($B637,'Из ГУГЛа'!$B:$G,6,0))</f>
        <v>52290</v>
      </c>
      <c r="Y637" s="220">
        <f t="shared" si="451"/>
        <v>10800</v>
      </c>
      <c r="Z637" s="133">
        <v>1</v>
      </c>
      <c r="AA637" s="134">
        <v>1300</v>
      </c>
      <c r="AB637" s="135">
        <f t="shared" si="427"/>
        <v>0.15045278450363186</v>
      </c>
      <c r="AC637" s="135">
        <f t="shared" si="428"/>
        <v>9.1342512908778026E-2</v>
      </c>
      <c r="AD637" s="135">
        <f t="shared" si="429"/>
        <v>0.26610169491525415</v>
      </c>
      <c r="AE637" s="223">
        <v>52290</v>
      </c>
      <c r="AF637" s="98" t="s">
        <v>617</v>
      </c>
      <c r="AH637" s="98" t="s">
        <v>118</v>
      </c>
    </row>
    <row r="638" spans="1:34" ht="31.5" thickTop="1" thickBot="1">
      <c r="A638" s="125" t="str">
        <f>INDEX('Выгр Торг'!$A:$A,MATCH($B638,'Выгр Торг'!$B:$B,0))</f>
        <v>Руль анатомический "Ferrum" Grand Sport для Лада Веста, XRAY</v>
      </c>
      <c r="B638" s="126">
        <v>275072</v>
      </c>
      <c r="C638" s="127">
        <f>VLOOKUP($B638,'Выгр Торг'!$B:$Q,C$1,0)</f>
        <v>226938</v>
      </c>
      <c r="D638" s="44" t="s">
        <v>118</v>
      </c>
      <c r="E638" s="125" t="str">
        <f>VLOOKUP($B638,'Выгр Торг'!$B:$Q,E$1,0)</f>
        <v>Руль анатомический "Ferrum" Grand Sport для Лада Веста, XRAY (Зелёная нить, Чёрный глянец)</v>
      </c>
      <c r="F638" s="127" t="str">
        <f>VLOOKUP($B638,'Выгр Торг'!$B:$Q,F$1,0)</f>
        <v>Y</v>
      </c>
      <c r="G638" s="127" t="str">
        <f>VLOOKUP($B638,'Выгр Торг'!$B:$Q,G$1,0)</f>
        <v>1</v>
      </c>
      <c r="H638" s="127">
        <v>226924</v>
      </c>
      <c r="I638" s="156"/>
      <c r="J638" s="160"/>
      <c r="K638" s="161">
        <v>870</v>
      </c>
      <c r="L638" s="130">
        <f t="shared" si="448"/>
        <v>40470</v>
      </c>
      <c r="M638" s="130">
        <f t="shared" si="443"/>
        <v>41470</v>
      </c>
      <c r="N638" s="130">
        <f t="shared" si="444"/>
        <v>34470</v>
      </c>
      <c r="O638" s="132">
        <f t="shared" si="449"/>
        <v>1.0247096614776376</v>
      </c>
      <c r="P638" s="132">
        <f t="shared" si="414"/>
        <v>1.1499999999999999</v>
      </c>
      <c r="Q638" s="130">
        <f t="shared" si="446"/>
        <v>50043.548387096773</v>
      </c>
      <c r="R638" s="148">
        <f t="shared" si="450"/>
        <v>50090</v>
      </c>
      <c r="S638" s="127">
        <f>VLOOKUP($B638,'Выгр Торг'!$B:$Q,S$1,0)</f>
        <v>40470</v>
      </c>
      <c r="T638" s="127">
        <f>VLOOKUP($B638,'Выгр Торг'!$B:$Q,T$1,0)</f>
        <v>50090</v>
      </c>
      <c r="U638" s="94">
        <f t="shared" si="416"/>
        <v>0</v>
      </c>
      <c r="V638" s="94">
        <f t="shared" si="417"/>
        <v>0</v>
      </c>
      <c r="W638" s="153">
        <f t="shared" si="426"/>
        <v>46583.7</v>
      </c>
      <c r="X638" s="209">
        <f>IFERROR(VLOOKUP($B638,'Из ГУГЛа'!$B:$G,6,0)*Z638+Y638,VLOOKUP($B638,'Из ГУГЛа'!$B:$G,6,0))</f>
        <v>51460</v>
      </c>
      <c r="Y638" s="220">
        <f t="shared" si="451"/>
        <v>9970</v>
      </c>
      <c r="Z638" s="133">
        <v>1</v>
      </c>
      <c r="AA638" s="134"/>
      <c r="AB638" s="135">
        <f t="shared" si="427"/>
        <v>0.15106745737583394</v>
      </c>
      <c r="AC638" s="135">
        <f t="shared" si="428"/>
        <v>9.4759036144578368E-2</v>
      </c>
      <c r="AD638" s="135">
        <f t="shared" si="429"/>
        <v>0.27155917963923892</v>
      </c>
      <c r="AE638" s="223">
        <v>51460</v>
      </c>
      <c r="AF638" s="98" t="s">
        <v>617</v>
      </c>
      <c r="AH638" s="98" t="s">
        <v>118</v>
      </c>
    </row>
    <row r="639" spans="1:34" ht="31.5" thickTop="1" thickBot="1">
      <c r="A639" s="125" t="str">
        <f>INDEX('Выгр Торг'!$A:$A,MATCH($B639,'Выгр Торг'!$B:$B,0))</f>
        <v>Руль анатомический "Ferrum" Grand Sport для Лада Веста, XRAY</v>
      </c>
      <c r="B639" s="126">
        <v>275084</v>
      </c>
      <c r="C639" s="127">
        <f>VLOOKUP($B639,'Выгр Торг'!$B:$Q,C$1,0)</f>
        <v>226951</v>
      </c>
      <c r="D639" s="44" t="s">
        <v>118</v>
      </c>
      <c r="E639" s="125" t="str">
        <f>VLOOKUP($B639,'Выгр Торг'!$B:$Q,E$1,0)</f>
        <v>Руль анатомический "Ferrum" Grand Sport для Лада Веста, XRAY (Зелёная нить, Чёрный мат)</v>
      </c>
      <c r="F639" s="127" t="str">
        <f>VLOOKUP($B639,'Выгр Торг'!$B:$Q,F$1,0)</f>
        <v>Y</v>
      </c>
      <c r="G639" s="127" t="str">
        <f>VLOOKUP($B639,'Выгр Торг'!$B:$Q,G$1,0)</f>
        <v>1</v>
      </c>
      <c r="H639" s="127">
        <v>226924</v>
      </c>
      <c r="I639" s="156"/>
      <c r="J639" s="160">
        <v>830</v>
      </c>
      <c r="K639" s="161">
        <v>870</v>
      </c>
      <c r="L639" s="130">
        <f t="shared" si="448"/>
        <v>41300</v>
      </c>
      <c r="M639" s="130">
        <f t="shared" si="443"/>
        <v>42300</v>
      </c>
      <c r="N639" s="130">
        <f t="shared" si="444"/>
        <v>35300</v>
      </c>
      <c r="O639" s="132">
        <f t="shared" si="449"/>
        <v>1.0242130750605327</v>
      </c>
      <c r="P639" s="132">
        <f t="shared" si="414"/>
        <v>1.1499999999999999</v>
      </c>
      <c r="Q639" s="130">
        <f t="shared" si="446"/>
        <v>51069.892473118278</v>
      </c>
      <c r="R639" s="148">
        <f t="shared" si="450"/>
        <v>51090</v>
      </c>
      <c r="S639" s="127">
        <f>VLOOKUP($B639,'Выгр Торг'!$B:$Q,S$1,0)</f>
        <v>41300</v>
      </c>
      <c r="T639" s="127">
        <f>VLOOKUP($B639,'Выгр Торг'!$B:$Q,T$1,0)</f>
        <v>51090</v>
      </c>
      <c r="U639" s="94">
        <f t="shared" si="416"/>
        <v>0</v>
      </c>
      <c r="V639" s="94">
        <f t="shared" si="417"/>
        <v>0</v>
      </c>
      <c r="W639" s="153">
        <f t="shared" si="426"/>
        <v>47513.7</v>
      </c>
      <c r="X639" s="209">
        <f>IFERROR(VLOOKUP($B639,'Из ГУГЛа'!$B:$G,6,0)*Z639+Y639,VLOOKUP($B639,'Из ГУГЛа'!$B:$G,6,0))</f>
        <v>52290</v>
      </c>
      <c r="Y639" s="220">
        <f t="shared" si="451"/>
        <v>10800</v>
      </c>
      <c r="Z639" s="133">
        <v>1</v>
      </c>
      <c r="AA639" s="134">
        <v>1300</v>
      </c>
      <c r="AB639" s="135">
        <f t="shared" si="427"/>
        <v>0.15045278450363186</v>
      </c>
      <c r="AC639" s="135">
        <f t="shared" si="428"/>
        <v>9.1342512908778026E-2</v>
      </c>
      <c r="AD639" s="135">
        <f t="shared" si="429"/>
        <v>0.26610169491525415</v>
      </c>
      <c r="AE639" s="223">
        <v>52290</v>
      </c>
      <c r="AF639" s="98" t="s">
        <v>617</v>
      </c>
      <c r="AH639" s="98" t="s">
        <v>118</v>
      </c>
    </row>
    <row r="640" spans="1:34" ht="31.5" thickTop="1" thickBot="1">
      <c r="A640" s="125" t="str">
        <f>INDEX('Выгр Торг'!$A:$A,MATCH($B640,'Выгр Торг'!$B:$B,0))</f>
        <v>Руль анатомический "Ferrum" Grand Sport для Лада Веста, XRAY</v>
      </c>
      <c r="B640" s="126">
        <v>275064</v>
      </c>
      <c r="C640" s="127">
        <f>VLOOKUP($B640,'Выгр Торг'!$B:$Q,C$1,0)</f>
        <v>226930</v>
      </c>
      <c r="D640" s="44" t="s">
        <v>118</v>
      </c>
      <c r="E640" s="125" t="str">
        <f>VLOOKUP($B640,'Выгр Торг'!$B:$Q,E$1,0)</f>
        <v>Руль анатомический "Ferrum" Grand Sport для Лада Веста, XRAY (Коричневая нить, Чёрный глянец)</v>
      </c>
      <c r="F640" s="127" t="str">
        <f>VLOOKUP($B640,'Выгр Торг'!$B:$Q,F$1,0)</f>
        <v>Y</v>
      </c>
      <c r="G640" s="127" t="str">
        <f>VLOOKUP($B640,'Выгр Торг'!$B:$Q,G$1,0)</f>
        <v>1</v>
      </c>
      <c r="H640" s="127">
        <v>226924</v>
      </c>
      <c r="I640" s="156"/>
      <c r="J640" s="160"/>
      <c r="K640" s="161">
        <v>870</v>
      </c>
      <c r="L640" s="130">
        <f t="shared" si="448"/>
        <v>40470</v>
      </c>
      <c r="M640" s="130">
        <f t="shared" si="443"/>
        <v>41470</v>
      </c>
      <c r="N640" s="130">
        <f t="shared" si="444"/>
        <v>34470</v>
      </c>
      <c r="O640" s="132">
        <f t="shared" si="449"/>
        <v>1.0247096614776376</v>
      </c>
      <c r="P640" s="132">
        <f t="shared" si="414"/>
        <v>1.1499999999999999</v>
      </c>
      <c r="Q640" s="130">
        <f t="shared" si="446"/>
        <v>50043.548387096773</v>
      </c>
      <c r="R640" s="148">
        <f t="shared" si="450"/>
        <v>50090</v>
      </c>
      <c r="S640" s="127">
        <f>VLOOKUP($B640,'Выгр Торг'!$B:$Q,S$1,0)</f>
        <v>40470</v>
      </c>
      <c r="T640" s="127">
        <f>VLOOKUP($B640,'Выгр Торг'!$B:$Q,T$1,0)</f>
        <v>50090</v>
      </c>
      <c r="U640" s="94">
        <f t="shared" si="416"/>
        <v>0</v>
      </c>
      <c r="V640" s="94">
        <f t="shared" si="417"/>
        <v>0</v>
      </c>
      <c r="W640" s="153">
        <f t="shared" si="426"/>
        <v>46583.7</v>
      </c>
      <c r="X640" s="209">
        <f>IFERROR(VLOOKUP($B640,'Из ГУГЛа'!$B:$G,6,0)*Z640+Y640,VLOOKUP($B640,'Из ГУГЛа'!$B:$G,6,0))</f>
        <v>51460</v>
      </c>
      <c r="Y640" s="220">
        <f t="shared" si="451"/>
        <v>9970</v>
      </c>
      <c r="Z640" s="133">
        <v>1</v>
      </c>
      <c r="AA640" s="134"/>
      <c r="AB640" s="135">
        <f t="shared" si="427"/>
        <v>0.15106745737583394</v>
      </c>
      <c r="AC640" s="135">
        <f t="shared" si="428"/>
        <v>9.4759036144578368E-2</v>
      </c>
      <c r="AD640" s="135">
        <f t="shared" si="429"/>
        <v>0.27155917963923892</v>
      </c>
      <c r="AE640" s="223">
        <v>51460</v>
      </c>
      <c r="AF640" s="98" t="s">
        <v>617</v>
      </c>
      <c r="AH640" s="98" t="s">
        <v>118</v>
      </c>
    </row>
    <row r="641" spans="1:34" ht="31.5" thickTop="1" thickBot="1">
      <c r="A641" s="125" t="str">
        <f>INDEX('Выгр Торг'!$A:$A,MATCH($B641,'Выгр Торг'!$B:$B,0))</f>
        <v>Руль анатомический "Ferrum" Grand Sport для Лада Веста, XRAY</v>
      </c>
      <c r="B641" s="126">
        <v>275076</v>
      </c>
      <c r="C641" s="127">
        <f>VLOOKUP($B641,'Выгр Торг'!$B:$Q,C$1,0)</f>
        <v>226942</v>
      </c>
      <c r="D641" s="44" t="s">
        <v>118</v>
      </c>
      <c r="E641" s="125" t="str">
        <f>VLOOKUP($B641,'Выгр Торг'!$B:$Q,E$1,0)</f>
        <v>Руль анатомический "Ferrum" Grand Sport для Лада Веста, XRAY (Коричневая нить, Чёрный мат)</v>
      </c>
      <c r="F641" s="127" t="str">
        <f>VLOOKUP($B641,'Выгр Торг'!$B:$Q,F$1,0)</f>
        <v>Y</v>
      </c>
      <c r="G641" s="127" t="str">
        <f>VLOOKUP($B641,'Выгр Торг'!$B:$Q,G$1,0)</f>
        <v>1</v>
      </c>
      <c r="H641" s="127">
        <v>226924</v>
      </c>
      <c r="I641" s="156"/>
      <c r="J641" s="160">
        <v>830</v>
      </c>
      <c r="K641" s="161">
        <v>870</v>
      </c>
      <c r="L641" s="130">
        <f t="shared" si="448"/>
        <v>41300</v>
      </c>
      <c r="M641" s="130">
        <f t="shared" si="443"/>
        <v>42300</v>
      </c>
      <c r="N641" s="130">
        <f t="shared" si="444"/>
        <v>35300</v>
      </c>
      <c r="O641" s="132">
        <f t="shared" si="449"/>
        <v>1.0242130750605327</v>
      </c>
      <c r="P641" s="132">
        <f t="shared" si="414"/>
        <v>1.1499999999999999</v>
      </c>
      <c r="Q641" s="130">
        <f t="shared" si="446"/>
        <v>51069.892473118278</v>
      </c>
      <c r="R641" s="148">
        <f t="shared" si="450"/>
        <v>51090</v>
      </c>
      <c r="S641" s="127">
        <f>VLOOKUP($B641,'Выгр Торг'!$B:$Q,S$1,0)</f>
        <v>41300</v>
      </c>
      <c r="T641" s="127">
        <f>VLOOKUP($B641,'Выгр Торг'!$B:$Q,T$1,0)</f>
        <v>51090</v>
      </c>
      <c r="U641" s="94">
        <f t="shared" si="416"/>
        <v>0</v>
      </c>
      <c r="V641" s="94">
        <f t="shared" si="417"/>
        <v>0</v>
      </c>
      <c r="W641" s="153">
        <f t="shared" si="426"/>
        <v>47513.7</v>
      </c>
      <c r="X641" s="209">
        <f>IFERROR(VLOOKUP($B641,'Из ГУГЛа'!$B:$G,6,0)*Z641+Y641,VLOOKUP($B641,'Из ГУГЛа'!$B:$G,6,0))</f>
        <v>52290</v>
      </c>
      <c r="Y641" s="220">
        <f t="shared" si="451"/>
        <v>10800</v>
      </c>
      <c r="Z641" s="133">
        <v>1</v>
      </c>
      <c r="AA641" s="134">
        <v>1300</v>
      </c>
      <c r="AB641" s="135">
        <f t="shared" si="427"/>
        <v>0.15045278450363186</v>
      </c>
      <c r="AC641" s="135">
        <f t="shared" si="428"/>
        <v>9.1342512908778026E-2</v>
      </c>
      <c r="AD641" s="135">
        <f t="shared" si="429"/>
        <v>0.26610169491525415</v>
      </c>
      <c r="AE641" s="223">
        <v>52290</v>
      </c>
      <c r="AF641" s="98" t="s">
        <v>617</v>
      </c>
      <c r="AH641" s="98" t="s">
        <v>118</v>
      </c>
    </row>
    <row r="642" spans="1:34" ht="31.5" thickTop="1" thickBot="1">
      <c r="A642" s="125" t="str">
        <f>INDEX('Выгр Торг'!$A:$A,MATCH($B642,'Выгр Торг'!$B:$B,0))</f>
        <v>Руль анатомический "Ferrum" Grand Sport для Лада Веста, XRAY</v>
      </c>
      <c r="B642" s="126">
        <v>275065</v>
      </c>
      <c r="C642" s="127">
        <f>VLOOKUP($B642,'Выгр Торг'!$B:$Q,C$1,0)</f>
        <v>226937</v>
      </c>
      <c r="D642" s="44" t="s">
        <v>118</v>
      </c>
      <c r="E642" s="125" t="str">
        <f>VLOOKUP($B642,'Выгр Торг'!$B:$Q,E$1,0)</f>
        <v>Руль анатомический "Ferrum" Grand Sport для Лада Веста, XRAY (Красная нить, Чёрный глянец)</v>
      </c>
      <c r="F642" s="127" t="str">
        <f>VLOOKUP($B642,'Выгр Торг'!$B:$Q,F$1,0)</f>
        <v>Y</v>
      </c>
      <c r="G642" s="127" t="str">
        <f>VLOOKUP($B642,'Выгр Торг'!$B:$Q,G$1,0)</f>
        <v>1</v>
      </c>
      <c r="H642" s="127">
        <v>226924</v>
      </c>
      <c r="I642" s="156"/>
      <c r="J642" s="160"/>
      <c r="K642" s="161">
        <v>870</v>
      </c>
      <c r="L642" s="130">
        <f t="shared" si="448"/>
        <v>40470</v>
      </c>
      <c r="M642" s="130">
        <f t="shared" si="443"/>
        <v>41470</v>
      </c>
      <c r="N642" s="130">
        <f t="shared" si="444"/>
        <v>34470</v>
      </c>
      <c r="O642" s="132">
        <f t="shared" si="449"/>
        <v>1.0247096614776376</v>
      </c>
      <c r="P642" s="132">
        <f t="shared" si="414"/>
        <v>1.1499999999999999</v>
      </c>
      <c r="Q642" s="130">
        <f t="shared" si="446"/>
        <v>50043.548387096773</v>
      </c>
      <c r="R642" s="148">
        <f t="shared" si="450"/>
        <v>50090</v>
      </c>
      <c r="S642" s="127">
        <f>VLOOKUP($B642,'Выгр Торг'!$B:$Q,S$1,0)</f>
        <v>40470</v>
      </c>
      <c r="T642" s="127">
        <f>VLOOKUP($B642,'Выгр Торг'!$B:$Q,T$1,0)</f>
        <v>50090</v>
      </c>
      <c r="U642" s="94">
        <f t="shared" si="416"/>
        <v>0</v>
      </c>
      <c r="V642" s="94">
        <f t="shared" si="417"/>
        <v>0</v>
      </c>
      <c r="W642" s="153">
        <f t="shared" si="426"/>
        <v>46583.7</v>
      </c>
      <c r="X642" s="209">
        <f>IFERROR(VLOOKUP($B642,'Из ГУГЛа'!$B:$G,6,0)*Z642+Y642,VLOOKUP($B642,'Из ГУГЛа'!$B:$G,6,0))</f>
        <v>51460</v>
      </c>
      <c r="Y642" s="220">
        <f t="shared" si="451"/>
        <v>9970</v>
      </c>
      <c r="Z642" s="133">
        <v>1</v>
      </c>
      <c r="AA642" s="134"/>
      <c r="AB642" s="135">
        <f t="shared" si="427"/>
        <v>0.15106745737583394</v>
      </c>
      <c r="AC642" s="135">
        <f t="shared" si="428"/>
        <v>9.4759036144578368E-2</v>
      </c>
      <c r="AD642" s="135">
        <f t="shared" si="429"/>
        <v>0.27155917963923892</v>
      </c>
      <c r="AE642" s="223">
        <v>51460</v>
      </c>
      <c r="AF642" s="98" t="s">
        <v>617</v>
      </c>
      <c r="AH642" s="98" t="s">
        <v>118</v>
      </c>
    </row>
    <row r="643" spans="1:34" ht="31.5" thickTop="1" thickBot="1">
      <c r="A643" s="125" t="str">
        <f>INDEX('Выгр Торг'!$A:$A,MATCH($B643,'Выгр Торг'!$B:$B,0))</f>
        <v>Руль анатомический "Ferrum" Grand Sport для Лада Веста, XRAY</v>
      </c>
      <c r="B643" s="126">
        <v>275077</v>
      </c>
      <c r="C643" s="127">
        <f>VLOOKUP($B643,'Выгр Торг'!$B:$Q,C$1,0)</f>
        <v>226950</v>
      </c>
      <c r="D643" s="44" t="s">
        <v>118</v>
      </c>
      <c r="E643" s="125" t="str">
        <f>VLOOKUP($B643,'Выгр Торг'!$B:$Q,E$1,0)</f>
        <v>Руль анатомический "Ferrum" Grand Sport для Лада Веста, XRAY (Красная нить, Чёрный мат)</v>
      </c>
      <c r="F643" s="127" t="str">
        <f>VLOOKUP($B643,'Выгр Торг'!$B:$Q,F$1,0)</f>
        <v>Y</v>
      </c>
      <c r="G643" s="127" t="str">
        <f>VLOOKUP($B643,'Выгр Торг'!$B:$Q,G$1,0)</f>
        <v>1</v>
      </c>
      <c r="H643" s="127">
        <v>226924</v>
      </c>
      <c r="I643" s="156"/>
      <c r="J643" s="160">
        <v>830</v>
      </c>
      <c r="K643" s="161">
        <v>870</v>
      </c>
      <c r="L643" s="130">
        <f t="shared" si="448"/>
        <v>41300</v>
      </c>
      <c r="M643" s="130">
        <f t="shared" si="443"/>
        <v>42300</v>
      </c>
      <c r="N643" s="130">
        <f t="shared" si="444"/>
        <v>35300</v>
      </c>
      <c r="O643" s="132">
        <f t="shared" si="449"/>
        <v>1.0242130750605327</v>
      </c>
      <c r="P643" s="132">
        <f t="shared" si="414"/>
        <v>1.1499999999999999</v>
      </c>
      <c r="Q643" s="130">
        <f t="shared" si="446"/>
        <v>51069.892473118278</v>
      </c>
      <c r="R643" s="148">
        <f t="shared" si="450"/>
        <v>51090</v>
      </c>
      <c r="S643" s="127">
        <f>VLOOKUP($B643,'Выгр Торг'!$B:$Q,S$1,0)</f>
        <v>41300</v>
      </c>
      <c r="T643" s="127">
        <f>VLOOKUP($B643,'Выгр Торг'!$B:$Q,T$1,0)</f>
        <v>51090</v>
      </c>
      <c r="U643" s="94">
        <f t="shared" si="416"/>
        <v>0</v>
      </c>
      <c r="V643" s="94">
        <f t="shared" si="417"/>
        <v>0</v>
      </c>
      <c r="W643" s="153">
        <f t="shared" si="426"/>
        <v>47513.7</v>
      </c>
      <c r="X643" s="209">
        <f>IFERROR(VLOOKUP($B643,'Из ГУГЛа'!$B:$G,6,0)*Z643+Y643,VLOOKUP($B643,'Из ГУГЛа'!$B:$G,6,0))</f>
        <v>52290</v>
      </c>
      <c r="Y643" s="220">
        <f t="shared" si="451"/>
        <v>10800</v>
      </c>
      <c r="Z643" s="133">
        <v>1</v>
      </c>
      <c r="AA643" s="134">
        <v>1300</v>
      </c>
      <c r="AB643" s="135">
        <f t="shared" si="427"/>
        <v>0.15045278450363186</v>
      </c>
      <c r="AC643" s="135">
        <f t="shared" si="428"/>
        <v>9.1342512908778026E-2</v>
      </c>
      <c r="AD643" s="135">
        <f t="shared" si="429"/>
        <v>0.26610169491525415</v>
      </c>
      <c r="AE643" s="223">
        <v>52290</v>
      </c>
      <c r="AF643" s="98" t="s">
        <v>617</v>
      </c>
      <c r="AH643" s="98" t="s">
        <v>118</v>
      </c>
    </row>
    <row r="644" spans="1:34" ht="31.5" thickTop="1" thickBot="1">
      <c r="A644" s="125" t="str">
        <f>INDEX('Выгр Торг'!$A:$A,MATCH($B644,'Выгр Торг'!$B:$B,0))</f>
        <v>Руль анатомический "Ferrum" Grand Sport для Лада Веста, XRAY</v>
      </c>
      <c r="B644" s="126">
        <v>275066</v>
      </c>
      <c r="C644" s="127">
        <f>VLOOKUP($B644,'Выгр Торг'!$B:$Q,C$1,0)</f>
        <v>226933</v>
      </c>
      <c r="D644" s="44" t="s">
        <v>118</v>
      </c>
      <c r="E644" s="125" t="str">
        <f>VLOOKUP($B644,'Выгр Торг'!$B:$Q,E$1,0)</f>
        <v>Руль анатомический "Ferrum" Grand Sport для Лада Веста, XRAY (Оранжевая нить, Чёрный глянец)</v>
      </c>
      <c r="F644" s="127" t="str">
        <f>VLOOKUP($B644,'Выгр Торг'!$B:$Q,F$1,0)</f>
        <v>Y</v>
      </c>
      <c r="G644" s="127" t="str">
        <f>VLOOKUP($B644,'Выгр Торг'!$B:$Q,G$1,0)</f>
        <v>1</v>
      </c>
      <c r="H644" s="127">
        <v>226924</v>
      </c>
      <c r="I644" s="156"/>
      <c r="J644" s="160"/>
      <c r="K644" s="161">
        <v>870</v>
      </c>
      <c r="L644" s="130">
        <f t="shared" si="448"/>
        <v>40470</v>
      </c>
      <c r="M644" s="130">
        <f t="shared" si="443"/>
        <v>41470</v>
      </c>
      <c r="N644" s="130">
        <f t="shared" si="444"/>
        <v>34470</v>
      </c>
      <c r="O644" s="132">
        <f t="shared" si="449"/>
        <v>1.0247096614776376</v>
      </c>
      <c r="P644" s="132">
        <f t="shared" ref="P644:P707" si="452">IF(O644&lt;=$P$1,$P$1,O644)</f>
        <v>1.1499999999999999</v>
      </c>
      <c r="Q644" s="130">
        <f t="shared" si="446"/>
        <v>50043.548387096773</v>
      </c>
      <c r="R644" s="148">
        <f t="shared" si="450"/>
        <v>50090</v>
      </c>
      <c r="S644" s="127">
        <f>VLOOKUP($B644,'Выгр Торг'!$B:$Q,S$1,0)</f>
        <v>40470</v>
      </c>
      <c r="T644" s="127">
        <f>VLOOKUP($B644,'Выгр Торг'!$B:$Q,T$1,0)</f>
        <v>50090</v>
      </c>
      <c r="U644" s="94">
        <f t="shared" ref="U644:U707" si="453">S644-L644</f>
        <v>0</v>
      </c>
      <c r="V644" s="94">
        <f t="shared" ref="V644:V707" si="454">T644-R644</f>
        <v>0</v>
      </c>
      <c r="W644" s="153">
        <f t="shared" si="426"/>
        <v>46583.7</v>
      </c>
      <c r="X644" s="209">
        <f>IFERROR(VLOOKUP($B644,'Из ГУГЛа'!$B:$G,6,0)*Z644+Y644,VLOOKUP($B644,'Из ГУГЛа'!$B:$G,6,0))</f>
        <v>51460</v>
      </c>
      <c r="Y644" s="220">
        <f t="shared" si="451"/>
        <v>9970</v>
      </c>
      <c r="Z644" s="133">
        <v>1</v>
      </c>
      <c r="AA644" s="134"/>
      <c r="AB644" s="135">
        <f t="shared" si="427"/>
        <v>0.15106745737583394</v>
      </c>
      <c r="AC644" s="135">
        <f t="shared" si="428"/>
        <v>9.4759036144578368E-2</v>
      </c>
      <c r="AD644" s="135">
        <f t="shared" si="429"/>
        <v>0.27155917963923892</v>
      </c>
      <c r="AE644" s="223">
        <v>51460</v>
      </c>
      <c r="AF644" s="98" t="s">
        <v>617</v>
      </c>
      <c r="AH644" s="98" t="s">
        <v>118</v>
      </c>
    </row>
    <row r="645" spans="1:34" ht="31.5" thickTop="1" thickBot="1">
      <c r="A645" s="125" t="str">
        <f>INDEX('Выгр Торг'!$A:$A,MATCH($B645,'Выгр Торг'!$B:$B,0))</f>
        <v>Руль анатомический "Ferrum" Grand Sport для Лада Веста, XRAY</v>
      </c>
      <c r="B645" s="126">
        <v>275078</v>
      </c>
      <c r="C645" s="127">
        <f>VLOOKUP($B645,'Выгр Торг'!$B:$Q,C$1,0)</f>
        <v>226946</v>
      </c>
      <c r="D645" s="44" t="s">
        <v>118</v>
      </c>
      <c r="E645" s="125" t="str">
        <f>VLOOKUP($B645,'Выгр Торг'!$B:$Q,E$1,0)</f>
        <v>Руль анатомический "Ferrum" Grand Sport для Лада Веста, XRAY (Оранжевая нить, Чёрный мат)</v>
      </c>
      <c r="F645" s="127" t="str">
        <f>VLOOKUP($B645,'Выгр Торг'!$B:$Q,F$1,0)</f>
        <v>Y</v>
      </c>
      <c r="G645" s="127" t="str">
        <f>VLOOKUP($B645,'Выгр Торг'!$B:$Q,G$1,0)</f>
        <v>1</v>
      </c>
      <c r="H645" s="127">
        <v>226924</v>
      </c>
      <c r="I645" s="156"/>
      <c r="J645" s="160">
        <v>830</v>
      </c>
      <c r="K645" s="161">
        <v>870</v>
      </c>
      <c r="L645" s="130">
        <f t="shared" si="448"/>
        <v>41300</v>
      </c>
      <c r="M645" s="130">
        <f t="shared" si="443"/>
        <v>42300</v>
      </c>
      <c r="N645" s="130">
        <f t="shared" si="444"/>
        <v>35300</v>
      </c>
      <c r="O645" s="132">
        <f t="shared" si="449"/>
        <v>1.0242130750605327</v>
      </c>
      <c r="P645" s="132">
        <f t="shared" si="452"/>
        <v>1.1499999999999999</v>
      </c>
      <c r="Q645" s="130">
        <f t="shared" si="446"/>
        <v>51069.892473118278</v>
      </c>
      <c r="R645" s="148">
        <f t="shared" si="450"/>
        <v>51090</v>
      </c>
      <c r="S645" s="127">
        <f>VLOOKUP($B645,'Выгр Торг'!$B:$Q,S$1,0)</f>
        <v>41300</v>
      </c>
      <c r="T645" s="127">
        <f>VLOOKUP($B645,'Выгр Торг'!$B:$Q,T$1,0)</f>
        <v>51090</v>
      </c>
      <c r="U645" s="94">
        <f t="shared" si="453"/>
        <v>0</v>
      </c>
      <c r="V645" s="94">
        <f t="shared" si="454"/>
        <v>0</v>
      </c>
      <c r="W645" s="153">
        <f t="shared" si="426"/>
        <v>47513.7</v>
      </c>
      <c r="X645" s="209">
        <f>IFERROR(VLOOKUP($B645,'Из ГУГЛа'!$B:$G,6,0)*Z645+Y645,VLOOKUP($B645,'Из ГУГЛа'!$B:$G,6,0))</f>
        <v>52290</v>
      </c>
      <c r="Y645" s="220">
        <f t="shared" si="451"/>
        <v>10800</v>
      </c>
      <c r="Z645" s="133">
        <v>1</v>
      </c>
      <c r="AA645" s="134">
        <v>1300</v>
      </c>
      <c r="AB645" s="135">
        <f t="shared" si="427"/>
        <v>0.15045278450363186</v>
      </c>
      <c r="AC645" s="135">
        <f t="shared" si="428"/>
        <v>9.1342512908778026E-2</v>
      </c>
      <c r="AD645" s="135">
        <f t="shared" si="429"/>
        <v>0.26610169491525415</v>
      </c>
      <c r="AE645" s="223">
        <v>52290</v>
      </c>
      <c r="AF645" s="98" t="s">
        <v>617</v>
      </c>
      <c r="AH645" s="98" t="s">
        <v>118</v>
      </c>
    </row>
    <row r="646" spans="1:34" ht="31.5" thickTop="1" thickBot="1">
      <c r="A646" s="125" t="str">
        <f>INDEX('Выгр Торг'!$A:$A,MATCH($B646,'Выгр Торг'!$B:$B,0))</f>
        <v>Руль анатомический "Ferrum" Grand Sport для Лада Веста, XRAY</v>
      </c>
      <c r="B646" s="126">
        <v>275067</v>
      </c>
      <c r="C646" s="127">
        <f>VLOOKUP($B646,'Выгр Торг'!$B:$Q,C$1,0)</f>
        <v>226935</v>
      </c>
      <c r="D646" s="44" t="s">
        <v>118</v>
      </c>
      <c r="E646" s="125" t="str">
        <f>VLOOKUP($B646,'Выгр Торг'!$B:$Q,E$1,0)</f>
        <v>Руль анатомический "Ferrum" Grand Sport для Лада Веста, XRAY (Салатовая нить, Чёрный глянец)</v>
      </c>
      <c r="F646" s="127" t="str">
        <f>VLOOKUP($B646,'Выгр Торг'!$B:$Q,F$1,0)</f>
        <v>Y</v>
      </c>
      <c r="G646" s="127" t="str">
        <f>VLOOKUP($B646,'Выгр Торг'!$B:$Q,G$1,0)</f>
        <v>1</v>
      </c>
      <c r="H646" s="127">
        <v>226924</v>
      </c>
      <c r="I646" s="156"/>
      <c r="J646" s="160"/>
      <c r="K646" s="161">
        <v>870</v>
      </c>
      <c r="L646" s="130">
        <f t="shared" si="448"/>
        <v>40470</v>
      </c>
      <c r="M646" s="130">
        <f t="shared" si="443"/>
        <v>41470</v>
      </c>
      <c r="N646" s="130">
        <f t="shared" si="444"/>
        <v>34470</v>
      </c>
      <c r="O646" s="132">
        <f t="shared" si="449"/>
        <v>1.0247096614776376</v>
      </c>
      <c r="P646" s="132">
        <f t="shared" si="452"/>
        <v>1.1499999999999999</v>
      </c>
      <c r="Q646" s="130">
        <f t="shared" si="446"/>
        <v>50043.548387096773</v>
      </c>
      <c r="R646" s="148">
        <f t="shared" si="450"/>
        <v>50090</v>
      </c>
      <c r="S646" s="127">
        <f>VLOOKUP($B646,'Выгр Торг'!$B:$Q,S$1,0)</f>
        <v>40470</v>
      </c>
      <c r="T646" s="127">
        <f>VLOOKUP($B646,'Выгр Торг'!$B:$Q,T$1,0)</f>
        <v>50090</v>
      </c>
      <c r="U646" s="94">
        <f t="shared" si="453"/>
        <v>0</v>
      </c>
      <c r="V646" s="94">
        <f t="shared" si="454"/>
        <v>0</v>
      </c>
      <c r="W646" s="153">
        <f t="shared" si="426"/>
        <v>46583.7</v>
      </c>
      <c r="X646" s="209">
        <f>IFERROR(VLOOKUP($B646,'Из ГУГЛа'!$B:$G,6,0)*Z646+Y646,VLOOKUP($B646,'Из ГУГЛа'!$B:$G,6,0))</f>
        <v>51460</v>
      </c>
      <c r="Y646" s="220">
        <f t="shared" si="451"/>
        <v>9970</v>
      </c>
      <c r="Z646" s="133">
        <v>1</v>
      </c>
      <c r="AA646" s="134"/>
      <c r="AB646" s="135">
        <f t="shared" si="427"/>
        <v>0.15106745737583394</v>
      </c>
      <c r="AC646" s="135">
        <f t="shared" si="428"/>
        <v>9.4759036144578368E-2</v>
      </c>
      <c r="AD646" s="135">
        <f t="shared" si="429"/>
        <v>0.27155917963923892</v>
      </c>
      <c r="AE646" s="223">
        <v>51460</v>
      </c>
      <c r="AF646" s="98" t="s">
        <v>617</v>
      </c>
      <c r="AH646" s="98" t="s">
        <v>118</v>
      </c>
    </row>
    <row r="647" spans="1:34" ht="31.5" thickTop="1" thickBot="1">
      <c r="A647" s="125" t="str">
        <f>INDEX('Выгр Торг'!$A:$A,MATCH($B647,'Выгр Торг'!$B:$B,0))</f>
        <v>Руль анатомический "Ferrum" Grand Sport для Лада Веста, XRAY</v>
      </c>
      <c r="B647" s="126">
        <v>275079</v>
      </c>
      <c r="C647" s="127">
        <f>VLOOKUP($B647,'Выгр Торг'!$B:$Q,C$1,0)</f>
        <v>226948</v>
      </c>
      <c r="D647" s="44" t="s">
        <v>118</v>
      </c>
      <c r="E647" s="125" t="str">
        <f>VLOOKUP($B647,'Выгр Торг'!$B:$Q,E$1,0)</f>
        <v>Руль анатомический "Ferrum" Grand Sport для Лада Веста, XRAY (Салатовая нить, Чёрный мат)</v>
      </c>
      <c r="F647" s="127" t="str">
        <f>VLOOKUP($B647,'Выгр Торг'!$B:$Q,F$1,0)</f>
        <v>Y</v>
      </c>
      <c r="G647" s="127" t="str">
        <f>VLOOKUP($B647,'Выгр Торг'!$B:$Q,G$1,0)</f>
        <v>1</v>
      </c>
      <c r="H647" s="127">
        <v>226924</v>
      </c>
      <c r="I647" s="156"/>
      <c r="J647" s="160">
        <v>830</v>
      </c>
      <c r="K647" s="161">
        <v>870</v>
      </c>
      <c r="L647" s="130">
        <f t="shared" si="448"/>
        <v>41300</v>
      </c>
      <c r="M647" s="130">
        <f t="shared" si="443"/>
        <v>42300</v>
      </c>
      <c r="N647" s="130">
        <f t="shared" si="444"/>
        <v>35300</v>
      </c>
      <c r="O647" s="132">
        <f t="shared" si="449"/>
        <v>1.0242130750605327</v>
      </c>
      <c r="P647" s="132">
        <f t="shared" si="452"/>
        <v>1.1499999999999999</v>
      </c>
      <c r="Q647" s="130">
        <f t="shared" si="446"/>
        <v>51069.892473118278</v>
      </c>
      <c r="R647" s="148">
        <f t="shared" si="450"/>
        <v>51090</v>
      </c>
      <c r="S647" s="127">
        <f>VLOOKUP($B647,'Выгр Торг'!$B:$Q,S$1,0)</f>
        <v>41300</v>
      </c>
      <c r="T647" s="127">
        <f>VLOOKUP($B647,'Выгр Торг'!$B:$Q,T$1,0)</f>
        <v>51090</v>
      </c>
      <c r="U647" s="94">
        <f t="shared" si="453"/>
        <v>0</v>
      </c>
      <c r="V647" s="94">
        <f t="shared" si="454"/>
        <v>0</v>
      </c>
      <c r="W647" s="153">
        <f t="shared" si="426"/>
        <v>47513.7</v>
      </c>
      <c r="X647" s="209">
        <f>IFERROR(VLOOKUP($B647,'Из ГУГЛа'!$B:$G,6,0)*Z647+Y647,VLOOKUP($B647,'Из ГУГЛа'!$B:$G,6,0))</f>
        <v>52290</v>
      </c>
      <c r="Y647" s="220">
        <f t="shared" si="451"/>
        <v>10800</v>
      </c>
      <c r="Z647" s="133">
        <v>1</v>
      </c>
      <c r="AA647" s="134">
        <v>1300</v>
      </c>
      <c r="AB647" s="135">
        <f t="shared" si="427"/>
        <v>0.15045278450363186</v>
      </c>
      <c r="AC647" s="135">
        <f t="shared" si="428"/>
        <v>9.1342512908778026E-2</v>
      </c>
      <c r="AD647" s="135">
        <f t="shared" si="429"/>
        <v>0.26610169491525415</v>
      </c>
      <c r="AE647" s="223">
        <v>52290</v>
      </c>
      <c r="AF647" s="98" t="s">
        <v>617</v>
      </c>
      <c r="AH647" s="98" t="s">
        <v>118</v>
      </c>
    </row>
    <row r="648" spans="1:34" ht="31.5" thickTop="1" thickBot="1">
      <c r="A648" s="125" t="str">
        <f>INDEX('Выгр Торг'!$A:$A,MATCH($B648,'Выгр Торг'!$B:$B,0))</f>
        <v>Руль анатомический "Ferrum" Grand Sport для Лада Веста, XRAY</v>
      </c>
      <c r="B648" s="126">
        <v>275070</v>
      </c>
      <c r="C648" s="127">
        <f>VLOOKUP($B648,'Выгр Торг'!$B:$Q,C$1,0)</f>
        <v>226936</v>
      </c>
      <c r="D648" s="44" t="s">
        <v>118</v>
      </c>
      <c r="E648" s="125" t="str">
        <f>VLOOKUP($B648,'Выгр Торг'!$B:$Q,E$1,0)</f>
        <v>Руль анатомический "Ferrum" Grand Sport для Лада Веста, XRAY (Светло-серая нить, Чёрный глянец)</v>
      </c>
      <c r="F648" s="127" t="str">
        <f>VLOOKUP($B648,'Выгр Торг'!$B:$Q,F$1,0)</f>
        <v>Y</v>
      </c>
      <c r="G648" s="127" t="str">
        <f>VLOOKUP($B648,'Выгр Торг'!$B:$Q,G$1,0)</f>
        <v>1</v>
      </c>
      <c r="H648" s="127">
        <v>226924</v>
      </c>
      <c r="I648" s="156"/>
      <c r="J648" s="160"/>
      <c r="K648" s="161">
        <v>870</v>
      </c>
      <c r="L648" s="130">
        <f t="shared" si="448"/>
        <v>40470</v>
      </c>
      <c r="M648" s="130">
        <f t="shared" si="443"/>
        <v>41470</v>
      </c>
      <c r="N648" s="130">
        <f t="shared" si="444"/>
        <v>34470</v>
      </c>
      <c r="O648" s="132">
        <f t="shared" si="449"/>
        <v>1.0247096614776376</v>
      </c>
      <c r="P648" s="132">
        <f t="shared" si="452"/>
        <v>1.1499999999999999</v>
      </c>
      <c r="Q648" s="130">
        <f t="shared" si="446"/>
        <v>50043.548387096773</v>
      </c>
      <c r="R648" s="148">
        <f t="shared" si="450"/>
        <v>50090</v>
      </c>
      <c r="S648" s="127">
        <f>VLOOKUP($B648,'Выгр Торг'!$B:$Q,S$1,0)</f>
        <v>40470</v>
      </c>
      <c r="T648" s="127">
        <f>VLOOKUP($B648,'Выгр Торг'!$B:$Q,T$1,0)</f>
        <v>50090</v>
      </c>
      <c r="U648" s="94">
        <f t="shared" si="453"/>
        <v>0</v>
      </c>
      <c r="V648" s="94">
        <f t="shared" si="454"/>
        <v>0</v>
      </c>
      <c r="W648" s="153">
        <f t="shared" si="426"/>
        <v>46583.7</v>
      </c>
      <c r="X648" s="209">
        <f>IFERROR(VLOOKUP($B648,'Из ГУГЛа'!$B:$G,6,0)*Z648+Y648,VLOOKUP($B648,'Из ГУГЛа'!$B:$G,6,0))</f>
        <v>51460</v>
      </c>
      <c r="Y648" s="220">
        <f t="shared" si="451"/>
        <v>9970</v>
      </c>
      <c r="Z648" s="133">
        <v>1</v>
      </c>
      <c r="AA648" s="134"/>
      <c r="AB648" s="135">
        <f t="shared" si="427"/>
        <v>0.15106745737583394</v>
      </c>
      <c r="AC648" s="135">
        <f t="shared" si="428"/>
        <v>9.4759036144578368E-2</v>
      </c>
      <c r="AD648" s="135">
        <f t="shared" si="429"/>
        <v>0.27155917963923892</v>
      </c>
      <c r="AE648" s="223">
        <v>51460</v>
      </c>
      <c r="AF648" s="98" t="s">
        <v>617</v>
      </c>
      <c r="AH648" s="98" t="s">
        <v>118</v>
      </c>
    </row>
    <row r="649" spans="1:34" ht="31.5" thickTop="1" thickBot="1">
      <c r="A649" s="125" t="str">
        <f>INDEX('Выгр Торг'!$A:$A,MATCH($B649,'Выгр Торг'!$B:$B,0))</f>
        <v>Руль анатомический "Ferrum" Grand Sport для Лада Веста, XRAY</v>
      </c>
      <c r="B649" s="126">
        <v>275082</v>
      </c>
      <c r="C649" s="127">
        <f>VLOOKUP($B649,'Выгр Торг'!$B:$Q,C$1,0)</f>
        <v>226949</v>
      </c>
      <c r="D649" s="44" t="s">
        <v>118</v>
      </c>
      <c r="E649" s="125" t="str">
        <f>VLOOKUP($B649,'Выгр Торг'!$B:$Q,E$1,0)</f>
        <v>Руль анатомический "Ferrum" Grand Sport для Лада Веста, XRAY (Светло-серая нить, Чёрный мат)</v>
      </c>
      <c r="F649" s="127" t="str">
        <f>VLOOKUP($B649,'Выгр Торг'!$B:$Q,F$1,0)</f>
        <v>Y</v>
      </c>
      <c r="G649" s="127" t="str">
        <f>VLOOKUP($B649,'Выгр Торг'!$B:$Q,G$1,0)</f>
        <v>1</v>
      </c>
      <c r="H649" s="127">
        <v>226924</v>
      </c>
      <c r="I649" s="156"/>
      <c r="J649" s="160">
        <v>830</v>
      </c>
      <c r="K649" s="161">
        <v>870</v>
      </c>
      <c r="L649" s="130">
        <f t="shared" si="448"/>
        <v>41300</v>
      </c>
      <c r="M649" s="130">
        <f t="shared" si="443"/>
        <v>42300</v>
      </c>
      <c r="N649" s="130">
        <f t="shared" si="444"/>
        <v>35300</v>
      </c>
      <c r="O649" s="132">
        <f t="shared" si="449"/>
        <v>1.0242130750605327</v>
      </c>
      <c r="P649" s="132">
        <f t="shared" si="452"/>
        <v>1.1499999999999999</v>
      </c>
      <c r="Q649" s="130">
        <f t="shared" si="446"/>
        <v>51069.892473118278</v>
      </c>
      <c r="R649" s="148">
        <f t="shared" si="450"/>
        <v>51090</v>
      </c>
      <c r="S649" s="127">
        <f>VLOOKUP($B649,'Выгр Торг'!$B:$Q,S$1,0)</f>
        <v>41300</v>
      </c>
      <c r="T649" s="127">
        <f>VLOOKUP($B649,'Выгр Торг'!$B:$Q,T$1,0)</f>
        <v>51090</v>
      </c>
      <c r="U649" s="94">
        <f t="shared" si="453"/>
        <v>0</v>
      </c>
      <c r="V649" s="94">
        <f t="shared" si="454"/>
        <v>0</v>
      </c>
      <c r="W649" s="153">
        <f t="shared" si="426"/>
        <v>47513.7</v>
      </c>
      <c r="X649" s="209">
        <f>IFERROR(VLOOKUP($B649,'Из ГУГЛа'!$B:$G,6,0)*Z649+Y649,VLOOKUP($B649,'Из ГУГЛа'!$B:$G,6,0))</f>
        <v>52290</v>
      </c>
      <c r="Y649" s="220">
        <f t="shared" si="451"/>
        <v>10800</v>
      </c>
      <c r="Z649" s="133">
        <v>1</v>
      </c>
      <c r="AA649" s="134">
        <v>1300</v>
      </c>
      <c r="AB649" s="135">
        <f t="shared" si="427"/>
        <v>0.15045278450363186</v>
      </c>
      <c r="AC649" s="135">
        <f t="shared" si="428"/>
        <v>9.1342512908778026E-2</v>
      </c>
      <c r="AD649" s="135">
        <f t="shared" si="429"/>
        <v>0.26610169491525415</v>
      </c>
      <c r="AE649" s="223">
        <v>52290</v>
      </c>
      <c r="AF649" s="98" t="s">
        <v>617</v>
      </c>
      <c r="AH649" s="98" t="s">
        <v>118</v>
      </c>
    </row>
    <row r="650" spans="1:34" ht="31.5" thickTop="1" thickBot="1">
      <c r="A650" s="125" t="str">
        <f>INDEX('Выгр Торг'!$A:$A,MATCH($B650,'Выгр Торг'!$B:$B,0))</f>
        <v>Руль анатомический "Ferrum" Grand Sport для Лада Веста, XRAY</v>
      </c>
      <c r="B650" s="126">
        <v>275068</v>
      </c>
      <c r="C650" s="127">
        <f>VLOOKUP($B650,'Выгр Торг'!$B:$Q,C$1,0)</f>
        <v>226932</v>
      </c>
      <c r="D650" s="44" t="s">
        <v>118</v>
      </c>
      <c r="E650" s="125" t="str">
        <f>VLOOKUP($B650,'Выгр Торг'!$B:$Q,E$1,0)</f>
        <v>Руль анатомический "Ferrum" Grand Sport для Лада Веста, XRAY (Сине-зелёная нить, Чёрный глянец)</v>
      </c>
      <c r="F650" s="127" t="str">
        <f>VLOOKUP($B650,'Выгр Торг'!$B:$Q,F$1,0)</f>
        <v>Y</v>
      </c>
      <c r="G650" s="127" t="str">
        <f>VLOOKUP($B650,'Выгр Торг'!$B:$Q,G$1,0)</f>
        <v>1</v>
      </c>
      <c r="H650" s="127">
        <v>226924</v>
      </c>
      <c r="I650" s="156"/>
      <c r="J650" s="160"/>
      <c r="K650" s="161">
        <v>870</v>
      </c>
      <c r="L650" s="130">
        <f t="shared" si="448"/>
        <v>40470</v>
      </c>
      <c r="M650" s="130">
        <f t="shared" si="443"/>
        <v>41470</v>
      </c>
      <c r="N650" s="130">
        <f t="shared" si="444"/>
        <v>34470</v>
      </c>
      <c r="O650" s="132">
        <f t="shared" si="449"/>
        <v>1.0247096614776376</v>
      </c>
      <c r="P650" s="132">
        <f t="shared" si="452"/>
        <v>1.1499999999999999</v>
      </c>
      <c r="Q650" s="130">
        <f t="shared" si="446"/>
        <v>50043.548387096773</v>
      </c>
      <c r="R650" s="148">
        <f t="shared" si="450"/>
        <v>50090</v>
      </c>
      <c r="S650" s="127">
        <f>VLOOKUP($B650,'Выгр Торг'!$B:$Q,S$1,0)</f>
        <v>40470</v>
      </c>
      <c r="T650" s="127">
        <f>VLOOKUP($B650,'Выгр Торг'!$B:$Q,T$1,0)</f>
        <v>50090</v>
      </c>
      <c r="U650" s="94">
        <f t="shared" si="453"/>
        <v>0</v>
      </c>
      <c r="V650" s="94">
        <f t="shared" si="454"/>
        <v>0</v>
      </c>
      <c r="W650" s="153">
        <f t="shared" si="426"/>
        <v>46583.7</v>
      </c>
      <c r="X650" s="209">
        <f>IFERROR(VLOOKUP($B650,'Из ГУГЛа'!$B:$G,6,0)*Z650+Y650,VLOOKUP($B650,'Из ГУГЛа'!$B:$G,6,0))</f>
        <v>51460</v>
      </c>
      <c r="Y650" s="220">
        <f t="shared" si="451"/>
        <v>9970</v>
      </c>
      <c r="Z650" s="133">
        <v>1</v>
      </c>
      <c r="AA650" s="134"/>
      <c r="AB650" s="135">
        <f t="shared" si="427"/>
        <v>0.15106745737583394</v>
      </c>
      <c r="AC650" s="135">
        <f t="shared" si="428"/>
        <v>9.4759036144578368E-2</v>
      </c>
      <c r="AD650" s="135">
        <f t="shared" si="429"/>
        <v>0.27155917963923892</v>
      </c>
      <c r="AE650" s="223">
        <v>51460</v>
      </c>
      <c r="AF650" s="98" t="s">
        <v>617</v>
      </c>
      <c r="AH650" s="98" t="s">
        <v>118</v>
      </c>
    </row>
    <row r="651" spans="1:34" ht="31.5" thickTop="1" thickBot="1">
      <c r="A651" s="125" t="str">
        <f>INDEX('Выгр Торг'!$A:$A,MATCH($B651,'Выгр Торг'!$B:$B,0))</f>
        <v>Руль анатомический "Ferrum" Grand Sport для Лада Веста, XRAY</v>
      </c>
      <c r="B651" s="126">
        <v>275080</v>
      </c>
      <c r="C651" s="127">
        <f>VLOOKUP($B651,'Выгр Торг'!$B:$Q,C$1,0)</f>
        <v>226945</v>
      </c>
      <c r="D651" s="44" t="s">
        <v>118</v>
      </c>
      <c r="E651" s="125" t="str">
        <f>VLOOKUP($B651,'Выгр Торг'!$B:$Q,E$1,0)</f>
        <v>Руль анатомический "Ferrum" Grand Sport для Лада Веста, XRAY (Сине-зелёная нить, Чёрный мат)</v>
      </c>
      <c r="F651" s="127" t="str">
        <f>VLOOKUP($B651,'Выгр Торг'!$B:$Q,F$1,0)</f>
        <v>Y</v>
      </c>
      <c r="G651" s="127" t="str">
        <f>VLOOKUP($B651,'Выгр Торг'!$B:$Q,G$1,0)</f>
        <v>1</v>
      </c>
      <c r="H651" s="127">
        <v>226924</v>
      </c>
      <c r="I651" s="156"/>
      <c r="J651" s="160">
        <v>830</v>
      </c>
      <c r="K651" s="161">
        <v>870</v>
      </c>
      <c r="L651" s="130">
        <f t="shared" si="448"/>
        <v>41300</v>
      </c>
      <c r="M651" s="130">
        <f t="shared" si="443"/>
        <v>42300</v>
      </c>
      <c r="N651" s="130">
        <f t="shared" si="444"/>
        <v>35300</v>
      </c>
      <c r="O651" s="132">
        <f t="shared" si="449"/>
        <v>1.0242130750605327</v>
      </c>
      <c r="P651" s="132">
        <f t="shared" si="452"/>
        <v>1.1499999999999999</v>
      </c>
      <c r="Q651" s="130">
        <f t="shared" si="446"/>
        <v>51069.892473118278</v>
      </c>
      <c r="R651" s="148">
        <f t="shared" si="450"/>
        <v>51090</v>
      </c>
      <c r="S651" s="127">
        <f>VLOOKUP($B651,'Выгр Торг'!$B:$Q,S$1,0)</f>
        <v>41300</v>
      </c>
      <c r="T651" s="127">
        <f>VLOOKUP($B651,'Выгр Торг'!$B:$Q,T$1,0)</f>
        <v>51090</v>
      </c>
      <c r="U651" s="94">
        <f t="shared" si="453"/>
        <v>0</v>
      </c>
      <c r="V651" s="94">
        <f t="shared" si="454"/>
        <v>0</v>
      </c>
      <c r="W651" s="153">
        <f t="shared" si="426"/>
        <v>47513.7</v>
      </c>
      <c r="X651" s="209">
        <f>IFERROR(VLOOKUP($B651,'Из ГУГЛа'!$B:$G,6,0)*Z651+Y651,VLOOKUP($B651,'Из ГУГЛа'!$B:$G,6,0))</f>
        <v>52290</v>
      </c>
      <c r="Y651" s="220">
        <f t="shared" si="451"/>
        <v>10800</v>
      </c>
      <c r="Z651" s="133">
        <v>1</v>
      </c>
      <c r="AA651" s="134">
        <v>1300</v>
      </c>
      <c r="AB651" s="135">
        <f t="shared" si="427"/>
        <v>0.15045278450363186</v>
      </c>
      <c r="AC651" s="135">
        <f t="shared" si="428"/>
        <v>9.1342512908778026E-2</v>
      </c>
      <c r="AD651" s="135">
        <f t="shared" si="429"/>
        <v>0.26610169491525415</v>
      </c>
      <c r="AE651" s="223">
        <v>52290</v>
      </c>
      <c r="AF651" s="98" t="s">
        <v>617</v>
      </c>
      <c r="AH651" s="98" t="s">
        <v>118</v>
      </c>
    </row>
    <row r="652" spans="1:34" ht="31.5" thickTop="1" thickBot="1">
      <c r="A652" s="125" t="str">
        <f>INDEX('Выгр Торг'!$A:$A,MATCH($B652,'Выгр Торг'!$B:$B,0))</f>
        <v>Руль анатомический "Ferrum" Grand Sport для Лада Веста, XRAY</v>
      </c>
      <c r="B652" s="126">
        <v>275069</v>
      </c>
      <c r="C652" s="127">
        <f>VLOOKUP($B652,'Выгр Торг'!$B:$Q,C$1,0)</f>
        <v>226931</v>
      </c>
      <c r="D652" s="44" t="s">
        <v>118</v>
      </c>
      <c r="E652" s="125" t="str">
        <f>VLOOKUP($B652,'Выгр Торг'!$B:$Q,E$1,0)</f>
        <v>Руль анатомический "Ferrum" Grand Sport для Лада Веста, XRAY (Синяя нить, Чёрный глянец)</v>
      </c>
      <c r="F652" s="127" t="str">
        <f>VLOOKUP($B652,'Выгр Торг'!$B:$Q,F$1,0)</f>
        <v>Y</v>
      </c>
      <c r="G652" s="127" t="str">
        <f>VLOOKUP($B652,'Выгр Торг'!$B:$Q,G$1,0)</f>
        <v>1</v>
      </c>
      <c r="H652" s="127">
        <v>226924</v>
      </c>
      <c r="I652" s="156"/>
      <c r="J652" s="160"/>
      <c r="K652" s="161">
        <v>870</v>
      </c>
      <c r="L652" s="130">
        <f t="shared" si="448"/>
        <v>40470</v>
      </c>
      <c r="M652" s="130">
        <f t="shared" si="443"/>
        <v>41470</v>
      </c>
      <c r="N652" s="130">
        <f t="shared" si="444"/>
        <v>34470</v>
      </c>
      <c r="O652" s="132">
        <f t="shared" si="449"/>
        <v>1.0247096614776376</v>
      </c>
      <c r="P652" s="132">
        <f t="shared" si="452"/>
        <v>1.1499999999999999</v>
      </c>
      <c r="Q652" s="130">
        <f t="shared" si="446"/>
        <v>50043.548387096773</v>
      </c>
      <c r="R652" s="148">
        <f t="shared" si="450"/>
        <v>50090</v>
      </c>
      <c r="S652" s="127">
        <f>VLOOKUP($B652,'Выгр Торг'!$B:$Q,S$1,0)</f>
        <v>40470</v>
      </c>
      <c r="T652" s="127">
        <f>VLOOKUP($B652,'Выгр Торг'!$B:$Q,T$1,0)</f>
        <v>50090</v>
      </c>
      <c r="U652" s="94">
        <f t="shared" si="453"/>
        <v>0</v>
      </c>
      <c r="V652" s="94">
        <f t="shared" si="454"/>
        <v>0</v>
      </c>
      <c r="W652" s="153">
        <f t="shared" si="426"/>
        <v>46583.7</v>
      </c>
      <c r="X652" s="209">
        <f>IFERROR(VLOOKUP($B652,'Из ГУГЛа'!$B:$G,6,0)*Z652+Y652,VLOOKUP($B652,'Из ГУГЛа'!$B:$G,6,0))</f>
        <v>51460</v>
      </c>
      <c r="Y652" s="220">
        <f t="shared" si="451"/>
        <v>9970</v>
      </c>
      <c r="Z652" s="133">
        <v>1</v>
      </c>
      <c r="AA652" s="134"/>
      <c r="AB652" s="135">
        <f t="shared" si="427"/>
        <v>0.15106745737583394</v>
      </c>
      <c r="AC652" s="135">
        <f t="shared" si="428"/>
        <v>9.4759036144578368E-2</v>
      </c>
      <c r="AD652" s="135">
        <f t="shared" si="429"/>
        <v>0.27155917963923892</v>
      </c>
      <c r="AE652" s="223">
        <v>51460</v>
      </c>
      <c r="AF652" s="98" t="s">
        <v>617</v>
      </c>
      <c r="AH652" s="98" t="s">
        <v>118</v>
      </c>
    </row>
    <row r="653" spans="1:34" ht="31.5" thickTop="1" thickBot="1">
      <c r="A653" s="125" t="str">
        <f>INDEX('Выгр Торг'!$A:$A,MATCH($B653,'Выгр Торг'!$B:$B,0))</f>
        <v>Руль анатомический "Ferrum" Grand Sport для Лада Веста, XRAY</v>
      </c>
      <c r="B653" s="126">
        <v>275081</v>
      </c>
      <c r="C653" s="127">
        <f>VLOOKUP($B653,'Выгр Торг'!$B:$Q,C$1,0)</f>
        <v>226944</v>
      </c>
      <c r="D653" s="44" t="s">
        <v>118</v>
      </c>
      <c r="E653" s="125" t="str">
        <f>VLOOKUP($B653,'Выгр Торг'!$B:$Q,E$1,0)</f>
        <v>Руль анатомический "Ferrum" Grand Sport для Лада Веста, XRAY (Синяя нить, Чёрный мат)</v>
      </c>
      <c r="F653" s="127" t="str">
        <f>VLOOKUP($B653,'Выгр Торг'!$B:$Q,F$1,0)</f>
        <v>Y</v>
      </c>
      <c r="G653" s="127" t="str">
        <f>VLOOKUP($B653,'Выгр Торг'!$B:$Q,G$1,0)</f>
        <v>1</v>
      </c>
      <c r="H653" s="127">
        <v>226924</v>
      </c>
      <c r="I653" s="156"/>
      <c r="J653" s="160">
        <v>830</v>
      </c>
      <c r="K653" s="161">
        <v>870</v>
      </c>
      <c r="L653" s="130">
        <f t="shared" si="448"/>
        <v>41300</v>
      </c>
      <c r="M653" s="130">
        <f t="shared" si="443"/>
        <v>42300</v>
      </c>
      <c r="N653" s="130">
        <f t="shared" si="444"/>
        <v>35300</v>
      </c>
      <c r="O653" s="132">
        <f t="shared" si="449"/>
        <v>1.0242130750605327</v>
      </c>
      <c r="P653" s="132">
        <f t="shared" si="452"/>
        <v>1.1499999999999999</v>
      </c>
      <c r="Q653" s="130">
        <f t="shared" si="446"/>
        <v>51069.892473118278</v>
      </c>
      <c r="R653" s="148">
        <f t="shared" si="450"/>
        <v>51090</v>
      </c>
      <c r="S653" s="127">
        <f>VLOOKUP($B653,'Выгр Торг'!$B:$Q,S$1,0)</f>
        <v>41300</v>
      </c>
      <c r="T653" s="127">
        <f>VLOOKUP($B653,'Выгр Торг'!$B:$Q,T$1,0)</f>
        <v>51090</v>
      </c>
      <c r="U653" s="94">
        <f t="shared" si="453"/>
        <v>0</v>
      </c>
      <c r="V653" s="94">
        <f t="shared" si="454"/>
        <v>0</v>
      </c>
      <c r="W653" s="153">
        <f t="shared" ref="W653:W738" si="455">R653*(1-$W$2)</f>
        <v>47513.7</v>
      </c>
      <c r="X653" s="209">
        <f>IFERROR(VLOOKUP($B653,'Из ГУГЛа'!$B:$G,6,0)*Z653+Y653,VLOOKUP($B653,'Из ГУГЛа'!$B:$G,6,0))</f>
        <v>52290</v>
      </c>
      <c r="Y653" s="220">
        <f t="shared" si="451"/>
        <v>10800</v>
      </c>
      <c r="Z653" s="133">
        <v>1</v>
      </c>
      <c r="AA653" s="134">
        <v>1300</v>
      </c>
      <c r="AB653" s="135">
        <f t="shared" ref="AB653:AB738" si="456">IFERROR(W653/L653-1,"")</f>
        <v>0.15045278450363186</v>
      </c>
      <c r="AC653" s="135">
        <f t="shared" ref="AC653:AC738" si="457">IFERROR((AE653-W653)/AE653,"")</f>
        <v>9.1342512908778026E-2</v>
      </c>
      <c r="AD653" s="135">
        <f t="shared" ref="AD653:AD738" si="458">IFERROR(IF(AE653="","",AE653/L653-1),"")</f>
        <v>0.26610169491525415</v>
      </c>
      <c r="AE653" s="223">
        <v>52290</v>
      </c>
      <c r="AF653" s="98" t="s">
        <v>617</v>
      </c>
      <c r="AH653" s="98" t="s">
        <v>118</v>
      </c>
    </row>
    <row r="654" spans="1:34" ht="31.5" thickTop="1" thickBot="1">
      <c r="A654" s="125" t="str">
        <f>INDEX('Выгр Торг'!$A:$A,MATCH($B654,'Выгр Торг'!$B:$B,0))</f>
        <v>Руль анатомический "Ferrum" Grand Sport для Лада Веста, XRAY</v>
      </c>
      <c r="B654" s="126">
        <v>275071</v>
      </c>
      <c r="C654" s="127">
        <f>VLOOKUP($B654,'Выгр Торг'!$B:$Q,C$1,0)</f>
        <v>226928</v>
      </c>
      <c r="D654" s="44" t="s">
        <v>118</v>
      </c>
      <c r="E654" s="125" t="str">
        <f>VLOOKUP($B654,'Выгр Торг'!$B:$Q,E$1,0)</f>
        <v>Руль анатомический "Ferrum" Grand Sport для Лада Веста, XRAY (Тёмно-серая нить, Чёрный глянец)</v>
      </c>
      <c r="F654" s="127" t="str">
        <f>VLOOKUP($B654,'Выгр Торг'!$B:$Q,F$1,0)</f>
        <v>Y</v>
      </c>
      <c r="G654" s="127" t="str">
        <f>VLOOKUP($B654,'Выгр Торг'!$B:$Q,G$1,0)</f>
        <v>1</v>
      </c>
      <c r="H654" s="127">
        <v>226924</v>
      </c>
      <c r="I654" s="156"/>
      <c r="J654" s="160"/>
      <c r="K654" s="161">
        <v>870</v>
      </c>
      <c r="L654" s="130">
        <f t="shared" si="448"/>
        <v>40470</v>
      </c>
      <c r="M654" s="130">
        <f t="shared" si="443"/>
        <v>41470</v>
      </c>
      <c r="N654" s="130">
        <f t="shared" si="444"/>
        <v>34470</v>
      </c>
      <c r="O654" s="132">
        <f t="shared" si="449"/>
        <v>1.0247096614776376</v>
      </c>
      <c r="P654" s="132">
        <f t="shared" si="452"/>
        <v>1.1499999999999999</v>
      </c>
      <c r="Q654" s="130">
        <f t="shared" si="446"/>
        <v>50043.548387096773</v>
      </c>
      <c r="R654" s="148">
        <f t="shared" si="450"/>
        <v>50090</v>
      </c>
      <c r="S654" s="127">
        <f>VLOOKUP($B654,'Выгр Торг'!$B:$Q,S$1,0)</f>
        <v>40470</v>
      </c>
      <c r="T654" s="127">
        <f>VLOOKUP($B654,'Выгр Торг'!$B:$Q,T$1,0)</f>
        <v>50090</v>
      </c>
      <c r="U654" s="94">
        <f t="shared" si="453"/>
        <v>0</v>
      </c>
      <c r="V654" s="94">
        <f t="shared" si="454"/>
        <v>0</v>
      </c>
      <c r="W654" s="153">
        <f t="shared" si="455"/>
        <v>46583.7</v>
      </c>
      <c r="X654" s="209">
        <f>IFERROR(VLOOKUP($B654,'Из ГУГЛа'!$B:$G,6,0)*Z654+Y654,VLOOKUP($B654,'Из ГУГЛа'!$B:$G,6,0))</f>
        <v>51460</v>
      </c>
      <c r="Y654" s="220">
        <f t="shared" si="451"/>
        <v>9970</v>
      </c>
      <c r="Z654" s="133">
        <v>1</v>
      </c>
      <c r="AA654" s="134"/>
      <c r="AB654" s="135">
        <f t="shared" si="456"/>
        <v>0.15106745737583394</v>
      </c>
      <c r="AC654" s="135">
        <f t="shared" si="457"/>
        <v>9.4759036144578368E-2</v>
      </c>
      <c r="AD654" s="135">
        <f t="shared" si="458"/>
        <v>0.27155917963923892</v>
      </c>
      <c r="AE654" s="223">
        <v>51460</v>
      </c>
      <c r="AF654" s="98" t="s">
        <v>617</v>
      </c>
      <c r="AH654" s="98" t="s">
        <v>118</v>
      </c>
    </row>
    <row r="655" spans="1:34" ht="31.5" thickTop="1" thickBot="1">
      <c r="A655" s="125" t="str">
        <f>INDEX('Выгр Торг'!$A:$A,MATCH($B655,'Выгр Торг'!$B:$B,0))</f>
        <v>Руль анатомический "Ferrum" Grand Sport для Лада Веста, XRAY</v>
      </c>
      <c r="B655" s="126">
        <v>275083</v>
      </c>
      <c r="C655" s="127">
        <f>VLOOKUP($B655,'Выгр Торг'!$B:$Q,C$1,0)</f>
        <v>226941</v>
      </c>
      <c r="D655" s="44" t="s">
        <v>118</v>
      </c>
      <c r="E655" s="125" t="str">
        <f>VLOOKUP($B655,'Выгр Торг'!$B:$Q,E$1,0)</f>
        <v>Руль анатомический "Ferrum" Grand Sport для Лада Веста, XRAY (Тёмно-серая нить, Чёрный мат)</v>
      </c>
      <c r="F655" s="127" t="str">
        <f>VLOOKUP($B655,'Выгр Торг'!$B:$Q,F$1,0)</f>
        <v>Y</v>
      </c>
      <c r="G655" s="127" t="str">
        <f>VLOOKUP($B655,'Выгр Торг'!$B:$Q,G$1,0)</f>
        <v>1</v>
      </c>
      <c r="H655" s="127">
        <v>226924</v>
      </c>
      <c r="I655" s="156"/>
      <c r="J655" s="160">
        <v>830</v>
      </c>
      <c r="K655" s="161">
        <v>870</v>
      </c>
      <c r="L655" s="130">
        <f t="shared" si="448"/>
        <v>41300</v>
      </c>
      <c r="M655" s="130">
        <f t="shared" si="443"/>
        <v>42300</v>
      </c>
      <c r="N655" s="130">
        <f t="shared" si="444"/>
        <v>35300</v>
      </c>
      <c r="O655" s="132">
        <f t="shared" si="449"/>
        <v>1.0242130750605327</v>
      </c>
      <c r="P655" s="132">
        <f t="shared" si="452"/>
        <v>1.1499999999999999</v>
      </c>
      <c r="Q655" s="130">
        <f t="shared" si="446"/>
        <v>51069.892473118278</v>
      </c>
      <c r="R655" s="148">
        <f t="shared" si="450"/>
        <v>51090</v>
      </c>
      <c r="S655" s="127">
        <f>VLOOKUP($B655,'Выгр Торг'!$B:$Q,S$1,0)</f>
        <v>41300</v>
      </c>
      <c r="T655" s="127">
        <f>VLOOKUP($B655,'Выгр Торг'!$B:$Q,T$1,0)</f>
        <v>51090</v>
      </c>
      <c r="U655" s="94">
        <f t="shared" si="453"/>
        <v>0</v>
      </c>
      <c r="V655" s="94">
        <f t="shared" si="454"/>
        <v>0</v>
      </c>
      <c r="W655" s="153">
        <f t="shared" si="455"/>
        <v>47513.7</v>
      </c>
      <c r="X655" s="209">
        <f>IFERROR(VLOOKUP($B655,'Из ГУГЛа'!$B:$G,6,0)*Z655+Y655,VLOOKUP($B655,'Из ГУГЛа'!$B:$G,6,0))</f>
        <v>52290</v>
      </c>
      <c r="Y655" s="220">
        <f t="shared" si="451"/>
        <v>10800</v>
      </c>
      <c r="Z655" s="133">
        <v>1</v>
      </c>
      <c r="AA655" s="134">
        <v>1300</v>
      </c>
      <c r="AB655" s="135">
        <f t="shared" si="456"/>
        <v>0.15045278450363186</v>
      </c>
      <c r="AC655" s="135">
        <f t="shared" si="457"/>
        <v>9.1342512908778026E-2</v>
      </c>
      <c r="AD655" s="135">
        <f t="shared" si="458"/>
        <v>0.26610169491525415</v>
      </c>
      <c r="AE655" s="223">
        <v>52290</v>
      </c>
      <c r="AF655" s="98" t="s">
        <v>617</v>
      </c>
      <c r="AH655" s="98" t="s">
        <v>118</v>
      </c>
    </row>
    <row r="656" spans="1:34" ht="31.5" thickTop="1" thickBot="1">
      <c r="A656" s="125" t="str">
        <f>INDEX('Выгр Торг'!$A:$A,MATCH($B656,'Выгр Торг'!$B:$B,0))</f>
        <v>Руль анатомический "Ferrum" Grand Sport для Лада Веста, XRAY</v>
      </c>
      <c r="B656" s="126">
        <v>275063</v>
      </c>
      <c r="C656" s="127">
        <f>VLOOKUP($B656,'Выгр Торг'!$B:$Q,C$1,0)</f>
        <v>226927</v>
      </c>
      <c r="D656" s="44" t="s">
        <v>118</v>
      </c>
      <c r="E656" s="125" t="str">
        <f>VLOOKUP($B656,'Выгр Торг'!$B:$Q,E$1,0)</f>
        <v>Руль анатомический "Ferrum" Grand Sport для Лада Веста, XRAY (Фиолетовая нить, Чёрный глянец)</v>
      </c>
      <c r="F656" s="127" t="str">
        <f>VLOOKUP($B656,'Выгр Торг'!$B:$Q,F$1,0)</f>
        <v>Y</v>
      </c>
      <c r="G656" s="127" t="str">
        <f>VLOOKUP($B656,'Выгр Торг'!$B:$Q,G$1,0)</f>
        <v>1</v>
      </c>
      <c r="H656" s="127">
        <v>226924</v>
      </c>
      <c r="I656" s="156"/>
      <c r="J656" s="160"/>
      <c r="K656" s="161">
        <v>870</v>
      </c>
      <c r="L656" s="130">
        <f t="shared" si="448"/>
        <v>40470</v>
      </c>
      <c r="M656" s="130">
        <f t="shared" si="443"/>
        <v>41470</v>
      </c>
      <c r="N656" s="130">
        <f t="shared" si="444"/>
        <v>34470</v>
      </c>
      <c r="O656" s="132">
        <f t="shared" si="449"/>
        <v>1.0247096614776376</v>
      </c>
      <c r="P656" s="132">
        <f t="shared" si="452"/>
        <v>1.1499999999999999</v>
      </c>
      <c r="Q656" s="130">
        <f t="shared" si="446"/>
        <v>50043.548387096773</v>
      </c>
      <c r="R656" s="148">
        <f t="shared" si="450"/>
        <v>50090</v>
      </c>
      <c r="S656" s="127">
        <f>VLOOKUP($B656,'Выгр Торг'!$B:$Q,S$1,0)</f>
        <v>40470</v>
      </c>
      <c r="T656" s="127">
        <f>VLOOKUP($B656,'Выгр Торг'!$B:$Q,T$1,0)</f>
        <v>50090</v>
      </c>
      <c r="U656" s="94">
        <f t="shared" si="453"/>
        <v>0</v>
      </c>
      <c r="V656" s="94">
        <f t="shared" si="454"/>
        <v>0</v>
      </c>
      <c r="W656" s="153">
        <f t="shared" si="455"/>
        <v>46583.7</v>
      </c>
      <c r="X656" s="209">
        <f>IFERROR(VLOOKUP($B656,'Из ГУГЛа'!$B:$G,6,0)*Z656+Y656,VLOOKUP($B656,'Из ГУГЛа'!$B:$G,6,0))</f>
        <v>51460</v>
      </c>
      <c r="Y656" s="220">
        <f t="shared" si="451"/>
        <v>9970</v>
      </c>
      <c r="Z656" s="133">
        <v>1</v>
      </c>
      <c r="AA656" s="134"/>
      <c r="AB656" s="135">
        <f t="shared" si="456"/>
        <v>0.15106745737583394</v>
      </c>
      <c r="AC656" s="135">
        <f t="shared" si="457"/>
        <v>9.4759036144578368E-2</v>
      </c>
      <c r="AD656" s="135">
        <f t="shared" si="458"/>
        <v>0.27155917963923892</v>
      </c>
      <c r="AE656" s="223">
        <v>51460</v>
      </c>
      <c r="AF656" s="98" t="s">
        <v>617</v>
      </c>
      <c r="AH656" s="98" t="s">
        <v>118</v>
      </c>
    </row>
    <row r="657" spans="1:34" ht="31.5" thickTop="1" thickBot="1">
      <c r="A657" s="125" t="str">
        <f>INDEX('Выгр Торг'!$A:$A,MATCH($B657,'Выгр Торг'!$B:$B,0))</f>
        <v>Руль анатомический "Ferrum" Grand Sport для Лада Веста, XRAY</v>
      </c>
      <c r="B657" s="126">
        <v>275075</v>
      </c>
      <c r="C657" s="127">
        <f>VLOOKUP($B657,'Выгр Торг'!$B:$Q,C$1,0)</f>
        <v>226940</v>
      </c>
      <c r="D657" s="44" t="s">
        <v>118</v>
      </c>
      <c r="E657" s="125" t="str">
        <f>VLOOKUP($B657,'Выгр Торг'!$B:$Q,E$1,0)</f>
        <v>Руль анатомический "Ferrum" Grand Sport для Лада Веста, XRAY (Фиолетовая нить, Чёрный мат)</v>
      </c>
      <c r="F657" s="127" t="str">
        <f>VLOOKUP($B657,'Выгр Торг'!$B:$Q,F$1,0)</f>
        <v>Y</v>
      </c>
      <c r="G657" s="127" t="str">
        <f>VLOOKUP($B657,'Выгр Торг'!$B:$Q,G$1,0)</f>
        <v>1</v>
      </c>
      <c r="H657" s="127">
        <v>226924</v>
      </c>
      <c r="I657" s="156"/>
      <c r="J657" s="160">
        <v>830</v>
      </c>
      <c r="K657" s="161">
        <v>870</v>
      </c>
      <c r="L657" s="130">
        <f t="shared" si="448"/>
        <v>41300</v>
      </c>
      <c r="M657" s="130">
        <f t="shared" si="443"/>
        <v>42300</v>
      </c>
      <c r="N657" s="130">
        <f t="shared" si="444"/>
        <v>35300</v>
      </c>
      <c r="O657" s="132">
        <f t="shared" si="449"/>
        <v>1.0242130750605327</v>
      </c>
      <c r="P657" s="132">
        <f t="shared" si="452"/>
        <v>1.1499999999999999</v>
      </c>
      <c r="Q657" s="130">
        <f t="shared" si="446"/>
        <v>51069.892473118278</v>
      </c>
      <c r="R657" s="148">
        <f t="shared" si="450"/>
        <v>51090</v>
      </c>
      <c r="S657" s="127">
        <f>VLOOKUP($B657,'Выгр Торг'!$B:$Q,S$1,0)</f>
        <v>41300</v>
      </c>
      <c r="T657" s="127">
        <f>VLOOKUP($B657,'Выгр Торг'!$B:$Q,T$1,0)</f>
        <v>51090</v>
      </c>
      <c r="U657" s="94">
        <f t="shared" si="453"/>
        <v>0</v>
      </c>
      <c r="V657" s="94">
        <f t="shared" si="454"/>
        <v>0</v>
      </c>
      <c r="W657" s="153">
        <f t="shared" si="455"/>
        <v>47513.7</v>
      </c>
      <c r="X657" s="209">
        <f>IFERROR(VLOOKUP($B657,'Из ГУГЛа'!$B:$G,6,0)*Z657+Y657,VLOOKUP($B657,'Из ГУГЛа'!$B:$G,6,0))</f>
        <v>52290</v>
      </c>
      <c r="Y657" s="220">
        <f t="shared" si="451"/>
        <v>10800</v>
      </c>
      <c r="Z657" s="133">
        <v>1</v>
      </c>
      <c r="AA657" s="134">
        <v>1300</v>
      </c>
      <c r="AB657" s="135">
        <f t="shared" si="456"/>
        <v>0.15045278450363186</v>
      </c>
      <c r="AC657" s="135">
        <f t="shared" si="457"/>
        <v>9.1342512908778026E-2</v>
      </c>
      <c r="AD657" s="135">
        <f t="shared" si="458"/>
        <v>0.26610169491525415</v>
      </c>
      <c r="AE657" s="223">
        <v>52290</v>
      </c>
      <c r="AF657" s="98" t="s">
        <v>617</v>
      </c>
      <c r="AH657" s="98" t="s">
        <v>118</v>
      </c>
    </row>
    <row r="658" spans="1:34" ht="31.5" thickTop="1" thickBot="1">
      <c r="A658" s="125" t="str">
        <f>INDEX('Выгр Торг'!$A:$A,MATCH($B658,'Выгр Торг'!$B:$B,0))</f>
        <v>Руль анатомический "Ferrum" Vesta Cross для Лада Веста, XRAY</v>
      </c>
      <c r="B658" s="126">
        <v>322897</v>
      </c>
      <c r="C658" s="127">
        <f>VLOOKUP($B658,'Выгр Торг'!$B:$Q,C$1,0)</f>
        <v>322897</v>
      </c>
      <c r="D658" s="44" t="s">
        <v>111</v>
      </c>
      <c r="E658" s="125" t="str">
        <f>VLOOKUP($B658,'Выгр Торг'!$B:$Q,E$1,0)</f>
        <v>Руль анатомический "Ferrum" Vesta Cross для Лада Веста, XRAY (Чёрная нить, Чёрный глянец)</v>
      </c>
      <c r="F658" s="127" t="str">
        <f>VLOOKUP($B658,'Выгр Торг'!$B:$Q,F$1,0)</f>
        <v>Y</v>
      </c>
      <c r="G658" s="127" t="str">
        <f>VLOOKUP($B658,'Выгр Торг'!$B:$Q,G$1,0)</f>
        <v>1</v>
      </c>
      <c r="H658" s="127">
        <v>322897</v>
      </c>
      <c r="I658" s="156"/>
      <c r="J658" s="160">
        <v>7000</v>
      </c>
      <c r="K658" s="161">
        <v>0</v>
      </c>
      <c r="L658" s="130">
        <f>M658-1000</f>
        <v>39200</v>
      </c>
      <c r="M658" s="131">
        <f>N658+J658</f>
        <v>40200</v>
      </c>
      <c r="N658" s="131">
        <v>33200</v>
      </c>
      <c r="O658" s="132">
        <f>M658/L658</f>
        <v>1.0255102040816326</v>
      </c>
      <c r="P658" s="132">
        <f t="shared" si="452"/>
        <v>1.1499999999999999</v>
      </c>
      <c r="Q658" s="147">
        <f t="shared" ref="Q658" si="459">L658*P658*100/93</f>
        <v>48473.118279569891</v>
      </c>
      <c r="R658" s="148">
        <f>IF(Q658&lt;=1000,(ROUNDUP(Q658,-2)-1),(ROUNDUP(Q658,-2)-10))</f>
        <v>48490</v>
      </c>
      <c r="S658" s="127">
        <f>VLOOKUP($B658,'Выгр Торг'!$B:$Q,S$1,0)</f>
        <v>39200</v>
      </c>
      <c r="T658" s="127">
        <f>VLOOKUP($B658,'Выгр Торг'!$B:$Q,T$1,0)</f>
        <v>48490</v>
      </c>
      <c r="U658" s="94">
        <f t="shared" si="453"/>
        <v>0</v>
      </c>
      <c r="V658" s="94">
        <f t="shared" si="454"/>
        <v>0</v>
      </c>
      <c r="W658" s="153">
        <f>R658*(1-$W$2)</f>
        <v>45095.7</v>
      </c>
      <c r="X658" s="209">
        <f>IFERROR(VLOOKUP($B658,'Из ГУГЛа'!$B:$G,6,0)*Z658+Y658,VLOOKUP($B658,'Из ГУГЛа'!$B:$G,6,0))</f>
        <v>49090</v>
      </c>
      <c r="Y658" s="106">
        <f>(J658+K658)*$Y$2</f>
        <v>9100</v>
      </c>
      <c r="Z658" s="133">
        <v>1</v>
      </c>
      <c r="AA658" s="134"/>
      <c r="AB658" s="135">
        <f>IFERROR(W658/L658-1,"")</f>
        <v>0.15040051020408152</v>
      </c>
      <c r="AC658" s="135">
        <f>IFERROR((AE658-W658)/AE658,"")</f>
        <v>8.136687716439199E-2</v>
      </c>
      <c r="AD658" s="135">
        <f>IFERROR(IF(AE658="","",AE658/L658-1),"")</f>
        <v>0.25229591836734699</v>
      </c>
      <c r="AE658" s="137">
        <v>49090</v>
      </c>
      <c r="AF658" s="98" t="s">
        <v>614</v>
      </c>
      <c r="AH658" s="98" t="s">
        <v>111</v>
      </c>
    </row>
    <row r="659" spans="1:34" ht="31.5" thickTop="1" thickBot="1">
      <c r="A659" s="176" t="str">
        <f>INDEX('Выгр Торг'!$A:$A,MATCH($B659,'Выгр Торг'!$B:$B,0))</f>
        <v>Руль анатомический "Ferrum" Vesta Cross для Лада Веста, XRAY</v>
      </c>
      <c r="B659" s="178">
        <v>341939</v>
      </c>
      <c r="C659" s="179">
        <f>VLOOKUP($B659,'Выгр Торг'!$B:$Q,C$1,0)</f>
        <v>341939</v>
      </c>
      <c r="D659" s="186" t="s">
        <v>111</v>
      </c>
      <c r="E659" s="176" t="str">
        <f>VLOOKUP($B659,'Выгр Торг'!$B:$Q,E$1,0)</f>
        <v>Руль анатомический "Ferrum" Vesta Cross для Лада Веста, XRAY (Чёрная нить, Чёрный мат)</v>
      </c>
      <c r="F659" s="179" t="str">
        <f>VLOOKUP($B659,'Выгр Торг'!$B:$Q,F$1,0)</f>
        <v>Y</v>
      </c>
      <c r="G659" s="179" t="str">
        <f>VLOOKUP($B659,'Выгр Торг'!$B:$Q,G$1,0)</f>
        <v>1</v>
      </c>
      <c r="H659" s="179">
        <v>322897</v>
      </c>
      <c r="I659" s="156"/>
      <c r="J659" s="160">
        <v>830</v>
      </c>
      <c r="K659" s="161">
        <v>0</v>
      </c>
      <c r="L659" s="180">
        <f>M659-1000</f>
        <v>40030</v>
      </c>
      <c r="M659" s="180">
        <f t="shared" ref="M659:M683" si="460">INDEX($M:$M,MATCH($H659,$C:$C,0))+$K659+$J659</f>
        <v>41030</v>
      </c>
      <c r="N659" s="180">
        <f t="shared" ref="N659:N683" si="461">INDEX($N:$N,MATCH($H659,$C:$C,0))+$K659+$J659</f>
        <v>34030</v>
      </c>
      <c r="O659" s="107">
        <f>M659/L659</f>
        <v>1.0249812640519611</v>
      </c>
      <c r="P659" s="132">
        <f t="shared" si="452"/>
        <v>1.1499999999999999</v>
      </c>
      <c r="Q659" s="180">
        <f t="shared" ref="Q659:Q683" si="462">INDEX($Q:$Q,MATCH($H659,$C:$C,0))+($K659+$J659)*INDEX($P:$P,MATCH($H659,$C:$C,0))*100/93</f>
        <v>49499.462365591397</v>
      </c>
      <c r="R659" s="144">
        <f>IF(Q659&lt;=1000,(ROUNDUP(Q659,-2)-1),(ROUNDUP(Q659,-2)-10))</f>
        <v>49490</v>
      </c>
      <c r="S659" s="179">
        <f>VLOOKUP($B659,'Выгр Торг'!$B:$Q,S$1,0)</f>
        <v>40030</v>
      </c>
      <c r="T659" s="179">
        <f>VLOOKUP($B659,'Выгр Торг'!$B:$Q,T$1,0)</f>
        <v>49490</v>
      </c>
      <c r="U659" s="94">
        <f t="shared" si="453"/>
        <v>0</v>
      </c>
      <c r="V659" s="94">
        <f t="shared" si="454"/>
        <v>0</v>
      </c>
      <c r="W659" s="182">
        <f>R659*(1-$W$2)</f>
        <v>46025.7</v>
      </c>
      <c r="X659" s="218">
        <f>IFERROR(VLOOKUP($B659,'Из ГУГЛа'!$B:$G,6,0)*Z659+Y659,VLOOKUP($B659,'Из ГУГЛа'!$B:$G,6,0))</f>
        <v>49920</v>
      </c>
      <c r="Y659" s="220">
        <f t="shared" ref="Y659:Y683" si="463">INDEX($Y:$Y,MATCH($H659,$C:$C,0))+J659+K659</f>
        <v>9930</v>
      </c>
      <c r="Z659" s="133">
        <v>1</v>
      </c>
      <c r="AA659" s="133">
        <v>1300</v>
      </c>
      <c r="AB659" s="184">
        <f>IFERROR(W659/L659-1,"")</f>
        <v>0.1497801648763426</v>
      </c>
      <c r="AC659" s="184">
        <f>IFERROR((AE659-W659)/AE659,"")</f>
        <v>7.8010817307692368E-2</v>
      </c>
      <c r="AD659" s="184">
        <f>IFERROR(IF(AE659="","",AE659/L659-1),"")</f>
        <v>0.24706470147389448</v>
      </c>
      <c r="AE659" s="223">
        <v>49920</v>
      </c>
      <c r="AF659" s="98" t="s">
        <v>614</v>
      </c>
      <c r="AH659" s="98" t="s">
        <v>111</v>
      </c>
    </row>
    <row r="660" spans="1:34" ht="31.5" thickTop="1" thickBot="1">
      <c r="A660" s="125" t="str">
        <f>INDEX('Выгр Торг'!$A:$A,MATCH($B660,'Выгр Торг'!$B:$B,0))</f>
        <v>Руль анатомический "Ferrum" Vesta Cross для Лада Веста, XRAY</v>
      </c>
      <c r="B660" s="126">
        <v>341938</v>
      </c>
      <c r="C660" s="127">
        <f>VLOOKUP($B660,'Выгр Торг'!$B:$Q,C$1,0)</f>
        <v>341938</v>
      </c>
      <c r="D660" s="44" t="s">
        <v>111</v>
      </c>
      <c r="E660" s="125" t="str">
        <f>VLOOKUP($B660,'Выгр Торг'!$B:$Q,E$1,0)</f>
        <v>Руль анатомический "Ferrum" Vesta Cross для Лада Веста, XRAY (Белая нить, Чёрный мат)</v>
      </c>
      <c r="F660" s="127" t="str">
        <f>VLOOKUP($B660,'Выгр Торг'!$B:$Q,F$1,0)</f>
        <v>Y</v>
      </c>
      <c r="G660" s="127" t="str">
        <f>VLOOKUP($B660,'Выгр Торг'!$B:$Q,G$1,0)</f>
        <v>1</v>
      </c>
      <c r="H660" s="127">
        <v>322897</v>
      </c>
      <c r="I660" s="156"/>
      <c r="J660" s="160">
        <v>830</v>
      </c>
      <c r="K660" s="161">
        <v>870</v>
      </c>
      <c r="L660" s="130">
        <f t="shared" ref="L660:L683" si="464">M660-1000</f>
        <v>40900</v>
      </c>
      <c r="M660" s="130">
        <f t="shared" si="460"/>
        <v>41900</v>
      </c>
      <c r="N660" s="130">
        <f t="shared" si="461"/>
        <v>34900</v>
      </c>
      <c r="O660" s="132">
        <f t="shared" ref="O660:O683" si="465">M660/L660</f>
        <v>1.0244498777506112</v>
      </c>
      <c r="P660" s="132">
        <f t="shared" si="452"/>
        <v>1.1499999999999999</v>
      </c>
      <c r="Q660" s="130">
        <f t="shared" si="462"/>
        <v>50575.268817204298</v>
      </c>
      <c r="R660" s="148">
        <f t="shared" ref="R660:R683" si="466">IF(Q660&lt;=1000,(ROUNDUP(Q660,-2)-1),(ROUNDUP(Q660,-2)-10))</f>
        <v>50590</v>
      </c>
      <c r="S660" s="127">
        <f>VLOOKUP($B660,'Выгр Торг'!$B:$Q,S$1,0)</f>
        <v>40900</v>
      </c>
      <c r="T660" s="127">
        <f>VLOOKUP($B660,'Выгр Торг'!$B:$Q,T$1,0)</f>
        <v>50590</v>
      </c>
      <c r="U660" s="94">
        <f t="shared" si="453"/>
        <v>0</v>
      </c>
      <c r="V660" s="94">
        <f t="shared" si="454"/>
        <v>0</v>
      </c>
      <c r="W660" s="153">
        <f t="shared" si="455"/>
        <v>47048.7</v>
      </c>
      <c r="X660" s="209">
        <f>IFERROR(VLOOKUP($B660,'Из ГУГЛа'!$B:$G,6,0)*Z660+Y660,VLOOKUP($B660,'Из ГУГЛа'!$B:$G,6,0))</f>
        <v>50790</v>
      </c>
      <c r="Y660" s="220">
        <f t="shared" si="463"/>
        <v>10800</v>
      </c>
      <c r="Z660" s="133">
        <v>1</v>
      </c>
      <c r="AA660" s="133">
        <v>1300</v>
      </c>
      <c r="AB660" s="135">
        <f t="shared" si="456"/>
        <v>0.15033496332518337</v>
      </c>
      <c r="AC660" s="135">
        <f t="shared" si="457"/>
        <v>7.366213821618435E-2</v>
      </c>
      <c r="AD660" s="135">
        <f t="shared" si="458"/>
        <v>0.2418092909535452</v>
      </c>
      <c r="AE660" s="223">
        <v>50790</v>
      </c>
      <c r="AF660" s="98" t="s">
        <v>614</v>
      </c>
      <c r="AH660" s="98" t="s">
        <v>111</v>
      </c>
    </row>
    <row r="661" spans="1:34" ht="31.5" thickTop="1" thickBot="1">
      <c r="A661" s="176" t="str">
        <f>INDEX('Выгр Торг'!$A:$A,MATCH($B661,'Выгр Торг'!$B:$B,0))</f>
        <v>Руль анатомический "Ferrum" Vesta Cross для Лада Веста, XRAY</v>
      </c>
      <c r="B661" s="178">
        <v>341950</v>
      </c>
      <c r="C661" s="179">
        <f>VLOOKUP($B661,'Выгр Торг'!$B:$Q,C$1,0)</f>
        <v>341950</v>
      </c>
      <c r="D661" s="186" t="s">
        <v>111</v>
      </c>
      <c r="E661" s="176" t="str">
        <f>VLOOKUP($B661,'Выгр Торг'!$B:$Q,E$1,0)</f>
        <v>Руль анатомический "Ferrum" Vesta Cross для Лада Веста, XRAY (Жёлтая нить, Чёрный мат)</v>
      </c>
      <c r="F661" s="179" t="str">
        <f>VLOOKUP($B661,'Выгр Торг'!$B:$Q,F$1,0)</f>
        <v>Y</v>
      </c>
      <c r="G661" s="179" t="str">
        <f>VLOOKUP($B661,'Выгр Торг'!$B:$Q,G$1,0)</f>
        <v>1</v>
      </c>
      <c r="H661" s="179">
        <v>322897</v>
      </c>
      <c r="I661" s="156"/>
      <c r="J661" s="160">
        <v>830</v>
      </c>
      <c r="K661" s="161">
        <v>870</v>
      </c>
      <c r="L661" s="180">
        <f t="shared" ref="L661:L672" si="467">M661-1000</f>
        <v>40900</v>
      </c>
      <c r="M661" s="180">
        <f t="shared" si="460"/>
        <v>41900</v>
      </c>
      <c r="N661" s="180">
        <f t="shared" si="461"/>
        <v>34900</v>
      </c>
      <c r="O661" s="107">
        <f t="shared" ref="O661:O672" si="468">M661/L661</f>
        <v>1.0244498777506112</v>
      </c>
      <c r="P661" s="132">
        <f t="shared" si="452"/>
        <v>1.1499999999999999</v>
      </c>
      <c r="Q661" s="180">
        <f t="shared" si="462"/>
        <v>50575.268817204298</v>
      </c>
      <c r="R661" s="144">
        <f t="shared" ref="R661:R672" si="469">IF(Q661&lt;=1000,(ROUNDUP(Q661,-2)-1),(ROUNDUP(Q661,-2)-10))</f>
        <v>50590</v>
      </c>
      <c r="S661" s="179">
        <f>VLOOKUP($B661,'Выгр Торг'!$B:$Q,S$1,0)</f>
        <v>40900</v>
      </c>
      <c r="T661" s="179">
        <f>VLOOKUP($B661,'Выгр Торг'!$B:$Q,T$1,0)</f>
        <v>50590</v>
      </c>
      <c r="U661" s="94">
        <f t="shared" si="453"/>
        <v>0</v>
      </c>
      <c r="V661" s="94">
        <f t="shared" si="454"/>
        <v>0</v>
      </c>
      <c r="W661" s="182">
        <f t="shared" ref="W661:W672" si="470">R661*(1-$W$2)</f>
        <v>47048.7</v>
      </c>
      <c r="X661" s="218">
        <f>IFERROR(VLOOKUP($B661,'Из ГУГЛа'!$B:$G,6,0)*Z661+Y661,VLOOKUP($B661,'Из ГУГЛа'!$B:$G,6,0))</f>
        <v>50790</v>
      </c>
      <c r="Y661" s="220">
        <f t="shared" si="463"/>
        <v>10800</v>
      </c>
      <c r="Z661" s="133">
        <v>1</v>
      </c>
      <c r="AA661" s="133">
        <v>1300</v>
      </c>
      <c r="AB661" s="184">
        <f t="shared" ref="AB661:AB672" si="471">IFERROR(W661/L661-1,"")</f>
        <v>0.15033496332518337</v>
      </c>
      <c r="AC661" s="184">
        <f t="shared" ref="AC661:AC672" si="472">IFERROR((AE661-W661)/AE661,"")</f>
        <v>7.366213821618435E-2</v>
      </c>
      <c r="AD661" s="184">
        <f t="shared" ref="AD661:AD672" si="473">IFERROR(IF(AE661="","",AE661/L661-1),"")</f>
        <v>0.2418092909535452</v>
      </c>
      <c r="AE661" s="223">
        <v>50790</v>
      </c>
      <c r="AF661" s="98" t="s">
        <v>614</v>
      </c>
      <c r="AH661" s="98" t="s">
        <v>111</v>
      </c>
    </row>
    <row r="662" spans="1:34" ht="31.5" thickTop="1" thickBot="1">
      <c r="A662" s="176" t="str">
        <f>INDEX('Выгр Торг'!$A:$A,MATCH($B662,'Выгр Торг'!$B:$B,0))</f>
        <v>Руль анатомический "Ferrum" Vesta Cross для Лада Веста, XRAY</v>
      </c>
      <c r="B662" s="178">
        <v>341949</v>
      </c>
      <c r="C662" s="179">
        <f>VLOOKUP($B662,'Выгр Торг'!$B:$Q,C$1,0)</f>
        <v>341949</v>
      </c>
      <c r="D662" s="186" t="s">
        <v>111</v>
      </c>
      <c r="E662" s="176" t="str">
        <f>VLOOKUP($B662,'Выгр Торг'!$B:$Q,E$1,0)</f>
        <v>Руль анатомический "Ferrum" Vesta Cross для Лада Веста, XRAY (Зелёная нить, Чёрный мат)</v>
      </c>
      <c r="F662" s="179" t="str">
        <f>VLOOKUP($B662,'Выгр Торг'!$B:$Q,F$1,0)</f>
        <v>Y</v>
      </c>
      <c r="G662" s="179" t="str">
        <f>VLOOKUP($B662,'Выгр Торг'!$B:$Q,G$1,0)</f>
        <v>1</v>
      </c>
      <c r="H662" s="179">
        <v>322897</v>
      </c>
      <c r="I662" s="156"/>
      <c r="J662" s="160">
        <v>830</v>
      </c>
      <c r="K662" s="161">
        <v>870</v>
      </c>
      <c r="L662" s="180">
        <f t="shared" si="467"/>
        <v>40900</v>
      </c>
      <c r="M662" s="180">
        <f t="shared" si="460"/>
        <v>41900</v>
      </c>
      <c r="N662" s="180">
        <f t="shared" si="461"/>
        <v>34900</v>
      </c>
      <c r="O662" s="107">
        <f t="shared" si="468"/>
        <v>1.0244498777506112</v>
      </c>
      <c r="P662" s="132">
        <f t="shared" si="452"/>
        <v>1.1499999999999999</v>
      </c>
      <c r="Q662" s="180">
        <f t="shared" si="462"/>
        <v>50575.268817204298</v>
      </c>
      <c r="R662" s="144">
        <f t="shared" si="469"/>
        <v>50590</v>
      </c>
      <c r="S662" s="179">
        <f>VLOOKUP($B662,'Выгр Торг'!$B:$Q,S$1,0)</f>
        <v>40900</v>
      </c>
      <c r="T662" s="179">
        <f>VLOOKUP($B662,'Выгр Торг'!$B:$Q,T$1,0)</f>
        <v>50590</v>
      </c>
      <c r="U662" s="94">
        <f t="shared" si="453"/>
        <v>0</v>
      </c>
      <c r="V662" s="94">
        <f t="shared" si="454"/>
        <v>0</v>
      </c>
      <c r="W662" s="182">
        <f t="shared" si="470"/>
        <v>47048.7</v>
      </c>
      <c r="X662" s="218">
        <f>IFERROR(VLOOKUP($B662,'Из ГУГЛа'!$B:$G,6,0)*Z662+Y662,VLOOKUP($B662,'Из ГУГЛа'!$B:$G,6,0))</f>
        <v>50790</v>
      </c>
      <c r="Y662" s="220">
        <f t="shared" si="463"/>
        <v>10800</v>
      </c>
      <c r="Z662" s="133">
        <v>1</v>
      </c>
      <c r="AA662" s="133">
        <v>1300</v>
      </c>
      <c r="AB662" s="184">
        <f t="shared" si="471"/>
        <v>0.15033496332518337</v>
      </c>
      <c r="AC662" s="184">
        <f t="shared" si="472"/>
        <v>7.366213821618435E-2</v>
      </c>
      <c r="AD662" s="184">
        <f t="shared" si="473"/>
        <v>0.2418092909535452</v>
      </c>
      <c r="AE662" s="223">
        <v>50790</v>
      </c>
      <c r="AF662" s="98" t="s">
        <v>614</v>
      </c>
      <c r="AH662" s="98" t="s">
        <v>111</v>
      </c>
    </row>
    <row r="663" spans="1:34" ht="31.5" thickTop="1" thickBot="1">
      <c r="A663" s="176" t="str">
        <f>INDEX('Выгр Торг'!$A:$A,MATCH($B663,'Выгр Торг'!$B:$B,0))</f>
        <v>Руль анатомический "Ferrum" Vesta Cross для Лада Веста, XRAY</v>
      </c>
      <c r="B663" s="178">
        <v>341941</v>
      </c>
      <c r="C663" s="179">
        <f>VLOOKUP($B663,'Выгр Торг'!$B:$Q,C$1,0)</f>
        <v>341941</v>
      </c>
      <c r="D663" s="186" t="s">
        <v>111</v>
      </c>
      <c r="E663" s="176" t="str">
        <f>VLOOKUP($B663,'Выгр Торг'!$B:$Q,E$1,0)</f>
        <v>Руль анатомический "Ferrum" Vesta Cross для Лада Веста, XRAY (Коричневая нить, Чёрный мат)</v>
      </c>
      <c r="F663" s="179" t="str">
        <f>VLOOKUP($B663,'Выгр Торг'!$B:$Q,F$1,0)</f>
        <v>Y</v>
      </c>
      <c r="G663" s="179" t="str">
        <f>VLOOKUP($B663,'Выгр Торг'!$B:$Q,G$1,0)</f>
        <v>1</v>
      </c>
      <c r="H663" s="179">
        <v>322897</v>
      </c>
      <c r="I663" s="156"/>
      <c r="J663" s="160">
        <v>830</v>
      </c>
      <c r="K663" s="161">
        <v>870</v>
      </c>
      <c r="L663" s="180">
        <f t="shared" si="467"/>
        <v>40900</v>
      </c>
      <c r="M663" s="180">
        <f t="shared" si="460"/>
        <v>41900</v>
      </c>
      <c r="N663" s="180">
        <f t="shared" si="461"/>
        <v>34900</v>
      </c>
      <c r="O663" s="107">
        <f t="shared" si="468"/>
        <v>1.0244498777506112</v>
      </c>
      <c r="P663" s="132">
        <f t="shared" si="452"/>
        <v>1.1499999999999999</v>
      </c>
      <c r="Q663" s="180">
        <f t="shared" si="462"/>
        <v>50575.268817204298</v>
      </c>
      <c r="R663" s="144">
        <f t="shared" si="469"/>
        <v>50590</v>
      </c>
      <c r="S663" s="179">
        <f>VLOOKUP($B663,'Выгр Торг'!$B:$Q,S$1,0)</f>
        <v>40900</v>
      </c>
      <c r="T663" s="179">
        <f>VLOOKUP($B663,'Выгр Торг'!$B:$Q,T$1,0)</f>
        <v>50590</v>
      </c>
      <c r="U663" s="94">
        <f t="shared" si="453"/>
        <v>0</v>
      </c>
      <c r="V663" s="94">
        <f t="shared" si="454"/>
        <v>0</v>
      </c>
      <c r="W663" s="182">
        <f t="shared" si="470"/>
        <v>47048.7</v>
      </c>
      <c r="X663" s="218">
        <f>IFERROR(VLOOKUP($B663,'Из ГУГЛа'!$B:$G,6,0)*Z663+Y663,VLOOKUP($B663,'Из ГУГЛа'!$B:$G,6,0))</f>
        <v>50790</v>
      </c>
      <c r="Y663" s="220">
        <f t="shared" si="463"/>
        <v>10800</v>
      </c>
      <c r="Z663" s="133">
        <v>1</v>
      </c>
      <c r="AA663" s="133">
        <v>1300</v>
      </c>
      <c r="AB663" s="184">
        <f t="shared" si="471"/>
        <v>0.15033496332518337</v>
      </c>
      <c r="AC663" s="184">
        <f t="shared" si="472"/>
        <v>7.366213821618435E-2</v>
      </c>
      <c r="AD663" s="184">
        <f t="shared" si="473"/>
        <v>0.2418092909535452</v>
      </c>
      <c r="AE663" s="223">
        <v>50790</v>
      </c>
      <c r="AF663" s="98" t="s">
        <v>614</v>
      </c>
      <c r="AH663" s="98" t="s">
        <v>111</v>
      </c>
    </row>
    <row r="664" spans="1:34" ht="31.5" thickTop="1" thickBot="1">
      <c r="A664" s="176" t="str">
        <f>INDEX('Выгр Торг'!$A:$A,MATCH($B664,'Выгр Торг'!$B:$B,0))</f>
        <v>Руль анатомический "Ferrum" Vesta Cross для Лада Веста, XRAY</v>
      </c>
      <c r="B664" s="178">
        <v>341942</v>
      </c>
      <c r="C664" s="179">
        <f>VLOOKUP($B664,'Выгр Торг'!$B:$Q,C$1,0)</f>
        <v>341942</v>
      </c>
      <c r="D664" s="186" t="s">
        <v>111</v>
      </c>
      <c r="E664" s="176" t="str">
        <f>VLOOKUP($B664,'Выгр Торг'!$B:$Q,E$1,0)</f>
        <v>Руль анатомический "Ferrum" Vesta Cross для Лада Веста, XRAY (Красная нить, Чёрный мат)</v>
      </c>
      <c r="F664" s="179" t="str">
        <f>VLOOKUP($B664,'Выгр Торг'!$B:$Q,F$1,0)</f>
        <v>Y</v>
      </c>
      <c r="G664" s="179" t="str">
        <f>VLOOKUP($B664,'Выгр Торг'!$B:$Q,G$1,0)</f>
        <v>1</v>
      </c>
      <c r="H664" s="179">
        <v>322897</v>
      </c>
      <c r="I664" s="156"/>
      <c r="J664" s="160">
        <v>830</v>
      </c>
      <c r="K664" s="161">
        <v>870</v>
      </c>
      <c r="L664" s="180">
        <f t="shared" si="467"/>
        <v>40900</v>
      </c>
      <c r="M664" s="180">
        <f t="shared" si="460"/>
        <v>41900</v>
      </c>
      <c r="N664" s="180">
        <f t="shared" si="461"/>
        <v>34900</v>
      </c>
      <c r="O664" s="107">
        <f t="shared" si="468"/>
        <v>1.0244498777506112</v>
      </c>
      <c r="P664" s="132">
        <f t="shared" si="452"/>
        <v>1.1499999999999999</v>
      </c>
      <c r="Q664" s="180">
        <f t="shared" si="462"/>
        <v>50575.268817204298</v>
      </c>
      <c r="R664" s="144">
        <f t="shared" si="469"/>
        <v>50590</v>
      </c>
      <c r="S664" s="179">
        <f>VLOOKUP($B664,'Выгр Торг'!$B:$Q,S$1,0)</f>
        <v>40900</v>
      </c>
      <c r="T664" s="179">
        <f>VLOOKUP($B664,'Выгр Торг'!$B:$Q,T$1,0)</f>
        <v>50590</v>
      </c>
      <c r="U664" s="94">
        <f t="shared" si="453"/>
        <v>0</v>
      </c>
      <c r="V664" s="94">
        <f t="shared" si="454"/>
        <v>0</v>
      </c>
      <c r="W664" s="182">
        <f t="shared" si="470"/>
        <v>47048.7</v>
      </c>
      <c r="X664" s="218">
        <f>IFERROR(VLOOKUP($B664,'Из ГУГЛа'!$B:$G,6,0)*Z664+Y664,VLOOKUP($B664,'Из ГУГЛа'!$B:$G,6,0))</f>
        <v>50790</v>
      </c>
      <c r="Y664" s="220">
        <f t="shared" si="463"/>
        <v>10800</v>
      </c>
      <c r="Z664" s="133">
        <v>1</v>
      </c>
      <c r="AA664" s="133">
        <v>1300</v>
      </c>
      <c r="AB664" s="184">
        <f t="shared" si="471"/>
        <v>0.15033496332518337</v>
      </c>
      <c r="AC664" s="184">
        <f t="shared" si="472"/>
        <v>7.366213821618435E-2</v>
      </c>
      <c r="AD664" s="184">
        <f t="shared" si="473"/>
        <v>0.2418092909535452</v>
      </c>
      <c r="AE664" s="223">
        <v>50790</v>
      </c>
      <c r="AF664" s="98" t="s">
        <v>614</v>
      </c>
      <c r="AH664" s="98" t="s">
        <v>111</v>
      </c>
    </row>
    <row r="665" spans="1:34" ht="31.5" thickTop="1" thickBot="1">
      <c r="A665" s="176" t="str">
        <f>INDEX('Выгр Торг'!$A:$A,MATCH($B665,'Выгр Торг'!$B:$B,0))</f>
        <v>Руль анатомический "Ferrum" Vesta Cross для Лада Веста, XRAY</v>
      </c>
      <c r="B665" s="178">
        <v>341943</v>
      </c>
      <c r="C665" s="179">
        <f>VLOOKUP($B665,'Выгр Торг'!$B:$Q,C$1,0)</f>
        <v>341943</v>
      </c>
      <c r="D665" s="186" t="s">
        <v>111</v>
      </c>
      <c r="E665" s="176" t="str">
        <f>VLOOKUP($B665,'Выгр Торг'!$B:$Q,E$1,0)</f>
        <v>Руль анатомический "Ferrum" Vesta Cross для Лада Веста, XRAY (Оранжевая нить, Чёрный мат)</v>
      </c>
      <c r="F665" s="179" t="str">
        <f>VLOOKUP($B665,'Выгр Торг'!$B:$Q,F$1,0)</f>
        <v>Y</v>
      </c>
      <c r="G665" s="179" t="str">
        <f>VLOOKUP($B665,'Выгр Торг'!$B:$Q,G$1,0)</f>
        <v>1</v>
      </c>
      <c r="H665" s="179">
        <v>322897</v>
      </c>
      <c r="I665" s="156"/>
      <c r="J665" s="160">
        <v>830</v>
      </c>
      <c r="K665" s="161">
        <v>870</v>
      </c>
      <c r="L665" s="180">
        <f t="shared" si="467"/>
        <v>40900</v>
      </c>
      <c r="M665" s="180">
        <f t="shared" si="460"/>
        <v>41900</v>
      </c>
      <c r="N665" s="180">
        <f t="shared" si="461"/>
        <v>34900</v>
      </c>
      <c r="O665" s="107">
        <f t="shared" si="468"/>
        <v>1.0244498777506112</v>
      </c>
      <c r="P665" s="132">
        <f t="shared" si="452"/>
        <v>1.1499999999999999</v>
      </c>
      <c r="Q665" s="180">
        <f t="shared" si="462"/>
        <v>50575.268817204298</v>
      </c>
      <c r="R665" s="144">
        <f t="shared" si="469"/>
        <v>50590</v>
      </c>
      <c r="S665" s="179">
        <f>VLOOKUP($B665,'Выгр Торг'!$B:$Q,S$1,0)</f>
        <v>40900</v>
      </c>
      <c r="T665" s="179">
        <f>VLOOKUP($B665,'Выгр Торг'!$B:$Q,T$1,0)</f>
        <v>50590</v>
      </c>
      <c r="U665" s="94">
        <f t="shared" si="453"/>
        <v>0</v>
      </c>
      <c r="V665" s="94">
        <f t="shared" si="454"/>
        <v>0</v>
      </c>
      <c r="W665" s="182">
        <f t="shared" si="470"/>
        <v>47048.7</v>
      </c>
      <c r="X665" s="218">
        <f>IFERROR(VLOOKUP($B665,'Из ГУГЛа'!$B:$G,6,0)*Z665+Y665,VLOOKUP($B665,'Из ГУГЛа'!$B:$G,6,0))</f>
        <v>50790</v>
      </c>
      <c r="Y665" s="220">
        <f t="shared" si="463"/>
        <v>10800</v>
      </c>
      <c r="Z665" s="133">
        <v>1</v>
      </c>
      <c r="AA665" s="133">
        <v>1300</v>
      </c>
      <c r="AB665" s="184">
        <f t="shared" si="471"/>
        <v>0.15033496332518337</v>
      </c>
      <c r="AC665" s="184">
        <f t="shared" si="472"/>
        <v>7.366213821618435E-2</v>
      </c>
      <c r="AD665" s="184">
        <f t="shared" si="473"/>
        <v>0.2418092909535452</v>
      </c>
      <c r="AE665" s="223">
        <v>50790</v>
      </c>
      <c r="AF665" s="98" t="s">
        <v>614</v>
      </c>
      <c r="AH665" s="98" t="s">
        <v>111</v>
      </c>
    </row>
    <row r="666" spans="1:34" ht="31.5" thickTop="1" thickBot="1">
      <c r="A666" s="176" t="str">
        <f>INDEX('Выгр Торг'!$A:$A,MATCH($B666,'Выгр Торг'!$B:$B,0))</f>
        <v>Руль анатомический "Ferrum" Vesta Cross для Лада Веста, XRAY</v>
      </c>
      <c r="B666" s="178">
        <v>341944</v>
      </c>
      <c r="C666" s="179">
        <f>VLOOKUP($B666,'Выгр Торг'!$B:$Q,C$1,0)</f>
        <v>341944</v>
      </c>
      <c r="D666" s="186" t="s">
        <v>111</v>
      </c>
      <c r="E666" s="176" t="str">
        <f>VLOOKUP($B666,'Выгр Торг'!$B:$Q,E$1,0)</f>
        <v>Руль анатомический "Ferrum" Vesta Cross для Лада Веста, XRAY (Салатовая нить, Чёрный мат)</v>
      </c>
      <c r="F666" s="179" t="str">
        <f>VLOOKUP($B666,'Выгр Торг'!$B:$Q,F$1,0)</f>
        <v>Y</v>
      </c>
      <c r="G666" s="179" t="str">
        <f>VLOOKUP($B666,'Выгр Торг'!$B:$Q,G$1,0)</f>
        <v>1</v>
      </c>
      <c r="H666" s="179">
        <v>322897</v>
      </c>
      <c r="I666" s="156"/>
      <c r="J666" s="160">
        <v>830</v>
      </c>
      <c r="K666" s="161">
        <v>870</v>
      </c>
      <c r="L666" s="180">
        <f t="shared" si="467"/>
        <v>40900</v>
      </c>
      <c r="M666" s="180">
        <f t="shared" si="460"/>
        <v>41900</v>
      </c>
      <c r="N666" s="180">
        <f t="shared" si="461"/>
        <v>34900</v>
      </c>
      <c r="O666" s="107">
        <f t="shared" si="468"/>
        <v>1.0244498777506112</v>
      </c>
      <c r="P666" s="132">
        <f t="shared" si="452"/>
        <v>1.1499999999999999</v>
      </c>
      <c r="Q666" s="180">
        <f t="shared" si="462"/>
        <v>50575.268817204298</v>
      </c>
      <c r="R666" s="144">
        <f t="shared" si="469"/>
        <v>50590</v>
      </c>
      <c r="S666" s="179">
        <f>VLOOKUP($B666,'Выгр Торг'!$B:$Q,S$1,0)</f>
        <v>40900</v>
      </c>
      <c r="T666" s="179">
        <f>VLOOKUP($B666,'Выгр Торг'!$B:$Q,T$1,0)</f>
        <v>50590</v>
      </c>
      <c r="U666" s="94">
        <f t="shared" si="453"/>
        <v>0</v>
      </c>
      <c r="V666" s="94">
        <f t="shared" si="454"/>
        <v>0</v>
      </c>
      <c r="W666" s="182">
        <f t="shared" si="470"/>
        <v>47048.7</v>
      </c>
      <c r="X666" s="218">
        <f>IFERROR(VLOOKUP($B666,'Из ГУГЛа'!$B:$G,6,0)*Z666+Y666,VLOOKUP($B666,'Из ГУГЛа'!$B:$G,6,0))</f>
        <v>50790</v>
      </c>
      <c r="Y666" s="220">
        <f t="shared" si="463"/>
        <v>10800</v>
      </c>
      <c r="Z666" s="133">
        <v>1</v>
      </c>
      <c r="AA666" s="133">
        <v>1300</v>
      </c>
      <c r="AB666" s="184">
        <f t="shared" si="471"/>
        <v>0.15033496332518337</v>
      </c>
      <c r="AC666" s="184">
        <f t="shared" si="472"/>
        <v>7.366213821618435E-2</v>
      </c>
      <c r="AD666" s="184">
        <f t="shared" si="473"/>
        <v>0.2418092909535452</v>
      </c>
      <c r="AE666" s="223">
        <v>50790</v>
      </c>
      <c r="AF666" s="98" t="s">
        <v>614</v>
      </c>
      <c r="AH666" s="98" t="s">
        <v>111</v>
      </c>
    </row>
    <row r="667" spans="1:34" ht="31.5" thickTop="1" thickBot="1">
      <c r="A667" s="176" t="str">
        <f>INDEX('Выгр Торг'!$A:$A,MATCH($B667,'Выгр Торг'!$B:$B,0))</f>
        <v>Руль анатомический "Ferrum" Vesta Cross для Лада Веста, XRAY</v>
      </c>
      <c r="B667" s="178">
        <v>341947</v>
      </c>
      <c r="C667" s="179">
        <f>VLOOKUP($B667,'Выгр Торг'!$B:$Q,C$1,0)</f>
        <v>341947</v>
      </c>
      <c r="D667" s="186" t="s">
        <v>111</v>
      </c>
      <c r="E667" s="176" t="str">
        <f>VLOOKUP($B667,'Выгр Торг'!$B:$Q,E$1,0)</f>
        <v>Руль анатомический "Ferrum" Vesta Cross для Лада Веста, XRAY (Светло-серая нить, Чёрный мат)</v>
      </c>
      <c r="F667" s="179" t="str">
        <f>VLOOKUP($B667,'Выгр Торг'!$B:$Q,F$1,0)</f>
        <v>Y</v>
      </c>
      <c r="G667" s="179" t="str">
        <f>VLOOKUP($B667,'Выгр Торг'!$B:$Q,G$1,0)</f>
        <v>1</v>
      </c>
      <c r="H667" s="179">
        <v>322897</v>
      </c>
      <c r="I667" s="156"/>
      <c r="J667" s="160">
        <v>830</v>
      </c>
      <c r="K667" s="161">
        <v>870</v>
      </c>
      <c r="L667" s="180">
        <f t="shared" si="467"/>
        <v>40900</v>
      </c>
      <c r="M667" s="180">
        <f t="shared" si="460"/>
        <v>41900</v>
      </c>
      <c r="N667" s="180">
        <f t="shared" si="461"/>
        <v>34900</v>
      </c>
      <c r="O667" s="107">
        <f t="shared" si="468"/>
        <v>1.0244498777506112</v>
      </c>
      <c r="P667" s="132">
        <f t="shared" si="452"/>
        <v>1.1499999999999999</v>
      </c>
      <c r="Q667" s="180">
        <f t="shared" si="462"/>
        <v>50575.268817204298</v>
      </c>
      <c r="R667" s="144">
        <f t="shared" si="469"/>
        <v>50590</v>
      </c>
      <c r="S667" s="179">
        <f>VLOOKUP($B667,'Выгр Торг'!$B:$Q,S$1,0)</f>
        <v>40900</v>
      </c>
      <c r="T667" s="179">
        <f>VLOOKUP($B667,'Выгр Торг'!$B:$Q,T$1,0)</f>
        <v>50590</v>
      </c>
      <c r="U667" s="94">
        <f t="shared" si="453"/>
        <v>0</v>
      </c>
      <c r="V667" s="94">
        <f t="shared" si="454"/>
        <v>0</v>
      </c>
      <c r="W667" s="182">
        <f t="shared" si="470"/>
        <v>47048.7</v>
      </c>
      <c r="X667" s="218">
        <f>IFERROR(VLOOKUP($B667,'Из ГУГЛа'!$B:$G,6,0)*Z667+Y667,VLOOKUP($B667,'Из ГУГЛа'!$B:$G,6,0))</f>
        <v>50790</v>
      </c>
      <c r="Y667" s="220">
        <f t="shared" si="463"/>
        <v>10800</v>
      </c>
      <c r="Z667" s="133">
        <v>1</v>
      </c>
      <c r="AA667" s="133">
        <v>1300</v>
      </c>
      <c r="AB667" s="184">
        <f t="shared" si="471"/>
        <v>0.15033496332518337</v>
      </c>
      <c r="AC667" s="184">
        <f t="shared" si="472"/>
        <v>7.366213821618435E-2</v>
      </c>
      <c r="AD667" s="184">
        <f t="shared" si="473"/>
        <v>0.2418092909535452</v>
      </c>
      <c r="AE667" s="223">
        <v>50790</v>
      </c>
      <c r="AF667" s="98" t="s">
        <v>614</v>
      </c>
      <c r="AH667" s="98" t="s">
        <v>111</v>
      </c>
    </row>
    <row r="668" spans="1:34" ht="31.5" thickTop="1" thickBot="1">
      <c r="A668" s="176" t="str">
        <f>INDEX('Выгр Торг'!$A:$A,MATCH($B668,'Выгр Торг'!$B:$B,0))</f>
        <v>Руль анатомический "Ferrum" Vesta Cross для Лада Веста, XRAY</v>
      </c>
      <c r="B668" s="178">
        <v>341945</v>
      </c>
      <c r="C668" s="179">
        <f>VLOOKUP($B668,'Выгр Торг'!$B:$Q,C$1,0)</f>
        <v>341945</v>
      </c>
      <c r="D668" s="186" t="s">
        <v>111</v>
      </c>
      <c r="E668" s="176" t="str">
        <f>VLOOKUP($B668,'Выгр Торг'!$B:$Q,E$1,0)</f>
        <v>Руль анатомический "Ferrum" Vesta Cross для Лада Веста, XRAY (Сине-зелёная нить, Чёрный мат)</v>
      </c>
      <c r="F668" s="179" t="str">
        <f>VLOOKUP($B668,'Выгр Торг'!$B:$Q,F$1,0)</f>
        <v>Y</v>
      </c>
      <c r="G668" s="179" t="str">
        <f>VLOOKUP($B668,'Выгр Торг'!$B:$Q,G$1,0)</f>
        <v>1</v>
      </c>
      <c r="H668" s="179">
        <v>322897</v>
      </c>
      <c r="I668" s="156"/>
      <c r="J668" s="160">
        <v>830</v>
      </c>
      <c r="K668" s="161">
        <v>870</v>
      </c>
      <c r="L668" s="180">
        <f t="shared" si="467"/>
        <v>40900</v>
      </c>
      <c r="M668" s="180">
        <f t="shared" si="460"/>
        <v>41900</v>
      </c>
      <c r="N668" s="180">
        <f t="shared" si="461"/>
        <v>34900</v>
      </c>
      <c r="O668" s="107">
        <f t="shared" si="468"/>
        <v>1.0244498777506112</v>
      </c>
      <c r="P668" s="132">
        <f t="shared" si="452"/>
        <v>1.1499999999999999</v>
      </c>
      <c r="Q668" s="180">
        <f t="shared" si="462"/>
        <v>50575.268817204298</v>
      </c>
      <c r="R668" s="144">
        <f t="shared" si="469"/>
        <v>50590</v>
      </c>
      <c r="S668" s="179">
        <f>VLOOKUP($B668,'Выгр Торг'!$B:$Q,S$1,0)</f>
        <v>40900</v>
      </c>
      <c r="T668" s="179">
        <f>VLOOKUP($B668,'Выгр Торг'!$B:$Q,T$1,0)</f>
        <v>50590</v>
      </c>
      <c r="U668" s="94">
        <f t="shared" si="453"/>
        <v>0</v>
      </c>
      <c r="V668" s="94">
        <f t="shared" si="454"/>
        <v>0</v>
      </c>
      <c r="W668" s="182">
        <f t="shared" si="470"/>
        <v>47048.7</v>
      </c>
      <c r="X668" s="218">
        <f>IFERROR(VLOOKUP($B668,'Из ГУГЛа'!$B:$G,6,0)*Z668+Y668,VLOOKUP($B668,'Из ГУГЛа'!$B:$G,6,0))</f>
        <v>50790</v>
      </c>
      <c r="Y668" s="220">
        <f t="shared" si="463"/>
        <v>10800</v>
      </c>
      <c r="Z668" s="133">
        <v>1</v>
      </c>
      <c r="AA668" s="133">
        <v>1300</v>
      </c>
      <c r="AB668" s="184">
        <f t="shared" si="471"/>
        <v>0.15033496332518337</v>
      </c>
      <c r="AC668" s="184">
        <f t="shared" si="472"/>
        <v>7.366213821618435E-2</v>
      </c>
      <c r="AD668" s="184">
        <f t="shared" si="473"/>
        <v>0.2418092909535452</v>
      </c>
      <c r="AE668" s="223">
        <v>50790</v>
      </c>
      <c r="AF668" s="98" t="s">
        <v>614</v>
      </c>
      <c r="AH668" s="98" t="s">
        <v>111</v>
      </c>
    </row>
    <row r="669" spans="1:34" ht="31.5" thickTop="1" thickBot="1">
      <c r="A669" s="176" t="str">
        <f>INDEX('Выгр Торг'!$A:$A,MATCH($B669,'Выгр Торг'!$B:$B,0))</f>
        <v>Руль анатомический "Ferrum" Vesta Cross для Лада Веста, XRAY</v>
      </c>
      <c r="B669" s="178">
        <v>341946</v>
      </c>
      <c r="C669" s="179">
        <f>VLOOKUP($B669,'Выгр Торг'!$B:$Q,C$1,0)</f>
        <v>341946</v>
      </c>
      <c r="D669" s="186" t="s">
        <v>111</v>
      </c>
      <c r="E669" s="176" t="str">
        <f>VLOOKUP($B669,'Выгр Торг'!$B:$Q,E$1,0)</f>
        <v>Руль анатомический "Ferrum" Vesta Cross для Лада Веста, XRAY (Синяя нить, Чёрный мат)</v>
      </c>
      <c r="F669" s="179" t="str">
        <f>VLOOKUP($B669,'Выгр Торг'!$B:$Q,F$1,0)</f>
        <v>Y</v>
      </c>
      <c r="G669" s="179" t="str">
        <f>VLOOKUP($B669,'Выгр Торг'!$B:$Q,G$1,0)</f>
        <v>1</v>
      </c>
      <c r="H669" s="179">
        <v>322897</v>
      </c>
      <c r="I669" s="156"/>
      <c r="J669" s="160">
        <v>830</v>
      </c>
      <c r="K669" s="161">
        <v>870</v>
      </c>
      <c r="L669" s="180">
        <f t="shared" si="467"/>
        <v>40900</v>
      </c>
      <c r="M669" s="180">
        <f t="shared" si="460"/>
        <v>41900</v>
      </c>
      <c r="N669" s="180">
        <f t="shared" si="461"/>
        <v>34900</v>
      </c>
      <c r="O669" s="107">
        <f t="shared" si="468"/>
        <v>1.0244498777506112</v>
      </c>
      <c r="P669" s="132">
        <f t="shared" si="452"/>
        <v>1.1499999999999999</v>
      </c>
      <c r="Q669" s="180">
        <f t="shared" si="462"/>
        <v>50575.268817204298</v>
      </c>
      <c r="R669" s="144">
        <f t="shared" si="469"/>
        <v>50590</v>
      </c>
      <c r="S669" s="179">
        <f>VLOOKUP($B669,'Выгр Торг'!$B:$Q,S$1,0)</f>
        <v>40900</v>
      </c>
      <c r="T669" s="179">
        <f>VLOOKUP($B669,'Выгр Торг'!$B:$Q,T$1,0)</f>
        <v>50590</v>
      </c>
      <c r="U669" s="94">
        <f t="shared" si="453"/>
        <v>0</v>
      </c>
      <c r="V669" s="94">
        <f t="shared" si="454"/>
        <v>0</v>
      </c>
      <c r="W669" s="182">
        <f t="shared" si="470"/>
        <v>47048.7</v>
      </c>
      <c r="X669" s="218">
        <f>IFERROR(VLOOKUP($B669,'Из ГУГЛа'!$B:$G,6,0)*Z669+Y669,VLOOKUP($B669,'Из ГУГЛа'!$B:$G,6,0))</f>
        <v>50790</v>
      </c>
      <c r="Y669" s="220">
        <f t="shared" si="463"/>
        <v>10800</v>
      </c>
      <c r="Z669" s="133">
        <v>1</v>
      </c>
      <c r="AA669" s="133">
        <v>1300</v>
      </c>
      <c r="AB669" s="184">
        <f t="shared" si="471"/>
        <v>0.15033496332518337</v>
      </c>
      <c r="AC669" s="184">
        <f t="shared" si="472"/>
        <v>7.366213821618435E-2</v>
      </c>
      <c r="AD669" s="184">
        <f t="shared" si="473"/>
        <v>0.2418092909535452</v>
      </c>
      <c r="AE669" s="223">
        <v>50790</v>
      </c>
      <c r="AF669" s="98" t="s">
        <v>614</v>
      </c>
      <c r="AH669" s="98" t="s">
        <v>111</v>
      </c>
    </row>
    <row r="670" spans="1:34" ht="31.5" thickTop="1" thickBot="1">
      <c r="A670" s="176" t="str">
        <f>INDEX('Выгр Торг'!$A:$A,MATCH($B670,'Выгр Торг'!$B:$B,0))</f>
        <v>Руль анатомический "Ferrum" Vesta Cross для Лада Веста, XRAY</v>
      </c>
      <c r="B670" s="178">
        <v>341948</v>
      </c>
      <c r="C670" s="179">
        <f>VLOOKUP($B670,'Выгр Торг'!$B:$Q,C$1,0)</f>
        <v>341948</v>
      </c>
      <c r="D670" s="186" t="s">
        <v>111</v>
      </c>
      <c r="E670" s="176" t="str">
        <f>VLOOKUP($B670,'Выгр Торг'!$B:$Q,E$1,0)</f>
        <v>Руль анатомический "Ferrum" Vesta Cross для Лада Веста, XRAY (Тёмно-серая нить, Чёрный мат)</v>
      </c>
      <c r="F670" s="179" t="str">
        <f>VLOOKUP($B670,'Выгр Торг'!$B:$Q,F$1,0)</f>
        <v>Y</v>
      </c>
      <c r="G670" s="179" t="str">
        <f>VLOOKUP($B670,'Выгр Торг'!$B:$Q,G$1,0)</f>
        <v>1</v>
      </c>
      <c r="H670" s="179">
        <v>322897</v>
      </c>
      <c r="I670" s="156"/>
      <c r="J670" s="160">
        <v>830</v>
      </c>
      <c r="K670" s="161">
        <v>870</v>
      </c>
      <c r="L670" s="180">
        <f t="shared" si="467"/>
        <v>40900</v>
      </c>
      <c r="M670" s="180">
        <f t="shared" si="460"/>
        <v>41900</v>
      </c>
      <c r="N670" s="180">
        <f t="shared" si="461"/>
        <v>34900</v>
      </c>
      <c r="O670" s="107">
        <f t="shared" si="468"/>
        <v>1.0244498777506112</v>
      </c>
      <c r="P670" s="132">
        <f t="shared" si="452"/>
        <v>1.1499999999999999</v>
      </c>
      <c r="Q670" s="180">
        <f t="shared" si="462"/>
        <v>50575.268817204298</v>
      </c>
      <c r="R670" s="144">
        <f t="shared" si="469"/>
        <v>50590</v>
      </c>
      <c r="S670" s="179">
        <f>VLOOKUP($B670,'Выгр Торг'!$B:$Q,S$1,0)</f>
        <v>40900</v>
      </c>
      <c r="T670" s="179">
        <f>VLOOKUP($B670,'Выгр Торг'!$B:$Q,T$1,0)</f>
        <v>50590</v>
      </c>
      <c r="U670" s="94">
        <f t="shared" si="453"/>
        <v>0</v>
      </c>
      <c r="V670" s="94">
        <f t="shared" si="454"/>
        <v>0</v>
      </c>
      <c r="W670" s="182">
        <f t="shared" si="470"/>
        <v>47048.7</v>
      </c>
      <c r="X670" s="218">
        <f>IFERROR(VLOOKUP($B670,'Из ГУГЛа'!$B:$G,6,0)*Z670+Y670,VLOOKUP($B670,'Из ГУГЛа'!$B:$G,6,0))</f>
        <v>50790</v>
      </c>
      <c r="Y670" s="220">
        <f t="shared" si="463"/>
        <v>10800</v>
      </c>
      <c r="Z670" s="133">
        <v>1</v>
      </c>
      <c r="AA670" s="133">
        <v>1300</v>
      </c>
      <c r="AB670" s="184">
        <f t="shared" si="471"/>
        <v>0.15033496332518337</v>
      </c>
      <c r="AC670" s="184">
        <f t="shared" si="472"/>
        <v>7.366213821618435E-2</v>
      </c>
      <c r="AD670" s="184">
        <f t="shared" si="473"/>
        <v>0.2418092909535452</v>
      </c>
      <c r="AE670" s="223">
        <v>50790</v>
      </c>
      <c r="AF670" s="98" t="s">
        <v>614</v>
      </c>
      <c r="AH670" s="98" t="s">
        <v>111</v>
      </c>
    </row>
    <row r="671" spans="1:34" ht="31.5" thickTop="1" thickBot="1">
      <c r="A671" s="176" t="str">
        <f>INDEX('Выгр Торг'!$A:$A,MATCH($B671,'Выгр Торг'!$B:$B,0))</f>
        <v>Руль анатомический "Ferrum" Vesta Cross для Лада Веста, XRAY</v>
      </c>
      <c r="B671" s="178">
        <v>341940</v>
      </c>
      <c r="C671" s="179">
        <f>VLOOKUP($B671,'Выгр Торг'!$B:$Q,C$1,0)</f>
        <v>341940</v>
      </c>
      <c r="D671" s="186" t="s">
        <v>111</v>
      </c>
      <c r="E671" s="176" t="str">
        <f>VLOOKUP($B671,'Выгр Торг'!$B:$Q,E$1,0)</f>
        <v>Руль анатомический "Ferrum" Vesta Cross для Лада Веста, XRAY (Фиолетовая нить, Чёрный мат)</v>
      </c>
      <c r="F671" s="179" t="str">
        <f>VLOOKUP($B671,'Выгр Торг'!$B:$Q,F$1,0)</f>
        <v>Y</v>
      </c>
      <c r="G671" s="179" t="str">
        <f>VLOOKUP($B671,'Выгр Торг'!$B:$Q,G$1,0)</f>
        <v>1</v>
      </c>
      <c r="H671" s="179">
        <v>322897</v>
      </c>
      <c r="I671" s="156"/>
      <c r="J671" s="160">
        <v>830</v>
      </c>
      <c r="K671" s="161">
        <v>870</v>
      </c>
      <c r="L671" s="180">
        <f t="shared" si="467"/>
        <v>40900</v>
      </c>
      <c r="M671" s="180">
        <f t="shared" si="460"/>
        <v>41900</v>
      </c>
      <c r="N671" s="180">
        <f t="shared" si="461"/>
        <v>34900</v>
      </c>
      <c r="O671" s="107">
        <f t="shared" si="468"/>
        <v>1.0244498777506112</v>
      </c>
      <c r="P671" s="132">
        <f t="shared" si="452"/>
        <v>1.1499999999999999</v>
      </c>
      <c r="Q671" s="180">
        <f t="shared" si="462"/>
        <v>50575.268817204298</v>
      </c>
      <c r="R671" s="144">
        <f t="shared" si="469"/>
        <v>50590</v>
      </c>
      <c r="S671" s="179">
        <f>VLOOKUP($B671,'Выгр Торг'!$B:$Q,S$1,0)</f>
        <v>40900</v>
      </c>
      <c r="T671" s="179">
        <f>VLOOKUP($B671,'Выгр Торг'!$B:$Q,T$1,0)</f>
        <v>50590</v>
      </c>
      <c r="U671" s="94">
        <f t="shared" si="453"/>
        <v>0</v>
      </c>
      <c r="V671" s="94">
        <f t="shared" si="454"/>
        <v>0</v>
      </c>
      <c r="W671" s="182">
        <f t="shared" si="470"/>
        <v>47048.7</v>
      </c>
      <c r="X671" s="218">
        <f>IFERROR(VLOOKUP($B671,'Из ГУГЛа'!$B:$G,6,0)*Z671+Y671,VLOOKUP($B671,'Из ГУГЛа'!$B:$G,6,0))</f>
        <v>50790</v>
      </c>
      <c r="Y671" s="220">
        <f t="shared" si="463"/>
        <v>10800</v>
      </c>
      <c r="Z671" s="133">
        <v>1</v>
      </c>
      <c r="AA671" s="133">
        <v>1300</v>
      </c>
      <c r="AB671" s="184">
        <f t="shared" si="471"/>
        <v>0.15033496332518337</v>
      </c>
      <c r="AC671" s="184">
        <f t="shared" si="472"/>
        <v>7.366213821618435E-2</v>
      </c>
      <c r="AD671" s="184">
        <f t="shared" si="473"/>
        <v>0.2418092909535452</v>
      </c>
      <c r="AE671" s="223">
        <v>50790</v>
      </c>
      <c r="AF671" s="98" t="s">
        <v>614</v>
      </c>
      <c r="AH671" s="98" t="s">
        <v>111</v>
      </c>
    </row>
    <row r="672" spans="1:34" ht="31.5" thickTop="1" thickBot="1">
      <c r="A672" s="176" t="str">
        <f>INDEX('Выгр Торг'!$A:$A,MATCH($B672,'Выгр Торг'!$B:$B,0))</f>
        <v>Руль анатомический "Ferrum" Vesta Cross для Лада Веста, XRAY</v>
      </c>
      <c r="B672" s="178">
        <v>322898</v>
      </c>
      <c r="C672" s="179">
        <f>VLOOKUP($B672,'Выгр Торг'!$B:$Q,C$1,0)</f>
        <v>322898</v>
      </c>
      <c r="D672" s="186" t="s">
        <v>111</v>
      </c>
      <c r="E672" s="176" t="str">
        <f>VLOOKUP($B672,'Выгр Торг'!$B:$Q,E$1,0)</f>
        <v>Руль анатомический "Ferrum" Vesta Cross для Лада Веста, XRAY (Белая нить, Чёрный глянец)</v>
      </c>
      <c r="F672" s="179" t="str">
        <f>VLOOKUP($B672,'Выгр Торг'!$B:$Q,F$1,0)</f>
        <v>Y</v>
      </c>
      <c r="G672" s="179" t="str">
        <f>VLOOKUP($B672,'Выгр Торг'!$B:$Q,G$1,0)</f>
        <v>1</v>
      </c>
      <c r="H672" s="179">
        <v>322897</v>
      </c>
      <c r="I672" s="156"/>
      <c r="J672" s="160"/>
      <c r="K672" s="161">
        <v>870</v>
      </c>
      <c r="L672" s="180">
        <f t="shared" si="467"/>
        <v>40070</v>
      </c>
      <c r="M672" s="180">
        <f t="shared" si="460"/>
        <v>41070</v>
      </c>
      <c r="N672" s="180">
        <f t="shared" si="461"/>
        <v>34070</v>
      </c>
      <c r="O672" s="107">
        <f t="shared" si="468"/>
        <v>1.0249563264287498</v>
      </c>
      <c r="P672" s="132">
        <f t="shared" si="452"/>
        <v>1.1499999999999999</v>
      </c>
      <c r="Q672" s="180">
        <f t="shared" si="462"/>
        <v>49548.924731182793</v>
      </c>
      <c r="R672" s="144">
        <f t="shared" si="469"/>
        <v>49590</v>
      </c>
      <c r="S672" s="179">
        <f>VLOOKUP($B672,'Выгр Торг'!$B:$Q,S$1,0)</f>
        <v>40070</v>
      </c>
      <c r="T672" s="179">
        <f>VLOOKUP($B672,'Выгр Торг'!$B:$Q,T$1,0)</f>
        <v>49590</v>
      </c>
      <c r="U672" s="94">
        <f t="shared" si="453"/>
        <v>0</v>
      </c>
      <c r="V672" s="94">
        <f t="shared" si="454"/>
        <v>0</v>
      </c>
      <c r="W672" s="182">
        <f t="shared" si="470"/>
        <v>46118.7</v>
      </c>
      <c r="X672" s="218">
        <f>IFERROR(VLOOKUP($B672,'Из ГУГЛа'!$B:$G,6,0)*Z672+Y672,VLOOKUP($B672,'Из ГУГЛа'!$B:$G,6,0))</f>
        <v>49960</v>
      </c>
      <c r="Y672" s="220">
        <f t="shared" si="463"/>
        <v>9970</v>
      </c>
      <c r="Z672" s="133">
        <v>1</v>
      </c>
      <c r="AA672" s="133"/>
      <c r="AB672" s="184">
        <f t="shared" si="471"/>
        <v>0.15095333166957814</v>
      </c>
      <c r="AC672" s="184">
        <f t="shared" si="472"/>
        <v>7.6887510008006463E-2</v>
      </c>
      <c r="AD672" s="184">
        <f t="shared" si="473"/>
        <v>0.24681806838033449</v>
      </c>
      <c r="AE672" s="223">
        <v>49960</v>
      </c>
      <c r="AF672" s="98" t="s">
        <v>614</v>
      </c>
      <c r="AH672" s="98" t="s">
        <v>111</v>
      </c>
    </row>
    <row r="673" spans="1:34" ht="31.5" thickTop="1" thickBot="1">
      <c r="A673" s="125" t="str">
        <f>INDEX('Выгр Торг'!$A:$A,MATCH($B673,'Выгр Торг'!$B:$B,0))</f>
        <v>Руль анатомический "Ferrum" Vesta Cross для Лада Веста, XRAY</v>
      </c>
      <c r="B673" s="126">
        <v>322909</v>
      </c>
      <c r="C673" s="127">
        <f>VLOOKUP($B673,'Выгр Торг'!$B:$Q,C$1,0)</f>
        <v>322909</v>
      </c>
      <c r="D673" s="44" t="s">
        <v>111</v>
      </c>
      <c r="E673" s="125" t="str">
        <f>VLOOKUP($B673,'Выгр Торг'!$B:$Q,E$1,0)</f>
        <v>Руль анатомический "Ferrum" Vesta Cross для Лада Веста, XRAY (Жёлтая нить, Чёрный глянец)</v>
      </c>
      <c r="F673" s="127" t="str">
        <f>VLOOKUP($B673,'Выгр Торг'!$B:$Q,F$1,0)</f>
        <v>Y</v>
      </c>
      <c r="G673" s="127" t="str">
        <f>VLOOKUP($B673,'Выгр Торг'!$B:$Q,G$1,0)</f>
        <v>1</v>
      </c>
      <c r="H673" s="127">
        <v>322897</v>
      </c>
      <c r="I673" s="156"/>
      <c r="J673" s="160"/>
      <c r="K673" s="161">
        <v>870</v>
      </c>
      <c r="L673" s="130">
        <f t="shared" si="464"/>
        <v>40070</v>
      </c>
      <c r="M673" s="130">
        <f t="shared" si="460"/>
        <v>41070</v>
      </c>
      <c r="N673" s="130">
        <f t="shared" si="461"/>
        <v>34070</v>
      </c>
      <c r="O673" s="132">
        <f t="shared" si="465"/>
        <v>1.0249563264287498</v>
      </c>
      <c r="P673" s="132">
        <f t="shared" si="452"/>
        <v>1.1499999999999999</v>
      </c>
      <c r="Q673" s="130">
        <f t="shared" si="462"/>
        <v>49548.924731182793</v>
      </c>
      <c r="R673" s="148">
        <f t="shared" si="466"/>
        <v>49590</v>
      </c>
      <c r="S673" s="127">
        <f>VLOOKUP($B673,'Выгр Торг'!$B:$Q,S$1,0)</f>
        <v>40070</v>
      </c>
      <c r="T673" s="127">
        <f>VLOOKUP($B673,'Выгр Торг'!$B:$Q,T$1,0)</f>
        <v>49590</v>
      </c>
      <c r="U673" s="94">
        <f t="shared" si="453"/>
        <v>0</v>
      </c>
      <c r="V673" s="94">
        <f t="shared" si="454"/>
        <v>0</v>
      </c>
      <c r="W673" s="153">
        <f t="shared" si="455"/>
        <v>46118.7</v>
      </c>
      <c r="X673" s="209">
        <f>IFERROR(VLOOKUP($B673,'Из ГУГЛа'!$B:$G,6,0)*Z673+Y673,VLOOKUP($B673,'Из ГУГЛа'!$B:$G,6,0))</f>
        <v>49960</v>
      </c>
      <c r="Y673" s="220">
        <f t="shared" si="463"/>
        <v>9970</v>
      </c>
      <c r="Z673" s="133">
        <v>1</v>
      </c>
      <c r="AA673" s="134"/>
      <c r="AB673" s="135">
        <f t="shared" si="456"/>
        <v>0.15095333166957814</v>
      </c>
      <c r="AC673" s="135">
        <f t="shared" si="457"/>
        <v>7.6887510008006463E-2</v>
      </c>
      <c r="AD673" s="135">
        <f t="shared" si="458"/>
        <v>0.24681806838033449</v>
      </c>
      <c r="AE673" s="223">
        <v>49960</v>
      </c>
      <c r="AF673" s="98" t="s">
        <v>614</v>
      </c>
      <c r="AH673" s="98" t="s">
        <v>111</v>
      </c>
    </row>
    <row r="674" spans="1:34" ht="31.5" thickTop="1" thickBot="1">
      <c r="A674" s="125" t="str">
        <f>INDEX('Выгр Торг'!$A:$A,MATCH($B674,'Выгр Торг'!$B:$B,0))</f>
        <v>Руль анатомический "Ferrum" Vesta Cross для Лада Веста, XRAY</v>
      </c>
      <c r="B674" s="126">
        <v>322908</v>
      </c>
      <c r="C674" s="127">
        <f>VLOOKUP($B674,'Выгр Торг'!$B:$Q,C$1,0)</f>
        <v>322908</v>
      </c>
      <c r="D674" s="44" t="s">
        <v>111</v>
      </c>
      <c r="E674" s="125" t="str">
        <f>VLOOKUP($B674,'Выгр Торг'!$B:$Q,E$1,0)</f>
        <v>Руль анатомический "Ferrum" Vesta Cross для Лада Веста, XRAY (Зелёная нить, Чёрный глянец)</v>
      </c>
      <c r="F674" s="127" t="str">
        <f>VLOOKUP($B674,'Выгр Торг'!$B:$Q,F$1,0)</f>
        <v>Y</v>
      </c>
      <c r="G674" s="127" t="str">
        <f>VLOOKUP($B674,'Выгр Торг'!$B:$Q,G$1,0)</f>
        <v>1</v>
      </c>
      <c r="H674" s="127">
        <v>322897</v>
      </c>
      <c r="I674" s="156"/>
      <c r="J674" s="160"/>
      <c r="K674" s="161">
        <v>870</v>
      </c>
      <c r="L674" s="130">
        <f t="shared" si="464"/>
        <v>40070</v>
      </c>
      <c r="M674" s="130">
        <f t="shared" si="460"/>
        <v>41070</v>
      </c>
      <c r="N674" s="130">
        <f t="shared" si="461"/>
        <v>34070</v>
      </c>
      <c r="O674" s="132">
        <f t="shared" si="465"/>
        <v>1.0249563264287498</v>
      </c>
      <c r="P674" s="132">
        <f t="shared" si="452"/>
        <v>1.1499999999999999</v>
      </c>
      <c r="Q674" s="130">
        <f t="shared" si="462"/>
        <v>49548.924731182793</v>
      </c>
      <c r="R674" s="148">
        <f t="shared" si="466"/>
        <v>49590</v>
      </c>
      <c r="S674" s="127">
        <f>VLOOKUP($B674,'Выгр Торг'!$B:$Q,S$1,0)</f>
        <v>40070</v>
      </c>
      <c r="T674" s="127">
        <f>VLOOKUP($B674,'Выгр Торг'!$B:$Q,T$1,0)</f>
        <v>49590</v>
      </c>
      <c r="U674" s="94">
        <f t="shared" si="453"/>
        <v>0</v>
      </c>
      <c r="V674" s="94">
        <f t="shared" si="454"/>
        <v>0</v>
      </c>
      <c r="W674" s="153">
        <f t="shared" si="455"/>
        <v>46118.7</v>
      </c>
      <c r="X674" s="209">
        <f>IFERROR(VLOOKUP($B674,'Из ГУГЛа'!$B:$G,6,0)*Z674+Y674,VLOOKUP($B674,'Из ГУГЛа'!$B:$G,6,0))</f>
        <v>49960</v>
      </c>
      <c r="Y674" s="220">
        <f t="shared" si="463"/>
        <v>9970</v>
      </c>
      <c r="Z674" s="133">
        <v>1</v>
      </c>
      <c r="AA674" s="134"/>
      <c r="AB674" s="135">
        <f t="shared" si="456"/>
        <v>0.15095333166957814</v>
      </c>
      <c r="AC674" s="135">
        <f t="shared" si="457"/>
        <v>7.6887510008006463E-2</v>
      </c>
      <c r="AD674" s="135">
        <f t="shared" si="458"/>
        <v>0.24681806838033449</v>
      </c>
      <c r="AE674" s="223">
        <v>49960</v>
      </c>
      <c r="AF674" s="98" t="s">
        <v>614</v>
      </c>
      <c r="AH674" s="98" t="s">
        <v>111</v>
      </c>
    </row>
    <row r="675" spans="1:34" ht="31.5" thickTop="1" thickBot="1">
      <c r="A675" s="125" t="str">
        <f>INDEX('Выгр Торг'!$A:$A,MATCH($B675,'Выгр Торг'!$B:$B,0))</f>
        <v>Руль анатомический "Ferrum" Vesta Cross для Лада Веста, XRAY</v>
      </c>
      <c r="B675" s="126">
        <v>322900</v>
      </c>
      <c r="C675" s="127">
        <f>VLOOKUP($B675,'Выгр Торг'!$B:$Q,C$1,0)</f>
        <v>322900</v>
      </c>
      <c r="D675" s="44" t="s">
        <v>111</v>
      </c>
      <c r="E675" s="125" t="str">
        <f>VLOOKUP($B675,'Выгр Торг'!$B:$Q,E$1,0)</f>
        <v>Руль анатомический "Ferrum" Vesta Cross для Лада Веста, XRAY (Коричневая нить, Чёрный глянец)</v>
      </c>
      <c r="F675" s="127" t="str">
        <f>VLOOKUP($B675,'Выгр Торг'!$B:$Q,F$1,0)</f>
        <v>Y</v>
      </c>
      <c r="G675" s="127" t="str">
        <f>VLOOKUP($B675,'Выгр Торг'!$B:$Q,G$1,0)</f>
        <v>1</v>
      </c>
      <c r="H675" s="127">
        <v>322897</v>
      </c>
      <c r="I675" s="156"/>
      <c r="J675" s="160"/>
      <c r="K675" s="161">
        <v>870</v>
      </c>
      <c r="L675" s="130">
        <f t="shared" si="464"/>
        <v>40070</v>
      </c>
      <c r="M675" s="130">
        <f t="shared" si="460"/>
        <v>41070</v>
      </c>
      <c r="N675" s="130">
        <f t="shared" si="461"/>
        <v>34070</v>
      </c>
      <c r="O675" s="132">
        <f t="shared" si="465"/>
        <v>1.0249563264287498</v>
      </c>
      <c r="P675" s="132">
        <f t="shared" si="452"/>
        <v>1.1499999999999999</v>
      </c>
      <c r="Q675" s="130">
        <f t="shared" si="462"/>
        <v>49548.924731182793</v>
      </c>
      <c r="R675" s="148">
        <f t="shared" si="466"/>
        <v>49590</v>
      </c>
      <c r="S675" s="127">
        <f>VLOOKUP($B675,'Выгр Торг'!$B:$Q,S$1,0)</f>
        <v>40070</v>
      </c>
      <c r="T675" s="127">
        <f>VLOOKUP($B675,'Выгр Торг'!$B:$Q,T$1,0)</f>
        <v>49590</v>
      </c>
      <c r="U675" s="94">
        <f t="shared" si="453"/>
        <v>0</v>
      </c>
      <c r="V675" s="94">
        <f t="shared" si="454"/>
        <v>0</v>
      </c>
      <c r="W675" s="153">
        <f t="shared" si="455"/>
        <v>46118.7</v>
      </c>
      <c r="X675" s="209">
        <f>IFERROR(VLOOKUP($B675,'Из ГУГЛа'!$B:$G,6,0)*Z675+Y675,VLOOKUP($B675,'Из ГУГЛа'!$B:$G,6,0))</f>
        <v>49960</v>
      </c>
      <c r="Y675" s="220">
        <f t="shared" si="463"/>
        <v>9970</v>
      </c>
      <c r="Z675" s="133">
        <v>1</v>
      </c>
      <c r="AA675" s="134"/>
      <c r="AB675" s="135">
        <f t="shared" si="456"/>
        <v>0.15095333166957814</v>
      </c>
      <c r="AC675" s="135">
        <f t="shared" si="457"/>
        <v>7.6887510008006463E-2</v>
      </c>
      <c r="AD675" s="135">
        <f t="shared" si="458"/>
        <v>0.24681806838033449</v>
      </c>
      <c r="AE675" s="223">
        <v>49960</v>
      </c>
      <c r="AF675" s="98" t="s">
        <v>614</v>
      </c>
      <c r="AH675" s="98" t="s">
        <v>111</v>
      </c>
    </row>
    <row r="676" spans="1:34" ht="31.5" thickTop="1" thickBot="1">
      <c r="A676" s="125" t="str">
        <f>INDEX('Выгр Торг'!$A:$A,MATCH($B676,'Выгр Торг'!$B:$B,0))</f>
        <v>Руль анатомический "Ferrum" Vesta Cross для Лада Веста, XRAY</v>
      </c>
      <c r="B676" s="126">
        <v>322901</v>
      </c>
      <c r="C676" s="127">
        <f>VLOOKUP($B676,'Выгр Торг'!$B:$Q,C$1,0)</f>
        <v>322901</v>
      </c>
      <c r="D676" s="44" t="s">
        <v>111</v>
      </c>
      <c r="E676" s="125" t="str">
        <f>VLOOKUP($B676,'Выгр Торг'!$B:$Q,E$1,0)</f>
        <v>Руль анатомический "Ferrum" Vesta Cross для Лада Веста, XRAY (Красная нить, Чёрный глянец)</v>
      </c>
      <c r="F676" s="127" t="str">
        <f>VLOOKUP($B676,'Выгр Торг'!$B:$Q,F$1,0)</f>
        <v>Y</v>
      </c>
      <c r="G676" s="127" t="str">
        <f>VLOOKUP($B676,'Выгр Торг'!$B:$Q,G$1,0)</f>
        <v>1</v>
      </c>
      <c r="H676" s="127">
        <v>322897</v>
      </c>
      <c r="I676" s="156"/>
      <c r="J676" s="160"/>
      <c r="K676" s="161">
        <v>870</v>
      </c>
      <c r="L676" s="130">
        <f t="shared" si="464"/>
        <v>40070</v>
      </c>
      <c r="M676" s="130">
        <f t="shared" si="460"/>
        <v>41070</v>
      </c>
      <c r="N676" s="130">
        <f t="shared" si="461"/>
        <v>34070</v>
      </c>
      <c r="O676" s="132">
        <f t="shared" si="465"/>
        <v>1.0249563264287498</v>
      </c>
      <c r="P676" s="132">
        <f t="shared" si="452"/>
        <v>1.1499999999999999</v>
      </c>
      <c r="Q676" s="130">
        <f t="shared" si="462"/>
        <v>49548.924731182793</v>
      </c>
      <c r="R676" s="148">
        <f t="shared" si="466"/>
        <v>49590</v>
      </c>
      <c r="S676" s="127">
        <f>VLOOKUP($B676,'Выгр Торг'!$B:$Q,S$1,0)</f>
        <v>40070</v>
      </c>
      <c r="T676" s="127">
        <f>VLOOKUP($B676,'Выгр Торг'!$B:$Q,T$1,0)</f>
        <v>49590</v>
      </c>
      <c r="U676" s="94">
        <f t="shared" si="453"/>
        <v>0</v>
      </c>
      <c r="V676" s="94">
        <f t="shared" si="454"/>
        <v>0</v>
      </c>
      <c r="W676" s="153">
        <f t="shared" si="455"/>
        <v>46118.7</v>
      </c>
      <c r="X676" s="209">
        <f>IFERROR(VLOOKUP($B676,'Из ГУГЛа'!$B:$G,6,0)*Z676+Y676,VLOOKUP($B676,'Из ГУГЛа'!$B:$G,6,0))</f>
        <v>49960</v>
      </c>
      <c r="Y676" s="220">
        <f t="shared" si="463"/>
        <v>9970</v>
      </c>
      <c r="Z676" s="133">
        <v>1</v>
      </c>
      <c r="AA676" s="134"/>
      <c r="AB676" s="135">
        <f t="shared" si="456"/>
        <v>0.15095333166957814</v>
      </c>
      <c r="AC676" s="135">
        <f t="shared" si="457"/>
        <v>7.6887510008006463E-2</v>
      </c>
      <c r="AD676" s="135">
        <f t="shared" si="458"/>
        <v>0.24681806838033449</v>
      </c>
      <c r="AE676" s="223">
        <v>49960</v>
      </c>
      <c r="AF676" s="98" t="s">
        <v>614</v>
      </c>
      <c r="AH676" s="98" t="s">
        <v>111</v>
      </c>
    </row>
    <row r="677" spans="1:34" ht="31.5" thickTop="1" thickBot="1">
      <c r="A677" s="125" t="str">
        <f>INDEX('Выгр Торг'!$A:$A,MATCH($B677,'Выгр Торг'!$B:$B,0))</f>
        <v>Руль анатомический "Ferrum" Vesta Cross для Лада Веста, XRAY</v>
      </c>
      <c r="B677" s="126">
        <v>322902</v>
      </c>
      <c r="C677" s="127">
        <f>VLOOKUP($B677,'Выгр Торг'!$B:$Q,C$1,0)</f>
        <v>322902</v>
      </c>
      <c r="D677" s="44" t="s">
        <v>111</v>
      </c>
      <c r="E677" s="125" t="str">
        <f>VLOOKUP($B677,'Выгр Торг'!$B:$Q,E$1,0)</f>
        <v>Руль анатомический "Ferrum" Vesta Cross для Лада Веста, XRAY (Оранжевая нить, Чёрный глянец)</v>
      </c>
      <c r="F677" s="127" t="str">
        <f>VLOOKUP($B677,'Выгр Торг'!$B:$Q,F$1,0)</f>
        <v>Y</v>
      </c>
      <c r="G677" s="127" t="str">
        <f>VLOOKUP($B677,'Выгр Торг'!$B:$Q,G$1,0)</f>
        <v>1</v>
      </c>
      <c r="H677" s="127">
        <v>322897</v>
      </c>
      <c r="I677" s="156"/>
      <c r="J677" s="160"/>
      <c r="K677" s="161">
        <v>870</v>
      </c>
      <c r="L677" s="130">
        <f t="shared" si="464"/>
        <v>40070</v>
      </c>
      <c r="M677" s="130">
        <f t="shared" si="460"/>
        <v>41070</v>
      </c>
      <c r="N677" s="130">
        <f t="shared" si="461"/>
        <v>34070</v>
      </c>
      <c r="O677" s="132">
        <f t="shared" si="465"/>
        <v>1.0249563264287498</v>
      </c>
      <c r="P677" s="132">
        <f t="shared" si="452"/>
        <v>1.1499999999999999</v>
      </c>
      <c r="Q677" s="130">
        <f t="shared" si="462"/>
        <v>49548.924731182793</v>
      </c>
      <c r="R677" s="148">
        <f t="shared" si="466"/>
        <v>49590</v>
      </c>
      <c r="S677" s="127">
        <f>VLOOKUP($B677,'Выгр Торг'!$B:$Q,S$1,0)</f>
        <v>40070</v>
      </c>
      <c r="T677" s="127">
        <f>VLOOKUP($B677,'Выгр Торг'!$B:$Q,T$1,0)</f>
        <v>49590</v>
      </c>
      <c r="U677" s="94">
        <f t="shared" si="453"/>
        <v>0</v>
      </c>
      <c r="V677" s="94">
        <f t="shared" si="454"/>
        <v>0</v>
      </c>
      <c r="W677" s="153">
        <f t="shared" si="455"/>
        <v>46118.7</v>
      </c>
      <c r="X677" s="209">
        <f>IFERROR(VLOOKUP($B677,'Из ГУГЛа'!$B:$G,6,0)*Z677+Y677,VLOOKUP($B677,'Из ГУГЛа'!$B:$G,6,0))</f>
        <v>49960</v>
      </c>
      <c r="Y677" s="220">
        <f t="shared" si="463"/>
        <v>9970</v>
      </c>
      <c r="Z677" s="133">
        <v>1</v>
      </c>
      <c r="AA677" s="134"/>
      <c r="AB677" s="135">
        <f t="shared" si="456"/>
        <v>0.15095333166957814</v>
      </c>
      <c r="AC677" s="135">
        <f t="shared" si="457"/>
        <v>7.6887510008006463E-2</v>
      </c>
      <c r="AD677" s="135">
        <f t="shared" si="458"/>
        <v>0.24681806838033449</v>
      </c>
      <c r="AE677" s="223">
        <v>49960</v>
      </c>
      <c r="AF677" s="98" t="s">
        <v>614</v>
      </c>
      <c r="AH677" s="98" t="s">
        <v>111</v>
      </c>
    </row>
    <row r="678" spans="1:34" ht="31.5" thickTop="1" thickBot="1">
      <c r="A678" s="125" t="str">
        <f>INDEX('Выгр Торг'!$A:$A,MATCH($B678,'Выгр Торг'!$B:$B,0))</f>
        <v>Руль анатомический "Ferrum" Vesta Cross для Лада Веста, XRAY</v>
      </c>
      <c r="B678" s="126">
        <v>322903</v>
      </c>
      <c r="C678" s="127">
        <f>VLOOKUP($B678,'Выгр Торг'!$B:$Q,C$1,0)</f>
        <v>322903</v>
      </c>
      <c r="D678" s="44" t="s">
        <v>111</v>
      </c>
      <c r="E678" s="125" t="str">
        <f>VLOOKUP($B678,'Выгр Торг'!$B:$Q,E$1,0)</f>
        <v>Руль анатомический "Ferrum" Vesta Cross для Лада Веста, XRAY (Салатовая нить, Чёрный глянец)</v>
      </c>
      <c r="F678" s="127" t="str">
        <f>VLOOKUP($B678,'Выгр Торг'!$B:$Q,F$1,0)</f>
        <v>Y</v>
      </c>
      <c r="G678" s="127" t="str">
        <f>VLOOKUP($B678,'Выгр Торг'!$B:$Q,G$1,0)</f>
        <v>1</v>
      </c>
      <c r="H678" s="127">
        <v>322897</v>
      </c>
      <c r="I678" s="156"/>
      <c r="J678" s="160"/>
      <c r="K678" s="161">
        <v>870</v>
      </c>
      <c r="L678" s="130">
        <f t="shared" si="464"/>
        <v>40070</v>
      </c>
      <c r="M678" s="130">
        <f t="shared" si="460"/>
        <v>41070</v>
      </c>
      <c r="N678" s="130">
        <f t="shared" si="461"/>
        <v>34070</v>
      </c>
      <c r="O678" s="132">
        <f t="shared" si="465"/>
        <v>1.0249563264287498</v>
      </c>
      <c r="P678" s="132">
        <f t="shared" si="452"/>
        <v>1.1499999999999999</v>
      </c>
      <c r="Q678" s="130">
        <f t="shared" si="462"/>
        <v>49548.924731182793</v>
      </c>
      <c r="R678" s="148">
        <f t="shared" si="466"/>
        <v>49590</v>
      </c>
      <c r="S678" s="127">
        <f>VLOOKUP($B678,'Выгр Торг'!$B:$Q,S$1,0)</f>
        <v>40070</v>
      </c>
      <c r="T678" s="127">
        <f>VLOOKUP($B678,'Выгр Торг'!$B:$Q,T$1,0)</f>
        <v>49590</v>
      </c>
      <c r="U678" s="94">
        <f t="shared" si="453"/>
        <v>0</v>
      </c>
      <c r="V678" s="94">
        <f t="shared" si="454"/>
        <v>0</v>
      </c>
      <c r="W678" s="153">
        <f t="shared" si="455"/>
        <v>46118.7</v>
      </c>
      <c r="X678" s="209">
        <f>IFERROR(VLOOKUP($B678,'Из ГУГЛа'!$B:$G,6,0)*Z678+Y678,VLOOKUP($B678,'Из ГУГЛа'!$B:$G,6,0))</f>
        <v>49960</v>
      </c>
      <c r="Y678" s="220">
        <f t="shared" si="463"/>
        <v>9970</v>
      </c>
      <c r="Z678" s="133">
        <v>1</v>
      </c>
      <c r="AA678" s="134"/>
      <c r="AB678" s="135">
        <f t="shared" si="456"/>
        <v>0.15095333166957814</v>
      </c>
      <c r="AC678" s="135">
        <f t="shared" si="457"/>
        <v>7.6887510008006463E-2</v>
      </c>
      <c r="AD678" s="135">
        <f t="shared" si="458"/>
        <v>0.24681806838033449</v>
      </c>
      <c r="AE678" s="223">
        <v>49960</v>
      </c>
      <c r="AF678" s="98" t="s">
        <v>614</v>
      </c>
      <c r="AH678" s="98" t="s">
        <v>111</v>
      </c>
    </row>
    <row r="679" spans="1:34" ht="31.5" thickTop="1" thickBot="1">
      <c r="A679" s="125" t="str">
        <f>INDEX('Выгр Торг'!$A:$A,MATCH($B679,'Выгр Торг'!$B:$B,0))</f>
        <v>Руль анатомический "Ferrum" Vesta Cross для Лада Веста, XRAY</v>
      </c>
      <c r="B679" s="126">
        <v>322906</v>
      </c>
      <c r="C679" s="127">
        <f>VLOOKUP($B679,'Выгр Торг'!$B:$Q,C$1,0)</f>
        <v>322906</v>
      </c>
      <c r="D679" s="44" t="s">
        <v>111</v>
      </c>
      <c r="E679" s="125" t="str">
        <f>VLOOKUP($B679,'Выгр Торг'!$B:$Q,E$1,0)</f>
        <v>Руль анатомический "Ferrum" Vesta Cross для Лада Веста, XRAY (Светло-серая нить, Чёрный глянец)</v>
      </c>
      <c r="F679" s="127" t="str">
        <f>VLOOKUP($B679,'Выгр Торг'!$B:$Q,F$1,0)</f>
        <v>Y</v>
      </c>
      <c r="G679" s="127" t="str">
        <f>VLOOKUP($B679,'Выгр Торг'!$B:$Q,G$1,0)</f>
        <v>1</v>
      </c>
      <c r="H679" s="127">
        <v>322897</v>
      </c>
      <c r="I679" s="156"/>
      <c r="J679" s="160"/>
      <c r="K679" s="161">
        <v>870</v>
      </c>
      <c r="L679" s="130">
        <f t="shared" si="464"/>
        <v>40070</v>
      </c>
      <c r="M679" s="130">
        <f t="shared" si="460"/>
        <v>41070</v>
      </c>
      <c r="N679" s="130">
        <f t="shared" si="461"/>
        <v>34070</v>
      </c>
      <c r="O679" s="132">
        <f t="shared" si="465"/>
        <v>1.0249563264287498</v>
      </c>
      <c r="P679" s="132">
        <f t="shared" si="452"/>
        <v>1.1499999999999999</v>
      </c>
      <c r="Q679" s="130">
        <f t="shared" si="462"/>
        <v>49548.924731182793</v>
      </c>
      <c r="R679" s="148">
        <f t="shared" si="466"/>
        <v>49590</v>
      </c>
      <c r="S679" s="127">
        <f>VLOOKUP($B679,'Выгр Торг'!$B:$Q,S$1,0)</f>
        <v>40070</v>
      </c>
      <c r="T679" s="127">
        <f>VLOOKUP($B679,'Выгр Торг'!$B:$Q,T$1,0)</f>
        <v>49590</v>
      </c>
      <c r="U679" s="94">
        <f t="shared" si="453"/>
        <v>0</v>
      </c>
      <c r="V679" s="94">
        <f t="shared" si="454"/>
        <v>0</v>
      </c>
      <c r="W679" s="153">
        <f t="shared" si="455"/>
        <v>46118.7</v>
      </c>
      <c r="X679" s="209">
        <f>IFERROR(VLOOKUP($B679,'Из ГУГЛа'!$B:$G,6,0)*Z679+Y679,VLOOKUP($B679,'Из ГУГЛа'!$B:$G,6,0))</f>
        <v>49960</v>
      </c>
      <c r="Y679" s="220">
        <f t="shared" si="463"/>
        <v>9970</v>
      </c>
      <c r="Z679" s="133">
        <v>1</v>
      </c>
      <c r="AA679" s="134"/>
      <c r="AB679" s="135">
        <f t="shared" si="456"/>
        <v>0.15095333166957814</v>
      </c>
      <c r="AC679" s="135">
        <f t="shared" si="457"/>
        <v>7.6887510008006463E-2</v>
      </c>
      <c r="AD679" s="135">
        <f t="shared" si="458"/>
        <v>0.24681806838033449</v>
      </c>
      <c r="AE679" s="223">
        <v>49960</v>
      </c>
      <c r="AF679" s="98" t="s">
        <v>614</v>
      </c>
      <c r="AH679" s="98" t="s">
        <v>111</v>
      </c>
    </row>
    <row r="680" spans="1:34" ht="31.5" thickTop="1" thickBot="1">
      <c r="A680" s="125" t="str">
        <f>INDEX('Выгр Торг'!$A:$A,MATCH($B680,'Выгр Торг'!$B:$B,0))</f>
        <v>Руль анатомический "Ferrum" Vesta Cross для Лада Веста, XRAY</v>
      </c>
      <c r="B680" s="126">
        <v>322904</v>
      </c>
      <c r="C680" s="127">
        <f>VLOOKUP($B680,'Выгр Торг'!$B:$Q,C$1,0)</f>
        <v>322904</v>
      </c>
      <c r="D680" s="44" t="s">
        <v>111</v>
      </c>
      <c r="E680" s="125" t="str">
        <f>VLOOKUP($B680,'Выгр Торг'!$B:$Q,E$1,0)</f>
        <v>Руль анатомический "Ferrum" Vesta Cross для Лада Веста, XRAY (Сине-зелёная нить, Чёрный глянец)</v>
      </c>
      <c r="F680" s="127" t="str">
        <f>VLOOKUP($B680,'Выгр Торг'!$B:$Q,F$1,0)</f>
        <v>Y</v>
      </c>
      <c r="G680" s="127" t="str">
        <f>VLOOKUP($B680,'Выгр Торг'!$B:$Q,G$1,0)</f>
        <v>1</v>
      </c>
      <c r="H680" s="127">
        <v>322897</v>
      </c>
      <c r="I680" s="156"/>
      <c r="J680" s="160"/>
      <c r="K680" s="161">
        <v>870</v>
      </c>
      <c r="L680" s="130">
        <f t="shared" si="464"/>
        <v>40070</v>
      </c>
      <c r="M680" s="130">
        <f t="shared" si="460"/>
        <v>41070</v>
      </c>
      <c r="N680" s="130">
        <f t="shared" si="461"/>
        <v>34070</v>
      </c>
      <c r="O680" s="132">
        <f t="shared" si="465"/>
        <v>1.0249563264287498</v>
      </c>
      <c r="P680" s="132">
        <f t="shared" si="452"/>
        <v>1.1499999999999999</v>
      </c>
      <c r="Q680" s="130">
        <f t="shared" si="462"/>
        <v>49548.924731182793</v>
      </c>
      <c r="R680" s="148">
        <f t="shared" si="466"/>
        <v>49590</v>
      </c>
      <c r="S680" s="127">
        <f>VLOOKUP($B680,'Выгр Торг'!$B:$Q,S$1,0)</f>
        <v>40070</v>
      </c>
      <c r="T680" s="127">
        <f>VLOOKUP($B680,'Выгр Торг'!$B:$Q,T$1,0)</f>
        <v>49590</v>
      </c>
      <c r="U680" s="94">
        <f t="shared" si="453"/>
        <v>0</v>
      </c>
      <c r="V680" s="94">
        <f t="shared" si="454"/>
        <v>0</v>
      </c>
      <c r="W680" s="153">
        <f t="shared" si="455"/>
        <v>46118.7</v>
      </c>
      <c r="X680" s="209">
        <f>IFERROR(VLOOKUP($B680,'Из ГУГЛа'!$B:$G,6,0)*Z680+Y680,VLOOKUP($B680,'Из ГУГЛа'!$B:$G,6,0))</f>
        <v>49960</v>
      </c>
      <c r="Y680" s="220">
        <f t="shared" si="463"/>
        <v>9970</v>
      </c>
      <c r="Z680" s="133">
        <v>1</v>
      </c>
      <c r="AA680" s="134"/>
      <c r="AB680" s="135">
        <f t="shared" si="456"/>
        <v>0.15095333166957814</v>
      </c>
      <c r="AC680" s="135">
        <f t="shared" si="457"/>
        <v>7.6887510008006463E-2</v>
      </c>
      <c r="AD680" s="135">
        <f t="shared" si="458"/>
        <v>0.24681806838033449</v>
      </c>
      <c r="AE680" s="223">
        <v>49960</v>
      </c>
      <c r="AF680" s="98" t="s">
        <v>614</v>
      </c>
      <c r="AH680" s="98" t="s">
        <v>111</v>
      </c>
    </row>
    <row r="681" spans="1:34" ht="31.5" thickTop="1" thickBot="1">
      <c r="A681" s="125" t="str">
        <f>INDEX('Выгр Торг'!$A:$A,MATCH($B681,'Выгр Торг'!$B:$B,0))</f>
        <v>Руль анатомический "Ferrum" Vesta Cross для Лада Веста, XRAY</v>
      </c>
      <c r="B681" s="126">
        <v>322905</v>
      </c>
      <c r="C681" s="127">
        <f>VLOOKUP($B681,'Выгр Торг'!$B:$Q,C$1,0)</f>
        <v>322905</v>
      </c>
      <c r="D681" s="44" t="s">
        <v>111</v>
      </c>
      <c r="E681" s="125" t="str">
        <f>VLOOKUP($B681,'Выгр Торг'!$B:$Q,E$1,0)</f>
        <v>Руль анатомический "Ferrum" Vesta Cross для Лада Веста, XRAY (Синяя нить, Чёрный глянец)</v>
      </c>
      <c r="F681" s="127" t="str">
        <f>VLOOKUP($B681,'Выгр Торг'!$B:$Q,F$1,0)</f>
        <v>Y</v>
      </c>
      <c r="G681" s="127" t="str">
        <f>VLOOKUP($B681,'Выгр Торг'!$B:$Q,G$1,0)</f>
        <v>1</v>
      </c>
      <c r="H681" s="127">
        <v>322897</v>
      </c>
      <c r="I681" s="156"/>
      <c r="J681" s="160"/>
      <c r="K681" s="161">
        <v>870</v>
      </c>
      <c r="L681" s="130">
        <f t="shared" si="464"/>
        <v>40070</v>
      </c>
      <c r="M681" s="130">
        <f t="shared" si="460"/>
        <v>41070</v>
      </c>
      <c r="N681" s="130">
        <f t="shared" si="461"/>
        <v>34070</v>
      </c>
      <c r="O681" s="132">
        <f t="shared" si="465"/>
        <v>1.0249563264287498</v>
      </c>
      <c r="P681" s="132">
        <f t="shared" si="452"/>
        <v>1.1499999999999999</v>
      </c>
      <c r="Q681" s="130">
        <f t="shared" si="462"/>
        <v>49548.924731182793</v>
      </c>
      <c r="R681" s="148">
        <f t="shared" si="466"/>
        <v>49590</v>
      </c>
      <c r="S681" s="127">
        <f>VLOOKUP($B681,'Выгр Торг'!$B:$Q,S$1,0)</f>
        <v>40070</v>
      </c>
      <c r="T681" s="127">
        <f>VLOOKUP($B681,'Выгр Торг'!$B:$Q,T$1,0)</f>
        <v>49590</v>
      </c>
      <c r="U681" s="94">
        <f t="shared" si="453"/>
        <v>0</v>
      </c>
      <c r="V681" s="94">
        <f t="shared" si="454"/>
        <v>0</v>
      </c>
      <c r="W681" s="153">
        <f t="shared" si="455"/>
        <v>46118.7</v>
      </c>
      <c r="X681" s="209">
        <f>IFERROR(VLOOKUP($B681,'Из ГУГЛа'!$B:$G,6,0)*Z681+Y681,VLOOKUP($B681,'Из ГУГЛа'!$B:$G,6,0))</f>
        <v>49960</v>
      </c>
      <c r="Y681" s="220">
        <f t="shared" si="463"/>
        <v>9970</v>
      </c>
      <c r="Z681" s="133">
        <v>1</v>
      </c>
      <c r="AA681" s="134"/>
      <c r="AB681" s="135">
        <f t="shared" si="456"/>
        <v>0.15095333166957814</v>
      </c>
      <c r="AC681" s="135">
        <f t="shared" si="457"/>
        <v>7.6887510008006463E-2</v>
      </c>
      <c r="AD681" s="135">
        <f t="shared" si="458"/>
        <v>0.24681806838033449</v>
      </c>
      <c r="AE681" s="223">
        <v>49960</v>
      </c>
      <c r="AF681" s="98" t="s">
        <v>614</v>
      </c>
      <c r="AH681" s="98" t="s">
        <v>111</v>
      </c>
    </row>
    <row r="682" spans="1:34" ht="31.5" thickTop="1" thickBot="1">
      <c r="A682" s="125" t="str">
        <f>INDEX('Выгр Торг'!$A:$A,MATCH($B682,'Выгр Торг'!$B:$B,0))</f>
        <v>Руль анатомический "Ferrum" Vesta Cross для Лада Веста, XRAY</v>
      </c>
      <c r="B682" s="126">
        <v>322907</v>
      </c>
      <c r="C682" s="127">
        <f>VLOOKUP($B682,'Выгр Торг'!$B:$Q,C$1,0)</f>
        <v>322907</v>
      </c>
      <c r="D682" s="44" t="s">
        <v>111</v>
      </c>
      <c r="E682" s="125" t="str">
        <f>VLOOKUP($B682,'Выгр Торг'!$B:$Q,E$1,0)</f>
        <v>Руль анатомический "Ferrum" Vesta Cross для Лада Веста, XRAY (Тёмно-серая нить, Чёрный глянец)</v>
      </c>
      <c r="F682" s="127" t="str">
        <f>VLOOKUP($B682,'Выгр Торг'!$B:$Q,F$1,0)</f>
        <v>Y</v>
      </c>
      <c r="G682" s="127" t="str">
        <f>VLOOKUP($B682,'Выгр Торг'!$B:$Q,G$1,0)</f>
        <v>1</v>
      </c>
      <c r="H682" s="127">
        <v>322897</v>
      </c>
      <c r="I682" s="156"/>
      <c r="J682" s="160"/>
      <c r="K682" s="161">
        <v>870</v>
      </c>
      <c r="L682" s="130">
        <f t="shared" si="464"/>
        <v>40070</v>
      </c>
      <c r="M682" s="130">
        <f t="shared" si="460"/>
        <v>41070</v>
      </c>
      <c r="N682" s="130">
        <f t="shared" si="461"/>
        <v>34070</v>
      </c>
      <c r="O682" s="132">
        <f t="shared" si="465"/>
        <v>1.0249563264287498</v>
      </c>
      <c r="P682" s="132">
        <f t="shared" si="452"/>
        <v>1.1499999999999999</v>
      </c>
      <c r="Q682" s="130">
        <f t="shared" si="462"/>
        <v>49548.924731182793</v>
      </c>
      <c r="R682" s="148">
        <f t="shared" si="466"/>
        <v>49590</v>
      </c>
      <c r="S682" s="127">
        <f>VLOOKUP($B682,'Выгр Торг'!$B:$Q,S$1,0)</f>
        <v>40070</v>
      </c>
      <c r="T682" s="127">
        <f>VLOOKUP($B682,'Выгр Торг'!$B:$Q,T$1,0)</f>
        <v>49590</v>
      </c>
      <c r="U682" s="94">
        <f t="shared" si="453"/>
        <v>0</v>
      </c>
      <c r="V682" s="94">
        <f t="shared" si="454"/>
        <v>0</v>
      </c>
      <c r="W682" s="153">
        <f t="shared" si="455"/>
        <v>46118.7</v>
      </c>
      <c r="X682" s="209">
        <f>IFERROR(VLOOKUP($B682,'Из ГУГЛа'!$B:$G,6,0)*Z682+Y682,VLOOKUP($B682,'Из ГУГЛа'!$B:$G,6,0))</f>
        <v>49960</v>
      </c>
      <c r="Y682" s="220">
        <f t="shared" si="463"/>
        <v>9970</v>
      </c>
      <c r="Z682" s="133">
        <v>1</v>
      </c>
      <c r="AA682" s="134"/>
      <c r="AB682" s="135">
        <f t="shared" si="456"/>
        <v>0.15095333166957814</v>
      </c>
      <c r="AC682" s="135">
        <f t="shared" si="457"/>
        <v>7.6887510008006463E-2</v>
      </c>
      <c r="AD682" s="135">
        <f t="shared" si="458"/>
        <v>0.24681806838033449</v>
      </c>
      <c r="AE682" s="223">
        <v>49960</v>
      </c>
      <c r="AF682" s="98" t="s">
        <v>614</v>
      </c>
      <c r="AH682" s="98" t="s">
        <v>111</v>
      </c>
    </row>
    <row r="683" spans="1:34" ht="31.5" thickTop="1" thickBot="1">
      <c r="A683" s="125" t="str">
        <f>INDEX('Выгр Торг'!$A:$A,MATCH($B683,'Выгр Торг'!$B:$B,0))</f>
        <v>Руль анатомический "Ferrum" Vesta Cross для Лада Веста, XRAY</v>
      </c>
      <c r="B683" s="126">
        <v>322899</v>
      </c>
      <c r="C683" s="127">
        <f>VLOOKUP($B683,'Выгр Торг'!$B:$Q,C$1,0)</f>
        <v>322899</v>
      </c>
      <c r="D683" s="44" t="s">
        <v>111</v>
      </c>
      <c r="E683" s="125" t="str">
        <f>VLOOKUP($B683,'Выгр Торг'!$B:$Q,E$1,0)</f>
        <v>Руль анатомический "Ferrum" Vesta Cross для Лада Веста, XRAY (Фиолетовая нить, Чёрный глянец)</v>
      </c>
      <c r="F683" s="127" t="str">
        <f>VLOOKUP($B683,'Выгр Торг'!$B:$Q,F$1,0)</f>
        <v>Y</v>
      </c>
      <c r="G683" s="127" t="str">
        <f>VLOOKUP($B683,'Выгр Торг'!$B:$Q,G$1,0)</f>
        <v>1</v>
      </c>
      <c r="H683" s="127">
        <v>322897</v>
      </c>
      <c r="I683" s="156"/>
      <c r="J683" s="160"/>
      <c r="K683" s="161">
        <v>870</v>
      </c>
      <c r="L683" s="130">
        <f t="shared" si="464"/>
        <v>40070</v>
      </c>
      <c r="M683" s="130">
        <f t="shared" si="460"/>
        <v>41070</v>
      </c>
      <c r="N683" s="130">
        <f t="shared" si="461"/>
        <v>34070</v>
      </c>
      <c r="O683" s="132">
        <f t="shared" si="465"/>
        <v>1.0249563264287498</v>
      </c>
      <c r="P683" s="132">
        <f t="shared" si="452"/>
        <v>1.1499999999999999</v>
      </c>
      <c r="Q683" s="130">
        <f t="shared" si="462"/>
        <v>49548.924731182793</v>
      </c>
      <c r="R683" s="148">
        <f t="shared" si="466"/>
        <v>49590</v>
      </c>
      <c r="S683" s="127">
        <f>VLOOKUP($B683,'Выгр Торг'!$B:$Q,S$1,0)</f>
        <v>40070</v>
      </c>
      <c r="T683" s="127">
        <f>VLOOKUP($B683,'Выгр Торг'!$B:$Q,T$1,0)</f>
        <v>49590</v>
      </c>
      <c r="U683" s="94">
        <f t="shared" si="453"/>
        <v>0</v>
      </c>
      <c r="V683" s="94">
        <f t="shared" si="454"/>
        <v>0</v>
      </c>
      <c r="W683" s="153">
        <f t="shared" si="455"/>
        <v>46118.7</v>
      </c>
      <c r="X683" s="209">
        <f>IFERROR(VLOOKUP($B683,'Из ГУГЛа'!$B:$G,6,0)*Z683+Y683,VLOOKUP($B683,'Из ГУГЛа'!$B:$G,6,0))</f>
        <v>49960</v>
      </c>
      <c r="Y683" s="220">
        <f t="shared" si="463"/>
        <v>9970</v>
      </c>
      <c r="Z683" s="133">
        <v>1</v>
      </c>
      <c r="AA683" s="134"/>
      <c r="AB683" s="135">
        <f t="shared" si="456"/>
        <v>0.15095333166957814</v>
      </c>
      <c r="AC683" s="135">
        <f t="shared" si="457"/>
        <v>7.6887510008006463E-2</v>
      </c>
      <c r="AD683" s="135">
        <f t="shared" si="458"/>
        <v>0.24681806838033449</v>
      </c>
      <c r="AE683" s="223">
        <v>49960</v>
      </c>
      <c r="AF683" s="98" t="s">
        <v>614</v>
      </c>
      <c r="AH683" s="98" t="s">
        <v>111</v>
      </c>
    </row>
    <row r="684" spans="1:34" ht="46.5" thickTop="1" thickBot="1">
      <c r="A684" s="125" t="str">
        <f>INDEX('Выгр Торг'!$A:$A,MATCH($B684,'Выгр Торг'!$B:$B,0))</f>
        <v>Ручки "Ferrum Group" регулировки блока отопителя для Лада Приора (без кондиционера)</v>
      </c>
      <c r="B684" s="126">
        <v>322867</v>
      </c>
      <c r="C684" s="127">
        <f>VLOOKUP($B684,'Выгр Торг'!$B:$Q,C$1,0)</f>
        <v>322867</v>
      </c>
      <c r="D684" s="44" t="s">
        <v>214</v>
      </c>
      <c r="E684" s="125" t="str">
        <f>VLOOKUP($B684,'Выгр Торг'!$B:$Q,E$1,0)</f>
        <v>Ручки отопителя "Ferrum Group" для Лада Приора (без кондиционера) (Серебро)</v>
      </c>
      <c r="F684" s="127" t="str">
        <f>VLOOKUP($B684,'Выгр Торг'!$B:$Q,F$1,0)</f>
        <v>Y</v>
      </c>
      <c r="G684" s="127" t="str">
        <f>VLOOKUP($B684,'Выгр Торг'!$B:$Q,G$1,0)</f>
        <v>1</v>
      </c>
      <c r="H684" s="127"/>
      <c r="I684" s="158" t="s">
        <v>326</v>
      </c>
      <c r="J684" s="162"/>
      <c r="K684" s="162"/>
      <c r="L684" s="138">
        <f>VLOOKUP(I684,'Прайс Gamma'!A:F,4,0)+J684+K684</f>
        <v>2100</v>
      </c>
      <c r="M684" s="138">
        <f>VLOOKUP(I684,'Прайс Gamma'!A:F,5,0)+J684+K684</f>
        <v>2700</v>
      </c>
      <c r="N684" s="138"/>
      <c r="O684" s="132">
        <f t="shared" ref="O684" si="474">M684/L684</f>
        <v>1.2857142857142858</v>
      </c>
      <c r="P684" s="132">
        <f t="shared" si="452"/>
        <v>1.2857142857142858</v>
      </c>
      <c r="Q684" s="150">
        <f t="shared" ref="Q684" si="475">AE684*1.03</f>
        <v>2770.7000000000003</v>
      </c>
      <c r="R684" s="148">
        <f t="shared" ref="R684" si="476">IF(Q684&lt;=1000,(ROUNDUP(Q684,-2)-1),(ROUNDUP(Q684,-2)-10))</f>
        <v>2790</v>
      </c>
      <c r="S684" s="127">
        <f>VLOOKUP($B684,'Выгр Торг'!$B:$Q,S$1,0)</f>
        <v>2100</v>
      </c>
      <c r="T684" s="127">
        <f>VLOOKUP($B684,'Выгр Торг'!$B:$Q,T$1,0)</f>
        <v>2790</v>
      </c>
      <c r="U684" s="94">
        <f t="shared" si="453"/>
        <v>0</v>
      </c>
      <c r="V684" s="94">
        <f t="shared" si="454"/>
        <v>0</v>
      </c>
      <c r="W684" s="153">
        <f t="shared" si="455"/>
        <v>2594.6999999999998</v>
      </c>
      <c r="X684" s="209">
        <f>IFERROR(VLOOKUP($B684,'Из ГУГЛа'!$B:$G,6,0)*Z684+Y684,VLOOKUP($B684,'Из ГУГЛа'!$B:$G,6,0))</f>
        <v>2690</v>
      </c>
      <c r="Y684" s="76"/>
      <c r="Z684" s="133">
        <v>1</v>
      </c>
      <c r="AA684" s="134"/>
      <c r="AB684" s="135">
        <f t="shared" si="456"/>
        <v>0.23557142857142854</v>
      </c>
      <c r="AC684" s="135">
        <f t="shared" si="457"/>
        <v>3.5427509293680368E-2</v>
      </c>
      <c r="AD684" s="135">
        <f t="shared" si="458"/>
        <v>0.28095238095238084</v>
      </c>
      <c r="AE684" s="137">
        <v>2690</v>
      </c>
      <c r="AF684" s="98" t="s">
        <v>514</v>
      </c>
      <c r="AH684" s="98" t="s">
        <v>214</v>
      </c>
    </row>
    <row r="685" spans="1:34" ht="46.5" thickTop="1" thickBot="1">
      <c r="A685" s="125" t="str">
        <f>INDEX('Выгр Торг'!$A:$A,MATCH($B685,'Выгр Торг'!$B:$B,0))</f>
        <v>Ручки "Ferrum Group" регулировки блока отопителя для Лада Приора (без кондиционера)</v>
      </c>
      <c r="B685" s="126">
        <v>322868</v>
      </c>
      <c r="C685" s="127">
        <f>VLOOKUP($B685,'Выгр Торг'!$B:$Q,C$1,0)</f>
        <v>322868</v>
      </c>
      <c r="D685" s="44" t="s">
        <v>214</v>
      </c>
      <c r="E685" s="125" t="str">
        <f>VLOOKUP($B685,'Выгр Торг'!$B:$Q,E$1,0)</f>
        <v>Ручки отопителя "Ferrum Group" для Лада Приора (без кондиционера) (Хром)</v>
      </c>
      <c r="F685" s="127" t="str">
        <f>VLOOKUP($B685,'Выгр Торг'!$B:$Q,F$1,0)</f>
        <v>Y</v>
      </c>
      <c r="G685" s="127" t="str">
        <f>VLOOKUP($B685,'Выгр Торг'!$B:$Q,G$1,0)</f>
        <v>1</v>
      </c>
      <c r="H685" s="127"/>
      <c r="I685" s="158" t="s">
        <v>326</v>
      </c>
      <c r="J685" s="162"/>
      <c r="K685" s="162"/>
      <c r="L685" s="138">
        <f>VLOOKUP(I685,'Прайс Gamma'!A:F,4,0)+J685+K685</f>
        <v>2100</v>
      </c>
      <c r="M685" s="138">
        <f>VLOOKUP(I685,'Прайс Gamma'!A:F,5,0)+J685+K685</f>
        <v>2700</v>
      </c>
      <c r="N685" s="138"/>
      <c r="O685" s="132">
        <f t="shared" ref="O685" si="477">M685/L685</f>
        <v>1.2857142857142858</v>
      </c>
      <c r="P685" s="132">
        <f t="shared" si="452"/>
        <v>1.2857142857142858</v>
      </c>
      <c r="Q685" s="150">
        <f t="shared" ref="Q685" si="478">AE685*1.03</f>
        <v>2770.7000000000003</v>
      </c>
      <c r="R685" s="148">
        <f t="shared" ref="R685" si="479">IF(Q685&lt;=1000,(ROUNDUP(Q685,-2)-1),(ROUNDUP(Q685,-2)-10))</f>
        <v>2790</v>
      </c>
      <c r="S685" s="127">
        <f>VLOOKUP($B685,'Выгр Торг'!$B:$Q,S$1,0)</f>
        <v>2100</v>
      </c>
      <c r="T685" s="127">
        <f>VLOOKUP($B685,'Выгр Торг'!$B:$Q,T$1,0)</f>
        <v>2790</v>
      </c>
      <c r="U685" s="94">
        <f t="shared" si="453"/>
        <v>0</v>
      </c>
      <c r="V685" s="94">
        <f t="shared" si="454"/>
        <v>0</v>
      </c>
      <c r="W685" s="153">
        <f t="shared" si="455"/>
        <v>2594.6999999999998</v>
      </c>
      <c r="X685" s="209">
        <f>IFERROR(VLOOKUP($B685,'Из ГУГЛа'!$B:$G,6,0)*Z685+Y685,VLOOKUP($B685,'Из ГУГЛа'!$B:$G,6,0))</f>
        <v>2690</v>
      </c>
      <c r="Y685" s="76"/>
      <c r="Z685" s="133">
        <v>1</v>
      </c>
      <c r="AA685" s="134"/>
      <c r="AB685" s="135">
        <f t="shared" si="456"/>
        <v>0.23557142857142854</v>
      </c>
      <c r="AC685" s="135">
        <f t="shared" si="457"/>
        <v>3.5427509293680368E-2</v>
      </c>
      <c r="AD685" s="135">
        <f t="shared" si="458"/>
        <v>0.28095238095238084</v>
      </c>
      <c r="AE685" s="137">
        <v>2690</v>
      </c>
      <c r="AF685" s="98" t="s">
        <v>514</v>
      </c>
      <c r="AH685" s="98" t="s">
        <v>214</v>
      </c>
    </row>
    <row r="686" spans="1:34" ht="40.5" thickTop="1" thickBot="1">
      <c r="A686" s="125" t="str">
        <f>INDEX('Выгр Торг'!$A:$A,MATCH($B686,'Выгр Торг'!$B:$B,0))</f>
        <v>Ручки отопителя "Ferrum Group" для Лада Калина, Калина 2, Гранта</v>
      </c>
      <c r="B686" s="126">
        <v>322855</v>
      </c>
      <c r="C686" s="127">
        <f>VLOOKUP($B686,'Выгр Торг'!$B:$Q,C$1,0)</f>
        <v>212888</v>
      </c>
      <c r="D686" s="44" t="s">
        <v>212</v>
      </c>
      <c r="E686" s="125" t="str">
        <f>VLOOKUP($B686,'Выгр Торг'!$B:$Q,E$1,0)</f>
        <v>Ручки отопителя "Ferrum Group" для Лада Калина, Калина 2, Гранта (Серебро)</v>
      </c>
      <c r="F686" s="127" t="str">
        <f>VLOOKUP($B686,'Выгр Торг'!$B:$Q,F$1,0)</f>
        <v>Y</v>
      </c>
      <c r="G686" s="127" t="str">
        <f>VLOOKUP($B686,'Выгр Торг'!$B:$Q,G$1,0)</f>
        <v>1</v>
      </c>
      <c r="H686" s="127"/>
      <c r="I686" s="155" t="s">
        <v>327</v>
      </c>
      <c r="J686" s="162"/>
      <c r="K686" s="162"/>
      <c r="L686" s="138">
        <f>VLOOKUP(I686,'Прайс Gamma'!A:F,4,0)+J686+K686</f>
        <v>2100</v>
      </c>
      <c r="M686" s="138">
        <f>VLOOKUP(I686,'Прайс Gamma'!A:F,5,0)+J686+K686</f>
        <v>2700</v>
      </c>
      <c r="N686" s="138"/>
      <c r="O686" s="132">
        <f t="shared" ref="O686:O697" si="480">M686/L686</f>
        <v>1.2857142857142858</v>
      </c>
      <c r="P686" s="132">
        <f t="shared" si="452"/>
        <v>1.2857142857142858</v>
      </c>
      <c r="Q686" s="150">
        <f t="shared" ref="Q686:Q687" si="481">AE686*1.03</f>
        <v>2770.7000000000003</v>
      </c>
      <c r="R686" s="148">
        <f t="shared" ref="R686:R697" si="482">IF(Q686&lt;=1000,(ROUNDUP(Q686,-2)-1),(ROUNDUP(Q686,-2)-10))</f>
        <v>2790</v>
      </c>
      <c r="S686" s="127">
        <f>VLOOKUP($B686,'Выгр Торг'!$B:$Q,S$1,0)</f>
        <v>2100</v>
      </c>
      <c r="T686" s="127">
        <f>VLOOKUP($B686,'Выгр Торг'!$B:$Q,T$1,0)</f>
        <v>2790</v>
      </c>
      <c r="U686" s="94">
        <f t="shared" si="453"/>
        <v>0</v>
      </c>
      <c r="V686" s="94">
        <f t="shared" si="454"/>
        <v>0</v>
      </c>
      <c r="W686" s="153">
        <f t="shared" si="455"/>
        <v>2594.6999999999998</v>
      </c>
      <c r="X686" s="209">
        <f>IFERROR(VLOOKUP($B686,'Из ГУГЛа'!$B:$G,6,0)*Z686+Y686,VLOOKUP($B686,'Из ГУГЛа'!$B:$G,6,0))</f>
        <v>2690</v>
      </c>
      <c r="Y686" s="76"/>
      <c r="Z686" s="133">
        <v>1</v>
      </c>
      <c r="AA686" s="134"/>
      <c r="AB686" s="135">
        <f t="shared" si="456"/>
        <v>0.23557142857142854</v>
      </c>
      <c r="AC686" s="135">
        <f t="shared" si="457"/>
        <v>3.5427509293680368E-2</v>
      </c>
      <c r="AD686" s="135">
        <f t="shared" si="458"/>
        <v>0.28095238095238084</v>
      </c>
      <c r="AE686" s="137">
        <v>2690</v>
      </c>
      <c r="AF686" s="98" t="s">
        <v>513</v>
      </c>
      <c r="AH686" s="98" t="s">
        <v>212</v>
      </c>
    </row>
    <row r="687" spans="1:34" ht="40.5" thickTop="1" thickBot="1">
      <c r="A687" s="125" t="str">
        <f>INDEX('Выгр Торг'!$A:$A,MATCH($B687,'Выгр Торг'!$B:$B,0))</f>
        <v>Ручки отопителя "Ferrum Group" для Лада Калина, Калина 2, Гранта</v>
      </c>
      <c r="B687" s="126">
        <v>322856</v>
      </c>
      <c r="C687" s="127">
        <f>VLOOKUP($B687,'Выгр Торг'!$B:$Q,C$1,0)</f>
        <v>212889</v>
      </c>
      <c r="D687" s="44" t="s">
        <v>212</v>
      </c>
      <c r="E687" s="125" t="str">
        <f>VLOOKUP($B687,'Выгр Торг'!$B:$Q,E$1,0)</f>
        <v>Ручки отопителя "Ferrum Group" для Лада Калина, Калина 2, Гранта (Хром)</v>
      </c>
      <c r="F687" s="127" t="str">
        <f>VLOOKUP($B687,'Выгр Торг'!$B:$Q,F$1,0)</f>
        <v>Y</v>
      </c>
      <c r="G687" s="127" t="str">
        <f>VLOOKUP($B687,'Выгр Торг'!$B:$Q,G$1,0)</f>
        <v>1ск6</v>
      </c>
      <c r="H687" s="127"/>
      <c r="I687" s="155" t="s">
        <v>327</v>
      </c>
      <c r="J687" s="162"/>
      <c r="K687" s="162"/>
      <c r="L687" s="138">
        <f>VLOOKUP(I687,'Прайс Gamma'!A:F,4,0)+J687+K687</f>
        <v>2100</v>
      </c>
      <c r="M687" s="138">
        <f>VLOOKUP(I687,'Прайс Gamma'!A:F,5,0)+J687+K687</f>
        <v>2700</v>
      </c>
      <c r="N687" s="138"/>
      <c r="O687" s="132">
        <f t="shared" si="480"/>
        <v>1.2857142857142858</v>
      </c>
      <c r="P687" s="132">
        <f t="shared" si="452"/>
        <v>1.2857142857142858</v>
      </c>
      <c r="Q687" s="150">
        <f t="shared" si="481"/>
        <v>2770.7000000000003</v>
      </c>
      <c r="R687" s="148">
        <f t="shared" si="482"/>
        <v>2790</v>
      </c>
      <c r="S687" s="127">
        <f>VLOOKUP($B687,'Выгр Торг'!$B:$Q,S$1,0)</f>
        <v>2100</v>
      </c>
      <c r="T687" s="127">
        <f>VLOOKUP($B687,'Выгр Торг'!$B:$Q,T$1,0)</f>
        <v>2790</v>
      </c>
      <c r="U687" s="94">
        <f t="shared" si="453"/>
        <v>0</v>
      </c>
      <c r="V687" s="94">
        <f t="shared" si="454"/>
        <v>0</v>
      </c>
      <c r="W687" s="153">
        <f t="shared" si="455"/>
        <v>2594.6999999999998</v>
      </c>
      <c r="X687" s="209">
        <f>IFERROR(VLOOKUP($B687,'Из ГУГЛа'!$B:$G,6,0)*Z687+Y687,VLOOKUP($B687,'Из ГУГЛа'!$B:$G,6,0))</f>
        <v>2690</v>
      </c>
      <c r="Y687" s="76"/>
      <c r="Z687" s="133">
        <v>1</v>
      </c>
      <c r="AA687" s="134"/>
      <c r="AB687" s="135">
        <f t="shared" si="456"/>
        <v>0.23557142857142854</v>
      </c>
      <c r="AC687" s="135">
        <f t="shared" si="457"/>
        <v>3.5427509293680368E-2</v>
      </c>
      <c r="AD687" s="135">
        <f t="shared" si="458"/>
        <v>0.28095238095238084</v>
      </c>
      <c r="AE687" s="137">
        <v>2690</v>
      </c>
      <c r="AF687" s="98" t="s">
        <v>511</v>
      </c>
      <c r="AH687" s="98" t="s">
        <v>212</v>
      </c>
    </row>
    <row r="688" spans="1:34" ht="40.5" thickTop="1" thickBot="1">
      <c r="A688" s="176" t="str">
        <f>INDEX('Выгр Торг'!$A:$A,MATCH($B688,'Выгр Торг'!$B:$B,0))</f>
        <v>Ручки отопителя "Ferrum Group" для Лада Калина, Калина 2, Гранта</v>
      </c>
      <c r="B688" s="178">
        <v>322857</v>
      </c>
      <c r="C688" s="179">
        <f>VLOOKUP($B688,'Выгр Торг'!$B:$Q,C$1,0)</f>
        <v>212890</v>
      </c>
      <c r="D688" s="186" t="s">
        <v>212</v>
      </c>
      <c r="E688" s="176" t="str">
        <f>VLOOKUP($B688,'Выгр Торг'!$B:$Q,E$1,0)</f>
        <v>Ручки отопителя "Ferrum Group" для Лада Калина, Калина 2, Гранта (Чёрный)</v>
      </c>
      <c r="F688" s="179" t="str">
        <f>VLOOKUP($B688,'Выгр Торг'!$B:$Q,F$1,0)</f>
        <v>Y</v>
      </c>
      <c r="G688" s="179" t="str">
        <f>VLOOKUP($B688,'Выгр Торг'!$B:$Q,G$1,0)</f>
        <v>1</v>
      </c>
      <c r="H688" s="179"/>
      <c r="I688" s="155" t="s">
        <v>327</v>
      </c>
      <c r="J688" s="162"/>
      <c r="K688" s="162"/>
      <c r="L688" s="188">
        <f>VLOOKUP(I688,'Прайс Gamma'!A:F,4,0)+J688+K688</f>
        <v>2100</v>
      </c>
      <c r="M688" s="188">
        <f>VLOOKUP(I688,'Прайс Gamma'!A:F,5,0)+J688+K688</f>
        <v>2700</v>
      </c>
      <c r="N688" s="188"/>
      <c r="O688" s="107">
        <f t="shared" ref="O688:O696" si="483">M688/L688</f>
        <v>1.2857142857142858</v>
      </c>
      <c r="P688" s="132">
        <f t="shared" si="452"/>
        <v>1.2857142857142858</v>
      </c>
      <c r="Q688" s="227">
        <f t="shared" ref="Q688" si="484">AE688*1.03</f>
        <v>2770.7000000000003</v>
      </c>
      <c r="R688" s="144">
        <f t="shared" ref="R688:R696" si="485">IF(Q688&lt;=1000,(ROUNDUP(Q688,-2)-1),(ROUNDUP(Q688,-2)-10))</f>
        <v>2790</v>
      </c>
      <c r="S688" s="179">
        <f>VLOOKUP($B688,'Выгр Торг'!$B:$Q,S$1,0)</f>
        <v>2100</v>
      </c>
      <c r="T688" s="179">
        <f>VLOOKUP($B688,'Выгр Торг'!$B:$Q,T$1,0)</f>
        <v>2790</v>
      </c>
      <c r="U688" s="94">
        <f t="shared" si="453"/>
        <v>0</v>
      </c>
      <c r="V688" s="94">
        <f t="shared" si="454"/>
        <v>0</v>
      </c>
      <c r="W688" s="182">
        <f t="shared" ref="W688:W696" si="486">R688*(1-$W$2)</f>
        <v>2594.6999999999998</v>
      </c>
      <c r="X688" s="218">
        <f>IFERROR(VLOOKUP($B688,'Из ГУГЛа'!$B:$G,6,0)*Z688+Y688,VLOOKUP($B688,'Из ГУГЛа'!$B:$G,6,0))</f>
        <v>2690</v>
      </c>
      <c r="Y688" s="183"/>
      <c r="Z688" s="133">
        <v>1</v>
      </c>
      <c r="AA688" s="133"/>
      <c r="AB688" s="184">
        <f t="shared" ref="AB688:AB696" si="487">IFERROR(W688/L688-1,"")</f>
        <v>0.23557142857142854</v>
      </c>
      <c r="AC688" s="184">
        <f t="shared" ref="AC688:AC696" si="488">IFERROR((AE688-W688)/AE688,"")</f>
        <v>3.5427509293680368E-2</v>
      </c>
      <c r="AD688" s="184">
        <f t="shared" ref="AD688:AD696" si="489">IFERROR(IF(AE688="","",AE688/L688-1),"")</f>
        <v>0.28095238095238084</v>
      </c>
      <c r="AE688" s="137">
        <v>2690</v>
      </c>
      <c r="AF688" s="98" t="s">
        <v>512</v>
      </c>
      <c r="AH688" s="98" t="s">
        <v>212</v>
      </c>
    </row>
    <row r="689" spans="1:34" ht="31.5" thickTop="1" thickBot="1">
      <c r="A689" s="176" t="str">
        <f>INDEX('Выгр Торг'!$A:$A,MATCH($B689,'Выгр Торг'!$B:$B,0))</f>
        <v>Модельная ручка "Ferrum Group" для Лада Веста, Веста NG</v>
      </c>
      <c r="B689" s="178">
        <v>364327</v>
      </c>
      <c r="C689" s="179">
        <f>VLOOKUP($B689,'Выгр Торг'!$B:$Q,C$1,0)</f>
        <v>364327</v>
      </c>
      <c r="D689" s="186" t="s">
        <v>1573</v>
      </c>
      <c r="E689" s="176" t="str">
        <f>VLOOKUP($B689,'Выгр Торг'!$B:$Q,E$1,0)</f>
        <v>Модельная ручка "Ferrum Group" для Лада Веста, Веста NG (Без подсветки)</v>
      </c>
      <c r="F689" s="179" t="str">
        <f>VLOOKUP($B689,'Выгр Торг'!$B:$Q,F$1,0)</f>
        <v>Y</v>
      </c>
      <c r="G689" s="179" t="str">
        <f>VLOOKUP($B689,'Выгр Торг'!$B:$Q,G$1,0)</f>
        <v>1</v>
      </c>
      <c r="H689" s="179"/>
      <c r="I689" s="210" t="s">
        <v>896</v>
      </c>
      <c r="J689" s="162"/>
      <c r="K689" s="162">
        <v>-1600</v>
      </c>
      <c r="L689" s="188">
        <f>VLOOKUP(I689,'Прайс Gamma'!A:F,4,0)+J689+K689</f>
        <v>8000</v>
      </c>
      <c r="M689" s="188">
        <f>VLOOKUP(I689,'Прайс Gamma'!A:F,5,0)+J689+K689</f>
        <v>8300</v>
      </c>
      <c r="N689" s="188"/>
      <c r="O689" s="107">
        <f t="shared" si="483"/>
        <v>1.0375000000000001</v>
      </c>
      <c r="P689" s="132">
        <f t="shared" si="452"/>
        <v>1.1499999999999999</v>
      </c>
      <c r="Q689" s="147">
        <f t="shared" ref="Q689:Q697" si="490">L689*P689*100/93</f>
        <v>9892.4731182795695</v>
      </c>
      <c r="R689" s="144">
        <f t="shared" si="485"/>
        <v>9890</v>
      </c>
      <c r="S689" s="179">
        <f>VLOOKUP($B689,'Выгр Торг'!$B:$Q,S$1,0)</f>
        <v>8000</v>
      </c>
      <c r="T689" s="179">
        <f>VLOOKUP($B689,'Выгр Торг'!$B:$Q,T$1,0)</f>
        <v>9890</v>
      </c>
      <c r="U689" s="94">
        <f t="shared" si="453"/>
        <v>0</v>
      </c>
      <c r="V689" s="94">
        <f t="shared" si="454"/>
        <v>0</v>
      </c>
      <c r="W689" s="182">
        <f t="shared" si="486"/>
        <v>9197.6999999999989</v>
      </c>
      <c r="X689" s="218" t="e">
        <f>IFERROR(VLOOKUP($B689,'Из ГУГЛа'!$B:$G,6,0)*Z689+Y689,VLOOKUP($B689,'Из ГУГЛа'!$B:$G,6,0))</f>
        <v>#N/A</v>
      </c>
      <c r="Y689" s="183"/>
      <c r="Z689" s="133">
        <v>1</v>
      </c>
      <c r="AA689" s="133"/>
      <c r="AB689" s="184">
        <f t="shared" si="487"/>
        <v>0.14971249999999992</v>
      </c>
      <c r="AC689" s="184" t="str">
        <f t="shared" si="488"/>
        <v/>
      </c>
      <c r="AD689" s="184" t="str">
        <f t="shared" si="489"/>
        <v/>
      </c>
      <c r="AE689" s="137"/>
      <c r="AH689" s="98" t="s">
        <v>1573</v>
      </c>
    </row>
    <row r="690" spans="1:34" ht="31.5" thickTop="1" thickBot="1">
      <c r="A690" s="176" t="str">
        <f>INDEX('Выгр Торг'!$A:$A,MATCH($B690,'Выгр Торг'!$B:$B,0))</f>
        <v>Модельная ручка "Ferrum Group" для Лада Веста, Веста NG</v>
      </c>
      <c r="B690" s="178">
        <v>364329</v>
      </c>
      <c r="C690" s="179">
        <f>VLOOKUP($B690,'Выгр Торг'!$B:$Q,C$1,0)</f>
        <v>364329</v>
      </c>
      <c r="D690" s="186" t="s">
        <v>1573</v>
      </c>
      <c r="E690" s="176" t="str">
        <f>VLOOKUP($B690,'Выгр Торг'!$B:$Q,E$1,0)</f>
        <v>Модельная ручка "Ferrum Group" для Лада Веста, Веста NG (С подсветкой, Белый)</v>
      </c>
      <c r="F690" s="179" t="str">
        <f>VLOOKUP($B690,'Выгр Торг'!$B:$Q,F$1,0)</f>
        <v>Y</v>
      </c>
      <c r="G690" s="179" t="str">
        <f>VLOOKUP($B690,'Выгр Торг'!$B:$Q,G$1,0)</f>
        <v>1</v>
      </c>
      <c r="H690" s="179"/>
      <c r="I690" s="210" t="s">
        <v>896</v>
      </c>
      <c r="J690" s="98"/>
      <c r="K690" s="162"/>
      <c r="L690" s="188">
        <f>VLOOKUP(I690,'Прайс Gamma'!A:F,4,0)+J690+K690</f>
        <v>9600</v>
      </c>
      <c r="M690" s="188">
        <f>VLOOKUP(I690,'Прайс Gamma'!A:F,5,0)+J690+K690</f>
        <v>9900</v>
      </c>
      <c r="N690" s="188"/>
      <c r="O690" s="107">
        <f>N690/M690</f>
        <v>0</v>
      </c>
      <c r="P690" s="132">
        <f t="shared" si="452"/>
        <v>1.1499999999999999</v>
      </c>
      <c r="Q690" s="147">
        <f>M690*P690*100/93</f>
        <v>12241.935483870968</v>
      </c>
      <c r="R690" s="144">
        <f t="shared" si="485"/>
        <v>12290</v>
      </c>
      <c r="S690" s="179">
        <f>VLOOKUP($B690,'Выгр Торг'!$B:$Q,S$1,0)</f>
        <v>9600</v>
      </c>
      <c r="T690" s="179">
        <f>VLOOKUP($B690,'Выгр Торг'!$B:$Q,T$1,0)</f>
        <v>12290</v>
      </c>
      <c r="U690" s="94">
        <f t="shared" si="453"/>
        <v>0</v>
      </c>
      <c r="V690" s="94">
        <f t="shared" si="454"/>
        <v>0</v>
      </c>
      <c r="W690" s="182">
        <f t="shared" si="486"/>
        <v>11429.699999999999</v>
      </c>
      <c r="X690" s="218" t="e">
        <f>IFERROR(VLOOKUP($B690,'Из ГУГЛа'!$B:$G,6,0)*Z690+Y690,VLOOKUP($B690,'Из ГУГЛа'!$B:$G,6,0))</f>
        <v>#N/A</v>
      </c>
      <c r="Y690" s="183"/>
      <c r="Z690" s="133">
        <v>1</v>
      </c>
      <c r="AA690" s="133"/>
      <c r="AB690" s="184">
        <f>IFERROR(W690/M690-1,"")</f>
        <v>0.15451515151515149</v>
      </c>
      <c r="AC690" s="184" t="str">
        <f t="shared" si="488"/>
        <v/>
      </c>
      <c r="AD690" s="184" t="str">
        <f>IFERROR(IF(AE690="","",AE690/M690-1),"")</f>
        <v/>
      </c>
      <c r="AE690" s="137"/>
      <c r="AH690" s="98" t="s">
        <v>1573</v>
      </c>
    </row>
    <row r="691" spans="1:34" ht="31.5" thickTop="1" thickBot="1">
      <c r="A691" s="176" t="str">
        <f>INDEX('Выгр Торг'!$A:$A,MATCH($B691,'Выгр Торг'!$B:$B,0))</f>
        <v>Модельная ручка "Ferrum Group" для Лада Веста, Веста NG</v>
      </c>
      <c r="B691" s="178">
        <v>364330</v>
      </c>
      <c r="C691" s="179">
        <f>VLOOKUP($B691,'Выгр Торг'!$B:$Q,C$1,0)</f>
        <v>364330</v>
      </c>
      <c r="D691" s="186" t="s">
        <v>1573</v>
      </c>
      <c r="E691" s="176" t="str">
        <f>VLOOKUP($B691,'Выгр Торг'!$B:$Q,E$1,0)</f>
        <v>Модельная ручка "Ferrum Group" для Лада Веста, Веста NG (С подсветкой, Красный)</v>
      </c>
      <c r="F691" s="179" t="str">
        <f>VLOOKUP($B691,'Выгр Торг'!$B:$Q,F$1,0)</f>
        <v>Y</v>
      </c>
      <c r="G691" s="179" t="str">
        <f>VLOOKUP($B691,'Выгр Торг'!$B:$Q,G$1,0)</f>
        <v>1</v>
      </c>
      <c r="H691" s="179"/>
      <c r="I691" s="210" t="s">
        <v>896</v>
      </c>
      <c r="J691" s="98"/>
      <c r="K691" s="162"/>
      <c r="L691" s="188">
        <f>VLOOKUP(I691,'Прайс Gamma'!A:F,4,0)+J691+K691</f>
        <v>9600</v>
      </c>
      <c r="M691" s="188">
        <f>VLOOKUP(I691,'Прайс Gamma'!A:F,5,0)+J691+K691</f>
        <v>9900</v>
      </c>
      <c r="N691" s="188"/>
      <c r="O691" s="107">
        <f>N691/M691</f>
        <v>0</v>
      </c>
      <c r="P691" s="132">
        <f t="shared" si="452"/>
        <v>1.1499999999999999</v>
      </c>
      <c r="Q691" s="147">
        <f>M691*P691*100/93</f>
        <v>12241.935483870968</v>
      </c>
      <c r="R691" s="144">
        <f t="shared" si="485"/>
        <v>12290</v>
      </c>
      <c r="S691" s="179">
        <f>VLOOKUP($B691,'Выгр Торг'!$B:$Q,S$1,0)</f>
        <v>9600</v>
      </c>
      <c r="T691" s="179">
        <f>VLOOKUP($B691,'Выгр Торг'!$B:$Q,T$1,0)</f>
        <v>12290</v>
      </c>
      <c r="U691" s="94">
        <f t="shared" si="453"/>
        <v>0</v>
      </c>
      <c r="V691" s="94">
        <f t="shared" si="454"/>
        <v>0</v>
      </c>
      <c r="W691" s="182">
        <f t="shared" si="486"/>
        <v>11429.699999999999</v>
      </c>
      <c r="X691" s="218" t="e">
        <f>IFERROR(VLOOKUP($B691,'Из ГУГЛа'!$B:$G,6,0)*Z691+Y691,VLOOKUP($B691,'Из ГУГЛа'!$B:$G,6,0))</f>
        <v>#N/A</v>
      </c>
      <c r="Y691" s="183"/>
      <c r="Z691" s="133">
        <v>1</v>
      </c>
      <c r="AA691" s="133"/>
      <c r="AB691" s="184">
        <f>IFERROR(W691/M691-1,"")</f>
        <v>0.15451515151515149</v>
      </c>
      <c r="AC691" s="184" t="str">
        <f t="shared" si="488"/>
        <v/>
      </c>
      <c r="AD691" s="184" t="str">
        <f>IFERROR(IF(AE691="","",AE691/M691-1),"")</f>
        <v/>
      </c>
      <c r="AE691" s="137"/>
      <c r="AH691" s="98" t="s">
        <v>1573</v>
      </c>
    </row>
    <row r="692" spans="1:34" ht="31.5" thickTop="1" thickBot="1">
      <c r="A692" s="176" t="str">
        <f>INDEX('Выгр Торг'!$A:$A,MATCH($B692,'Выгр Торг'!$B:$B,0))</f>
        <v>Модельная ручка "Ferrum Group" для Лада Веста, Веста NG</v>
      </c>
      <c r="B692" s="178">
        <v>364328</v>
      </c>
      <c r="C692" s="179">
        <f>VLOOKUP($B692,'Выгр Торг'!$B:$Q,C$1,0)</f>
        <v>364328</v>
      </c>
      <c r="D692" s="186" t="s">
        <v>1573</v>
      </c>
      <c r="E692" s="176" t="str">
        <f>VLOOKUP($B692,'Выгр Торг'!$B:$Q,E$1,0)</f>
        <v>Модельная ручка "Ferrum Group" для Лада Веста, Веста NG (С подсветкой, Оранжевый)</v>
      </c>
      <c r="F692" s="179" t="str">
        <f>VLOOKUP($B692,'Выгр Торг'!$B:$Q,F$1,0)</f>
        <v>Y</v>
      </c>
      <c r="G692" s="179" t="str">
        <f>VLOOKUP($B692,'Выгр Торг'!$B:$Q,G$1,0)</f>
        <v>1</v>
      </c>
      <c r="H692" s="179"/>
      <c r="I692" s="210" t="s">
        <v>896</v>
      </c>
      <c r="J692" s="162"/>
      <c r="K692" s="162"/>
      <c r="L692" s="188">
        <f>VLOOKUP(I692,'Прайс Gamma'!A:F,4,0)+J692+K692</f>
        <v>9600</v>
      </c>
      <c r="M692" s="188">
        <f>VLOOKUP(I692,'Прайс Gamma'!A:F,5,0)+J692+K692</f>
        <v>9900</v>
      </c>
      <c r="N692" s="188"/>
      <c r="O692" s="107">
        <f t="shared" si="483"/>
        <v>1.03125</v>
      </c>
      <c r="P692" s="132">
        <f t="shared" si="452"/>
        <v>1.1499999999999999</v>
      </c>
      <c r="Q692" s="147">
        <f t="shared" si="490"/>
        <v>11870.967741935483</v>
      </c>
      <c r="R692" s="144">
        <f t="shared" si="485"/>
        <v>11890</v>
      </c>
      <c r="S692" s="179">
        <f>VLOOKUP($B692,'Выгр Торг'!$B:$Q,S$1,0)</f>
        <v>9600</v>
      </c>
      <c r="T692" s="179">
        <f>VLOOKUP($B692,'Выгр Торг'!$B:$Q,T$1,0)</f>
        <v>11890</v>
      </c>
      <c r="U692" s="94">
        <f t="shared" si="453"/>
        <v>0</v>
      </c>
      <c r="V692" s="94">
        <f t="shared" si="454"/>
        <v>0</v>
      </c>
      <c r="W692" s="182">
        <f t="shared" si="486"/>
        <v>11057.699999999999</v>
      </c>
      <c r="X692" s="218" t="e">
        <f>IFERROR(VLOOKUP($B692,'Из ГУГЛа'!$B:$G,6,0)*Z692+Y692,VLOOKUP($B692,'Из ГУГЛа'!$B:$G,6,0))</f>
        <v>#N/A</v>
      </c>
      <c r="Y692" s="183"/>
      <c r="Z692" s="133">
        <v>1</v>
      </c>
      <c r="AA692" s="133"/>
      <c r="AB692" s="184">
        <f t="shared" si="487"/>
        <v>0.15184374999999983</v>
      </c>
      <c r="AC692" s="184" t="str">
        <f t="shared" si="488"/>
        <v/>
      </c>
      <c r="AD692" s="184" t="str">
        <f t="shared" si="489"/>
        <v/>
      </c>
      <c r="AE692" s="137"/>
      <c r="AH692" s="98" t="s">
        <v>1573</v>
      </c>
    </row>
    <row r="693" spans="1:34" ht="31.5" thickTop="1" thickBot="1">
      <c r="A693" s="176" t="str">
        <f>INDEX('Выгр Торг'!$A:$A,MATCH($B693,'Выгр Торг'!$B:$B,0))</f>
        <v>Модельная ручка "Ferrum Group" для Лада Веста, Веста NG</v>
      </c>
      <c r="B693" s="178">
        <v>364331</v>
      </c>
      <c r="C693" s="179">
        <f>VLOOKUP($B693,'Выгр Торг'!$B:$Q,C$1,0)</f>
        <v>364331</v>
      </c>
      <c r="D693" s="186" t="s">
        <v>1573</v>
      </c>
      <c r="E693" s="176" t="str">
        <f>VLOOKUP($B693,'Выгр Торг'!$B:$Q,E$1,0)</f>
        <v>Модельная ручка "Ferrum Group" для Лада Веста, Веста NG (С подсветкой, Синий)</v>
      </c>
      <c r="F693" s="179" t="str">
        <f>VLOOKUP($B693,'Выгр Торг'!$B:$Q,F$1,0)</f>
        <v>Y</v>
      </c>
      <c r="G693" s="179" t="str">
        <f>VLOOKUP($B693,'Выгр Торг'!$B:$Q,G$1,0)</f>
        <v>1</v>
      </c>
      <c r="H693" s="179"/>
      <c r="I693" s="210" t="s">
        <v>896</v>
      </c>
      <c r="J693" s="162"/>
      <c r="K693" s="162"/>
      <c r="L693" s="188">
        <f>VLOOKUP(I693,'Прайс Gamma'!A:F,4,0)+J693+K693</f>
        <v>9600</v>
      </c>
      <c r="M693" s="188">
        <f>VLOOKUP(I693,'Прайс Gamma'!A:F,5,0)+J693+K693</f>
        <v>9900</v>
      </c>
      <c r="N693" s="188"/>
      <c r="O693" s="107">
        <f t="shared" si="483"/>
        <v>1.03125</v>
      </c>
      <c r="P693" s="132">
        <f t="shared" si="452"/>
        <v>1.1499999999999999</v>
      </c>
      <c r="Q693" s="147">
        <f t="shared" si="490"/>
        <v>11870.967741935483</v>
      </c>
      <c r="R693" s="144">
        <f t="shared" si="485"/>
        <v>11890</v>
      </c>
      <c r="S693" s="179">
        <f>VLOOKUP($B693,'Выгр Торг'!$B:$Q,S$1,0)</f>
        <v>9600</v>
      </c>
      <c r="T693" s="179">
        <f>VLOOKUP($B693,'Выгр Торг'!$B:$Q,T$1,0)</f>
        <v>11890</v>
      </c>
      <c r="U693" s="94">
        <f t="shared" si="453"/>
        <v>0</v>
      </c>
      <c r="V693" s="94">
        <f t="shared" si="454"/>
        <v>0</v>
      </c>
      <c r="W693" s="182">
        <f t="shared" si="486"/>
        <v>11057.699999999999</v>
      </c>
      <c r="X693" s="218" t="e">
        <f>IFERROR(VLOOKUP($B693,'Из ГУГЛа'!$B:$G,6,0)*Z693+Y693,VLOOKUP($B693,'Из ГУГЛа'!$B:$G,6,0))</f>
        <v>#N/A</v>
      </c>
      <c r="Y693" s="183"/>
      <c r="Z693" s="133">
        <v>1</v>
      </c>
      <c r="AA693" s="133"/>
      <c r="AB693" s="184">
        <f t="shared" si="487"/>
        <v>0.15184374999999983</v>
      </c>
      <c r="AC693" s="184" t="str">
        <f t="shared" si="488"/>
        <v/>
      </c>
      <c r="AD693" s="184" t="str">
        <f t="shared" si="489"/>
        <v/>
      </c>
      <c r="AE693" s="137"/>
      <c r="AH693" s="98" t="s">
        <v>1573</v>
      </c>
    </row>
    <row r="694" spans="1:34" ht="40.5" thickTop="1" thickBot="1">
      <c r="A694" s="176" t="str">
        <f>INDEX('Выгр Торг'!$A:$A,MATCH($B694,'Выгр Торг'!$B:$B,0))</f>
        <v>Ручка КПП "Ferrum Group" (с подсветкой) для Лада Веста</v>
      </c>
      <c r="B694" s="178">
        <v>364640</v>
      </c>
      <c r="C694" s="179">
        <f>VLOOKUP($B694,'Выгр Торг'!$B:$Q,C$1,0)</f>
        <v>364640</v>
      </c>
      <c r="D694" s="186" t="s">
        <v>242</v>
      </c>
      <c r="E694" s="176" t="str">
        <f>VLOOKUP($B694,'Выгр Торг'!$B:$Q,E$1,0)</f>
        <v>Ручка КПП "Ferrum Group" (с подсветкой) для Лада Веста (Подсветка белая)</v>
      </c>
      <c r="F694" s="179" t="str">
        <f>VLOOKUP($B694,'Выгр Торг'!$B:$Q,F$1,0)</f>
        <v>Y</v>
      </c>
      <c r="G694" s="179" t="str">
        <f>VLOOKUP($B694,'Выгр Торг'!$B:$Q,G$1,0)</f>
        <v>1</v>
      </c>
      <c r="H694" s="179"/>
      <c r="I694" s="100" t="s">
        <v>384</v>
      </c>
      <c r="J694" s="162"/>
      <c r="K694" s="162"/>
      <c r="L694" s="188">
        <f>VLOOKUP(I694,'Прайс Gamma'!A:F,4,0)+J694+K694</f>
        <v>9400</v>
      </c>
      <c r="M694" s="188">
        <f>VLOOKUP(I694,'Прайс Gamma'!A:F,5,0)+J694+K694</f>
        <v>9700</v>
      </c>
      <c r="N694" s="188"/>
      <c r="O694" s="107">
        <f t="shared" si="483"/>
        <v>1.0319148936170213</v>
      </c>
      <c r="P694" s="132">
        <f t="shared" si="452"/>
        <v>1.1499999999999999</v>
      </c>
      <c r="Q694" s="147">
        <f t="shared" si="490"/>
        <v>11623.655913978495</v>
      </c>
      <c r="R694" s="144">
        <f t="shared" si="485"/>
        <v>11690</v>
      </c>
      <c r="S694" s="179">
        <f>VLOOKUP($B694,'Выгр Торг'!$B:$Q,S$1,0)</f>
        <v>9400</v>
      </c>
      <c r="T694" s="179">
        <f>VLOOKUP($B694,'Выгр Торг'!$B:$Q,T$1,0)</f>
        <v>11690</v>
      </c>
      <c r="U694" s="94">
        <f t="shared" si="453"/>
        <v>0</v>
      </c>
      <c r="V694" s="94">
        <f t="shared" si="454"/>
        <v>0</v>
      </c>
      <c r="W694" s="182">
        <f t="shared" si="486"/>
        <v>10871.699999999999</v>
      </c>
      <c r="X694" s="218" t="e">
        <f>IFERROR(VLOOKUP($B694,'Из ГУГЛа'!$B:$G,6,0)*Z694+Y694,VLOOKUP($B694,'Из ГУГЛа'!$B:$G,6,0))</f>
        <v>#N/A</v>
      </c>
      <c r="Y694" s="183"/>
      <c r="Z694" s="133">
        <v>1</v>
      </c>
      <c r="AA694" s="133"/>
      <c r="AB694" s="184">
        <f t="shared" si="487"/>
        <v>0.15656382978723382</v>
      </c>
      <c r="AC694" s="184">
        <f t="shared" si="488"/>
        <v>7.7888040712468284E-2</v>
      </c>
      <c r="AD694" s="184">
        <f t="shared" si="489"/>
        <v>0.25425531914893607</v>
      </c>
      <c r="AE694" s="137">
        <v>11790</v>
      </c>
      <c r="AF694" s="36" t="s">
        <v>627</v>
      </c>
      <c r="AH694" s="98" t="s">
        <v>242</v>
      </c>
    </row>
    <row r="695" spans="1:34" ht="40.5" thickTop="1" thickBot="1">
      <c r="A695" s="176" t="str">
        <f>INDEX('Выгр Торг'!$A:$A,MATCH($B695,'Выгр Торг'!$B:$B,0))</f>
        <v>Ручка КПП "Ferrum Group" (с подсветкой) для Лада Веста</v>
      </c>
      <c r="B695" s="178">
        <v>364641</v>
      </c>
      <c r="C695" s="179">
        <f>VLOOKUP($B695,'Выгр Торг'!$B:$Q,C$1,0)</f>
        <v>364641</v>
      </c>
      <c r="D695" s="186" t="s">
        <v>242</v>
      </c>
      <c r="E695" s="176" t="str">
        <f>VLOOKUP($B695,'Выгр Торг'!$B:$Q,E$1,0)</f>
        <v>Ручка КПП "Ferrum Group" (с подсветкой) для Лада Веста (Подсветка красная)</v>
      </c>
      <c r="F695" s="179" t="str">
        <f>VLOOKUP($B695,'Выгр Торг'!$B:$Q,F$1,0)</f>
        <v>Y</v>
      </c>
      <c r="G695" s="179" t="str">
        <f>VLOOKUP($B695,'Выгр Торг'!$B:$Q,G$1,0)</f>
        <v>1</v>
      </c>
      <c r="H695" s="179"/>
      <c r="I695" s="100" t="s">
        <v>384</v>
      </c>
      <c r="J695" s="162"/>
      <c r="K695" s="162"/>
      <c r="L695" s="188">
        <f>VLOOKUP(I695,'Прайс Gamma'!A:F,4,0)+J695+K695</f>
        <v>9400</v>
      </c>
      <c r="M695" s="188">
        <f>VLOOKUP(I695,'Прайс Gamma'!A:F,5,0)+J695+K695</f>
        <v>9700</v>
      </c>
      <c r="N695" s="188"/>
      <c r="O695" s="107">
        <f t="shared" si="483"/>
        <v>1.0319148936170213</v>
      </c>
      <c r="P695" s="132">
        <f t="shared" si="452"/>
        <v>1.1499999999999999</v>
      </c>
      <c r="Q695" s="147">
        <f t="shared" si="490"/>
        <v>11623.655913978495</v>
      </c>
      <c r="R695" s="144">
        <f t="shared" si="485"/>
        <v>11690</v>
      </c>
      <c r="S695" s="179">
        <f>VLOOKUP($B695,'Выгр Торг'!$B:$Q,S$1,0)</f>
        <v>9400</v>
      </c>
      <c r="T695" s="179">
        <f>VLOOKUP($B695,'Выгр Торг'!$B:$Q,T$1,0)</f>
        <v>11690</v>
      </c>
      <c r="U695" s="94">
        <f t="shared" si="453"/>
        <v>0</v>
      </c>
      <c r="V695" s="94">
        <f t="shared" si="454"/>
        <v>0</v>
      </c>
      <c r="W695" s="182">
        <f t="shared" si="486"/>
        <v>10871.699999999999</v>
      </c>
      <c r="X695" s="218" t="e">
        <f>IFERROR(VLOOKUP($B695,'Из ГУГЛа'!$B:$G,6,0)*Z695+Y695,VLOOKUP($B695,'Из ГУГЛа'!$B:$G,6,0))</f>
        <v>#N/A</v>
      </c>
      <c r="Y695" s="183"/>
      <c r="Z695" s="133">
        <v>1</v>
      </c>
      <c r="AA695" s="133"/>
      <c r="AB695" s="184">
        <f t="shared" si="487"/>
        <v>0.15656382978723382</v>
      </c>
      <c r="AC695" s="184">
        <f t="shared" si="488"/>
        <v>7.7888040712468284E-2</v>
      </c>
      <c r="AD695" s="184">
        <f t="shared" si="489"/>
        <v>0.25425531914893607</v>
      </c>
      <c r="AE695" s="137">
        <v>11790</v>
      </c>
      <c r="AF695" s="36" t="s">
        <v>627</v>
      </c>
      <c r="AH695" s="98" t="s">
        <v>242</v>
      </c>
    </row>
    <row r="696" spans="1:34" ht="40.5" thickTop="1" thickBot="1">
      <c r="A696" s="176" t="str">
        <f>INDEX('Выгр Торг'!$A:$A,MATCH($B696,'Выгр Торг'!$B:$B,0))</f>
        <v>Ручка КПП "Ferrum Group" (с подсветкой) для Лада Веста</v>
      </c>
      <c r="B696" s="178">
        <v>364639</v>
      </c>
      <c r="C696" s="179">
        <f>VLOOKUP($B696,'Выгр Торг'!$B:$Q,C$1,0)</f>
        <v>364639</v>
      </c>
      <c r="D696" s="186" t="s">
        <v>242</v>
      </c>
      <c r="E696" s="176" t="str">
        <f>VLOOKUP($B696,'Выгр Торг'!$B:$Q,E$1,0)</f>
        <v>Ручка КПП "Ferrum Group" (с подсветкой) для Лада Веста (Подсветка оранжевая)</v>
      </c>
      <c r="F696" s="179" t="str">
        <f>VLOOKUP($B696,'Выгр Торг'!$B:$Q,F$1,0)</f>
        <v>Y</v>
      </c>
      <c r="G696" s="179" t="str">
        <f>VLOOKUP($B696,'Выгр Торг'!$B:$Q,G$1,0)</f>
        <v>1</v>
      </c>
      <c r="H696" s="179"/>
      <c r="I696" s="100" t="s">
        <v>384</v>
      </c>
      <c r="J696" s="162"/>
      <c r="K696" s="162"/>
      <c r="L696" s="188">
        <f>VLOOKUP(I696,'Прайс Gamma'!A:F,4,0)+J696+K696</f>
        <v>9400</v>
      </c>
      <c r="M696" s="188">
        <f>VLOOKUP(I696,'Прайс Gamma'!A:F,5,0)+J696+K696</f>
        <v>9700</v>
      </c>
      <c r="N696" s="188"/>
      <c r="O696" s="107">
        <f t="shared" si="483"/>
        <v>1.0319148936170213</v>
      </c>
      <c r="P696" s="132">
        <f t="shared" si="452"/>
        <v>1.1499999999999999</v>
      </c>
      <c r="Q696" s="147">
        <f t="shared" si="490"/>
        <v>11623.655913978495</v>
      </c>
      <c r="R696" s="144">
        <f t="shared" si="485"/>
        <v>11690</v>
      </c>
      <c r="S696" s="179">
        <f>VLOOKUP($B696,'Выгр Торг'!$B:$Q,S$1,0)</f>
        <v>9400</v>
      </c>
      <c r="T696" s="179">
        <f>VLOOKUP($B696,'Выгр Торг'!$B:$Q,T$1,0)</f>
        <v>11690</v>
      </c>
      <c r="U696" s="94">
        <f t="shared" si="453"/>
        <v>0</v>
      </c>
      <c r="V696" s="94">
        <f t="shared" si="454"/>
        <v>0</v>
      </c>
      <c r="W696" s="182">
        <f t="shared" si="486"/>
        <v>10871.699999999999</v>
      </c>
      <c r="X696" s="218" t="e">
        <f>IFERROR(VLOOKUP($B696,'Из ГУГЛа'!$B:$G,6,0)*Z696+Y696,VLOOKUP($B696,'Из ГУГЛа'!$B:$G,6,0))</f>
        <v>#N/A</v>
      </c>
      <c r="Y696" s="183"/>
      <c r="Z696" s="133">
        <v>1</v>
      </c>
      <c r="AA696" s="133"/>
      <c r="AB696" s="184">
        <f t="shared" si="487"/>
        <v>0.15656382978723382</v>
      </c>
      <c r="AC696" s="184">
        <f t="shared" si="488"/>
        <v>7.7888040712468284E-2</v>
      </c>
      <c r="AD696" s="184">
        <f t="shared" si="489"/>
        <v>0.25425531914893607</v>
      </c>
      <c r="AE696" s="137">
        <v>11790</v>
      </c>
      <c r="AF696" s="36" t="s">
        <v>627</v>
      </c>
      <c r="AH696" s="98" t="s">
        <v>242</v>
      </c>
    </row>
    <row r="697" spans="1:34" ht="40.5" thickTop="1" thickBot="1">
      <c r="A697" s="125" t="str">
        <f>INDEX('Выгр Торг'!$A:$A,MATCH($B697,'Выгр Торг'!$B:$B,0))</f>
        <v>Ручка КПП "Ferrum Group" (с подсветкой) для Лада Веста</v>
      </c>
      <c r="B697" s="126">
        <v>364642</v>
      </c>
      <c r="C697" s="127">
        <f>VLOOKUP($B697,'Выгр Торг'!$B:$Q,C$1,0)</f>
        <v>364642</v>
      </c>
      <c r="D697" s="44" t="s">
        <v>242</v>
      </c>
      <c r="E697" s="125" t="str">
        <f>VLOOKUP($B697,'Выгр Торг'!$B:$Q,E$1,0)</f>
        <v>Ручка КПП "Ferrum Group" (с подсветкой) для Лада Веста (Подсветка синяя)</v>
      </c>
      <c r="F697" s="127" t="str">
        <f>VLOOKUP($B697,'Выгр Торг'!$B:$Q,F$1,0)</f>
        <v>Y</v>
      </c>
      <c r="G697" s="127" t="str">
        <f>VLOOKUP($B697,'Выгр Торг'!$B:$Q,G$1,0)</f>
        <v>1</v>
      </c>
      <c r="H697" s="127"/>
      <c r="I697" s="100" t="s">
        <v>384</v>
      </c>
      <c r="J697" s="162"/>
      <c r="K697" s="162"/>
      <c r="L697" s="138">
        <f>VLOOKUP(I697,'Прайс Gamma'!A:F,4,0)+J697+K697</f>
        <v>9400</v>
      </c>
      <c r="M697" s="138">
        <f>VLOOKUP(I697,'Прайс Gamma'!A:F,5,0)+J697+K697</f>
        <v>9700</v>
      </c>
      <c r="N697" s="138"/>
      <c r="O697" s="132">
        <f t="shared" si="480"/>
        <v>1.0319148936170213</v>
      </c>
      <c r="P697" s="132">
        <f t="shared" si="452"/>
        <v>1.1499999999999999</v>
      </c>
      <c r="Q697" s="147">
        <f t="shared" si="490"/>
        <v>11623.655913978495</v>
      </c>
      <c r="R697" s="148">
        <f t="shared" si="482"/>
        <v>11690</v>
      </c>
      <c r="S697" s="127">
        <f>VLOOKUP($B697,'Выгр Торг'!$B:$Q,S$1,0)</f>
        <v>9400</v>
      </c>
      <c r="T697" s="127">
        <f>VLOOKUP($B697,'Выгр Торг'!$B:$Q,T$1,0)</f>
        <v>11690</v>
      </c>
      <c r="U697" s="94">
        <f t="shared" si="453"/>
        <v>0</v>
      </c>
      <c r="V697" s="94">
        <f t="shared" si="454"/>
        <v>0</v>
      </c>
      <c r="W697" s="153">
        <f t="shared" si="455"/>
        <v>10871.699999999999</v>
      </c>
      <c r="X697" s="209" t="e">
        <f>IFERROR(VLOOKUP($B697,'Из ГУГЛа'!$B:$G,6,0)*Z697+Y697,VLOOKUP($B697,'Из ГУГЛа'!$B:$G,6,0))</f>
        <v>#N/A</v>
      </c>
      <c r="Y697" s="76"/>
      <c r="Z697" s="133">
        <v>1</v>
      </c>
      <c r="AA697" s="134"/>
      <c r="AB697" s="135">
        <f t="shared" si="456"/>
        <v>0.15656382978723382</v>
      </c>
      <c r="AC697" s="135">
        <f t="shared" si="457"/>
        <v>7.7888040712468284E-2</v>
      </c>
      <c r="AD697" s="135">
        <f t="shared" si="458"/>
        <v>0.25425531914893607</v>
      </c>
      <c r="AE697" s="137">
        <v>11790</v>
      </c>
      <c r="AF697" s="36" t="s">
        <v>627</v>
      </c>
      <c r="AH697" s="98" t="s">
        <v>242</v>
      </c>
    </row>
    <row r="698" spans="1:34" ht="91.5" thickTop="1" thickBot="1">
      <c r="A698" s="125" t="str">
        <f>INDEX('Выгр Торг'!$A:$A,MATCH($B698,'Выгр Торг'!$B:$B,0))</f>
        <v>Электронная комбинация приборов "Ferrum Group" GF 890 PH2 (серебро) для Лада Ларгус FL, Nissan Terrano IV, Renault (Dokker, Duster (PH2), Duster Diesel (PH2), Logan II, Sandero II)</v>
      </c>
      <c r="B698" s="126">
        <v>319796</v>
      </c>
      <c r="C698" s="127">
        <f>VLOOKUP($B698,'Выгр Торг'!$B:$Q,C$1,0)</f>
        <v>319796</v>
      </c>
      <c r="D698" s="142" t="s">
        <v>204</v>
      </c>
      <c r="E698" s="125" t="str">
        <f>VLOOKUP($B698,'Выгр Торг'!$B:$Q,E$1,0)</f>
        <v>Электронная комбинация приборов "Ferrum Group" GF 890 PH2 (серебро) для Лада Ларгус FL, Nissan Terrano IV, Renault (Dokker, Duster (PH2), Duster Diesel (PH2), Logan II, Sandero II) (Без АБС, Оранжевая)</v>
      </c>
      <c r="F698" s="127" t="str">
        <f>VLOOKUP($B698,'Выгр Торг'!$B:$Q,F$1,0)</f>
        <v>Y</v>
      </c>
      <c r="G698" s="127" t="str">
        <f>VLOOKUP($B698,'Выгр Торг'!$B:$Q,G$1,0)</f>
        <v>1</v>
      </c>
      <c r="H698" s="127"/>
      <c r="I698" s="159" t="s">
        <v>891</v>
      </c>
      <c r="J698" s="162"/>
      <c r="K698" s="162"/>
      <c r="L698" s="140">
        <f>VLOOKUP(I698,'Прайс Gamma'!$B:$H,3,0)+$K698+$J698</f>
        <v>75899</v>
      </c>
      <c r="M698" s="140">
        <f>VLOOKUP(I698,'Прайс Gamma'!$B:$H,4,0)+$K698+$J698</f>
        <v>78899</v>
      </c>
      <c r="N698" s="140"/>
      <c r="O698" s="132">
        <f t="shared" ref="O698:O745" si="491">M698/L698</f>
        <v>1.0395262124665674</v>
      </c>
      <c r="P698" s="132">
        <f t="shared" si="452"/>
        <v>1.1499999999999999</v>
      </c>
      <c r="Q698" s="147">
        <f t="shared" ref="Q698:Q745" si="492">L698*P698*100/93</f>
        <v>93853.602150537641</v>
      </c>
      <c r="R698" s="148">
        <f t="shared" ref="R698:R745" si="493">IF(Q698&lt;=1000,(ROUNDUP(Q698,-2)-1),(ROUNDUP(Q698,-2)-10))</f>
        <v>93890</v>
      </c>
      <c r="S698" s="127">
        <f>VLOOKUP($B698,'Выгр Торг'!$B:$Q,S$1,0)</f>
        <v>75899</v>
      </c>
      <c r="T698" s="127">
        <f>VLOOKUP($B698,'Выгр Торг'!$B:$Q,T$1,0)</f>
        <v>93890</v>
      </c>
      <c r="U698" s="94">
        <f t="shared" si="453"/>
        <v>0</v>
      </c>
      <c r="V698" s="94">
        <f t="shared" si="454"/>
        <v>0</v>
      </c>
      <c r="W698" s="153">
        <f t="shared" si="455"/>
        <v>87317.7</v>
      </c>
      <c r="X698" s="209">
        <f>IFERROR(VLOOKUP($B698,'Из ГУГЛа'!$B:$G,6,0)*Z698+Y698,VLOOKUP($B698,'Из ГУГЛа'!$B:$G,6,0))</f>
        <v>85890</v>
      </c>
      <c r="Y698" s="76"/>
      <c r="Z698" s="133">
        <v>1</v>
      </c>
      <c r="AA698" s="134"/>
      <c r="AB698" s="135">
        <f t="shared" si="456"/>
        <v>0.15044598743066451</v>
      </c>
      <c r="AC698" s="135">
        <f t="shared" si="457"/>
        <v>-1.6622424030736955E-2</v>
      </c>
      <c r="AD698" s="135">
        <f t="shared" si="458"/>
        <v>0.13163546291782491</v>
      </c>
      <c r="AE698" s="137">
        <v>85890</v>
      </c>
      <c r="AF698" s="98" t="s">
        <v>643</v>
      </c>
      <c r="AH698" s="98" t="s">
        <v>204</v>
      </c>
    </row>
    <row r="699" spans="1:34" ht="91.5" thickTop="1" thickBot="1">
      <c r="A699" s="125" t="str">
        <f>INDEX('Выгр Торг'!$A:$A,MATCH($B699,'Выгр Торг'!$B:$B,0))</f>
        <v>Электронная комбинация приборов "Ferrum Group" GF 890 PH2 (серебро) для Лада Ларгус FL, Nissan Terrano IV, Renault (Dokker, Duster (PH2), Duster Diesel (PH2), Logan II, Sandero II)</v>
      </c>
      <c r="B699" s="126">
        <v>319795</v>
      </c>
      <c r="C699" s="127">
        <f>VLOOKUP($B699,'Выгр Торг'!$B:$Q,C$1,0)</f>
        <v>319795</v>
      </c>
      <c r="D699" s="142" t="s">
        <v>204</v>
      </c>
      <c r="E699" s="125" t="str">
        <f>VLOOKUP($B699,'Выгр Торг'!$B:$Q,E$1,0)</f>
        <v>Электронная комбинация приборов "Ferrum Group" GF 890 PH2 (серебро) для Лада Ларгус FL, Nissan Terrano IV, Renault (Dokker, Duster (PH2), Duster Diesel (PH2), Logan II, Sandero II) (Без АБС, Серо-голубая)</v>
      </c>
      <c r="F699" s="127" t="str">
        <f>VLOOKUP($B699,'Выгр Торг'!$B:$Q,F$1,0)</f>
        <v>Y</v>
      </c>
      <c r="G699" s="127" t="str">
        <f>VLOOKUP($B699,'Выгр Торг'!$B:$Q,G$1,0)</f>
        <v>1</v>
      </c>
      <c r="H699" s="127"/>
      <c r="I699" s="159" t="s">
        <v>891</v>
      </c>
      <c r="J699" s="162"/>
      <c r="K699" s="162"/>
      <c r="L699" s="140">
        <f>VLOOKUP(I699,'Прайс Gamma'!$B:$H,3,0)+$K699+$J699</f>
        <v>75899</v>
      </c>
      <c r="M699" s="140">
        <f>VLOOKUP(I699,'Прайс Gamma'!$B:$H,4,0)+$K699+$J699</f>
        <v>78899</v>
      </c>
      <c r="N699" s="140"/>
      <c r="O699" s="132">
        <f t="shared" si="491"/>
        <v>1.0395262124665674</v>
      </c>
      <c r="P699" s="132">
        <f t="shared" si="452"/>
        <v>1.1499999999999999</v>
      </c>
      <c r="Q699" s="147">
        <f t="shared" si="492"/>
        <v>93853.602150537641</v>
      </c>
      <c r="R699" s="148">
        <f t="shared" si="493"/>
        <v>93890</v>
      </c>
      <c r="S699" s="127">
        <f>VLOOKUP($B699,'Выгр Торг'!$B:$Q,S$1,0)</f>
        <v>75899</v>
      </c>
      <c r="T699" s="127">
        <f>VLOOKUP($B699,'Выгр Торг'!$B:$Q,T$1,0)</f>
        <v>93890</v>
      </c>
      <c r="U699" s="94">
        <f t="shared" si="453"/>
        <v>0</v>
      </c>
      <c r="V699" s="94">
        <f t="shared" si="454"/>
        <v>0</v>
      </c>
      <c r="W699" s="153">
        <f t="shared" si="455"/>
        <v>87317.7</v>
      </c>
      <c r="X699" s="209">
        <f>IFERROR(VLOOKUP($B699,'Из ГУГЛа'!$B:$G,6,0)*Z699+Y699,VLOOKUP($B699,'Из ГУГЛа'!$B:$G,6,0))</f>
        <v>85890</v>
      </c>
      <c r="Y699" s="76"/>
      <c r="Z699" s="133">
        <v>1</v>
      </c>
      <c r="AA699" s="134"/>
      <c r="AB699" s="135">
        <f t="shared" si="456"/>
        <v>0.15044598743066451</v>
      </c>
      <c r="AC699" s="135">
        <f t="shared" si="457"/>
        <v>-1.6622424030736955E-2</v>
      </c>
      <c r="AD699" s="135">
        <f t="shared" si="458"/>
        <v>0.13163546291782491</v>
      </c>
      <c r="AE699" s="137">
        <v>85890</v>
      </c>
      <c r="AF699" s="98" t="s">
        <v>643</v>
      </c>
      <c r="AH699" s="98" t="s">
        <v>204</v>
      </c>
    </row>
    <row r="700" spans="1:34" ht="91.5" thickTop="1" thickBot="1">
      <c r="A700" s="125" t="str">
        <f>INDEX('Выгр Торг'!$A:$A,MATCH($B700,'Выгр Торг'!$B:$B,0))</f>
        <v>Электронная комбинация приборов "Ferrum Group" GF 890 PH2 (серебро) для Лада Ларгус FL, Nissan Terrano IV, Renault (Dokker, Duster (PH2), Duster Diesel (PH2), Logan II, Sandero II)</v>
      </c>
      <c r="B700" s="126">
        <v>319794</v>
      </c>
      <c r="C700" s="127">
        <f>VLOOKUP($B700,'Выгр Торг'!$B:$Q,C$1,0)</f>
        <v>319794</v>
      </c>
      <c r="D700" s="142" t="s">
        <v>204</v>
      </c>
      <c r="E700" s="125" t="str">
        <f>VLOOKUP($B700,'Выгр Торг'!$B:$Q,E$1,0)</f>
        <v>Электронная комбинация приборов "Ferrum Group" GF 890 PH2 (серебро) для Лада Ларгус FL, Nissan Terrano IV, Renault (Dokker, Duster (PH2), Duster Diesel (PH2), Logan II, Sandero II) (С АБС, Оранжевая)</v>
      </c>
      <c r="F700" s="127" t="str">
        <f>VLOOKUP($B700,'Выгр Торг'!$B:$Q,F$1,0)</f>
        <v>Y</v>
      </c>
      <c r="G700" s="127" t="str">
        <f>VLOOKUP($B700,'Выгр Торг'!$B:$Q,G$1,0)</f>
        <v>1</v>
      </c>
      <c r="H700" s="127"/>
      <c r="I700" s="159" t="s">
        <v>891</v>
      </c>
      <c r="J700" s="162"/>
      <c r="K700" s="162"/>
      <c r="L700" s="140">
        <f>VLOOKUP(I700,'Прайс Gamma'!$B:$H,3,0)+$K700+$J700</f>
        <v>75899</v>
      </c>
      <c r="M700" s="140">
        <f>VLOOKUP(I700,'Прайс Gamma'!$B:$H,4,0)+$K700+$J700</f>
        <v>78899</v>
      </c>
      <c r="N700" s="140"/>
      <c r="O700" s="132">
        <f t="shared" si="491"/>
        <v>1.0395262124665674</v>
      </c>
      <c r="P700" s="132">
        <f t="shared" si="452"/>
        <v>1.1499999999999999</v>
      </c>
      <c r="Q700" s="147">
        <f t="shared" si="492"/>
        <v>93853.602150537641</v>
      </c>
      <c r="R700" s="148">
        <f t="shared" si="493"/>
        <v>93890</v>
      </c>
      <c r="S700" s="127">
        <f>VLOOKUP($B700,'Выгр Торг'!$B:$Q,S$1,0)</f>
        <v>75899</v>
      </c>
      <c r="T700" s="127">
        <f>VLOOKUP($B700,'Выгр Торг'!$B:$Q,T$1,0)</f>
        <v>93890</v>
      </c>
      <c r="U700" s="94">
        <f t="shared" si="453"/>
        <v>0</v>
      </c>
      <c r="V700" s="94">
        <f t="shared" si="454"/>
        <v>0</v>
      </c>
      <c r="W700" s="153">
        <f t="shared" si="455"/>
        <v>87317.7</v>
      </c>
      <c r="X700" s="209">
        <f>IFERROR(VLOOKUP($B700,'Из ГУГЛа'!$B:$G,6,0)*Z700+Y700,VLOOKUP($B700,'Из ГУГЛа'!$B:$G,6,0))</f>
        <v>85890</v>
      </c>
      <c r="Y700" s="76"/>
      <c r="Z700" s="133">
        <v>1</v>
      </c>
      <c r="AA700" s="134"/>
      <c r="AB700" s="135">
        <f t="shared" si="456"/>
        <v>0.15044598743066451</v>
      </c>
      <c r="AC700" s="135">
        <f t="shared" si="457"/>
        <v>-1.6622424030736955E-2</v>
      </c>
      <c r="AD700" s="135">
        <f t="shared" si="458"/>
        <v>0.13163546291782491</v>
      </c>
      <c r="AE700" s="137">
        <v>85890</v>
      </c>
      <c r="AF700" s="98" t="s">
        <v>643</v>
      </c>
      <c r="AH700" s="98" t="s">
        <v>204</v>
      </c>
    </row>
    <row r="701" spans="1:34" ht="91.5" thickTop="1" thickBot="1">
      <c r="A701" s="125" t="str">
        <f>INDEX('Выгр Торг'!$A:$A,MATCH($B701,'Выгр Торг'!$B:$B,0))</f>
        <v>Электронная комбинация приборов "Ferrum Group" GF 890 PH2 (серебро) для Лада Ларгус FL, Nissan Terrano IV, Renault (Dokker, Duster (PH2), Duster Diesel (PH2), Logan II, Sandero II)</v>
      </c>
      <c r="B701" s="126">
        <v>319793</v>
      </c>
      <c r="C701" s="127">
        <f>VLOOKUP($B701,'Выгр Торг'!$B:$Q,C$1,0)</f>
        <v>319793</v>
      </c>
      <c r="D701" s="142" t="s">
        <v>204</v>
      </c>
      <c r="E701" s="125" t="str">
        <f>VLOOKUP($B701,'Выгр Торг'!$B:$Q,E$1,0)</f>
        <v>Электронная комбинация приборов "Ferrum Group" GF 890 PH2 (серебро) для Лада Ларгус FL, Nissan Terrano IV, Renault (Dokker, Duster (PH2), Duster Diesel (PH2), Logan II, Sandero II) (С АБС, Серо-голубая)</v>
      </c>
      <c r="F701" s="127" t="str">
        <f>VLOOKUP($B701,'Выгр Торг'!$B:$Q,F$1,0)</f>
        <v>Y</v>
      </c>
      <c r="G701" s="127" t="str">
        <f>VLOOKUP($B701,'Выгр Торг'!$B:$Q,G$1,0)</f>
        <v>1</v>
      </c>
      <c r="H701" s="127"/>
      <c r="I701" s="159" t="s">
        <v>891</v>
      </c>
      <c r="J701" s="162"/>
      <c r="K701" s="162"/>
      <c r="L701" s="140">
        <f>VLOOKUP(I701,'Прайс Gamma'!$B:$H,3,0)+$K701+$J701</f>
        <v>75899</v>
      </c>
      <c r="M701" s="140">
        <f>VLOOKUP(I701,'Прайс Gamma'!$B:$H,4,0)+$K701+$J701</f>
        <v>78899</v>
      </c>
      <c r="N701" s="140"/>
      <c r="O701" s="132">
        <f t="shared" si="491"/>
        <v>1.0395262124665674</v>
      </c>
      <c r="P701" s="132">
        <f t="shared" si="452"/>
        <v>1.1499999999999999</v>
      </c>
      <c r="Q701" s="147">
        <f t="shared" si="492"/>
        <v>93853.602150537641</v>
      </c>
      <c r="R701" s="148">
        <f t="shared" si="493"/>
        <v>93890</v>
      </c>
      <c r="S701" s="127">
        <f>VLOOKUP($B701,'Выгр Торг'!$B:$Q,S$1,0)</f>
        <v>75899</v>
      </c>
      <c r="T701" s="127">
        <f>VLOOKUP($B701,'Выгр Торг'!$B:$Q,T$1,0)</f>
        <v>93890</v>
      </c>
      <c r="U701" s="94">
        <f t="shared" si="453"/>
        <v>0</v>
      </c>
      <c r="V701" s="94">
        <f t="shared" si="454"/>
        <v>0</v>
      </c>
      <c r="W701" s="153">
        <f t="shared" si="455"/>
        <v>87317.7</v>
      </c>
      <c r="X701" s="209">
        <f>IFERROR(VLOOKUP($B701,'Из ГУГЛа'!$B:$G,6,0)*Z701+Y701,VLOOKUP($B701,'Из ГУГЛа'!$B:$G,6,0))</f>
        <v>85890</v>
      </c>
      <c r="Y701" s="76"/>
      <c r="Z701" s="133">
        <v>1</v>
      </c>
      <c r="AA701" s="134"/>
      <c r="AB701" s="135">
        <f t="shared" si="456"/>
        <v>0.15044598743066451</v>
      </c>
      <c r="AC701" s="135">
        <f t="shared" si="457"/>
        <v>-1.6622424030736955E-2</v>
      </c>
      <c r="AD701" s="135">
        <f t="shared" si="458"/>
        <v>0.13163546291782491</v>
      </c>
      <c r="AE701" s="137">
        <v>85890</v>
      </c>
      <c r="AF701" s="98" t="s">
        <v>643</v>
      </c>
      <c r="AH701" s="98" t="s">
        <v>204</v>
      </c>
    </row>
    <row r="702" spans="1:34" ht="91.5" thickTop="1" thickBot="1">
      <c r="A702" s="125" t="str">
        <f>INDEX('Выгр Торг'!$A:$A,MATCH($B702,'Выгр Торг'!$B:$B,0))</f>
        <v>Электронная комбинация приборов "Ferrum Group" GF 890 PH2 (хром) для для Лада Ларгус FL, Nissan Terrano IV, Renault (Dokker, Duster (PH2), Duster Diesel (PH2), Logan II, Sandero II)</v>
      </c>
      <c r="B702" s="126">
        <v>319807</v>
      </c>
      <c r="C702" s="127">
        <f>VLOOKUP($B702,'Выгр Торг'!$B:$Q,C$1,0)</f>
        <v>319807</v>
      </c>
      <c r="D702" s="142" t="s">
        <v>204</v>
      </c>
      <c r="E702" s="125" t="str">
        <f>VLOOKUP($B702,'Выгр Торг'!$B:$Q,E$1,0)</f>
        <v>Электронная комбинация приборов "Ferrum Group" GF 890 PH2 (хром) для для Лада Ларгус FL, Nissan Terrano IV, Renault (Dokker, Duster (PH2), Duster Diesel (PH2), Logan II, Sandero II) (Без АБС, Оранжевая)</v>
      </c>
      <c r="F702" s="127" t="str">
        <f>VLOOKUP($B702,'Выгр Торг'!$B:$Q,F$1,0)</f>
        <v>Y</v>
      </c>
      <c r="G702" s="127" t="str">
        <f>VLOOKUP($B702,'Выгр Торг'!$B:$Q,G$1,0)</f>
        <v>1</v>
      </c>
      <c r="H702" s="127"/>
      <c r="I702" s="159" t="s">
        <v>891</v>
      </c>
      <c r="J702" s="162"/>
      <c r="K702" s="162"/>
      <c r="L702" s="140">
        <f>VLOOKUP(I702,'Прайс Gamma'!$B:$H,3,0)+$K702+$J702</f>
        <v>75899</v>
      </c>
      <c r="M702" s="140">
        <f>VLOOKUP(I702,'Прайс Gamma'!$B:$H,4,0)+$K702+$J702</f>
        <v>78899</v>
      </c>
      <c r="N702" s="140"/>
      <c r="O702" s="132">
        <f t="shared" si="491"/>
        <v>1.0395262124665674</v>
      </c>
      <c r="P702" s="132">
        <f t="shared" si="452"/>
        <v>1.1499999999999999</v>
      </c>
      <c r="Q702" s="147">
        <f t="shared" si="492"/>
        <v>93853.602150537641</v>
      </c>
      <c r="R702" s="148">
        <f t="shared" si="493"/>
        <v>93890</v>
      </c>
      <c r="S702" s="127">
        <f>VLOOKUP($B702,'Выгр Торг'!$B:$Q,S$1,0)</f>
        <v>75899</v>
      </c>
      <c r="T702" s="127">
        <f>VLOOKUP($B702,'Выгр Торг'!$B:$Q,T$1,0)</f>
        <v>93890</v>
      </c>
      <c r="U702" s="94">
        <f t="shared" si="453"/>
        <v>0</v>
      </c>
      <c r="V702" s="94">
        <f t="shared" si="454"/>
        <v>0</v>
      </c>
      <c r="W702" s="153">
        <f t="shared" si="455"/>
        <v>87317.7</v>
      </c>
      <c r="X702" s="209">
        <f>IFERROR(VLOOKUP($B702,'Из ГУГЛа'!$B:$G,6,0)*Z702+Y702,VLOOKUP($B702,'Из ГУГЛа'!$B:$G,6,0))</f>
        <v>85890</v>
      </c>
      <c r="Y702" s="76"/>
      <c r="Z702" s="133">
        <v>1</v>
      </c>
      <c r="AA702" s="134"/>
      <c r="AB702" s="135">
        <f t="shared" si="456"/>
        <v>0.15044598743066451</v>
      </c>
      <c r="AC702" s="135">
        <f t="shared" si="457"/>
        <v>-1.6622424030736955E-2</v>
      </c>
      <c r="AD702" s="135">
        <f t="shared" si="458"/>
        <v>0.13163546291782491</v>
      </c>
      <c r="AE702" s="137">
        <v>85890</v>
      </c>
      <c r="AF702" s="98" t="s">
        <v>645</v>
      </c>
      <c r="AH702" s="98" t="s">
        <v>204</v>
      </c>
    </row>
    <row r="703" spans="1:34" ht="91.5" thickTop="1" thickBot="1">
      <c r="A703" s="125" t="str">
        <f>INDEX('Выгр Торг'!$A:$A,MATCH($B703,'Выгр Торг'!$B:$B,0))</f>
        <v>Электронная комбинация приборов "Ferrum Group" GF 890 PH2 (хром) для для Лада Ларгус FL, Nissan Terrano IV, Renault (Dokker, Duster (PH2), Duster Diesel (PH2), Logan II, Sandero II)</v>
      </c>
      <c r="B703" s="126">
        <v>319806</v>
      </c>
      <c r="C703" s="127">
        <f>VLOOKUP($B703,'Выгр Торг'!$B:$Q,C$1,0)</f>
        <v>319806</v>
      </c>
      <c r="D703" s="142" t="s">
        <v>204</v>
      </c>
      <c r="E703" s="125" t="str">
        <f>VLOOKUP($B703,'Выгр Торг'!$B:$Q,E$1,0)</f>
        <v>Электронная комбинация приборов "Ferrum Group" GF 890 PH2 (хром) для для Лада Ларгус FL, Nissan Terrano IV, Renault (Dokker, Duster (PH2), Duster Diesel (PH2), Logan II, Sandero II) (Без АБС, Серо-голубая)</v>
      </c>
      <c r="F703" s="127" t="str">
        <f>VLOOKUP($B703,'Выгр Торг'!$B:$Q,F$1,0)</f>
        <v>Y</v>
      </c>
      <c r="G703" s="127" t="str">
        <f>VLOOKUP($B703,'Выгр Торг'!$B:$Q,G$1,0)</f>
        <v>1</v>
      </c>
      <c r="H703" s="127"/>
      <c r="I703" s="159" t="s">
        <v>891</v>
      </c>
      <c r="J703" s="162"/>
      <c r="K703" s="162"/>
      <c r="L703" s="140">
        <f>VLOOKUP(I703,'Прайс Gamma'!$B:$H,3,0)+$K703+$J703</f>
        <v>75899</v>
      </c>
      <c r="M703" s="140">
        <f>VLOOKUP(I703,'Прайс Gamma'!$B:$H,4,0)+$K703+$J703</f>
        <v>78899</v>
      </c>
      <c r="N703" s="140"/>
      <c r="O703" s="132">
        <f t="shared" si="491"/>
        <v>1.0395262124665674</v>
      </c>
      <c r="P703" s="132">
        <f t="shared" si="452"/>
        <v>1.1499999999999999</v>
      </c>
      <c r="Q703" s="147">
        <f t="shared" si="492"/>
        <v>93853.602150537641</v>
      </c>
      <c r="R703" s="148">
        <f t="shared" si="493"/>
        <v>93890</v>
      </c>
      <c r="S703" s="127">
        <f>VLOOKUP($B703,'Выгр Торг'!$B:$Q,S$1,0)</f>
        <v>75899</v>
      </c>
      <c r="T703" s="127">
        <f>VLOOKUP($B703,'Выгр Торг'!$B:$Q,T$1,0)</f>
        <v>93890</v>
      </c>
      <c r="U703" s="94">
        <f t="shared" si="453"/>
        <v>0</v>
      </c>
      <c r="V703" s="94">
        <f t="shared" si="454"/>
        <v>0</v>
      </c>
      <c r="W703" s="153">
        <f t="shared" si="455"/>
        <v>87317.7</v>
      </c>
      <c r="X703" s="209">
        <f>IFERROR(VLOOKUP($B703,'Из ГУГЛа'!$B:$G,6,0)*Z703+Y703,VLOOKUP($B703,'Из ГУГЛа'!$B:$G,6,0))</f>
        <v>85890</v>
      </c>
      <c r="Y703" s="76"/>
      <c r="Z703" s="133">
        <v>1</v>
      </c>
      <c r="AA703" s="134"/>
      <c r="AB703" s="135">
        <f t="shared" si="456"/>
        <v>0.15044598743066451</v>
      </c>
      <c r="AC703" s="135">
        <f t="shared" si="457"/>
        <v>-1.6622424030736955E-2</v>
      </c>
      <c r="AD703" s="135">
        <f t="shared" si="458"/>
        <v>0.13163546291782491</v>
      </c>
      <c r="AE703" s="137">
        <v>85890</v>
      </c>
      <c r="AF703" s="98" t="s">
        <v>645</v>
      </c>
      <c r="AH703" s="98" t="s">
        <v>204</v>
      </c>
    </row>
    <row r="704" spans="1:34" ht="91.5" thickTop="1" thickBot="1">
      <c r="A704" s="125" t="str">
        <f>INDEX('Выгр Торг'!$A:$A,MATCH($B704,'Выгр Торг'!$B:$B,0))</f>
        <v>Электронная комбинация приборов "Ferrum Group" GF 890 PH2 (хром) для для Лада Ларгус FL, Nissan Terrano IV, Renault (Dokker, Duster (PH2), Duster Diesel (PH2), Logan II, Sandero II)</v>
      </c>
      <c r="B704" s="126">
        <v>319805</v>
      </c>
      <c r="C704" s="127">
        <f>VLOOKUP($B704,'Выгр Торг'!$B:$Q,C$1,0)</f>
        <v>319805</v>
      </c>
      <c r="D704" s="142" t="s">
        <v>204</v>
      </c>
      <c r="E704" s="125" t="str">
        <f>VLOOKUP($B704,'Выгр Торг'!$B:$Q,E$1,0)</f>
        <v>Электронная комбинация приборов "Ferrum Group" GF 890 PH2 (хром) для для Лада Ларгус FL, Nissan Terrano IV, Renault (Dokker, Duster (PH2), Duster Diesel (PH2), Logan II, Sandero II) (С АБС, Оранжевая)</v>
      </c>
      <c r="F704" s="127" t="str">
        <f>VLOOKUP($B704,'Выгр Торг'!$B:$Q,F$1,0)</f>
        <v>Y</v>
      </c>
      <c r="G704" s="127" t="str">
        <f>VLOOKUP($B704,'Выгр Торг'!$B:$Q,G$1,0)</f>
        <v>1</v>
      </c>
      <c r="H704" s="127"/>
      <c r="I704" s="159" t="s">
        <v>891</v>
      </c>
      <c r="J704" s="162"/>
      <c r="K704" s="162"/>
      <c r="L704" s="140">
        <f>VLOOKUP(I704,'Прайс Gamma'!$B:$H,3,0)+$K704+$J704</f>
        <v>75899</v>
      </c>
      <c r="M704" s="140">
        <f>VLOOKUP(I704,'Прайс Gamma'!$B:$H,4,0)+$K704+$J704</f>
        <v>78899</v>
      </c>
      <c r="N704" s="140"/>
      <c r="O704" s="132">
        <f t="shared" si="491"/>
        <v>1.0395262124665674</v>
      </c>
      <c r="P704" s="132">
        <f t="shared" si="452"/>
        <v>1.1499999999999999</v>
      </c>
      <c r="Q704" s="147">
        <f t="shared" si="492"/>
        <v>93853.602150537641</v>
      </c>
      <c r="R704" s="148">
        <f t="shared" si="493"/>
        <v>93890</v>
      </c>
      <c r="S704" s="127">
        <f>VLOOKUP($B704,'Выгр Торг'!$B:$Q,S$1,0)</f>
        <v>75899</v>
      </c>
      <c r="T704" s="127">
        <f>VLOOKUP($B704,'Выгр Торг'!$B:$Q,T$1,0)</f>
        <v>93890</v>
      </c>
      <c r="U704" s="94">
        <f t="shared" si="453"/>
        <v>0</v>
      </c>
      <c r="V704" s="94">
        <f t="shared" si="454"/>
        <v>0</v>
      </c>
      <c r="W704" s="153">
        <f t="shared" si="455"/>
        <v>87317.7</v>
      </c>
      <c r="X704" s="209">
        <f>IFERROR(VLOOKUP($B704,'Из ГУГЛа'!$B:$G,6,0)*Z704+Y704,VLOOKUP($B704,'Из ГУГЛа'!$B:$G,6,0))</f>
        <v>85890</v>
      </c>
      <c r="Y704" s="76"/>
      <c r="Z704" s="133">
        <v>1</v>
      </c>
      <c r="AA704" s="134"/>
      <c r="AB704" s="135">
        <f t="shared" si="456"/>
        <v>0.15044598743066451</v>
      </c>
      <c r="AC704" s="135">
        <f t="shared" si="457"/>
        <v>-1.6622424030736955E-2</v>
      </c>
      <c r="AD704" s="135">
        <f t="shared" si="458"/>
        <v>0.13163546291782491</v>
      </c>
      <c r="AE704" s="137">
        <v>85890</v>
      </c>
      <c r="AF704" s="98" t="s">
        <v>645</v>
      </c>
      <c r="AH704" s="98" t="s">
        <v>204</v>
      </c>
    </row>
    <row r="705" spans="1:34" ht="91.5" thickTop="1" thickBot="1">
      <c r="A705" s="125" t="str">
        <f>INDEX('Выгр Торг'!$A:$A,MATCH($B705,'Выгр Торг'!$B:$B,0))</f>
        <v>Электронная комбинация приборов "Ferrum Group" GF 890 PH2 (хром) для для Лада Ларгус FL, Nissan Terrano IV, Renault (Dokker, Duster (PH2), Duster Diesel (PH2), Logan II, Sandero II)</v>
      </c>
      <c r="B705" s="126">
        <v>319804</v>
      </c>
      <c r="C705" s="127">
        <f>VLOOKUP($B705,'Выгр Торг'!$B:$Q,C$1,0)</f>
        <v>319804</v>
      </c>
      <c r="D705" s="142" t="s">
        <v>204</v>
      </c>
      <c r="E705" s="125" t="str">
        <f>VLOOKUP($B705,'Выгр Торг'!$B:$Q,E$1,0)</f>
        <v>Электронная комбинация приборов "Ferrum Group" GF 890 PH2 (хром) для для Лада Ларгус FL, Nissan Terrano IV, Renault (Dokker, Duster (PH2), Duster Diesel (PH2), Logan II, Sandero II) (С АБС, Серо-голубая)</v>
      </c>
      <c r="F705" s="127" t="str">
        <f>VLOOKUP($B705,'Выгр Торг'!$B:$Q,F$1,0)</f>
        <v>Y</v>
      </c>
      <c r="G705" s="127" t="str">
        <f>VLOOKUP($B705,'Выгр Торг'!$B:$Q,G$1,0)</f>
        <v>1</v>
      </c>
      <c r="H705" s="127"/>
      <c r="I705" s="159" t="s">
        <v>891</v>
      </c>
      <c r="J705" s="162"/>
      <c r="K705" s="162"/>
      <c r="L705" s="140">
        <f>VLOOKUP(I705,'Прайс Gamma'!$B:$H,3,0)+$K705+$J705</f>
        <v>75899</v>
      </c>
      <c r="M705" s="140">
        <f>VLOOKUP(I705,'Прайс Gamma'!$B:$H,4,0)+$K705+$J705</f>
        <v>78899</v>
      </c>
      <c r="N705" s="140"/>
      <c r="O705" s="132">
        <f t="shared" si="491"/>
        <v>1.0395262124665674</v>
      </c>
      <c r="P705" s="132">
        <f t="shared" si="452"/>
        <v>1.1499999999999999</v>
      </c>
      <c r="Q705" s="147">
        <f t="shared" si="492"/>
        <v>93853.602150537641</v>
      </c>
      <c r="R705" s="148">
        <f t="shared" si="493"/>
        <v>93890</v>
      </c>
      <c r="S705" s="127">
        <f>VLOOKUP($B705,'Выгр Торг'!$B:$Q,S$1,0)</f>
        <v>75899</v>
      </c>
      <c r="T705" s="127">
        <f>VLOOKUP($B705,'Выгр Торг'!$B:$Q,T$1,0)</f>
        <v>93890</v>
      </c>
      <c r="U705" s="94">
        <f t="shared" si="453"/>
        <v>0</v>
      </c>
      <c r="V705" s="94">
        <f t="shared" si="454"/>
        <v>0</v>
      </c>
      <c r="W705" s="153">
        <f t="shared" si="455"/>
        <v>87317.7</v>
      </c>
      <c r="X705" s="209">
        <f>IFERROR(VLOOKUP($B705,'Из ГУГЛа'!$B:$G,6,0)*Z705+Y705,VLOOKUP($B705,'Из ГУГЛа'!$B:$G,6,0))</f>
        <v>85890</v>
      </c>
      <c r="Y705" s="76"/>
      <c r="Z705" s="133">
        <v>1</v>
      </c>
      <c r="AA705" s="134"/>
      <c r="AB705" s="135">
        <f t="shared" si="456"/>
        <v>0.15044598743066451</v>
      </c>
      <c r="AC705" s="135">
        <f t="shared" si="457"/>
        <v>-1.6622424030736955E-2</v>
      </c>
      <c r="AD705" s="135">
        <f t="shared" si="458"/>
        <v>0.13163546291782491</v>
      </c>
      <c r="AE705" s="137">
        <v>85890</v>
      </c>
      <c r="AF705" s="98" t="s">
        <v>645</v>
      </c>
      <c r="AH705" s="98" t="s">
        <v>204</v>
      </c>
    </row>
    <row r="706" spans="1:34" ht="106.5" thickTop="1" thickBot="1">
      <c r="A706" s="125" t="str">
        <f>INDEX('Выгр Торг'!$A:$A,MATCH($B706,'Выгр Торг'!$B:$B,0))</f>
        <v>Электронная комбинация приборов "Ferrum Group" GF 890 PH2 (чёрные кольца) для Лада Ларгус FL, Nissan Terrano IV, Renault (Dokker, Duster (PH2), Duster Diesel (PH2), Logan II, Sandero II)</v>
      </c>
      <c r="B706" s="126">
        <v>319839</v>
      </c>
      <c r="C706" s="127">
        <f>VLOOKUP($B706,'Выгр Торг'!$B:$Q,C$1,0)</f>
        <v>319839</v>
      </c>
      <c r="D706" s="142" t="s">
        <v>204</v>
      </c>
      <c r="E706" s="125" t="str">
        <f>VLOOKUP($B706,'Выгр Торг'!$B:$Q,E$1,0)</f>
        <v>Электронная комбинация приборов "Ferrum Group" GF 890 PH2 (чёрные кольца) для Лада Ларгус FL, Nissan Terrano IV, Renault (Dokker, Duster (PH2), Duster Diesel (PH2), Logan II, Sandero II) (Без АБС, Оранжевая)</v>
      </c>
      <c r="F706" s="127" t="str">
        <f>VLOOKUP($B706,'Выгр Торг'!$B:$Q,F$1,0)</f>
        <v>Y</v>
      </c>
      <c r="G706" s="127" t="str">
        <f>VLOOKUP($B706,'Выгр Торг'!$B:$Q,G$1,0)</f>
        <v>1</v>
      </c>
      <c r="H706" s="127"/>
      <c r="I706" s="159" t="s">
        <v>891</v>
      </c>
      <c r="J706" s="162"/>
      <c r="K706" s="162"/>
      <c r="L706" s="140">
        <f>VLOOKUP(I706,'Прайс Gamma'!$B:$H,3,0)+$K706+$J706</f>
        <v>75899</v>
      </c>
      <c r="M706" s="140">
        <f>VLOOKUP(I706,'Прайс Gamma'!$B:$H,4,0)+$K706+$J706</f>
        <v>78899</v>
      </c>
      <c r="N706" s="140"/>
      <c r="O706" s="132">
        <f t="shared" si="491"/>
        <v>1.0395262124665674</v>
      </c>
      <c r="P706" s="132">
        <f t="shared" si="452"/>
        <v>1.1499999999999999</v>
      </c>
      <c r="Q706" s="147">
        <f t="shared" si="492"/>
        <v>93853.602150537641</v>
      </c>
      <c r="R706" s="148">
        <f t="shared" si="493"/>
        <v>93890</v>
      </c>
      <c r="S706" s="127">
        <f>VLOOKUP($B706,'Выгр Торг'!$B:$Q,S$1,0)</f>
        <v>75899</v>
      </c>
      <c r="T706" s="127">
        <f>VLOOKUP($B706,'Выгр Торг'!$B:$Q,T$1,0)</f>
        <v>93890</v>
      </c>
      <c r="U706" s="94">
        <f t="shared" si="453"/>
        <v>0</v>
      </c>
      <c r="V706" s="94">
        <f t="shared" si="454"/>
        <v>0</v>
      </c>
      <c r="W706" s="153">
        <f t="shared" si="455"/>
        <v>87317.7</v>
      </c>
      <c r="X706" s="209">
        <f>IFERROR(VLOOKUP($B706,'Из ГУГЛа'!$B:$G,6,0)*Z706+Y706,VLOOKUP($B706,'Из ГУГЛа'!$B:$G,6,0))</f>
        <v>85890</v>
      </c>
      <c r="Y706" s="76"/>
      <c r="Z706" s="133">
        <v>1</v>
      </c>
      <c r="AA706" s="134"/>
      <c r="AB706" s="135">
        <f t="shared" si="456"/>
        <v>0.15044598743066451</v>
      </c>
      <c r="AC706" s="135">
        <f t="shared" si="457"/>
        <v>-1.6622424030736955E-2</v>
      </c>
      <c r="AD706" s="135">
        <f t="shared" si="458"/>
        <v>0.13163546291782491</v>
      </c>
      <c r="AE706" s="137">
        <v>85890</v>
      </c>
      <c r="AF706" s="98" t="s">
        <v>644</v>
      </c>
      <c r="AH706" s="98" t="s">
        <v>204</v>
      </c>
    </row>
    <row r="707" spans="1:34" ht="106.5" thickTop="1" thickBot="1">
      <c r="A707" s="125" t="str">
        <f>INDEX('Выгр Торг'!$A:$A,MATCH($B707,'Выгр Торг'!$B:$B,0))</f>
        <v>Электронная комбинация приборов "Ferrum Group" GF 890 PH2 (чёрные кольца) для Лада Ларгус FL, Nissan Terrano IV, Renault (Dokker, Duster (PH2), Duster Diesel (PH2), Logan II, Sandero II)</v>
      </c>
      <c r="B707" s="126">
        <v>319838</v>
      </c>
      <c r="C707" s="127">
        <f>VLOOKUP($B707,'Выгр Торг'!$B:$Q,C$1,0)</f>
        <v>319838</v>
      </c>
      <c r="D707" s="142" t="s">
        <v>204</v>
      </c>
      <c r="E707" s="125" t="str">
        <f>VLOOKUP($B707,'Выгр Торг'!$B:$Q,E$1,0)</f>
        <v>Электронная комбинация приборов "Ferrum Group" GF 890 PH2 (чёрные кольца) для Лада Ларгус FL, Nissan Terrano IV, Renault (Dokker, Duster (PH2), Duster Diesel (PH2), Logan II, Sandero II) (Без АБС, Серо-голубая)</v>
      </c>
      <c r="F707" s="127" t="str">
        <f>VLOOKUP($B707,'Выгр Торг'!$B:$Q,F$1,0)</f>
        <v>Y</v>
      </c>
      <c r="G707" s="127" t="str">
        <f>VLOOKUP($B707,'Выгр Торг'!$B:$Q,G$1,0)</f>
        <v>1</v>
      </c>
      <c r="H707" s="127"/>
      <c r="I707" s="159" t="s">
        <v>891</v>
      </c>
      <c r="J707" s="162"/>
      <c r="K707" s="162"/>
      <c r="L707" s="140">
        <f>VLOOKUP(I707,'Прайс Gamma'!$B:$H,3,0)+$K707+$J707</f>
        <v>75899</v>
      </c>
      <c r="M707" s="140">
        <f>VLOOKUP(I707,'Прайс Gamma'!$B:$H,4,0)+$K707+$J707</f>
        <v>78899</v>
      </c>
      <c r="N707" s="140"/>
      <c r="O707" s="132">
        <f t="shared" si="491"/>
        <v>1.0395262124665674</v>
      </c>
      <c r="P707" s="132">
        <f t="shared" si="452"/>
        <v>1.1499999999999999</v>
      </c>
      <c r="Q707" s="147">
        <f t="shared" si="492"/>
        <v>93853.602150537641</v>
      </c>
      <c r="R707" s="148">
        <f t="shared" si="493"/>
        <v>93890</v>
      </c>
      <c r="S707" s="127">
        <f>VLOOKUP($B707,'Выгр Торг'!$B:$Q,S$1,0)</f>
        <v>75899</v>
      </c>
      <c r="T707" s="127">
        <f>VLOOKUP($B707,'Выгр Торг'!$B:$Q,T$1,0)</f>
        <v>93890</v>
      </c>
      <c r="U707" s="94">
        <f t="shared" si="453"/>
        <v>0</v>
      </c>
      <c r="V707" s="94">
        <f t="shared" si="454"/>
        <v>0</v>
      </c>
      <c r="W707" s="153">
        <f t="shared" si="455"/>
        <v>87317.7</v>
      </c>
      <c r="X707" s="209">
        <f>IFERROR(VLOOKUP($B707,'Из ГУГЛа'!$B:$G,6,0)*Z707+Y707,VLOOKUP($B707,'Из ГУГЛа'!$B:$G,6,0))</f>
        <v>85890</v>
      </c>
      <c r="Y707" s="76"/>
      <c r="Z707" s="133">
        <v>1</v>
      </c>
      <c r="AA707" s="134"/>
      <c r="AB707" s="135">
        <f t="shared" si="456"/>
        <v>0.15044598743066451</v>
      </c>
      <c r="AC707" s="135">
        <f t="shared" si="457"/>
        <v>-1.6622424030736955E-2</v>
      </c>
      <c r="AD707" s="135">
        <f t="shared" si="458"/>
        <v>0.13163546291782491</v>
      </c>
      <c r="AE707" s="137">
        <v>85890</v>
      </c>
      <c r="AF707" s="98" t="s">
        <v>644</v>
      </c>
      <c r="AH707" s="98" t="s">
        <v>204</v>
      </c>
    </row>
    <row r="708" spans="1:34" ht="106.5" thickTop="1" thickBot="1">
      <c r="A708" s="125" t="str">
        <f>INDEX('Выгр Торг'!$A:$A,MATCH($B708,'Выгр Торг'!$B:$B,0))</f>
        <v>Электронная комбинация приборов "Ferrum Group" GF 890 PH2 (чёрные кольца) для Лада Ларгус FL, Nissan Terrano IV, Renault (Dokker, Duster (PH2), Duster Diesel (PH2), Logan II, Sandero II)</v>
      </c>
      <c r="B708" s="126">
        <v>319837</v>
      </c>
      <c r="C708" s="127">
        <f>VLOOKUP($B708,'Выгр Торг'!$B:$Q,C$1,0)</f>
        <v>319837</v>
      </c>
      <c r="D708" s="142" t="s">
        <v>204</v>
      </c>
      <c r="E708" s="125" t="str">
        <f>VLOOKUP($B708,'Выгр Торг'!$B:$Q,E$1,0)</f>
        <v>Электронная комбинация приборов "Ferrum Group" GF 890 PH2 (чёрные кольца) для Лада Ларгус FL, Nissan Terrano IV, Renault (Dokker, Duster (PH2), Duster Diesel (PH2), Logan II, Sandero II) (С АБС, Оранжевая)</v>
      </c>
      <c r="F708" s="127" t="str">
        <f>VLOOKUP($B708,'Выгр Торг'!$B:$Q,F$1,0)</f>
        <v>Y</v>
      </c>
      <c r="G708" s="127" t="str">
        <f>VLOOKUP($B708,'Выгр Торг'!$B:$Q,G$1,0)</f>
        <v>1</v>
      </c>
      <c r="H708" s="127"/>
      <c r="I708" s="159" t="s">
        <v>891</v>
      </c>
      <c r="J708" s="162"/>
      <c r="K708" s="162"/>
      <c r="L708" s="140">
        <f>VLOOKUP(I708,'Прайс Gamma'!$B:$H,3,0)+$K708+$J708</f>
        <v>75899</v>
      </c>
      <c r="M708" s="140">
        <f>VLOOKUP(I708,'Прайс Gamma'!$B:$H,4,0)+$K708+$J708</f>
        <v>78899</v>
      </c>
      <c r="N708" s="140"/>
      <c r="O708" s="132">
        <f t="shared" si="491"/>
        <v>1.0395262124665674</v>
      </c>
      <c r="P708" s="132">
        <f t="shared" ref="P708:P771" si="494">IF(O708&lt;=$P$1,$P$1,O708)</f>
        <v>1.1499999999999999</v>
      </c>
      <c r="Q708" s="147">
        <f t="shared" si="492"/>
        <v>93853.602150537641</v>
      </c>
      <c r="R708" s="148">
        <f t="shared" si="493"/>
        <v>93890</v>
      </c>
      <c r="S708" s="127">
        <f>VLOOKUP($B708,'Выгр Торг'!$B:$Q,S$1,0)</f>
        <v>75899</v>
      </c>
      <c r="T708" s="127">
        <f>VLOOKUP($B708,'Выгр Торг'!$B:$Q,T$1,0)</f>
        <v>93890</v>
      </c>
      <c r="U708" s="94">
        <f t="shared" ref="U708:U771" si="495">S708-L708</f>
        <v>0</v>
      </c>
      <c r="V708" s="94">
        <f t="shared" ref="V708:V771" si="496">T708-R708</f>
        <v>0</v>
      </c>
      <c r="W708" s="153">
        <f t="shared" si="455"/>
        <v>87317.7</v>
      </c>
      <c r="X708" s="209">
        <f>IFERROR(VLOOKUP($B708,'Из ГУГЛа'!$B:$G,6,0)*Z708+Y708,VLOOKUP($B708,'Из ГУГЛа'!$B:$G,6,0))</f>
        <v>85890</v>
      </c>
      <c r="Y708" s="76"/>
      <c r="Z708" s="133">
        <v>1</v>
      </c>
      <c r="AA708" s="134"/>
      <c r="AB708" s="135">
        <f t="shared" si="456"/>
        <v>0.15044598743066451</v>
      </c>
      <c r="AC708" s="135">
        <f t="shared" si="457"/>
        <v>-1.6622424030736955E-2</v>
      </c>
      <c r="AD708" s="135">
        <f t="shared" si="458"/>
        <v>0.13163546291782491</v>
      </c>
      <c r="AE708" s="137">
        <v>85890</v>
      </c>
      <c r="AF708" s="98" t="s">
        <v>644</v>
      </c>
      <c r="AH708" s="98" t="s">
        <v>204</v>
      </c>
    </row>
    <row r="709" spans="1:34" ht="106.5" thickTop="1" thickBot="1">
      <c r="A709" s="125" t="str">
        <f>INDEX('Выгр Торг'!$A:$A,MATCH($B709,'Выгр Торг'!$B:$B,0))</f>
        <v>Электронная комбинация приборов "Ferrum Group" GF 890 PH2 (чёрные кольца) для Лада Ларгус FL, Nissan Terrano IV, Renault (Dokker, Duster (PH2), Duster Diesel (PH2), Logan II, Sandero II)</v>
      </c>
      <c r="B709" s="126">
        <v>319836</v>
      </c>
      <c r="C709" s="127">
        <f>VLOOKUP($B709,'Выгр Торг'!$B:$Q,C$1,0)</f>
        <v>319836</v>
      </c>
      <c r="D709" s="142" t="s">
        <v>204</v>
      </c>
      <c r="E709" s="125" t="str">
        <f>VLOOKUP($B709,'Выгр Торг'!$B:$Q,E$1,0)</f>
        <v>Электронная комбинация приборов "Ferrum Group" GF 890 PH2 (чёрные кольца) для Лада Ларгус FL, Nissan Terrano IV, Renault (Dokker, Duster (PH2), Duster Diesel (PH2), Logan II, Sandero II) (С АБС, Серо-голубая)</v>
      </c>
      <c r="F709" s="127" t="str">
        <f>VLOOKUP($B709,'Выгр Торг'!$B:$Q,F$1,0)</f>
        <v>Y</v>
      </c>
      <c r="G709" s="127" t="str">
        <f>VLOOKUP($B709,'Выгр Торг'!$B:$Q,G$1,0)</f>
        <v>1</v>
      </c>
      <c r="H709" s="127"/>
      <c r="I709" s="159" t="s">
        <v>891</v>
      </c>
      <c r="J709" s="162"/>
      <c r="K709" s="162"/>
      <c r="L709" s="140">
        <f>VLOOKUP(I709,'Прайс Gamma'!$B:$H,3,0)+$K709+$J709</f>
        <v>75899</v>
      </c>
      <c r="M709" s="140">
        <f>VLOOKUP(I709,'Прайс Gamma'!$B:$H,4,0)+$K709+$J709</f>
        <v>78899</v>
      </c>
      <c r="N709" s="140"/>
      <c r="O709" s="132">
        <f t="shared" si="491"/>
        <v>1.0395262124665674</v>
      </c>
      <c r="P709" s="132">
        <f t="shared" si="494"/>
        <v>1.1499999999999999</v>
      </c>
      <c r="Q709" s="147">
        <f t="shared" si="492"/>
        <v>93853.602150537641</v>
      </c>
      <c r="R709" s="148">
        <f t="shared" si="493"/>
        <v>93890</v>
      </c>
      <c r="S709" s="127">
        <f>VLOOKUP($B709,'Выгр Торг'!$B:$Q,S$1,0)</f>
        <v>75899</v>
      </c>
      <c r="T709" s="127">
        <f>VLOOKUP($B709,'Выгр Торг'!$B:$Q,T$1,0)</f>
        <v>93890</v>
      </c>
      <c r="U709" s="94">
        <f t="shared" si="495"/>
        <v>0</v>
      </c>
      <c r="V709" s="94">
        <f t="shared" si="496"/>
        <v>0</v>
      </c>
      <c r="W709" s="153">
        <f t="shared" si="455"/>
        <v>87317.7</v>
      </c>
      <c r="X709" s="209">
        <f>IFERROR(VLOOKUP($B709,'Из ГУГЛа'!$B:$G,6,0)*Z709+Y709,VLOOKUP($B709,'Из ГУГЛа'!$B:$G,6,0))</f>
        <v>85890</v>
      </c>
      <c r="Y709" s="76"/>
      <c r="Z709" s="133">
        <v>1</v>
      </c>
      <c r="AA709" s="134"/>
      <c r="AB709" s="135">
        <f t="shared" si="456"/>
        <v>0.15044598743066451</v>
      </c>
      <c r="AC709" s="135">
        <f t="shared" si="457"/>
        <v>-1.6622424030736955E-2</v>
      </c>
      <c r="AD709" s="135">
        <f t="shared" si="458"/>
        <v>0.13163546291782491</v>
      </c>
      <c r="AE709" s="137">
        <v>85890</v>
      </c>
      <c r="AF709" s="98" t="s">
        <v>644</v>
      </c>
      <c r="AH709" s="98" t="s">
        <v>204</v>
      </c>
    </row>
    <row r="710" spans="1:34" ht="46.5" thickTop="1" thickBot="1">
      <c r="A710" s="125" t="str">
        <f>INDEX('Выгр Торг'!$A:$A,MATCH($B710,'Выгр Торг'!$B:$B,0))</f>
        <v>Электронная комбинация приборов "Ferrum Group" GF 890 для Лада XRAY</v>
      </c>
      <c r="B710" s="126">
        <v>320059</v>
      </c>
      <c r="C710" s="127">
        <f>VLOOKUP($B710,'Выгр Торг'!$B:$Q,C$1,0)</f>
        <v>320059</v>
      </c>
      <c r="D710" s="142" t="s">
        <v>192</v>
      </c>
      <c r="E710" s="125" t="str">
        <f>VLOOKUP($B710,'Выгр Торг'!$B:$Q,E$1,0)</f>
        <v>Электронная комбинация приборов "Ferrum Group" GF 890 для Лада XRAY (Индикация оранжевая, Кольца титан)</v>
      </c>
      <c r="F710" s="127" t="str">
        <f>VLOOKUP($B710,'Выгр Торг'!$B:$Q,F$1,0)</f>
        <v>Y</v>
      </c>
      <c r="G710" s="127" t="str">
        <f>VLOOKUP($B710,'Выгр Торг'!$B:$Q,G$1,0)</f>
        <v>1</v>
      </c>
      <c r="H710" s="127"/>
      <c r="I710" s="159" t="s">
        <v>610</v>
      </c>
      <c r="J710" s="162"/>
      <c r="K710" s="162"/>
      <c r="L710" s="140">
        <f>VLOOKUP(I710,'Прайс Gamma'!$B:$H,3,0)+$K710+$J710</f>
        <v>78210</v>
      </c>
      <c r="M710" s="140">
        <f>VLOOKUP(I710,'Прайс Gamma'!$B:$H,4,0)+$K710+$J710</f>
        <v>81210</v>
      </c>
      <c r="N710" s="140"/>
      <c r="O710" s="132">
        <f t="shared" si="491"/>
        <v>1.0383582662063675</v>
      </c>
      <c r="P710" s="132">
        <f t="shared" si="494"/>
        <v>1.1499999999999999</v>
      </c>
      <c r="Q710" s="147">
        <f t="shared" si="492"/>
        <v>96711.290322580651</v>
      </c>
      <c r="R710" s="148">
        <f t="shared" si="493"/>
        <v>96790</v>
      </c>
      <c r="S710" s="127">
        <f>VLOOKUP($B710,'Выгр Торг'!$B:$Q,S$1,0)</f>
        <v>78210</v>
      </c>
      <c r="T710" s="127">
        <f>VLOOKUP($B710,'Выгр Торг'!$B:$Q,T$1,0)</f>
        <v>96790</v>
      </c>
      <c r="U710" s="94">
        <f t="shared" si="495"/>
        <v>0</v>
      </c>
      <c r="V710" s="94">
        <f t="shared" si="496"/>
        <v>0</v>
      </c>
      <c r="W710" s="153">
        <f t="shared" si="455"/>
        <v>90014.7</v>
      </c>
      <c r="X710" s="209">
        <f>IFERROR(VLOOKUP($B710,'Из ГУГЛа'!$B:$G,6,0)*Z710+Y710,VLOOKUP($B710,'Из ГУГЛа'!$B:$G,6,0))</f>
        <v>88190</v>
      </c>
      <c r="Y710" s="76"/>
      <c r="Z710" s="133">
        <v>1</v>
      </c>
      <c r="AA710" s="134"/>
      <c r="AB710" s="135">
        <f t="shared" si="456"/>
        <v>0.15093594169543523</v>
      </c>
      <c r="AC710" s="135">
        <f t="shared" si="457"/>
        <v>-2.0690554484635412E-2</v>
      </c>
      <c r="AD710" s="135">
        <f t="shared" si="458"/>
        <v>0.12760516557984913</v>
      </c>
      <c r="AE710" s="137">
        <v>88190</v>
      </c>
      <c r="AF710" s="98" t="s">
        <v>875</v>
      </c>
      <c r="AH710" s="98" t="s">
        <v>192</v>
      </c>
    </row>
    <row r="711" spans="1:34" ht="46.5" thickTop="1" thickBot="1">
      <c r="A711" s="176" t="str">
        <f>INDEX('Выгр Торг'!$A:$A,MATCH($B711,'Выгр Торг'!$B:$B,0))</f>
        <v>Электронная комбинация приборов "Ferrum Group" GF 890 для Лада XRAY</v>
      </c>
      <c r="B711" s="178">
        <v>364040</v>
      </c>
      <c r="C711" s="179">
        <f>VLOOKUP($B711,'Выгр Торг'!$B:$Q,C$1,0)</f>
        <v>364040</v>
      </c>
      <c r="D711" s="142" t="s">
        <v>192</v>
      </c>
      <c r="E711" s="176" t="str">
        <f>VLOOKUP($B711,'Выгр Торг'!$B:$Q,E$1,0)</f>
        <v>Электронная комбинация приборов "Ferrum Group" GF 890 для Лада XRAY (Индикация оранжевая, Кольца Hot Fire)</v>
      </c>
      <c r="F711" s="179" t="str">
        <f>VLOOKUP($B711,'Выгр Торг'!$B:$Q,F$1,0)</f>
        <v>Y</v>
      </c>
      <c r="G711" s="179" t="str">
        <f>VLOOKUP($B711,'Выгр Торг'!$B:$Q,G$1,0)</f>
        <v>1</v>
      </c>
      <c r="H711" s="179"/>
      <c r="I711" s="159" t="s">
        <v>610</v>
      </c>
      <c r="J711" s="162"/>
      <c r="K711" s="162"/>
      <c r="L711" s="185">
        <f>VLOOKUP(I711,'Прайс Gamma'!$B:$H,3,0)+$K711+$J711</f>
        <v>78210</v>
      </c>
      <c r="M711" s="185">
        <f>VLOOKUP(I711,'Прайс Gamma'!$B:$H,4,0)+$K711+$J711</f>
        <v>81210</v>
      </c>
      <c r="N711" s="185"/>
      <c r="O711" s="107">
        <f t="shared" ref="O711:O714" si="497">M711/L711</f>
        <v>1.0383582662063675</v>
      </c>
      <c r="P711" s="132">
        <f t="shared" si="494"/>
        <v>1.1499999999999999</v>
      </c>
      <c r="Q711" s="143">
        <f t="shared" ref="Q711:Q714" si="498">L711*P711*100/93</f>
        <v>96711.290322580651</v>
      </c>
      <c r="R711" s="144">
        <f t="shared" ref="R711:R714" si="499">IF(Q711&lt;=1000,(ROUNDUP(Q711,-2)-1),(ROUNDUP(Q711,-2)-10))</f>
        <v>96790</v>
      </c>
      <c r="S711" s="179">
        <f>VLOOKUP($B711,'Выгр Торг'!$B:$Q,S$1,0)</f>
        <v>78210</v>
      </c>
      <c r="T711" s="179">
        <f>VLOOKUP($B711,'Выгр Торг'!$B:$Q,T$1,0)</f>
        <v>96790</v>
      </c>
      <c r="U711" s="94">
        <f t="shared" si="495"/>
        <v>0</v>
      </c>
      <c r="V711" s="94">
        <f t="shared" si="496"/>
        <v>0</v>
      </c>
      <c r="W711" s="182">
        <f t="shared" ref="W711:W714" si="500">R711*(1-$W$2)</f>
        <v>90014.7</v>
      </c>
      <c r="X711" s="218" t="e">
        <f>IFERROR(VLOOKUP($B711,'Из ГУГЛа'!$B:$G,6,0)*Z711+Y711,VLOOKUP($B711,'Из ГУГЛа'!$B:$G,6,0))</f>
        <v>#N/A</v>
      </c>
      <c r="Y711" s="183"/>
      <c r="Z711" s="133">
        <v>1</v>
      </c>
      <c r="AA711" s="133"/>
      <c r="AB711" s="184">
        <f t="shared" ref="AB711:AB714" si="501">IFERROR(W711/L711-1,"")</f>
        <v>0.15093594169543523</v>
      </c>
      <c r="AC711" s="184">
        <f t="shared" ref="AC711:AC714" si="502">IFERROR((AE711-W711)/AE711,"")</f>
        <v>-2.0690554484635412E-2</v>
      </c>
      <c r="AD711" s="184">
        <f t="shared" ref="AD711:AD714" si="503">IFERROR(IF(AE711="","",AE711/L711-1),"")</f>
        <v>0.12760516557984913</v>
      </c>
      <c r="AE711" s="137">
        <v>88190</v>
      </c>
      <c r="AF711" s="98" t="s">
        <v>875</v>
      </c>
      <c r="AH711" s="98" t="s">
        <v>192</v>
      </c>
    </row>
    <row r="712" spans="1:34" ht="46.5" thickTop="1" thickBot="1">
      <c r="A712" s="176" t="str">
        <f>INDEX('Выгр Торг'!$A:$A,MATCH($B712,'Выгр Торг'!$B:$B,0))</f>
        <v>Электронная комбинация приборов "Ferrum Group" GF 890 для Лада XRAY</v>
      </c>
      <c r="B712" s="178">
        <v>364038</v>
      </c>
      <c r="C712" s="179">
        <f>VLOOKUP($B712,'Выгр Торг'!$B:$Q,C$1,0)</f>
        <v>364038</v>
      </c>
      <c r="D712" s="142" t="s">
        <v>192</v>
      </c>
      <c r="E712" s="176" t="str">
        <f>VLOOKUP($B712,'Выгр Торг'!$B:$Q,E$1,0)</f>
        <v>Электронная комбинация приборов "Ferrum Group" GF 890 для Лада XRAY (Индикация оранжевая, Кольца тёмный хром)</v>
      </c>
      <c r="F712" s="179" t="str">
        <f>VLOOKUP($B712,'Выгр Торг'!$B:$Q,F$1,0)</f>
        <v>Y</v>
      </c>
      <c r="G712" s="179" t="str">
        <f>VLOOKUP($B712,'Выгр Торг'!$B:$Q,G$1,0)</f>
        <v>1</v>
      </c>
      <c r="H712" s="179"/>
      <c r="I712" s="159" t="s">
        <v>610</v>
      </c>
      <c r="J712" s="162"/>
      <c r="K712" s="162"/>
      <c r="L712" s="185">
        <f>VLOOKUP(I712,'Прайс Gamma'!$B:$H,3,0)+$K712+$J712</f>
        <v>78210</v>
      </c>
      <c r="M712" s="185">
        <f>VLOOKUP(I712,'Прайс Gamma'!$B:$H,4,0)+$K712+$J712</f>
        <v>81210</v>
      </c>
      <c r="N712" s="185"/>
      <c r="O712" s="107">
        <f t="shared" si="497"/>
        <v>1.0383582662063675</v>
      </c>
      <c r="P712" s="132">
        <f t="shared" si="494"/>
        <v>1.1499999999999999</v>
      </c>
      <c r="Q712" s="143">
        <f t="shared" si="498"/>
        <v>96711.290322580651</v>
      </c>
      <c r="R712" s="144">
        <f t="shared" si="499"/>
        <v>96790</v>
      </c>
      <c r="S712" s="179">
        <f>VLOOKUP($B712,'Выгр Торг'!$B:$Q,S$1,0)</f>
        <v>78210</v>
      </c>
      <c r="T712" s="179">
        <f>VLOOKUP($B712,'Выгр Торг'!$B:$Q,T$1,0)</f>
        <v>96790</v>
      </c>
      <c r="U712" s="94">
        <f t="shared" si="495"/>
        <v>0</v>
      </c>
      <c r="V712" s="94">
        <f t="shared" si="496"/>
        <v>0</v>
      </c>
      <c r="W712" s="182">
        <f t="shared" si="500"/>
        <v>90014.7</v>
      </c>
      <c r="X712" s="218" t="e">
        <f>IFERROR(VLOOKUP($B712,'Из ГУГЛа'!$B:$G,6,0)*Z712+Y712,VLOOKUP($B712,'Из ГУГЛа'!$B:$G,6,0))</f>
        <v>#N/A</v>
      </c>
      <c r="Y712" s="183"/>
      <c r="Z712" s="133">
        <v>1</v>
      </c>
      <c r="AA712" s="133"/>
      <c r="AB712" s="184">
        <f t="shared" si="501"/>
        <v>0.15093594169543523</v>
      </c>
      <c r="AC712" s="184">
        <f t="shared" si="502"/>
        <v>-2.0690554484635412E-2</v>
      </c>
      <c r="AD712" s="184">
        <f t="shared" si="503"/>
        <v>0.12760516557984913</v>
      </c>
      <c r="AE712" s="137">
        <v>88190</v>
      </c>
      <c r="AF712" s="98" t="s">
        <v>875</v>
      </c>
      <c r="AH712" s="98" t="s">
        <v>192</v>
      </c>
    </row>
    <row r="713" spans="1:34" ht="46.5" thickTop="1" thickBot="1">
      <c r="A713" s="176" t="str">
        <f>INDEX('Выгр Торг'!$A:$A,MATCH($B713,'Выгр Торг'!$B:$B,0))</f>
        <v>Электронная комбинация приборов "Ferrum Group" GF 890 для Лада XRAY</v>
      </c>
      <c r="B713" s="178">
        <v>320058</v>
      </c>
      <c r="C713" s="179">
        <f>VLOOKUP($B713,'Выгр Торг'!$B:$Q,C$1,0)</f>
        <v>320058</v>
      </c>
      <c r="D713" s="142" t="s">
        <v>192</v>
      </c>
      <c r="E713" s="176" t="str">
        <f>VLOOKUP($B713,'Выгр Торг'!$B:$Q,E$1,0)</f>
        <v>Электронная комбинация приборов "Ferrum Group" GF 890 для Лада XRAY (Индикация серо-голубая, Кольца титан)</v>
      </c>
      <c r="F713" s="179" t="str">
        <f>VLOOKUP($B713,'Выгр Торг'!$B:$Q,F$1,0)</f>
        <v>Y</v>
      </c>
      <c r="G713" s="179" t="str">
        <f>VLOOKUP($B713,'Выгр Торг'!$B:$Q,G$1,0)</f>
        <v>1</v>
      </c>
      <c r="H713" s="179"/>
      <c r="I713" s="159" t="s">
        <v>610</v>
      </c>
      <c r="J713" s="162"/>
      <c r="K713" s="162"/>
      <c r="L713" s="185">
        <f>VLOOKUP(I713,'Прайс Gamma'!$B:$H,3,0)+$K713+$J713</f>
        <v>78210</v>
      </c>
      <c r="M713" s="185">
        <f>VLOOKUP(I713,'Прайс Gamma'!$B:$H,4,0)+$K713+$J713</f>
        <v>81210</v>
      </c>
      <c r="N713" s="185"/>
      <c r="O713" s="107">
        <f>M713/L713</f>
        <v>1.0383582662063675</v>
      </c>
      <c r="P713" s="132">
        <f t="shared" si="494"/>
        <v>1.1499999999999999</v>
      </c>
      <c r="Q713" s="143">
        <f>L713*P713*100/93</f>
        <v>96711.290322580651</v>
      </c>
      <c r="R713" s="144">
        <f>IF(Q713&lt;=1000,(ROUNDUP(Q713,-2)-1),(ROUNDUP(Q713,-2)-10))</f>
        <v>96790</v>
      </c>
      <c r="S713" s="179">
        <f>VLOOKUP($B713,'Выгр Торг'!$B:$Q,S$1,0)</f>
        <v>78210</v>
      </c>
      <c r="T713" s="179">
        <f>VLOOKUP($B713,'Выгр Торг'!$B:$Q,T$1,0)</f>
        <v>96790</v>
      </c>
      <c r="U713" s="94">
        <f t="shared" si="495"/>
        <v>0</v>
      </c>
      <c r="V713" s="94">
        <f t="shared" si="496"/>
        <v>0</v>
      </c>
      <c r="W713" s="182">
        <f>R713*(1-$W$2)</f>
        <v>90014.7</v>
      </c>
      <c r="X713" s="218">
        <f>IFERROR(VLOOKUP($B713,'Из ГУГЛа'!$B:$G,6,0)*Z713+Y713,VLOOKUP($B713,'Из ГУГЛа'!$B:$G,6,0))</f>
        <v>88190</v>
      </c>
      <c r="Y713" s="183"/>
      <c r="Z713" s="133">
        <v>1</v>
      </c>
      <c r="AA713" s="133"/>
      <c r="AB713" s="184">
        <f>IFERROR(W713/L713-1,"")</f>
        <v>0.15093594169543523</v>
      </c>
      <c r="AC713" s="184">
        <f>IFERROR((AE713-W713)/AE713,"")</f>
        <v>-2.0690554484635412E-2</v>
      </c>
      <c r="AD713" s="184">
        <f>IFERROR(IF(AE713="","",AE713/L713-1),"")</f>
        <v>0.12760516557984913</v>
      </c>
      <c r="AE713" s="137">
        <v>88190</v>
      </c>
      <c r="AF713" s="98" t="s">
        <v>875</v>
      </c>
      <c r="AH713" s="98" t="s">
        <v>192</v>
      </c>
    </row>
    <row r="714" spans="1:34" ht="46.5" thickTop="1" thickBot="1">
      <c r="A714" s="176" t="str">
        <f>INDEX('Выгр Торг'!$A:$A,MATCH($B714,'Выгр Торг'!$B:$B,0))</f>
        <v>Электронная комбинация приборов "Ferrum Group" GF 890 для Лада XRAY</v>
      </c>
      <c r="B714" s="178">
        <v>364039</v>
      </c>
      <c r="C714" s="179">
        <f>VLOOKUP($B714,'Выгр Торг'!$B:$Q,C$1,0)</f>
        <v>364039</v>
      </c>
      <c r="D714" s="142" t="s">
        <v>192</v>
      </c>
      <c r="E714" s="176" t="str">
        <f>VLOOKUP($B714,'Выгр Торг'!$B:$Q,E$1,0)</f>
        <v>Электронная комбинация приборов "Ferrum Group" GF 890 для Лада XRAY (Индикация серо-голубая, Кольца Hot Fire)</v>
      </c>
      <c r="F714" s="179" t="str">
        <f>VLOOKUP($B714,'Выгр Торг'!$B:$Q,F$1,0)</f>
        <v>Y</v>
      </c>
      <c r="G714" s="179" t="str">
        <f>VLOOKUP($B714,'Выгр Торг'!$B:$Q,G$1,0)</f>
        <v>1</v>
      </c>
      <c r="H714" s="179"/>
      <c r="I714" s="159" t="s">
        <v>610</v>
      </c>
      <c r="J714" s="162"/>
      <c r="K714" s="162"/>
      <c r="L714" s="185">
        <f>VLOOKUP(I714,'Прайс Gamma'!$B:$H,3,0)+$K714+$J714</f>
        <v>78210</v>
      </c>
      <c r="M714" s="185">
        <f>VLOOKUP(I714,'Прайс Gamma'!$B:$H,4,0)+$K714+$J714</f>
        <v>81210</v>
      </c>
      <c r="N714" s="185"/>
      <c r="O714" s="107">
        <f t="shared" si="497"/>
        <v>1.0383582662063675</v>
      </c>
      <c r="P714" s="132">
        <f t="shared" si="494"/>
        <v>1.1499999999999999</v>
      </c>
      <c r="Q714" s="143">
        <f t="shared" si="498"/>
        <v>96711.290322580651</v>
      </c>
      <c r="R714" s="144">
        <f t="shared" si="499"/>
        <v>96790</v>
      </c>
      <c r="S714" s="179">
        <f>VLOOKUP($B714,'Выгр Торг'!$B:$Q,S$1,0)</f>
        <v>78210</v>
      </c>
      <c r="T714" s="179">
        <f>VLOOKUP($B714,'Выгр Торг'!$B:$Q,T$1,0)</f>
        <v>96790</v>
      </c>
      <c r="U714" s="94">
        <f t="shared" si="495"/>
        <v>0</v>
      </c>
      <c r="V714" s="94">
        <f t="shared" si="496"/>
        <v>0</v>
      </c>
      <c r="W714" s="182">
        <f t="shared" si="500"/>
        <v>90014.7</v>
      </c>
      <c r="X714" s="218" t="e">
        <f>IFERROR(VLOOKUP($B714,'Из ГУГЛа'!$B:$G,6,0)*Z714+Y714,VLOOKUP($B714,'Из ГУГЛа'!$B:$G,6,0))</f>
        <v>#N/A</v>
      </c>
      <c r="Y714" s="183"/>
      <c r="Z714" s="133">
        <v>1</v>
      </c>
      <c r="AA714" s="133"/>
      <c r="AB714" s="184">
        <f t="shared" si="501"/>
        <v>0.15093594169543523</v>
      </c>
      <c r="AC714" s="184">
        <f t="shared" si="502"/>
        <v>-2.0690554484635412E-2</v>
      </c>
      <c r="AD714" s="184">
        <f t="shared" si="503"/>
        <v>0.12760516557984913</v>
      </c>
      <c r="AE714" s="137">
        <v>88190</v>
      </c>
      <c r="AF714" s="98" t="s">
        <v>875</v>
      </c>
      <c r="AH714" s="98" t="s">
        <v>192</v>
      </c>
    </row>
    <row r="715" spans="1:34" ht="46.5" thickTop="1" thickBot="1">
      <c r="A715" s="125" t="str">
        <f>INDEX('Выгр Торг'!$A:$A,MATCH($B715,'Выгр Торг'!$B:$B,0))</f>
        <v>Электронная комбинация приборов "Ferrum Group" GF 890 для Лада XRAY</v>
      </c>
      <c r="B715" s="126">
        <v>364037</v>
      </c>
      <c r="C715" s="127">
        <f>VLOOKUP($B715,'Выгр Торг'!$B:$Q,C$1,0)</f>
        <v>364037</v>
      </c>
      <c r="D715" s="142" t="s">
        <v>192</v>
      </c>
      <c r="E715" s="125" t="str">
        <f>VLOOKUP($B715,'Выгр Торг'!$B:$Q,E$1,0)</f>
        <v>Электронная комбинация приборов "Ferrum Group" GF 890 для Лада XRAY (Индикация серо-голубая, Кольца тёмный хром)</v>
      </c>
      <c r="F715" s="127" t="str">
        <f>VLOOKUP($B715,'Выгр Торг'!$B:$Q,F$1,0)</f>
        <v>Y</v>
      </c>
      <c r="G715" s="127" t="str">
        <f>VLOOKUP($B715,'Выгр Торг'!$B:$Q,G$1,0)</f>
        <v>1</v>
      </c>
      <c r="H715" s="127"/>
      <c r="I715" s="159" t="s">
        <v>610</v>
      </c>
      <c r="J715" s="162"/>
      <c r="K715" s="162"/>
      <c r="L715" s="140">
        <f>VLOOKUP(I715,'Прайс Gamma'!$B:$H,3,0)+$K715+$J715</f>
        <v>78210</v>
      </c>
      <c r="M715" s="140">
        <f>VLOOKUP(I715,'Прайс Gamma'!$B:$H,4,0)+$K715+$J715</f>
        <v>81210</v>
      </c>
      <c r="N715" s="140"/>
      <c r="O715" s="132">
        <f t="shared" si="491"/>
        <v>1.0383582662063675</v>
      </c>
      <c r="P715" s="132">
        <f t="shared" si="494"/>
        <v>1.1499999999999999</v>
      </c>
      <c r="Q715" s="147">
        <f t="shared" si="492"/>
        <v>96711.290322580651</v>
      </c>
      <c r="R715" s="148">
        <f t="shared" si="493"/>
        <v>96790</v>
      </c>
      <c r="S715" s="127">
        <f>VLOOKUP($B715,'Выгр Торг'!$B:$Q,S$1,0)</f>
        <v>78210</v>
      </c>
      <c r="T715" s="127">
        <f>VLOOKUP($B715,'Выгр Торг'!$B:$Q,T$1,0)</f>
        <v>96790</v>
      </c>
      <c r="U715" s="94">
        <f t="shared" si="495"/>
        <v>0</v>
      </c>
      <c r="V715" s="94">
        <f t="shared" si="496"/>
        <v>0</v>
      </c>
      <c r="W715" s="153">
        <f t="shared" si="455"/>
        <v>90014.7</v>
      </c>
      <c r="X715" s="209" t="e">
        <f>IFERROR(VLOOKUP($B715,'Из ГУГЛа'!$B:$G,6,0)*Z715+Y715,VLOOKUP($B715,'Из ГУГЛа'!$B:$G,6,0))</f>
        <v>#N/A</v>
      </c>
      <c r="Y715" s="76"/>
      <c r="Z715" s="133">
        <v>1</v>
      </c>
      <c r="AA715" s="134"/>
      <c r="AB715" s="135">
        <f t="shared" si="456"/>
        <v>0.15093594169543523</v>
      </c>
      <c r="AC715" s="135">
        <f t="shared" si="457"/>
        <v>-2.0690554484635412E-2</v>
      </c>
      <c r="AD715" s="135">
        <f t="shared" si="458"/>
        <v>0.12760516557984913</v>
      </c>
      <c r="AE715" s="137">
        <v>88190</v>
      </c>
      <c r="AF715" s="98" t="s">
        <v>875</v>
      </c>
      <c r="AH715" s="98" t="s">
        <v>192</v>
      </c>
    </row>
    <row r="716" spans="1:34" ht="46.5" thickTop="1" thickBot="1">
      <c r="A716" s="125" t="str">
        <f>INDEX('Выгр Торг'!$A:$A,MATCH($B716,'Выгр Торг'!$B:$B,0))</f>
        <v>Электронная комбинация приборов "Ferrum Group" GF 940 Light Edition для Лада Веста</v>
      </c>
      <c r="B716" s="126">
        <v>320076</v>
      </c>
      <c r="C716" s="127">
        <f>VLOOKUP($B716,'Выгр Торг'!$B:$Q,C$1,0)</f>
        <v>320076</v>
      </c>
      <c r="D716" s="142" t="s">
        <v>198</v>
      </c>
      <c r="E716" s="125" t="str">
        <f>VLOOKUP($B716,'Выгр Торг'!$B:$Q,E$1,0)</f>
        <v>Электронная комбинация приборов "Ferrum Group" GF 940 Light Edition для Лада Веста (Алькантара, Белые стрелки)</v>
      </c>
      <c r="F716" s="127" t="str">
        <f>VLOOKUP($B716,'Выгр Торг'!$B:$Q,F$1,0)</f>
        <v>Y</v>
      </c>
      <c r="G716" s="127" t="str">
        <f>VLOOKUP($B716,'Выгр Торг'!$B:$Q,G$1,0)</f>
        <v>1</v>
      </c>
      <c r="H716" s="127"/>
      <c r="I716" s="159" t="s">
        <v>361</v>
      </c>
      <c r="J716" s="162"/>
      <c r="K716" s="162">
        <v>1400</v>
      </c>
      <c r="L716" s="140">
        <f>VLOOKUP(I716,'Прайс Gamma'!$B:$H,3,0)+$K716+$J716</f>
        <v>74372</v>
      </c>
      <c r="M716" s="140">
        <f>VLOOKUP(I716,'Прайс Gamma'!$B:$H,4,0)+$K716+$J716</f>
        <v>77372</v>
      </c>
      <c r="N716" s="140"/>
      <c r="O716" s="132">
        <f t="shared" si="491"/>
        <v>1.0403377615231539</v>
      </c>
      <c r="P716" s="132">
        <f t="shared" si="494"/>
        <v>1.1499999999999999</v>
      </c>
      <c r="Q716" s="147">
        <f t="shared" si="492"/>
        <v>91965.376344086006</v>
      </c>
      <c r="R716" s="148">
        <f t="shared" si="493"/>
        <v>91990</v>
      </c>
      <c r="S716" s="127">
        <f>VLOOKUP($B716,'Выгр Торг'!$B:$Q,S$1,0)</f>
        <v>74372</v>
      </c>
      <c r="T716" s="127">
        <f>VLOOKUP($B716,'Выгр Торг'!$B:$Q,T$1,0)</f>
        <v>91990</v>
      </c>
      <c r="U716" s="94">
        <f t="shared" si="495"/>
        <v>0</v>
      </c>
      <c r="V716" s="94">
        <f t="shared" si="496"/>
        <v>0</v>
      </c>
      <c r="W716" s="153">
        <f t="shared" si="455"/>
        <v>85550.7</v>
      </c>
      <c r="X716" s="209">
        <f>IFERROR(VLOOKUP($B716,'Из ГУГЛа'!$B:$G,6,0)*Z716+Y716,VLOOKUP($B716,'Из ГУГЛа'!$B:$G,6,0))</f>
        <v>84810</v>
      </c>
      <c r="Y716" s="106">
        <f t="shared" ref="Y716:Y719" si="504">(J716+K716)*$Y$2</f>
        <v>1820</v>
      </c>
      <c r="Z716" s="133">
        <v>1</v>
      </c>
      <c r="AA716" s="134"/>
      <c r="AB716" s="135">
        <f t="shared" si="456"/>
        <v>0.15030791157962664</v>
      </c>
      <c r="AC716" s="135">
        <f t="shared" si="457"/>
        <v>-8.7336399009550411E-3</v>
      </c>
      <c r="AD716" s="135">
        <f t="shared" si="458"/>
        <v>0.14034851825956007</v>
      </c>
      <c r="AE716" s="222">
        <v>84810</v>
      </c>
      <c r="AF716" s="98" t="s">
        <v>560</v>
      </c>
      <c r="AH716" s="98" t="s">
        <v>198</v>
      </c>
    </row>
    <row r="717" spans="1:34" ht="46.5" thickTop="1" thickBot="1">
      <c r="A717" s="125" t="str">
        <f>INDEX('Выгр Торг'!$A:$A,MATCH($B717,'Выгр Торг'!$B:$B,0))</f>
        <v>Электронная комбинация приборов "Ferrum Group" GF 940 Light Edition для Лада Веста</v>
      </c>
      <c r="B717" s="126">
        <v>320077</v>
      </c>
      <c r="C717" s="127">
        <f>VLOOKUP($B717,'Выгр Торг'!$B:$Q,C$1,0)</f>
        <v>320077</v>
      </c>
      <c r="D717" s="142" t="s">
        <v>198</v>
      </c>
      <c r="E717" s="125" t="str">
        <f>VLOOKUP($B717,'Выгр Торг'!$B:$Q,E$1,0)</f>
        <v>Электронная комбинация приборов "Ferrum Group" GF 940 Light Edition для Лада Веста (Алькантара, Красные стрелки)</v>
      </c>
      <c r="F717" s="127" t="str">
        <f>VLOOKUP($B717,'Выгр Торг'!$B:$Q,F$1,0)</f>
        <v>Y</v>
      </c>
      <c r="G717" s="127" t="str">
        <f>VLOOKUP($B717,'Выгр Торг'!$B:$Q,G$1,0)</f>
        <v>1</v>
      </c>
      <c r="H717" s="127"/>
      <c r="I717" s="159" t="s">
        <v>361</v>
      </c>
      <c r="J717" s="162"/>
      <c r="K717" s="162">
        <v>1400</v>
      </c>
      <c r="L717" s="140">
        <f>VLOOKUP(I717,'Прайс Gamma'!$B:$H,3,0)+$K717+$J717</f>
        <v>74372</v>
      </c>
      <c r="M717" s="140">
        <f>VLOOKUP(I717,'Прайс Gamma'!$B:$H,4,0)+$K717+$J717</f>
        <v>77372</v>
      </c>
      <c r="N717" s="140"/>
      <c r="O717" s="132">
        <f t="shared" si="491"/>
        <v>1.0403377615231539</v>
      </c>
      <c r="P717" s="132">
        <f t="shared" si="494"/>
        <v>1.1499999999999999</v>
      </c>
      <c r="Q717" s="147">
        <f t="shared" si="492"/>
        <v>91965.376344086006</v>
      </c>
      <c r="R717" s="148">
        <f t="shared" si="493"/>
        <v>91990</v>
      </c>
      <c r="S717" s="127">
        <f>VLOOKUP($B717,'Выгр Торг'!$B:$Q,S$1,0)</f>
        <v>74372</v>
      </c>
      <c r="T717" s="127">
        <f>VLOOKUP($B717,'Выгр Торг'!$B:$Q,T$1,0)</f>
        <v>91990</v>
      </c>
      <c r="U717" s="94">
        <f t="shared" si="495"/>
        <v>0</v>
      </c>
      <c r="V717" s="94">
        <f t="shared" si="496"/>
        <v>0</v>
      </c>
      <c r="W717" s="153">
        <f t="shared" si="455"/>
        <v>85550.7</v>
      </c>
      <c r="X717" s="209">
        <f>IFERROR(VLOOKUP($B717,'Из ГУГЛа'!$B:$G,6,0)*Z717+Y717,VLOOKUP($B717,'Из ГУГЛа'!$B:$G,6,0))</f>
        <v>84810</v>
      </c>
      <c r="Y717" s="106">
        <f t="shared" si="504"/>
        <v>1820</v>
      </c>
      <c r="Z717" s="133">
        <v>1</v>
      </c>
      <c r="AA717" s="134"/>
      <c r="AB717" s="135">
        <f t="shared" si="456"/>
        <v>0.15030791157962664</v>
      </c>
      <c r="AC717" s="135">
        <f t="shared" si="457"/>
        <v>-8.7336399009550411E-3</v>
      </c>
      <c r="AD717" s="135">
        <f t="shared" si="458"/>
        <v>0.14034851825956007</v>
      </c>
      <c r="AE717" s="222">
        <v>84810</v>
      </c>
      <c r="AF717" s="98" t="s">
        <v>560</v>
      </c>
      <c r="AH717" s="98" t="s">
        <v>198</v>
      </c>
    </row>
    <row r="718" spans="1:34" ht="46.5" thickTop="1" thickBot="1">
      <c r="A718" s="125" t="str">
        <f>INDEX('Выгр Торг'!$A:$A,MATCH($B718,'Выгр Торг'!$B:$B,0))</f>
        <v>Электронная комбинация приборов "Ferrum Group" GF 940 Light Edition для Лада Веста</v>
      </c>
      <c r="B718" s="126">
        <v>320074</v>
      </c>
      <c r="C718" s="127">
        <f>VLOOKUP($B718,'Выгр Торг'!$B:$Q,C$1,0)</f>
        <v>320074</v>
      </c>
      <c r="D718" s="142" t="s">
        <v>198</v>
      </c>
      <c r="E718" s="125" t="str">
        <f>VLOOKUP($B718,'Выгр Торг'!$B:$Q,E$1,0)</f>
        <v>Электронная комбинация приборов "Ferrum Group" GF 940 Light Edition для Лада Веста (Пластик Soft-touch, Белые стрелки)</v>
      </c>
      <c r="F718" s="127" t="str">
        <f>VLOOKUP($B718,'Выгр Торг'!$B:$Q,F$1,0)</f>
        <v>Y</v>
      </c>
      <c r="G718" s="127" t="str">
        <f>VLOOKUP($B718,'Выгр Торг'!$B:$Q,G$1,0)</f>
        <v>1</v>
      </c>
      <c r="H718" s="127"/>
      <c r="I718" s="159" t="s">
        <v>361</v>
      </c>
      <c r="J718" s="162"/>
      <c r="K718" s="162">
        <v>700</v>
      </c>
      <c r="L718" s="140">
        <f>VLOOKUP(I718,'Прайс Gamma'!$B:$H,3,0)+$K718+$J718</f>
        <v>73672</v>
      </c>
      <c r="M718" s="140">
        <f>VLOOKUP(I718,'Прайс Gamma'!$B:$H,4,0)+$K718+$J718</f>
        <v>76672</v>
      </c>
      <c r="N718" s="140"/>
      <c r="O718" s="132">
        <f t="shared" si="491"/>
        <v>1.0407210337713106</v>
      </c>
      <c r="P718" s="132">
        <f t="shared" si="494"/>
        <v>1.1499999999999999</v>
      </c>
      <c r="Q718" s="147">
        <f t="shared" si="492"/>
        <v>91099.784946236541</v>
      </c>
      <c r="R718" s="148">
        <f t="shared" si="493"/>
        <v>91090</v>
      </c>
      <c r="S718" s="127">
        <f>VLOOKUP($B718,'Выгр Торг'!$B:$Q,S$1,0)</f>
        <v>73672</v>
      </c>
      <c r="T718" s="127">
        <f>VLOOKUP($B718,'Выгр Торг'!$B:$Q,T$1,0)</f>
        <v>91090</v>
      </c>
      <c r="U718" s="94">
        <f t="shared" si="495"/>
        <v>0</v>
      </c>
      <c r="V718" s="94">
        <f t="shared" si="496"/>
        <v>0</v>
      </c>
      <c r="W718" s="153">
        <f t="shared" si="455"/>
        <v>84713.7</v>
      </c>
      <c r="X718" s="209">
        <f>IFERROR(VLOOKUP($B718,'Из ГУГЛа'!$B:$G,6,0)*Z718+Y718,VLOOKUP($B718,'Из ГУГЛа'!$B:$G,6,0))</f>
        <v>83900</v>
      </c>
      <c r="Y718" s="106">
        <f t="shared" si="504"/>
        <v>910</v>
      </c>
      <c r="Z718" s="133">
        <v>1</v>
      </c>
      <c r="AA718" s="134"/>
      <c r="AB718" s="135">
        <f t="shared" si="456"/>
        <v>0.14987647953089356</v>
      </c>
      <c r="AC718" s="135">
        <f t="shared" si="457"/>
        <v>-9.6984505363527668E-3</v>
      </c>
      <c r="AD718" s="135">
        <f t="shared" si="458"/>
        <v>0.13883157780432187</v>
      </c>
      <c r="AE718" s="222">
        <v>83900</v>
      </c>
      <c r="AF718" s="98" t="s">
        <v>560</v>
      </c>
      <c r="AH718" s="98" t="s">
        <v>198</v>
      </c>
    </row>
    <row r="719" spans="1:34" ht="46.5" thickTop="1" thickBot="1">
      <c r="A719" s="125" t="str">
        <f>INDEX('Выгр Торг'!$A:$A,MATCH($B719,'Выгр Торг'!$B:$B,0))</f>
        <v>Электронная комбинация приборов "Ferrum Group" GF 940 Light Edition для Лада Веста</v>
      </c>
      <c r="B719" s="126">
        <v>320075</v>
      </c>
      <c r="C719" s="127">
        <f>VLOOKUP($B719,'Выгр Торг'!$B:$Q,C$1,0)</f>
        <v>320075</v>
      </c>
      <c r="D719" s="142" t="s">
        <v>198</v>
      </c>
      <c r="E719" s="125" t="str">
        <f>VLOOKUP($B719,'Выгр Торг'!$B:$Q,E$1,0)</f>
        <v>Электронная комбинация приборов "Ferrum Group" GF 940 Light Edition для Лада Веста (Пластик Soft-touch, Красные стрелки)</v>
      </c>
      <c r="F719" s="127" t="str">
        <f>VLOOKUP($B719,'Выгр Торг'!$B:$Q,F$1,0)</f>
        <v>Y</v>
      </c>
      <c r="G719" s="127" t="str">
        <f>VLOOKUP($B719,'Выгр Торг'!$B:$Q,G$1,0)</f>
        <v>1</v>
      </c>
      <c r="H719" s="127"/>
      <c r="I719" s="159" t="s">
        <v>361</v>
      </c>
      <c r="J719" s="162"/>
      <c r="K719" s="162">
        <v>700</v>
      </c>
      <c r="L719" s="140">
        <f>VLOOKUP(I719,'Прайс Gamma'!$B:$H,3,0)+$K719+$J719</f>
        <v>73672</v>
      </c>
      <c r="M719" s="140">
        <f>VLOOKUP(I719,'Прайс Gamma'!$B:$H,4,0)+$K719+$J719</f>
        <v>76672</v>
      </c>
      <c r="N719" s="140"/>
      <c r="O719" s="132">
        <f t="shared" si="491"/>
        <v>1.0407210337713106</v>
      </c>
      <c r="P719" s="132">
        <f t="shared" si="494"/>
        <v>1.1499999999999999</v>
      </c>
      <c r="Q719" s="147">
        <f t="shared" si="492"/>
        <v>91099.784946236541</v>
      </c>
      <c r="R719" s="148">
        <f t="shared" si="493"/>
        <v>91090</v>
      </c>
      <c r="S719" s="127">
        <f>VLOOKUP($B719,'Выгр Торг'!$B:$Q,S$1,0)</f>
        <v>73672</v>
      </c>
      <c r="T719" s="127">
        <f>VLOOKUP($B719,'Выгр Торг'!$B:$Q,T$1,0)</f>
        <v>91090</v>
      </c>
      <c r="U719" s="94">
        <f t="shared" si="495"/>
        <v>0</v>
      </c>
      <c r="V719" s="94">
        <f t="shared" si="496"/>
        <v>0</v>
      </c>
      <c r="W719" s="153">
        <f t="shared" si="455"/>
        <v>84713.7</v>
      </c>
      <c r="X719" s="209">
        <f>IFERROR(VLOOKUP($B719,'Из ГУГЛа'!$B:$G,6,0)*Z719+Y719,VLOOKUP($B719,'Из ГУГЛа'!$B:$G,6,0))</f>
        <v>83900</v>
      </c>
      <c r="Y719" s="106">
        <f t="shared" si="504"/>
        <v>910</v>
      </c>
      <c r="Z719" s="133">
        <v>1</v>
      </c>
      <c r="AA719" s="134"/>
      <c r="AB719" s="135">
        <f t="shared" si="456"/>
        <v>0.14987647953089356</v>
      </c>
      <c r="AC719" s="135">
        <f t="shared" si="457"/>
        <v>-9.6984505363527668E-3</v>
      </c>
      <c r="AD719" s="135">
        <f t="shared" si="458"/>
        <v>0.13883157780432187</v>
      </c>
      <c r="AE719" s="222">
        <v>83900</v>
      </c>
      <c r="AF719" s="98" t="s">
        <v>560</v>
      </c>
      <c r="AH719" s="98" t="s">
        <v>198</v>
      </c>
    </row>
    <row r="720" spans="1:34" ht="46.5" thickTop="1" thickBot="1">
      <c r="A720" s="125" t="str">
        <f>INDEX('Выгр Торг'!$A:$A,MATCH($B720,'Выгр Торг'!$B:$B,0))</f>
        <v>Электронная комбинация приборов "Ferrum Group" GF 940 Light Edition для Лада Веста</v>
      </c>
      <c r="B720" s="126">
        <v>320078</v>
      </c>
      <c r="C720" s="127">
        <f>VLOOKUP($B720,'Выгр Торг'!$B:$Q,C$1,0)</f>
        <v>320078</v>
      </c>
      <c r="D720" s="142" t="s">
        <v>198</v>
      </c>
      <c r="E720" s="125" t="str">
        <f>VLOOKUP($B720,'Выгр Торг'!$B:$Q,E$1,0)</f>
        <v>Электронная комбинация приборов "Ferrum Group" GF 940 Light Edition для Лада Веста (Экокожа, Белые стрелки)</v>
      </c>
      <c r="F720" s="127" t="str">
        <f>VLOOKUP($B720,'Выгр Торг'!$B:$Q,F$1,0)</f>
        <v>Y</v>
      </c>
      <c r="G720" s="127" t="str">
        <f>VLOOKUP($B720,'Выгр Торг'!$B:$Q,G$1,0)</f>
        <v>1</v>
      </c>
      <c r="H720" s="127"/>
      <c r="I720" s="159" t="s">
        <v>361</v>
      </c>
      <c r="J720" s="162"/>
      <c r="K720" s="162"/>
      <c r="L720" s="140">
        <f>VLOOKUP(I720,'Прайс Gamma'!$B:$H,3,0)+$K720+$J720</f>
        <v>72972</v>
      </c>
      <c r="M720" s="140">
        <f>VLOOKUP(I720,'Прайс Gamma'!$B:$H,4,0)+$K720+$J720</f>
        <v>75972</v>
      </c>
      <c r="N720" s="140"/>
      <c r="O720" s="132">
        <f t="shared" si="491"/>
        <v>1.0411116592665679</v>
      </c>
      <c r="P720" s="132">
        <f t="shared" si="494"/>
        <v>1.1499999999999999</v>
      </c>
      <c r="Q720" s="147">
        <f t="shared" si="492"/>
        <v>90234.193548387077</v>
      </c>
      <c r="R720" s="148">
        <f t="shared" si="493"/>
        <v>90290</v>
      </c>
      <c r="S720" s="127">
        <f>VLOOKUP($B720,'Выгр Торг'!$B:$Q,S$1,0)</f>
        <v>72972</v>
      </c>
      <c r="T720" s="127">
        <f>VLOOKUP($B720,'Выгр Торг'!$B:$Q,T$1,0)</f>
        <v>90290</v>
      </c>
      <c r="U720" s="94">
        <f t="shared" si="495"/>
        <v>0</v>
      </c>
      <c r="V720" s="94">
        <f t="shared" si="496"/>
        <v>0</v>
      </c>
      <c r="W720" s="153">
        <f t="shared" si="455"/>
        <v>83969.7</v>
      </c>
      <c r="X720" s="209">
        <f>IFERROR(VLOOKUP($B720,'Из ГУГЛа'!$B:$G,6,0)*Z720+Y720,VLOOKUP($B720,'Из ГУГЛа'!$B:$G,6,0))</f>
        <v>82990</v>
      </c>
      <c r="Y720" s="76"/>
      <c r="Z720" s="133">
        <v>1</v>
      </c>
      <c r="AA720" s="134"/>
      <c r="AB720" s="135">
        <f t="shared" si="456"/>
        <v>0.15071123170531164</v>
      </c>
      <c r="AC720" s="135">
        <f t="shared" si="457"/>
        <v>-1.1805036751415799E-2</v>
      </c>
      <c r="AD720" s="135">
        <f t="shared" si="458"/>
        <v>0.13728553417749279</v>
      </c>
      <c r="AE720" s="137">
        <v>82990</v>
      </c>
      <c r="AF720" s="98" t="s">
        <v>560</v>
      </c>
      <c r="AH720" s="98" t="s">
        <v>198</v>
      </c>
    </row>
    <row r="721" spans="1:34" ht="46.5" thickTop="1" thickBot="1">
      <c r="A721" s="125" t="str">
        <f>INDEX('Выгр Торг'!$A:$A,MATCH($B721,'Выгр Торг'!$B:$B,0))</f>
        <v>Электронная комбинация приборов "Ferrum Group" GF 940 Light Edition для Лада Веста</v>
      </c>
      <c r="B721" s="126">
        <v>320079</v>
      </c>
      <c r="C721" s="127">
        <f>VLOOKUP($B721,'Выгр Торг'!$B:$Q,C$1,0)</f>
        <v>320079</v>
      </c>
      <c r="D721" s="142" t="s">
        <v>198</v>
      </c>
      <c r="E721" s="125" t="str">
        <f>VLOOKUP($B721,'Выгр Торг'!$B:$Q,E$1,0)</f>
        <v>Электронная комбинация приборов "Ferrum Group" GF 940 Light Edition для Лада Веста (Экокожа, Красные стрелки)</v>
      </c>
      <c r="F721" s="127" t="str">
        <f>VLOOKUP($B721,'Выгр Торг'!$B:$Q,F$1,0)</f>
        <v>Y</v>
      </c>
      <c r="G721" s="127" t="str">
        <f>VLOOKUP($B721,'Выгр Торг'!$B:$Q,G$1,0)</f>
        <v>1</v>
      </c>
      <c r="H721" s="127"/>
      <c r="I721" s="159" t="s">
        <v>361</v>
      </c>
      <c r="J721" s="162"/>
      <c r="K721" s="162"/>
      <c r="L721" s="140">
        <f>VLOOKUP(I721,'Прайс Gamma'!$B:$H,3,0)+$K721+$J721</f>
        <v>72972</v>
      </c>
      <c r="M721" s="140">
        <f>VLOOKUP(I721,'Прайс Gamma'!$B:$H,4,0)+$K721+$J721</f>
        <v>75972</v>
      </c>
      <c r="N721" s="140"/>
      <c r="O721" s="132">
        <f t="shared" si="491"/>
        <v>1.0411116592665679</v>
      </c>
      <c r="P721" s="132">
        <f t="shared" si="494"/>
        <v>1.1499999999999999</v>
      </c>
      <c r="Q721" s="147">
        <f t="shared" si="492"/>
        <v>90234.193548387077</v>
      </c>
      <c r="R721" s="148">
        <f t="shared" si="493"/>
        <v>90290</v>
      </c>
      <c r="S721" s="127">
        <f>VLOOKUP($B721,'Выгр Торг'!$B:$Q,S$1,0)</f>
        <v>72972</v>
      </c>
      <c r="T721" s="127">
        <f>VLOOKUP($B721,'Выгр Торг'!$B:$Q,T$1,0)</f>
        <v>90290</v>
      </c>
      <c r="U721" s="94">
        <f t="shared" si="495"/>
        <v>0</v>
      </c>
      <c r="V721" s="94">
        <f t="shared" si="496"/>
        <v>0</v>
      </c>
      <c r="W721" s="153">
        <f t="shared" si="455"/>
        <v>83969.7</v>
      </c>
      <c r="X721" s="209">
        <f>IFERROR(VLOOKUP($B721,'Из ГУГЛа'!$B:$G,6,0)*Z721+Y721,VLOOKUP($B721,'Из ГУГЛа'!$B:$G,6,0))</f>
        <v>82990</v>
      </c>
      <c r="Y721" s="76"/>
      <c r="Z721" s="133">
        <v>1</v>
      </c>
      <c r="AA721" s="134"/>
      <c r="AB721" s="135">
        <f t="shared" si="456"/>
        <v>0.15071123170531164</v>
      </c>
      <c r="AC721" s="135">
        <f t="shared" si="457"/>
        <v>-1.1805036751415799E-2</v>
      </c>
      <c r="AD721" s="135">
        <f t="shared" si="458"/>
        <v>0.13728553417749279</v>
      </c>
      <c r="AE721" s="137">
        <v>82990</v>
      </c>
      <c r="AF721" s="98" t="s">
        <v>560</v>
      </c>
      <c r="AH721" s="98" t="s">
        <v>198</v>
      </c>
    </row>
    <row r="722" spans="1:34" ht="52.5" thickTop="1" thickBot="1">
      <c r="A722" s="125" t="str">
        <f>INDEX('Выгр Торг'!$A:$A,MATCH($B722,'Выгр Торг'!$B:$B,0))</f>
        <v>Электронная комбинация приборов "Ferrum Group" GF 940 PREMIUM Edition для Лада Веста</v>
      </c>
      <c r="B722" s="126">
        <v>320120</v>
      </c>
      <c r="C722" s="127">
        <f>VLOOKUP($B722,'Выгр Торг'!$B:$Q,C$1,0)</f>
        <v>320120</v>
      </c>
      <c r="D722" s="142" t="s">
        <v>199</v>
      </c>
      <c r="E722" s="125" t="str">
        <f>VLOOKUP($B722,'Выгр Торг'!$B:$Q,E$1,0)</f>
        <v>Электронная комбинация приборов "Ferrum Group" GF 940 PREMIUM Edition для Лада Веста (Алькантара, Оранжевые шкалы)</v>
      </c>
      <c r="F722" s="127" t="str">
        <f>VLOOKUP($B722,'Выгр Торг'!$B:$Q,F$1,0)</f>
        <v>Y</v>
      </c>
      <c r="G722" s="127" t="str">
        <f>VLOOKUP($B722,'Выгр Торг'!$B:$Q,G$1,0)</f>
        <v>1</v>
      </c>
      <c r="H722" s="127"/>
      <c r="I722" s="159" t="s">
        <v>360</v>
      </c>
      <c r="J722" s="162"/>
      <c r="K722" s="162">
        <v>1400</v>
      </c>
      <c r="L722" s="140">
        <f>VLOOKUP(I722,'Прайс Gamma'!$B:$H,3,0)+$K722+$J722</f>
        <v>77436</v>
      </c>
      <c r="M722" s="140">
        <f>VLOOKUP(I722,'Прайс Gamma'!$B:$H,4,0)+$K722+$J722</f>
        <v>80436</v>
      </c>
      <c r="N722" s="140"/>
      <c r="O722" s="132">
        <f t="shared" si="491"/>
        <v>1.0387416705408337</v>
      </c>
      <c r="P722" s="132">
        <f t="shared" si="494"/>
        <v>1.1499999999999999</v>
      </c>
      <c r="Q722" s="147">
        <f t="shared" si="492"/>
        <v>95754.193548387091</v>
      </c>
      <c r="R722" s="148">
        <f t="shared" si="493"/>
        <v>95790</v>
      </c>
      <c r="S722" s="127">
        <f>VLOOKUP($B722,'Выгр Торг'!$B:$Q,S$1,0)</f>
        <v>77436</v>
      </c>
      <c r="T722" s="127">
        <f>VLOOKUP($B722,'Выгр Торг'!$B:$Q,T$1,0)</f>
        <v>95790</v>
      </c>
      <c r="U722" s="94">
        <f t="shared" si="495"/>
        <v>0</v>
      </c>
      <c r="V722" s="94">
        <f t="shared" si="496"/>
        <v>0</v>
      </c>
      <c r="W722" s="153">
        <f t="shared" si="455"/>
        <v>89084.7</v>
      </c>
      <c r="X722" s="209">
        <f>IFERROR(VLOOKUP($B722,'Из ГУГЛа'!$B:$G,6,0)*Z722+Y722,VLOOKUP($B722,'Из ГУГЛа'!$B:$G,6,0))</f>
        <v>87810</v>
      </c>
      <c r="Y722" s="106">
        <f t="shared" ref="Y722:Y725" si="505">(J722+K722)*$Y$2</f>
        <v>1820</v>
      </c>
      <c r="Z722" s="133">
        <v>1</v>
      </c>
      <c r="AA722" s="134"/>
      <c r="AB722" s="135">
        <f t="shared" si="456"/>
        <v>0.15043003254300324</v>
      </c>
      <c r="AC722" s="135">
        <f t="shared" si="457"/>
        <v>-1.4516569866757738E-2</v>
      </c>
      <c r="AD722" s="135">
        <f t="shared" si="458"/>
        <v>0.13396869673020295</v>
      </c>
      <c r="AE722" s="222">
        <v>87810</v>
      </c>
      <c r="AF722" s="98" t="s">
        <v>566</v>
      </c>
      <c r="AH722" s="98" t="s">
        <v>199</v>
      </c>
    </row>
    <row r="723" spans="1:34" ht="52.5" thickTop="1" thickBot="1">
      <c r="A723" s="125" t="str">
        <f>INDEX('Выгр Торг'!$A:$A,MATCH($B723,'Выгр Торг'!$B:$B,0))</f>
        <v>Электронная комбинация приборов "Ferrum Group" GF 940 PREMIUM Edition для Лада Веста</v>
      </c>
      <c r="B723" s="126">
        <v>320119</v>
      </c>
      <c r="C723" s="127">
        <f>VLOOKUP($B723,'Выгр Торг'!$B:$Q,C$1,0)</f>
        <v>320119</v>
      </c>
      <c r="D723" s="142" t="s">
        <v>199</v>
      </c>
      <c r="E723" s="125" t="str">
        <f>VLOOKUP($B723,'Выгр Торг'!$B:$Q,E$1,0)</f>
        <v>Электронная комбинация приборов "Ferrum Group" GF 940 PREMIUM Edition для Лада Веста (Алькантара, Серо-голубые шкалы)</v>
      </c>
      <c r="F723" s="127" t="str">
        <f>VLOOKUP($B723,'Выгр Торг'!$B:$Q,F$1,0)</f>
        <v>Y</v>
      </c>
      <c r="G723" s="127" t="str">
        <f>VLOOKUP($B723,'Выгр Торг'!$B:$Q,G$1,0)</f>
        <v>1</v>
      </c>
      <c r="H723" s="127"/>
      <c r="I723" s="159" t="s">
        <v>360</v>
      </c>
      <c r="J723" s="162"/>
      <c r="K723" s="162">
        <v>1400</v>
      </c>
      <c r="L723" s="140">
        <f>VLOOKUP(I723,'Прайс Gamma'!$B:$H,3,0)+$K723+$J723</f>
        <v>77436</v>
      </c>
      <c r="M723" s="140">
        <f>VLOOKUP(I723,'Прайс Gamma'!$B:$H,4,0)+$K723+$J723</f>
        <v>80436</v>
      </c>
      <c r="N723" s="140"/>
      <c r="O723" s="132">
        <f t="shared" si="491"/>
        <v>1.0387416705408337</v>
      </c>
      <c r="P723" s="132">
        <f t="shared" si="494"/>
        <v>1.1499999999999999</v>
      </c>
      <c r="Q723" s="147">
        <f t="shared" si="492"/>
        <v>95754.193548387091</v>
      </c>
      <c r="R723" s="148">
        <f t="shared" si="493"/>
        <v>95790</v>
      </c>
      <c r="S723" s="127">
        <f>VLOOKUP($B723,'Выгр Торг'!$B:$Q,S$1,0)</f>
        <v>77436</v>
      </c>
      <c r="T723" s="127">
        <f>VLOOKUP($B723,'Выгр Торг'!$B:$Q,T$1,0)</f>
        <v>95790</v>
      </c>
      <c r="U723" s="94">
        <f t="shared" si="495"/>
        <v>0</v>
      </c>
      <c r="V723" s="94">
        <f t="shared" si="496"/>
        <v>0</v>
      </c>
      <c r="W723" s="153">
        <f t="shared" si="455"/>
        <v>89084.7</v>
      </c>
      <c r="X723" s="209">
        <f>IFERROR(VLOOKUP($B723,'Из ГУГЛа'!$B:$G,6,0)*Z723+Y723,VLOOKUP($B723,'Из ГУГЛа'!$B:$G,6,0))</f>
        <v>87810</v>
      </c>
      <c r="Y723" s="106">
        <f t="shared" si="505"/>
        <v>1820</v>
      </c>
      <c r="Z723" s="133">
        <v>1</v>
      </c>
      <c r="AA723" s="134"/>
      <c r="AB723" s="135">
        <f t="shared" si="456"/>
        <v>0.15043003254300324</v>
      </c>
      <c r="AC723" s="135">
        <f t="shared" si="457"/>
        <v>-1.4516569866757738E-2</v>
      </c>
      <c r="AD723" s="135">
        <f t="shared" si="458"/>
        <v>0.13396869673020295</v>
      </c>
      <c r="AE723" s="222">
        <v>87810</v>
      </c>
      <c r="AF723" s="98" t="s">
        <v>566</v>
      </c>
      <c r="AH723" s="98" t="s">
        <v>199</v>
      </c>
    </row>
    <row r="724" spans="1:34" ht="52.5" thickTop="1" thickBot="1">
      <c r="A724" s="125" t="str">
        <f>INDEX('Выгр Торг'!$A:$A,MATCH($B724,'Выгр Торг'!$B:$B,0))</f>
        <v>Электронная комбинация приборов "Ferrum Group" GF 940 PREMIUM Edition для Лада Веста</v>
      </c>
      <c r="B724" s="126">
        <v>320118</v>
      </c>
      <c r="C724" s="127">
        <f>VLOOKUP($B724,'Выгр Торг'!$B:$Q,C$1,0)</f>
        <v>320118</v>
      </c>
      <c r="D724" s="142" t="s">
        <v>199</v>
      </c>
      <c r="E724" s="125" t="str">
        <f>VLOOKUP($B724,'Выгр Торг'!$B:$Q,E$1,0)</f>
        <v>Электронная комбинация приборов "Ferrum Group" GF 940 PREMIUM Edition для Лада Веста (Пластик Soft-touch, Оранжевые шкалы)</v>
      </c>
      <c r="F724" s="127" t="str">
        <f>VLOOKUP($B724,'Выгр Торг'!$B:$Q,F$1,0)</f>
        <v>Y</v>
      </c>
      <c r="G724" s="127" t="str">
        <f>VLOOKUP($B724,'Выгр Торг'!$B:$Q,G$1,0)</f>
        <v>1</v>
      </c>
      <c r="H724" s="127"/>
      <c r="I724" s="159" t="s">
        <v>360</v>
      </c>
      <c r="J724" s="162"/>
      <c r="K724" s="162">
        <v>700</v>
      </c>
      <c r="L724" s="140">
        <f>VLOOKUP(I724,'Прайс Gamma'!$B:$H,3,0)+$K724+$J724</f>
        <v>76736</v>
      </c>
      <c r="M724" s="140">
        <f>VLOOKUP(I724,'Прайс Gamma'!$B:$H,4,0)+$K724+$J724</f>
        <v>79736</v>
      </c>
      <c r="N724" s="140"/>
      <c r="O724" s="132">
        <f t="shared" si="491"/>
        <v>1.0390950792326938</v>
      </c>
      <c r="P724" s="132">
        <f t="shared" si="494"/>
        <v>1.1499999999999999</v>
      </c>
      <c r="Q724" s="147">
        <f t="shared" si="492"/>
        <v>94888.602150537641</v>
      </c>
      <c r="R724" s="148">
        <f t="shared" si="493"/>
        <v>94890</v>
      </c>
      <c r="S724" s="127">
        <f>VLOOKUP($B724,'Выгр Торг'!$B:$Q,S$1,0)</f>
        <v>76736</v>
      </c>
      <c r="T724" s="127">
        <f>VLOOKUP($B724,'Выгр Торг'!$B:$Q,T$1,0)</f>
        <v>94890</v>
      </c>
      <c r="U724" s="94">
        <f t="shared" si="495"/>
        <v>0</v>
      </c>
      <c r="V724" s="94">
        <f t="shared" si="496"/>
        <v>0</v>
      </c>
      <c r="W724" s="153">
        <f t="shared" si="455"/>
        <v>88247.7</v>
      </c>
      <c r="X724" s="209">
        <f>IFERROR(VLOOKUP($B724,'Из ГУГЛа'!$B:$G,6,0)*Z724+Y724,VLOOKUP($B724,'Из ГУГЛа'!$B:$G,6,0))</f>
        <v>86900</v>
      </c>
      <c r="Y724" s="106">
        <f t="shared" si="505"/>
        <v>910</v>
      </c>
      <c r="Z724" s="133">
        <v>1</v>
      </c>
      <c r="AA724" s="134"/>
      <c r="AB724" s="135">
        <f t="shared" si="456"/>
        <v>0.15001694120100084</v>
      </c>
      <c r="AC724" s="135">
        <f t="shared" si="457"/>
        <v>-1.55086306098964E-2</v>
      </c>
      <c r="AD724" s="135">
        <f t="shared" si="458"/>
        <v>0.13245412844036708</v>
      </c>
      <c r="AE724" s="222">
        <v>86900</v>
      </c>
      <c r="AF724" s="98" t="s">
        <v>566</v>
      </c>
      <c r="AH724" s="98" t="s">
        <v>199</v>
      </c>
    </row>
    <row r="725" spans="1:34" ht="52.5" thickTop="1" thickBot="1">
      <c r="A725" s="125" t="str">
        <f>INDEX('Выгр Торг'!$A:$A,MATCH($B725,'Выгр Торг'!$B:$B,0))</f>
        <v>Электронная комбинация приборов "Ferrum Group" GF 940 PREMIUM Edition для Лада Веста</v>
      </c>
      <c r="B725" s="126">
        <v>320117</v>
      </c>
      <c r="C725" s="127">
        <f>VLOOKUP($B725,'Выгр Торг'!$B:$Q,C$1,0)</f>
        <v>320117</v>
      </c>
      <c r="D725" s="142" t="s">
        <v>199</v>
      </c>
      <c r="E725" s="125" t="str">
        <f>VLOOKUP($B725,'Выгр Торг'!$B:$Q,E$1,0)</f>
        <v>Электронная комбинация приборов "Ferrum Group" GF 940 PREMIUM Edition для Лада Веста (Пластик Soft-touch, Серо-голубые шкалы)</v>
      </c>
      <c r="F725" s="127" t="str">
        <f>VLOOKUP($B725,'Выгр Торг'!$B:$Q,F$1,0)</f>
        <v>Y</v>
      </c>
      <c r="G725" s="127" t="str">
        <f>VLOOKUP($B725,'Выгр Торг'!$B:$Q,G$1,0)</f>
        <v>1</v>
      </c>
      <c r="H725" s="127"/>
      <c r="I725" s="159" t="s">
        <v>360</v>
      </c>
      <c r="J725" s="162"/>
      <c r="K725" s="162">
        <v>700</v>
      </c>
      <c r="L725" s="140">
        <f>VLOOKUP(I725,'Прайс Gamma'!$B:$H,3,0)+$K725+$J725</f>
        <v>76736</v>
      </c>
      <c r="M725" s="140">
        <f>VLOOKUP(I725,'Прайс Gamma'!$B:$H,4,0)+$K725+$J725</f>
        <v>79736</v>
      </c>
      <c r="N725" s="140"/>
      <c r="O725" s="132">
        <f t="shared" si="491"/>
        <v>1.0390950792326938</v>
      </c>
      <c r="P725" s="132">
        <f t="shared" si="494"/>
        <v>1.1499999999999999</v>
      </c>
      <c r="Q725" s="147">
        <f t="shared" si="492"/>
        <v>94888.602150537641</v>
      </c>
      <c r="R725" s="148">
        <f t="shared" si="493"/>
        <v>94890</v>
      </c>
      <c r="S725" s="127">
        <f>VLOOKUP($B725,'Выгр Торг'!$B:$Q,S$1,0)</f>
        <v>76736</v>
      </c>
      <c r="T725" s="127">
        <f>VLOOKUP($B725,'Выгр Торг'!$B:$Q,T$1,0)</f>
        <v>94890</v>
      </c>
      <c r="U725" s="94">
        <f t="shared" si="495"/>
        <v>0</v>
      </c>
      <c r="V725" s="94">
        <f t="shared" si="496"/>
        <v>0</v>
      </c>
      <c r="W725" s="153">
        <f t="shared" si="455"/>
        <v>88247.7</v>
      </c>
      <c r="X725" s="209">
        <f>IFERROR(VLOOKUP($B725,'Из ГУГЛа'!$B:$G,6,0)*Z725+Y725,VLOOKUP($B725,'Из ГУГЛа'!$B:$G,6,0))</f>
        <v>86900</v>
      </c>
      <c r="Y725" s="106">
        <f t="shared" si="505"/>
        <v>910</v>
      </c>
      <c r="Z725" s="133">
        <v>1</v>
      </c>
      <c r="AA725" s="134"/>
      <c r="AB725" s="135">
        <f t="shared" si="456"/>
        <v>0.15001694120100084</v>
      </c>
      <c r="AC725" s="135">
        <f t="shared" si="457"/>
        <v>-1.55086306098964E-2</v>
      </c>
      <c r="AD725" s="135">
        <f t="shared" si="458"/>
        <v>0.13245412844036708</v>
      </c>
      <c r="AE725" s="222">
        <v>86900</v>
      </c>
      <c r="AF725" s="98" t="s">
        <v>566</v>
      </c>
      <c r="AH725" s="98" t="s">
        <v>199</v>
      </c>
    </row>
    <row r="726" spans="1:34" ht="52.5" thickTop="1" thickBot="1">
      <c r="A726" s="125" t="str">
        <f>INDEX('Выгр Торг'!$A:$A,MATCH($B726,'Выгр Торг'!$B:$B,0))</f>
        <v>Электронная комбинация приборов "Ferrum Group" GF 940 PREMIUM Edition для Лада Веста</v>
      </c>
      <c r="B726" s="126">
        <v>320122</v>
      </c>
      <c r="C726" s="127">
        <f>VLOOKUP($B726,'Выгр Торг'!$B:$Q,C$1,0)</f>
        <v>17870</v>
      </c>
      <c r="D726" s="142" t="s">
        <v>199</v>
      </c>
      <c r="E726" s="125" t="str">
        <f>VLOOKUP($B726,'Выгр Торг'!$B:$Q,E$1,0)</f>
        <v>Электронная комбинация приборов "Ferrum Group" GF 940 PREMIUM Edition для Лада Веста (Экокожа, Оранжевые шкалы)</v>
      </c>
      <c r="F726" s="127" t="str">
        <f>VLOOKUP($B726,'Выгр Торг'!$B:$Q,F$1,0)</f>
        <v>Y</v>
      </c>
      <c r="G726" s="127" t="str">
        <f>VLOOKUP($B726,'Выгр Торг'!$B:$Q,G$1,0)</f>
        <v>1</v>
      </c>
      <c r="H726" s="127"/>
      <c r="I726" s="159" t="s">
        <v>360</v>
      </c>
      <c r="J726" s="162"/>
      <c r="K726" s="162"/>
      <c r="L726" s="140">
        <f>VLOOKUP(I726,'Прайс Gamma'!$B:$H,3,0)+$K726+$J726</f>
        <v>76036</v>
      </c>
      <c r="M726" s="140">
        <f>VLOOKUP(I726,'Прайс Gamma'!$B:$H,4,0)+$K726+$J726</f>
        <v>79036</v>
      </c>
      <c r="N726" s="140"/>
      <c r="O726" s="132">
        <f t="shared" si="491"/>
        <v>1.0394549950023673</v>
      </c>
      <c r="P726" s="132">
        <f t="shared" si="494"/>
        <v>1.1499999999999999</v>
      </c>
      <c r="Q726" s="147">
        <f t="shared" si="492"/>
        <v>94023.010752688177</v>
      </c>
      <c r="R726" s="148">
        <f t="shared" si="493"/>
        <v>94090</v>
      </c>
      <c r="S726" s="127">
        <f>VLOOKUP($B726,'Выгр Торг'!$B:$Q,S$1,0)</f>
        <v>76036</v>
      </c>
      <c r="T726" s="127">
        <f>VLOOKUP($B726,'Выгр Торг'!$B:$Q,T$1,0)</f>
        <v>94090</v>
      </c>
      <c r="U726" s="94">
        <f t="shared" si="495"/>
        <v>0</v>
      </c>
      <c r="V726" s="94">
        <f t="shared" si="496"/>
        <v>0</v>
      </c>
      <c r="W726" s="153">
        <f t="shared" si="455"/>
        <v>87503.7</v>
      </c>
      <c r="X726" s="209">
        <f>IFERROR(VLOOKUP($B726,'Из ГУГЛа'!$B:$G,6,0)*Z726+Y726,VLOOKUP($B726,'Из ГУГЛа'!$B:$G,6,0))</f>
        <v>85990</v>
      </c>
      <c r="Y726" s="76"/>
      <c r="Z726" s="133">
        <v>1</v>
      </c>
      <c r="AA726" s="134"/>
      <c r="AB726" s="135">
        <f t="shared" si="456"/>
        <v>0.15081934872954905</v>
      </c>
      <c r="AC726" s="135">
        <f t="shared" si="457"/>
        <v>-1.7603209675543633E-2</v>
      </c>
      <c r="AD726" s="135">
        <f t="shared" si="458"/>
        <v>0.13091167341785459</v>
      </c>
      <c r="AE726" s="137">
        <v>85990</v>
      </c>
      <c r="AF726" s="98" t="s">
        <v>566</v>
      </c>
      <c r="AH726" s="98" t="s">
        <v>199</v>
      </c>
    </row>
    <row r="727" spans="1:34" ht="52.5" thickTop="1" thickBot="1">
      <c r="A727" s="125" t="str">
        <f>INDEX('Выгр Торг'!$A:$A,MATCH($B727,'Выгр Торг'!$B:$B,0))</f>
        <v>Электронная комбинация приборов "Ferrum Group" GF 940 PREMIUM Edition для Лада Веста</v>
      </c>
      <c r="B727" s="126">
        <v>320121</v>
      </c>
      <c r="C727" s="127">
        <f>VLOOKUP($B727,'Выгр Торг'!$B:$Q,C$1,0)</f>
        <v>15564</v>
      </c>
      <c r="D727" s="142" t="s">
        <v>199</v>
      </c>
      <c r="E727" s="125" t="str">
        <f>VLOOKUP($B727,'Выгр Торг'!$B:$Q,E$1,0)</f>
        <v>Электронная комбинация приборов "Ferrum Group" GF 940 PREMIUM Edition для Лада Веста (Экокожа, Серо-голубые шкалы)</v>
      </c>
      <c r="F727" s="127" t="str">
        <f>VLOOKUP($B727,'Выгр Торг'!$B:$Q,F$1,0)</f>
        <v>Y</v>
      </c>
      <c r="G727" s="127" t="str">
        <f>VLOOKUP($B727,'Выгр Торг'!$B:$Q,G$1,0)</f>
        <v>1</v>
      </c>
      <c r="H727" s="127"/>
      <c r="I727" s="159" t="s">
        <v>360</v>
      </c>
      <c r="J727" s="162"/>
      <c r="K727" s="162"/>
      <c r="L727" s="140">
        <f>VLOOKUP(I727,'Прайс Gamma'!$B:$H,3,0)+$K727+$J727</f>
        <v>76036</v>
      </c>
      <c r="M727" s="140">
        <f>VLOOKUP(I727,'Прайс Gamma'!$B:$H,4,0)+$K727+$J727</f>
        <v>79036</v>
      </c>
      <c r="N727" s="140"/>
      <c r="O727" s="132">
        <f t="shared" si="491"/>
        <v>1.0394549950023673</v>
      </c>
      <c r="P727" s="132">
        <f t="shared" si="494"/>
        <v>1.1499999999999999</v>
      </c>
      <c r="Q727" s="147">
        <f t="shared" si="492"/>
        <v>94023.010752688177</v>
      </c>
      <c r="R727" s="148">
        <f t="shared" si="493"/>
        <v>94090</v>
      </c>
      <c r="S727" s="127">
        <f>VLOOKUP($B727,'Выгр Торг'!$B:$Q,S$1,0)</f>
        <v>76036</v>
      </c>
      <c r="T727" s="127">
        <f>VLOOKUP($B727,'Выгр Торг'!$B:$Q,T$1,0)</f>
        <v>94090</v>
      </c>
      <c r="U727" s="94">
        <f t="shared" si="495"/>
        <v>0</v>
      </c>
      <c r="V727" s="94">
        <f t="shared" si="496"/>
        <v>0</v>
      </c>
      <c r="W727" s="153">
        <f t="shared" si="455"/>
        <v>87503.7</v>
      </c>
      <c r="X727" s="209">
        <f>IFERROR(VLOOKUP($B727,'Из ГУГЛа'!$B:$G,6,0)*Z727+Y727,VLOOKUP($B727,'Из ГУГЛа'!$B:$G,6,0))</f>
        <v>85990</v>
      </c>
      <c r="Y727" s="76"/>
      <c r="Z727" s="133">
        <v>1</v>
      </c>
      <c r="AA727" s="134"/>
      <c r="AB727" s="135">
        <f t="shared" si="456"/>
        <v>0.15081934872954905</v>
      </c>
      <c r="AC727" s="135">
        <f t="shared" si="457"/>
        <v>-1.7603209675543633E-2</v>
      </c>
      <c r="AD727" s="135">
        <f t="shared" si="458"/>
        <v>0.13091167341785459</v>
      </c>
      <c r="AE727" s="137">
        <v>85990</v>
      </c>
      <c r="AF727" s="98" t="s">
        <v>566</v>
      </c>
      <c r="AH727" s="98" t="s">
        <v>199</v>
      </c>
    </row>
    <row r="728" spans="1:34" ht="46.5" thickTop="1" thickBot="1">
      <c r="A728" s="125" t="str">
        <f>INDEX('Выгр Торг'!$A:$A,MATCH($B728,'Выгр Торг'!$B:$B,0))</f>
        <v>Электронная комбинация приборов "Ferrum Group" GF 940 SPORT Edition для Лада Веста</v>
      </c>
      <c r="B728" s="126">
        <v>320083</v>
      </c>
      <c r="C728" s="127">
        <f>VLOOKUP($B728,'Выгр Торг'!$B:$Q,C$1,0)</f>
        <v>320083</v>
      </c>
      <c r="D728" s="142" t="s">
        <v>200</v>
      </c>
      <c r="E728" s="125" t="str">
        <f>VLOOKUP($B728,'Выгр Торг'!$B:$Q,E$1,0)</f>
        <v>Электронная комбинация приборов "Ferrum Group" GF 940 SPORT Edition для Лада Веста (Алькантара, Белые шкалы)</v>
      </c>
      <c r="F728" s="127" t="str">
        <f>VLOOKUP($B728,'Выгр Торг'!$B:$Q,F$1,0)</f>
        <v>Y</v>
      </c>
      <c r="G728" s="127" t="str">
        <f>VLOOKUP($B728,'Выгр Торг'!$B:$Q,G$1,0)</f>
        <v>1</v>
      </c>
      <c r="H728" s="127"/>
      <c r="I728" s="159" t="s">
        <v>359</v>
      </c>
      <c r="J728" s="162"/>
      <c r="K728" s="162">
        <v>1400</v>
      </c>
      <c r="L728" s="140">
        <f>VLOOKUP(I728,'Прайс Gamma'!$B:$H,3,0)+$K728+$J728</f>
        <v>79043</v>
      </c>
      <c r="M728" s="140">
        <f>VLOOKUP(I728,'Прайс Gamma'!$B:$H,4,0)+$K728+$J728</f>
        <v>82043</v>
      </c>
      <c r="N728" s="140"/>
      <c r="O728" s="132">
        <f t="shared" si="491"/>
        <v>1.0379540250243537</v>
      </c>
      <c r="P728" s="132">
        <f t="shared" si="494"/>
        <v>1.1499999999999999</v>
      </c>
      <c r="Q728" s="147">
        <f t="shared" si="492"/>
        <v>97741.344086021505</v>
      </c>
      <c r="R728" s="148">
        <f t="shared" si="493"/>
        <v>97790</v>
      </c>
      <c r="S728" s="127">
        <f>VLOOKUP($B728,'Выгр Торг'!$B:$Q,S$1,0)</f>
        <v>79043</v>
      </c>
      <c r="T728" s="127">
        <f>VLOOKUP($B728,'Выгр Торг'!$B:$Q,T$1,0)</f>
        <v>97790</v>
      </c>
      <c r="U728" s="94">
        <f t="shared" si="495"/>
        <v>0</v>
      </c>
      <c r="V728" s="94">
        <f t="shared" si="496"/>
        <v>0</v>
      </c>
      <c r="W728" s="153">
        <f t="shared" si="455"/>
        <v>90944.7</v>
      </c>
      <c r="X728" s="209">
        <f>IFERROR(VLOOKUP($B728,'Из ГУГЛа'!$B:$G,6,0)*Z728+Y728,VLOOKUP($B728,'Из ГУГЛа'!$B:$G,6,0))</f>
        <v>89410</v>
      </c>
      <c r="Y728" s="106">
        <f>(J728+K728)*$Y$2</f>
        <v>1820</v>
      </c>
      <c r="Z728" s="133">
        <v>1</v>
      </c>
      <c r="AA728" s="134"/>
      <c r="AB728" s="135">
        <f t="shared" si="456"/>
        <v>0.15057247321078404</v>
      </c>
      <c r="AC728" s="135">
        <f t="shared" si="457"/>
        <v>-1.7164746672631664E-2</v>
      </c>
      <c r="AD728" s="135">
        <f t="shared" si="458"/>
        <v>0.13115645914249208</v>
      </c>
      <c r="AE728" s="222">
        <v>89410</v>
      </c>
      <c r="AF728" s="98" t="s">
        <v>569</v>
      </c>
      <c r="AH728" s="98" t="s">
        <v>200</v>
      </c>
    </row>
    <row r="729" spans="1:34" ht="46.5" thickTop="1" thickBot="1">
      <c r="A729" s="125" t="str">
        <f>INDEX('Выгр Торг'!$A:$A,MATCH($B729,'Выгр Торг'!$B:$B,0))</f>
        <v>Электронная комбинация приборов "Ferrum Group" GF 940 SPORT Edition для Лада Веста</v>
      </c>
      <c r="B729" s="126">
        <v>320084</v>
      </c>
      <c r="C729" s="127">
        <f>VLOOKUP($B729,'Выгр Торг'!$B:$Q,C$1,0)</f>
        <v>320084</v>
      </c>
      <c r="D729" s="142" t="s">
        <v>200</v>
      </c>
      <c r="E729" s="125" t="str">
        <f>VLOOKUP($B729,'Выгр Торг'!$B:$Q,E$1,0)</f>
        <v>Электронная комбинация приборов "Ferrum Group" GF 940 SPORT Edition для Лада Веста (Алькантара, Красные шкалы)</v>
      </c>
      <c r="F729" s="127" t="str">
        <f>VLOOKUP($B729,'Выгр Торг'!$B:$Q,F$1,0)</f>
        <v>Y</v>
      </c>
      <c r="G729" s="127" t="str">
        <f>VLOOKUP($B729,'Выгр Торг'!$B:$Q,G$1,0)</f>
        <v>1</v>
      </c>
      <c r="H729" s="127"/>
      <c r="I729" s="159" t="s">
        <v>359</v>
      </c>
      <c r="J729" s="162"/>
      <c r="K729" s="162">
        <v>1400</v>
      </c>
      <c r="L729" s="140">
        <f>VLOOKUP(I729,'Прайс Gamma'!$B:$H,3,0)+$K729+$J729</f>
        <v>79043</v>
      </c>
      <c r="M729" s="140">
        <f>VLOOKUP(I729,'Прайс Gamma'!$B:$H,4,0)+$K729+$J729</f>
        <v>82043</v>
      </c>
      <c r="N729" s="140"/>
      <c r="O729" s="132">
        <f t="shared" si="491"/>
        <v>1.0379540250243537</v>
      </c>
      <c r="P729" s="132">
        <f t="shared" si="494"/>
        <v>1.1499999999999999</v>
      </c>
      <c r="Q729" s="147">
        <f t="shared" si="492"/>
        <v>97741.344086021505</v>
      </c>
      <c r="R729" s="148">
        <f t="shared" si="493"/>
        <v>97790</v>
      </c>
      <c r="S729" s="127">
        <f>VLOOKUP($B729,'Выгр Торг'!$B:$Q,S$1,0)</f>
        <v>79043</v>
      </c>
      <c r="T729" s="127">
        <f>VLOOKUP($B729,'Выгр Торг'!$B:$Q,T$1,0)</f>
        <v>97790</v>
      </c>
      <c r="U729" s="94">
        <f t="shared" si="495"/>
        <v>0</v>
      </c>
      <c r="V729" s="94">
        <f t="shared" si="496"/>
        <v>0</v>
      </c>
      <c r="W729" s="153">
        <f t="shared" si="455"/>
        <v>90944.7</v>
      </c>
      <c r="X729" s="209">
        <f>IFERROR(VLOOKUP($B729,'Из ГУГЛа'!$B:$G,6,0)*Z729+Y729,VLOOKUP($B729,'Из ГУГЛа'!$B:$G,6,0))</f>
        <v>89410</v>
      </c>
      <c r="Y729" s="106">
        <f>(J729+K729)*$Y$2</f>
        <v>1820</v>
      </c>
      <c r="Z729" s="133">
        <v>1</v>
      </c>
      <c r="AA729" s="134"/>
      <c r="AB729" s="135">
        <f t="shared" si="456"/>
        <v>0.15057247321078404</v>
      </c>
      <c r="AC729" s="135">
        <f t="shared" si="457"/>
        <v>-1.7164746672631664E-2</v>
      </c>
      <c r="AD729" s="135">
        <f t="shared" si="458"/>
        <v>0.13115645914249208</v>
      </c>
      <c r="AE729" s="222">
        <v>89410</v>
      </c>
      <c r="AF729" s="98" t="s">
        <v>569</v>
      </c>
      <c r="AH729" s="98" t="s">
        <v>200</v>
      </c>
    </row>
    <row r="730" spans="1:34" ht="46.5" thickTop="1" thickBot="1">
      <c r="A730" s="125" t="str">
        <f>INDEX('Выгр Торг'!$A:$A,MATCH($B730,'Выгр Торг'!$B:$B,0))</f>
        <v>Электронная комбинация приборов "Ferrum Group" GF 940 SPORT Edition для Лада Веста</v>
      </c>
      <c r="B730" s="126">
        <v>320081</v>
      </c>
      <c r="C730" s="127">
        <f>VLOOKUP($B730,'Выгр Торг'!$B:$Q,C$1,0)</f>
        <v>320081</v>
      </c>
      <c r="D730" s="142" t="s">
        <v>200</v>
      </c>
      <c r="E730" s="125" t="str">
        <f>VLOOKUP($B730,'Выгр Торг'!$B:$Q,E$1,0)</f>
        <v>Электронная комбинация приборов "Ferrum Group" GF 940 SPORT Edition для Лада Веста (Пластик Soft-touch, Белые шкалы)</v>
      </c>
      <c r="F730" s="127" t="str">
        <f>VLOOKUP($B730,'Выгр Торг'!$B:$Q,F$1,0)</f>
        <v>Y</v>
      </c>
      <c r="G730" s="127" t="str">
        <f>VLOOKUP($B730,'Выгр Торг'!$B:$Q,G$1,0)</f>
        <v>1</v>
      </c>
      <c r="H730" s="127"/>
      <c r="I730" s="159" t="s">
        <v>359</v>
      </c>
      <c r="J730" s="162"/>
      <c r="K730" s="162">
        <v>700</v>
      </c>
      <c r="L730" s="140">
        <f>VLOOKUP(I730,'Прайс Gamma'!$B:$H,3,0)+$K730+$J730</f>
        <v>78343</v>
      </c>
      <c r="M730" s="140">
        <f>VLOOKUP(I730,'Прайс Gamma'!$B:$H,4,0)+$K730+$J730</f>
        <v>81343</v>
      </c>
      <c r="N730" s="140"/>
      <c r="O730" s="132">
        <f t="shared" si="491"/>
        <v>1.0382931468031604</v>
      </c>
      <c r="P730" s="132">
        <f t="shared" si="494"/>
        <v>1.1499999999999999</v>
      </c>
      <c r="Q730" s="147">
        <f t="shared" si="492"/>
        <v>96875.752688172041</v>
      </c>
      <c r="R730" s="148">
        <f t="shared" si="493"/>
        <v>96890</v>
      </c>
      <c r="S730" s="127">
        <f>VLOOKUP($B730,'Выгр Торг'!$B:$Q,S$1,0)</f>
        <v>78343</v>
      </c>
      <c r="T730" s="127">
        <f>VLOOKUP($B730,'Выгр Торг'!$B:$Q,T$1,0)</f>
        <v>96890</v>
      </c>
      <c r="U730" s="94">
        <f t="shared" si="495"/>
        <v>0</v>
      </c>
      <c r="V730" s="94">
        <f t="shared" si="496"/>
        <v>0</v>
      </c>
      <c r="W730" s="153">
        <f t="shared" si="455"/>
        <v>90107.7</v>
      </c>
      <c r="X730" s="209">
        <f>IFERROR(VLOOKUP($B730,'Из ГУГЛа'!$B:$G,6,0)*Z730+Y730,VLOOKUP($B730,'Из ГУГЛа'!$B:$G,6,0))</f>
        <v>88500</v>
      </c>
      <c r="Y730" s="106">
        <f>(J730+K730)*$Y$2</f>
        <v>910</v>
      </c>
      <c r="Z730" s="133">
        <v>1</v>
      </c>
      <c r="AA730" s="134"/>
      <c r="AB730" s="135">
        <f t="shared" si="456"/>
        <v>0.15016912806504723</v>
      </c>
      <c r="AC730" s="135">
        <f t="shared" si="457"/>
        <v>-1.8166101694915223E-2</v>
      </c>
      <c r="AD730" s="135">
        <f t="shared" si="458"/>
        <v>0.1296478306932336</v>
      </c>
      <c r="AE730" s="222">
        <v>88500</v>
      </c>
      <c r="AF730" s="98" t="s">
        <v>569</v>
      </c>
      <c r="AH730" s="98" t="s">
        <v>200</v>
      </c>
    </row>
    <row r="731" spans="1:34" ht="46.5" thickTop="1" thickBot="1">
      <c r="A731" s="125" t="str">
        <f>INDEX('Выгр Торг'!$A:$A,MATCH($B731,'Выгр Торг'!$B:$B,0))</f>
        <v>Электронная комбинация приборов "Ferrum Group" GF 940 SPORT Edition для Лада Веста</v>
      </c>
      <c r="B731" s="126">
        <v>320082</v>
      </c>
      <c r="C731" s="127">
        <f>VLOOKUP($B731,'Выгр Торг'!$B:$Q,C$1,0)</f>
        <v>320082</v>
      </c>
      <c r="D731" s="142" t="s">
        <v>200</v>
      </c>
      <c r="E731" s="125" t="str">
        <f>VLOOKUP($B731,'Выгр Торг'!$B:$Q,E$1,0)</f>
        <v>Электронная комбинация приборов "Ferrum Group" GF 940 SPORT Edition для Лада Веста (Пластик Soft-touch, Красные шкалы)</v>
      </c>
      <c r="F731" s="127" t="str">
        <f>VLOOKUP($B731,'Выгр Торг'!$B:$Q,F$1,0)</f>
        <v>Y</v>
      </c>
      <c r="G731" s="127" t="str">
        <f>VLOOKUP($B731,'Выгр Торг'!$B:$Q,G$1,0)</f>
        <v>1</v>
      </c>
      <c r="H731" s="127"/>
      <c r="I731" s="159" t="s">
        <v>359</v>
      </c>
      <c r="J731" s="162"/>
      <c r="K731" s="162">
        <v>700</v>
      </c>
      <c r="L731" s="140">
        <f>VLOOKUP(I731,'Прайс Gamma'!$B:$H,3,0)+$K731+$J731</f>
        <v>78343</v>
      </c>
      <c r="M731" s="140">
        <f>VLOOKUP(I731,'Прайс Gamma'!$B:$H,4,0)+$K731+$J731</f>
        <v>81343</v>
      </c>
      <c r="N731" s="140"/>
      <c r="O731" s="132">
        <f t="shared" si="491"/>
        <v>1.0382931468031604</v>
      </c>
      <c r="P731" s="132">
        <f t="shared" si="494"/>
        <v>1.1499999999999999</v>
      </c>
      <c r="Q731" s="147">
        <f t="shared" si="492"/>
        <v>96875.752688172041</v>
      </c>
      <c r="R731" s="148">
        <f t="shared" si="493"/>
        <v>96890</v>
      </c>
      <c r="S731" s="127">
        <f>VLOOKUP($B731,'Выгр Торг'!$B:$Q,S$1,0)</f>
        <v>78343</v>
      </c>
      <c r="T731" s="127">
        <f>VLOOKUP($B731,'Выгр Торг'!$B:$Q,T$1,0)</f>
        <v>96890</v>
      </c>
      <c r="U731" s="94">
        <f t="shared" si="495"/>
        <v>0</v>
      </c>
      <c r="V731" s="94">
        <f t="shared" si="496"/>
        <v>0</v>
      </c>
      <c r="W731" s="153">
        <f t="shared" si="455"/>
        <v>90107.7</v>
      </c>
      <c r="X731" s="209">
        <f>IFERROR(VLOOKUP($B731,'Из ГУГЛа'!$B:$G,6,0)*Z731+Y731,VLOOKUP($B731,'Из ГУГЛа'!$B:$G,6,0))</f>
        <v>88500</v>
      </c>
      <c r="Y731" s="106">
        <f>(J731+K731)*$Y$2</f>
        <v>910</v>
      </c>
      <c r="Z731" s="133">
        <v>1</v>
      </c>
      <c r="AA731" s="134"/>
      <c r="AB731" s="135">
        <f t="shared" si="456"/>
        <v>0.15016912806504723</v>
      </c>
      <c r="AC731" s="135">
        <f t="shared" si="457"/>
        <v>-1.8166101694915223E-2</v>
      </c>
      <c r="AD731" s="135">
        <f t="shared" si="458"/>
        <v>0.1296478306932336</v>
      </c>
      <c r="AE731" s="222">
        <v>88500</v>
      </c>
      <c r="AF731" s="98" t="s">
        <v>569</v>
      </c>
      <c r="AH731" s="98" t="s">
        <v>200</v>
      </c>
    </row>
    <row r="732" spans="1:34" ht="46.5" thickTop="1" thickBot="1">
      <c r="A732" s="125" t="str">
        <f>INDEX('Выгр Торг'!$A:$A,MATCH($B732,'Выгр Торг'!$B:$B,0))</f>
        <v>Электронная комбинация приборов "Ferrum Group" GF 940 SPORT Edition для Лада Веста</v>
      </c>
      <c r="B732" s="126">
        <v>320085</v>
      </c>
      <c r="C732" s="127">
        <f>VLOOKUP($B732,'Выгр Торг'!$B:$Q,C$1,0)</f>
        <v>320085</v>
      </c>
      <c r="D732" s="142" t="s">
        <v>200</v>
      </c>
      <c r="E732" s="125" t="str">
        <f>VLOOKUP($B732,'Выгр Торг'!$B:$Q,E$1,0)</f>
        <v>Электронная комбинация приборов "Ferrum Group" GF 940 SPORT Edition для Лада Веста (Экокожа, Белые шкалы)</v>
      </c>
      <c r="F732" s="127" t="str">
        <f>VLOOKUP($B732,'Выгр Торг'!$B:$Q,F$1,0)</f>
        <v>Y</v>
      </c>
      <c r="G732" s="127" t="str">
        <f>VLOOKUP($B732,'Выгр Торг'!$B:$Q,G$1,0)</f>
        <v>1</v>
      </c>
      <c r="H732" s="127"/>
      <c r="I732" s="159" t="s">
        <v>359</v>
      </c>
      <c r="J732" s="162"/>
      <c r="K732" s="162"/>
      <c r="L732" s="140">
        <f>VLOOKUP(I732,'Прайс Gamma'!$B:$H,3,0)+$K732+$J732</f>
        <v>77643</v>
      </c>
      <c r="M732" s="140">
        <f>VLOOKUP(I732,'Прайс Gamma'!$B:$H,4,0)+$K732+$J732</f>
        <v>80643</v>
      </c>
      <c r="N732" s="140"/>
      <c r="O732" s="132">
        <f t="shared" si="491"/>
        <v>1.0386383833700399</v>
      </c>
      <c r="P732" s="132">
        <f t="shared" si="494"/>
        <v>1.1499999999999999</v>
      </c>
      <c r="Q732" s="147">
        <f t="shared" si="492"/>
        <v>96010.161290322576</v>
      </c>
      <c r="R732" s="148">
        <f t="shared" si="493"/>
        <v>96090</v>
      </c>
      <c r="S732" s="127">
        <f>VLOOKUP($B732,'Выгр Торг'!$B:$Q,S$1,0)</f>
        <v>77643</v>
      </c>
      <c r="T732" s="127">
        <f>VLOOKUP($B732,'Выгр Торг'!$B:$Q,T$1,0)</f>
        <v>96090</v>
      </c>
      <c r="U732" s="94">
        <f t="shared" si="495"/>
        <v>0</v>
      </c>
      <c r="V732" s="94">
        <f t="shared" si="496"/>
        <v>0</v>
      </c>
      <c r="W732" s="153">
        <f t="shared" si="455"/>
        <v>89363.7</v>
      </c>
      <c r="X732" s="209">
        <f>IFERROR(VLOOKUP($B732,'Из ГУГЛа'!$B:$G,6,0)*Z732+Y732,VLOOKUP($B732,'Из ГУГЛа'!$B:$G,6,0))</f>
        <v>87590</v>
      </c>
      <c r="Y732" s="76"/>
      <c r="Z732" s="133">
        <v>1</v>
      </c>
      <c r="AA732" s="134"/>
      <c r="AB732" s="135">
        <f t="shared" si="456"/>
        <v>0.15095629998840843</v>
      </c>
      <c r="AC732" s="135">
        <f t="shared" si="457"/>
        <v>-2.0250028542070978E-2</v>
      </c>
      <c r="AD732" s="135">
        <f t="shared" si="458"/>
        <v>0.12811199979392862</v>
      </c>
      <c r="AE732" s="137">
        <v>87590</v>
      </c>
      <c r="AF732" s="98" t="s">
        <v>569</v>
      </c>
      <c r="AH732" s="98" t="s">
        <v>200</v>
      </c>
    </row>
    <row r="733" spans="1:34" ht="46.5" thickTop="1" thickBot="1">
      <c r="A733" s="125" t="str">
        <f>INDEX('Выгр Торг'!$A:$A,MATCH($B733,'Выгр Торг'!$B:$B,0))</f>
        <v>Электронная комбинация приборов "Ferrum Group" GF 940 SPORT Edition для Лада Веста</v>
      </c>
      <c r="B733" s="126">
        <v>320086</v>
      </c>
      <c r="C733" s="127">
        <f>VLOOKUP($B733,'Выгр Торг'!$B:$Q,C$1,0)</f>
        <v>320086</v>
      </c>
      <c r="D733" s="142" t="s">
        <v>200</v>
      </c>
      <c r="E733" s="125" t="str">
        <f>VLOOKUP($B733,'Выгр Торг'!$B:$Q,E$1,0)</f>
        <v>Электронная комбинация приборов "Ferrum Group" GF 940 SPORT Edition для Лада Веста (Экокожа, Красные шкалы)</v>
      </c>
      <c r="F733" s="127" t="str">
        <f>VLOOKUP($B733,'Выгр Торг'!$B:$Q,F$1,0)</f>
        <v>Y</v>
      </c>
      <c r="G733" s="127" t="str">
        <f>VLOOKUP($B733,'Выгр Торг'!$B:$Q,G$1,0)</f>
        <v>1</v>
      </c>
      <c r="H733" s="127"/>
      <c r="I733" s="159" t="s">
        <v>359</v>
      </c>
      <c r="J733" s="162"/>
      <c r="K733" s="162"/>
      <c r="L733" s="140">
        <f>VLOOKUP(I733,'Прайс Gamma'!$B:$H,3,0)+$K733+$J733</f>
        <v>77643</v>
      </c>
      <c r="M733" s="140">
        <f>VLOOKUP(I733,'Прайс Gamma'!$B:$H,4,0)+$K733+$J733</f>
        <v>80643</v>
      </c>
      <c r="N733" s="140"/>
      <c r="O733" s="132">
        <f t="shared" si="491"/>
        <v>1.0386383833700399</v>
      </c>
      <c r="P733" s="132">
        <f t="shared" si="494"/>
        <v>1.1499999999999999</v>
      </c>
      <c r="Q733" s="147">
        <f t="shared" si="492"/>
        <v>96010.161290322576</v>
      </c>
      <c r="R733" s="148">
        <f t="shared" si="493"/>
        <v>96090</v>
      </c>
      <c r="S733" s="127">
        <f>VLOOKUP($B733,'Выгр Торг'!$B:$Q,S$1,0)</f>
        <v>77643</v>
      </c>
      <c r="T733" s="127">
        <f>VLOOKUP($B733,'Выгр Торг'!$B:$Q,T$1,0)</f>
        <v>96090</v>
      </c>
      <c r="U733" s="94">
        <f t="shared" si="495"/>
        <v>0</v>
      </c>
      <c r="V733" s="94">
        <f t="shared" si="496"/>
        <v>0</v>
      </c>
      <c r="W733" s="153">
        <f t="shared" si="455"/>
        <v>89363.7</v>
      </c>
      <c r="X733" s="209">
        <f>IFERROR(VLOOKUP($B733,'Из ГУГЛа'!$B:$G,6,0)*Z733+Y733,VLOOKUP($B733,'Из ГУГЛа'!$B:$G,6,0))</f>
        <v>87590</v>
      </c>
      <c r="Y733" s="76"/>
      <c r="Z733" s="133">
        <v>1</v>
      </c>
      <c r="AA733" s="134"/>
      <c r="AB733" s="135">
        <f t="shared" si="456"/>
        <v>0.15095629998840843</v>
      </c>
      <c r="AC733" s="135">
        <f t="shared" si="457"/>
        <v>-2.0250028542070978E-2</v>
      </c>
      <c r="AD733" s="135">
        <f t="shared" si="458"/>
        <v>0.12811199979392862</v>
      </c>
      <c r="AE733" s="137">
        <v>87590</v>
      </c>
      <c r="AF733" s="98" t="s">
        <v>569</v>
      </c>
      <c r="AH733" s="98" t="s">
        <v>200</v>
      </c>
    </row>
    <row r="734" spans="1:34" ht="46.5" thickTop="1" thickBot="1">
      <c r="A734" s="125" t="str">
        <f>INDEX('Выгр Торг'!$A:$A,MATCH($B734,'Выгр Торг'!$B:$B,0))</f>
        <v>Электронная комбинация приборов "Ferrum Group" GF 949 CROSS Serie для Лада Веста</v>
      </c>
      <c r="B734" s="126">
        <v>320100</v>
      </c>
      <c r="C734" s="127">
        <f>VLOOKUP($B734,'Выгр Торг'!$B:$Q,C$1,0)</f>
        <v>320100</v>
      </c>
      <c r="D734" s="142" t="s">
        <v>120</v>
      </c>
      <c r="E734" s="125" t="str">
        <f>VLOOKUP($B734,'Выгр Торг'!$B:$Q,E$1,0)</f>
        <v>Электронная комбинация приборов "Ferrum Group" GF 949 CROSS Serie для Лада Веста (Алькантара)</v>
      </c>
      <c r="F734" s="127" t="str">
        <f>VLOOKUP($B734,'Выгр Торг'!$B:$Q,F$1,0)</f>
        <v>Y</v>
      </c>
      <c r="G734" s="127" t="str">
        <f>VLOOKUP($B734,'Выгр Торг'!$B:$Q,G$1,0)</f>
        <v>1</v>
      </c>
      <c r="H734" s="127"/>
      <c r="I734" s="159" t="s">
        <v>363</v>
      </c>
      <c r="J734" s="162"/>
      <c r="K734" s="162">
        <v>1400</v>
      </c>
      <c r="L734" s="140">
        <f>VLOOKUP(I734,'Прайс Gamma'!$B:$H,3,0)+$K734+$J734</f>
        <v>79065</v>
      </c>
      <c r="M734" s="140">
        <f>VLOOKUP(I734,'Прайс Gamma'!$B:$H,4,0)+$K734+$J734</f>
        <v>82065</v>
      </c>
      <c r="N734" s="140"/>
      <c r="O734" s="132">
        <f t="shared" si="491"/>
        <v>1.037943464238285</v>
      </c>
      <c r="P734" s="132">
        <f t="shared" si="494"/>
        <v>1.1499999999999999</v>
      </c>
      <c r="Q734" s="147">
        <f t="shared" si="492"/>
        <v>97768.548387096773</v>
      </c>
      <c r="R734" s="148">
        <f t="shared" si="493"/>
        <v>97790</v>
      </c>
      <c r="S734" s="127">
        <f>VLOOKUP($B734,'Выгр Торг'!$B:$Q,S$1,0)</f>
        <v>79065</v>
      </c>
      <c r="T734" s="127">
        <f>VLOOKUP($B734,'Выгр Торг'!$B:$Q,T$1,0)</f>
        <v>97790</v>
      </c>
      <c r="U734" s="94">
        <f t="shared" si="495"/>
        <v>0</v>
      </c>
      <c r="V734" s="94">
        <f t="shared" si="496"/>
        <v>0</v>
      </c>
      <c r="W734" s="153">
        <f t="shared" si="455"/>
        <v>90944.7</v>
      </c>
      <c r="X734" s="209">
        <f>IFERROR(VLOOKUP($B734,'Из ГУГЛа'!$B:$G,6,0)*Z734+Y734,VLOOKUP($B734,'Из ГУГЛа'!$B:$G,6,0))</f>
        <v>89510</v>
      </c>
      <c r="Y734" s="106">
        <f>(J734+K734)*$Y$2</f>
        <v>1820</v>
      </c>
      <c r="Z734" s="133">
        <v>1</v>
      </c>
      <c r="AA734" s="134"/>
      <c r="AB734" s="135">
        <f t="shared" si="456"/>
        <v>0.15025232403718447</v>
      </c>
      <c r="AC734" s="135">
        <f t="shared" si="457"/>
        <v>-1.6028376717685141E-2</v>
      </c>
      <c r="AD734" s="135">
        <f t="shared" si="458"/>
        <v>0.13210649465629554</v>
      </c>
      <c r="AE734" s="222">
        <v>89510</v>
      </c>
      <c r="AF734" s="98" t="s">
        <v>577</v>
      </c>
      <c r="AH734" s="98" t="s">
        <v>120</v>
      </c>
    </row>
    <row r="735" spans="1:34" ht="46.5" thickTop="1" thickBot="1">
      <c r="A735" s="125" t="str">
        <f>INDEX('Выгр Торг'!$A:$A,MATCH($B735,'Выгр Торг'!$B:$B,0))</f>
        <v>Электронная комбинация приборов "Ferrum Group" GF 949 CROSS Serie для Лада Веста</v>
      </c>
      <c r="B735" s="126">
        <v>320099</v>
      </c>
      <c r="C735" s="127">
        <f>VLOOKUP($B735,'Выгр Торг'!$B:$Q,C$1,0)</f>
        <v>320099</v>
      </c>
      <c r="D735" s="142" t="s">
        <v>120</v>
      </c>
      <c r="E735" s="125" t="str">
        <f>VLOOKUP($B735,'Выгр Торг'!$B:$Q,E$1,0)</f>
        <v>Электронная комбинация приборов "Ferrum Group" GF 949 CROSS Serie для Лада Веста (Пластик Soft-touch)</v>
      </c>
      <c r="F735" s="127" t="str">
        <f>VLOOKUP($B735,'Выгр Торг'!$B:$Q,F$1,0)</f>
        <v>Y</v>
      </c>
      <c r="G735" s="127" t="str">
        <f>VLOOKUP($B735,'Выгр Торг'!$B:$Q,G$1,0)</f>
        <v>1</v>
      </c>
      <c r="H735" s="127"/>
      <c r="I735" s="159" t="s">
        <v>363</v>
      </c>
      <c r="J735" s="162"/>
      <c r="K735" s="162">
        <v>700</v>
      </c>
      <c r="L735" s="140">
        <f>VLOOKUP(I735,'Прайс Gamma'!$B:$H,3,0)+$K735+$J735</f>
        <v>78365</v>
      </c>
      <c r="M735" s="140">
        <f>VLOOKUP(I735,'Прайс Gamma'!$B:$H,4,0)+$K735+$J735</f>
        <v>81365</v>
      </c>
      <c r="N735" s="140"/>
      <c r="O735" s="132">
        <f t="shared" si="491"/>
        <v>1.0382823964780195</v>
      </c>
      <c r="P735" s="132">
        <f t="shared" si="494"/>
        <v>1.1499999999999999</v>
      </c>
      <c r="Q735" s="147">
        <f t="shared" si="492"/>
        <v>96902.956989247308</v>
      </c>
      <c r="R735" s="148">
        <f t="shared" si="493"/>
        <v>96990</v>
      </c>
      <c r="S735" s="127">
        <f>VLOOKUP($B735,'Выгр Торг'!$B:$Q,S$1,0)</f>
        <v>78365</v>
      </c>
      <c r="T735" s="127">
        <f>VLOOKUP($B735,'Выгр Торг'!$B:$Q,T$1,0)</f>
        <v>96990</v>
      </c>
      <c r="U735" s="94">
        <f t="shared" si="495"/>
        <v>0</v>
      </c>
      <c r="V735" s="94">
        <f t="shared" si="496"/>
        <v>0</v>
      </c>
      <c r="W735" s="153">
        <f t="shared" si="455"/>
        <v>90200.7</v>
      </c>
      <c r="X735" s="209">
        <f>IFERROR(VLOOKUP($B735,'Из ГУГЛа'!$B:$G,6,0)*Z735+Y735,VLOOKUP($B735,'Из ГУГЛа'!$B:$G,6,0))</f>
        <v>88600</v>
      </c>
      <c r="Y735" s="106">
        <f>(J735+K735)*$Y$2</f>
        <v>910</v>
      </c>
      <c r="Z735" s="133">
        <v>1</v>
      </c>
      <c r="AA735" s="134"/>
      <c r="AB735" s="135">
        <f t="shared" si="456"/>
        <v>0.15103298666496512</v>
      </c>
      <c r="AC735" s="135">
        <f t="shared" si="457"/>
        <v>-1.8066591422121862E-2</v>
      </c>
      <c r="AD735" s="135">
        <f t="shared" si="458"/>
        <v>0.13060677598417669</v>
      </c>
      <c r="AE735" s="222">
        <v>88600</v>
      </c>
      <c r="AF735" s="98" t="s">
        <v>577</v>
      </c>
      <c r="AH735" s="98" t="s">
        <v>120</v>
      </c>
    </row>
    <row r="736" spans="1:34" ht="46.5" thickTop="1" thickBot="1">
      <c r="A736" s="125" t="str">
        <f>INDEX('Выгр Торг'!$A:$A,MATCH($B736,'Выгр Торг'!$B:$B,0))</f>
        <v>Электронная комбинация приборов "Ferrum Group" GF 949 CROSS Serie для Лада Веста</v>
      </c>
      <c r="B736" s="126">
        <v>320101</v>
      </c>
      <c r="C736" s="127">
        <f>VLOOKUP($B736,'Выгр Торг'!$B:$Q,C$1,0)</f>
        <v>320101</v>
      </c>
      <c r="D736" s="142" t="s">
        <v>120</v>
      </c>
      <c r="E736" s="125" t="str">
        <f>VLOOKUP($B736,'Выгр Торг'!$B:$Q,E$1,0)</f>
        <v>Электронная комбинация приборов "Ferrum Group" GF 949 CROSS Serie для Лада Веста (Экокожа)</v>
      </c>
      <c r="F736" s="127" t="str">
        <f>VLOOKUP($B736,'Выгр Торг'!$B:$Q,F$1,0)</f>
        <v>Y</v>
      </c>
      <c r="G736" s="127" t="str">
        <f>VLOOKUP($B736,'Выгр Торг'!$B:$Q,G$1,0)</f>
        <v>1</v>
      </c>
      <c r="H736" s="127"/>
      <c r="I736" s="159" t="s">
        <v>363</v>
      </c>
      <c r="J736" s="162"/>
      <c r="K736" s="162"/>
      <c r="L736" s="140">
        <f>VLOOKUP(I736,'Прайс Gamma'!$B:$H,3,0)+$K736+$J736</f>
        <v>77665</v>
      </c>
      <c r="M736" s="140">
        <f>VLOOKUP(I736,'Прайс Gamma'!$B:$H,4,0)+$K736+$J736</f>
        <v>80665</v>
      </c>
      <c r="N736" s="140"/>
      <c r="O736" s="132">
        <f t="shared" si="491"/>
        <v>1.0386274383570462</v>
      </c>
      <c r="P736" s="132">
        <f t="shared" si="494"/>
        <v>1.1499999999999999</v>
      </c>
      <c r="Q736" s="147">
        <f t="shared" si="492"/>
        <v>96037.365591397844</v>
      </c>
      <c r="R736" s="148">
        <f t="shared" si="493"/>
        <v>96090</v>
      </c>
      <c r="S736" s="127">
        <f>VLOOKUP($B736,'Выгр Торг'!$B:$Q,S$1,0)</f>
        <v>77665</v>
      </c>
      <c r="T736" s="127">
        <f>VLOOKUP($B736,'Выгр Торг'!$B:$Q,T$1,0)</f>
        <v>96090</v>
      </c>
      <c r="U736" s="94">
        <f t="shared" si="495"/>
        <v>0</v>
      </c>
      <c r="V736" s="94">
        <f t="shared" si="496"/>
        <v>0</v>
      </c>
      <c r="W736" s="153">
        <f t="shared" si="455"/>
        <v>89363.7</v>
      </c>
      <c r="X736" s="209">
        <f>IFERROR(VLOOKUP($B736,'Из ГУГЛа'!$B:$G,6,0)*Z736+Y736,VLOOKUP($B736,'Из ГУГЛа'!$B:$G,6,0))</f>
        <v>87690</v>
      </c>
      <c r="Y736" s="76"/>
      <c r="Z736" s="133">
        <v>1</v>
      </c>
      <c r="AA736" s="134"/>
      <c r="AB736" s="135">
        <f t="shared" si="456"/>
        <v>0.15063027103585913</v>
      </c>
      <c r="AC736" s="135">
        <f t="shared" si="457"/>
        <v>-1.9086554909339686E-2</v>
      </c>
      <c r="AD736" s="135">
        <f t="shared" si="458"/>
        <v>0.12908002317646305</v>
      </c>
      <c r="AE736" s="137">
        <v>87690</v>
      </c>
      <c r="AF736" s="98" t="s">
        <v>577</v>
      </c>
      <c r="AH736" s="98" t="s">
        <v>120</v>
      </c>
    </row>
    <row r="737" spans="1:34" ht="46.5" thickTop="1" thickBot="1">
      <c r="A737" s="125" t="str">
        <f>INDEX('Выгр Торг'!$A:$A,MATCH($B737,'Выгр Торг'!$B:$B,0))</f>
        <v>Электронная комбинация приборов "Ferrum Group" GF 949 Exclusive для Лада Веста</v>
      </c>
      <c r="B737" s="126">
        <v>320106</v>
      </c>
      <c r="C737" s="127">
        <f>VLOOKUP($B737,'Выгр Торг'!$B:$Q,C$1,0)</f>
        <v>320106</v>
      </c>
      <c r="D737" s="142" t="s">
        <v>121</v>
      </c>
      <c r="E737" s="125" t="str">
        <f>VLOOKUP($B737,'Выгр Торг'!$B:$Q,E$1,0)</f>
        <v>Электронная комбинация приборов "Ferrum Group" GF 949 Exclusive для Лада Веста (Алькантара)</v>
      </c>
      <c r="F737" s="127" t="str">
        <f>VLOOKUP($B737,'Выгр Торг'!$B:$Q,F$1,0)</f>
        <v>Y</v>
      </c>
      <c r="G737" s="127" t="str">
        <f>VLOOKUP($B737,'Выгр Торг'!$B:$Q,G$1,0)</f>
        <v>1</v>
      </c>
      <c r="H737" s="127"/>
      <c r="I737" s="159" t="s">
        <v>201</v>
      </c>
      <c r="J737" s="162"/>
      <c r="K737" s="162">
        <v>1400</v>
      </c>
      <c r="L737" s="140">
        <f>VLOOKUP(I737,'Прайс Gamma'!$B:$H,3,0)+$K737+$J737</f>
        <v>79326</v>
      </c>
      <c r="M737" s="140">
        <f>VLOOKUP(I737,'Прайс Gamma'!$B:$H,4,0)+$K737+$J737</f>
        <v>82326</v>
      </c>
      <c r="N737" s="140"/>
      <c r="O737" s="132">
        <f t="shared" si="491"/>
        <v>1.0378186218894183</v>
      </c>
      <c r="P737" s="132">
        <f t="shared" si="494"/>
        <v>1.1499999999999999</v>
      </c>
      <c r="Q737" s="147">
        <f t="shared" si="492"/>
        <v>98091.290322580651</v>
      </c>
      <c r="R737" s="148">
        <f t="shared" si="493"/>
        <v>98090</v>
      </c>
      <c r="S737" s="127">
        <f>VLOOKUP($B737,'Выгр Торг'!$B:$Q,S$1,0)</f>
        <v>79326</v>
      </c>
      <c r="T737" s="127">
        <f>VLOOKUP($B737,'Выгр Торг'!$B:$Q,T$1,0)</f>
        <v>98090</v>
      </c>
      <c r="U737" s="94">
        <f t="shared" si="495"/>
        <v>0</v>
      </c>
      <c r="V737" s="94">
        <f t="shared" si="496"/>
        <v>0</v>
      </c>
      <c r="W737" s="153">
        <f t="shared" si="455"/>
        <v>91223.7</v>
      </c>
      <c r="X737" s="209">
        <f>IFERROR(VLOOKUP($B737,'Из ГУГЛа'!$B:$G,6,0)*Z737+Y737,VLOOKUP($B737,'Из ГУГЛа'!$B:$G,6,0))</f>
        <v>89710</v>
      </c>
      <c r="Y737" s="106">
        <f>(J737+K737)*$Y$2</f>
        <v>1820</v>
      </c>
      <c r="Z737" s="133">
        <v>1</v>
      </c>
      <c r="AA737" s="134"/>
      <c r="AB737" s="135">
        <f t="shared" si="456"/>
        <v>0.14998487255124426</v>
      </c>
      <c r="AC737" s="135">
        <f t="shared" si="457"/>
        <v>-1.6873258276669235E-2</v>
      </c>
      <c r="AD737" s="135">
        <f t="shared" si="458"/>
        <v>0.1309028565665733</v>
      </c>
      <c r="AE737" s="222">
        <v>89710</v>
      </c>
      <c r="AF737" s="98" t="s">
        <v>578</v>
      </c>
      <c r="AH737" s="98" t="s">
        <v>121</v>
      </c>
    </row>
    <row r="738" spans="1:34" ht="46.5" thickTop="1" thickBot="1">
      <c r="A738" s="125" t="str">
        <f>INDEX('Выгр Торг'!$A:$A,MATCH($B738,'Выгр Торг'!$B:$B,0))</f>
        <v>Электронная комбинация приборов "Ferrum Group" GF 949 Exclusive для Лада Веста</v>
      </c>
      <c r="B738" s="126">
        <v>320105</v>
      </c>
      <c r="C738" s="127">
        <f>VLOOKUP($B738,'Выгр Торг'!$B:$Q,C$1,0)</f>
        <v>320105</v>
      </c>
      <c r="D738" s="142" t="s">
        <v>121</v>
      </c>
      <c r="E738" s="125" t="str">
        <f>VLOOKUP($B738,'Выгр Торг'!$B:$Q,E$1,0)</f>
        <v>Электронная комбинация приборов "Ferrum Group" GF 949 Exclusive для Лада Веста (Пластик Soft-touch)</v>
      </c>
      <c r="F738" s="127" t="str">
        <f>VLOOKUP($B738,'Выгр Торг'!$B:$Q,F$1,0)</f>
        <v>Y</v>
      </c>
      <c r="G738" s="127" t="str">
        <f>VLOOKUP($B738,'Выгр Торг'!$B:$Q,G$1,0)</f>
        <v>1</v>
      </c>
      <c r="H738" s="127"/>
      <c r="I738" s="159" t="s">
        <v>201</v>
      </c>
      <c r="J738" s="162"/>
      <c r="K738" s="162">
        <v>700</v>
      </c>
      <c r="L738" s="140">
        <f>VLOOKUP(I738,'Прайс Gamma'!$B:$H,3,0)+$K738+$J738</f>
        <v>78626</v>
      </c>
      <c r="M738" s="140">
        <f>VLOOKUP(I738,'Прайс Gamma'!$B:$H,4,0)+$K738+$J738</f>
        <v>81626</v>
      </c>
      <c r="N738" s="140"/>
      <c r="O738" s="132">
        <f t="shared" si="491"/>
        <v>1.0381553175794267</v>
      </c>
      <c r="P738" s="132">
        <f t="shared" si="494"/>
        <v>1.1499999999999999</v>
      </c>
      <c r="Q738" s="147">
        <f t="shared" si="492"/>
        <v>97225.698924731187</v>
      </c>
      <c r="R738" s="148">
        <f t="shared" si="493"/>
        <v>97290</v>
      </c>
      <c r="S738" s="127">
        <f>VLOOKUP($B738,'Выгр Торг'!$B:$Q,S$1,0)</f>
        <v>78626</v>
      </c>
      <c r="T738" s="127">
        <f>VLOOKUP($B738,'Выгр Торг'!$B:$Q,T$1,0)</f>
        <v>97290</v>
      </c>
      <c r="U738" s="94">
        <f t="shared" si="495"/>
        <v>0</v>
      </c>
      <c r="V738" s="94">
        <f t="shared" si="496"/>
        <v>0</v>
      </c>
      <c r="W738" s="153">
        <f t="shared" si="455"/>
        <v>90479.7</v>
      </c>
      <c r="X738" s="209">
        <f>IFERROR(VLOOKUP($B738,'Из ГУГЛа'!$B:$G,6,0)*Z738+Y738,VLOOKUP($B738,'Из ГУГЛа'!$B:$G,6,0))</f>
        <v>88800</v>
      </c>
      <c r="Y738" s="106">
        <f>(J738+K738)*$Y$2</f>
        <v>910</v>
      </c>
      <c r="Z738" s="133">
        <v>1</v>
      </c>
      <c r="AA738" s="134"/>
      <c r="AB738" s="135">
        <f t="shared" si="456"/>
        <v>0.15076056266374982</v>
      </c>
      <c r="AC738" s="135">
        <f t="shared" si="457"/>
        <v>-1.8915540540540506E-2</v>
      </c>
      <c r="AD738" s="135">
        <f t="shared" si="458"/>
        <v>0.12939740035102898</v>
      </c>
      <c r="AE738" s="222">
        <v>88800</v>
      </c>
      <c r="AF738" s="98" t="s">
        <v>578</v>
      </c>
      <c r="AH738" s="98" t="s">
        <v>121</v>
      </c>
    </row>
    <row r="739" spans="1:34" ht="46.5" thickTop="1" thickBot="1">
      <c r="A739" s="125" t="str">
        <f>INDEX('Выгр Торг'!$A:$A,MATCH($B739,'Выгр Торг'!$B:$B,0))</f>
        <v>Электронная комбинация приборов "Ferrum Group" GF 949 Exclusive для Лада Веста</v>
      </c>
      <c r="B739" s="126">
        <v>320107</v>
      </c>
      <c r="C739" s="127">
        <f>VLOOKUP($B739,'Выгр Торг'!$B:$Q,C$1,0)</f>
        <v>320107</v>
      </c>
      <c r="D739" s="142" t="s">
        <v>121</v>
      </c>
      <c r="E739" s="125" t="str">
        <f>VLOOKUP($B739,'Выгр Торг'!$B:$Q,E$1,0)</f>
        <v>Электронная комбинация приборов "Ferrum Group" GF 949 Exclusive для Лада Веста (Экокожа)</v>
      </c>
      <c r="F739" s="127" t="str">
        <f>VLOOKUP($B739,'Выгр Торг'!$B:$Q,F$1,0)</f>
        <v>Y</v>
      </c>
      <c r="G739" s="127" t="str">
        <f>VLOOKUP($B739,'Выгр Торг'!$B:$Q,G$1,0)</f>
        <v>1</v>
      </c>
      <c r="H739" s="127"/>
      <c r="I739" s="159" t="s">
        <v>201</v>
      </c>
      <c r="J739" s="162"/>
      <c r="K739" s="162"/>
      <c r="L739" s="140">
        <f>VLOOKUP(I739,'Прайс Gamma'!$B:$H,3,0)+$K739+$J739</f>
        <v>77926</v>
      </c>
      <c r="M739" s="140">
        <f>VLOOKUP(I739,'Прайс Gamma'!$B:$H,4,0)+$K739+$J739</f>
        <v>80926</v>
      </c>
      <c r="N739" s="140"/>
      <c r="O739" s="132">
        <f t="shared" si="491"/>
        <v>1.0384980622641993</v>
      </c>
      <c r="P739" s="132">
        <f t="shared" si="494"/>
        <v>1.1499999999999999</v>
      </c>
      <c r="Q739" s="147">
        <f t="shared" si="492"/>
        <v>96360.107526881722</v>
      </c>
      <c r="R739" s="148">
        <f t="shared" si="493"/>
        <v>96390</v>
      </c>
      <c r="S739" s="127">
        <f>VLOOKUP($B739,'Выгр Торг'!$B:$Q,S$1,0)</f>
        <v>77926</v>
      </c>
      <c r="T739" s="127">
        <f>VLOOKUP($B739,'Выгр Торг'!$B:$Q,T$1,0)</f>
        <v>96390</v>
      </c>
      <c r="U739" s="94">
        <f t="shared" si="495"/>
        <v>0</v>
      </c>
      <c r="V739" s="94">
        <f t="shared" si="496"/>
        <v>0</v>
      </c>
      <c r="W739" s="153">
        <f t="shared" ref="W739:W745" si="506">R739*(1-$W$2)</f>
        <v>89642.7</v>
      </c>
      <c r="X739" s="209">
        <f>IFERROR(VLOOKUP($B739,'Из ГУГЛа'!$B:$G,6,0)*Z739+Y739,VLOOKUP($B739,'Из ГУГЛа'!$B:$G,6,0))</f>
        <v>87890</v>
      </c>
      <c r="Y739" s="76"/>
      <c r="Z739" s="133">
        <v>1</v>
      </c>
      <c r="AA739" s="134"/>
      <c r="AB739" s="135">
        <f t="shared" ref="AB739:AB745" si="507">IFERROR(W739/L739-1,"")</f>
        <v>0.15035674871031479</v>
      </c>
      <c r="AC739" s="135">
        <f t="shared" ref="AC739:AC745" si="508">IFERROR((AE739-W739)/AE739,"")</f>
        <v>-1.9941972920696292E-2</v>
      </c>
      <c r="AD739" s="135">
        <f t="shared" ref="AD739:AD745" si="509">IFERROR(IF(AE739="","",AE739/L739-1),"")</f>
        <v>0.1278648974668275</v>
      </c>
      <c r="AE739" s="137">
        <v>87890</v>
      </c>
      <c r="AF739" s="98" t="s">
        <v>578</v>
      </c>
      <c r="AH739" s="98" t="s">
        <v>121</v>
      </c>
    </row>
    <row r="740" spans="1:34" ht="46.5" thickTop="1" thickBot="1">
      <c r="A740" s="125" t="str">
        <f>INDEX('Выгр Торг'!$A:$A,MATCH($B740,'Выгр Торг'!$B:$B,0))</f>
        <v>Электронная комбинация приборов "Ferrum Group" GF 949 GRAND Premium для Лада Веста</v>
      </c>
      <c r="B740" s="126">
        <v>320109</v>
      </c>
      <c r="C740" s="127">
        <f>VLOOKUP($B740,'Выгр Торг'!$B:$Q,C$1,0)</f>
        <v>320109</v>
      </c>
      <c r="D740" s="142" t="s">
        <v>123</v>
      </c>
      <c r="E740" s="125" t="str">
        <f>VLOOKUP($B740,'Выгр Торг'!$B:$Q,E$1,0)</f>
        <v>Электронная комбинация приборов "Ferrum Group" GF 949 GRAND Premium для Лада Веста (Алькантара)</v>
      </c>
      <c r="F740" s="127" t="str">
        <f>VLOOKUP($B740,'Выгр Торг'!$B:$Q,F$1,0)</f>
        <v>Y</v>
      </c>
      <c r="G740" s="127" t="str">
        <f>VLOOKUP($B740,'Выгр Торг'!$B:$Q,G$1,0)</f>
        <v>1</v>
      </c>
      <c r="H740" s="127"/>
      <c r="I740" s="159" t="s">
        <v>365</v>
      </c>
      <c r="J740" s="162"/>
      <c r="K740" s="162">
        <v>1400</v>
      </c>
      <c r="L740" s="140">
        <f>VLOOKUP(I740,'Прайс Gamma'!$B:$H,3,0)+$K740+$J740</f>
        <v>77342</v>
      </c>
      <c r="M740" s="140">
        <f>VLOOKUP(I740,'Прайс Gamma'!$B:$H,4,0)+$K740+$J740</f>
        <v>80342</v>
      </c>
      <c r="N740" s="140"/>
      <c r="O740" s="132">
        <f t="shared" si="491"/>
        <v>1.0387887564324687</v>
      </c>
      <c r="P740" s="132">
        <f t="shared" si="494"/>
        <v>1.1499999999999999</v>
      </c>
      <c r="Q740" s="147">
        <f t="shared" si="492"/>
        <v>95637.956989247294</v>
      </c>
      <c r="R740" s="148">
        <f t="shared" si="493"/>
        <v>95690</v>
      </c>
      <c r="S740" s="127">
        <f>VLOOKUP($B740,'Выгр Торг'!$B:$Q,S$1,0)</f>
        <v>77342</v>
      </c>
      <c r="T740" s="127">
        <f>VLOOKUP($B740,'Выгр Торг'!$B:$Q,T$1,0)</f>
        <v>95690</v>
      </c>
      <c r="U740" s="94">
        <f t="shared" si="495"/>
        <v>0</v>
      </c>
      <c r="V740" s="94">
        <f t="shared" si="496"/>
        <v>0</v>
      </c>
      <c r="W740" s="153">
        <f t="shared" si="506"/>
        <v>88991.7</v>
      </c>
      <c r="X740" s="209">
        <f>IFERROR(VLOOKUP($B740,'Из ГУГЛа'!$B:$G,6,0)*Z740+Y740,VLOOKUP($B740,'Из ГУГЛа'!$B:$G,6,0))</f>
        <v>87710</v>
      </c>
      <c r="Y740" s="106">
        <f>(J740+K740)*$Y$2</f>
        <v>1820</v>
      </c>
      <c r="Z740" s="133">
        <v>1</v>
      </c>
      <c r="AA740" s="134"/>
      <c r="AB740" s="135">
        <f t="shared" si="507"/>
        <v>0.15062579193711056</v>
      </c>
      <c r="AC740" s="135">
        <f t="shared" si="508"/>
        <v>-1.4612928970470836E-2</v>
      </c>
      <c r="AD740" s="135">
        <f t="shared" si="509"/>
        <v>0.13405394223061218</v>
      </c>
      <c r="AE740" s="222">
        <v>87710</v>
      </c>
      <c r="AF740" s="98" t="s">
        <v>565</v>
      </c>
      <c r="AH740" s="98" t="s">
        <v>123</v>
      </c>
    </row>
    <row r="741" spans="1:34" ht="46.5" thickTop="1" thickBot="1">
      <c r="A741" s="125" t="str">
        <f>INDEX('Выгр Торг'!$A:$A,MATCH($B741,'Выгр Торг'!$B:$B,0))</f>
        <v>Электронная комбинация приборов "Ferrum Group" GF 949 GRAND Premium для Лада Веста</v>
      </c>
      <c r="B741" s="126">
        <v>320108</v>
      </c>
      <c r="C741" s="127">
        <f>VLOOKUP($B741,'Выгр Торг'!$B:$Q,C$1,0)</f>
        <v>320108</v>
      </c>
      <c r="D741" s="142" t="s">
        <v>123</v>
      </c>
      <c r="E741" s="125" t="str">
        <f>VLOOKUP($B741,'Выгр Торг'!$B:$Q,E$1,0)</f>
        <v>Электронная комбинация приборов "Ferrum Group" GF 949 GRAND Premium для Лада Веста (Пластик Soft-touch)</v>
      </c>
      <c r="F741" s="127" t="str">
        <f>VLOOKUP($B741,'Выгр Торг'!$B:$Q,F$1,0)</f>
        <v>Y</v>
      </c>
      <c r="G741" s="127" t="str">
        <f>VLOOKUP($B741,'Выгр Торг'!$B:$Q,G$1,0)</f>
        <v>1</v>
      </c>
      <c r="H741" s="127"/>
      <c r="I741" s="159" t="s">
        <v>365</v>
      </c>
      <c r="J741" s="162"/>
      <c r="K741" s="162">
        <v>700</v>
      </c>
      <c r="L741" s="140">
        <f>VLOOKUP(I741,'Прайс Gamma'!$B:$H,3,0)+$K741+$J741</f>
        <v>76642</v>
      </c>
      <c r="M741" s="140">
        <f>VLOOKUP(I741,'Прайс Gamma'!$B:$H,4,0)+$K741+$J741</f>
        <v>79642</v>
      </c>
      <c r="N741" s="140"/>
      <c r="O741" s="132">
        <f t="shared" si="491"/>
        <v>1.0391430286266017</v>
      </c>
      <c r="P741" s="132">
        <f t="shared" si="494"/>
        <v>1.1499999999999999</v>
      </c>
      <c r="Q741" s="147">
        <f t="shared" si="492"/>
        <v>94772.365591397829</v>
      </c>
      <c r="R741" s="148">
        <f t="shared" si="493"/>
        <v>94790</v>
      </c>
      <c r="S741" s="127">
        <f>VLOOKUP($B741,'Выгр Торг'!$B:$Q,S$1,0)</f>
        <v>76642</v>
      </c>
      <c r="T741" s="127">
        <f>VLOOKUP($B741,'Выгр Торг'!$B:$Q,T$1,0)</f>
        <v>94790</v>
      </c>
      <c r="U741" s="94">
        <f t="shared" si="495"/>
        <v>0</v>
      </c>
      <c r="V741" s="94">
        <f t="shared" si="496"/>
        <v>0</v>
      </c>
      <c r="W741" s="153">
        <f t="shared" si="506"/>
        <v>88154.7</v>
      </c>
      <c r="X741" s="209">
        <f>IFERROR(VLOOKUP($B741,'Из ГУГЛа'!$B:$G,6,0)*Z741+Y741,VLOOKUP($B741,'Из ГУГЛа'!$B:$G,6,0))</f>
        <v>86800</v>
      </c>
      <c r="Y741" s="106">
        <f>(J741+K741)*$Y$2</f>
        <v>910</v>
      </c>
      <c r="Z741" s="133">
        <v>1</v>
      </c>
      <c r="AA741" s="134"/>
      <c r="AB741" s="135">
        <f t="shared" si="507"/>
        <v>0.15021398188982538</v>
      </c>
      <c r="AC741" s="135">
        <f t="shared" si="508"/>
        <v>-1.5607142857142823E-2</v>
      </c>
      <c r="AD741" s="135">
        <f t="shared" si="509"/>
        <v>0.13253829492967295</v>
      </c>
      <c r="AE741" s="222">
        <v>86800</v>
      </c>
      <c r="AF741" s="98" t="s">
        <v>565</v>
      </c>
      <c r="AH741" s="98" t="s">
        <v>123</v>
      </c>
    </row>
    <row r="742" spans="1:34" ht="46.5" thickTop="1" thickBot="1">
      <c r="A742" s="125" t="str">
        <f>INDEX('Выгр Торг'!$A:$A,MATCH($B742,'Выгр Торг'!$B:$B,0))</f>
        <v>Электронная комбинация приборов "Ferrum Group" GF 949 GRAND Premium для Лада Веста</v>
      </c>
      <c r="B742" s="126">
        <v>320110</v>
      </c>
      <c r="C742" s="127">
        <f>VLOOKUP($B742,'Выгр Торг'!$B:$Q,C$1,0)</f>
        <v>320110</v>
      </c>
      <c r="D742" s="142" t="s">
        <v>123</v>
      </c>
      <c r="E742" s="125" t="str">
        <f>VLOOKUP($B742,'Выгр Торг'!$B:$Q,E$1,0)</f>
        <v>Электронная комбинация приборов "Ferrum Group" GF 949 GRAND Premium для Лада Веста (Экокожа)</v>
      </c>
      <c r="F742" s="127" t="str">
        <f>VLOOKUP($B742,'Выгр Торг'!$B:$Q,F$1,0)</f>
        <v>Y</v>
      </c>
      <c r="G742" s="127" t="str">
        <f>VLOOKUP($B742,'Выгр Торг'!$B:$Q,G$1,0)</f>
        <v>1</v>
      </c>
      <c r="H742" s="127"/>
      <c r="I742" s="159" t="s">
        <v>365</v>
      </c>
      <c r="J742" s="162"/>
      <c r="K742" s="162"/>
      <c r="L742" s="140">
        <f>VLOOKUP(I742,'Прайс Gamma'!$B:$H,3,0)+$K742+$J742</f>
        <v>75942</v>
      </c>
      <c r="M742" s="140">
        <f>VLOOKUP(I742,'Прайс Gamma'!$B:$H,4,0)+$K742+$J742</f>
        <v>78942</v>
      </c>
      <c r="N742" s="140"/>
      <c r="O742" s="132">
        <f t="shared" si="491"/>
        <v>1.0395038318716916</v>
      </c>
      <c r="P742" s="132">
        <f t="shared" si="494"/>
        <v>1.1499999999999999</v>
      </c>
      <c r="Q742" s="147">
        <f t="shared" si="492"/>
        <v>93906.774193548365</v>
      </c>
      <c r="R742" s="148">
        <f t="shared" si="493"/>
        <v>93990</v>
      </c>
      <c r="S742" s="127">
        <f>VLOOKUP($B742,'Выгр Торг'!$B:$Q,S$1,0)</f>
        <v>75942</v>
      </c>
      <c r="T742" s="127">
        <f>VLOOKUP($B742,'Выгр Торг'!$B:$Q,T$1,0)</f>
        <v>93990</v>
      </c>
      <c r="U742" s="94">
        <f t="shared" si="495"/>
        <v>0</v>
      </c>
      <c r="V742" s="94">
        <f t="shared" si="496"/>
        <v>0</v>
      </c>
      <c r="W742" s="153">
        <f t="shared" si="506"/>
        <v>87410.7</v>
      </c>
      <c r="X742" s="209">
        <f>IFERROR(VLOOKUP($B742,'Из ГУГЛа'!$B:$G,6,0)*Z742+Y742,VLOOKUP($B742,'Из ГУГЛа'!$B:$G,6,0))</f>
        <v>85890</v>
      </c>
      <c r="Y742" s="76"/>
      <c r="Z742" s="133">
        <v>1</v>
      </c>
      <c r="AA742" s="134"/>
      <c r="AB742" s="135">
        <f t="shared" si="507"/>
        <v>0.15101919886228954</v>
      </c>
      <c r="AC742" s="135">
        <f t="shared" si="508"/>
        <v>-1.7705204331121167E-2</v>
      </c>
      <c r="AD742" s="135">
        <f t="shared" si="509"/>
        <v>0.13099470648652911</v>
      </c>
      <c r="AE742" s="137">
        <v>85890</v>
      </c>
      <c r="AF742" s="98" t="s">
        <v>565</v>
      </c>
      <c r="AH742" s="98" t="s">
        <v>123</v>
      </c>
    </row>
    <row r="743" spans="1:34" ht="46.5" thickTop="1" thickBot="1">
      <c r="A743" s="125" t="str">
        <f>INDEX('Выгр Торг'!$A:$A,MATCH($B743,'Выгр Торг'!$B:$B,0))</f>
        <v>Электронная комбинация приборов "Ferrum Group" GF 949 GRAND Sport для Лада Веста</v>
      </c>
      <c r="B743" s="126">
        <v>320114</v>
      </c>
      <c r="C743" s="127">
        <f>VLOOKUP($B743,'Выгр Торг'!$B:$Q,C$1,0)</f>
        <v>320114</v>
      </c>
      <c r="D743" s="142" t="s">
        <v>122</v>
      </c>
      <c r="E743" s="125" t="str">
        <f>VLOOKUP($B743,'Выгр Торг'!$B:$Q,E$1,0)</f>
        <v>Электронная комбинация приборов "Ferrum Group" GF 949 GRAND Sport для Лада Веста (Алькантара)</v>
      </c>
      <c r="F743" s="127" t="str">
        <f>VLOOKUP($B743,'Выгр Торг'!$B:$Q,F$1,0)</f>
        <v>Y</v>
      </c>
      <c r="G743" s="127" t="str">
        <f>VLOOKUP($B743,'Выгр Торг'!$B:$Q,G$1,0)</f>
        <v>1</v>
      </c>
      <c r="H743" s="127"/>
      <c r="I743" s="159" t="s">
        <v>364</v>
      </c>
      <c r="J743" s="162"/>
      <c r="K743" s="162">
        <v>1400</v>
      </c>
      <c r="L743" s="140">
        <f>VLOOKUP(I743,'Прайс Gamma'!$B:$H,3,0)+$K743+$J743</f>
        <v>78759</v>
      </c>
      <c r="M743" s="140">
        <f>VLOOKUP(I743,'Прайс Gamma'!$B:$H,4,0)+$K743+$J743</f>
        <v>81759</v>
      </c>
      <c r="N743" s="140"/>
      <c r="O743" s="132">
        <f t="shared" si="491"/>
        <v>1.0380908848512551</v>
      </c>
      <c r="P743" s="132">
        <f t="shared" si="494"/>
        <v>1.1499999999999999</v>
      </c>
      <c r="Q743" s="147">
        <f t="shared" si="492"/>
        <v>97390.161290322576</v>
      </c>
      <c r="R743" s="148">
        <f t="shared" si="493"/>
        <v>97390</v>
      </c>
      <c r="S743" s="127">
        <f>VLOOKUP($B743,'Выгр Торг'!$B:$Q,S$1,0)</f>
        <v>78759</v>
      </c>
      <c r="T743" s="127">
        <f>VLOOKUP($B743,'Выгр Торг'!$B:$Q,T$1,0)</f>
        <v>97390</v>
      </c>
      <c r="U743" s="94">
        <f t="shared" si="495"/>
        <v>0</v>
      </c>
      <c r="V743" s="94">
        <f t="shared" si="496"/>
        <v>0</v>
      </c>
      <c r="W743" s="153">
        <f t="shared" si="506"/>
        <v>90572.7</v>
      </c>
      <c r="X743" s="209">
        <f>IFERROR(VLOOKUP($B743,'Из ГУГЛа'!$B:$G,6,0)*Z743+Y743,VLOOKUP($B743,'Из ГУГЛа'!$B:$G,6,0))</f>
        <v>89210</v>
      </c>
      <c r="Y743" s="106">
        <f>(J743+K743)*$Y$2</f>
        <v>1820</v>
      </c>
      <c r="Z743" s="133">
        <v>1</v>
      </c>
      <c r="AA743" s="134"/>
      <c r="AB743" s="135">
        <f t="shared" si="507"/>
        <v>0.14999809545575737</v>
      </c>
      <c r="AC743" s="135">
        <f t="shared" si="508"/>
        <v>-1.5275193363972615E-2</v>
      </c>
      <c r="AD743" s="135">
        <f t="shared" si="509"/>
        <v>0.13269594586015576</v>
      </c>
      <c r="AE743" s="222">
        <v>89210</v>
      </c>
      <c r="AF743" s="98" t="s">
        <v>576</v>
      </c>
      <c r="AH743" s="98" t="s">
        <v>122</v>
      </c>
    </row>
    <row r="744" spans="1:34" ht="46.5" thickTop="1" thickBot="1">
      <c r="A744" s="125" t="str">
        <f>INDEX('Выгр Торг'!$A:$A,MATCH($B744,'Выгр Торг'!$B:$B,0))</f>
        <v>Электронная комбинация приборов "Ferrum Group" GF 949 GRAND Sport для Лада Веста</v>
      </c>
      <c r="B744" s="126">
        <v>320113</v>
      </c>
      <c r="C744" s="127">
        <f>VLOOKUP($B744,'Выгр Торг'!$B:$Q,C$1,0)</f>
        <v>320113</v>
      </c>
      <c r="D744" s="142" t="s">
        <v>122</v>
      </c>
      <c r="E744" s="125" t="str">
        <f>VLOOKUP($B744,'Выгр Торг'!$B:$Q,E$1,0)</f>
        <v>Электронная комбинация приборов "Ferrum Group" GF 949 GRAND Sport для Лада Веста (Пластик Soft-touch)</v>
      </c>
      <c r="F744" s="127" t="str">
        <f>VLOOKUP($B744,'Выгр Торг'!$B:$Q,F$1,0)</f>
        <v>Y</v>
      </c>
      <c r="G744" s="127" t="str">
        <f>VLOOKUP($B744,'Выгр Торг'!$B:$Q,G$1,0)</f>
        <v>1</v>
      </c>
      <c r="H744" s="127"/>
      <c r="I744" s="159" t="s">
        <v>364</v>
      </c>
      <c r="J744" s="162"/>
      <c r="K744" s="162">
        <v>700</v>
      </c>
      <c r="L744" s="140">
        <f>VLOOKUP(I744,'Прайс Gamma'!$B:$H,3,0)+$K744+$J744</f>
        <v>78059</v>
      </c>
      <c r="M744" s="140">
        <f>VLOOKUP(I744,'Прайс Gamma'!$B:$H,4,0)+$K744+$J744</f>
        <v>81059</v>
      </c>
      <c r="N744" s="140"/>
      <c r="O744" s="132">
        <f t="shared" si="491"/>
        <v>1.0384324677487542</v>
      </c>
      <c r="P744" s="132">
        <f t="shared" si="494"/>
        <v>1.1499999999999999</v>
      </c>
      <c r="Q744" s="147">
        <f t="shared" si="492"/>
        <v>96524.569892473111</v>
      </c>
      <c r="R744" s="148">
        <f t="shared" si="493"/>
        <v>96590</v>
      </c>
      <c r="S744" s="127">
        <f>VLOOKUP($B744,'Выгр Торг'!$B:$Q,S$1,0)</f>
        <v>78059</v>
      </c>
      <c r="T744" s="127">
        <f>VLOOKUP($B744,'Выгр Торг'!$B:$Q,T$1,0)</f>
        <v>96590</v>
      </c>
      <c r="U744" s="94">
        <f t="shared" si="495"/>
        <v>0</v>
      </c>
      <c r="V744" s="94">
        <f t="shared" si="496"/>
        <v>0</v>
      </c>
      <c r="W744" s="153">
        <f t="shared" si="506"/>
        <v>89828.7</v>
      </c>
      <c r="X744" s="209">
        <f>IFERROR(VLOOKUP($B744,'Из ГУГЛа'!$B:$G,6,0)*Z744+Y744,VLOOKUP($B744,'Из ГУГЛа'!$B:$G,6,0))</f>
        <v>88300</v>
      </c>
      <c r="Y744" s="106">
        <f>(J744+K744)*$Y$2</f>
        <v>910</v>
      </c>
      <c r="Z744" s="133">
        <v>1</v>
      </c>
      <c r="AA744" s="134"/>
      <c r="AB744" s="135">
        <f t="shared" si="507"/>
        <v>0.15077953855417059</v>
      </c>
      <c r="AC744" s="135">
        <f t="shared" si="508"/>
        <v>-1.7312570781426919E-2</v>
      </c>
      <c r="AD744" s="135">
        <f t="shared" si="509"/>
        <v>0.13119563407166379</v>
      </c>
      <c r="AE744" s="222">
        <v>88300</v>
      </c>
      <c r="AF744" s="98" t="s">
        <v>576</v>
      </c>
      <c r="AH744" s="98" t="s">
        <v>122</v>
      </c>
    </row>
    <row r="745" spans="1:34" ht="46.5" thickTop="1" thickBot="1">
      <c r="A745" s="125" t="str">
        <f>INDEX('Выгр Торг'!$A:$A,MATCH($B745,'Выгр Торг'!$B:$B,0))</f>
        <v>Электронная комбинация приборов "Ferrum Group" GF 949 GRAND Sport для Лада Веста</v>
      </c>
      <c r="B745" s="126">
        <v>320115</v>
      </c>
      <c r="C745" s="127">
        <f>VLOOKUP($B745,'Выгр Торг'!$B:$Q,C$1,0)</f>
        <v>320115</v>
      </c>
      <c r="D745" s="142" t="s">
        <v>122</v>
      </c>
      <c r="E745" s="125" t="str">
        <f>VLOOKUP($B745,'Выгр Торг'!$B:$Q,E$1,0)</f>
        <v>Электронная комбинация приборов "Ferrum Group" GF 949 GRAND Sport для Лада Веста (Экокожа)</v>
      </c>
      <c r="F745" s="127" t="str">
        <f>VLOOKUP($B745,'Выгр Торг'!$B:$Q,F$1,0)</f>
        <v>Y</v>
      </c>
      <c r="G745" s="127" t="str">
        <f>VLOOKUP($B745,'Выгр Торг'!$B:$Q,G$1,0)</f>
        <v>1</v>
      </c>
      <c r="H745" s="127"/>
      <c r="I745" s="159" t="s">
        <v>364</v>
      </c>
      <c r="J745" s="162"/>
      <c r="K745" s="162"/>
      <c r="L745" s="140">
        <f>VLOOKUP(I745,'Прайс Gamma'!$B:$H,3,0)+$K745+$J745</f>
        <v>77359</v>
      </c>
      <c r="M745" s="140">
        <f>VLOOKUP(I745,'Прайс Gamma'!$B:$H,4,0)+$K745+$J745</f>
        <v>80359</v>
      </c>
      <c r="N745" s="140"/>
      <c r="O745" s="132">
        <f t="shared" si="491"/>
        <v>1.0387802324228597</v>
      </c>
      <c r="P745" s="132">
        <f t="shared" si="494"/>
        <v>1.1499999999999999</v>
      </c>
      <c r="Q745" s="147">
        <f t="shared" si="492"/>
        <v>95658.978494623661</v>
      </c>
      <c r="R745" s="148">
        <f t="shared" si="493"/>
        <v>95690</v>
      </c>
      <c r="S745" s="127">
        <f>VLOOKUP($B745,'Выгр Торг'!$B:$Q,S$1,0)</f>
        <v>77359</v>
      </c>
      <c r="T745" s="127">
        <f>VLOOKUP($B745,'Выгр Торг'!$B:$Q,T$1,0)</f>
        <v>95690</v>
      </c>
      <c r="U745" s="94">
        <f t="shared" si="495"/>
        <v>0</v>
      </c>
      <c r="V745" s="94">
        <f t="shared" si="496"/>
        <v>0</v>
      </c>
      <c r="W745" s="153">
        <f t="shared" si="506"/>
        <v>88991.7</v>
      </c>
      <c r="X745" s="209">
        <f>IFERROR(VLOOKUP($B745,'Из ГУГЛа'!$B:$G,6,0)*Z745+Y745,VLOOKUP($B745,'Из ГУГЛа'!$B:$G,6,0))</f>
        <v>87390</v>
      </c>
      <c r="Y745" s="76"/>
      <c r="Z745" s="133">
        <v>1</v>
      </c>
      <c r="AA745" s="134"/>
      <c r="AB745" s="135">
        <f t="shared" si="507"/>
        <v>0.15037293656846651</v>
      </c>
      <c r="AC745" s="135">
        <f t="shared" si="508"/>
        <v>-1.8328184002746276E-2</v>
      </c>
      <c r="AD745" s="135">
        <f t="shared" si="509"/>
        <v>0.12966817047790169</v>
      </c>
      <c r="AE745" s="137">
        <v>87390</v>
      </c>
      <c r="AF745" s="98" t="s">
        <v>576</v>
      </c>
      <c r="AH745" s="98" t="s">
        <v>122</v>
      </c>
    </row>
    <row r="746" spans="1:34" ht="46.5" thickTop="1" thickBot="1">
      <c r="A746" s="125" t="str">
        <f>INDEX('Выгр Торг'!$A:$A,MATCH($B746,'Выгр Торг'!$B:$B,0))</f>
        <v>Руль анатомический "Ferrum" Grand Sport (со вставками из алькантары) для Лада Веста, XRAY</v>
      </c>
      <c r="B746" s="126">
        <v>341514</v>
      </c>
      <c r="C746" s="127">
        <f>VLOOKUP($B746,'Выгр Торг'!$B:$Q,C$1,0)</f>
        <v>341514</v>
      </c>
      <c r="D746" s="142" t="s">
        <v>107</v>
      </c>
      <c r="E746" s="125" t="str">
        <f>VLOOKUP($B746,'Выгр Торг'!$B:$Q,E$1,0)</f>
        <v>Руль анатомический "Ferrum" Grand Sport (со вставками из алькантары) для Лада Веста, XRAY (Чёрная нить, Чёрный глянец)</v>
      </c>
      <c r="F746" s="127" t="str">
        <f>VLOOKUP($B746,'Выгр Торг'!$B:$Q,F$1,0)</f>
        <v>Y</v>
      </c>
      <c r="G746" s="127" t="str">
        <f>VLOOKUP($B746,'Выгр Торг'!$B:$Q,G$1,0)</f>
        <v>1</v>
      </c>
      <c r="H746" s="127">
        <v>341514</v>
      </c>
      <c r="I746" s="156"/>
      <c r="J746" s="160">
        <v>7000</v>
      </c>
      <c r="K746" s="161">
        <v>0</v>
      </c>
      <c r="L746" s="130">
        <f>M746-1000</f>
        <v>40250</v>
      </c>
      <c r="M746" s="131">
        <f>N746+J746</f>
        <v>41250</v>
      </c>
      <c r="N746" s="131">
        <v>34250</v>
      </c>
      <c r="O746" s="132">
        <f t="shared" ref="O746" si="510">M746/L746</f>
        <v>1.0248447204968945</v>
      </c>
      <c r="P746" s="132">
        <f t="shared" si="494"/>
        <v>1.1499999999999999</v>
      </c>
      <c r="Q746" s="147">
        <f t="shared" ref="Q746" si="511">L746*P746*100/93</f>
        <v>49771.505376344088</v>
      </c>
      <c r="R746" s="148">
        <f t="shared" ref="R746" si="512">IF(Q746&lt;=1000,(ROUNDUP(Q746,-2)-1),(ROUNDUP(Q746,-2)-10))</f>
        <v>49790</v>
      </c>
      <c r="S746" s="127">
        <f>VLOOKUP($B746,'Выгр Торг'!$B:$Q,S$1,0)</f>
        <v>40250</v>
      </c>
      <c r="T746" s="127">
        <f>VLOOKUP($B746,'Выгр Торг'!$B:$Q,T$1,0)</f>
        <v>49790</v>
      </c>
      <c r="U746" s="94">
        <f t="shared" si="495"/>
        <v>0</v>
      </c>
      <c r="V746" s="94">
        <f t="shared" si="496"/>
        <v>0</v>
      </c>
      <c r="W746" s="153">
        <f>R746*(1-$W$2)</f>
        <v>46304.7</v>
      </c>
      <c r="X746" s="209">
        <f>IFERROR(VLOOKUP($B746,'Из ГУГЛа'!$B:$G,6,0)*Z746+Y746,VLOOKUP($B746,'Из ГУГЛа'!$B:$G,6,0))</f>
        <v>51390</v>
      </c>
      <c r="Y746" s="106">
        <f>(J746+K746)*$Y$2</f>
        <v>9100</v>
      </c>
      <c r="Z746" s="133">
        <v>1</v>
      </c>
      <c r="AA746" s="134"/>
      <c r="AB746" s="135">
        <f>IFERROR(W746/L746-1,"")</f>
        <v>0.15042732919254642</v>
      </c>
      <c r="AC746" s="135">
        <f>IFERROR((AE746-W746)/AE746,"")</f>
        <v>9.8955049620548796E-2</v>
      </c>
      <c r="AD746" s="135">
        <f>IFERROR(IF(AE746="","",AE746/L746-1),"")</f>
        <v>0.27677018633540373</v>
      </c>
      <c r="AE746" s="223">
        <v>51390</v>
      </c>
      <c r="AF746" s="36" t="s">
        <v>622</v>
      </c>
      <c r="AH746" s="98" t="s">
        <v>107</v>
      </c>
    </row>
    <row r="747" spans="1:34" ht="46.5" thickTop="1" thickBot="1">
      <c r="A747" s="125" t="str">
        <f>INDEX('Выгр Торг'!$A:$A,MATCH($B747,'Выгр Торг'!$B:$B,0))</f>
        <v>Руль анатомический "Ferrum" Grand Sport (со вставками из алькантары) для Лада Веста, XRAY</v>
      </c>
      <c r="B747" s="126">
        <v>341527</v>
      </c>
      <c r="C747" s="127">
        <f>VLOOKUP($B747,'Выгр Торг'!$B:$Q,C$1,0)</f>
        <v>341527</v>
      </c>
      <c r="D747" s="142" t="s">
        <v>107</v>
      </c>
      <c r="E747" s="125" t="str">
        <f>VLOOKUP($B747,'Выгр Торг'!$B:$Q,E$1,0)</f>
        <v>Руль анатомический "Ferrum" Grand Sport (со вставками из алькантары) для Лада Веста, XRAY (Чёрная нить, Чёрный мат)</v>
      </c>
      <c r="F747" s="127" t="str">
        <f>VLOOKUP($B747,'Выгр Торг'!$B:$Q,F$1,0)</f>
        <v>Y</v>
      </c>
      <c r="G747" s="127" t="str">
        <f>VLOOKUP($B747,'Выгр Торг'!$B:$Q,G$1,0)</f>
        <v>1</v>
      </c>
      <c r="H747" s="127">
        <v>341514</v>
      </c>
      <c r="I747" s="156"/>
      <c r="J747" s="160">
        <v>830</v>
      </c>
      <c r="K747" s="161">
        <v>0</v>
      </c>
      <c r="L747" s="130">
        <f>M747-1000</f>
        <v>41080</v>
      </c>
      <c r="M747" s="130">
        <f t="shared" ref="M747:M771" si="513">INDEX($M:$M,MATCH($H747,$C:$C,0))+$K747+$J747</f>
        <v>42080</v>
      </c>
      <c r="N747" s="130">
        <f t="shared" ref="N747:N771" si="514">INDEX($N:$N,MATCH($H747,$C:$C,0))+$K747+$J747</f>
        <v>35080</v>
      </c>
      <c r="O747" s="132">
        <f>M747/L747</f>
        <v>1.0243427458617331</v>
      </c>
      <c r="P747" s="132">
        <f t="shared" si="494"/>
        <v>1.1499999999999999</v>
      </c>
      <c r="Q747" s="130">
        <f t="shared" ref="Q747:Q771" si="515">INDEX($Q:$Q,MATCH($H747,$C:$C,0))+($K747+$J747)*INDEX($P:$P,MATCH($H747,$C:$C,0))*100/93</f>
        <v>50797.849462365593</v>
      </c>
      <c r="R747" s="148">
        <f>IF(Q747&lt;=1000,(ROUNDUP(Q747,-2)-1),(ROUNDUP(Q747,-2)-10))</f>
        <v>50790</v>
      </c>
      <c r="S747" s="127">
        <f>VLOOKUP($B747,'Выгр Торг'!$B:$Q,S$1,0)</f>
        <v>41080</v>
      </c>
      <c r="T747" s="127">
        <f>VLOOKUP($B747,'Выгр Торг'!$B:$Q,T$1,0)</f>
        <v>50790</v>
      </c>
      <c r="U747" s="94">
        <f t="shared" si="495"/>
        <v>0</v>
      </c>
      <c r="V747" s="94">
        <f t="shared" si="496"/>
        <v>0</v>
      </c>
      <c r="W747" s="153">
        <f>R747*(1-$W$2)</f>
        <v>47234.7</v>
      </c>
      <c r="X747" s="209">
        <f>IFERROR(VLOOKUP($B747,'Из ГУГЛа'!$B:$G,6,0)*Z747+Y747,VLOOKUP($B747,'Из ГУГЛа'!$B:$G,6,0))</f>
        <v>52220</v>
      </c>
      <c r="Y747" s="220">
        <f t="shared" ref="Y747:Y771" si="516">INDEX($Y:$Y,MATCH($H747,$C:$C,0))+J747+K747</f>
        <v>9930</v>
      </c>
      <c r="Z747" s="133">
        <v>1</v>
      </c>
      <c r="AA747" s="133">
        <v>1300</v>
      </c>
      <c r="AB747" s="135">
        <f>IFERROR(W747/L747-1,"")</f>
        <v>0.14982229795520929</v>
      </c>
      <c r="AC747" s="135">
        <f>IFERROR((AE747-W747)/AE747,"")</f>
        <v>9.5467253925699019E-2</v>
      </c>
      <c r="AD747" s="135">
        <f>IFERROR(IF(AE747="","",AE747/L747-1),"")</f>
        <v>0.27117818889970779</v>
      </c>
      <c r="AE747" s="223">
        <v>52220</v>
      </c>
      <c r="AF747" s="36" t="s">
        <v>622</v>
      </c>
      <c r="AH747" s="98" t="s">
        <v>107</v>
      </c>
    </row>
    <row r="748" spans="1:34" ht="46.5" thickTop="1" thickBot="1">
      <c r="A748" s="125" t="str">
        <f>INDEX('Выгр Торг'!$A:$A,MATCH($B748,'Выгр Торг'!$B:$B,0))</f>
        <v>Руль анатомический "Ferrum" Grand Sport (со вставками из алькантары) для Лада Веста, XRAY</v>
      </c>
      <c r="B748" s="126">
        <v>341513</v>
      </c>
      <c r="C748" s="127">
        <f>VLOOKUP($B748,'Выгр Торг'!$B:$Q,C$1,0)</f>
        <v>341513</v>
      </c>
      <c r="D748" s="142" t="s">
        <v>107</v>
      </c>
      <c r="E748" s="125" t="str">
        <f>VLOOKUP($B748,'Выгр Торг'!$B:$Q,E$1,0)</f>
        <v>Руль анатомический "Ferrum" Grand Sport (со вставками из алькантары) для Лада Веста, XRAY (Белая нить, Чёрный глянец)</v>
      </c>
      <c r="F748" s="127" t="str">
        <f>VLOOKUP($B748,'Выгр Торг'!$B:$Q,F$1,0)</f>
        <v>Y</v>
      </c>
      <c r="G748" s="127" t="str">
        <f>VLOOKUP($B748,'Выгр Торг'!$B:$Q,G$1,0)</f>
        <v>1</v>
      </c>
      <c r="H748" s="127">
        <v>341514</v>
      </c>
      <c r="I748" s="156"/>
      <c r="J748" s="160"/>
      <c r="K748" s="161">
        <v>870</v>
      </c>
      <c r="L748" s="130">
        <f t="shared" ref="L748:L749" si="517">M748-1000</f>
        <v>41120</v>
      </c>
      <c r="M748" s="130">
        <f t="shared" si="513"/>
        <v>42120</v>
      </c>
      <c r="N748" s="130">
        <f t="shared" si="514"/>
        <v>35120</v>
      </c>
      <c r="O748" s="132">
        <f t="shared" ref="O748:O749" si="518">M748/L748</f>
        <v>1.0243190661478598</v>
      </c>
      <c r="P748" s="132">
        <f t="shared" si="494"/>
        <v>1.1499999999999999</v>
      </c>
      <c r="Q748" s="130">
        <f t="shared" si="515"/>
        <v>50847.31182795699</v>
      </c>
      <c r="R748" s="148">
        <f t="shared" ref="R748:R749" si="519">IF(Q748&lt;=1000,(ROUNDUP(Q748,-2)-1),(ROUNDUP(Q748,-2)-10))</f>
        <v>50890</v>
      </c>
      <c r="S748" s="127">
        <f>VLOOKUP($B748,'Выгр Торг'!$B:$Q,S$1,0)</f>
        <v>41120</v>
      </c>
      <c r="T748" s="127">
        <f>VLOOKUP($B748,'Выгр Торг'!$B:$Q,T$1,0)</f>
        <v>50890</v>
      </c>
      <c r="U748" s="94">
        <f t="shared" si="495"/>
        <v>0</v>
      </c>
      <c r="V748" s="94">
        <f t="shared" si="496"/>
        <v>0</v>
      </c>
      <c r="W748" s="153">
        <f t="shared" ref="W748" si="520">R748*(1-$W$2)</f>
        <v>47327.7</v>
      </c>
      <c r="X748" s="209">
        <f>IFERROR(VLOOKUP($B748,'Из ГУГЛа'!$B:$G,6,0)*Z748+Y748,VLOOKUP($B748,'Из ГУГЛа'!$B:$G,6,0))</f>
        <v>52260</v>
      </c>
      <c r="Y748" s="220">
        <f t="shared" si="516"/>
        <v>9970</v>
      </c>
      <c r="Z748" s="133">
        <v>1</v>
      </c>
      <c r="AA748" s="134"/>
      <c r="AB748" s="135">
        <f t="shared" ref="AB748" si="521">IFERROR(W748/L748-1,"")</f>
        <v>0.15096546692607005</v>
      </c>
      <c r="AC748" s="135">
        <f t="shared" ref="AC748" si="522">IFERROR((AE748-W748)/AE748,"")</f>
        <v>9.4380022962112564E-2</v>
      </c>
      <c r="AD748" s="135">
        <f t="shared" ref="AD748" si="523">IFERROR(IF(AE748="","",AE748/L748-1),"")</f>
        <v>0.27091439688715946</v>
      </c>
      <c r="AE748" s="223">
        <v>52260</v>
      </c>
      <c r="AF748" s="36" t="s">
        <v>622</v>
      </c>
      <c r="AH748" s="98" t="s">
        <v>107</v>
      </c>
    </row>
    <row r="749" spans="1:34" ht="46.5" thickTop="1" thickBot="1">
      <c r="A749" s="125" t="str">
        <f>INDEX('Выгр Торг'!$A:$A,MATCH($B749,'Выгр Торг'!$B:$B,0))</f>
        <v>Руль анатомический "Ferrum" Grand Sport (со вставками из алькантары) для Лада Веста, XRAY</v>
      </c>
      <c r="B749" s="126">
        <v>341526</v>
      </c>
      <c r="C749" s="127">
        <f>VLOOKUP($B749,'Выгр Торг'!$B:$Q,C$1,0)</f>
        <v>341526</v>
      </c>
      <c r="D749" s="142" t="s">
        <v>107</v>
      </c>
      <c r="E749" s="125" t="str">
        <f>VLOOKUP($B749,'Выгр Торг'!$B:$Q,E$1,0)</f>
        <v>Руль анатомический "Ferrum" Grand Sport (со вставками из алькантары) для Лада Веста, XRAY (Белая нить, Чёрный мат)</v>
      </c>
      <c r="F749" s="127" t="str">
        <f>VLOOKUP($B749,'Выгр Торг'!$B:$Q,F$1,0)</f>
        <v>Y</v>
      </c>
      <c r="G749" s="127" t="str">
        <f>VLOOKUP($B749,'Выгр Торг'!$B:$Q,G$1,0)</f>
        <v>1</v>
      </c>
      <c r="H749" s="127">
        <v>341514</v>
      </c>
      <c r="I749" s="156"/>
      <c r="J749" s="160">
        <v>830</v>
      </c>
      <c r="K749" s="161">
        <v>870</v>
      </c>
      <c r="L749" s="130">
        <f t="shared" si="517"/>
        <v>41950</v>
      </c>
      <c r="M749" s="130">
        <f t="shared" si="513"/>
        <v>42950</v>
      </c>
      <c r="N749" s="130">
        <f t="shared" si="514"/>
        <v>35950</v>
      </c>
      <c r="O749" s="132">
        <f t="shared" si="518"/>
        <v>1.0238379022646007</v>
      </c>
      <c r="P749" s="132">
        <f t="shared" si="494"/>
        <v>1.1499999999999999</v>
      </c>
      <c r="Q749" s="130">
        <f t="shared" si="515"/>
        <v>51873.655913978495</v>
      </c>
      <c r="R749" s="148">
        <f t="shared" si="519"/>
        <v>51890</v>
      </c>
      <c r="S749" s="127">
        <f>VLOOKUP($B749,'Выгр Торг'!$B:$Q,S$1,0)</f>
        <v>41950</v>
      </c>
      <c r="T749" s="127">
        <f>VLOOKUP($B749,'Выгр Торг'!$B:$Q,T$1,0)</f>
        <v>51890</v>
      </c>
      <c r="U749" s="94">
        <f t="shared" si="495"/>
        <v>0</v>
      </c>
      <c r="V749" s="94">
        <f t="shared" si="496"/>
        <v>0</v>
      </c>
      <c r="W749" s="153">
        <f t="shared" ref="W749" si="524">R749*(1-$W$2)</f>
        <v>48257.7</v>
      </c>
      <c r="X749" s="209">
        <f>IFERROR(VLOOKUP($B749,'Из ГУГЛа'!$B:$G,6,0)*Z749+Y749,VLOOKUP($B749,'Из ГУГЛа'!$B:$G,6,0))</f>
        <v>53090</v>
      </c>
      <c r="Y749" s="220">
        <f t="shared" si="516"/>
        <v>10800</v>
      </c>
      <c r="Z749" s="133">
        <v>1</v>
      </c>
      <c r="AA749" s="133">
        <v>1300</v>
      </c>
      <c r="AB749" s="135">
        <f t="shared" ref="AB749" si="525">IFERROR(W749/L749-1,"")</f>
        <v>0.15036233611442196</v>
      </c>
      <c r="AC749" s="135">
        <f t="shared" ref="AC749" si="526">IFERROR((AE749-W749)/AE749,"")</f>
        <v>9.1020907892258487E-2</v>
      </c>
      <c r="AD749" s="135">
        <f t="shared" ref="AD749" si="527">IFERROR(IF(AE749="","",AE749/L749-1),"")</f>
        <v>0.26555423122765198</v>
      </c>
      <c r="AE749" s="223">
        <v>53090</v>
      </c>
      <c r="AF749" s="36" t="s">
        <v>622</v>
      </c>
      <c r="AH749" s="98" t="s">
        <v>107</v>
      </c>
    </row>
    <row r="750" spans="1:34" ht="46.5" thickTop="1" thickBot="1">
      <c r="A750" s="125" t="str">
        <f>INDEX('Выгр Торг'!$A:$A,MATCH($B750,'Выгр Торг'!$B:$B,0))</f>
        <v>Руль анатомический "Ferrum" Grand Sport (со вставками из алькантары) для Лада Веста, XRAY</v>
      </c>
      <c r="B750" s="126">
        <v>341525</v>
      </c>
      <c r="C750" s="127">
        <f>VLOOKUP($B750,'Выгр Торг'!$B:$Q,C$1,0)</f>
        <v>341525</v>
      </c>
      <c r="D750" s="142" t="s">
        <v>107</v>
      </c>
      <c r="E750" s="125" t="str">
        <f>VLOOKUP($B750,'Выгр Торг'!$B:$Q,E$1,0)</f>
        <v>Руль анатомический "Ferrum" Grand Sport (со вставками из алькантары) для Лада Веста, XRAY (Жёлтая нить, Чёрный глянец)</v>
      </c>
      <c r="F750" s="127" t="str">
        <f>VLOOKUP($B750,'Выгр Торг'!$B:$Q,F$1,0)</f>
        <v>Y</v>
      </c>
      <c r="G750" s="127" t="str">
        <f>VLOOKUP($B750,'Выгр Торг'!$B:$Q,G$1,0)</f>
        <v>1</v>
      </c>
      <c r="H750" s="127">
        <v>341514</v>
      </c>
      <c r="I750" s="156"/>
      <c r="J750" s="160"/>
      <c r="K750" s="161">
        <v>870</v>
      </c>
      <c r="L750" s="130">
        <f t="shared" ref="L750:L813" si="528">M750-1000</f>
        <v>41120</v>
      </c>
      <c r="M750" s="130">
        <f t="shared" si="513"/>
        <v>42120</v>
      </c>
      <c r="N750" s="130">
        <f t="shared" si="514"/>
        <v>35120</v>
      </c>
      <c r="O750" s="132">
        <f t="shared" ref="O750:O813" si="529">M750/L750</f>
        <v>1.0243190661478598</v>
      </c>
      <c r="P750" s="132">
        <f t="shared" si="494"/>
        <v>1.1499999999999999</v>
      </c>
      <c r="Q750" s="130">
        <f t="shared" si="515"/>
        <v>50847.31182795699</v>
      </c>
      <c r="R750" s="148">
        <f t="shared" ref="R750:R813" si="530">IF(Q750&lt;=1000,(ROUNDUP(Q750,-2)-1),(ROUNDUP(Q750,-2)-10))</f>
        <v>50890</v>
      </c>
      <c r="S750" s="127">
        <f>VLOOKUP($B750,'Выгр Торг'!$B:$Q,S$1,0)</f>
        <v>41120</v>
      </c>
      <c r="T750" s="127">
        <f>VLOOKUP($B750,'Выгр Торг'!$B:$Q,T$1,0)</f>
        <v>50890</v>
      </c>
      <c r="U750" s="94">
        <f t="shared" si="495"/>
        <v>0</v>
      </c>
      <c r="V750" s="94">
        <f t="shared" si="496"/>
        <v>0</v>
      </c>
      <c r="W750" s="153">
        <f t="shared" ref="W750:W813" si="531">R750*(1-$W$2)</f>
        <v>47327.7</v>
      </c>
      <c r="X750" s="209">
        <f>IFERROR(VLOOKUP($B750,'Из ГУГЛа'!$B:$G,6,0)*Z750+Y750,VLOOKUP($B750,'Из ГУГЛа'!$B:$G,6,0))</f>
        <v>52260</v>
      </c>
      <c r="Y750" s="220">
        <f t="shared" si="516"/>
        <v>9970</v>
      </c>
      <c r="Z750" s="133">
        <v>1</v>
      </c>
      <c r="AA750" s="134"/>
      <c r="AB750" s="135">
        <f t="shared" ref="AB750:AB813" si="532">IFERROR(W750/L750-1,"")</f>
        <v>0.15096546692607005</v>
      </c>
      <c r="AC750" s="135">
        <f t="shared" ref="AC750:AC813" si="533">IFERROR((AE750-W750)/AE750,"")</f>
        <v>9.4380022962112564E-2</v>
      </c>
      <c r="AD750" s="135">
        <f t="shared" ref="AD750:AD813" si="534">IFERROR(IF(AE750="","",AE750/L750-1),"")</f>
        <v>0.27091439688715946</v>
      </c>
      <c r="AE750" s="223">
        <v>52260</v>
      </c>
      <c r="AF750" s="36" t="s">
        <v>622</v>
      </c>
      <c r="AH750" s="98" t="s">
        <v>107</v>
      </c>
    </row>
    <row r="751" spans="1:34" ht="46.5" thickTop="1" thickBot="1">
      <c r="A751" s="125" t="str">
        <f>INDEX('Выгр Торг'!$A:$A,MATCH($B751,'Выгр Торг'!$B:$B,0))</f>
        <v>Руль анатомический "Ferrum" Grand Sport (со вставками из алькантары) для Лада Веста, XRAY</v>
      </c>
      <c r="B751" s="126">
        <v>341538</v>
      </c>
      <c r="C751" s="127">
        <f>VLOOKUP($B751,'Выгр Торг'!$B:$Q,C$1,0)</f>
        <v>341538</v>
      </c>
      <c r="D751" s="142" t="s">
        <v>107</v>
      </c>
      <c r="E751" s="125" t="str">
        <f>VLOOKUP($B751,'Выгр Торг'!$B:$Q,E$1,0)</f>
        <v>Руль анатомический "Ferrum" Grand Sport (со вставками из алькантары) для Лада Веста, XRAY (Жёлтая нить, Чёрный мат)</v>
      </c>
      <c r="F751" s="127" t="str">
        <f>VLOOKUP($B751,'Выгр Торг'!$B:$Q,F$1,0)</f>
        <v>Y</v>
      </c>
      <c r="G751" s="127" t="str">
        <f>VLOOKUP($B751,'Выгр Торг'!$B:$Q,G$1,0)</f>
        <v>1</v>
      </c>
      <c r="H751" s="127">
        <v>341514</v>
      </c>
      <c r="I751" s="156"/>
      <c r="J751" s="160">
        <v>830</v>
      </c>
      <c r="K751" s="161">
        <v>870</v>
      </c>
      <c r="L751" s="130">
        <f t="shared" si="528"/>
        <v>41950</v>
      </c>
      <c r="M751" s="130">
        <f t="shared" si="513"/>
        <v>42950</v>
      </c>
      <c r="N751" s="130">
        <f t="shared" si="514"/>
        <v>35950</v>
      </c>
      <c r="O751" s="132">
        <f t="shared" si="529"/>
        <v>1.0238379022646007</v>
      </c>
      <c r="P751" s="132">
        <f t="shared" si="494"/>
        <v>1.1499999999999999</v>
      </c>
      <c r="Q751" s="130">
        <f t="shared" si="515"/>
        <v>51873.655913978495</v>
      </c>
      <c r="R751" s="148">
        <f t="shared" si="530"/>
        <v>51890</v>
      </c>
      <c r="S751" s="127">
        <f>VLOOKUP($B751,'Выгр Торг'!$B:$Q,S$1,0)</f>
        <v>41950</v>
      </c>
      <c r="T751" s="127">
        <f>VLOOKUP($B751,'Выгр Торг'!$B:$Q,T$1,0)</f>
        <v>51890</v>
      </c>
      <c r="U751" s="94">
        <f t="shared" si="495"/>
        <v>0</v>
      </c>
      <c r="V751" s="94">
        <f t="shared" si="496"/>
        <v>0</v>
      </c>
      <c r="W751" s="153">
        <f t="shared" si="531"/>
        <v>48257.7</v>
      </c>
      <c r="X751" s="209">
        <f>IFERROR(VLOOKUP($B751,'Из ГУГЛа'!$B:$G,6,0)*Z751+Y751,VLOOKUP($B751,'Из ГУГЛа'!$B:$G,6,0))</f>
        <v>53090</v>
      </c>
      <c r="Y751" s="220">
        <f t="shared" si="516"/>
        <v>10800</v>
      </c>
      <c r="Z751" s="133">
        <v>1</v>
      </c>
      <c r="AA751" s="133">
        <v>1300</v>
      </c>
      <c r="AB751" s="135">
        <f t="shared" si="532"/>
        <v>0.15036233611442196</v>
      </c>
      <c r="AC751" s="135">
        <f t="shared" si="533"/>
        <v>9.1020907892258487E-2</v>
      </c>
      <c r="AD751" s="135">
        <f t="shared" si="534"/>
        <v>0.26555423122765198</v>
      </c>
      <c r="AE751" s="223">
        <v>53090</v>
      </c>
      <c r="AF751" s="36" t="s">
        <v>622</v>
      </c>
      <c r="AH751" s="98" t="s">
        <v>107</v>
      </c>
    </row>
    <row r="752" spans="1:34" ht="46.5" thickTop="1" thickBot="1">
      <c r="A752" s="125" t="str">
        <f>INDEX('Выгр Торг'!$A:$A,MATCH($B752,'Выгр Торг'!$B:$B,0))</f>
        <v>Руль анатомический "Ferrum" Grand Sport (со вставками из алькантары) для Лада Веста, XRAY</v>
      </c>
      <c r="B752" s="126">
        <v>341524</v>
      </c>
      <c r="C752" s="127">
        <f>VLOOKUP($B752,'Выгр Торг'!$B:$Q,C$1,0)</f>
        <v>341524</v>
      </c>
      <c r="D752" s="142" t="s">
        <v>107</v>
      </c>
      <c r="E752" s="125" t="str">
        <f>VLOOKUP($B752,'Выгр Торг'!$B:$Q,E$1,0)</f>
        <v>Руль анатомический "Ferrum" Grand Sport (со вставками из алькантары) для Лада Веста, XRAY (Зелёная нить, Чёрный глянец)</v>
      </c>
      <c r="F752" s="127" t="str">
        <f>VLOOKUP($B752,'Выгр Торг'!$B:$Q,F$1,0)</f>
        <v>Y</v>
      </c>
      <c r="G752" s="127" t="str">
        <f>VLOOKUP($B752,'Выгр Торг'!$B:$Q,G$1,0)</f>
        <v>1</v>
      </c>
      <c r="H752" s="127">
        <v>341514</v>
      </c>
      <c r="I752" s="156"/>
      <c r="J752" s="160"/>
      <c r="K752" s="161">
        <v>870</v>
      </c>
      <c r="L752" s="130">
        <f t="shared" si="528"/>
        <v>41120</v>
      </c>
      <c r="M752" s="130">
        <f t="shared" si="513"/>
        <v>42120</v>
      </c>
      <c r="N752" s="130">
        <f t="shared" si="514"/>
        <v>35120</v>
      </c>
      <c r="O752" s="132">
        <f t="shared" si="529"/>
        <v>1.0243190661478598</v>
      </c>
      <c r="P752" s="132">
        <f t="shared" si="494"/>
        <v>1.1499999999999999</v>
      </c>
      <c r="Q752" s="130">
        <f t="shared" si="515"/>
        <v>50847.31182795699</v>
      </c>
      <c r="R752" s="148">
        <f t="shared" si="530"/>
        <v>50890</v>
      </c>
      <c r="S752" s="127">
        <f>VLOOKUP($B752,'Выгр Торг'!$B:$Q,S$1,0)</f>
        <v>41120</v>
      </c>
      <c r="T752" s="127">
        <f>VLOOKUP($B752,'Выгр Торг'!$B:$Q,T$1,0)</f>
        <v>50890</v>
      </c>
      <c r="U752" s="94">
        <f t="shared" si="495"/>
        <v>0</v>
      </c>
      <c r="V752" s="94">
        <f t="shared" si="496"/>
        <v>0</v>
      </c>
      <c r="W752" s="153">
        <f t="shared" si="531"/>
        <v>47327.7</v>
      </c>
      <c r="X752" s="209">
        <f>IFERROR(VLOOKUP($B752,'Из ГУГЛа'!$B:$G,6,0)*Z752+Y752,VLOOKUP($B752,'Из ГУГЛа'!$B:$G,6,0))</f>
        <v>52260</v>
      </c>
      <c r="Y752" s="220">
        <f t="shared" si="516"/>
        <v>9970</v>
      </c>
      <c r="Z752" s="133">
        <v>1</v>
      </c>
      <c r="AA752" s="134"/>
      <c r="AB752" s="135">
        <f t="shared" si="532"/>
        <v>0.15096546692607005</v>
      </c>
      <c r="AC752" s="135">
        <f t="shared" si="533"/>
        <v>9.4380022962112564E-2</v>
      </c>
      <c r="AD752" s="135">
        <f t="shared" si="534"/>
        <v>0.27091439688715946</v>
      </c>
      <c r="AE752" s="223">
        <v>52260</v>
      </c>
      <c r="AF752" s="36" t="s">
        <v>622</v>
      </c>
      <c r="AH752" s="98" t="s">
        <v>107</v>
      </c>
    </row>
    <row r="753" spans="1:34" ht="46.5" thickTop="1" thickBot="1">
      <c r="A753" s="125" t="str">
        <f>INDEX('Выгр Торг'!$A:$A,MATCH($B753,'Выгр Торг'!$B:$B,0))</f>
        <v>Руль анатомический "Ferrum" Grand Sport (со вставками из алькантары) для Лада Веста, XRAY</v>
      </c>
      <c r="B753" s="126">
        <v>341537</v>
      </c>
      <c r="C753" s="127">
        <f>VLOOKUP($B753,'Выгр Торг'!$B:$Q,C$1,0)</f>
        <v>341537</v>
      </c>
      <c r="D753" s="142" t="s">
        <v>107</v>
      </c>
      <c r="E753" s="125" t="str">
        <f>VLOOKUP($B753,'Выгр Торг'!$B:$Q,E$1,0)</f>
        <v>Руль анатомический "Ferrum" Grand Sport (со вставками из алькантары) для Лада Веста, XRAY (Зелёная нить, Чёрный мат)</v>
      </c>
      <c r="F753" s="127" t="str">
        <f>VLOOKUP($B753,'Выгр Торг'!$B:$Q,F$1,0)</f>
        <v>Y</v>
      </c>
      <c r="G753" s="127" t="str">
        <f>VLOOKUP($B753,'Выгр Торг'!$B:$Q,G$1,0)</f>
        <v>1</v>
      </c>
      <c r="H753" s="127">
        <v>341514</v>
      </c>
      <c r="I753" s="156"/>
      <c r="J753" s="160">
        <v>830</v>
      </c>
      <c r="K753" s="161">
        <v>870</v>
      </c>
      <c r="L753" s="130">
        <f t="shared" si="528"/>
        <v>41950</v>
      </c>
      <c r="M753" s="130">
        <f t="shared" si="513"/>
        <v>42950</v>
      </c>
      <c r="N753" s="130">
        <f t="shared" si="514"/>
        <v>35950</v>
      </c>
      <c r="O753" s="132">
        <f t="shared" si="529"/>
        <v>1.0238379022646007</v>
      </c>
      <c r="P753" s="132">
        <f t="shared" si="494"/>
        <v>1.1499999999999999</v>
      </c>
      <c r="Q753" s="130">
        <f t="shared" si="515"/>
        <v>51873.655913978495</v>
      </c>
      <c r="R753" s="148">
        <f t="shared" si="530"/>
        <v>51890</v>
      </c>
      <c r="S753" s="127">
        <f>VLOOKUP($B753,'Выгр Торг'!$B:$Q,S$1,0)</f>
        <v>41950</v>
      </c>
      <c r="T753" s="127">
        <f>VLOOKUP($B753,'Выгр Торг'!$B:$Q,T$1,0)</f>
        <v>51890</v>
      </c>
      <c r="U753" s="94">
        <f t="shared" si="495"/>
        <v>0</v>
      </c>
      <c r="V753" s="94">
        <f t="shared" si="496"/>
        <v>0</v>
      </c>
      <c r="W753" s="153">
        <f t="shared" si="531"/>
        <v>48257.7</v>
      </c>
      <c r="X753" s="209">
        <f>IFERROR(VLOOKUP($B753,'Из ГУГЛа'!$B:$G,6,0)*Z753+Y753,VLOOKUP($B753,'Из ГУГЛа'!$B:$G,6,0))</f>
        <v>53090</v>
      </c>
      <c r="Y753" s="220">
        <f t="shared" si="516"/>
        <v>10800</v>
      </c>
      <c r="Z753" s="133">
        <v>1</v>
      </c>
      <c r="AA753" s="133">
        <v>1300</v>
      </c>
      <c r="AB753" s="135">
        <f t="shared" si="532"/>
        <v>0.15036233611442196</v>
      </c>
      <c r="AC753" s="135">
        <f t="shared" si="533"/>
        <v>9.1020907892258487E-2</v>
      </c>
      <c r="AD753" s="135">
        <f t="shared" si="534"/>
        <v>0.26555423122765198</v>
      </c>
      <c r="AE753" s="223">
        <v>53090</v>
      </c>
      <c r="AF753" s="36" t="s">
        <v>622</v>
      </c>
      <c r="AH753" s="98" t="s">
        <v>107</v>
      </c>
    </row>
    <row r="754" spans="1:34" ht="46.5" thickTop="1" thickBot="1">
      <c r="A754" s="125" t="str">
        <f>INDEX('Выгр Торг'!$A:$A,MATCH($B754,'Выгр Торг'!$B:$B,0))</f>
        <v>Руль анатомический "Ferrum" Grand Sport (со вставками из алькантары) для Лада Веста, XRAY</v>
      </c>
      <c r="B754" s="126">
        <v>341516</v>
      </c>
      <c r="C754" s="127">
        <f>VLOOKUP($B754,'Выгр Торг'!$B:$Q,C$1,0)</f>
        <v>341516</v>
      </c>
      <c r="D754" s="142" t="s">
        <v>107</v>
      </c>
      <c r="E754" s="125" t="str">
        <f>VLOOKUP($B754,'Выгр Торг'!$B:$Q,E$1,0)</f>
        <v>Руль анатомический "Ferrum" Grand Sport (со вставками из алькантары) для Лада Веста, XRAY (Коричневая нить, Чёрный глянец)</v>
      </c>
      <c r="F754" s="127" t="str">
        <f>VLOOKUP($B754,'Выгр Торг'!$B:$Q,F$1,0)</f>
        <v>Y</v>
      </c>
      <c r="G754" s="127" t="str">
        <f>VLOOKUP($B754,'Выгр Торг'!$B:$Q,G$1,0)</f>
        <v>1</v>
      </c>
      <c r="H754" s="127">
        <v>341514</v>
      </c>
      <c r="I754" s="156"/>
      <c r="J754" s="160"/>
      <c r="K754" s="161">
        <v>870</v>
      </c>
      <c r="L754" s="130">
        <f t="shared" si="528"/>
        <v>41120</v>
      </c>
      <c r="M754" s="130">
        <f t="shared" si="513"/>
        <v>42120</v>
      </c>
      <c r="N754" s="130">
        <f t="shared" si="514"/>
        <v>35120</v>
      </c>
      <c r="O754" s="132">
        <f t="shared" si="529"/>
        <v>1.0243190661478598</v>
      </c>
      <c r="P754" s="132">
        <f t="shared" si="494"/>
        <v>1.1499999999999999</v>
      </c>
      <c r="Q754" s="130">
        <f t="shared" si="515"/>
        <v>50847.31182795699</v>
      </c>
      <c r="R754" s="148">
        <f t="shared" si="530"/>
        <v>50890</v>
      </c>
      <c r="S754" s="127">
        <f>VLOOKUP($B754,'Выгр Торг'!$B:$Q,S$1,0)</f>
        <v>41120</v>
      </c>
      <c r="T754" s="127">
        <f>VLOOKUP($B754,'Выгр Торг'!$B:$Q,T$1,0)</f>
        <v>50890</v>
      </c>
      <c r="U754" s="94">
        <f t="shared" si="495"/>
        <v>0</v>
      </c>
      <c r="V754" s="94">
        <f t="shared" si="496"/>
        <v>0</v>
      </c>
      <c r="W754" s="153">
        <f t="shared" si="531"/>
        <v>47327.7</v>
      </c>
      <c r="X754" s="209">
        <f>IFERROR(VLOOKUP($B754,'Из ГУГЛа'!$B:$G,6,0)*Z754+Y754,VLOOKUP($B754,'Из ГУГЛа'!$B:$G,6,0))</f>
        <v>52260</v>
      </c>
      <c r="Y754" s="220">
        <f t="shared" si="516"/>
        <v>9970</v>
      </c>
      <c r="Z754" s="133">
        <v>1</v>
      </c>
      <c r="AA754" s="134"/>
      <c r="AB754" s="135">
        <f t="shared" si="532"/>
        <v>0.15096546692607005</v>
      </c>
      <c r="AC754" s="135">
        <f t="shared" si="533"/>
        <v>9.4380022962112564E-2</v>
      </c>
      <c r="AD754" s="135">
        <f t="shared" si="534"/>
        <v>0.27091439688715946</v>
      </c>
      <c r="AE754" s="223">
        <v>52260</v>
      </c>
      <c r="AF754" s="36" t="s">
        <v>622</v>
      </c>
      <c r="AH754" s="98" t="s">
        <v>107</v>
      </c>
    </row>
    <row r="755" spans="1:34" ht="46.5" thickTop="1" thickBot="1">
      <c r="A755" s="125" t="str">
        <f>INDEX('Выгр Торг'!$A:$A,MATCH($B755,'Выгр Торг'!$B:$B,0))</f>
        <v>Руль анатомический "Ferrum" Grand Sport (со вставками из алькантары) для Лада Веста, XRAY</v>
      </c>
      <c r="B755" s="126">
        <v>341529</v>
      </c>
      <c r="C755" s="127">
        <f>VLOOKUP($B755,'Выгр Торг'!$B:$Q,C$1,0)</f>
        <v>341529</v>
      </c>
      <c r="D755" s="142" t="s">
        <v>107</v>
      </c>
      <c r="E755" s="125" t="str">
        <f>VLOOKUP($B755,'Выгр Торг'!$B:$Q,E$1,0)</f>
        <v>Руль анатомический "Ferrum" Grand Sport (со вставками из алькантары) для Лада Веста, XRAY (Коричневая нить, Чёрный мат)</v>
      </c>
      <c r="F755" s="127" t="str">
        <f>VLOOKUP($B755,'Выгр Торг'!$B:$Q,F$1,0)</f>
        <v>Y</v>
      </c>
      <c r="G755" s="127" t="str">
        <f>VLOOKUP($B755,'Выгр Торг'!$B:$Q,G$1,0)</f>
        <v>1</v>
      </c>
      <c r="H755" s="127">
        <v>341514</v>
      </c>
      <c r="I755" s="156"/>
      <c r="J755" s="160">
        <v>830</v>
      </c>
      <c r="K755" s="161">
        <v>870</v>
      </c>
      <c r="L755" s="130">
        <f t="shared" si="528"/>
        <v>41950</v>
      </c>
      <c r="M755" s="130">
        <f t="shared" si="513"/>
        <v>42950</v>
      </c>
      <c r="N755" s="130">
        <f t="shared" si="514"/>
        <v>35950</v>
      </c>
      <c r="O755" s="132">
        <f t="shared" si="529"/>
        <v>1.0238379022646007</v>
      </c>
      <c r="P755" s="132">
        <f t="shared" si="494"/>
        <v>1.1499999999999999</v>
      </c>
      <c r="Q755" s="130">
        <f t="shared" si="515"/>
        <v>51873.655913978495</v>
      </c>
      <c r="R755" s="148">
        <f t="shared" si="530"/>
        <v>51890</v>
      </c>
      <c r="S755" s="127">
        <f>VLOOKUP($B755,'Выгр Торг'!$B:$Q,S$1,0)</f>
        <v>41950</v>
      </c>
      <c r="T755" s="127">
        <f>VLOOKUP($B755,'Выгр Торг'!$B:$Q,T$1,0)</f>
        <v>51890</v>
      </c>
      <c r="U755" s="94">
        <f t="shared" si="495"/>
        <v>0</v>
      </c>
      <c r="V755" s="94">
        <f t="shared" si="496"/>
        <v>0</v>
      </c>
      <c r="W755" s="153">
        <f t="shared" si="531"/>
        <v>48257.7</v>
      </c>
      <c r="X755" s="209">
        <f>IFERROR(VLOOKUP($B755,'Из ГУГЛа'!$B:$G,6,0)*Z755+Y755,VLOOKUP($B755,'Из ГУГЛа'!$B:$G,6,0))</f>
        <v>53090</v>
      </c>
      <c r="Y755" s="220">
        <f t="shared" si="516"/>
        <v>10800</v>
      </c>
      <c r="Z755" s="133">
        <v>1</v>
      </c>
      <c r="AA755" s="133">
        <v>1300</v>
      </c>
      <c r="AB755" s="135">
        <f t="shared" si="532"/>
        <v>0.15036233611442196</v>
      </c>
      <c r="AC755" s="135">
        <f t="shared" si="533"/>
        <v>9.1020907892258487E-2</v>
      </c>
      <c r="AD755" s="135">
        <f t="shared" si="534"/>
        <v>0.26555423122765198</v>
      </c>
      <c r="AE755" s="223">
        <v>53090</v>
      </c>
      <c r="AF755" s="36" t="s">
        <v>622</v>
      </c>
      <c r="AH755" s="98" t="s">
        <v>107</v>
      </c>
    </row>
    <row r="756" spans="1:34" ht="46.5" thickTop="1" thickBot="1">
      <c r="A756" s="125" t="str">
        <f>INDEX('Выгр Торг'!$A:$A,MATCH($B756,'Выгр Торг'!$B:$B,0))</f>
        <v>Руль анатомический "Ferrum" Grand Sport (со вставками из алькантары) для Лада Веста, XRAY</v>
      </c>
      <c r="B756" s="126">
        <v>341517</v>
      </c>
      <c r="C756" s="127">
        <f>VLOOKUP($B756,'Выгр Торг'!$B:$Q,C$1,0)</f>
        <v>341517</v>
      </c>
      <c r="D756" s="142" t="s">
        <v>107</v>
      </c>
      <c r="E756" s="125" t="str">
        <f>VLOOKUP($B756,'Выгр Торг'!$B:$Q,E$1,0)</f>
        <v>Руль анатомический "Ferrum" Grand Sport (со вставками из алькантары) для Лада Веста, XRAY (Красная нить, Чёрный глянец)</v>
      </c>
      <c r="F756" s="127" t="str">
        <f>VLOOKUP($B756,'Выгр Торг'!$B:$Q,F$1,0)</f>
        <v>Y</v>
      </c>
      <c r="G756" s="127" t="str">
        <f>VLOOKUP($B756,'Выгр Торг'!$B:$Q,G$1,0)</f>
        <v>1</v>
      </c>
      <c r="H756" s="127">
        <v>341514</v>
      </c>
      <c r="I756" s="156"/>
      <c r="J756" s="160"/>
      <c r="K756" s="161">
        <v>870</v>
      </c>
      <c r="L756" s="130">
        <f t="shared" si="528"/>
        <v>41120</v>
      </c>
      <c r="M756" s="130">
        <f t="shared" si="513"/>
        <v>42120</v>
      </c>
      <c r="N756" s="130">
        <f t="shared" si="514"/>
        <v>35120</v>
      </c>
      <c r="O756" s="132">
        <f t="shared" si="529"/>
        <v>1.0243190661478598</v>
      </c>
      <c r="P756" s="132">
        <f t="shared" si="494"/>
        <v>1.1499999999999999</v>
      </c>
      <c r="Q756" s="130">
        <f t="shared" si="515"/>
        <v>50847.31182795699</v>
      </c>
      <c r="R756" s="148">
        <f t="shared" si="530"/>
        <v>50890</v>
      </c>
      <c r="S756" s="127">
        <f>VLOOKUP($B756,'Выгр Торг'!$B:$Q,S$1,0)</f>
        <v>41120</v>
      </c>
      <c r="T756" s="127">
        <f>VLOOKUP($B756,'Выгр Торг'!$B:$Q,T$1,0)</f>
        <v>50890</v>
      </c>
      <c r="U756" s="94">
        <f t="shared" si="495"/>
        <v>0</v>
      </c>
      <c r="V756" s="94">
        <f t="shared" si="496"/>
        <v>0</v>
      </c>
      <c r="W756" s="153">
        <f t="shared" si="531"/>
        <v>47327.7</v>
      </c>
      <c r="X756" s="209">
        <f>IFERROR(VLOOKUP($B756,'Из ГУГЛа'!$B:$G,6,0)*Z756+Y756,VLOOKUP($B756,'Из ГУГЛа'!$B:$G,6,0))</f>
        <v>52260</v>
      </c>
      <c r="Y756" s="220">
        <f t="shared" si="516"/>
        <v>9970</v>
      </c>
      <c r="Z756" s="133">
        <v>1</v>
      </c>
      <c r="AA756" s="134"/>
      <c r="AB756" s="135">
        <f t="shared" si="532"/>
        <v>0.15096546692607005</v>
      </c>
      <c r="AC756" s="135">
        <f t="shared" si="533"/>
        <v>9.4380022962112564E-2</v>
      </c>
      <c r="AD756" s="135">
        <f t="shared" si="534"/>
        <v>0.27091439688715946</v>
      </c>
      <c r="AE756" s="223">
        <v>52260</v>
      </c>
      <c r="AF756" s="36" t="s">
        <v>622</v>
      </c>
      <c r="AH756" s="98" t="s">
        <v>107</v>
      </c>
    </row>
    <row r="757" spans="1:34" ht="46.5" thickTop="1" thickBot="1">
      <c r="A757" s="125" t="str">
        <f>INDEX('Выгр Торг'!$A:$A,MATCH($B757,'Выгр Торг'!$B:$B,0))</f>
        <v>Руль анатомический "Ferrum" Grand Sport (со вставками из алькантары) для Лада Веста, XRAY</v>
      </c>
      <c r="B757" s="126">
        <v>341530</v>
      </c>
      <c r="C757" s="127">
        <f>VLOOKUP($B757,'Выгр Торг'!$B:$Q,C$1,0)</f>
        <v>341530</v>
      </c>
      <c r="D757" s="142" t="s">
        <v>107</v>
      </c>
      <c r="E757" s="125" t="str">
        <f>VLOOKUP($B757,'Выгр Торг'!$B:$Q,E$1,0)</f>
        <v>Руль анатомический "Ferrum" Grand Sport (со вставками из алькантары) для Лада Веста, XRAY (Красная нить, Чёрный мат)</v>
      </c>
      <c r="F757" s="127" t="str">
        <f>VLOOKUP($B757,'Выгр Торг'!$B:$Q,F$1,0)</f>
        <v>Y</v>
      </c>
      <c r="G757" s="127" t="str">
        <f>VLOOKUP($B757,'Выгр Торг'!$B:$Q,G$1,0)</f>
        <v>1</v>
      </c>
      <c r="H757" s="127">
        <v>341514</v>
      </c>
      <c r="I757" s="156"/>
      <c r="J757" s="160">
        <v>830</v>
      </c>
      <c r="K757" s="161">
        <v>870</v>
      </c>
      <c r="L757" s="130">
        <f t="shared" si="528"/>
        <v>41950</v>
      </c>
      <c r="M757" s="130">
        <f t="shared" si="513"/>
        <v>42950</v>
      </c>
      <c r="N757" s="130">
        <f t="shared" si="514"/>
        <v>35950</v>
      </c>
      <c r="O757" s="132">
        <f t="shared" si="529"/>
        <v>1.0238379022646007</v>
      </c>
      <c r="P757" s="132">
        <f t="shared" si="494"/>
        <v>1.1499999999999999</v>
      </c>
      <c r="Q757" s="130">
        <f t="shared" si="515"/>
        <v>51873.655913978495</v>
      </c>
      <c r="R757" s="148">
        <f t="shared" si="530"/>
        <v>51890</v>
      </c>
      <c r="S757" s="127">
        <f>VLOOKUP($B757,'Выгр Торг'!$B:$Q,S$1,0)</f>
        <v>41950</v>
      </c>
      <c r="T757" s="127">
        <f>VLOOKUP($B757,'Выгр Торг'!$B:$Q,T$1,0)</f>
        <v>51890</v>
      </c>
      <c r="U757" s="94">
        <f t="shared" si="495"/>
        <v>0</v>
      </c>
      <c r="V757" s="94">
        <f t="shared" si="496"/>
        <v>0</v>
      </c>
      <c r="W757" s="153">
        <f t="shared" si="531"/>
        <v>48257.7</v>
      </c>
      <c r="X757" s="209">
        <f>IFERROR(VLOOKUP($B757,'Из ГУГЛа'!$B:$G,6,0)*Z757+Y757,VLOOKUP($B757,'Из ГУГЛа'!$B:$G,6,0))</f>
        <v>53090</v>
      </c>
      <c r="Y757" s="220">
        <f t="shared" si="516"/>
        <v>10800</v>
      </c>
      <c r="Z757" s="133">
        <v>1</v>
      </c>
      <c r="AA757" s="133">
        <v>1300</v>
      </c>
      <c r="AB757" s="135">
        <f t="shared" si="532"/>
        <v>0.15036233611442196</v>
      </c>
      <c r="AC757" s="135">
        <f t="shared" si="533"/>
        <v>9.1020907892258487E-2</v>
      </c>
      <c r="AD757" s="135">
        <f t="shared" si="534"/>
        <v>0.26555423122765198</v>
      </c>
      <c r="AE757" s="223">
        <v>53090</v>
      </c>
      <c r="AF757" s="36" t="s">
        <v>622</v>
      </c>
      <c r="AH757" s="98" t="s">
        <v>107</v>
      </c>
    </row>
    <row r="758" spans="1:34" ht="46.5" thickTop="1" thickBot="1">
      <c r="A758" s="125" t="str">
        <f>INDEX('Выгр Торг'!$A:$A,MATCH($B758,'Выгр Торг'!$B:$B,0))</f>
        <v>Руль анатомический "Ferrum" Grand Sport (со вставками из алькантары) для Лада Веста, XRAY</v>
      </c>
      <c r="B758" s="126">
        <v>341518</v>
      </c>
      <c r="C758" s="127">
        <f>VLOOKUP($B758,'Выгр Торг'!$B:$Q,C$1,0)</f>
        <v>341518</v>
      </c>
      <c r="D758" s="142" t="s">
        <v>107</v>
      </c>
      <c r="E758" s="125" t="str">
        <f>VLOOKUP($B758,'Выгр Торг'!$B:$Q,E$1,0)</f>
        <v>Руль анатомический "Ferrum" Grand Sport (со вставками из алькантары) для Лада Веста, XRAY (Оранжевая нить, Чёрный глянец)</v>
      </c>
      <c r="F758" s="127" t="str">
        <f>VLOOKUP($B758,'Выгр Торг'!$B:$Q,F$1,0)</f>
        <v>Y</v>
      </c>
      <c r="G758" s="127" t="str">
        <f>VLOOKUP($B758,'Выгр Торг'!$B:$Q,G$1,0)</f>
        <v>1</v>
      </c>
      <c r="H758" s="127">
        <v>341514</v>
      </c>
      <c r="I758" s="156"/>
      <c r="J758" s="160"/>
      <c r="K758" s="161">
        <v>870</v>
      </c>
      <c r="L758" s="130">
        <f t="shared" si="528"/>
        <v>41120</v>
      </c>
      <c r="M758" s="130">
        <f t="shared" si="513"/>
        <v>42120</v>
      </c>
      <c r="N758" s="130">
        <f t="shared" si="514"/>
        <v>35120</v>
      </c>
      <c r="O758" s="132">
        <f t="shared" si="529"/>
        <v>1.0243190661478598</v>
      </c>
      <c r="P758" s="132">
        <f t="shared" si="494"/>
        <v>1.1499999999999999</v>
      </c>
      <c r="Q758" s="130">
        <f t="shared" si="515"/>
        <v>50847.31182795699</v>
      </c>
      <c r="R758" s="148">
        <f t="shared" si="530"/>
        <v>50890</v>
      </c>
      <c r="S758" s="127">
        <f>VLOOKUP($B758,'Выгр Торг'!$B:$Q,S$1,0)</f>
        <v>41120</v>
      </c>
      <c r="T758" s="127">
        <f>VLOOKUP($B758,'Выгр Торг'!$B:$Q,T$1,0)</f>
        <v>50890</v>
      </c>
      <c r="U758" s="94">
        <f t="shared" si="495"/>
        <v>0</v>
      </c>
      <c r="V758" s="94">
        <f t="shared" si="496"/>
        <v>0</v>
      </c>
      <c r="W758" s="153">
        <f t="shared" si="531"/>
        <v>47327.7</v>
      </c>
      <c r="X758" s="209">
        <f>IFERROR(VLOOKUP($B758,'Из ГУГЛа'!$B:$G,6,0)*Z758+Y758,VLOOKUP($B758,'Из ГУГЛа'!$B:$G,6,0))</f>
        <v>52260</v>
      </c>
      <c r="Y758" s="220">
        <f t="shared" si="516"/>
        <v>9970</v>
      </c>
      <c r="Z758" s="133">
        <v>1</v>
      </c>
      <c r="AA758" s="134"/>
      <c r="AB758" s="135">
        <f t="shared" si="532"/>
        <v>0.15096546692607005</v>
      </c>
      <c r="AC758" s="135">
        <f t="shared" si="533"/>
        <v>9.4380022962112564E-2</v>
      </c>
      <c r="AD758" s="135">
        <f t="shared" si="534"/>
        <v>0.27091439688715946</v>
      </c>
      <c r="AE758" s="223">
        <v>52260</v>
      </c>
      <c r="AF758" s="36" t="s">
        <v>622</v>
      </c>
      <c r="AH758" s="98" t="s">
        <v>107</v>
      </c>
    </row>
    <row r="759" spans="1:34" ht="46.5" thickTop="1" thickBot="1">
      <c r="A759" s="125" t="str">
        <f>INDEX('Выгр Торг'!$A:$A,MATCH($B759,'Выгр Торг'!$B:$B,0))</f>
        <v>Руль анатомический "Ferrum" Grand Sport (со вставками из алькантары) для Лада Веста, XRAY</v>
      </c>
      <c r="B759" s="126">
        <v>341531</v>
      </c>
      <c r="C759" s="127">
        <f>VLOOKUP($B759,'Выгр Торг'!$B:$Q,C$1,0)</f>
        <v>341531</v>
      </c>
      <c r="D759" s="142" t="s">
        <v>107</v>
      </c>
      <c r="E759" s="125" t="str">
        <f>VLOOKUP($B759,'Выгр Торг'!$B:$Q,E$1,0)</f>
        <v>Руль анатомический "Ferrum" Grand Sport (со вставками из алькантары) для Лада Веста, XRAY (Оранжевая нить, Чёрный мат)</v>
      </c>
      <c r="F759" s="127" t="str">
        <f>VLOOKUP($B759,'Выгр Торг'!$B:$Q,F$1,0)</f>
        <v>Y</v>
      </c>
      <c r="G759" s="127" t="str">
        <f>VLOOKUP($B759,'Выгр Торг'!$B:$Q,G$1,0)</f>
        <v>1</v>
      </c>
      <c r="H759" s="127">
        <v>341514</v>
      </c>
      <c r="I759" s="156"/>
      <c r="J759" s="160">
        <v>830</v>
      </c>
      <c r="K759" s="161">
        <v>870</v>
      </c>
      <c r="L759" s="130">
        <f t="shared" si="528"/>
        <v>41950</v>
      </c>
      <c r="M759" s="130">
        <f t="shared" si="513"/>
        <v>42950</v>
      </c>
      <c r="N759" s="130">
        <f t="shared" si="514"/>
        <v>35950</v>
      </c>
      <c r="O759" s="132">
        <f t="shared" si="529"/>
        <v>1.0238379022646007</v>
      </c>
      <c r="P759" s="132">
        <f t="shared" si="494"/>
        <v>1.1499999999999999</v>
      </c>
      <c r="Q759" s="130">
        <f t="shared" si="515"/>
        <v>51873.655913978495</v>
      </c>
      <c r="R759" s="148">
        <f t="shared" si="530"/>
        <v>51890</v>
      </c>
      <c r="S759" s="127">
        <f>VLOOKUP($B759,'Выгр Торг'!$B:$Q,S$1,0)</f>
        <v>41950</v>
      </c>
      <c r="T759" s="127">
        <f>VLOOKUP($B759,'Выгр Торг'!$B:$Q,T$1,0)</f>
        <v>51890</v>
      </c>
      <c r="U759" s="94">
        <f t="shared" si="495"/>
        <v>0</v>
      </c>
      <c r="V759" s="94">
        <f t="shared" si="496"/>
        <v>0</v>
      </c>
      <c r="W759" s="153">
        <f t="shared" si="531"/>
        <v>48257.7</v>
      </c>
      <c r="X759" s="209">
        <f>IFERROR(VLOOKUP($B759,'Из ГУГЛа'!$B:$G,6,0)*Z759+Y759,VLOOKUP($B759,'Из ГУГЛа'!$B:$G,6,0))</f>
        <v>53090</v>
      </c>
      <c r="Y759" s="220">
        <f t="shared" si="516"/>
        <v>10800</v>
      </c>
      <c r="Z759" s="133">
        <v>1</v>
      </c>
      <c r="AA759" s="133">
        <v>1300</v>
      </c>
      <c r="AB759" s="135">
        <f t="shared" si="532"/>
        <v>0.15036233611442196</v>
      </c>
      <c r="AC759" s="135">
        <f t="shared" si="533"/>
        <v>9.1020907892258487E-2</v>
      </c>
      <c r="AD759" s="135">
        <f t="shared" si="534"/>
        <v>0.26555423122765198</v>
      </c>
      <c r="AE759" s="223">
        <v>53090</v>
      </c>
      <c r="AF759" s="36" t="s">
        <v>622</v>
      </c>
      <c r="AH759" s="98" t="s">
        <v>107</v>
      </c>
    </row>
    <row r="760" spans="1:34" ht="46.5" thickTop="1" thickBot="1">
      <c r="A760" s="125" t="str">
        <f>INDEX('Выгр Торг'!$A:$A,MATCH($B760,'Выгр Торг'!$B:$B,0))</f>
        <v>Руль анатомический "Ferrum" Grand Sport (со вставками из алькантары) для Лада Веста, XRAY</v>
      </c>
      <c r="B760" s="126">
        <v>341519</v>
      </c>
      <c r="C760" s="127">
        <f>VLOOKUP($B760,'Выгр Торг'!$B:$Q,C$1,0)</f>
        <v>341519</v>
      </c>
      <c r="D760" s="142" t="s">
        <v>107</v>
      </c>
      <c r="E760" s="125" t="str">
        <f>VLOOKUP($B760,'Выгр Торг'!$B:$Q,E$1,0)</f>
        <v>Руль анатомический "Ferrum" Grand Sport (со вставками из алькантары) для Лада Веста, XRAY (Салатовая нить, Чёрный глянец)</v>
      </c>
      <c r="F760" s="127" t="str">
        <f>VLOOKUP($B760,'Выгр Торг'!$B:$Q,F$1,0)</f>
        <v>Y</v>
      </c>
      <c r="G760" s="127" t="str">
        <f>VLOOKUP($B760,'Выгр Торг'!$B:$Q,G$1,0)</f>
        <v>1</v>
      </c>
      <c r="H760" s="127">
        <v>341514</v>
      </c>
      <c r="I760" s="156"/>
      <c r="J760" s="160"/>
      <c r="K760" s="161">
        <v>870</v>
      </c>
      <c r="L760" s="130">
        <f t="shared" si="528"/>
        <v>41120</v>
      </c>
      <c r="M760" s="130">
        <f t="shared" si="513"/>
        <v>42120</v>
      </c>
      <c r="N760" s="130">
        <f t="shared" si="514"/>
        <v>35120</v>
      </c>
      <c r="O760" s="132">
        <f t="shared" si="529"/>
        <v>1.0243190661478598</v>
      </c>
      <c r="P760" s="132">
        <f t="shared" si="494"/>
        <v>1.1499999999999999</v>
      </c>
      <c r="Q760" s="130">
        <f t="shared" si="515"/>
        <v>50847.31182795699</v>
      </c>
      <c r="R760" s="148">
        <f t="shared" si="530"/>
        <v>50890</v>
      </c>
      <c r="S760" s="127">
        <f>VLOOKUP($B760,'Выгр Торг'!$B:$Q,S$1,0)</f>
        <v>41120</v>
      </c>
      <c r="T760" s="127">
        <f>VLOOKUP($B760,'Выгр Торг'!$B:$Q,T$1,0)</f>
        <v>50890</v>
      </c>
      <c r="U760" s="94">
        <f t="shared" si="495"/>
        <v>0</v>
      </c>
      <c r="V760" s="94">
        <f t="shared" si="496"/>
        <v>0</v>
      </c>
      <c r="W760" s="153">
        <f t="shared" si="531"/>
        <v>47327.7</v>
      </c>
      <c r="X760" s="209">
        <f>IFERROR(VLOOKUP($B760,'Из ГУГЛа'!$B:$G,6,0)*Z760+Y760,VLOOKUP($B760,'Из ГУГЛа'!$B:$G,6,0))</f>
        <v>52260</v>
      </c>
      <c r="Y760" s="220">
        <f t="shared" si="516"/>
        <v>9970</v>
      </c>
      <c r="Z760" s="133">
        <v>1</v>
      </c>
      <c r="AA760" s="134"/>
      <c r="AB760" s="135">
        <f t="shared" si="532"/>
        <v>0.15096546692607005</v>
      </c>
      <c r="AC760" s="135">
        <f t="shared" si="533"/>
        <v>9.4380022962112564E-2</v>
      </c>
      <c r="AD760" s="135">
        <f t="shared" si="534"/>
        <v>0.27091439688715946</v>
      </c>
      <c r="AE760" s="223">
        <v>52260</v>
      </c>
      <c r="AF760" s="36" t="s">
        <v>622</v>
      </c>
      <c r="AH760" s="98" t="s">
        <v>107</v>
      </c>
    </row>
    <row r="761" spans="1:34" ht="46.5" thickTop="1" thickBot="1">
      <c r="A761" s="125" t="str">
        <f>INDEX('Выгр Торг'!$A:$A,MATCH($B761,'Выгр Торг'!$B:$B,0))</f>
        <v>Руль анатомический "Ferrum" Grand Sport (со вставками из алькантары) для Лада Веста, XRAY</v>
      </c>
      <c r="B761" s="126">
        <v>341532</v>
      </c>
      <c r="C761" s="127">
        <f>VLOOKUP($B761,'Выгр Торг'!$B:$Q,C$1,0)</f>
        <v>341532</v>
      </c>
      <c r="D761" s="142" t="s">
        <v>107</v>
      </c>
      <c r="E761" s="125" t="str">
        <f>VLOOKUP($B761,'Выгр Торг'!$B:$Q,E$1,0)</f>
        <v>Руль анатомический "Ferrum" Grand Sport (со вставками из алькантары) для Лада Веста, XRAY (Салатовая нить, Чёрный мат)</v>
      </c>
      <c r="F761" s="127" t="str">
        <f>VLOOKUP($B761,'Выгр Торг'!$B:$Q,F$1,0)</f>
        <v>Y</v>
      </c>
      <c r="G761" s="127" t="str">
        <f>VLOOKUP($B761,'Выгр Торг'!$B:$Q,G$1,0)</f>
        <v>1</v>
      </c>
      <c r="H761" s="127">
        <v>341514</v>
      </c>
      <c r="I761" s="156"/>
      <c r="J761" s="160">
        <v>830</v>
      </c>
      <c r="K761" s="161">
        <v>870</v>
      </c>
      <c r="L761" s="130">
        <f t="shared" si="528"/>
        <v>41950</v>
      </c>
      <c r="M761" s="130">
        <f t="shared" si="513"/>
        <v>42950</v>
      </c>
      <c r="N761" s="130">
        <f t="shared" si="514"/>
        <v>35950</v>
      </c>
      <c r="O761" s="132">
        <f t="shared" si="529"/>
        <v>1.0238379022646007</v>
      </c>
      <c r="P761" s="132">
        <f t="shared" si="494"/>
        <v>1.1499999999999999</v>
      </c>
      <c r="Q761" s="130">
        <f t="shared" si="515"/>
        <v>51873.655913978495</v>
      </c>
      <c r="R761" s="148">
        <f t="shared" si="530"/>
        <v>51890</v>
      </c>
      <c r="S761" s="127">
        <f>VLOOKUP($B761,'Выгр Торг'!$B:$Q,S$1,0)</f>
        <v>41950</v>
      </c>
      <c r="T761" s="127">
        <f>VLOOKUP($B761,'Выгр Торг'!$B:$Q,T$1,0)</f>
        <v>51890</v>
      </c>
      <c r="U761" s="94">
        <f t="shared" si="495"/>
        <v>0</v>
      </c>
      <c r="V761" s="94">
        <f t="shared" si="496"/>
        <v>0</v>
      </c>
      <c r="W761" s="153">
        <f t="shared" si="531"/>
        <v>48257.7</v>
      </c>
      <c r="X761" s="209">
        <f>IFERROR(VLOOKUP($B761,'Из ГУГЛа'!$B:$G,6,0)*Z761+Y761,VLOOKUP($B761,'Из ГУГЛа'!$B:$G,6,0))</f>
        <v>53090</v>
      </c>
      <c r="Y761" s="220">
        <f t="shared" si="516"/>
        <v>10800</v>
      </c>
      <c r="Z761" s="133">
        <v>1</v>
      </c>
      <c r="AA761" s="133">
        <v>1300</v>
      </c>
      <c r="AB761" s="135">
        <f t="shared" si="532"/>
        <v>0.15036233611442196</v>
      </c>
      <c r="AC761" s="135">
        <f t="shared" si="533"/>
        <v>9.1020907892258487E-2</v>
      </c>
      <c r="AD761" s="135">
        <f t="shared" si="534"/>
        <v>0.26555423122765198</v>
      </c>
      <c r="AE761" s="223">
        <v>53090</v>
      </c>
      <c r="AF761" s="36" t="s">
        <v>622</v>
      </c>
      <c r="AH761" s="98" t="s">
        <v>107</v>
      </c>
    </row>
    <row r="762" spans="1:34" ht="46.5" thickTop="1" thickBot="1">
      <c r="A762" s="125" t="str">
        <f>INDEX('Выгр Торг'!$A:$A,MATCH($B762,'Выгр Торг'!$B:$B,0))</f>
        <v>Руль анатомический "Ferrum" Grand Sport (со вставками из алькантары) для Лада Веста, XRAY</v>
      </c>
      <c r="B762" s="126">
        <v>341522</v>
      </c>
      <c r="C762" s="127">
        <f>VLOOKUP($B762,'Выгр Торг'!$B:$Q,C$1,0)</f>
        <v>341522</v>
      </c>
      <c r="D762" s="142" t="s">
        <v>107</v>
      </c>
      <c r="E762" s="125" t="str">
        <f>VLOOKUP($B762,'Выгр Торг'!$B:$Q,E$1,0)</f>
        <v>Руль анатомический "Ferrum" Grand Sport (со вставками из алькантары) для Лада Веста, XRAY (Светло-серая нить, Чёрный глянец)</v>
      </c>
      <c r="F762" s="127" t="str">
        <f>VLOOKUP($B762,'Выгр Торг'!$B:$Q,F$1,0)</f>
        <v>Y</v>
      </c>
      <c r="G762" s="127" t="str">
        <f>VLOOKUP($B762,'Выгр Торг'!$B:$Q,G$1,0)</f>
        <v>1</v>
      </c>
      <c r="H762" s="127">
        <v>341514</v>
      </c>
      <c r="I762" s="156"/>
      <c r="J762" s="160"/>
      <c r="K762" s="161">
        <v>870</v>
      </c>
      <c r="L762" s="130">
        <f t="shared" si="528"/>
        <v>41120</v>
      </c>
      <c r="M762" s="130">
        <f t="shared" si="513"/>
        <v>42120</v>
      </c>
      <c r="N762" s="130">
        <f t="shared" si="514"/>
        <v>35120</v>
      </c>
      <c r="O762" s="132">
        <f t="shared" si="529"/>
        <v>1.0243190661478598</v>
      </c>
      <c r="P762" s="132">
        <f t="shared" si="494"/>
        <v>1.1499999999999999</v>
      </c>
      <c r="Q762" s="130">
        <f t="shared" si="515"/>
        <v>50847.31182795699</v>
      </c>
      <c r="R762" s="148">
        <f t="shared" si="530"/>
        <v>50890</v>
      </c>
      <c r="S762" s="127">
        <f>VLOOKUP($B762,'Выгр Торг'!$B:$Q,S$1,0)</f>
        <v>41120</v>
      </c>
      <c r="T762" s="127">
        <f>VLOOKUP($B762,'Выгр Торг'!$B:$Q,T$1,0)</f>
        <v>50890</v>
      </c>
      <c r="U762" s="94">
        <f t="shared" si="495"/>
        <v>0</v>
      </c>
      <c r="V762" s="94">
        <f t="shared" si="496"/>
        <v>0</v>
      </c>
      <c r="W762" s="153">
        <f t="shared" si="531"/>
        <v>47327.7</v>
      </c>
      <c r="X762" s="209">
        <f>IFERROR(VLOOKUP($B762,'Из ГУГЛа'!$B:$G,6,0)*Z762+Y762,VLOOKUP($B762,'Из ГУГЛа'!$B:$G,6,0))</f>
        <v>52260</v>
      </c>
      <c r="Y762" s="220">
        <f t="shared" si="516"/>
        <v>9970</v>
      </c>
      <c r="Z762" s="133">
        <v>1</v>
      </c>
      <c r="AA762" s="134"/>
      <c r="AB762" s="135">
        <f t="shared" si="532"/>
        <v>0.15096546692607005</v>
      </c>
      <c r="AC762" s="135">
        <f t="shared" si="533"/>
        <v>9.4380022962112564E-2</v>
      </c>
      <c r="AD762" s="135">
        <f t="shared" si="534"/>
        <v>0.27091439688715946</v>
      </c>
      <c r="AE762" s="223">
        <v>52260</v>
      </c>
      <c r="AF762" s="36" t="s">
        <v>622</v>
      </c>
      <c r="AH762" s="98" t="s">
        <v>107</v>
      </c>
    </row>
    <row r="763" spans="1:34" ht="46.5" thickTop="1" thickBot="1">
      <c r="A763" s="125" t="str">
        <f>INDEX('Выгр Торг'!$A:$A,MATCH($B763,'Выгр Торг'!$B:$B,0))</f>
        <v>Руль анатомический "Ferrum" Grand Sport (со вставками из алькантары) для Лада Веста, XRAY</v>
      </c>
      <c r="B763" s="126">
        <v>341535</v>
      </c>
      <c r="C763" s="127">
        <f>VLOOKUP($B763,'Выгр Торг'!$B:$Q,C$1,0)</f>
        <v>341535</v>
      </c>
      <c r="D763" s="142" t="s">
        <v>107</v>
      </c>
      <c r="E763" s="125" t="str">
        <f>VLOOKUP($B763,'Выгр Торг'!$B:$Q,E$1,0)</f>
        <v>Руль анатомический "Ferrum" Grand Sport (со вставками из алькантары) для Лада Веста, XRAY (Светло-серая нить, Чёрный мат)</v>
      </c>
      <c r="F763" s="127" t="str">
        <f>VLOOKUP($B763,'Выгр Торг'!$B:$Q,F$1,0)</f>
        <v>Y</v>
      </c>
      <c r="G763" s="127" t="str">
        <f>VLOOKUP($B763,'Выгр Торг'!$B:$Q,G$1,0)</f>
        <v>1</v>
      </c>
      <c r="H763" s="127">
        <v>341514</v>
      </c>
      <c r="I763" s="156"/>
      <c r="J763" s="160">
        <v>830</v>
      </c>
      <c r="K763" s="161">
        <v>870</v>
      </c>
      <c r="L763" s="130">
        <f t="shared" si="528"/>
        <v>41950</v>
      </c>
      <c r="M763" s="130">
        <f t="shared" si="513"/>
        <v>42950</v>
      </c>
      <c r="N763" s="130">
        <f t="shared" si="514"/>
        <v>35950</v>
      </c>
      <c r="O763" s="132">
        <f t="shared" si="529"/>
        <v>1.0238379022646007</v>
      </c>
      <c r="P763" s="132">
        <f t="shared" si="494"/>
        <v>1.1499999999999999</v>
      </c>
      <c r="Q763" s="130">
        <f t="shared" si="515"/>
        <v>51873.655913978495</v>
      </c>
      <c r="R763" s="148">
        <f t="shared" si="530"/>
        <v>51890</v>
      </c>
      <c r="S763" s="127">
        <f>VLOOKUP($B763,'Выгр Торг'!$B:$Q,S$1,0)</f>
        <v>41950</v>
      </c>
      <c r="T763" s="127">
        <f>VLOOKUP($B763,'Выгр Торг'!$B:$Q,T$1,0)</f>
        <v>51890</v>
      </c>
      <c r="U763" s="94">
        <f t="shared" si="495"/>
        <v>0</v>
      </c>
      <c r="V763" s="94">
        <f t="shared" si="496"/>
        <v>0</v>
      </c>
      <c r="W763" s="153">
        <f t="shared" si="531"/>
        <v>48257.7</v>
      </c>
      <c r="X763" s="209">
        <f>IFERROR(VLOOKUP($B763,'Из ГУГЛа'!$B:$G,6,0)*Z763+Y763,VLOOKUP($B763,'Из ГУГЛа'!$B:$G,6,0))</f>
        <v>53090</v>
      </c>
      <c r="Y763" s="220">
        <f t="shared" si="516"/>
        <v>10800</v>
      </c>
      <c r="Z763" s="133">
        <v>1</v>
      </c>
      <c r="AA763" s="133">
        <v>1300</v>
      </c>
      <c r="AB763" s="135">
        <f t="shared" si="532"/>
        <v>0.15036233611442196</v>
      </c>
      <c r="AC763" s="135">
        <f t="shared" si="533"/>
        <v>9.1020907892258487E-2</v>
      </c>
      <c r="AD763" s="135">
        <f t="shared" si="534"/>
        <v>0.26555423122765198</v>
      </c>
      <c r="AE763" s="223">
        <v>53090</v>
      </c>
      <c r="AF763" s="36" t="s">
        <v>622</v>
      </c>
      <c r="AH763" s="98" t="s">
        <v>107</v>
      </c>
    </row>
    <row r="764" spans="1:34" ht="46.5" thickTop="1" thickBot="1">
      <c r="A764" s="125" t="str">
        <f>INDEX('Выгр Торг'!$A:$A,MATCH($B764,'Выгр Торг'!$B:$B,0))</f>
        <v>Руль анатомический "Ferrum" Grand Sport (со вставками из алькантары) для Лада Веста, XRAY</v>
      </c>
      <c r="B764" s="126">
        <v>341520</v>
      </c>
      <c r="C764" s="127">
        <f>VLOOKUP($B764,'Выгр Торг'!$B:$Q,C$1,0)</f>
        <v>341520</v>
      </c>
      <c r="D764" s="142" t="s">
        <v>107</v>
      </c>
      <c r="E764" s="125" t="str">
        <f>VLOOKUP($B764,'Выгр Торг'!$B:$Q,E$1,0)</f>
        <v>Руль анатомический "Ferrum" Grand Sport (со вставками из алькантары) для Лада Веста, XRAY (Сине-зелёная нить, Чёрный глянец)</v>
      </c>
      <c r="F764" s="127" t="str">
        <f>VLOOKUP($B764,'Выгр Торг'!$B:$Q,F$1,0)</f>
        <v>Y</v>
      </c>
      <c r="G764" s="127" t="str">
        <f>VLOOKUP($B764,'Выгр Торг'!$B:$Q,G$1,0)</f>
        <v>1</v>
      </c>
      <c r="H764" s="127">
        <v>341514</v>
      </c>
      <c r="I764" s="156"/>
      <c r="J764" s="160"/>
      <c r="K764" s="161">
        <v>870</v>
      </c>
      <c r="L764" s="130">
        <f t="shared" si="528"/>
        <v>41120</v>
      </c>
      <c r="M764" s="130">
        <f t="shared" si="513"/>
        <v>42120</v>
      </c>
      <c r="N764" s="130">
        <f t="shared" si="514"/>
        <v>35120</v>
      </c>
      <c r="O764" s="132">
        <f t="shared" si="529"/>
        <v>1.0243190661478598</v>
      </c>
      <c r="P764" s="132">
        <f t="shared" si="494"/>
        <v>1.1499999999999999</v>
      </c>
      <c r="Q764" s="130">
        <f t="shared" si="515"/>
        <v>50847.31182795699</v>
      </c>
      <c r="R764" s="148">
        <f t="shared" si="530"/>
        <v>50890</v>
      </c>
      <c r="S764" s="127">
        <f>VLOOKUP($B764,'Выгр Торг'!$B:$Q,S$1,0)</f>
        <v>41120</v>
      </c>
      <c r="T764" s="127">
        <f>VLOOKUP($B764,'Выгр Торг'!$B:$Q,T$1,0)</f>
        <v>50890</v>
      </c>
      <c r="U764" s="94">
        <f t="shared" si="495"/>
        <v>0</v>
      </c>
      <c r="V764" s="94">
        <f t="shared" si="496"/>
        <v>0</v>
      </c>
      <c r="W764" s="153">
        <f t="shared" si="531"/>
        <v>47327.7</v>
      </c>
      <c r="X764" s="209">
        <f>IFERROR(VLOOKUP($B764,'Из ГУГЛа'!$B:$G,6,0)*Z764+Y764,VLOOKUP($B764,'Из ГУГЛа'!$B:$G,6,0))</f>
        <v>52260</v>
      </c>
      <c r="Y764" s="220">
        <f t="shared" si="516"/>
        <v>9970</v>
      </c>
      <c r="Z764" s="133">
        <v>1</v>
      </c>
      <c r="AA764" s="134"/>
      <c r="AB764" s="135">
        <f t="shared" si="532"/>
        <v>0.15096546692607005</v>
      </c>
      <c r="AC764" s="135">
        <f t="shared" si="533"/>
        <v>9.4380022962112564E-2</v>
      </c>
      <c r="AD764" s="135">
        <f t="shared" si="534"/>
        <v>0.27091439688715946</v>
      </c>
      <c r="AE764" s="223">
        <v>52260</v>
      </c>
      <c r="AF764" s="36" t="s">
        <v>622</v>
      </c>
      <c r="AH764" s="98" t="s">
        <v>107</v>
      </c>
    </row>
    <row r="765" spans="1:34" ht="46.5" thickTop="1" thickBot="1">
      <c r="A765" s="125" t="str">
        <f>INDEX('Выгр Торг'!$A:$A,MATCH($B765,'Выгр Торг'!$B:$B,0))</f>
        <v>Руль анатомический "Ferrum" Grand Sport (со вставками из алькантары) для Лада Веста, XRAY</v>
      </c>
      <c r="B765" s="126">
        <v>341533</v>
      </c>
      <c r="C765" s="127">
        <f>VLOOKUP($B765,'Выгр Торг'!$B:$Q,C$1,0)</f>
        <v>341533</v>
      </c>
      <c r="D765" s="142" t="s">
        <v>107</v>
      </c>
      <c r="E765" s="125" t="str">
        <f>VLOOKUP($B765,'Выгр Торг'!$B:$Q,E$1,0)</f>
        <v>Руль анатомический "Ferrum" Grand Sport (со вставками из алькантары) для Лада Веста, XRAY (Сине-зелёная нить, Чёрный мат)</v>
      </c>
      <c r="F765" s="127" t="str">
        <f>VLOOKUP($B765,'Выгр Торг'!$B:$Q,F$1,0)</f>
        <v>Y</v>
      </c>
      <c r="G765" s="127" t="str">
        <f>VLOOKUP($B765,'Выгр Торг'!$B:$Q,G$1,0)</f>
        <v>1</v>
      </c>
      <c r="H765" s="127">
        <v>341514</v>
      </c>
      <c r="I765" s="156"/>
      <c r="J765" s="160">
        <v>830</v>
      </c>
      <c r="K765" s="161">
        <v>870</v>
      </c>
      <c r="L765" s="130">
        <f t="shared" si="528"/>
        <v>41950</v>
      </c>
      <c r="M765" s="130">
        <f t="shared" si="513"/>
        <v>42950</v>
      </c>
      <c r="N765" s="130">
        <f t="shared" si="514"/>
        <v>35950</v>
      </c>
      <c r="O765" s="132">
        <f t="shared" si="529"/>
        <v>1.0238379022646007</v>
      </c>
      <c r="P765" s="132">
        <f t="shared" si="494"/>
        <v>1.1499999999999999</v>
      </c>
      <c r="Q765" s="130">
        <f t="shared" si="515"/>
        <v>51873.655913978495</v>
      </c>
      <c r="R765" s="148">
        <f t="shared" si="530"/>
        <v>51890</v>
      </c>
      <c r="S765" s="127">
        <f>VLOOKUP($B765,'Выгр Торг'!$B:$Q,S$1,0)</f>
        <v>41950</v>
      </c>
      <c r="T765" s="127">
        <f>VLOOKUP($B765,'Выгр Торг'!$B:$Q,T$1,0)</f>
        <v>51890</v>
      </c>
      <c r="U765" s="94">
        <f t="shared" si="495"/>
        <v>0</v>
      </c>
      <c r="V765" s="94">
        <f t="shared" si="496"/>
        <v>0</v>
      </c>
      <c r="W765" s="153">
        <f t="shared" si="531"/>
        <v>48257.7</v>
      </c>
      <c r="X765" s="209">
        <f>IFERROR(VLOOKUP($B765,'Из ГУГЛа'!$B:$G,6,0)*Z765+Y765,VLOOKUP($B765,'Из ГУГЛа'!$B:$G,6,0))</f>
        <v>53090</v>
      </c>
      <c r="Y765" s="220">
        <f t="shared" si="516"/>
        <v>10800</v>
      </c>
      <c r="Z765" s="133">
        <v>1</v>
      </c>
      <c r="AA765" s="133">
        <v>1300</v>
      </c>
      <c r="AB765" s="135">
        <f t="shared" si="532"/>
        <v>0.15036233611442196</v>
      </c>
      <c r="AC765" s="135">
        <f t="shared" si="533"/>
        <v>9.1020907892258487E-2</v>
      </c>
      <c r="AD765" s="135">
        <f t="shared" si="534"/>
        <v>0.26555423122765198</v>
      </c>
      <c r="AE765" s="223">
        <v>53090</v>
      </c>
      <c r="AF765" s="36" t="s">
        <v>622</v>
      </c>
      <c r="AH765" s="98" t="s">
        <v>107</v>
      </c>
    </row>
    <row r="766" spans="1:34" ht="46.5" thickTop="1" thickBot="1">
      <c r="A766" s="125" t="str">
        <f>INDEX('Выгр Торг'!$A:$A,MATCH($B766,'Выгр Торг'!$B:$B,0))</f>
        <v>Руль анатомический "Ferrum" Grand Sport (со вставками из алькантары) для Лада Веста, XRAY</v>
      </c>
      <c r="B766" s="126">
        <v>341521</v>
      </c>
      <c r="C766" s="127">
        <f>VLOOKUP($B766,'Выгр Торг'!$B:$Q,C$1,0)</f>
        <v>341521</v>
      </c>
      <c r="D766" s="142" t="s">
        <v>107</v>
      </c>
      <c r="E766" s="125" t="str">
        <f>VLOOKUP($B766,'Выгр Торг'!$B:$Q,E$1,0)</f>
        <v>Руль анатомический "Ferrum" Grand Sport (со вставками из алькантары) для Лада Веста, XRAY (Синяя нить, Чёрный глянец)</v>
      </c>
      <c r="F766" s="127" t="str">
        <f>VLOOKUP($B766,'Выгр Торг'!$B:$Q,F$1,0)</f>
        <v>Y</v>
      </c>
      <c r="G766" s="127" t="str">
        <f>VLOOKUP($B766,'Выгр Торг'!$B:$Q,G$1,0)</f>
        <v>1</v>
      </c>
      <c r="H766" s="127">
        <v>341514</v>
      </c>
      <c r="I766" s="156"/>
      <c r="J766" s="160"/>
      <c r="K766" s="161">
        <v>870</v>
      </c>
      <c r="L766" s="130">
        <f t="shared" si="528"/>
        <v>41120</v>
      </c>
      <c r="M766" s="130">
        <f t="shared" si="513"/>
        <v>42120</v>
      </c>
      <c r="N766" s="130">
        <f t="shared" si="514"/>
        <v>35120</v>
      </c>
      <c r="O766" s="132">
        <f t="shared" si="529"/>
        <v>1.0243190661478598</v>
      </c>
      <c r="P766" s="132">
        <f t="shared" si="494"/>
        <v>1.1499999999999999</v>
      </c>
      <c r="Q766" s="130">
        <f t="shared" si="515"/>
        <v>50847.31182795699</v>
      </c>
      <c r="R766" s="148">
        <f t="shared" si="530"/>
        <v>50890</v>
      </c>
      <c r="S766" s="127">
        <f>VLOOKUP($B766,'Выгр Торг'!$B:$Q,S$1,0)</f>
        <v>41120</v>
      </c>
      <c r="T766" s="127">
        <f>VLOOKUP($B766,'Выгр Торг'!$B:$Q,T$1,0)</f>
        <v>50890</v>
      </c>
      <c r="U766" s="94">
        <f t="shared" si="495"/>
        <v>0</v>
      </c>
      <c r="V766" s="94">
        <f t="shared" si="496"/>
        <v>0</v>
      </c>
      <c r="W766" s="153">
        <f t="shared" si="531"/>
        <v>47327.7</v>
      </c>
      <c r="X766" s="209">
        <f>IFERROR(VLOOKUP($B766,'Из ГУГЛа'!$B:$G,6,0)*Z766+Y766,VLOOKUP($B766,'Из ГУГЛа'!$B:$G,6,0))</f>
        <v>52260</v>
      </c>
      <c r="Y766" s="220">
        <f t="shared" si="516"/>
        <v>9970</v>
      </c>
      <c r="Z766" s="133">
        <v>1</v>
      </c>
      <c r="AA766" s="134"/>
      <c r="AB766" s="135">
        <f t="shared" si="532"/>
        <v>0.15096546692607005</v>
      </c>
      <c r="AC766" s="135">
        <f t="shared" si="533"/>
        <v>9.4380022962112564E-2</v>
      </c>
      <c r="AD766" s="135">
        <f t="shared" si="534"/>
        <v>0.27091439688715946</v>
      </c>
      <c r="AE766" s="223">
        <v>52260</v>
      </c>
      <c r="AF766" s="36" t="s">
        <v>622</v>
      </c>
      <c r="AH766" s="98" t="s">
        <v>107</v>
      </c>
    </row>
    <row r="767" spans="1:34" ht="46.5" thickTop="1" thickBot="1">
      <c r="A767" s="125" t="str">
        <f>INDEX('Выгр Торг'!$A:$A,MATCH($B767,'Выгр Торг'!$B:$B,0))</f>
        <v>Руль анатомический "Ferrum" Grand Sport (со вставками из алькантары) для Лада Веста, XRAY</v>
      </c>
      <c r="B767" s="126">
        <v>341534</v>
      </c>
      <c r="C767" s="127">
        <f>VLOOKUP($B767,'Выгр Торг'!$B:$Q,C$1,0)</f>
        <v>341534</v>
      </c>
      <c r="D767" s="142" t="s">
        <v>107</v>
      </c>
      <c r="E767" s="125" t="str">
        <f>VLOOKUP($B767,'Выгр Торг'!$B:$Q,E$1,0)</f>
        <v>Руль анатомический "Ferrum" Grand Sport (со вставками из алькантары) для Лада Веста, XRAY (Синяя нить, Чёрный мат)</v>
      </c>
      <c r="F767" s="127" t="str">
        <f>VLOOKUP($B767,'Выгр Торг'!$B:$Q,F$1,0)</f>
        <v>Y</v>
      </c>
      <c r="G767" s="127" t="str">
        <f>VLOOKUP($B767,'Выгр Торг'!$B:$Q,G$1,0)</f>
        <v>1</v>
      </c>
      <c r="H767" s="127">
        <v>341514</v>
      </c>
      <c r="I767" s="156"/>
      <c r="J767" s="160">
        <v>830</v>
      </c>
      <c r="K767" s="161">
        <v>870</v>
      </c>
      <c r="L767" s="130">
        <f t="shared" si="528"/>
        <v>41950</v>
      </c>
      <c r="M767" s="130">
        <f t="shared" si="513"/>
        <v>42950</v>
      </c>
      <c r="N767" s="130">
        <f t="shared" si="514"/>
        <v>35950</v>
      </c>
      <c r="O767" s="132">
        <f t="shared" si="529"/>
        <v>1.0238379022646007</v>
      </c>
      <c r="P767" s="132">
        <f t="shared" si="494"/>
        <v>1.1499999999999999</v>
      </c>
      <c r="Q767" s="130">
        <f t="shared" si="515"/>
        <v>51873.655913978495</v>
      </c>
      <c r="R767" s="148">
        <f t="shared" si="530"/>
        <v>51890</v>
      </c>
      <c r="S767" s="127">
        <f>VLOOKUP($B767,'Выгр Торг'!$B:$Q,S$1,0)</f>
        <v>41950</v>
      </c>
      <c r="T767" s="127">
        <f>VLOOKUP($B767,'Выгр Торг'!$B:$Q,T$1,0)</f>
        <v>51890</v>
      </c>
      <c r="U767" s="94">
        <f t="shared" si="495"/>
        <v>0</v>
      </c>
      <c r="V767" s="94">
        <f t="shared" si="496"/>
        <v>0</v>
      </c>
      <c r="W767" s="153">
        <f t="shared" si="531"/>
        <v>48257.7</v>
      </c>
      <c r="X767" s="209">
        <f>IFERROR(VLOOKUP($B767,'Из ГУГЛа'!$B:$G,6,0)*Z767+Y767,VLOOKUP($B767,'Из ГУГЛа'!$B:$G,6,0))</f>
        <v>53090</v>
      </c>
      <c r="Y767" s="220">
        <f t="shared" si="516"/>
        <v>10800</v>
      </c>
      <c r="Z767" s="133">
        <v>1</v>
      </c>
      <c r="AA767" s="133">
        <v>1300</v>
      </c>
      <c r="AB767" s="135">
        <f t="shared" si="532"/>
        <v>0.15036233611442196</v>
      </c>
      <c r="AC767" s="135">
        <f t="shared" si="533"/>
        <v>9.1020907892258487E-2</v>
      </c>
      <c r="AD767" s="135">
        <f t="shared" si="534"/>
        <v>0.26555423122765198</v>
      </c>
      <c r="AE767" s="223">
        <v>53090</v>
      </c>
      <c r="AF767" s="36" t="s">
        <v>622</v>
      </c>
      <c r="AH767" s="98" t="s">
        <v>107</v>
      </c>
    </row>
    <row r="768" spans="1:34" ht="46.5" thickTop="1" thickBot="1">
      <c r="A768" s="125" t="str">
        <f>INDEX('Выгр Торг'!$A:$A,MATCH($B768,'Выгр Торг'!$B:$B,0))</f>
        <v>Руль анатомический "Ferrum" Grand Sport (со вставками из алькантары) для Лада Веста, XRAY</v>
      </c>
      <c r="B768" s="126">
        <v>341523</v>
      </c>
      <c r="C768" s="127">
        <f>VLOOKUP($B768,'Выгр Торг'!$B:$Q,C$1,0)</f>
        <v>341523</v>
      </c>
      <c r="D768" s="142" t="s">
        <v>107</v>
      </c>
      <c r="E768" s="125" t="str">
        <f>VLOOKUP($B768,'Выгр Торг'!$B:$Q,E$1,0)</f>
        <v>Руль анатомический "Ferrum" Grand Sport (со вставками из алькантары) для Лада Веста, XRAY (Тёмно-серая нить, Чёрный глянец)</v>
      </c>
      <c r="F768" s="127" t="str">
        <f>VLOOKUP($B768,'Выгр Торг'!$B:$Q,F$1,0)</f>
        <v>Y</v>
      </c>
      <c r="G768" s="127" t="str">
        <f>VLOOKUP($B768,'Выгр Торг'!$B:$Q,G$1,0)</f>
        <v>1</v>
      </c>
      <c r="H768" s="127">
        <v>341514</v>
      </c>
      <c r="I768" s="156"/>
      <c r="J768" s="160"/>
      <c r="K768" s="161">
        <v>870</v>
      </c>
      <c r="L768" s="130">
        <f t="shared" si="528"/>
        <v>41120</v>
      </c>
      <c r="M768" s="130">
        <f t="shared" si="513"/>
        <v>42120</v>
      </c>
      <c r="N768" s="130">
        <f t="shared" si="514"/>
        <v>35120</v>
      </c>
      <c r="O768" s="132">
        <f t="shared" si="529"/>
        <v>1.0243190661478598</v>
      </c>
      <c r="P768" s="132">
        <f t="shared" si="494"/>
        <v>1.1499999999999999</v>
      </c>
      <c r="Q768" s="130">
        <f t="shared" si="515"/>
        <v>50847.31182795699</v>
      </c>
      <c r="R768" s="148">
        <f t="shared" si="530"/>
        <v>50890</v>
      </c>
      <c r="S768" s="127">
        <f>VLOOKUP($B768,'Выгр Торг'!$B:$Q,S$1,0)</f>
        <v>41120</v>
      </c>
      <c r="T768" s="127">
        <f>VLOOKUP($B768,'Выгр Торг'!$B:$Q,T$1,0)</f>
        <v>50890</v>
      </c>
      <c r="U768" s="94">
        <f t="shared" si="495"/>
        <v>0</v>
      </c>
      <c r="V768" s="94">
        <f t="shared" si="496"/>
        <v>0</v>
      </c>
      <c r="W768" s="153">
        <f t="shared" si="531"/>
        <v>47327.7</v>
      </c>
      <c r="X768" s="209">
        <f>IFERROR(VLOOKUP($B768,'Из ГУГЛа'!$B:$G,6,0)*Z768+Y768,VLOOKUP($B768,'Из ГУГЛа'!$B:$G,6,0))</f>
        <v>52260</v>
      </c>
      <c r="Y768" s="220">
        <f t="shared" si="516"/>
        <v>9970</v>
      </c>
      <c r="Z768" s="133">
        <v>1</v>
      </c>
      <c r="AA768" s="134"/>
      <c r="AB768" s="135">
        <f t="shared" si="532"/>
        <v>0.15096546692607005</v>
      </c>
      <c r="AC768" s="135">
        <f t="shared" si="533"/>
        <v>9.4380022962112564E-2</v>
      </c>
      <c r="AD768" s="135">
        <f t="shared" si="534"/>
        <v>0.27091439688715946</v>
      </c>
      <c r="AE768" s="223">
        <v>52260</v>
      </c>
      <c r="AF768" s="36" t="s">
        <v>622</v>
      </c>
      <c r="AH768" s="98" t="s">
        <v>107</v>
      </c>
    </row>
    <row r="769" spans="1:34" ht="46.5" thickTop="1" thickBot="1">
      <c r="A769" s="125" t="str">
        <f>INDEX('Выгр Торг'!$A:$A,MATCH($B769,'Выгр Торг'!$B:$B,0))</f>
        <v>Руль анатомический "Ferrum" Grand Sport (со вставками из алькантары) для Лада Веста, XRAY</v>
      </c>
      <c r="B769" s="126">
        <v>341536</v>
      </c>
      <c r="C769" s="127">
        <f>VLOOKUP($B769,'Выгр Торг'!$B:$Q,C$1,0)</f>
        <v>341536</v>
      </c>
      <c r="D769" s="142" t="s">
        <v>107</v>
      </c>
      <c r="E769" s="125" t="str">
        <f>VLOOKUP($B769,'Выгр Торг'!$B:$Q,E$1,0)</f>
        <v>Руль анатомический "Ferrum" Grand Sport (со вставками из алькантары) для Лада Веста, XRAY (Тёмно-серая нить, Чёрный мат)</v>
      </c>
      <c r="F769" s="127" t="str">
        <f>VLOOKUP($B769,'Выгр Торг'!$B:$Q,F$1,0)</f>
        <v>Y</v>
      </c>
      <c r="G769" s="127" t="str">
        <f>VLOOKUP($B769,'Выгр Торг'!$B:$Q,G$1,0)</f>
        <v>1</v>
      </c>
      <c r="H769" s="127">
        <v>341514</v>
      </c>
      <c r="I769" s="156"/>
      <c r="J769" s="160">
        <v>830</v>
      </c>
      <c r="K769" s="161">
        <v>870</v>
      </c>
      <c r="L769" s="130">
        <f t="shared" si="528"/>
        <v>41950</v>
      </c>
      <c r="M769" s="130">
        <f t="shared" si="513"/>
        <v>42950</v>
      </c>
      <c r="N769" s="130">
        <f t="shared" si="514"/>
        <v>35950</v>
      </c>
      <c r="O769" s="132">
        <f t="shared" si="529"/>
        <v>1.0238379022646007</v>
      </c>
      <c r="P769" s="132">
        <f t="shared" si="494"/>
        <v>1.1499999999999999</v>
      </c>
      <c r="Q769" s="130">
        <f t="shared" si="515"/>
        <v>51873.655913978495</v>
      </c>
      <c r="R769" s="148">
        <f t="shared" si="530"/>
        <v>51890</v>
      </c>
      <c r="S769" s="127">
        <f>VLOOKUP($B769,'Выгр Торг'!$B:$Q,S$1,0)</f>
        <v>41950</v>
      </c>
      <c r="T769" s="127">
        <f>VLOOKUP($B769,'Выгр Торг'!$B:$Q,T$1,0)</f>
        <v>51890</v>
      </c>
      <c r="U769" s="94">
        <f t="shared" si="495"/>
        <v>0</v>
      </c>
      <c r="V769" s="94">
        <f t="shared" si="496"/>
        <v>0</v>
      </c>
      <c r="W769" s="153">
        <f t="shared" si="531"/>
        <v>48257.7</v>
      </c>
      <c r="X769" s="209">
        <f>IFERROR(VLOOKUP($B769,'Из ГУГЛа'!$B:$G,6,0)*Z769+Y769,VLOOKUP($B769,'Из ГУГЛа'!$B:$G,6,0))</f>
        <v>53090</v>
      </c>
      <c r="Y769" s="220">
        <f t="shared" si="516"/>
        <v>10800</v>
      </c>
      <c r="Z769" s="133">
        <v>1</v>
      </c>
      <c r="AA769" s="133">
        <v>1300</v>
      </c>
      <c r="AB769" s="135">
        <f t="shared" si="532"/>
        <v>0.15036233611442196</v>
      </c>
      <c r="AC769" s="135">
        <f t="shared" si="533"/>
        <v>9.1020907892258487E-2</v>
      </c>
      <c r="AD769" s="135">
        <f t="shared" si="534"/>
        <v>0.26555423122765198</v>
      </c>
      <c r="AE769" s="223">
        <v>53090</v>
      </c>
      <c r="AF769" s="36" t="s">
        <v>622</v>
      </c>
      <c r="AH769" s="98" t="s">
        <v>107</v>
      </c>
    </row>
    <row r="770" spans="1:34" ht="46.5" thickTop="1" thickBot="1">
      <c r="A770" s="125" t="str">
        <f>INDEX('Выгр Торг'!$A:$A,MATCH($B770,'Выгр Торг'!$B:$B,0))</f>
        <v>Руль анатомический "Ferrum" Grand Sport (со вставками из алькантары) для Лада Веста, XRAY</v>
      </c>
      <c r="B770" s="126">
        <v>341515</v>
      </c>
      <c r="C770" s="127">
        <f>VLOOKUP($B770,'Выгр Торг'!$B:$Q,C$1,0)</f>
        <v>341515</v>
      </c>
      <c r="D770" s="142" t="s">
        <v>107</v>
      </c>
      <c r="E770" s="125" t="str">
        <f>VLOOKUP($B770,'Выгр Торг'!$B:$Q,E$1,0)</f>
        <v>Руль анатомический "Ferrum" Grand Sport (со вставками из алькантары) для Лада Веста, XRAY (Фиолетовая нить, Чёрный глянец)</v>
      </c>
      <c r="F770" s="127" t="str">
        <f>VLOOKUP($B770,'Выгр Торг'!$B:$Q,F$1,0)</f>
        <v>Y</v>
      </c>
      <c r="G770" s="127" t="str">
        <f>VLOOKUP($B770,'Выгр Торг'!$B:$Q,G$1,0)</f>
        <v>1</v>
      </c>
      <c r="H770" s="127">
        <v>341514</v>
      </c>
      <c r="I770" s="156"/>
      <c r="J770" s="160"/>
      <c r="K770" s="161">
        <v>870</v>
      </c>
      <c r="L770" s="130">
        <f t="shared" si="528"/>
        <v>41120</v>
      </c>
      <c r="M770" s="130">
        <f t="shared" si="513"/>
        <v>42120</v>
      </c>
      <c r="N770" s="130">
        <f t="shared" si="514"/>
        <v>35120</v>
      </c>
      <c r="O770" s="132">
        <f t="shared" si="529"/>
        <v>1.0243190661478598</v>
      </c>
      <c r="P770" s="132">
        <f t="shared" si="494"/>
        <v>1.1499999999999999</v>
      </c>
      <c r="Q770" s="130">
        <f t="shared" si="515"/>
        <v>50847.31182795699</v>
      </c>
      <c r="R770" s="148">
        <f t="shared" si="530"/>
        <v>50890</v>
      </c>
      <c r="S770" s="127">
        <f>VLOOKUP($B770,'Выгр Торг'!$B:$Q,S$1,0)</f>
        <v>41120</v>
      </c>
      <c r="T770" s="127">
        <f>VLOOKUP($B770,'Выгр Торг'!$B:$Q,T$1,0)</f>
        <v>50890</v>
      </c>
      <c r="U770" s="94">
        <f t="shared" si="495"/>
        <v>0</v>
      </c>
      <c r="V770" s="94">
        <f t="shared" si="496"/>
        <v>0</v>
      </c>
      <c r="W770" s="153">
        <f t="shared" si="531"/>
        <v>47327.7</v>
      </c>
      <c r="X770" s="209">
        <f>IFERROR(VLOOKUP($B770,'Из ГУГЛа'!$B:$G,6,0)*Z770+Y770,VLOOKUP($B770,'Из ГУГЛа'!$B:$G,6,0))</f>
        <v>52260</v>
      </c>
      <c r="Y770" s="220">
        <f t="shared" si="516"/>
        <v>9970</v>
      </c>
      <c r="Z770" s="133">
        <v>1</v>
      </c>
      <c r="AA770" s="134"/>
      <c r="AB770" s="135">
        <f t="shared" si="532"/>
        <v>0.15096546692607005</v>
      </c>
      <c r="AC770" s="135">
        <f t="shared" si="533"/>
        <v>9.4380022962112564E-2</v>
      </c>
      <c r="AD770" s="135">
        <f t="shared" si="534"/>
        <v>0.27091439688715946</v>
      </c>
      <c r="AE770" s="223">
        <v>52260</v>
      </c>
      <c r="AF770" s="36" t="s">
        <v>622</v>
      </c>
      <c r="AH770" s="98" t="s">
        <v>107</v>
      </c>
    </row>
    <row r="771" spans="1:34" ht="46.5" thickTop="1" thickBot="1">
      <c r="A771" s="125" t="str">
        <f>INDEX('Выгр Торг'!$A:$A,MATCH($B771,'Выгр Торг'!$B:$B,0))</f>
        <v>Руль анатомический "Ferrum" Grand Sport (со вставками из алькантары) для Лада Веста, XRAY</v>
      </c>
      <c r="B771" s="126">
        <v>341528</v>
      </c>
      <c r="C771" s="127">
        <f>VLOOKUP($B771,'Выгр Торг'!$B:$Q,C$1,0)</f>
        <v>341528</v>
      </c>
      <c r="D771" s="142" t="s">
        <v>107</v>
      </c>
      <c r="E771" s="125" t="str">
        <f>VLOOKUP($B771,'Выгр Торг'!$B:$Q,E$1,0)</f>
        <v>Руль анатомический "Ferrum" Grand Sport (со вставками из алькантары) для Лада Веста, XRAY (Фиолетовая нить, Чёрный мат)</v>
      </c>
      <c r="F771" s="127" t="str">
        <f>VLOOKUP($B771,'Выгр Торг'!$B:$Q,F$1,0)</f>
        <v>Y</v>
      </c>
      <c r="G771" s="127" t="str">
        <f>VLOOKUP($B771,'Выгр Торг'!$B:$Q,G$1,0)</f>
        <v>1</v>
      </c>
      <c r="H771" s="127">
        <v>341514</v>
      </c>
      <c r="I771" s="156"/>
      <c r="J771" s="160">
        <v>830</v>
      </c>
      <c r="K771" s="161">
        <v>870</v>
      </c>
      <c r="L771" s="130">
        <f t="shared" si="528"/>
        <v>41950</v>
      </c>
      <c r="M771" s="130">
        <f t="shared" si="513"/>
        <v>42950</v>
      </c>
      <c r="N771" s="130">
        <f t="shared" si="514"/>
        <v>35950</v>
      </c>
      <c r="O771" s="132">
        <f t="shared" si="529"/>
        <v>1.0238379022646007</v>
      </c>
      <c r="P771" s="132">
        <f t="shared" si="494"/>
        <v>1.1499999999999999</v>
      </c>
      <c r="Q771" s="130">
        <f t="shared" si="515"/>
        <v>51873.655913978495</v>
      </c>
      <c r="R771" s="148">
        <f t="shared" si="530"/>
        <v>51890</v>
      </c>
      <c r="S771" s="127">
        <f>VLOOKUP($B771,'Выгр Торг'!$B:$Q,S$1,0)</f>
        <v>41950</v>
      </c>
      <c r="T771" s="127">
        <f>VLOOKUP($B771,'Выгр Торг'!$B:$Q,T$1,0)</f>
        <v>51890</v>
      </c>
      <c r="U771" s="94">
        <f t="shared" si="495"/>
        <v>0</v>
      </c>
      <c r="V771" s="94">
        <f t="shared" si="496"/>
        <v>0</v>
      </c>
      <c r="W771" s="153">
        <f t="shared" si="531"/>
        <v>48257.7</v>
      </c>
      <c r="X771" s="209">
        <f>IFERROR(VLOOKUP($B771,'Из ГУГЛа'!$B:$G,6,0)*Z771+Y771,VLOOKUP($B771,'Из ГУГЛа'!$B:$G,6,0))</f>
        <v>53090</v>
      </c>
      <c r="Y771" s="220">
        <f t="shared" si="516"/>
        <v>10800</v>
      </c>
      <c r="Z771" s="133">
        <v>1</v>
      </c>
      <c r="AA771" s="133">
        <v>1300</v>
      </c>
      <c r="AB771" s="135">
        <f t="shared" si="532"/>
        <v>0.15036233611442196</v>
      </c>
      <c r="AC771" s="135">
        <f t="shared" si="533"/>
        <v>9.1020907892258487E-2</v>
      </c>
      <c r="AD771" s="135">
        <f t="shared" si="534"/>
        <v>0.26555423122765198</v>
      </c>
      <c r="AE771" s="223">
        <v>53090</v>
      </c>
      <c r="AF771" s="36" t="s">
        <v>622</v>
      </c>
      <c r="AH771" s="98" t="s">
        <v>107</v>
      </c>
    </row>
    <row r="772" spans="1:34" ht="46.5" thickTop="1" thickBot="1">
      <c r="A772" s="125" t="str">
        <f>INDEX('Выгр Торг'!$A:$A,MATCH($B772,'Выгр Торг'!$B:$B,0))</f>
        <v>Руль анатомический "Ferrum" Vesta Exclusive для Лада Веста, XRAY</v>
      </c>
      <c r="B772" s="126">
        <v>341956</v>
      </c>
      <c r="C772" s="127">
        <f>VLOOKUP($B772,'Выгр Торг'!$B:$Q,C$1,0)</f>
        <v>341956</v>
      </c>
      <c r="D772" s="142" t="s">
        <v>108</v>
      </c>
      <c r="E772" s="125" t="str">
        <f>VLOOKUP($B772,'Выгр Торг'!$B:$Q,E$1,0)</f>
        <v>Руль анатомический "Ferrum" Vesta Exclusive для Лада Веста, XRAY (Чёрная нить, Чёрный глянец)</v>
      </c>
      <c r="F772" s="127" t="str">
        <f>VLOOKUP($B772,'Выгр Торг'!$B:$Q,F$1,0)</f>
        <v>Y</v>
      </c>
      <c r="G772" s="127" t="str">
        <f>VLOOKUP($B772,'Выгр Торг'!$B:$Q,G$1,0)</f>
        <v>1</v>
      </c>
      <c r="H772" s="127">
        <v>341956</v>
      </c>
      <c r="I772" s="156"/>
      <c r="J772" s="160">
        <v>7000</v>
      </c>
      <c r="K772" s="161">
        <v>0</v>
      </c>
      <c r="L772" s="130">
        <f>M772-1000</f>
        <v>40250</v>
      </c>
      <c r="M772" s="131">
        <f>N772+J772</f>
        <v>41250</v>
      </c>
      <c r="N772" s="131">
        <v>34250</v>
      </c>
      <c r="O772" s="132">
        <f t="shared" ref="O772" si="535">M772/L772</f>
        <v>1.0248447204968945</v>
      </c>
      <c r="P772" s="132">
        <f t="shared" ref="P772:P835" si="536">IF(O772&lt;=$P$1,$P$1,O772)</f>
        <v>1.1499999999999999</v>
      </c>
      <c r="Q772" s="147">
        <f t="shared" ref="Q772" si="537">L772*P772*100/93</f>
        <v>49771.505376344088</v>
      </c>
      <c r="R772" s="148">
        <f t="shared" ref="R772" si="538">IF(Q772&lt;=1000,(ROUNDUP(Q772,-2)-1),(ROUNDUP(Q772,-2)-10))</f>
        <v>49790</v>
      </c>
      <c r="S772" s="127">
        <f>VLOOKUP($B772,'Выгр Торг'!$B:$Q,S$1,0)</f>
        <v>40250</v>
      </c>
      <c r="T772" s="127">
        <f>VLOOKUP($B772,'Выгр Торг'!$B:$Q,T$1,0)</f>
        <v>49790</v>
      </c>
      <c r="U772" s="94">
        <f t="shared" ref="U772:U835" si="539">S772-L772</f>
        <v>0</v>
      </c>
      <c r="V772" s="94">
        <f t="shared" ref="V772:V835" si="540">T772-R772</f>
        <v>0</v>
      </c>
      <c r="W772" s="153">
        <f>R772*(1-$W$2)</f>
        <v>46304.7</v>
      </c>
      <c r="X772" s="209">
        <f>IFERROR(VLOOKUP($B772,'Из ГУГЛа'!$B:$G,6,0)*Z772+Y772,VLOOKUP($B772,'Из ГУГЛа'!$B:$G,6,0))</f>
        <v>51390</v>
      </c>
      <c r="Y772" s="106">
        <f>(J772+K772)*$Y$2</f>
        <v>9100</v>
      </c>
      <c r="Z772" s="133">
        <v>1</v>
      </c>
      <c r="AA772" s="134"/>
      <c r="AB772" s="135">
        <f>IFERROR(W772/L772-1,"")</f>
        <v>0.15042732919254642</v>
      </c>
      <c r="AC772" s="135">
        <f>IFERROR((AE772-W772)/AE772,"")</f>
        <v>9.8955049620548796E-2</v>
      </c>
      <c r="AD772" s="135">
        <f>IFERROR(IF(AE772="","",AE772/L772-1),"")</f>
        <v>0.27677018633540373</v>
      </c>
      <c r="AE772" s="223">
        <v>51390</v>
      </c>
      <c r="AF772" s="36" t="s">
        <v>624</v>
      </c>
      <c r="AH772" s="98" t="s">
        <v>108</v>
      </c>
    </row>
    <row r="773" spans="1:34" ht="46.5" thickTop="1" thickBot="1">
      <c r="A773" s="125" t="str">
        <f>INDEX('Выгр Торг'!$A:$A,MATCH($B773,'Выгр Торг'!$B:$B,0))</f>
        <v>Руль анатомический "Ferrum" Vesta Exclusive для Лада Веста, XRAY</v>
      </c>
      <c r="B773" s="126">
        <v>341969</v>
      </c>
      <c r="C773" s="127">
        <f>VLOOKUP($B773,'Выгр Торг'!$B:$Q,C$1,0)</f>
        <v>341969</v>
      </c>
      <c r="D773" s="142" t="s">
        <v>108</v>
      </c>
      <c r="E773" s="125" t="str">
        <f>VLOOKUP($B773,'Выгр Торг'!$B:$Q,E$1,0)</f>
        <v>Руль анатомический "Ferrum" Vesta Exclusive для Лада Веста, XRAY (Чёрная нить, Чёрный мат)</v>
      </c>
      <c r="F773" s="127" t="str">
        <f>VLOOKUP($B773,'Выгр Торг'!$B:$Q,F$1,0)</f>
        <v>Y</v>
      </c>
      <c r="G773" s="127" t="str">
        <f>VLOOKUP($B773,'Выгр Торг'!$B:$Q,G$1,0)</f>
        <v>1</v>
      </c>
      <c r="H773" s="127">
        <v>341956</v>
      </c>
      <c r="I773" s="156"/>
      <c r="J773" s="160">
        <v>830</v>
      </c>
      <c r="K773" s="161">
        <v>0</v>
      </c>
      <c r="L773" s="130">
        <f>M773-1000</f>
        <v>41080</v>
      </c>
      <c r="M773" s="130">
        <f t="shared" ref="M773:M797" si="541">INDEX($M:$M,MATCH($H773,$C:$C,0))+$K773+$J773</f>
        <v>42080</v>
      </c>
      <c r="N773" s="130">
        <f t="shared" ref="N773:N797" si="542">INDEX($N:$N,MATCH($H773,$C:$C,0))+$K773+$J773</f>
        <v>35080</v>
      </c>
      <c r="O773" s="132">
        <f>M773/L773</f>
        <v>1.0243427458617331</v>
      </c>
      <c r="P773" s="132">
        <f t="shared" si="536"/>
        <v>1.1499999999999999</v>
      </c>
      <c r="Q773" s="130">
        <f t="shared" ref="Q773:Q797" si="543">INDEX($Q:$Q,MATCH($H773,$C:$C,0))+($K773+$J773)*INDEX($P:$P,MATCH($H773,$C:$C,0))*100/93</f>
        <v>50797.849462365593</v>
      </c>
      <c r="R773" s="148">
        <f>IF(Q773&lt;=1000,(ROUNDUP(Q773,-2)-1),(ROUNDUP(Q773,-2)-10))</f>
        <v>50790</v>
      </c>
      <c r="S773" s="127">
        <f>VLOOKUP($B773,'Выгр Торг'!$B:$Q,S$1,0)</f>
        <v>41080</v>
      </c>
      <c r="T773" s="127">
        <f>VLOOKUP($B773,'Выгр Торг'!$B:$Q,T$1,0)</f>
        <v>50790</v>
      </c>
      <c r="U773" s="94">
        <f t="shared" si="539"/>
        <v>0</v>
      </c>
      <c r="V773" s="94">
        <f t="shared" si="540"/>
        <v>0</v>
      </c>
      <c r="W773" s="153">
        <f>R773*(1-$W$2)</f>
        <v>47234.7</v>
      </c>
      <c r="X773" s="209">
        <f>IFERROR(VLOOKUP($B773,'Из ГУГЛа'!$B:$G,6,0)*Z773+Y773,VLOOKUP($B773,'Из ГУГЛа'!$B:$G,6,0))</f>
        <v>52220</v>
      </c>
      <c r="Y773" s="220">
        <f t="shared" ref="Y773:Y797" si="544">INDEX($Y:$Y,MATCH($H773,$C:$C,0))+J773+K773</f>
        <v>9930</v>
      </c>
      <c r="Z773" s="133">
        <v>1</v>
      </c>
      <c r="AA773" s="133">
        <v>1300</v>
      </c>
      <c r="AB773" s="135">
        <f>IFERROR(W773/L773-1,"")</f>
        <v>0.14982229795520929</v>
      </c>
      <c r="AC773" s="135">
        <f>IFERROR((AE773-W773)/AE773,"")</f>
        <v>9.5467253925699019E-2</v>
      </c>
      <c r="AD773" s="135">
        <f>IFERROR(IF(AE773="","",AE773/L773-1),"")</f>
        <v>0.27117818889970779</v>
      </c>
      <c r="AE773" s="223">
        <v>52220</v>
      </c>
      <c r="AF773" s="36" t="s">
        <v>624</v>
      </c>
      <c r="AH773" s="98" t="s">
        <v>108</v>
      </c>
    </row>
    <row r="774" spans="1:34" ht="46.5" thickTop="1" thickBot="1">
      <c r="A774" s="125" t="str">
        <f>INDEX('Выгр Торг'!$A:$A,MATCH($B774,'Выгр Торг'!$B:$B,0))</f>
        <v>Руль анатомический "Ferrum" Vesta Exclusive для Лада Веста, XRAY</v>
      </c>
      <c r="B774" s="126">
        <v>341955</v>
      </c>
      <c r="C774" s="127">
        <f>VLOOKUP($B774,'Выгр Торг'!$B:$Q,C$1,0)</f>
        <v>341955</v>
      </c>
      <c r="D774" s="142" t="s">
        <v>108</v>
      </c>
      <c r="E774" s="125" t="str">
        <f>VLOOKUP($B774,'Выгр Торг'!$B:$Q,E$1,0)</f>
        <v>Руль анатомический "Ferrum" Vesta Exclusive для Лада Веста, XRAY (Белая нить, Чёрный глянец)</v>
      </c>
      <c r="F774" s="127" t="str">
        <f>VLOOKUP($B774,'Выгр Торг'!$B:$Q,F$1,0)</f>
        <v>Y</v>
      </c>
      <c r="G774" s="127" t="str">
        <f>VLOOKUP($B774,'Выгр Торг'!$B:$Q,G$1,0)</f>
        <v>1</v>
      </c>
      <c r="H774" s="127">
        <v>341956</v>
      </c>
      <c r="I774" s="156"/>
      <c r="J774" s="160"/>
      <c r="K774" s="161">
        <v>870</v>
      </c>
      <c r="L774" s="130">
        <f t="shared" ref="L774:L775" si="545">M774-1000</f>
        <v>41120</v>
      </c>
      <c r="M774" s="130">
        <f t="shared" si="541"/>
        <v>42120</v>
      </c>
      <c r="N774" s="130">
        <f t="shared" si="542"/>
        <v>35120</v>
      </c>
      <c r="O774" s="132">
        <f t="shared" ref="O774:O775" si="546">M774/L774</f>
        <v>1.0243190661478598</v>
      </c>
      <c r="P774" s="132">
        <f t="shared" si="536"/>
        <v>1.1499999999999999</v>
      </c>
      <c r="Q774" s="130">
        <f t="shared" si="543"/>
        <v>50847.31182795699</v>
      </c>
      <c r="R774" s="148">
        <f t="shared" ref="R774:R775" si="547">IF(Q774&lt;=1000,(ROUNDUP(Q774,-2)-1),(ROUNDUP(Q774,-2)-10))</f>
        <v>50890</v>
      </c>
      <c r="S774" s="127">
        <f>VLOOKUP($B774,'Выгр Торг'!$B:$Q,S$1,0)</f>
        <v>41120</v>
      </c>
      <c r="T774" s="127">
        <f>VLOOKUP($B774,'Выгр Торг'!$B:$Q,T$1,0)</f>
        <v>50890</v>
      </c>
      <c r="U774" s="94">
        <f t="shared" si="539"/>
        <v>0</v>
      </c>
      <c r="V774" s="94">
        <f t="shared" si="540"/>
        <v>0</v>
      </c>
      <c r="W774" s="153">
        <f t="shared" si="531"/>
        <v>47327.7</v>
      </c>
      <c r="X774" s="209">
        <f>IFERROR(VLOOKUP($B774,'Из ГУГЛа'!$B:$G,6,0)*Z774+Y774,VLOOKUP($B774,'Из ГУГЛа'!$B:$G,6,0))</f>
        <v>52260</v>
      </c>
      <c r="Y774" s="220">
        <f t="shared" si="544"/>
        <v>9970</v>
      </c>
      <c r="Z774" s="133">
        <v>1</v>
      </c>
      <c r="AA774" s="134"/>
      <c r="AB774" s="135">
        <f t="shared" si="532"/>
        <v>0.15096546692607005</v>
      </c>
      <c r="AC774" s="135">
        <f t="shared" si="533"/>
        <v>9.4380022962112564E-2</v>
      </c>
      <c r="AD774" s="135">
        <f t="shared" si="534"/>
        <v>0.27091439688715946</v>
      </c>
      <c r="AE774" s="223">
        <v>52260</v>
      </c>
      <c r="AF774" s="36" t="s">
        <v>624</v>
      </c>
      <c r="AH774" s="98" t="s">
        <v>108</v>
      </c>
    </row>
    <row r="775" spans="1:34" ht="46.5" thickTop="1" thickBot="1">
      <c r="A775" s="125" t="str">
        <f>INDEX('Выгр Торг'!$A:$A,MATCH($B775,'Выгр Торг'!$B:$B,0))</f>
        <v>Руль анатомический "Ferrum" Vesta Exclusive для Лада Веста, XRAY</v>
      </c>
      <c r="B775" s="126">
        <v>341968</v>
      </c>
      <c r="C775" s="127">
        <f>VLOOKUP($B775,'Выгр Торг'!$B:$Q,C$1,0)</f>
        <v>341968</v>
      </c>
      <c r="D775" s="142" t="s">
        <v>108</v>
      </c>
      <c r="E775" s="125" t="str">
        <f>VLOOKUP($B775,'Выгр Торг'!$B:$Q,E$1,0)</f>
        <v>Руль анатомический "Ferrum" Vesta Exclusive для Лада Веста, XRAY (Белая нить, Чёрный мат)</v>
      </c>
      <c r="F775" s="127" t="str">
        <f>VLOOKUP($B775,'Выгр Торг'!$B:$Q,F$1,0)</f>
        <v>Y</v>
      </c>
      <c r="G775" s="127" t="str">
        <f>VLOOKUP($B775,'Выгр Торг'!$B:$Q,G$1,0)</f>
        <v>1</v>
      </c>
      <c r="H775" s="127">
        <v>341956</v>
      </c>
      <c r="I775" s="156"/>
      <c r="J775" s="160">
        <v>830</v>
      </c>
      <c r="K775" s="161">
        <v>870</v>
      </c>
      <c r="L775" s="130">
        <f t="shared" si="545"/>
        <v>41950</v>
      </c>
      <c r="M775" s="130">
        <f t="shared" si="541"/>
        <v>42950</v>
      </c>
      <c r="N775" s="130">
        <f t="shared" si="542"/>
        <v>35950</v>
      </c>
      <c r="O775" s="132">
        <f t="shared" si="546"/>
        <v>1.0238379022646007</v>
      </c>
      <c r="P775" s="132">
        <f t="shared" si="536"/>
        <v>1.1499999999999999</v>
      </c>
      <c r="Q775" s="130">
        <f t="shared" si="543"/>
        <v>51873.655913978495</v>
      </c>
      <c r="R775" s="148">
        <f t="shared" si="547"/>
        <v>51890</v>
      </c>
      <c r="S775" s="127">
        <f>VLOOKUP($B775,'Выгр Торг'!$B:$Q,S$1,0)</f>
        <v>41950</v>
      </c>
      <c r="T775" s="127">
        <f>VLOOKUP($B775,'Выгр Торг'!$B:$Q,T$1,0)</f>
        <v>51890</v>
      </c>
      <c r="U775" s="94">
        <f t="shared" si="539"/>
        <v>0</v>
      </c>
      <c r="V775" s="94">
        <f t="shared" si="540"/>
        <v>0</v>
      </c>
      <c r="W775" s="153">
        <f t="shared" si="531"/>
        <v>48257.7</v>
      </c>
      <c r="X775" s="209">
        <f>IFERROR(VLOOKUP($B775,'Из ГУГЛа'!$B:$G,6,0)*Z775+Y775,VLOOKUP($B775,'Из ГУГЛа'!$B:$G,6,0))</f>
        <v>53090</v>
      </c>
      <c r="Y775" s="220">
        <f t="shared" si="544"/>
        <v>10800</v>
      </c>
      <c r="Z775" s="133">
        <v>1</v>
      </c>
      <c r="AA775" s="133">
        <v>1300</v>
      </c>
      <c r="AB775" s="135">
        <f t="shared" si="532"/>
        <v>0.15036233611442196</v>
      </c>
      <c r="AC775" s="135">
        <f t="shared" si="533"/>
        <v>9.1020907892258487E-2</v>
      </c>
      <c r="AD775" s="135">
        <f t="shared" si="534"/>
        <v>0.26555423122765198</v>
      </c>
      <c r="AE775" s="223">
        <v>53090</v>
      </c>
      <c r="AF775" s="36" t="s">
        <v>624</v>
      </c>
      <c r="AH775" s="98" t="s">
        <v>108</v>
      </c>
    </row>
    <row r="776" spans="1:34" ht="46.5" thickTop="1" thickBot="1">
      <c r="A776" s="125" t="str">
        <f>INDEX('Выгр Торг'!$A:$A,MATCH($B776,'Выгр Торг'!$B:$B,0))</f>
        <v>Руль анатомический "Ferrum" Vesta Exclusive для Лада Веста, XRAY</v>
      </c>
      <c r="B776" s="126">
        <v>341967</v>
      </c>
      <c r="C776" s="127">
        <f>VLOOKUP($B776,'Выгр Торг'!$B:$Q,C$1,0)</f>
        <v>341967</v>
      </c>
      <c r="D776" s="142" t="s">
        <v>108</v>
      </c>
      <c r="E776" s="125" t="str">
        <f>VLOOKUP($B776,'Выгр Торг'!$B:$Q,E$1,0)</f>
        <v>Руль анатомический "Ferrum" Vesta Exclusive для Лада Веста, XRAY (Жёлтая нить, Чёрный глянец)</v>
      </c>
      <c r="F776" s="127" t="str">
        <f>VLOOKUP($B776,'Выгр Торг'!$B:$Q,F$1,0)</f>
        <v>Y</v>
      </c>
      <c r="G776" s="127" t="str">
        <f>VLOOKUP($B776,'Выгр Торг'!$B:$Q,G$1,0)</f>
        <v>1</v>
      </c>
      <c r="H776" s="127">
        <v>341956</v>
      </c>
      <c r="I776" s="156"/>
      <c r="J776" s="160"/>
      <c r="K776" s="161">
        <v>870</v>
      </c>
      <c r="L776" s="130">
        <f t="shared" si="528"/>
        <v>41120</v>
      </c>
      <c r="M776" s="130">
        <f t="shared" si="541"/>
        <v>42120</v>
      </c>
      <c r="N776" s="130">
        <f t="shared" si="542"/>
        <v>35120</v>
      </c>
      <c r="O776" s="132">
        <f t="shared" si="529"/>
        <v>1.0243190661478598</v>
      </c>
      <c r="P776" s="132">
        <f t="shared" si="536"/>
        <v>1.1499999999999999</v>
      </c>
      <c r="Q776" s="130">
        <f t="shared" si="543"/>
        <v>50847.31182795699</v>
      </c>
      <c r="R776" s="148">
        <f t="shared" si="530"/>
        <v>50890</v>
      </c>
      <c r="S776" s="127">
        <f>VLOOKUP($B776,'Выгр Торг'!$B:$Q,S$1,0)</f>
        <v>41120</v>
      </c>
      <c r="T776" s="127">
        <f>VLOOKUP($B776,'Выгр Торг'!$B:$Q,T$1,0)</f>
        <v>50890</v>
      </c>
      <c r="U776" s="94">
        <f t="shared" si="539"/>
        <v>0</v>
      </c>
      <c r="V776" s="94">
        <f t="shared" si="540"/>
        <v>0</v>
      </c>
      <c r="W776" s="153">
        <f t="shared" si="531"/>
        <v>47327.7</v>
      </c>
      <c r="X776" s="209">
        <f>IFERROR(VLOOKUP($B776,'Из ГУГЛа'!$B:$G,6,0)*Z776+Y776,VLOOKUP($B776,'Из ГУГЛа'!$B:$G,6,0))</f>
        <v>52260</v>
      </c>
      <c r="Y776" s="220">
        <f t="shared" si="544"/>
        <v>9970</v>
      </c>
      <c r="Z776" s="133">
        <v>1</v>
      </c>
      <c r="AA776" s="134"/>
      <c r="AB776" s="135">
        <f t="shared" si="532"/>
        <v>0.15096546692607005</v>
      </c>
      <c r="AC776" s="135">
        <f t="shared" si="533"/>
        <v>9.4380022962112564E-2</v>
      </c>
      <c r="AD776" s="135">
        <f t="shared" si="534"/>
        <v>0.27091439688715946</v>
      </c>
      <c r="AE776" s="223">
        <v>52260</v>
      </c>
      <c r="AF776" s="36" t="s">
        <v>624</v>
      </c>
      <c r="AH776" s="98" t="s">
        <v>108</v>
      </c>
    </row>
    <row r="777" spans="1:34" ht="46.5" thickTop="1" thickBot="1">
      <c r="A777" s="125" t="str">
        <f>INDEX('Выгр Торг'!$A:$A,MATCH($B777,'Выгр Торг'!$B:$B,0))</f>
        <v>Руль анатомический "Ferrum" Vesta Exclusive для Лада Веста, XRAY</v>
      </c>
      <c r="B777" s="126">
        <v>341980</v>
      </c>
      <c r="C777" s="127">
        <f>VLOOKUP($B777,'Выгр Торг'!$B:$Q,C$1,0)</f>
        <v>341980</v>
      </c>
      <c r="D777" s="142" t="s">
        <v>108</v>
      </c>
      <c r="E777" s="125" t="str">
        <f>VLOOKUP($B777,'Выгр Торг'!$B:$Q,E$1,0)</f>
        <v>Руль анатомический "Ferrum" Vesta Exclusive для Лада Веста, XRAY (Жёлтая нить, Чёрный мат)</v>
      </c>
      <c r="F777" s="127" t="str">
        <f>VLOOKUP($B777,'Выгр Торг'!$B:$Q,F$1,0)</f>
        <v>Y</v>
      </c>
      <c r="G777" s="127" t="str">
        <f>VLOOKUP($B777,'Выгр Торг'!$B:$Q,G$1,0)</f>
        <v>1</v>
      </c>
      <c r="H777" s="127">
        <v>341956</v>
      </c>
      <c r="I777" s="156"/>
      <c r="J777" s="160">
        <v>830</v>
      </c>
      <c r="K777" s="161">
        <v>870</v>
      </c>
      <c r="L777" s="130">
        <f t="shared" si="528"/>
        <v>41950</v>
      </c>
      <c r="M777" s="130">
        <f t="shared" si="541"/>
        <v>42950</v>
      </c>
      <c r="N777" s="130">
        <f t="shared" si="542"/>
        <v>35950</v>
      </c>
      <c r="O777" s="132">
        <f t="shared" si="529"/>
        <v>1.0238379022646007</v>
      </c>
      <c r="P777" s="132">
        <f t="shared" si="536"/>
        <v>1.1499999999999999</v>
      </c>
      <c r="Q777" s="130">
        <f t="shared" si="543"/>
        <v>51873.655913978495</v>
      </c>
      <c r="R777" s="148">
        <f t="shared" si="530"/>
        <v>51890</v>
      </c>
      <c r="S777" s="127">
        <f>VLOOKUP($B777,'Выгр Торг'!$B:$Q,S$1,0)</f>
        <v>41950</v>
      </c>
      <c r="T777" s="127">
        <f>VLOOKUP($B777,'Выгр Торг'!$B:$Q,T$1,0)</f>
        <v>51890</v>
      </c>
      <c r="U777" s="94">
        <f t="shared" si="539"/>
        <v>0</v>
      </c>
      <c r="V777" s="94">
        <f t="shared" si="540"/>
        <v>0</v>
      </c>
      <c r="W777" s="153">
        <f t="shared" si="531"/>
        <v>48257.7</v>
      </c>
      <c r="X777" s="209">
        <f>IFERROR(VLOOKUP($B777,'Из ГУГЛа'!$B:$G,6,0)*Z777+Y777,VLOOKUP($B777,'Из ГУГЛа'!$B:$G,6,0))</f>
        <v>53090</v>
      </c>
      <c r="Y777" s="220">
        <f t="shared" si="544"/>
        <v>10800</v>
      </c>
      <c r="Z777" s="133">
        <v>1</v>
      </c>
      <c r="AA777" s="133">
        <v>1300</v>
      </c>
      <c r="AB777" s="135">
        <f t="shared" si="532"/>
        <v>0.15036233611442196</v>
      </c>
      <c r="AC777" s="135">
        <f t="shared" si="533"/>
        <v>9.1020907892258487E-2</v>
      </c>
      <c r="AD777" s="135">
        <f t="shared" si="534"/>
        <v>0.26555423122765198</v>
      </c>
      <c r="AE777" s="223">
        <v>53090</v>
      </c>
      <c r="AF777" s="36" t="s">
        <v>624</v>
      </c>
      <c r="AH777" s="98" t="s">
        <v>108</v>
      </c>
    </row>
    <row r="778" spans="1:34" ht="46.5" thickTop="1" thickBot="1">
      <c r="A778" s="125" t="str">
        <f>INDEX('Выгр Торг'!$A:$A,MATCH($B778,'Выгр Торг'!$B:$B,0))</f>
        <v>Руль анатомический "Ferrum" Vesta Exclusive для Лада Веста, XRAY</v>
      </c>
      <c r="B778" s="126">
        <v>341966</v>
      </c>
      <c r="C778" s="127">
        <f>VLOOKUP($B778,'Выгр Торг'!$B:$Q,C$1,0)</f>
        <v>341966</v>
      </c>
      <c r="D778" s="142" t="s">
        <v>108</v>
      </c>
      <c r="E778" s="125" t="str">
        <f>VLOOKUP($B778,'Выгр Торг'!$B:$Q,E$1,0)</f>
        <v>Руль анатомический "Ferrum" Vesta Exclusive для Лада Веста, XRAY (Зелёная нить, Чёрный глянец)</v>
      </c>
      <c r="F778" s="127" t="str">
        <f>VLOOKUP($B778,'Выгр Торг'!$B:$Q,F$1,0)</f>
        <v>Y</v>
      </c>
      <c r="G778" s="127" t="str">
        <f>VLOOKUP($B778,'Выгр Торг'!$B:$Q,G$1,0)</f>
        <v>1</v>
      </c>
      <c r="H778" s="127">
        <v>341956</v>
      </c>
      <c r="I778" s="156"/>
      <c r="J778" s="160"/>
      <c r="K778" s="161">
        <v>870</v>
      </c>
      <c r="L778" s="130">
        <f t="shared" si="528"/>
        <v>41120</v>
      </c>
      <c r="M778" s="130">
        <f t="shared" si="541"/>
        <v>42120</v>
      </c>
      <c r="N778" s="130">
        <f t="shared" si="542"/>
        <v>35120</v>
      </c>
      <c r="O778" s="132">
        <f t="shared" si="529"/>
        <v>1.0243190661478598</v>
      </c>
      <c r="P778" s="132">
        <f t="shared" si="536"/>
        <v>1.1499999999999999</v>
      </c>
      <c r="Q778" s="130">
        <f t="shared" si="543"/>
        <v>50847.31182795699</v>
      </c>
      <c r="R778" s="148">
        <f t="shared" si="530"/>
        <v>50890</v>
      </c>
      <c r="S778" s="127">
        <f>VLOOKUP($B778,'Выгр Торг'!$B:$Q,S$1,0)</f>
        <v>41120</v>
      </c>
      <c r="T778" s="127">
        <f>VLOOKUP($B778,'Выгр Торг'!$B:$Q,T$1,0)</f>
        <v>50890</v>
      </c>
      <c r="U778" s="94">
        <f t="shared" si="539"/>
        <v>0</v>
      </c>
      <c r="V778" s="94">
        <f t="shared" si="540"/>
        <v>0</v>
      </c>
      <c r="W778" s="153">
        <f t="shared" si="531"/>
        <v>47327.7</v>
      </c>
      <c r="X778" s="209">
        <f>IFERROR(VLOOKUP($B778,'Из ГУГЛа'!$B:$G,6,0)*Z778+Y778,VLOOKUP($B778,'Из ГУГЛа'!$B:$G,6,0))</f>
        <v>52260</v>
      </c>
      <c r="Y778" s="220">
        <f t="shared" si="544"/>
        <v>9970</v>
      </c>
      <c r="Z778" s="133">
        <v>1</v>
      </c>
      <c r="AA778" s="134"/>
      <c r="AB778" s="135">
        <f t="shared" si="532"/>
        <v>0.15096546692607005</v>
      </c>
      <c r="AC778" s="135">
        <f t="shared" si="533"/>
        <v>9.4380022962112564E-2</v>
      </c>
      <c r="AD778" s="135">
        <f t="shared" si="534"/>
        <v>0.27091439688715946</v>
      </c>
      <c r="AE778" s="223">
        <v>52260</v>
      </c>
      <c r="AF778" s="36" t="s">
        <v>624</v>
      </c>
      <c r="AH778" s="98" t="s">
        <v>108</v>
      </c>
    </row>
    <row r="779" spans="1:34" ht="46.5" thickTop="1" thickBot="1">
      <c r="A779" s="125" t="str">
        <f>INDEX('Выгр Торг'!$A:$A,MATCH($B779,'Выгр Торг'!$B:$B,0))</f>
        <v>Руль анатомический "Ferrum" Vesta Exclusive для Лада Веста, XRAY</v>
      </c>
      <c r="B779" s="126">
        <v>341979</v>
      </c>
      <c r="C779" s="127">
        <f>VLOOKUP($B779,'Выгр Торг'!$B:$Q,C$1,0)</f>
        <v>341979</v>
      </c>
      <c r="D779" s="142" t="s">
        <v>108</v>
      </c>
      <c r="E779" s="125" t="str">
        <f>VLOOKUP($B779,'Выгр Торг'!$B:$Q,E$1,0)</f>
        <v>Руль анатомический "Ferrum" Vesta Exclusive для Лада Веста, XRAY (Зелёная нить, Чёрный мат)</v>
      </c>
      <c r="F779" s="127" t="str">
        <f>VLOOKUP($B779,'Выгр Торг'!$B:$Q,F$1,0)</f>
        <v>Y</v>
      </c>
      <c r="G779" s="127" t="str">
        <f>VLOOKUP($B779,'Выгр Торг'!$B:$Q,G$1,0)</f>
        <v>1</v>
      </c>
      <c r="H779" s="127">
        <v>341956</v>
      </c>
      <c r="I779" s="156"/>
      <c r="J779" s="160">
        <v>830</v>
      </c>
      <c r="K779" s="161">
        <v>870</v>
      </c>
      <c r="L779" s="130">
        <f t="shared" si="528"/>
        <v>41950</v>
      </c>
      <c r="M779" s="130">
        <f t="shared" si="541"/>
        <v>42950</v>
      </c>
      <c r="N779" s="130">
        <f t="shared" si="542"/>
        <v>35950</v>
      </c>
      <c r="O779" s="132">
        <f t="shared" si="529"/>
        <v>1.0238379022646007</v>
      </c>
      <c r="P779" s="132">
        <f t="shared" si="536"/>
        <v>1.1499999999999999</v>
      </c>
      <c r="Q779" s="130">
        <f t="shared" si="543"/>
        <v>51873.655913978495</v>
      </c>
      <c r="R779" s="148">
        <f t="shared" si="530"/>
        <v>51890</v>
      </c>
      <c r="S779" s="127">
        <f>VLOOKUP($B779,'Выгр Торг'!$B:$Q,S$1,0)</f>
        <v>41950</v>
      </c>
      <c r="T779" s="127">
        <f>VLOOKUP($B779,'Выгр Торг'!$B:$Q,T$1,0)</f>
        <v>51890</v>
      </c>
      <c r="U779" s="94">
        <f t="shared" si="539"/>
        <v>0</v>
      </c>
      <c r="V779" s="94">
        <f t="shared" si="540"/>
        <v>0</v>
      </c>
      <c r="W779" s="153">
        <f t="shared" si="531"/>
        <v>48257.7</v>
      </c>
      <c r="X779" s="209">
        <f>IFERROR(VLOOKUP($B779,'Из ГУГЛа'!$B:$G,6,0)*Z779+Y779,VLOOKUP($B779,'Из ГУГЛа'!$B:$G,6,0))</f>
        <v>53090</v>
      </c>
      <c r="Y779" s="220">
        <f t="shared" si="544"/>
        <v>10800</v>
      </c>
      <c r="Z779" s="133">
        <v>1</v>
      </c>
      <c r="AA779" s="133">
        <v>1300</v>
      </c>
      <c r="AB779" s="135">
        <f t="shared" si="532"/>
        <v>0.15036233611442196</v>
      </c>
      <c r="AC779" s="135">
        <f t="shared" si="533"/>
        <v>9.1020907892258487E-2</v>
      </c>
      <c r="AD779" s="135">
        <f t="shared" si="534"/>
        <v>0.26555423122765198</v>
      </c>
      <c r="AE779" s="223">
        <v>53090</v>
      </c>
      <c r="AF779" s="36" t="s">
        <v>624</v>
      </c>
      <c r="AH779" s="98" t="s">
        <v>108</v>
      </c>
    </row>
    <row r="780" spans="1:34" ht="46.5" thickTop="1" thickBot="1">
      <c r="A780" s="125" t="str">
        <f>INDEX('Выгр Торг'!$A:$A,MATCH($B780,'Выгр Торг'!$B:$B,0))</f>
        <v>Руль анатомический "Ferrum" Vesta Exclusive для Лада Веста, XRAY</v>
      </c>
      <c r="B780" s="126">
        <v>341958</v>
      </c>
      <c r="C780" s="127">
        <f>VLOOKUP($B780,'Выгр Торг'!$B:$Q,C$1,0)</f>
        <v>341958</v>
      </c>
      <c r="D780" s="142" t="s">
        <v>108</v>
      </c>
      <c r="E780" s="125" t="str">
        <f>VLOOKUP($B780,'Выгр Торг'!$B:$Q,E$1,0)</f>
        <v>Руль анатомический "Ferrum" Vesta Exclusive для Лада Веста, XRAY (Коричневая нить, Чёрный глянец)</v>
      </c>
      <c r="F780" s="127" t="str">
        <f>VLOOKUP($B780,'Выгр Торг'!$B:$Q,F$1,0)</f>
        <v>Y</v>
      </c>
      <c r="G780" s="127" t="str">
        <f>VLOOKUP($B780,'Выгр Торг'!$B:$Q,G$1,0)</f>
        <v>1</v>
      </c>
      <c r="H780" s="127">
        <v>341956</v>
      </c>
      <c r="I780" s="156"/>
      <c r="J780" s="160"/>
      <c r="K780" s="161">
        <v>870</v>
      </c>
      <c r="L780" s="130">
        <f t="shared" si="528"/>
        <v>41120</v>
      </c>
      <c r="M780" s="130">
        <f t="shared" si="541"/>
        <v>42120</v>
      </c>
      <c r="N780" s="130">
        <f t="shared" si="542"/>
        <v>35120</v>
      </c>
      <c r="O780" s="132">
        <f t="shared" si="529"/>
        <v>1.0243190661478598</v>
      </c>
      <c r="P780" s="132">
        <f t="shared" si="536"/>
        <v>1.1499999999999999</v>
      </c>
      <c r="Q780" s="130">
        <f t="shared" si="543"/>
        <v>50847.31182795699</v>
      </c>
      <c r="R780" s="148">
        <f t="shared" si="530"/>
        <v>50890</v>
      </c>
      <c r="S780" s="127">
        <f>VLOOKUP($B780,'Выгр Торг'!$B:$Q,S$1,0)</f>
        <v>41120</v>
      </c>
      <c r="T780" s="127">
        <f>VLOOKUP($B780,'Выгр Торг'!$B:$Q,T$1,0)</f>
        <v>50890</v>
      </c>
      <c r="U780" s="94">
        <f t="shared" si="539"/>
        <v>0</v>
      </c>
      <c r="V780" s="94">
        <f t="shared" si="540"/>
        <v>0</v>
      </c>
      <c r="W780" s="153">
        <f t="shared" si="531"/>
        <v>47327.7</v>
      </c>
      <c r="X780" s="209">
        <f>IFERROR(VLOOKUP($B780,'Из ГУГЛа'!$B:$G,6,0)*Z780+Y780,VLOOKUP($B780,'Из ГУГЛа'!$B:$G,6,0))</f>
        <v>52260</v>
      </c>
      <c r="Y780" s="220">
        <f t="shared" si="544"/>
        <v>9970</v>
      </c>
      <c r="Z780" s="133">
        <v>1</v>
      </c>
      <c r="AA780" s="134"/>
      <c r="AB780" s="135">
        <f t="shared" si="532"/>
        <v>0.15096546692607005</v>
      </c>
      <c r="AC780" s="135">
        <f t="shared" si="533"/>
        <v>9.4380022962112564E-2</v>
      </c>
      <c r="AD780" s="135">
        <f t="shared" si="534"/>
        <v>0.27091439688715946</v>
      </c>
      <c r="AE780" s="223">
        <v>52260</v>
      </c>
      <c r="AF780" s="36" t="s">
        <v>624</v>
      </c>
      <c r="AH780" s="98" t="s">
        <v>108</v>
      </c>
    </row>
    <row r="781" spans="1:34" ht="46.5" thickTop="1" thickBot="1">
      <c r="A781" s="125" t="str">
        <f>INDEX('Выгр Торг'!$A:$A,MATCH($B781,'Выгр Торг'!$B:$B,0))</f>
        <v>Руль анатомический "Ferrum" Vesta Exclusive для Лада Веста, XRAY</v>
      </c>
      <c r="B781" s="126">
        <v>341971</v>
      </c>
      <c r="C781" s="127">
        <f>VLOOKUP($B781,'Выгр Торг'!$B:$Q,C$1,0)</f>
        <v>341971</v>
      </c>
      <c r="D781" s="142" t="s">
        <v>108</v>
      </c>
      <c r="E781" s="125" t="str">
        <f>VLOOKUP($B781,'Выгр Торг'!$B:$Q,E$1,0)</f>
        <v>Руль анатомический "Ferrum" Vesta Exclusive для Лада Веста, XRAY (Коричневая нить, Чёрный мат)</v>
      </c>
      <c r="F781" s="127" t="str">
        <f>VLOOKUP($B781,'Выгр Торг'!$B:$Q,F$1,0)</f>
        <v>Y</v>
      </c>
      <c r="G781" s="127" t="str">
        <f>VLOOKUP($B781,'Выгр Торг'!$B:$Q,G$1,0)</f>
        <v>1</v>
      </c>
      <c r="H781" s="127">
        <v>341956</v>
      </c>
      <c r="I781" s="156"/>
      <c r="J781" s="160">
        <v>830</v>
      </c>
      <c r="K781" s="161">
        <v>870</v>
      </c>
      <c r="L781" s="130">
        <f t="shared" si="528"/>
        <v>41950</v>
      </c>
      <c r="M781" s="130">
        <f t="shared" si="541"/>
        <v>42950</v>
      </c>
      <c r="N781" s="130">
        <f t="shared" si="542"/>
        <v>35950</v>
      </c>
      <c r="O781" s="132">
        <f t="shared" si="529"/>
        <v>1.0238379022646007</v>
      </c>
      <c r="P781" s="132">
        <f t="shared" si="536"/>
        <v>1.1499999999999999</v>
      </c>
      <c r="Q781" s="130">
        <f t="shared" si="543"/>
        <v>51873.655913978495</v>
      </c>
      <c r="R781" s="148">
        <f t="shared" si="530"/>
        <v>51890</v>
      </c>
      <c r="S781" s="127">
        <f>VLOOKUP($B781,'Выгр Торг'!$B:$Q,S$1,0)</f>
        <v>41950</v>
      </c>
      <c r="T781" s="127">
        <f>VLOOKUP($B781,'Выгр Торг'!$B:$Q,T$1,0)</f>
        <v>51890</v>
      </c>
      <c r="U781" s="94">
        <f t="shared" si="539"/>
        <v>0</v>
      </c>
      <c r="V781" s="94">
        <f t="shared" si="540"/>
        <v>0</v>
      </c>
      <c r="W781" s="153">
        <f t="shared" si="531"/>
        <v>48257.7</v>
      </c>
      <c r="X781" s="209">
        <f>IFERROR(VLOOKUP($B781,'Из ГУГЛа'!$B:$G,6,0)*Z781+Y781,VLOOKUP($B781,'Из ГУГЛа'!$B:$G,6,0))</f>
        <v>53090</v>
      </c>
      <c r="Y781" s="220">
        <f t="shared" si="544"/>
        <v>10800</v>
      </c>
      <c r="Z781" s="133">
        <v>1</v>
      </c>
      <c r="AA781" s="133">
        <v>1300</v>
      </c>
      <c r="AB781" s="135">
        <f t="shared" si="532"/>
        <v>0.15036233611442196</v>
      </c>
      <c r="AC781" s="135">
        <f t="shared" si="533"/>
        <v>9.1020907892258487E-2</v>
      </c>
      <c r="AD781" s="135">
        <f t="shared" si="534"/>
        <v>0.26555423122765198</v>
      </c>
      <c r="AE781" s="223">
        <v>53090</v>
      </c>
      <c r="AF781" s="36" t="s">
        <v>624</v>
      </c>
      <c r="AH781" s="98" t="s">
        <v>108</v>
      </c>
    </row>
    <row r="782" spans="1:34" ht="46.5" thickTop="1" thickBot="1">
      <c r="A782" s="125" t="str">
        <f>INDEX('Выгр Торг'!$A:$A,MATCH($B782,'Выгр Торг'!$B:$B,0))</f>
        <v>Руль анатомический "Ferrum" Vesta Exclusive для Лада Веста, XRAY</v>
      </c>
      <c r="B782" s="126">
        <v>341959</v>
      </c>
      <c r="C782" s="127">
        <f>VLOOKUP($B782,'Выгр Торг'!$B:$Q,C$1,0)</f>
        <v>341959</v>
      </c>
      <c r="D782" s="142" t="s">
        <v>108</v>
      </c>
      <c r="E782" s="125" t="str">
        <f>VLOOKUP($B782,'Выгр Торг'!$B:$Q,E$1,0)</f>
        <v>Руль анатомический "Ferrum" Vesta Exclusive для Лада Веста, XRAY (Красная нить, Чёрный глянец)</v>
      </c>
      <c r="F782" s="127" t="str">
        <f>VLOOKUP($B782,'Выгр Торг'!$B:$Q,F$1,0)</f>
        <v>Y</v>
      </c>
      <c r="G782" s="127" t="str">
        <f>VLOOKUP($B782,'Выгр Торг'!$B:$Q,G$1,0)</f>
        <v>1</v>
      </c>
      <c r="H782" s="127">
        <v>341956</v>
      </c>
      <c r="I782" s="156"/>
      <c r="J782" s="160"/>
      <c r="K782" s="161">
        <v>870</v>
      </c>
      <c r="L782" s="130">
        <f t="shared" si="528"/>
        <v>41120</v>
      </c>
      <c r="M782" s="130">
        <f t="shared" si="541"/>
        <v>42120</v>
      </c>
      <c r="N782" s="130">
        <f t="shared" si="542"/>
        <v>35120</v>
      </c>
      <c r="O782" s="132">
        <f t="shared" si="529"/>
        <v>1.0243190661478598</v>
      </c>
      <c r="P782" s="132">
        <f t="shared" si="536"/>
        <v>1.1499999999999999</v>
      </c>
      <c r="Q782" s="130">
        <f t="shared" si="543"/>
        <v>50847.31182795699</v>
      </c>
      <c r="R782" s="148">
        <f t="shared" si="530"/>
        <v>50890</v>
      </c>
      <c r="S782" s="127">
        <f>VLOOKUP($B782,'Выгр Торг'!$B:$Q,S$1,0)</f>
        <v>41120</v>
      </c>
      <c r="T782" s="127">
        <f>VLOOKUP($B782,'Выгр Торг'!$B:$Q,T$1,0)</f>
        <v>50890</v>
      </c>
      <c r="U782" s="94">
        <f t="shared" si="539"/>
        <v>0</v>
      </c>
      <c r="V782" s="94">
        <f t="shared" si="540"/>
        <v>0</v>
      </c>
      <c r="W782" s="153">
        <f t="shared" si="531"/>
        <v>47327.7</v>
      </c>
      <c r="X782" s="209">
        <f>IFERROR(VLOOKUP($B782,'Из ГУГЛа'!$B:$G,6,0)*Z782+Y782,VLOOKUP($B782,'Из ГУГЛа'!$B:$G,6,0))</f>
        <v>52260</v>
      </c>
      <c r="Y782" s="220">
        <f t="shared" si="544"/>
        <v>9970</v>
      </c>
      <c r="Z782" s="133">
        <v>1</v>
      </c>
      <c r="AA782" s="134"/>
      <c r="AB782" s="135">
        <f t="shared" si="532"/>
        <v>0.15096546692607005</v>
      </c>
      <c r="AC782" s="135">
        <f t="shared" si="533"/>
        <v>9.4380022962112564E-2</v>
      </c>
      <c r="AD782" s="135">
        <f t="shared" si="534"/>
        <v>0.27091439688715946</v>
      </c>
      <c r="AE782" s="223">
        <v>52260</v>
      </c>
      <c r="AF782" s="36" t="s">
        <v>624</v>
      </c>
      <c r="AH782" s="98" t="s">
        <v>108</v>
      </c>
    </row>
    <row r="783" spans="1:34" ht="46.5" thickTop="1" thickBot="1">
      <c r="A783" s="125" t="str">
        <f>INDEX('Выгр Торг'!$A:$A,MATCH($B783,'Выгр Торг'!$B:$B,0))</f>
        <v>Руль анатомический "Ferrum" Vesta Exclusive для Лада Веста, XRAY</v>
      </c>
      <c r="B783" s="126">
        <v>341972</v>
      </c>
      <c r="C783" s="127">
        <f>VLOOKUP($B783,'Выгр Торг'!$B:$Q,C$1,0)</f>
        <v>341972</v>
      </c>
      <c r="D783" s="142" t="s">
        <v>108</v>
      </c>
      <c r="E783" s="125" t="str">
        <f>VLOOKUP($B783,'Выгр Торг'!$B:$Q,E$1,0)</f>
        <v>Руль анатомический "Ferrum" Vesta Exclusive для Лада Веста, XRAY (Красная нить, Чёрный мат)</v>
      </c>
      <c r="F783" s="127" t="str">
        <f>VLOOKUP($B783,'Выгр Торг'!$B:$Q,F$1,0)</f>
        <v>Y</v>
      </c>
      <c r="G783" s="127" t="str">
        <f>VLOOKUP($B783,'Выгр Торг'!$B:$Q,G$1,0)</f>
        <v>1</v>
      </c>
      <c r="H783" s="127">
        <v>341956</v>
      </c>
      <c r="I783" s="156"/>
      <c r="J783" s="160">
        <v>830</v>
      </c>
      <c r="K783" s="161">
        <v>870</v>
      </c>
      <c r="L783" s="130">
        <f t="shared" si="528"/>
        <v>41950</v>
      </c>
      <c r="M783" s="130">
        <f t="shared" si="541"/>
        <v>42950</v>
      </c>
      <c r="N783" s="130">
        <f t="shared" si="542"/>
        <v>35950</v>
      </c>
      <c r="O783" s="132">
        <f t="shared" si="529"/>
        <v>1.0238379022646007</v>
      </c>
      <c r="P783" s="132">
        <f t="shared" si="536"/>
        <v>1.1499999999999999</v>
      </c>
      <c r="Q783" s="130">
        <f t="shared" si="543"/>
        <v>51873.655913978495</v>
      </c>
      <c r="R783" s="148">
        <f t="shared" si="530"/>
        <v>51890</v>
      </c>
      <c r="S783" s="127">
        <f>VLOOKUP($B783,'Выгр Торг'!$B:$Q,S$1,0)</f>
        <v>41950</v>
      </c>
      <c r="T783" s="127">
        <f>VLOOKUP($B783,'Выгр Торг'!$B:$Q,T$1,0)</f>
        <v>51890</v>
      </c>
      <c r="U783" s="94">
        <f t="shared" si="539"/>
        <v>0</v>
      </c>
      <c r="V783" s="94">
        <f t="shared" si="540"/>
        <v>0</v>
      </c>
      <c r="W783" s="153">
        <f t="shared" si="531"/>
        <v>48257.7</v>
      </c>
      <c r="X783" s="209">
        <f>IFERROR(VLOOKUP($B783,'Из ГУГЛа'!$B:$G,6,0)*Z783+Y783,VLOOKUP($B783,'Из ГУГЛа'!$B:$G,6,0))</f>
        <v>53090</v>
      </c>
      <c r="Y783" s="220">
        <f t="shared" si="544"/>
        <v>10800</v>
      </c>
      <c r="Z783" s="133">
        <v>1</v>
      </c>
      <c r="AA783" s="133">
        <v>1300</v>
      </c>
      <c r="AB783" s="135">
        <f t="shared" si="532"/>
        <v>0.15036233611442196</v>
      </c>
      <c r="AC783" s="135">
        <f t="shared" si="533"/>
        <v>9.1020907892258487E-2</v>
      </c>
      <c r="AD783" s="135">
        <f t="shared" si="534"/>
        <v>0.26555423122765198</v>
      </c>
      <c r="AE783" s="223">
        <v>53090</v>
      </c>
      <c r="AF783" s="36" t="s">
        <v>624</v>
      </c>
      <c r="AH783" s="98" t="s">
        <v>108</v>
      </c>
    </row>
    <row r="784" spans="1:34" ht="46.5" thickTop="1" thickBot="1">
      <c r="A784" s="125" t="str">
        <f>INDEX('Выгр Торг'!$A:$A,MATCH($B784,'Выгр Торг'!$B:$B,0))</f>
        <v>Руль анатомический "Ferrum" Vesta Exclusive для Лада Веста, XRAY</v>
      </c>
      <c r="B784" s="126">
        <v>341960</v>
      </c>
      <c r="C784" s="127">
        <f>VLOOKUP($B784,'Выгр Торг'!$B:$Q,C$1,0)</f>
        <v>341960</v>
      </c>
      <c r="D784" s="142" t="s">
        <v>108</v>
      </c>
      <c r="E784" s="125" t="str">
        <f>VLOOKUP($B784,'Выгр Торг'!$B:$Q,E$1,0)</f>
        <v>Руль анатомический "Ferrum" Vesta Exclusive для Лада Веста, XRAY (Оранжевая нить, Чёрный глянец)</v>
      </c>
      <c r="F784" s="127" t="str">
        <f>VLOOKUP($B784,'Выгр Торг'!$B:$Q,F$1,0)</f>
        <v>Y</v>
      </c>
      <c r="G784" s="127" t="str">
        <f>VLOOKUP($B784,'Выгр Торг'!$B:$Q,G$1,0)</f>
        <v>1</v>
      </c>
      <c r="H784" s="127">
        <v>341956</v>
      </c>
      <c r="I784" s="156"/>
      <c r="J784" s="160"/>
      <c r="K784" s="161">
        <v>870</v>
      </c>
      <c r="L784" s="130">
        <f t="shared" si="528"/>
        <v>41120</v>
      </c>
      <c r="M784" s="130">
        <f t="shared" si="541"/>
        <v>42120</v>
      </c>
      <c r="N784" s="130">
        <f t="shared" si="542"/>
        <v>35120</v>
      </c>
      <c r="O784" s="132">
        <f t="shared" si="529"/>
        <v>1.0243190661478598</v>
      </c>
      <c r="P784" s="132">
        <f t="shared" si="536"/>
        <v>1.1499999999999999</v>
      </c>
      <c r="Q784" s="130">
        <f t="shared" si="543"/>
        <v>50847.31182795699</v>
      </c>
      <c r="R784" s="148">
        <f t="shared" si="530"/>
        <v>50890</v>
      </c>
      <c r="S784" s="127">
        <f>VLOOKUP($B784,'Выгр Торг'!$B:$Q,S$1,0)</f>
        <v>41120</v>
      </c>
      <c r="T784" s="127">
        <f>VLOOKUP($B784,'Выгр Торг'!$B:$Q,T$1,0)</f>
        <v>50890</v>
      </c>
      <c r="U784" s="94">
        <f t="shared" si="539"/>
        <v>0</v>
      </c>
      <c r="V784" s="94">
        <f t="shared" si="540"/>
        <v>0</v>
      </c>
      <c r="W784" s="153">
        <f t="shared" si="531"/>
        <v>47327.7</v>
      </c>
      <c r="X784" s="209">
        <f>IFERROR(VLOOKUP($B784,'Из ГУГЛа'!$B:$G,6,0)*Z784+Y784,VLOOKUP($B784,'Из ГУГЛа'!$B:$G,6,0))</f>
        <v>52260</v>
      </c>
      <c r="Y784" s="220">
        <f t="shared" si="544"/>
        <v>9970</v>
      </c>
      <c r="Z784" s="133">
        <v>1</v>
      </c>
      <c r="AA784" s="134"/>
      <c r="AB784" s="135">
        <f t="shared" si="532"/>
        <v>0.15096546692607005</v>
      </c>
      <c r="AC784" s="135">
        <f t="shared" si="533"/>
        <v>9.4380022962112564E-2</v>
      </c>
      <c r="AD784" s="135">
        <f t="shared" si="534"/>
        <v>0.27091439688715946</v>
      </c>
      <c r="AE784" s="223">
        <v>52260</v>
      </c>
      <c r="AF784" s="36" t="s">
        <v>624</v>
      </c>
      <c r="AH784" s="98" t="s">
        <v>108</v>
      </c>
    </row>
    <row r="785" spans="1:34" ht="46.5" thickTop="1" thickBot="1">
      <c r="A785" s="125" t="str">
        <f>INDEX('Выгр Торг'!$A:$A,MATCH($B785,'Выгр Торг'!$B:$B,0))</f>
        <v>Руль анатомический "Ferrum" Vesta Exclusive для Лада Веста, XRAY</v>
      </c>
      <c r="B785" s="126">
        <v>341973</v>
      </c>
      <c r="C785" s="127">
        <f>VLOOKUP($B785,'Выгр Торг'!$B:$Q,C$1,0)</f>
        <v>341973</v>
      </c>
      <c r="D785" s="142" t="s">
        <v>108</v>
      </c>
      <c r="E785" s="125" t="str">
        <f>VLOOKUP($B785,'Выгр Торг'!$B:$Q,E$1,0)</f>
        <v>Руль анатомический "Ferrum" Vesta Exclusive для Лада Веста, XRAY (Оранжевая нить, Чёрный мат)</v>
      </c>
      <c r="F785" s="127" t="str">
        <f>VLOOKUP($B785,'Выгр Торг'!$B:$Q,F$1,0)</f>
        <v>Y</v>
      </c>
      <c r="G785" s="127" t="str">
        <f>VLOOKUP($B785,'Выгр Торг'!$B:$Q,G$1,0)</f>
        <v>1</v>
      </c>
      <c r="H785" s="127">
        <v>341956</v>
      </c>
      <c r="I785" s="156"/>
      <c r="J785" s="160">
        <v>830</v>
      </c>
      <c r="K785" s="161">
        <v>870</v>
      </c>
      <c r="L785" s="130">
        <f t="shared" si="528"/>
        <v>41950</v>
      </c>
      <c r="M785" s="130">
        <f t="shared" si="541"/>
        <v>42950</v>
      </c>
      <c r="N785" s="130">
        <f t="shared" si="542"/>
        <v>35950</v>
      </c>
      <c r="O785" s="132">
        <f t="shared" si="529"/>
        <v>1.0238379022646007</v>
      </c>
      <c r="P785" s="132">
        <f t="shared" si="536"/>
        <v>1.1499999999999999</v>
      </c>
      <c r="Q785" s="130">
        <f t="shared" si="543"/>
        <v>51873.655913978495</v>
      </c>
      <c r="R785" s="148">
        <f t="shared" si="530"/>
        <v>51890</v>
      </c>
      <c r="S785" s="127">
        <f>VLOOKUP($B785,'Выгр Торг'!$B:$Q,S$1,0)</f>
        <v>41950</v>
      </c>
      <c r="T785" s="127">
        <f>VLOOKUP($B785,'Выгр Торг'!$B:$Q,T$1,0)</f>
        <v>51890</v>
      </c>
      <c r="U785" s="94">
        <f t="shared" si="539"/>
        <v>0</v>
      </c>
      <c r="V785" s="94">
        <f t="shared" si="540"/>
        <v>0</v>
      </c>
      <c r="W785" s="153">
        <f t="shared" si="531"/>
        <v>48257.7</v>
      </c>
      <c r="X785" s="209">
        <f>IFERROR(VLOOKUP($B785,'Из ГУГЛа'!$B:$G,6,0)*Z785+Y785,VLOOKUP($B785,'Из ГУГЛа'!$B:$G,6,0))</f>
        <v>53090</v>
      </c>
      <c r="Y785" s="220">
        <f t="shared" si="544"/>
        <v>10800</v>
      </c>
      <c r="Z785" s="133">
        <v>1</v>
      </c>
      <c r="AA785" s="133">
        <v>1300</v>
      </c>
      <c r="AB785" s="135">
        <f t="shared" si="532"/>
        <v>0.15036233611442196</v>
      </c>
      <c r="AC785" s="135">
        <f t="shared" si="533"/>
        <v>9.1020907892258487E-2</v>
      </c>
      <c r="AD785" s="135">
        <f t="shared" si="534"/>
        <v>0.26555423122765198</v>
      </c>
      <c r="AE785" s="223">
        <v>53090</v>
      </c>
      <c r="AF785" s="36" t="s">
        <v>624</v>
      </c>
      <c r="AH785" s="98" t="s">
        <v>108</v>
      </c>
    </row>
    <row r="786" spans="1:34" ht="46.5" thickTop="1" thickBot="1">
      <c r="A786" s="125" t="str">
        <f>INDEX('Выгр Торг'!$A:$A,MATCH($B786,'Выгр Торг'!$B:$B,0))</f>
        <v>Руль анатомический "Ferrum" Vesta Exclusive для Лада Веста, XRAY</v>
      </c>
      <c r="B786" s="126">
        <v>341961</v>
      </c>
      <c r="C786" s="127">
        <f>VLOOKUP($B786,'Выгр Торг'!$B:$Q,C$1,0)</f>
        <v>341961</v>
      </c>
      <c r="D786" s="142" t="s">
        <v>108</v>
      </c>
      <c r="E786" s="125" t="str">
        <f>VLOOKUP($B786,'Выгр Торг'!$B:$Q,E$1,0)</f>
        <v>Руль анатомический "Ferrum" Vesta Exclusive для Лада Веста, XRAY (Салатовая нить, Чёрный глянец)</v>
      </c>
      <c r="F786" s="127" t="str">
        <f>VLOOKUP($B786,'Выгр Торг'!$B:$Q,F$1,0)</f>
        <v>Y</v>
      </c>
      <c r="G786" s="127" t="str">
        <f>VLOOKUP($B786,'Выгр Торг'!$B:$Q,G$1,0)</f>
        <v>1</v>
      </c>
      <c r="H786" s="127">
        <v>341956</v>
      </c>
      <c r="I786" s="156"/>
      <c r="J786" s="160"/>
      <c r="K786" s="161">
        <v>870</v>
      </c>
      <c r="L786" s="130">
        <f t="shared" si="528"/>
        <v>41120</v>
      </c>
      <c r="M786" s="130">
        <f t="shared" si="541"/>
        <v>42120</v>
      </c>
      <c r="N786" s="130">
        <f t="shared" si="542"/>
        <v>35120</v>
      </c>
      <c r="O786" s="132">
        <f t="shared" si="529"/>
        <v>1.0243190661478598</v>
      </c>
      <c r="P786" s="132">
        <f t="shared" si="536"/>
        <v>1.1499999999999999</v>
      </c>
      <c r="Q786" s="130">
        <f t="shared" si="543"/>
        <v>50847.31182795699</v>
      </c>
      <c r="R786" s="148">
        <f t="shared" si="530"/>
        <v>50890</v>
      </c>
      <c r="S786" s="127">
        <f>VLOOKUP($B786,'Выгр Торг'!$B:$Q,S$1,0)</f>
        <v>41120</v>
      </c>
      <c r="T786" s="127">
        <f>VLOOKUP($B786,'Выгр Торг'!$B:$Q,T$1,0)</f>
        <v>50890</v>
      </c>
      <c r="U786" s="94">
        <f t="shared" si="539"/>
        <v>0</v>
      </c>
      <c r="V786" s="94">
        <f t="shared" si="540"/>
        <v>0</v>
      </c>
      <c r="W786" s="153">
        <f t="shared" si="531"/>
        <v>47327.7</v>
      </c>
      <c r="X786" s="209">
        <f>IFERROR(VLOOKUP($B786,'Из ГУГЛа'!$B:$G,6,0)*Z786+Y786,VLOOKUP($B786,'Из ГУГЛа'!$B:$G,6,0))</f>
        <v>52260</v>
      </c>
      <c r="Y786" s="220">
        <f t="shared" si="544"/>
        <v>9970</v>
      </c>
      <c r="Z786" s="133">
        <v>1</v>
      </c>
      <c r="AA786" s="134"/>
      <c r="AB786" s="135">
        <f t="shared" si="532"/>
        <v>0.15096546692607005</v>
      </c>
      <c r="AC786" s="135">
        <f t="shared" si="533"/>
        <v>9.4380022962112564E-2</v>
      </c>
      <c r="AD786" s="135">
        <f t="shared" si="534"/>
        <v>0.27091439688715946</v>
      </c>
      <c r="AE786" s="223">
        <v>52260</v>
      </c>
      <c r="AF786" s="36" t="s">
        <v>624</v>
      </c>
      <c r="AH786" s="98" t="s">
        <v>108</v>
      </c>
    </row>
    <row r="787" spans="1:34" ht="46.5" thickTop="1" thickBot="1">
      <c r="A787" s="125" t="str">
        <f>INDEX('Выгр Торг'!$A:$A,MATCH($B787,'Выгр Торг'!$B:$B,0))</f>
        <v>Руль анатомический "Ferrum" Vesta Exclusive для Лада Веста, XRAY</v>
      </c>
      <c r="B787" s="126">
        <v>341974</v>
      </c>
      <c r="C787" s="127">
        <f>VLOOKUP($B787,'Выгр Торг'!$B:$Q,C$1,0)</f>
        <v>341974</v>
      </c>
      <c r="D787" s="142" t="s">
        <v>108</v>
      </c>
      <c r="E787" s="125" t="str">
        <f>VLOOKUP($B787,'Выгр Торг'!$B:$Q,E$1,0)</f>
        <v>Руль анатомический "Ferrum" Vesta Exclusive для Лада Веста, XRAY (Салатовая нить, Чёрный мат)</v>
      </c>
      <c r="F787" s="127" t="str">
        <f>VLOOKUP($B787,'Выгр Торг'!$B:$Q,F$1,0)</f>
        <v>Y</v>
      </c>
      <c r="G787" s="127" t="str">
        <f>VLOOKUP($B787,'Выгр Торг'!$B:$Q,G$1,0)</f>
        <v>1</v>
      </c>
      <c r="H787" s="127">
        <v>341956</v>
      </c>
      <c r="I787" s="156"/>
      <c r="J787" s="160">
        <v>830</v>
      </c>
      <c r="K787" s="161">
        <v>870</v>
      </c>
      <c r="L787" s="130">
        <f t="shared" si="528"/>
        <v>41950</v>
      </c>
      <c r="M787" s="130">
        <f t="shared" si="541"/>
        <v>42950</v>
      </c>
      <c r="N787" s="130">
        <f t="shared" si="542"/>
        <v>35950</v>
      </c>
      <c r="O787" s="132">
        <f t="shared" si="529"/>
        <v>1.0238379022646007</v>
      </c>
      <c r="P787" s="132">
        <f t="shared" si="536"/>
        <v>1.1499999999999999</v>
      </c>
      <c r="Q787" s="130">
        <f t="shared" si="543"/>
        <v>51873.655913978495</v>
      </c>
      <c r="R787" s="148">
        <f t="shared" si="530"/>
        <v>51890</v>
      </c>
      <c r="S787" s="127">
        <f>VLOOKUP($B787,'Выгр Торг'!$B:$Q,S$1,0)</f>
        <v>41950</v>
      </c>
      <c r="T787" s="127">
        <f>VLOOKUP($B787,'Выгр Торг'!$B:$Q,T$1,0)</f>
        <v>51890</v>
      </c>
      <c r="U787" s="94">
        <f t="shared" si="539"/>
        <v>0</v>
      </c>
      <c r="V787" s="94">
        <f t="shared" si="540"/>
        <v>0</v>
      </c>
      <c r="W787" s="153">
        <f t="shared" si="531"/>
        <v>48257.7</v>
      </c>
      <c r="X787" s="209">
        <f>IFERROR(VLOOKUP($B787,'Из ГУГЛа'!$B:$G,6,0)*Z787+Y787,VLOOKUP($B787,'Из ГУГЛа'!$B:$G,6,0))</f>
        <v>53090</v>
      </c>
      <c r="Y787" s="220">
        <f t="shared" si="544"/>
        <v>10800</v>
      </c>
      <c r="Z787" s="133">
        <v>1</v>
      </c>
      <c r="AA787" s="133">
        <v>1300</v>
      </c>
      <c r="AB787" s="135">
        <f t="shared" si="532"/>
        <v>0.15036233611442196</v>
      </c>
      <c r="AC787" s="135">
        <f t="shared" si="533"/>
        <v>9.1020907892258487E-2</v>
      </c>
      <c r="AD787" s="135">
        <f t="shared" si="534"/>
        <v>0.26555423122765198</v>
      </c>
      <c r="AE787" s="223">
        <v>53090</v>
      </c>
      <c r="AF787" s="36" t="s">
        <v>624</v>
      </c>
      <c r="AH787" s="98" t="s">
        <v>108</v>
      </c>
    </row>
    <row r="788" spans="1:34" ht="46.5" thickTop="1" thickBot="1">
      <c r="A788" s="125" t="str">
        <f>INDEX('Выгр Торг'!$A:$A,MATCH($B788,'Выгр Торг'!$B:$B,0))</f>
        <v>Руль анатомический "Ferrum" Vesta Exclusive для Лада Веста, XRAY</v>
      </c>
      <c r="B788" s="126">
        <v>341964</v>
      </c>
      <c r="C788" s="127">
        <f>VLOOKUP($B788,'Выгр Торг'!$B:$Q,C$1,0)</f>
        <v>341964</v>
      </c>
      <c r="D788" s="142" t="s">
        <v>108</v>
      </c>
      <c r="E788" s="125" t="str">
        <f>VLOOKUP($B788,'Выгр Торг'!$B:$Q,E$1,0)</f>
        <v>Руль анатомический "Ferrum" Vesta Exclusive для Лада Веста, XRAY (Светло-серая нить, Чёрный глянец)</v>
      </c>
      <c r="F788" s="127" t="str">
        <f>VLOOKUP($B788,'Выгр Торг'!$B:$Q,F$1,0)</f>
        <v>Y</v>
      </c>
      <c r="G788" s="127" t="str">
        <f>VLOOKUP($B788,'Выгр Торг'!$B:$Q,G$1,0)</f>
        <v>1</v>
      </c>
      <c r="H788" s="127">
        <v>341956</v>
      </c>
      <c r="I788" s="156"/>
      <c r="J788" s="160"/>
      <c r="K788" s="161">
        <v>870</v>
      </c>
      <c r="L788" s="130">
        <f t="shared" si="528"/>
        <v>41120</v>
      </c>
      <c r="M788" s="130">
        <f t="shared" si="541"/>
        <v>42120</v>
      </c>
      <c r="N788" s="130">
        <f t="shared" si="542"/>
        <v>35120</v>
      </c>
      <c r="O788" s="132">
        <f t="shared" si="529"/>
        <v>1.0243190661478598</v>
      </c>
      <c r="P788" s="132">
        <f t="shared" si="536"/>
        <v>1.1499999999999999</v>
      </c>
      <c r="Q788" s="130">
        <f t="shared" si="543"/>
        <v>50847.31182795699</v>
      </c>
      <c r="R788" s="148">
        <f t="shared" si="530"/>
        <v>50890</v>
      </c>
      <c r="S788" s="127">
        <f>VLOOKUP($B788,'Выгр Торг'!$B:$Q,S$1,0)</f>
        <v>41120</v>
      </c>
      <c r="T788" s="127">
        <f>VLOOKUP($B788,'Выгр Торг'!$B:$Q,T$1,0)</f>
        <v>50890</v>
      </c>
      <c r="U788" s="94">
        <f t="shared" si="539"/>
        <v>0</v>
      </c>
      <c r="V788" s="94">
        <f t="shared" si="540"/>
        <v>0</v>
      </c>
      <c r="W788" s="153">
        <f t="shared" si="531"/>
        <v>47327.7</v>
      </c>
      <c r="X788" s="209">
        <f>IFERROR(VLOOKUP($B788,'Из ГУГЛа'!$B:$G,6,0)*Z788+Y788,VLOOKUP($B788,'Из ГУГЛа'!$B:$G,6,0))</f>
        <v>52260</v>
      </c>
      <c r="Y788" s="220">
        <f t="shared" si="544"/>
        <v>9970</v>
      </c>
      <c r="Z788" s="133">
        <v>1</v>
      </c>
      <c r="AA788" s="134"/>
      <c r="AB788" s="135">
        <f t="shared" si="532"/>
        <v>0.15096546692607005</v>
      </c>
      <c r="AC788" s="135">
        <f t="shared" si="533"/>
        <v>9.4380022962112564E-2</v>
      </c>
      <c r="AD788" s="135">
        <f t="shared" si="534"/>
        <v>0.27091439688715946</v>
      </c>
      <c r="AE788" s="223">
        <v>52260</v>
      </c>
      <c r="AF788" s="36" t="s">
        <v>624</v>
      </c>
      <c r="AH788" s="98" t="s">
        <v>108</v>
      </c>
    </row>
    <row r="789" spans="1:34" ht="46.5" thickTop="1" thickBot="1">
      <c r="A789" s="125" t="str">
        <f>INDEX('Выгр Торг'!$A:$A,MATCH($B789,'Выгр Торг'!$B:$B,0))</f>
        <v>Руль анатомический "Ferrum" Vesta Exclusive для Лада Веста, XRAY</v>
      </c>
      <c r="B789" s="126">
        <v>341977</v>
      </c>
      <c r="C789" s="127">
        <f>VLOOKUP($B789,'Выгр Торг'!$B:$Q,C$1,0)</f>
        <v>341977</v>
      </c>
      <c r="D789" s="142" t="s">
        <v>108</v>
      </c>
      <c r="E789" s="125" t="str">
        <f>VLOOKUP($B789,'Выгр Торг'!$B:$Q,E$1,0)</f>
        <v>Руль анатомический "Ferrum" Vesta Exclusive для Лада Веста, XRAY (Светло-серая нить, Чёрный мат)</v>
      </c>
      <c r="F789" s="127" t="str">
        <f>VLOOKUP($B789,'Выгр Торг'!$B:$Q,F$1,0)</f>
        <v>Y</v>
      </c>
      <c r="G789" s="127" t="str">
        <f>VLOOKUP($B789,'Выгр Торг'!$B:$Q,G$1,0)</f>
        <v>1</v>
      </c>
      <c r="H789" s="127">
        <v>341956</v>
      </c>
      <c r="I789" s="156"/>
      <c r="J789" s="160">
        <v>830</v>
      </c>
      <c r="K789" s="161">
        <v>870</v>
      </c>
      <c r="L789" s="130">
        <f t="shared" si="528"/>
        <v>41950</v>
      </c>
      <c r="M789" s="130">
        <f t="shared" si="541"/>
        <v>42950</v>
      </c>
      <c r="N789" s="130">
        <f t="shared" si="542"/>
        <v>35950</v>
      </c>
      <c r="O789" s="132">
        <f t="shared" si="529"/>
        <v>1.0238379022646007</v>
      </c>
      <c r="P789" s="132">
        <f t="shared" si="536"/>
        <v>1.1499999999999999</v>
      </c>
      <c r="Q789" s="130">
        <f t="shared" si="543"/>
        <v>51873.655913978495</v>
      </c>
      <c r="R789" s="148">
        <f t="shared" si="530"/>
        <v>51890</v>
      </c>
      <c r="S789" s="127">
        <f>VLOOKUP($B789,'Выгр Торг'!$B:$Q,S$1,0)</f>
        <v>41950</v>
      </c>
      <c r="T789" s="127">
        <f>VLOOKUP($B789,'Выгр Торг'!$B:$Q,T$1,0)</f>
        <v>51890</v>
      </c>
      <c r="U789" s="94">
        <f t="shared" si="539"/>
        <v>0</v>
      </c>
      <c r="V789" s="94">
        <f t="shared" si="540"/>
        <v>0</v>
      </c>
      <c r="W789" s="153">
        <f t="shared" si="531"/>
        <v>48257.7</v>
      </c>
      <c r="X789" s="209">
        <f>IFERROR(VLOOKUP($B789,'Из ГУГЛа'!$B:$G,6,0)*Z789+Y789,VLOOKUP($B789,'Из ГУГЛа'!$B:$G,6,0))</f>
        <v>53090</v>
      </c>
      <c r="Y789" s="220">
        <f t="shared" si="544"/>
        <v>10800</v>
      </c>
      <c r="Z789" s="133">
        <v>1</v>
      </c>
      <c r="AA789" s="133">
        <v>1300</v>
      </c>
      <c r="AB789" s="135">
        <f t="shared" si="532"/>
        <v>0.15036233611442196</v>
      </c>
      <c r="AC789" s="135">
        <f t="shared" si="533"/>
        <v>9.1020907892258487E-2</v>
      </c>
      <c r="AD789" s="135">
        <f t="shared" si="534"/>
        <v>0.26555423122765198</v>
      </c>
      <c r="AE789" s="223">
        <v>53090</v>
      </c>
      <c r="AF789" s="36" t="s">
        <v>624</v>
      </c>
      <c r="AH789" s="98" t="s">
        <v>108</v>
      </c>
    </row>
    <row r="790" spans="1:34" ht="46.5" thickTop="1" thickBot="1">
      <c r="A790" s="125" t="str">
        <f>INDEX('Выгр Торг'!$A:$A,MATCH($B790,'Выгр Торг'!$B:$B,0))</f>
        <v>Руль анатомический "Ferrum" Vesta Exclusive для Лада Веста, XRAY</v>
      </c>
      <c r="B790" s="126">
        <v>341962</v>
      </c>
      <c r="C790" s="127">
        <f>VLOOKUP($B790,'Выгр Торг'!$B:$Q,C$1,0)</f>
        <v>341962</v>
      </c>
      <c r="D790" s="142" t="s">
        <v>108</v>
      </c>
      <c r="E790" s="125" t="str">
        <f>VLOOKUP($B790,'Выгр Торг'!$B:$Q,E$1,0)</f>
        <v>Руль анатомический "Ferrum" Vesta Exclusive для Лада Веста, XRAY (Сине-зелёная нить, Чёрный глянец)</v>
      </c>
      <c r="F790" s="127" t="str">
        <f>VLOOKUP($B790,'Выгр Торг'!$B:$Q,F$1,0)</f>
        <v>Y</v>
      </c>
      <c r="G790" s="127" t="str">
        <f>VLOOKUP($B790,'Выгр Торг'!$B:$Q,G$1,0)</f>
        <v>1</v>
      </c>
      <c r="H790" s="127">
        <v>341956</v>
      </c>
      <c r="I790" s="156"/>
      <c r="J790" s="160"/>
      <c r="K790" s="161">
        <v>870</v>
      </c>
      <c r="L790" s="130">
        <f t="shared" si="528"/>
        <v>41120</v>
      </c>
      <c r="M790" s="130">
        <f t="shared" si="541"/>
        <v>42120</v>
      </c>
      <c r="N790" s="130">
        <f t="shared" si="542"/>
        <v>35120</v>
      </c>
      <c r="O790" s="132">
        <f t="shared" si="529"/>
        <v>1.0243190661478598</v>
      </c>
      <c r="P790" s="132">
        <f t="shared" si="536"/>
        <v>1.1499999999999999</v>
      </c>
      <c r="Q790" s="130">
        <f t="shared" si="543"/>
        <v>50847.31182795699</v>
      </c>
      <c r="R790" s="148">
        <f t="shared" si="530"/>
        <v>50890</v>
      </c>
      <c r="S790" s="127">
        <f>VLOOKUP($B790,'Выгр Торг'!$B:$Q,S$1,0)</f>
        <v>41120</v>
      </c>
      <c r="T790" s="127">
        <f>VLOOKUP($B790,'Выгр Торг'!$B:$Q,T$1,0)</f>
        <v>50890</v>
      </c>
      <c r="U790" s="94">
        <f t="shared" si="539"/>
        <v>0</v>
      </c>
      <c r="V790" s="94">
        <f t="shared" si="540"/>
        <v>0</v>
      </c>
      <c r="W790" s="153">
        <f t="shared" si="531"/>
        <v>47327.7</v>
      </c>
      <c r="X790" s="209">
        <f>IFERROR(VLOOKUP($B790,'Из ГУГЛа'!$B:$G,6,0)*Z790+Y790,VLOOKUP($B790,'Из ГУГЛа'!$B:$G,6,0))</f>
        <v>52260</v>
      </c>
      <c r="Y790" s="220">
        <f t="shared" si="544"/>
        <v>9970</v>
      </c>
      <c r="Z790" s="133">
        <v>1</v>
      </c>
      <c r="AA790" s="134"/>
      <c r="AB790" s="135">
        <f t="shared" si="532"/>
        <v>0.15096546692607005</v>
      </c>
      <c r="AC790" s="135">
        <f t="shared" si="533"/>
        <v>9.4380022962112564E-2</v>
      </c>
      <c r="AD790" s="135">
        <f t="shared" si="534"/>
        <v>0.27091439688715946</v>
      </c>
      <c r="AE790" s="223">
        <v>52260</v>
      </c>
      <c r="AF790" s="36" t="s">
        <v>624</v>
      </c>
      <c r="AH790" s="98" t="s">
        <v>108</v>
      </c>
    </row>
    <row r="791" spans="1:34" ht="46.5" thickTop="1" thickBot="1">
      <c r="A791" s="125" t="str">
        <f>INDEX('Выгр Торг'!$A:$A,MATCH($B791,'Выгр Торг'!$B:$B,0))</f>
        <v>Руль анатомический "Ferrum" Vesta Exclusive для Лада Веста, XRAY</v>
      </c>
      <c r="B791" s="126">
        <v>341975</v>
      </c>
      <c r="C791" s="127">
        <f>VLOOKUP($B791,'Выгр Торг'!$B:$Q,C$1,0)</f>
        <v>341975</v>
      </c>
      <c r="D791" s="142" t="s">
        <v>108</v>
      </c>
      <c r="E791" s="125" t="str">
        <f>VLOOKUP($B791,'Выгр Торг'!$B:$Q,E$1,0)</f>
        <v>Руль анатомический "Ferrum" Vesta Exclusive для Лада Веста, XRAY (Сине-зелёная нить, Чёрный мат)</v>
      </c>
      <c r="F791" s="127" t="str">
        <f>VLOOKUP($B791,'Выгр Торг'!$B:$Q,F$1,0)</f>
        <v>Y</v>
      </c>
      <c r="G791" s="127" t="str">
        <f>VLOOKUP($B791,'Выгр Торг'!$B:$Q,G$1,0)</f>
        <v>1</v>
      </c>
      <c r="H791" s="127">
        <v>341956</v>
      </c>
      <c r="I791" s="156"/>
      <c r="J791" s="160">
        <v>830</v>
      </c>
      <c r="K791" s="161">
        <v>870</v>
      </c>
      <c r="L791" s="130">
        <f t="shared" si="528"/>
        <v>41950</v>
      </c>
      <c r="M791" s="130">
        <f t="shared" si="541"/>
        <v>42950</v>
      </c>
      <c r="N791" s="130">
        <f t="shared" si="542"/>
        <v>35950</v>
      </c>
      <c r="O791" s="132">
        <f t="shared" si="529"/>
        <v>1.0238379022646007</v>
      </c>
      <c r="P791" s="132">
        <f t="shared" si="536"/>
        <v>1.1499999999999999</v>
      </c>
      <c r="Q791" s="130">
        <f t="shared" si="543"/>
        <v>51873.655913978495</v>
      </c>
      <c r="R791" s="148">
        <f t="shared" si="530"/>
        <v>51890</v>
      </c>
      <c r="S791" s="127">
        <f>VLOOKUP($B791,'Выгр Торг'!$B:$Q,S$1,0)</f>
        <v>41950</v>
      </c>
      <c r="T791" s="127">
        <f>VLOOKUP($B791,'Выгр Торг'!$B:$Q,T$1,0)</f>
        <v>51890</v>
      </c>
      <c r="U791" s="94">
        <f t="shared" si="539"/>
        <v>0</v>
      </c>
      <c r="V791" s="94">
        <f t="shared" si="540"/>
        <v>0</v>
      </c>
      <c r="W791" s="153">
        <f t="shared" si="531"/>
        <v>48257.7</v>
      </c>
      <c r="X791" s="209">
        <f>IFERROR(VLOOKUP($B791,'Из ГУГЛа'!$B:$G,6,0)*Z791+Y791,VLOOKUP($B791,'Из ГУГЛа'!$B:$G,6,0))</f>
        <v>53090</v>
      </c>
      <c r="Y791" s="220">
        <f t="shared" si="544"/>
        <v>10800</v>
      </c>
      <c r="Z791" s="133">
        <v>1</v>
      </c>
      <c r="AA791" s="133">
        <v>1300</v>
      </c>
      <c r="AB791" s="135">
        <f t="shared" si="532"/>
        <v>0.15036233611442196</v>
      </c>
      <c r="AC791" s="135">
        <f t="shared" si="533"/>
        <v>9.1020907892258487E-2</v>
      </c>
      <c r="AD791" s="135">
        <f t="shared" si="534"/>
        <v>0.26555423122765198</v>
      </c>
      <c r="AE791" s="223">
        <v>53090</v>
      </c>
      <c r="AF791" s="36" t="s">
        <v>624</v>
      </c>
      <c r="AH791" s="98" t="s">
        <v>108</v>
      </c>
    </row>
    <row r="792" spans="1:34" ht="46.5" thickTop="1" thickBot="1">
      <c r="A792" s="125" t="str">
        <f>INDEX('Выгр Торг'!$A:$A,MATCH($B792,'Выгр Торг'!$B:$B,0))</f>
        <v>Руль анатомический "Ferrum" Vesta Exclusive для Лада Веста, XRAY</v>
      </c>
      <c r="B792" s="126">
        <v>341963</v>
      </c>
      <c r="C792" s="127">
        <f>VLOOKUP($B792,'Выгр Торг'!$B:$Q,C$1,0)</f>
        <v>341963</v>
      </c>
      <c r="D792" s="142" t="s">
        <v>108</v>
      </c>
      <c r="E792" s="125" t="str">
        <f>VLOOKUP($B792,'Выгр Торг'!$B:$Q,E$1,0)</f>
        <v>Руль анатомический "Ferrum" Vesta Exclusive для Лада Веста, XRAY (Синяя нить, Чёрный глянец)</v>
      </c>
      <c r="F792" s="127" t="str">
        <f>VLOOKUP($B792,'Выгр Торг'!$B:$Q,F$1,0)</f>
        <v>Y</v>
      </c>
      <c r="G792" s="127" t="str">
        <f>VLOOKUP($B792,'Выгр Торг'!$B:$Q,G$1,0)</f>
        <v>1</v>
      </c>
      <c r="H792" s="127">
        <v>341956</v>
      </c>
      <c r="I792" s="156"/>
      <c r="J792" s="160"/>
      <c r="K792" s="161">
        <v>870</v>
      </c>
      <c r="L792" s="130">
        <f t="shared" si="528"/>
        <v>41120</v>
      </c>
      <c r="M792" s="130">
        <f t="shared" si="541"/>
        <v>42120</v>
      </c>
      <c r="N792" s="130">
        <f t="shared" si="542"/>
        <v>35120</v>
      </c>
      <c r="O792" s="132">
        <f t="shared" si="529"/>
        <v>1.0243190661478598</v>
      </c>
      <c r="P792" s="132">
        <f t="shared" si="536"/>
        <v>1.1499999999999999</v>
      </c>
      <c r="Q792" s="130">
        <f t="shared" si="543"/>
        <v>50847.31182795699</v>
      </c>
      <c r="R792" s="148">
        <f t="shared" si="530"/>
        <v>50890</v>
      </c>
      <c r="S792" s="127">
        <f>VLOOKUP($B792,'Выгр Торг'!$B:$Q,S$1,0)</f>
        <v>41120</v>
      </c>
      <c r="T792" s="127">
        <f>VLOOKUP($B792,'Выгр Торг'!$B:$Q,T$1,0)</f>
        <v>50890</v>
      </c>
      <c r="U792" s="94">
        <f t="shared" si="539"/>
        <v>0</v>
      </c>
      <c r="V792" s="94">
        <f t="shared" si="540"/>
        <v>0</v>
      </c>
      <c r="W792" s="153">
        <f t="shared" si="531"/>
        <v>47327.7</v>
      </c>
      <c r="X792" s="209">
        <f>IFERROR(VLOOKUP($B792,'Из ГУГЛа'!$B:$G,6,0)*Z792+Y792,VLOOKUP($B792,'Из ГУГЛа'!$B:$G,6,0))</f>
        <v>52260</v>
      </c>
      <c r="Y792" s="220">
        <f t="shared" si="544"/>
        <v>9970</v>
      </c>
      <c r="Z792" s="133">
        <v>1</v>
      </c>
      <c r="AA792" s="134"/>
      <c r="AB792" s="135">
        <f t="shared" si="532"/>
        <v>0.15096546692607005</v>
      </c>
      <c r="AC792" s="135">
        <f t="shared" si="533"/>
        <v>9.4380022962112564E-2</v>
      </c>
      <c r="AD792" s="135">
        <f t="shared" si="534"/>
        <v>0.27091439688715946</v>
      </c>
      <c r="AE792" s="223">
        <v>52260</v>
      </c>
      <c r="AF792" s="36" t="s">
        <v>624</v>
      </c>
      <c r="AH792" s="98" t="s">
        <v>108</v>
      </c>
    </row>
    <row r="793" spans="1:34" ht="46.5" thickTop="1" thickBot="1">
      <c r="A793" s="125" t="str">
        <f>INDEX('Выгр Торг'!$A:$A,MATCH($B793,'Выгр Торг'!$B:$B,0))</f>
        <v>Руль анатомический "Ferrum" Vesta Exclusive для Лада Веста, XRAY</v>
      </c>
      <c r="B793" s="126">
        <v>341976</v>
      </c>
      <c r="C793" s="127">
        <f>VLOOKUP($B793,'Выгр Торг'!$B:$Q,C$1,0)</f>
        <v>341976</v>
      </c>
      <c r="D793" s="142" t="s">
        <v>108</v>
      </c>
      <c r="E793" s="125" t="str">
        <f>VLOOKUP($B793,'Выгр Торг'!$B:$Q,E$1,0)</f>
        <v>Руль анатомический "Ferrum" Vesta Exclusive для Лада Веста, XRAY (Синяя нить, Чёрный мат)</v>
      </c>
      <c r="F793" s="127" t="str">
        <f>VLOOKUP($B793,'Выгр Торг'!$B:$Q,F$1,0)</f>
        <v>Y</v>
      </c>
      <c r="G793" s="127" t="str">
        <f>VLOOKUP($B793,'Выгр Торг'!$B:$Q,G$1,0)</f>
        <v>1</v>
      </c>
      <c r="H793" s="127">
        <v>341956</v>
      </c>
      <c r="I793" s="156"/>
      <c r="J793" s="160">
        <v>830</v>
      </c>
      <c r="K793" s="161">
        <v>870</v>
      </c>
      <c r="L793" s="130">
        <f t="shared" si="528"/>
        <v>41950</v>
      </c>
      <c r="M793" s="130">
        <f t="shared" si="541"/>
        <v>42950</v>
      </c>
      <c r="N793" s="130">
        <f t="shared" si="542"/>
        <v>35950</v>
      </c>
      <c r="O793" s="132">
        <f t="shared" si="529"/>
        <v>1.0238379022646007</v>
      </c>
      <c r="P793" s="132">
        <f t="shared" si="536"/>
        <v>1.1499999999999999</v>
      </c>
      <c r="Q793" s="130">
        <f t="shared" si="543"/>
        <v>51873.655913978495</v>
      </c>
      <c r="R793" s="148">
        <f t="shared" si="530"/>
        <v>51890</v>
      </c>
      <c r="S793" s="127">
        <f>VLOOKUP($B793,'Выгр Торг'!$B:$Q,S$1,0)</f>
        <v>41950</v>
      </c>
      <c r="T793" s="127">
        <f>VLOOKUP($B793,'Выгр Торг'!$B:$Q,T$1,0)</f>
        <v>51890</v>
      </c>
      <c r="U793" s="94">
        <f t="shared" si="539"/>
        <v>0</v>
      </c>
      <c r="V793" s="94">
        <f t="shared" si="540"/>
        <v>0</v>
      </c>
      <c r="W793" s="153">
        <f t="shared" si="531"/>
        <v>48257.7</v>
      </c>
      <c r="X793" s="209">
        <f>IFERROR(VLOOKUP($B793,'Из ГУГЛа'!$B:$G,6,0)*Z793+Y793,VLOOKUP($B793,'Из ГУГЛа'!$B:$G,6,0))</f>
        <v>53090</v>
      </c>
      <c r="Y793" s="220">
        <f t="shared" si="544"/>
        <v>10800</v>
      </c>
      <c r="Z793" s="133">
        <v>1</v>
      </c>
      <c r="AA793" s="133">
        <v>1300</v>
      </c>
      <c r="AB793" s="135">
        <f t="shared" si="532"/>
        <v>0.15036233611442196</v>
      </c>
      <c r="AC793" s="135">
        <f t="shared" si="533"/>
        <v>9.1020907892258487E-2</v>
      </c>
      <c r="AD793" s="135">
        <f t="shared" si="534"/>
        <v>0.26555423122765198</v>
      </c>
      <c r="AE793" s="223">
        <v>53090</v>
      </c>
      <c r="AF793" s="36" t="s">
        <v>624</v>
      </c>
      <c r="AH793" s="98" t="s">
        <v>108</v>
      </c>
    </row>
    <row r="794" spans="1:34" ht="46.5" thickTop="1" thickBot="1">
      <c r="A794" s="125" t="str">
        <f>INDEX('Выгр Торг'!$A:$A,MATCH($B794,'Выгр Торг'!$B:$B,0))</f>
        <v>Руль анатомический "Ferrum" Vesta Exclusive для Лада Веста, XRAY</v>
      </c>
      <c r="B794" s="126">
        <v>341965</v>
      </c>
      <c r="C794" s="127">
        <f>VLOOKUP($B794,'Выгр Торг'!$B:$Q,C$1,0)</f>
        <v>341965</v>
      </c>
      <c r="D794" s="142" t="s">
        <v>108</v>
      </c>
      <c r="E794" s="125" t="str">
        <f>VLOOKUP($B794,'Выгр Торг'!$B:$Q,E$1,0)</f>
        <v>Руль анатомический "Ferrum" Vesta Exclusive для Лада Веста, XRAY (Тёмно-серая нить, Чёрный глянец)</v>
      </c>
      <c r="F794" s="127" t="str">
        <f>VLOOKUP($B794,'Выгр Торг'!$B:$Q,F$1,0)</f>
        <v>Y</v>
      </c>
      <c r="G794" s="127" t="str">
        <f>VLOOKUP($B794,'Выгр Торг'!$B:$Q,G$1,0)</f>
        <v>1</v>
      </c>
      <c r="H794" s="127">
        <v>341956</v>
      </c>
      <c r="I794" s="156"/>
      <c r="J794" s="160"/>
      <c r="K794" s="161">
        <v>870</v>
      </c>
      <c r="L794" s="130">
        <f t="shared" si="528"/>
        <v>41120</v>
      </c>
      <c r="M794" s="130">
        <f t="shared" si="541"/>
        <v>42120</v>
      </c>
      <c r="N794" s="130">
        <f t="shared" si="542"/>
        <v>35120</v>
      </c>
      <c r="O794" s="132">
        <f t="shared" si="529"/>
        <v>1.0243190661478598</v>
      </c>
      <c r="P794" s="132">
        <f t="shared" si="536"/>
        <v>1.1499999999999999</v>
      </c>
      <c r="Q794" s="130">
        <f t="shared" si="543"/>
        <v>50847.31182795699</v>
      </c>
      <c r="R794" s="148">
        <f t="shared" si="530"/>
        <v>50890</v>
      </c>
      <c r="S794" s="127">
        <f>VLOOKUP($B794,'Выгр Торг'!$B:$Q,S$1,0)</f>
        <v>41120</v>
      </c>
      <c r="T794" s="127">
        <f>VLOOKUP($B794,'Выгр Торг'!$B:$Q,T$1,0)</f>
        <v>50890</v>
      </c>
      <c r="U794" s="94">
        <f t="shared" si="539"/>
        <v>0</v>
      </c>
      <c r="V794" s="94">
        <f t="shared" si="540"/>
        <v>0</v>
      </c>
      <c r="W794" s="153">
        <f t="shared" si="531"/>
        <v>47327.7</v>
      </c>
      <c r="X794" s="209">
        <f>IFERROR(VLOOKUP($B794,'Из ГУГЛа'!$B:$G,6,0)*Z794+Y794,VLOOKUP($B794,'Из ГУГЛа'!$B:$G,6,0))</f>
        <v>52260</v>
      </c>
      <c r="Y794" s="220">
        <f t="shared" si="544"/>
        <v>9970</v>
      </c>
      <c r="Z794" s="133">
        <v>1</v>
      </c>
      <c r="AA794" s="134"/>
      <c r="AB794" s="135">
        <f t="shared" si="532"/>
        <v>0.15096546692607005</v>
      </c>
      <c r="AC794" s="135">
        <f t="shared" si="533"/>
        <v>9.4380022962112564E-2</v>
      </c>
      <c r="AD794" s="135">
        <f t="shared" si="534"/>
        <v>0.27091439688715946</v>
      </c>
      <c r="AE794" s="223">
        <v>52260</v>
      </c>
      <c r="AF794" s="36" t="s">
        <v>624</v>
      </c>
      <c r="AH794" s="98" t="s">
        <v>108</v>
      </c>
    </row>
    <row r="795" spans="1:34" ht="46.5" thickTop="1" thickBot="1">
      <c r="A795" s="125" t="str">
        <f>INDEX('Выгр Торг'!$A:$A,MATCH($B795,'Выгр Торг'!$B:$B,0))</f>
        <v>Руль анатомический "Ferrum" Vesta Exclusive для Лада Веста, XRAY</v>
      </c>
      <c r="B795" s="126">
        <v>341978</v>
      </c>
      <c r="C795" s="127">
        <f>VLOOKUP($B795,'Выгр Торг'!$B:$Q,C$1,0)</f>
        <v>341978</v>
      </c>
      <c r="D795" s="142" t="s">
        <v>108</v>
      </c>
      <c r="E795" s="125" t="str">
        <f>VLOOKUP($B795,'Выгр Торг'!$B:$Q,E$1,0)</f>
        <v>Руль анатомический "Ferrum" Vesta Exclusive для Лада Веста, XRAY (Тёмно-серая нить, Чёрный мат)</v>
      </c>
      <c r="F795" s="127" t="str">
        <f>VLOOKUP($B795,'Выгр Торг'!$B:$Q,F$1,0)</f>
        <v>Y</v>
      </c>
      <c r="G795" s="127" t="str">
        <f>VLOOKUP($B795,'Выгр Торг'!$B:$Q,G$1,0)</f>
        <v>1</v>
      </c>
      <c r="H795" s="127">
        <v>341956</v>
      </c>
      <c r="I795" s="156"/>
      <c r="J795" s="160">
        <v>830</v>
      </c>
      <c r="K795" s="161">
        <v>870</v>
      </c>
      <c r="L795" s="130">
        <f t="shared" si="528"/>
        <v>41950</v>
      </c>
      <c r="M795" s="130">
        <f t="shared" si="541"/>
        <v>42950</v>
      </c>
      <c r="N795" s="130">
        <f t="shared" si="542"/>
        <v>35950</v>
      </c>
      <c r="O795" s="132">
        <f t="shared" si="529"/>
        <v>1.0238379022646007</v>
      </c>
      <c r="P795" s="132">
        <f t="shared" si="536"/>
        <v>1.1499999999999999</v>
      </c>
      <c r="Q795" s="130">
        <f t="shared" si="543"/>
        <v>51873.655913978495</v>
      </c>
      <c r="R795" s="148">
        <f t="shared" si="530"/>
        <v>51890</v>
      </c>
      <c r="S795" s="127">
        <f>VLOOKUP($B795,'Выгр Торг'!$B:$Q,S$1,0)</f>
        <v>41950</v>
      </c>
      <c r="T795" s="127">
        <f>VLOOKUP($B795,'Выгр Торг'!$B:$Q,T$1,0)</f>
        <v>51890</v>
      </c>
      <c r="U795" s="94">
        <f t="shared" si="539"/>
        <v>0</v>
      </c>
      <c r="V795" s="94">
        <f t="shared" si="540"/>
        <v>0</v>
      </c>
      <c r="W795" s="153">
        <f t="shared" si="531"/>
        <v>48257.7</v>
      </c>
      <c r="X795" s="209">
        <f>IFERROR(VLOOKUP($B795,'Из ГУГЛа'!$B:$G,6,0)*Z795+Y795,VLOOKUP($B795,'Из ГУГЛа'!$B:$G,6,0))</f>
        <v>53090</v>
      </c>
      <c r="Y795" s="220">
        <f t="shared" si="544"/>
        <v>10800</v>
      </c>
      <c r="Z795" s="133">
        <v>1</v>
      </c>
      <c r="AA795" s="133">
        <v>1300</v>
      </c>
      <c r="AB795" s="135">
        <f t="shared" si="532"/>
        <v>0.15036233611442196</v>
      </c>
      <c r="AC795" s="135">
        <f t="shared" si="533"/>
        <v>9.1020907892258487E-2</v>
      </c>
      <c r="AD795" s="135">
        <f t="shared" si="534"/>
        <v>0.26555423122765198</v>
      </c>
      <c r="AE795" s="223">
        <v>53090</v>
      </c>
      <c r="AF795" s="36" t="s">
        <v>624</v>
      </c>
      <c r="AH795" s="98" t="s">
        <v>108</v>
      </c>
    </row>
    <row r="796" spans="1:34" ht="46.5" thickTop="1" thickBot="1">
      <c r="A796" s="125" t="str">
        <f>INDEX('Выгр Торг'!$A:$A,MATCH($B796,'Выгр Торг'!$B:$B,0))</f>
        <v>Руль анатомический "Ferrum" Vesta Exclusive для Лада Веста, XRAY</v>
      </c>
      <c r="B796" s="126">
        <v>341957</v>
      </c>
      <c r="C796" s="127">
        <f>VLOOKUP($B796,'Выгр Торг'!$B:$Q,C$1,0)</f>
        <v>341957</v>
      </c>
      <c r="D796" s="142" t="s">
        <v>108</v>
      </c>
      <c r="E796" s="125" t="str">
        <f>VLOOKUP($B796,'Выгр Торг'!$B:$Q,E$1,0)</f>
        <v>Руль анатомический "Ferrum" Vesta Exclusive для Лада Веста, XRAY (Фиолетовая нить, Чёрный глянец)</v>
      </c>
      <c r="F796" s="127" t="str">
        <f>VLOOKUP($B796,'Выгр Торг'!$B:$Q,F$1,0)</f>
        <v>Y</v>
      </c>
      <c r="G796" s="127" t="str">
        <f>VLOOKUP($B796,'Выгр Торг'!$B:$Q,G$1,0)</f>
        <v>1</v>
      </c>
      <c r="H796" s="127">
        <v>341956</v>
      </c>
      <c r="I796" s="156"/>
      <c r="J796" s="160"/>
      <c r="K796" s="161">
        <v>870</v>
      </c>
      <c r="L796" s="130">
        <f t="shared" si="528"/>
        <v>41120</v>
      </c>
      <c r="M796" s="130">
        <f t="shared" si="541"/>
        <v>42120</v>
      </c>
      <c r="N796" s="130">
        <f t="shared" si="542"/>
        <v>35120</v>
      </c>
      <c r="O796" s="132">
        <f t="shared" si="529"/>
        <v>1.0243190661478598</v>
      </c>
      <c r="P796" s="132">
        <f t="shared" si="536"/>
        <v>1.1499999999999999</v>
      </c>
      <c r="Q796" s="130">
        <f t="shared" si="543"/>
        <v>50847.31182795699</v>
      </c>
      <c r="R796" s="148">
        <f t="shared" si="530"/>
        <v>50890</v>
      </c>
      <c r="S796" s="127">
        <f>VLOOKUP($B796,'Выгр Торг'!$B:$Q,S$1,0)</f>
        <v>41120</v>
      </c>
      <c r="T796" s="127">
        <f>VLOOKUP($B796,'Выгр Торг'!$B:$Q,T$1,0)</f>
        <v>50890</v>
      </c>
      <c r="U796" s="94">
        <f t="shared" si="539"/>
        <v>0</v>
      </c>
      <c r="V796" s="94">
        <f t="shared" si="540"/>
        <v>0</v>
      </c>
      <c r="W796" s="153">
        <f t="shared" si="531"/>
        <v>47327.7</v>
      </c>
      <c r="X796" s="209">
        <f>IFERROR(VLOOKUP($B796,'Из ГУГЛа'!$B:$G,6,0)*Z796+Y796,VLOOKUP($B796,'Из ГУГЛа'!$B:$G,6,0))</f>
        <v>52260</v>
      </c>
      <c r="Y796" s="220">
        <f t="shared" si="544"/>
        <v>9970</v>
      </c>
      <c r="Z796" s="133">
        <v>1</v>
      </c>
      <c r="AA796" s="134"/>
      <c r="AB796" s="135">
        <f t="shared" si="532"/>
        <v>0.15096546692607005</v>
      </c>
      <c r="AC796" s="135">
        <f t="shared" si="533"/>
        <v>9.4380022962112564E-2</v>
      </c>
      <c r="AD796" s="135">
        <f t="shared" si="534"/>
        <v>0.27091439688715946</v>
      </c>
      <c r="AE796" s="223">
        <v>52260</v>
      </c>
      <c r="AF796" s="36" t="s">
        <v>624</v>
      </c>
      <c r="AH796" s="98" t="s">
        <v>108</v>
      </c>
    </row>
    <row r="797" spans="1:34" ht="46.5" thickTop="1" thickBot="1">
      <c r="A797" s="125" t="str">
        <f>INDEX('Выгр Торг'!$A:$A,MATCH($B797,'Выгр Торг'!$B:$B,0))</f>
        <v>Руль анатомический "Ferrum" Vesta Exclusive для Лада Веста, XRAY</v>
      </c>
      <c r="B797" s="126">
        <v>341970</v>
      </c>
      <c r="C797" s="127">
        <f>VLOOKUP($B797,'Выгр Торг'!$B:$Q,C$1,0)</f>
        <v>341970</v>
      </c>
      <c r="D797" s="142" t="s">
        <v>108</v>
      </c>
      <c r="E797" s="125" t="str">
        <f>VLOOKUP($B797,'Выгр Торг'!$B:$Q,E$1,0)</f>
        <v>Руль анатомический "Ferrum" Vesta Exclusive для Лада Веста, XRAY (Фиолетовая нить, Чёрный мат)</v>
      </c>
      <c r="F797" s="127" t="str">
        <f>VLOOKUP($B797,'Выгр Торг'!$B:$Q,F$1,0)</f>
        <v>Y</v>
      </c>
      <c r="G797" s="127" t="str">
        <f>VLOOKUP($B797,'Выгр Торг'!$B:$Q,G$1,0)</f>
        <v>1</v>
      </c>
      <c r="H797" s="127">
        <v>341956</v>
      </c>
      <c r="I797" s="156"/>
      <c r="J797" s="160">
        <v>830</v>
      </c>
      <c r="K797" s="161">
        <v>870</v>
      </c>
      <c r="L797" s="130">
        <f t="shared" si="528"/>
        <v>41950</v>
      </c>
      <c r="M797" s="130">
        <f t="shared" si="541"/>
        <v>42950</v>
      </c>
      <c r="N797" s="130">
        <f t="shared" si="542"/>
        <v>35950</v>
      </c>
      <c r="O797" s="132">
        <f t="shared" si="529"/>
        <v>1.0238379022646007</v>
      </c>
      <c r="P797" s="132">
        <f t="shared" si="536"/>
        <v>1.1499999999999999</v>
      </c>
      <c r="Q797" s="130">
        <f t="shared" si="543"/>
        <v>51873.655913978495</v>
      </c>
      <c r="R797" s="148">
        <f t="shared" si="530"/>
        <v>51890</v>
      </c>
      <c r="S797" s="127">
        <f>VLOOKUP($B797,'Выгр Торг'!$B:$Q,S$1,0)</f>
        <v>41950</v>
      </c>
      <c r="T797" s="127">
        <f>VLOOKUP($B797,'Выгр Торг'!$B:$Q,T$1,0)</f>
        <v>51890</v>
      </c>
      <c r="U797" s="94">
        <f t="shared" si="539"/>
        <v>0</v>
      </c>
      <c r="V797" s="94">
        <f t="shared" si="540"/>
        <v>0</v>
      </c>
      <c r="W797" s="153">
        <f t="shared" si="531"/>
        <v>48257.7</v>
      </c>
      <c r="X797" s="209">
        <f>IFERROR(VLOOKUP($B797,'Из ГУГЛа'!$B:$G,6,0)*Z797+Y797,VLOOKUP($B797,'Из ГУГЛа'!$B:$G,6,0))</f>
        <v>53090</v>
      </c>
      <c r="Y797" s="220">
        <f t="shared" si="544"/>
        <v>10800</v>
      </c>
      <c r="Z797" s="133">
        <v>1</v>
      </c>
      <c r="AA797" s="133">
        <v>1300</v>
      </c>
      <c r="AB797" s="135">
        <f t="shared" si="532"/>
        <v>0.15036233611442196</v>
      </c>
      <c r="AC797" s="135">
        <f t="shared" si="533"/>
        <v>9.1020907892258487E-2</v>
      </c>
      <c r="AD797" s="135">
        <f t="shared" si="534"/>
        <v>0.26555423122765198</v>
      </c>
      <c r="AE797" s="223">
        <v>53090</v>
      </c>
      <c r="AF797" s="36" t="s">
        <v>624</v>
      </c>
      <c r="AH797" s="98" t="s">
        <v>108</v>
      </c>
    </row>
    <row r="798" spans="1:34" ht="46.5" thickTop="1" thickBot="1">
      <c r="A798" s="125" t="str">
        <f>INDEX('Выгр Торг'!$A:$A,MATCH($B798,'Выгр Торг'!$B:$B,0))</f>
        <v>Руль анатомический "Ferrum" Vesta Grand Premium для Лада Веста, XRAY</v>
      </c>
      <c r="B798" s="126">
        <v>341990</v>
      </c>
      <c r="C798" s="127">
        <f>VLOOKUP($B798,'Выгр Торг'!$B:$Q,C$1,0)</f>
        <v>341990</v>
      </c>
      <c r="D798" s="142" t="s">
        <v>109</v>
      </c>
      <c r="E798" s="125" t="str">
        <f>VLOOKUP($B798,'Выгр Торг'!$B:$Q,E$1,0)</f>
        <v>Руль анатомический "Ferrum" Vesta Grand Premium для Лада Веста, XRAY (Чёрная нить, Чёрный глянец)</v>
      </c>
      <c r="F798" s="127" t="str">
        <f>VLOOKUP($B798,'Выгр Торг'!$B:$Q,F$1,0)</f>
        <v>Y</v>
      </c>
      <c r="G798" s="127" t="str">
        <f>VLOOKUP($B798,'Выгр Торг'!$B:$Q,G$1,0)</f>
        <v>1</v>
      </c>
      <c r="H798" s="127">
        <v>341990</v>
      </c>
      <c r="I798" s="156"/>
      <c r="J798" s="160">
        <v>7000</v>
      </c>
      <c r="K798" s="161">
        <v>0</v>
      </c>
      <c r="L798" s="130">
        <f>M798-1000</f>
        <v>39600</v>
      </c>
      <c r="M798" s="131">
        <f>N798+J798</f>
        <v>40600</v>
      </c>
      <c r="N798" s="131">
        <v>33600</v>
      </c>
      <c r="O798" s="132">
        <f t="shared" ref="O798:O801" si="548">M798/L798</f>
        <v>1.0252525252525253</v>
      </c>
      <c r="P798" s="132">
        <f t="shared" si="536"/>
        <v>1.1499999999999999</v>
      </c>
      <c r="Q798" s="147">
        <f t="shared" ref="Q798" si="549">L798*P798*100/93</f>
        <v>48967.741935483871</v>
      </c>
      <c r="R798" s="148">
        <f t="shared" ref="R798:R801" si="550">IF(Q798&lt;=1000,(ROUNDUP(Q798,-2)-1),(ROUNDUP(Q798,-2)-10))</f>
        <v>48990</v>
      </c>
      <c r="S798" s="127">
        <f>VLOOKUP($B798,'Выгр Торг'!$B:$Q,S$1,0)</f>
        <v>39600</v>
      </c>
      <c r="T798" s="127">
        <f>VLOOKUP($B798,'Выгр Торг'!$B:$Q,T$1,0)</f>
        <v>48990</v>
      </c>
      <c r="U798" s="94">
        <f t="shared" si="539"/>
        <v>0</v>
      </c>
      <c r="V798" s="94">
        <f t="shared" si="540"/>
        <v>0</v>
      </c>
      <c r="W798" s="153">
        <f>R798*(1-$W$2)</f>
        <v>45560.7</v>
      </c>
      <c r="X798" s="209">
        <f>IFERROR(VLOOKUP($B798,'Из ГУГЛа'!$B:$G,6,0)*Z798+Y798,VLOOKUP($B798,'Из ГУГЛа'!$B:$G,6,0))</f>
        <v>50590</v>
      </c>
      <c r="Y798" s="106">
        <f>(J798+K798)*$Y$2</f>
        <v>9100</v>
      </c>
      <c r="Z798" s="133">
        <v>1</v>
      </c>
      <c r="AA798" s="134"/>
      <c r="AB798" s="135">
        <f>IFERROR(W798/L798-1,"")</f>
        <v>0.1505227272727272</v>
      </c>
      <c r="AC798" s="135">
        <f>IFERROR((AE798-W798)/AE798,"")</f>
        <v>9.941292745601904E-2</v>
      </c>
      <c r="AD798" s="135">
        <f>IFERROR(IF(AE798="","",AE798/L798-1),"")</f>
        <v>0.27752525252525251</v>
      </c>
      <c r="AE798" s="223">
        <v>50590</v>
      </c>
      <c r="AF798" s="36" t="s">
        <v>620</v>
      </c>
      <c r="AH798" s="98" t="s">
        <v>109</v>
      </c>
    </row>
    <row r="799" spans="1:34" ht="46.5" thickTop="1" thickBot="1">
      <c r="A799" s="125" t="str">
        <f>INDEX('Выгр Торг'!$A:$A,MATCH($B799,'Выгр Торг'!$B:$B,0))</f>
        <v>Руль анатомический "Ferrum" Vesta Grand Premium для Лада Веста, XRAY</v>
      </c>
      <c r="B799" s="126">
        <v>342003</v>
      </c>
      <c r="C799" s="127">
        <f>VLOOKUP($B799,'Выгр Торг'!$B:$Q,C$1,0)</f>
        <v>342003</v>
      </c>
      <c r="D799" s="142" t="s">
        <v>109</v>
      </c>
      <c r="E799" s="125" t="str">
        <f>VLOOKUP($B799,'Выгр Торг'!$B:$Q,E$1,0)</f>
        <v>Руль анатомический "Ferrum" Vesta Grand Premium для Лада Веста, XRAY (Чёрная нить, Чёрный мат)</v>
      </c>
      <c r="F799" s="127" t="str">
        <f>VLOOKUP($B799,'Выгр Торг'!$B:$Q,F$1,0)</f>
        <v>Y</v>
      </c>
      <c r="G799" s="127" t="str">
        <f>VLOOKUP($B799,'Выгр Торг'!$B:$Q,G$1,0)</f>
        <v>1</v>
      </c>
      <c r="H799" s="127">
        <v>341990</v>
      </c>
      <c r="I799" s="156"/>
      <c r="J799" s="160">
        <v>830</v>
      </c>
      <c r="K799" s="161">
        <v>0</v>
      </c>
      <c r="L799" s="130">
        <f t="shared" si="528"/>
        <v>40430</v>
      </c>
      <c r="M799" s="130">
        <f t="shared" ref="M799:M823" si="551">INDEX($M:$M,MATCH($H799,$C:$C,0))+$K799+$J799</f>
        <v>41430</v>
      </c>
      <c r="N799" s="130">
        <f t="shared" ref="N799:N823" si="552">INDEX($N:$N,MATCH($H799,$C:$C,0))+$K799+$J799</f>
        <v>34430</v>
      </c>
      <c r="O799" s="132">
        <f t="shared" ref="O799" si="553">M799/L799</f>
        <v>1.0247341083353945</v>
      </c>
      <c r="P799" s="132">
        <f t="shared" si="536"/>
        <v>1.1499999999999999</v>
      </c>
      <c r="Q799" s="130">
        <f t="shared" ref="Q799:Q823" si="554">INDEX($Q:$Q,MATCH($H799,$C:$C,0))+($K799+$J799)*INDEX($P:$P,MATCH($H799,$C:$C,0))*100/93</f>
        <v>49994.086021505376</v>
      </c>
      <c r="R799" s="148">
        <f t="shared" ref="R799" si="555">IF(Q799&lt;=1000,(ROUNDUP(Q799,-2)-1),(ROUNDUP(Q799,-2)-10))</f>
        <v>49990</v>
      </c>
      <c r="S799" s="127">
        <f>VLOOKUP($B799,'Выгр Торг'!$B:$Q,S$1,0)</f>
        <v>40430</v>
      </c>
      <c r="T799" s="127">
        <f>VLOOKUP($B799,'Выгр Торг'!$B:$Q,T$1,0)</f>
        <v>49990</v>
      </c>
      <c r="U799" s="94">
        <f t="shared" si="539"/>
        <v>0</v>
      </c>
      <c r="V799" s="94">
        <f t="shared" si="540"/>
        <v>0</v>
      </c>
      <c r="W799" s="153">
        <f>R799*(1-$W$2)</f>
        <v>46490.7</v>
      </c>
      <c r="X799" s="209">
        <f>IFERROR(VLOOKUP($B799,'Из ГУГЛа'!$B:$G,6,0)*Z799+Y799,VLOOKUP($B799,'Из ГУГЛа'!$B:$G,6,0))</f>
        <v>51420</v>
      </c>
      <c r="Y799" s="220">
        <f t="shared" ref="Y799:Y823" si="556">INDEX($Y:$Y,MATCH($H799,$C:$C,0))+J799+K799</f>
        <v>9930</v>
      </c>
      <c r="Z799" s="133">
        <v>1</v>
      </c>
      <c r="AA799" s="133">
        <v>1300</v>
      </c>
      <c r="AB799" s="135">
        <f>IFERROR(W799/L799-1,"")</f>
        <v>0.14990601038832541</v>
      </c>
      <c r="AC799" s="135">
        <f>IFERROR((AE799-W799)/AE799,"")</f>
        <v>9.5863477246207751E-2</v>
      </c>
      <c r="AD799" s="135">
        <f>IFERROR(IF(AE799="","",AE799/L799-1),"")</f>
        <v>0.27182785060598569</v>
      </c>
      <c r="AE799" s="223">
        <v>51420</v>
      </c>
      <c r="AF799" s="36" t="s">
        <v>620</v>
      </c>
      <c r="AH799" s="98" t="s">
        <v>109</v>
      </c>
    </row>
    <row r="800" spans="1:34" ht="46.5" thickTop="1" thickBot="1">
      <c r="A800" s="125" t="str">
        <f>INDEX('Выгр Торг'!$A:$A,MATCH($B800,'Выгр Торг'!$B:$B,0))</f>
        <v>Руль анатомический "Ferrum" Vesta Grand Premium для Лада Веста, XRAY</v>
      </c>
      <c r="B800" s="126">
        <v>341989</v>
      </c>
      <c r="C800" s="127">
        <f>VLOOKUP($B800,'Выгр Торг'!$B:$Q,C$1,0)</f>
        <v>341989</v>
      </c>
      <c r="D800" s="142" t="s">
        <v>109</v>
      </c>
      <c r="E800" s="125" t="str">
        <f>VLOOKUP($B800,'Выгр Торг'!$B:$Q,E$1,0)</f>
        <v>Руль анатомический "Ferrum" Vesta Grand Premium для Лада Веста, XRAY (Белая нить, Чёрный глянец)</v>
      </c>
      <c r="F800" s="127" t="str">
        <f>VLOOKUP($B800,'Выгр Торг'!$B:$Q,F$1,0)</f>
        <v>Y</v>
      </c>
      <c r="G800" s="127" t="str">
        <f>VLOOKUP($B800,'Выгр Торг'!$B:$Q,G$1,0)</f>
        <v>1</v>
      </c>
      <c r="H800" s="127">
        <v>341990</v>
      </c>
      <c r="I800" s="156"/>
      <c r="J800" s="160"/>
      <c r="K800" s="161">
        <v>870</v>
      </c>
      <c r="L800" s="130">
        <f t="shared" si="528"/>
        <v>40470</v>
      </c>
      <c r="M800" s="130">
        <f t="shared" si="551"/>
        <v>41470</v>
      </c>
      <c r="N800" s="130">
        <f t="shared" si="552"/>
        <v>34470</v>
      </c>
      <c r="O800" s="132">
        <f t="shared" si="548"/>
        <v>1.0247096614776376</v>
      </c>
      <c r="P800" s="132">
        <f t="shared" si="536"/>
        <v>1.1499999999999999</v>
      </c>
      <c r="Q800" s="130">
        <f t="shared" si="554"/>
        <v>50043.548387096773</v>
      </c>
      <c r="R800" s="148">
        <f t="shared" si="550"/>
        <v>50090</v>
      </c>
      <c r="S800" s="127">
        <f>VLOOKUP($B800,'Выгр Торг'!$B:$Q,S$1,0)</f>
        <v>40470</v>
      </c>
      <c r="T800" s="127">
        <f>VLOOKUP($B800,'Выгр Торг'!$B:$Q,T$1,0)</f>
        <v>50090</v>
      </c>
      <c r="U800" s="94">
        <f t="shared" si="539"/>
        <v>0</v>
      </c>
      <c r="V800" s="94">
        <f t="shared" si="540"/>
        <v>0</v>
      </c>
      <c r="W800" s="153">
        <f t="shared" si="531"/>
        <v>46583.7</v>
      </c>
      <c r="X800" s="209">
        <f>IFERROR(VLOOKUP($B800,'Из ГУГЛа'!$B:$G,6,0)*Z800+Y800,VLOOKUP($B800,'Из ГУГЛа'!$B:$G,6,0))</f>
        <v>51460</v>
      </c>
      <c r="Y800" s="220">
        <f t="shared" si="556"/>
        <v>9970</v>
      </c>
      <c r="Z800" s="133">
        <v>1</v>
      </c>
      <c r="AA800" s="134"/>
      <c r="AB800" s="135">
        <f t="shared" si="532"/>
        <v>0.15106745737583394</v>
      </c>
      <c r="AC800" s="135">
        <f t="shared" si="533"/>
        <v>9.4759036144578368E-2</v>
      </c>
      <c r="AD800" s="135">
        <f t="shared" si="534"/>
        <v>0.27155917963923892</v>
      </c>
      <c r="AE800" s="223">
        <v>51460</v>
      </c>
      <c r="AF800" s="36" t="s">
        <v>620</v>
      </c>
      <c r="AH800" s="98" t="s">
        <v>109</v>
      </c>
    </row>
    <row r="801" spans="1:34" ht="46.5" thickTop="1" thickBot="1">
      <c r="A801" s="125" t="str">
        <f>INDEX('Выгр Торг'!$A:$A,MATCH($B801,'Выгр Торг'!$B:$B,0))</f>
        <v>Руль анатомический "Ferrum" Vesta Grand Premium для Лада Веста, XRAY</v>
      </c>
      <c r="B801" s="126">
        <v>342002</v>
      </c>
      <c r="C801" s="127">
        <f>VLOOKUP($B801,'Выгр Торг'!$B:$Q,C$1,0)</f>
        <v>342002</v>
      </c>
      <c r="D801" s="142" t="s">
        <v>109</v>
      </c>
      <c r="E801" s="125" t="str">
        <f>VLOOKUP($B801,'Выгр Торг'!$B:$Q,E$1,0)</f>
        <v>Руль анатомический "Ferrum" Vesta Grand Premium для Лада Веста, XRAY (Белая нить, Чёрный мат)</v>
      </c>
      <c r="F801" s="127" t="str">
        <f>VLOOKUP($B801,'Выгр Торг'!$B:$Q,F$1,0)</f>
        <v>Y</v>
      </c>
      <c r="G801" s="127" t="str">
        <f>VLOOKUP($B801,'Выгр Торг'!$B:$Q,G$1,0)</f>
        <v>1</v>
      </c>
      <c r="H801" s="127">
        <v>341990</v>
      </c>
      <c r="I801" s="156"/>
      <c r="J801" s="160">
        <v>830</v>
      </c>
      <c r="K801" s="161">
        <v>870</v>
      </c>
      <c r="L801" s="130">
        <f t="shared" si="528"/>
        <v>41300</v>
      </c>
      <c r="M801" s="130">
        <f t="shared" si="551"/>
        <v>42300</v>
      </c>
      <c r="N801" s="130">
        <f t="shared" si="552"/>
        <v>35300</v>
      </c>
      <c r="O801" s="132">
        <f t="shared" si="548"/>
        <v>1.0242130750605327</v>
      </c>
      <c r="P801" s="132">
        <f t="shared" si="536"/>
        <v>1.1499999999999999</v>
      </c>
      <c r="Q801" s="130">
        <f t="shared" si="554"/>
        <v>51069.892473118278</v>
      </c>
      <c r="R801" s="148">
        <f t="shared" si="550"/>
        <v>51090</v>
      </c>
      <c r="S801" s="127">
        <f>VLOOKUP($B801,'Выгр Торг'!$B:$Q,S$1,0)</f>
        <v>41300</v>
      </c>
      <c r="T801" s="127">
        <f>VLOOKUP($B801,'Выгр Торг'!$B:$Q,T$1,0)</f>
        <v>51090</v>
      </c>
      <c r="U801" s="94">
        <f t="shared" si="539"/>
        <v>0</v>
      </c>
      <c r="V801" s="94">
        <f t="shared" si="540"/>
        <v>0</v>
      </c>
      <c r="W801" s="153">
        <f t="shared" si="531"/>
        <v>47513.7</v>
      </c>
      <c r="X801" s="209">
        <f>IFERROR(VLOOKUP($B801,'Из ГУГЛа'!$B:$G,6,0)*Z801+Y801,VLOOKUP($B801,'Из ГУГЛа'!$B:$G,6,0))</f>
        <v>52290</v>
      </c>
      <c r="Y801" s="220">
        <f t="shared" si="556"/>
        <v>10800</v>
      </c>
      <c r="Z801" s="133">
        <v>1</v>
      </c>
      <c r="AA801" s="133">
        <v>1300</v>
      </c>
      <c r="AB801" s="135">
        <f t="shared" si="532"/>
        <v>0.15045278450363186</v>
      </c>
      <c r="AC801" s="135">
        <f t="shared" si="533"/>
        <v>9.1342512908778026E-2</v>
      </c>
      <c r="AD801" s="135">
        <f t="shared" si="534"/>
        <v>0.26610169491525415</v>
      </c>
      <c r="AE801" s="223">
        <v>52290</v>
      </c>
      <c r="AF801" s="36" t="s">
        <v>620</v>
      </c>
      <c r="AH801" s="98" t="s">
        <v>109</v>
      </c>
    </row>
    <row r="802" spans="1:34" ht="46.5" thickTop="1" thickBot="1">
      <c r="A802" s="125" t="str">
        <f>INDEX('Выгр Торг'!$A:$A,MATCH($B802,'Выгр Торг'!$B:$B,0))</f>
        <v>Руль анатомический "Ferrum" Vesta Grand Premium для Лада Веста, XRAY</v>
      </c>
      <c r="B802" s="126">
        <v>342001</v>
      </c>
      <c r="C802" s="127">
        <f>VLOOKUP($B802,'Выгр Торг'!$B:$Q,C$1,0)</f>
        <v>342001</v>
      </c>
      <c r="D802" s="142" t="s">
        <v>109</v>
      </c>
      <c r="E802" s="125" t="str">
        <f>VLOOKUP($B802,'Выгр Торг'!$B:$Q,E$1,0)</f>
        <v>Руль анатомический "Ferrum" Vesta Grand Premium для Лада Веста, XRAY (Жёлтая нить, Чёрный глянец)</v>
      </c>
      <c r="F802" s="127" t="str">
        <f>VLOOKUP($B802,'Выгр Торг'!$B:$Q,F$1,0)</f>
        <v>Y</v>
      </c>
      <c r="G802" s="127" t="str">
        <f>VLOOKUP($B802,'Выгр Торг'!$B:$Q,G$1,0)</f>
        <v>1</v>
      </c>
      <c r="H802" s="127">
        <v>341990</v>
      </c>
      <c r="I802" s="156"/>
      <c r="J802" s="160"/>
      <c r="K802" s="161">
        <v>870</v>
      </c>
      <c r="L802" s="130">
        <f t="shared" si="528"/>
        <v>40470</v>
      </c>
      <c r="M802" s="130">
        <f t="shared" si="551"/>
        <v>41470</v>
      </c>
      <c r="N802" s="130">
        <f t="shared" si="552"/>
        <v>34470</v>
      </c>
      <c r="O802" s="132">
        <f t="shared" si="529"/>
        <v>1.0247096614776376</v>
      </c>
      <c r="P802" s="132">
        <f t="shared" si="536"/>
        <v>1.1499999999999999</v>
      </c>
      <c r="Q802" s="130">
        <f t="shared" si="554"/>
        <v>50043.548387096773</v>
      </c>
      <c r="R802" s="148">
        <f t="shared" si="530"/>
        <v>50090</v>
      </c>
      <c r="S802" s="127">
        <f>VLOOKUP($B802,'Выгр Торг'!$B:$Q,S$1,0)</f>
        <v>40470</v>
      </c>
      <c r="T802" s="127">
        <f>VLOOKUP($B802,'Выгр Торг'!$B:$Q,T$1,0)</f>
        <v>50090</v>
      </c>
      <c r="U802" s="94">
        <f t="shared" si="539"/>
        <v>0</v>
      </c>
      <c r="V802" s="94">
        <f t="shared" si="540"/>
        <v>0</v>
      </c>
      <c r="W802" s="153">
        <f t="shared" si="531"/>
        <v>46583.7</v>
      </c>
      <c r="X802" s="209">
        <f>IFERROR(VLOOKUP($B802,'Из ГУГЛа'!$B:$G,6,0)*Z802+Y802,VLOOKUP($B802,'Из ГУГЛа'!$B:$G,6,0))</f>
        <v>51460</v>
      </c>
      <c r="Y802" s="220">
        <f t="shared" si="556"/>
        <v>9970</v>
      </c>
      <c r="Z802" s="133">
        <v>1</v>
      </c>
      <c r="AA802" s="134"/>
      <c r="AB802" s="135">
        <f t="shared" si="532"/>
        <v>0.15106745737583394</v>
      </c>
      <c r="AC802" s="135">
        <f t="shared" si="533"/>
        <v>9.4759036144578368E-2</v>
      </c>
      <c r="AD802" s="135">
        <f t="shared" si="534"/>
        <v>0.27155917963923892</v>
      </c>
      <c r="AE802" s="223">
        <v>51460</v>
      </c>
      <c r="AF802" s="36" t="s">
        <v>620</v>
      </c>
      <c r="AH802" s="98" t="s">
        <v>109</v>
      </c>
    </row>
    <row r="803" spans="1:34" ht="46.5" thickTop="1" thickBot="1">
      <c r="A803" s="125" t="str">
        <f>INDEX('Выгр Торг'!$A:$A,MATCH($B803,'Выгр Торг'!$B:$B,0))</f>
        <v>Руль анатомический "Ferrum" Vesta Grand Premium для Лада Веста, XRAY</v>
      </c>
      <c r="B803" s="126">
        <v>342014</v>
      </c>
      <c r="C803" s="127">
        <f>VLOOKUP($B803,'Выгр Торг'!$B:$Q,C$1,0)</f>
        <v>342014</v>
      </c>
      <c r="D803" s="142" t="s">
        <v>109</v>
      </c>
      <c r="E803" s="125" t="str">
        <f>VLOOKUP($B803,'Выгр Торг'!$B:$Q,E$1,0)</f>
        <v>Руль анатомический "Ferrum" Vesta Grand Premium для Лада Веста, XRAY (Жёлтая нить, Чёрный мат)</v>
      </c>
      <c r="F803" s="127" t="str">
        <f>VLOOKUP($B803,'Выгр Торг'!$B:$Q,F$1,0)</f>
        <v>Y</v>
      </c>
      <c r="G803" s="127" t="str">
        <f>VLOOKUP($B803,'Выгр Торг'!$B:$Q,G$1,0)</f>
        <v>1</v>
      </c>
      <c r="H803" s="127">
        <v>341990</v>
      </c>
      <c r="I803" s="156"/>
      <c r="J803" s="160">
        <v>830</v>
      </c>
      <c r="K803" s="161">
        <v>870</v>
      </c>
      <c r="L803" s="130">
        <f t="shared" si="528"/>
        <v>41300</v>
      </c>
      <c r="M803" s="130">
        <f t="shared" si="551"/>
        <v>42300</v>
      </c>
      <c r="N803" s="130">
        <f t="shared" si="552"/>
        <v>35300</v>
      </c>
      <c r="O803" s="132">
        <f t="shared" si="529"/>
        <v>1.0242130750605327</v>
      </c>
      <c r="P803" s="132">
        <f t="shared" si="536"/>
        <v>1.1499999999999999</v>
      </c>
      <c r="Q803" s="130">
        <f t="shared" si="554"/>
        <v>51069.892473118278</v>
      </c>
      <c r="R803" s="148">
        <f t="shared" si="530"/>
        <v>51090</v>
      </c>
      <c r="S803" s="127">
        <f>VLOOKUP($B803,'Выгр Торг'!$B:$Q,S$1,0)</f>
        <v>41300</v>
      </c>
      <c r="T803" s="127">
        <f>VLOOKUP($B803,'Выгр Торг'!$B:$Q,T$1,0)</f>
        <v>51090</v>
      </c>
      <c r="U803" s="94">
        <f t="shared" si="539"/>
        <v>0</v>
      </c>
      <c r="V803" s="94">
        <f t="shared" si="540"/>
        <v>0</v>
      </c>
      <c r="W803" s="153">
        <f t="shared" si="531"/>
        <v>47513.7</v>
      </c>
      <c r="X803" s="209">
        <f>IFERROR(VLOOKUP($B803,'Из ГУГЛа'!$B:$G,6,0)*Z803+Y803,VLOOKUP($B803,'Из ГУГЛа'!$B:$G,6,0))</f>
        <v>52290</v>
      </c>
      <c r="Y803" s="220">
        <f t="shared" si="556"/>
        <v>10800</v>
      </c>
      <c r="Z803" s="133">
        <v>1</v>
      </c>
      <c r="AA803" s="133">
        <v>1300</v>
      </c>
      <c r="AB803" s="135">
        <f t="shared" si="532"/>
        <v>0.15045278450363186</v>
      </c>
      <c r="AC803" s="135">
        <f t="shared" si="533"/>
        <v>9.1342512908778026E-2</v>
      </c>
      <c r="AD803" s="135">
        <f t="shared" si="534"/>
        <v>0.26610169491525415</v>
      </c>
      <c r="AE803" s="223">
        <v>52290</v>
      </c>
      <c r="AF803" s="36" t="s">
        <v>620</v>
      </c>
      <c r="AH803" s="98" t="s">
        <v>109</v>
      </c>
    </row>
    <row r="804" spans="1:34" ht="46.5" thickTop="1" thickBot="1">
      <c r="A804" s="125" t="str">
        <f>INDEX('Выгр Торг'!$A:$A,MATCH($B804,'Выгр Торг'!$B:$B,0))</f>
        <v>Руль анатомический "Ferrum" Vesta Grand Premium для Лада Веста, XRAY</v>
      </c>
      <c r="B804" s="126">
        <v>342000</v>
      </c>
      <c r="C804" s="127">
        <f>VLOOKUP($B804,'Выгр Торг'!$B:$Q,C$1,0)</f>
        <v>342000</v>
      </c>
      <c r="D804" s="142" t="s">
        <v>109</v>
      </c>
      <c r="E804" s="125" t="str">
        <f>VLOOKUP($B804,'Выгр Торг'!$B:$Q,E$1,0)</f>
        <v>Руль анатомический "Ferrum" Vesta Grand Premium для Лада Веста, XRAY (Зелёная нить, Чёрный глянец)</v>
      </c>
      <c r="F804" s="127" t="str">
        <f>VLOOKUP($B804,'Выгр Торг'!$B:$Q,F$1,0)</f>
        <v>Y</v>
      </c>
      <c r="G804" s="127" t="str">
        <f>VLOOKUP($B804,'Выгр Торг'!$B:$Q,G$1,0)</f>
        <v>1</v>
      </c>
      <c r="H804" s="127">
        <v>341990</v>
      </c>
      <c r="I804" s="156"/>
      <c r="J804" s="160"/>
      <c r="K804" s="161">
        <v>870</v>
      </c>
      <c r="L804" s="130">
        <f t="shared" si="528"/>
        <v>40470</v>
      </c>
      <c r="M804" s="130">
        <f t="shared" si="551"/>
        <v>41470</v>
      </c>
      <c r="N804" s="130">
        <f t="shared" si="552"/>
        <v>34470</v>
      </c>
      <c r="O804" s="132">
        <f t="shared" si="529"/>
        <v>1.0247096614776376</v>
      </c>
      <c r="P804" s="132">
        <f t="shared" si="536"/>
        <v>1.1499999999999999</v>
      </c>
      <c r="Q804" s="130">
        <f t="shared" si="554"/>
        <v>50043.548387096773</v>
      </c>
      <c r="R804" s="148">
        <f t="shared" si="530"/>
        <v>50090</v>
      </c>
      <c r="S804" s="127">
        <f>VLOOKUP($B804,'Выгр Торг'!$B:$Q,S$1,0)</f>
        <v>40470</v>
      </c>
      <c r="T804" s="127">
        <f>VLOOKUP($B804,'Выгр Торг'!$B:$Q,T$1,0)</f>
        <v>50090</v>
      </c>
      <c r="U804" s="94">
        <f t="shared" si="539"/>
        <v>0</v>
      </c>
      <c r="V804" s="94">
        <f t="shared" si="540"/>
        <v>0</v>
      </c>
      <c r="W804" s="153">
        <f t="shared" si="531"/>
        <v>46583.7</v>
      </c>
      <c r="X804" s="209">
        <f>IFERROR(VLOOKUP($B804,'Из ГУГЛа'!$B:$G,6,0)*Z804+Y804,VLOOKUP($B804,'Из ГУГЛа'!$B:$G,6,0))</f>
        <v>51460</v>
      </c>
      <c r="Y804" s="220">
        <f t="shared" si="556"/>
        <v>9970</v>
      </c>
      <c r="Z804" s="133">
        <v>1</v>
      </c>
      <c r="AA804" s="134"/>
      <c r="AB804" s="135">
        <f t="shared" si="532"/>
        <v>0.15106745737583394</v>
      </c>
      <c r="AC804" s="135">
        <f t="shared" si="533"/>
        <v>9.4759036144578368E-2</v>
      </c>
      <c r="AD804" s="135">
        <f t="shared" si="534"/>
        <v>0.27155917963923892</v>
      </c>
      <c r="AE804" s="223">
        <v>51460</v>
      </c>
      <c r="AF804" s="36" t="s">
        <v>620</v>
      </c>
      <c r="AH804" s="98" t="s">
        <v>109</v>
      </c>
    </row>
    <row r="805" spans="1:34" ht="46.5" thickTop="1" thickBot="1">
      <c r="A805" s="125" t="str">
        <f>INDEX('Выгр Торг'!$A:$A,MATCH($B805,'Выгр Торг'!$B:$B,0))</f>
        <v>Руль анатомический "Ferrum" Vesta Grand Premium для Лада Веста, XRAY</v>
      </c>
      <c r="B805" s="126">
        <v>342013</v>
      </c>
      <c r="C805" s="127">
        <f>VLOOKUP($B805,'Выгр Торг'!$B:$Q,C$1,0)</f>
        <v>342013</v>
      </c>
      <c r="D805" s="142" t="s">
        <v>109</v>
      </c>
      <c r="E805" s="125" t="str">
        <f>VLOOKUP($B805,'Выгр Торг'!$B:$Q,E$1,0)</f>
        <v>Руль анатомический "Ferrum" Vesta Grand Premium для Лада Веста, XRAY (Зелёная нить, Чёрный мат)</v>
      </c>
      <c r="F805" s="127" t="str">
        <f>VLOOKUP($B805,'Выгр Торг'!$B:$Q,F$1,0)</f>
        <v>Y</v>
      </c>
      <c r="G805" s="127" t="str">
        <f>VLOOKUP($B805,'Выгр Торг'!$B:$Q,G$1,0)</f>
        <v>1</v>
      </c>
      <c r="H805" s="127">
        <v>341990</v>
      </c>
      <c r="I805" s="156"/>
      <c r="J805" s="160">
        <v>830</v>
      </c>
      <c r="K805" s="161">
        <v>870</v>
      </c>
      <c r="L805" s="130">
        <f t="shared" si="528"/>
        <v>41300</v>
      </c>
      <c r="M805" s="130">
        <f t="shared" si="551"/>
        <v>42300</v>
      </c>
      <c r="N805" s="130">
        <f t="shared" si="552"/>
        <v>35300</v>
      </c>
      <c r="O805" s="132">
        <f t="shared" si="529"/>
        <v>1.0242130750605327</v>
      </c>
      <c r="P805" s="132">
        <f t="shared" si="536"/>
        <v>1.1499999999999999</v>
      </c>
      <c r="Q805" s="130">
        <f t="shared" si="554"/>
        <v>51069.892473118278</v>
      </c>
      <c r="R805" s="148">
        <f t="shared" si="530"/>
        <v>51090</v>
      </c>
      <c r="S805" s="127">
        <f>VLOOKUP($B805,'Выгр Торг'!$B:$Q,S$1,0)</f>
        <v>41300</v>
      </c>
      <c r="T805" s="127">
        <f>VLOOKUP($B805,'Выгр Торг'!$B:$Q,T$1,0)</f>
        <v>51090</v>
      </c>
      <c r="U805" s="94">
        <f t="shared" si="539"/>
        <v>0</v>
      </c>
      <c r="V805" s="94">
        <f t="shared" si="540"/>
        <v>0</v>
      </c>
      <c r="W805" s="153">
        <f t="shared" si="531"/>
        <v>47513.7</v>
      </c>
      <c r="X805" s="209">
        <f>IFERROR(VLOOKUP($B805,'Из ГУГЛа'!$B:$G,6,0)*Z805+Y805,VLOOKUP($B805,'Из ГУГЛа'!$B:$G,6,0))</f>
        <v>52290</v>
      </c>
      <c r="Y805" s="220">
        <f t="shared" si="556"/>
        <v>10800</v>
      </c>
      <c r="Z805" s="133">
        <v>1</v>
      </c>
      <c r="AA805" s="133">
        <v>1300</v>
      </c>
      <c r="AB805" s="135">
        <f t="shared" si="532"/>
        <v>0.15045278450363186</v>
      </c>
      <c r="AC805" s="135">
        <f t="shared" si="533"/>
        <v>9.1342512908778026E-2</v>
      </c>
      <c r="AD805" s="135">
        <f t="shared" si="534"/>
        <v>0.26610169491525415</v>
      </c>
      <c r="AE805" s="223">
        <v>52290</v>
      </c>
      <c r="AF805" s="36" t="s">
        <v>620</v>
      </c>
      <c r="AH805" s="98" t="s">
        <v>109</v>
      </c>
    </row>
    <row r="806" spans="1:34" ht="46.5" thickTop="1" thickBot="1">
      <c r="A806" s="125" t="str">
        <f>INDEX('Выгр Торг'!$A:$A,MATCH($B806,'Выгр Торг'!$B:$B,0))</f>
        <v>Руль анатомический "Ferrum" Vesta Grand Premium для Лада Веста, XRAY</v>
      </c>
      <c r="B806" s="126">
        <v>341992</v>
      </c>
      <c r="C806" s="127">
        <f>VLOOKUP($B806,'Выгр Торг'!$B:$Q,C$1,0)</f>
        <v>341992</v>
      </c>
      <c r="D806" s="142" t="s">
        <v>109</v>
      </c>
      <c r="E806" s="125" t="str">
        <f>VLOOKUP($B806,'Выгр Торг'!$B:$Q,E$1,0)</f>
        <v>Руль анатомический "Ferrum" Vesta Grand Premium для Лада Веста, XRAY (Коричневая нить, Чёрный глянец)</v>
      </c>
      <c r="F806" s="127" t="str">
        <f>VLOOKUP($B806,'Выгр Торг'!$B:$Q,F$1,0)</f>
        <v>Y</v>
      </c>
      <c r="G806" s="127" t="str">
        <f>VLOOKUP($B806,'Выгр Торг'!$B:$Q,G$1,0)</f>
        <v>1</v>
      </c>
      <c r="H806" s="127">
        <v>341990</v>
      </c>
      <c r="I806" s="156"/>
      <c r="J806" s="160"/>
      <c r="K806" s="161">
        <v>870</v>
      </c>
      <c r="L806" s="130">
        <f t="shared" si="528"/>
        <v>40470</v>
      </c>
      <c r="M806" s="130">
        <f t="shared" si="551"/>
        <v>41470</v>
      </c>
      <c r="N806" s="130">
        <f t="shared" si="552"/>
        <v>34470</v>
      </c>
      <c r="O806" s="132">
        <f t="shared" si="529"/>
        <v>1.0247096614776376</v>
      </c>
      <c r="P806" s="132">
        <f t="shared" si="536"/>
        <v>1.1499999999999999</v>
      </c>
      <c r="Q806" s="130">
        <f t="shared" si="554"/>
        <v>50043.548387096773</v>
      </c>
      <c r="R806" s="148">
        <f t="shared" si="530"/>
        <v>50090</v>
      </c>
      <c r="S806" s="127">
        <f>VLOOKUP($B806,'Выгр Торг'!$B:$Q,S$1,0)</f>
        <v>40470</v>
      </c>
      <c r="T806" s="127">
        <f>VLOOKUP($B806,'Выгр Торг'!$B:$Q,T$1,0)</f>
        <v>50090</v>
      </c>
      <c r="U806" s="94">
        <f t="shared" si="539"/>
        <v>0</v>
      </c>
      <c r="V806" s="94">
        <f t="shared" si="540"/>
        <v>0</v>
      </c>
      <c r="W806" s="153">
        <f t="shared" si="531"/>
        <v>46583.7</v>
      </c>
      <c r="X806" s="209">
        <f>IFERROR(VLOOKUP($B806,'Из ГУГЛа'!$B:$G,6,0)*Z806+Y806,VLOOKUP($B806,'Из ГУГЛа'!$B:$G,6,0))</f>
        <v>51460</v>
      </c>
      <c r="Y806" s="220">
        <f t="shared" si="556"/>
        <v>9970</v>
      </c>
      <c r="Z806" s="133">
        <v>1</v>
      </c>
      <c r="AA806" s="134"/>
      <c r="AB806" s="135">
        <f t="shared" si="532"/>
        <v>0.15106745737583394</v>
      </c>
      <c r="AC806" s="135">
        <f t="shared" si="533"/>
        <v>9.4759036144578368E-2</v>
      </c>
      <c r="AD806" s="135">
        <f t="shared" si="534"/>
        <v>0.27155917963923892</v>
      </c>
      <c r="AE806" s="223">
        <v>51460</v>
      </c>
      <c r="AF806" s="36" t="s">
        <v>620</v>
      </c>
      <c r="AH806" s="98" t="s">
        <v>109</v>
      </c>
    </row>
    <row r="807" spans="1:34" ht="46.5" thickTop="1" thickBot="1">
      <c r="A807" s="125" t="str">
        <f>INDEX('Выгр Торг'!$A:$A,MATCH($B807,'Выгр Торг'!$B:$B,0))</f>
        <v>Руль анатомический "Ferrum" Vesta Grand Premium для Лада Веста, XRAY</v>
      </c>
      <c r="B807" s="126">
        <v>342005</v>
      </c>
      <c r="C807" s="127">
        <f>VLOOKUP($B807,'Выгр Торг'!$B:$Q,C$1,0)</f>
        <v>342005</v>
      </c>
      <c r="D807" s="142" t="s">
        <v>109</v>
      </c>
      <c r="E807" s="125" t="str">
        <f>VLOOKUP($B807,'Выгр Торг'!$B:$Q,E$1,0)</f>
        <v>Руль анатомический "Ferrum" Vesta Grand Premium для Лада Веста, XRAY (Коричневая нить, Чёрный мат)</v>
      </c>
      <c r="F807" s="127" t="str">
        <f>VLOOKUP($B807,'Выгр Торг'!$B:$Q,F$1,0)</f>
        <v>Y</v>
      </c>
      <c r="G807" s="127" t="str">
        <f>VLOOKUP($B807,'Выгр Торг'!$B:$Q,G$1,0)</f>
        <v>1</v>
      </c>
      <c r="H807" s="127">
        <v>341990</v>
      </c>
      <c r="I807" s="156"/>
      <c r="J807" s="160">
        <v>830</v>
      </c>
      <c r="K807" s="161">
        <v>870</v>
      </c>
      <c r="L807" s="130">
        <f t="shared" si="528"/>
        <v>41300</v>
      </c>
      <c r="M807" s="130">
        <f t="shared" si="551"/>
        <v>42300</v>
      </c>
      <c r="N807" s="130">
        <f t="shared" si="552"/>
        <v>35300</v>
      </c>
      <c r="O807" s="132">
        <f t="shared" si="529"/>
        <v>1.0242130750605327</v>
      </c>
      <c r="P807" s="132">
        <f t="shared" si="536"/>
        <v>1.1499999999999999</v>
      </c>
      <c r="Q807" s="130">
        <f t="shared" si="554"/>
        <v>51069.892473118278</v>
      </c>
      <c r="R807" s="148">
        <f t="shared" si="530"/>
        <v>51090</v>
      </c>
      <c r="S807" s="127">
        <f>VLOOKUP($B807,'Выгр Торг'!$B:$Q,S$1,0)</f>
        <v>41300</v>
      </c>
      <c r="T807" s="127">
        <f>VLOOKUP($B807,'Выгр Торг'!$B:$Q,T$1,0)</f>
        <v>51090</v>
      </c>
      <c r="U807" s="94">
        <f t="shared" si="539"/>
        <v>0</v>
      </c>
      <c r="V807" s="94">
        <f t="shared" si="540"/>
        <v>0</v>
      </c>
      <c r="W807" s="153">
        <f t="shared" si="531"/>
        <v>47513.7</v>
      </c>
      <c r="X807" s="209">
        <f>IFERROR(VLOOKUP($B807,'Из ГУГЛа'!$B:$G,6,0)*Z807+Y807,VLOOKUP($B807,'Из ГУГЛа'!$B:$G,6,0))</f>
        <v>52290</v>
      </c>
      <c r="Y807" s="220">
        <f t="shared" si="556"/>
        <v>10800</v>
      </c>
      <c r="Z807" s="133">
        <v>1</v>
      </c>
      <c r="AA807" s="133">
        <v>1300</v>
      </c>
      <c r="AB807" s="135">
        <f t="shared" si="532"/>
        <v>0.15045278450363186</v>
      </c>
      <c r="AC807" s="135">
        <f t="shared" si="533"/>
        <v>9.1342512908778026E-2</v>
      </c>
      <c r="AD807" s="135">
        <f t="shared" si="534"/>
        <v>0.26610169491525415</v>
      </c>
      <c r="AE807" s="223">
        <v>52290</v>
      </c>
      <c r="AF807" s="36" t="s">
        <v>620</v>
      </c>
      <c r="AH807" s="98" t="s">
        <v>109</v>
      </c>
    </row>
    <row r="808" spans="1:34" ht="46.5" thickTop="1" thickBot="1">
      <c r="A808" s="125" t="str">
        <f>INDEX('Выгр Торг'!$A:$A,MATCH($B808,'Выгр Торг'!$B:$B,0))</f>
        <v>Руль анатомический "Ferrum" Vesta Grand Premium для Лада Веста, XRAY</v>
      </c>
      <c r="B808" s="126">
        <v>341993</v>
      </c>
      <c r="C808" s="127">
        <f>VLOOKUP($B808,'Выгр Торг'!$B:$Q,C$1,0)</f>
        <v>341993</v>
      </c>
      <c r="D808" s="142" t="s">
        <v>109</v>
      </c>
      <c r="E808" s="125" t="str">
        <f>VLOOKUP($B808,'Выгр Торг'!$B:$Q,E$1,0)</f>
        <v>Руль анатомический "Ferrum" Vesta Grand Premium для Лада Веста, XRAY (Красная нить, Чёрный глянец)</v>
      </c>
      <c r="F808" s="127" t="str">
        <f>VLOOKUP($B808,'Выгр Торг'!$B:$Q,F$1,0)</f>
        <v>Y</v>
      </c>
      <c r="G808" s="127" t="str">
        <f>VLOOKUP($B808,'Выгр Торг'!$B:$Q,G$1,0)</f>
        <v>1</v>
      </c>
      <c r="H808" s="127">
        <v>341990</v>
      </c>
      <c r="I808" s="156"/>
      <c r="J808" s="160"/>
      <c r="K808" s="161">
        <v>870</v>
      </c>
      <c r="L808" s="130">
        <f t="shared" si="528"/>
        <v>40470</v>
      </c>
      <c r="M808" s="130">
        <f t="shared" si="551"/>
        <v>41470</v>
      </c>
      <c r="N808" s="130">
        <f t="shared" si="552"/>
        <v>34470</v>
      </c>
      <c r="O808" s="132">
        <f t="shared" si="529"/>
        <v>1.0247096614776376</v>
      </c>
      <c r="P808" s="132">
        <f t="shared" si="536"/>
        <v>1.1499999999999999</v>
      </c>
      <c r="Q808" s="130">
        <f t="shared" si="554"/>
        <v>50043.548387096773</v>
      </c>
      <c r="R808" s="148">
        <f t="shared" si="530"/>
        <v>50090</v>
      </c>
      <c r="S808" s="127">
        <f>VLOOKUP($B808,'Выгр Торг'!$B:$Q,S$1,0)</f>
        <v>40470</v>
      </c>
      <c r="T808" s="127">
        <f>VLOOKUP($B808,'Выгр Торг'!$B:$Q,T$1,0)</f>
        <v>50090</v>
      </c>
      <c r="U808" s="94">
        <f t="shared" si="539"/>
        <v>0</v>
      </c>
      <c r="V808" s="94">
        <f t="shared" si="540"/>
        <v>0</v>
      </c>
      <c r="W808" s="153">
        <f t="shared" si="531"/>
        <v>46583.7</v>
      </c>
      <c r="X808" s="209">
        <f>IFERROR(VLOOKUP($B808,'Из ГУГЛа'!$B:$G,6,0)*Z808+Y808,VLOOKUP($B808,'Из ГУГЛа'!$B:$G,6,0))</f>
        <v>51460</v>
      </c>
      <c r="Y808" s="220">
        <f t="shared" si="556"/>
        <v>9970</v>
      </c>
      <c r="Z808" s="133">
        <v>1</v>
      </c>
      <c r="AA808" s="134"/>
      <c r="AB808" s="135">
        <f t="shared" si="532"/>
        <v>0.15106745737583394</v>
      </c>
      <c r="AC808" s="135">
        <f t="shared" si="533"/>
        <v>9.4759036144578368E-2</v>
      </c>
      <c r="AD808" s="135">
        <f t="shared" si="534"/>
        <v>0.27155917963923892</v>
      </c>
      <c r="AE808" s="223">
        <v>51460</v>
      </c>
      <c r="AF808" s="36" t="s">
        <v>620</v>
      </c>
      <c r="AH808" s="98" t="s">
        <v>109</v>
      </c>
    </row>
    <row r="809" spans="1:34" ht="46.5" thickTop="1" thickBot="1">
      <c r="A809" s="125" t="str">
        <f>INDEX('Выгр Торг'!$A:$A,MATCH($B809,'Выгр Торг'!$B:$B,0))</f>
        <v>Руль анатомический "Ferrum" Vesta Grand Premium для Лада Веста, XRAY</v>
      </c>
      <c r="B809" s="126">
        <v>342006</v>
      </c>
      <c r="C809" s="127">
        <f>VLOOKUP($B809,'Выгр Торг'!$B:$Q,C$1,0)</f>
        <v>342006</v>
      </c>
      <c r="D809" s="142" t="s">
        <v>109</v>
      </c>
      <c r="E809" s="125" t="str">
        <f>VLOOKUP($B809,'Выгр Торг'!$B:$Q,E$1,0)</f>
        <v>Руль анатомический "Ferrum" Vesta Grand Premium для Лада Веста, XRAY (Красная нить, Чёрный мат)</v>
      </c>
      <c r="F809" s="127" t="str">
        <f>VLOOKUP($B809,'Выгр Торг'!$B:$Q,F$1,0)</f>
        <v>Y</v>
      </c>
      <c r="G809" s="127" t="str">
        <f>VLOOKUP($B809,'Выгр Торг'!$B:$Q,G$1,0)</f>
        <v>1</v>
      </c>
      <c r="H809" s="127">
        <v>341990</v>
      </c>
      <c r="I809" s="156"/>
      <c r="J809" s="160">
        <v>830</v>
      </c>
      <c r="K809" s="161">
        <v>870</v>
      </c>
      <c r="L809" s="130">
        <f t="shared" si="528"/>
        <v>41300</v>
      </c>
      <c r="M809" s="130">
        <f t="shared" si="551"/>
        <v>42300</v>
      </c>
      <c r="N809" s="130">
        <f t="shared" si="552"/>
        <v>35300</v>
      </c>
      <c r="O809" s="132">
        <f t="shared" si="529"/>
        <v>1.0242130750605327</v>
      </c>
      <c r="P809" s="132">
        <f t="shared" si="536"/>
        <v>1.1499999999999999</v>
      </c>
      <c r="Q809" s="130">
        <f t="shared" si="554"/>
        <v>51069.892473118278</v>
      </c>
      <c r="R809" s="148">
        <f t="shared" si="530"/>
        <v>51090</v>
      </c>
      <c r="S809" s="127">
        <f>VLOOKUP($B809,'Выгр Торг'!$B:$Q,S$1,0)</f>
        <v>41300</v>
      </c>
      <c r="T809" s="127">
        <f>VLOOKUP($B809,'Выгр Торг'!$B:$Q,T$1,0)</f>
        <v>51090</v>
      </c>
      <c r="U809" s="94">
        <f t="shared" si="539"/>
        <v>0</v>
      </c>
      <c r="V809" s="94">
        <f t="shared" si="540"/>
        <v>0</v>
      </c>
      <c r="W809" s="153">
        <f t="shared" si="531"/>
        <v>47513.7</v>
      </c>
      <c r="X809" s="209">
        <f>IFERROR(VLOOKUP($B809,'Из ГУГЛа'!$B:$G,6,0)*Z809+Y809,VLOOKUP($B809,'Из ГУГЛа'!$B:$G,6,0))</f>
        <v>52290</v>
      </c>
      <c r="Y809" s="220">
        <f t="shared" si="556"/>
        <v>10800</v>
      </c>
      <c r="Z809" s="133">
        <v>1</v>
      </c>
      <c r="AA809" s="133">
        <v>1300</v>
      </c>
      <c r="AB809" s="135">
        <f t="shared" si="532"/>
        <v>0.15045278450363186</v>
      </c>
      <c r="AC809" s="135">
        <f t="shared" si="533"/>
        <v>9.1342512908778026E-2</v>
      </c>
      <c r="AD809" s="135">
        <f t="shared" si="534"/>
        <v>0.26610169491525415</v>
      </c>
      <c r="AE809" s="223">
        <v>52290</v>
      </c>
      <c r="AF809" s="36" t="s">
        <v>620</v>
      </c>
      <c r="AH809" s="98" t="s">
        <v>109</v>
      </c>
    </row>
    <row r="810" spans="1:34" ht="46.5" thickTop="1" thickBot="1">
      <c r="A810" s="125" t="str">
        <f>INDEX('Выгр Торг'!$A:$A,MATCH($B810,'Выгр Торг'!$B:$B,0))</f>
        <v>Руль анатомический "Ferrum" Vesta Grand Premium для Лада Веста, XRAY</v>
      </c>
      <c r="B810" s="126">
        <v>341994</v>
      </c>
      <c r="C810" s="127">
        <f>VLOOKUP($B810,'Выгр Торг'!$B:$Q,C$1,0)</f>
        <v>341994</v>
      </c>
      <c r="D810" s="142" t="s">
        <v>109</v>
      </c>
      <c r="E810" s="125" t="str">
        <f>VLOOKUP($B810,'Выгр Торг'!$B:$Q,E$1,0)</f>
        <v>Руль анатомический "Ferrum" Vesta Grand Premium для Лада Веста, XRAY (Оранжевая нить, Чёрный глянец)</v>
      </c>
      <c r="F810" s="127" t="str">
        <f>VLOOKUP($B810,'Выгр Торг'!$B:$Q,F$1,0)</f>
        <v>Y</v>
      </c>
      <c r="G810" s="127" t="str">
        <f>VLOOKUP($B810,'Выгр Торг'!$B:$Q,G$1,0)</f>
        <v>1</v>
      </c>
      <c r="H810" s="127">
        <v>341990</v>
      </c>
      <c r="I810" s="156"/>
      <c r="J810" s="160"/>
      <c r="K810" s="161">
        <v>870</v>
      </c>
      <c r="L810" s="130">
        <f t="shared" si="528"/>
        <v>40470</v>
      </c>
      <c r="M810" s="130">
        <f t="shared" si="551"/>
        <v>41470</v>
      </c>
      <c r="N810" s="130">
        <f t="shared" si="552"/>
        <v>34470</v>
      </c>
      <c r="O810" s="132">
        <f t="shared" si="529"/>
        <v>1.0247096614776376</v>
      </c>
      <c r="P810" s="132">
        <f t="shared" si="536"/>
        <v>1.1499999999999999</v>
      </c>
      <c r="Q810" s="130">
        <f t="shared" si="554"/>
        <v>50043.548387096773</v>
      </c>
      <c r="R810" s="148">
        <f t="shared" si="530"/>
        <v>50090</v>
      </c>
      <c r="S810" s="127">
        <f>VLOOKUP($B810,'Выгр Торг'!$B:$Q,S$1,0)</f>
        <v>40470</v>
      </c>
      <c r="T810" s="127">
        <f>VLOOKUP($B810,'Выгр Торг'!$B:$Q,T$1,0)</f>
        <v>50090</v>
      </c>
      <c r="U810" s="94">
        <f t="shared" si="539"/>
        <v>0</v>
      </c>
      <c r="V810" s="94">
        <f t="shared" si="540"/>
        <v>0</v>
      </c>
      <c r="W810" s="153">
        <f t="shared" si="531"/>
        <v>46583.7</v>
      </c>
      <c r="X810" s="209">
        <f>IFERROR(VLOOKUP($B810,'Из ГУГЛа'!$B:$G,6,0)*Z810+Y810,VLOOKUP($B810,'Из ГУГЛа'!$B:$G,6,0))</f>
        <v>51460</v>
      </c>
      <c r="Y810" s="220">
        <f t="shared" si="556"/>
        <v>9970</v>
      </c>
      <c r="Z810" s="133">
        <v>1</v>
      </c>
      <c r="AA810" s="134"/>
      <c r="AB810" s="135">
        <f t="shared" si="532"/>
        <v>0.15106745737583394</v>
      </c>
      <c r="AC810" s="135">
        <f t="shared" si="533"/>
        <v>9.4759036144578368E-2</v>
      </c>
      <c r="AD810" s="135">
        <f t="shared" si="534"/>
        <v>0.27155917963923892</v>
      </c>
      <c r="AE810" s="223">
        <v>51460</v>
      </c>
      <c r="AF810" s="36" t="s">
        <v>620</v>
      </c>
      <c r="AH810" s="98" t="s">
        <v>109</v>
      </c>
    </row>
    <row r="811" spans="1:34" ht="46.5" thickTop="1" thickBot="1">
      <c r="A811" s="125" t="str">
        <f>INDEX('Выгр Торг'!$A:$A,MATCH($B811,'Выгр Торг'!$B:$B,0))</f>
        <v>Руль анатомический "Ferrum" Vesta Grand Premium для Лада Веста, XRAY</v>
      </c>
      <c r="B811" s="126">
        <v>342007</v>
      </c>
      <c r="C811" s="127">
        <f>VLOOKUP($B811,'Выгр Торг'!$B:$Q,C$1,0)</f>
        <v>342007</v>
      </c>
      <c r="D811" s="142" t="s">
        <v>109</v>
      </c>
      <c r="E811" s="125" t="str">
        <f>VLOOKUP($B811,'Выгр Торг'!$B:$Q,E$1,0)</f>
        <v>Руль анатомический "Ferrum" Vesta Grand Premium для Лада Веста, XRAY (Оранжевая нить, Чёрный мат)</v>
      </c>
      <c r="F811" s="127" t="str">
        <f>VLOOKUP($B811,'Выгр Торг'!$B:$Q,F$1,0)</f>
        <v>Y</v>
      </c>
      <c r="G811" s="127" t="str">
        <f>VLOOKUP($B811,'Выгр Торг'!$B:$Q,G$1,0)</f>
        <v>1</v>
      </c>
      <c r="H811" s="127">
        <v>341990</v>
      </c>
      <c r="I811" s="156"/>
      <c r="J811" s="160">
        <v>830</v>
      </c>
      <c r="K811" s="161">
        <v>870</v>
      </c>
      <c r="L811" s="130">
        <f t="shared" si="528"/>
        <v>41300</v>
      </c>
      <c r="M811" s="130">
        <f t="shared" si="551"/>
        <v>42300</v>
      </c>
      <c r="N811" s="130">
        <f t="shared" si="552"/>
        <v>35300</v>
      </c>
      <c r="O811" s="132">
        <f t="shared" si="529"/>
        <v>1.0242130750605327</v>
      </c>
      <c r="P811" s="132">
        <f t="shared" si="536"/>
        <v>1.1499999999999999</v>
      </c>
      <c r="Q811" s="130">
        <f t="shared" si="554"/>
        <v>51069.892473118278</v>
      </c>
      <c r="R811" s="148">
        <f t="shared" si="530"/>
        <v>51090</v>
      </c>
      <c r="S811" s="127">
        <f>VLOOKUP($B811,'Выгр Торг'!$B:$Q,S$1,0)</f>
        <v>41300</v>
      </c>
      <c r="T811" s="127">
        <f>VLOOKUP($B811,'Выгр Торг'!$B:$Q,T$1,0)</f>
        <v>51090</v>
      </c>
      <c r="U811" s="94">
        <f t="shared" si="539"/>
        <v>0</v>
      </c>
      <c r="V811" s="94">
        <f t="shared" si="540"/>
        <v>0</v>
      </c>
      <c r="W811" s="153">
        <f t="shared" si="531"/>
        <v>47513.7</v>
      </c>
      <c r="X811" s="209">
        <f>IFERROR(VLOOKUP($B811,'Из ГУГЛа'!$B:$G,6,0)*Z811+Y811,VLOOKUP($B811,'Из ГУГЛа'!$B:$G,6,0))</f>
        <v>52290</v>
      </c>
      <c r="Y811" s="220">
        <f t="shared" si="556"/>
        <v>10800</v>
      </c>
      <c r="Z811" s="133">
        <v>1</v>
      </c>
      <c r="AA811" s="133">
        <v>1300</v>
      </c>
      <c r="AB811" s="135">
        <f t="shared" si="532"/>
        <v>0.15045278450363186</v>
      </c>
      <c r="AC811" s="135">
        <f t="shared" si="533"/>
        <v>9.1342512908778026E-2</v>
      </c>
      <c r="AD811" s="135">
        <f t="shared" si="534"/>
        <v>0.26610169491525415</v>
      </c>
      <c r="AE811" s="223">
        <v>52290</v>
      </c>
      <c r="AF811" s="36" t="s">
        <v>620</v>
      </c>
      <c r="AH811" s="98" t="s">
        <v>109</v>
      </c>
    </row>
    <row r="812" spans="1:34" ht="46.5" thickTop="1" thickBot="1">
      <c r="A812" s="125" t="str">
        <f>INDEX('Выгр Торг'!$A:$A,MATCH($B812,'Выгр Торг'!$B:$B,0))</f>
        <v>Руль анатомический "Ferrum" Vesta Grand Premium для Лада Веста, XRAY</v>
      </c>
      <c r="B812" s="126">
        <v>341995</v>
      </c>
      <c r="C812" s="127">
        <f>VLOOKUP($B812,'Выгр Торг'!$B:$Q,C$1,0)</f>
        <v>341995</v>
      </c>
      <c r="D812" s="142" t="s">
        <v>109</v>
      </c>
      <c r="E812" s="125" t="str">
        <f>VLOOKUP($B812,'Выгр Торг'!$B:$Q,E$1,0)</f>
        <v>Руль анатомический "Ferrum" Vesta Grand Premium для Лада Веста, XRAY (Салатовая нить, Чёрный глянец)</v>
      </c>
      <c r="F812" s="127" t="str">
        <f>VLOOKUP($B812,'Выгр Торг'!$B:$Q,F$1,0)</f>
        <v>Y</v>
      </c>
      <c r="G812" s="127" t="str">
        <f>VLOOKUP($B812,'Выгр Торг'!$B:$Q,G$1,0)</f>
        <v>1</v>
      </c>
      <c r="H812" s="127">
        <v>341990</v>
      </c>
      <c r="I812" s="156"/>
      <c r="J812" s="160"/>
      <c r="K812" s="161">
        <v>870</v>
      </c>
      <c r="L812" s="130">
        <f t="shared" si="528"/>
        <v>40470</v>
      </c>
      <c r="M812" s="130">
        <f t="shared" si="551"/>
        <v>41470</v>
      </c>
      <c r="N812" s="130">
        <f t="shared" si="552"/>
        <v>34470</v>
      </c>
      <c r="O812" s="132">
        <f t="shared" si="529"/>
        <v>1.0247096614776376</v>
      </c>
      <c r="P812" s="132">
        <f t="shared" si="536"/>
        <v>1.1499999999999999</v>
      </c>
      <c r="Q812" s="130">
        <f t="shared" si="554"/>
        <v>50043.548387096773</v>
      </c>
      <c r="R812" s="148">
        <f t="shared" si="530"/>
        <v>50090</v>
      </c>
      <c r="S812" s="127">
        <f>VLOOKUP($B812,'Выгр Торг'!$B:$Q,S$1,0)</f>
        <v>40470</v>
      </c>
      <c r="T812" s="127">
        <f>VLOOKUP($B812,'Выгр Торг'!$B:$Q,T$1,0)</f>
        <v>50090</v>
      </c>
      <c r="U812" s="94">
        <f t="shared" si="539"/>
        <v>0</v>
      </c>
      <c r="V812" s="94">
        <f t="shared" si="540"/>
        <v>0</v>
      </c>
      <c r="W812" s="153">
        <f t="shared" si="531"/>
        <v>46583.7</v>
      </c>
      <c r="X812" s="209">
        <f>IFERROR(VLOOKUP($B812,'Из ГУГЛа'!$B:$G,6,0)*Z812+Y812,VLOOKUP($B812,'Из ГУГЛа'!$B:$G,6,0))</f>
        <v>51460</v>
      </c>
      <c r="Y812" s="220">
        <f t="shared" si="556"/>
        <v>9970</v>
      </c>
      <c r="Z812" s="133">
        <v>1</v>
      </c>
      <c r="AA812" s="134"/>
      <c r="AB812" s="135">
        <f t="shared" si="532"/>
        <v>0.15106745737583394</v>
      </c>
      <c r="AC812" s="135">
        <f t="shared" si="533"/>
        <v>9.4759036144578368E-2</v>
      </c>
      <c r="AD812" s="135">
        <f t="shared" si="534"/>
        <v>0.27155917963923892</v>
      </c>
      <c r="AE812" s="223">
        <v>51460</v>
      </c>
      <c r="AF812" s="36" t="s">
        <v>620</v>
      </c>
      <c r="AH812" s="98" t="s">
        <v>109</v>
      </c>
    </row>
    <row r="813" spans="1:34" ht="46.5" thickTop="1" thickBot="1">
      <c r="A813" s="125" t="str">
        <f>INDEX('Выгр Торг'!$A:$A,MATCH($B813,'Выгр Торг'!$B:$B,0))</f>
        <v>Руль анатомический "Ferrum" Vesta Grand Premium для Лада Веста, XRAY</v>
      </c>
      <c r="B813" s="126">
        <v>342008</v>
      </c>
      <c r="C813" s="127">
        <f>VLOOKUP($B813,'Выгр Торг'!$B:$Q,C$1,0)</f>
        <v>342008</v>
      </c>
      <c r="D813" s="142" t="s">
        <v>109</v>
      </c>
      <c r="E813" s="125" t="str">
        <f>VLOOKUP($B813,'Выгр Торг'!$B:$Q,E$1,0)</f>
        <v>Руль анатомический "Ferrum" Vesta Grand Premium для Лада Веста, XRAY (Салатовая нить, Чёрный мат)</v>
      </c>
      <c r="F813" s="127" t="str">
        <f>VLOOKUP($B813,'Выгр Торг'!$B:$Q,F$1,0)</f>
        <v>Y</v>
      </c>
      <c r="G813" s="127" t="str">
        <f>VLOOKUP($B813,'Выгр Торг'!$B:$Q,G$1,0)</f>
        <v>1</v>
      </c>
      <c r="H813" s="127">
        <v>341990</v>
      </c>
      <c r="I813" s="156"/>
      <c r="J813" s="160">
        <v>830</v>
      </c>
      <c r="K813" s="161">
        <v>870</v>
      </c>
      <c r="L813" s="130">
        <f t="shared" si="528"/>
        <v>41300</v>
      </c>
      <c r="M813" s="130">
        <f t="shared" si="551"/>
        <v>42300</v>
      </c>
      <c r="N813" s="130">
        <f t="shared" si="552"/>
        <v>35300</v>
      </c>
      <c r="O813" s="132">
        <f t="shared" si="529"/>
        <v>1.0242130750605327</v>
      </c>
      <c r="P813" s="132">
        <f t="shared" si="536"/>
        <v>1.1499999999999999</v>
      </c>
      <c r="Q813" s="130">
        <f t="shared" si="554"/>
        <v>51069.892473118278</v>
      </c>
      <c r="R813" s="148">
        <f t="shared" si="530"/>
        <v>51090</v>
      </c>
      <c r="S813" s="127">
        <f>VLOOKUP($B813,'Выгр Торг'!$B:$Q,S$1,0)</f>
        <v>41300</v>
      </c>
      <c r="T813" s="127">
        <f>VLOOKUP($B813,'Выгр Торг'!$B:$Q,T$1,0)</f>
        <v>51090</v>
      </c>
      <c r="U813" s="94">
        <f t="shared" si="539"/>
        <v>0</v>
      </c>
      <c r="V813" s="94">
        <f t="shared" si="540"/>
        <v>0</v>
      </c>
      <c r="W813" s="153">
        <f t="shared" si="531"/>
        <v>47513.7</v>
      </c>
      <c r="X813" s="209">
        <f>IFERROR(VLOOKUP($B813,'Из ГУГЛа'!$B:$G,6,0)*Z813+Y813,VLOOKUP($B813,'Из ГУГЛа'!$B:$G,6,0))</f>
        <v>52290</v>
      </c>
      <c r="Y813" s="220">
        <f t="shared" si="556"/>
        <v>10800</v>
      </c>
      <c r="Z813" s="133">
        <v>1</v>
      </c>
      <c r="AA813" s="133">
        <v>1300</v>
      </c>
      <c r="AB813" s="135">
        <f t="shared" si="532"/>
        <v>0.15045278450363186</v>
      </c>
      <c r="AC813" s="135">
        <f t="shared" si="533"/>
        <v>9.1342512908778026E-2</v>
      </c>
      <c r="AD813" s="135">
        <f t="shared" si="534"/>
        <v>0.26610169491525415</v>
      </c>
      <c r="AE813" s="223">
        <v>52290</v>
      </c>
      <c r="AF813" s="36" t="s">
        <v>620</v>
      </c>
      <c r="AH813" s="98" t="s">
        <v>109</v>
      </c>
    </row>
    <row r="814" spans="1:34" ht="46.5" thickTop="1" thickBot="1">
      <c r="A814" s="125" t="str">
        <f>INDEX('Выгр Торг'!$A:$A,MATCH($B814,'Выгр Торг'!$B:$B,0))</f>
        <v>Руль анатомический "Ferrum" Vesta Grand Premium для Лада Веста, XRAY</v>
      </c>
      <c r="B814" s="126">
        <v>341998</v>
      </c>
      <c r="C814" s="127">
        <f>VLOOKUP($B814,'Выгр Торг'!$B:$Q,C$1,0)</f>
        <v>341998</v>
      </c>
      <c r="D814" s="142" t="s">
        <v>109</v>
      </c>
      <c r="E814" s="125" t="str">
        <f>VLOOKUP($B814,'Выгр Торг'!$B:$Q,E$1,0)</f>
        <v>Руль анатомический "Ferrum" Vesta Grand Premium для Лада Веста, XRAY (Светло-серая нить, Чёрный глянец)</v>
      </c>
      <c r="F814" s="127" t="str">
        <f>VLOOKUP($B814,'Выгр Торг'!$B:$Q,F$1,0)</f>
        <v>Y</v>
      </c>
      <c r="G814" s="127" t="str">
        <f>VLOOKUP($B814,'Выгр Торг'!$B:$Q,G$1,0)</f>
        <v>1</v>
      </c>
      <c r="H814" s="127">
        <v>341990</v>
      </c>
      <c r="I814" s="156"/>
      <c r="J814" s="160"/>
      <c r="K814" s="161">
        <v>870</v>
      </c>
      <c r="L814" s="130">
        <f t="shared" ref="L814:L849" si="557">M814-1000</f>
        <v>40470</v>
      </c>
      <c r="M814" s="130">
        <f t="shared" si="551"/>
        <v>41470</v>
      </c>
      <c r="N814" s="130">
        <f t="shared" si="552"/>
        <v>34470</v>
      </c>
      <c r="O814" s="132">
        <f t="shared" ref="O814:O850" si="558">M814/L814</f>
        <v>1.0247096614776376</v>
      </c>
      <c r="P814" s="132">
        <f t="shared" si="536"/>
        <v>1.1499999999999999</v>
      </c>
      <c r="Q814" s="130">
        <f t="shared" si="554"/>
        <v>50043.548387096773</v>
      </c>
      <c r="R814" s="148">
        <f t="shared" ref="R814:R850" si="559">IF(Q814&lt;=1000,(ROUNDUP(Q814,-2)-1),(ROUNDUP(Q814,-2)-10))</f>
        <v>50090</v>
      </c>
      <c r="S814" s="127">
        <f>VLOOKUP($B814,'Выгр Торг'!$B:$Q,S$1,0)</f>
        <v>40470</v>
      </c>
      <c r="T814" s="127">
        <f>VLOOKUP($B814,'Выгр Торг'!$B:$Q,T$1,0)</f>
        <v>50090</v>
      </c>
      <c r="U814" s="94">
        <f t="shared" si="539"/>
        <v>0</v>
      </c>
      <c r="V814" s="94">
        <f t="shared" si="540"/>
        <v>0</v>
      </c>
      <c r="W814" s="153">
        <f t="shared" ref="W814:W850" si="560">R814*(1-$W$2)</f>
        <v>46583.7</v>
      </c>
      <c r="X814" s="209">
        <f>IFERROR(VLOOKUP($B814,'Из ГУГЛа'!$B:$G,6,0)*Z814+Y814,VLOOKUP($B814,'Из ГУГЛа'!$B:$G,6,0))</f>
        <v>51460</v>
      </c>
      <c r="Y814" s="220">
        <f t="shared" si="556"/>
        <v>9970</v>
      </c>
      <c r="Z814" s="133">
        <v>1</v>
      </c>
      <c r="AA814" s="134"/>
      <c r="AB814" s="135">
        <f t="shared" ref="AB814:AB850" si="561">IFERROR(W814/L814-1,"")</f>
        <v>0.15106745737583394</v>
      </c>
      <c r="AC814" s="135">
        <f t="shared" ref="AC814:AC850" si="562">IFERROR((AE814-W814)/AE814,"")</f>
        <v>9.4759036144578368E-2</v>
      </c>
      <c r="AD814" s="135">
        <f t="shared" ref="AD814:AD850" si="563">IFERROR(IF(AE814="","",AE814/L814-1),"")</f>
        <v>0.27155917963923892</v>
      </c>
      <c r="AE814" s="223">
        <v>51460</v>
      </c>
      <c r="AF814" s="36" t="s">
        <v>620</v>
      </c>
      <c r="AH814" s="98" t="s">
        <v>109</v>
      </c>
    </row>
    <row r="815" spans="1:34" ht="46.5" thickTop="1" thickBot="1">
      <c r="A815" s="125" t="str">
        <f>INDEX('Выгр Торг'!$A:$A,MATCH($B815,'Выгр Торг'!$B:$B,0))</f>
        <v>Руль анатомический "Ferrum" Vesta Grand Premium для Лада Веста, XRAY</v>
      </c>
      <c r="B815" s="126">
        <v>342011</v>
      </c>
      <c r="C815" s="127">
        <f>VLOOKUP($B815,'Выгр Торг'!$B:$Q,C$1,0)</f>
        <v>342011</v>
      </c>
      <c r="D815" s="142" t="s">
        <v>109</v>
      </c>
      <c r="E815" s="125" t="str">
        <f>VLOOKUP($B815,'Выгр Торг'!$B:$Q,E$1,0)</f>
        <v>Руль анатомический "Ferrum" Vesta Grand Premium для Лада Веста, XRAY (Светло-серая нить, Чёрный мат)</v>
      </c>
      <c r="F815" s="127" t="str">
        <f>VLOOKUP($B815,'Выгр Торг'!$B:$Q,F$1,0)</f>
        <v>Y</v>
      </c>
      <c r="G815" s="127" t="str">
        <f>VLOOKUP($B815,'Выгр Торг'!$B:$Q,G$1,0)</f>
        <v>1</v>
      </c>
      <c r="H815" s="127">
        <v>341990</v>
      </c>
      <c r="I815" s="156"/>
      <c r="J815" s="160">
        <v>830</v>
      </c>
      <c r="K815" s="161">
        <v>870</v>
      </c>
      <c r="L815" s="130">
        <f t="shared" si="557"/>
        <v>41300</v>
      </c>
      <c r="M815" s="130">
        <f t="shared" si="551"/>
        <v>42300</v>
      </c>
      <c r="N815" s="130">
        <f t="shared" si="552"/>
        <v>35300</v>
      </c>
      <c r="O815" s="132">
        <f t="shared" si="558"/>
        <v>1.0242130750605327</v>
      </c>
      <c r="P815" s="132">
        <f t="shared" si="536"/>
        <v>1.1499999999999999</v>
      </c>
      <c r="Q815" s="130">
        <f t="shared" si="554"/>
        <v>51069.892473118278</v>
      </c>
      <c r="R815" s="148">
        <f t="shared" si="559"/>
        <v>51090</v>
      </c>
      <c r="S815" s="127">
        <f>VLOOKUP($B815,'Выгр Торг'!$B:$Q,S$1,0)</f>
        <v>41300</v>
      </c>
      <c r="T815" s="127">
        <f>VLOOKUP($B815,'Выгр Торг'!$B:$Q,T$1,0)</f>
        <v>51090</v>
      </c>
      <c r="U815" s="94">
        <f t="shared" si="539"/>
        <v>0</v>
      </c>
      <c r="V815" s="94">
        <f t="shared" si="540"/>
        <v>0</v>
      </c>
      <c r="W815" s="153">
        <f t="shared" si="560"/>
        <v>47513.7</v>
      </c>
      <c r="X815" s="209">
        <f>IFERROR(VLOOKUP($B815,'Из ГУГЛа'!$B:$G,6,0)*Z815+Y815,VLOOKUP($B815,'Из ГУГЛа'!$B:$G,6,0))</f>
        <v>52290</v>
      </c>
      <c r="Y815" s="220">
        <f t="shared" si="556"/>
        <v>10800</v>
      </c>
      <c r="Z815" s="133">
        <v>1</v>
      </c>
      <c r="AA815" s="133">
        <v>1300</v>
      </c>
      <c r="AB815" s="135">
        <f t="shared" si="561"/>
        <v>0.15045278450363186</v>
      </c>
      <c r="AC815" s="135">
        <f t="shared" si="562"/>
        <v>9.1342512908778026E-2</v>
      </c>
      <c r="AD815" s="135">
        <f t="shared" si="563"/>
        <v>0.26610169491525415</v>
      </c>
      <c r="AE815" s="223">
        <v>52290</v>
      </c>
      <c r="AF815" s="36" t="s">
        <v>620</v>
      </c>
      <c r="AH815" s="98" t="s">
        <v>109</v>
      </c>
    </row>
    <row r="816" spans="1:34" ht="46.5" thickTop="1" thickBot="1">
      <c r="A816" s="125" t="str">
        <f>INDEX('Выгр Торг'!$A:$A,MATCH($B816,'Выгр Торг'!$B:$B,0))</f>
        <v>Руль анатомический "Ferrum" Vesta Grand Premium для Лада Веста, XRAY</v>
      </c>
      <c r="B816" s="126">
        <v>341996</v>
      </c>
      <c r="C816" s="127">
        <f>VLOOKUP($B816,'Выгр Торг'!$B:$Q,C$1,0)</f>
        <v>341996</v>
      </c>
      <c r="D816" s="142" t="s">
        <v>109</v>
      </c>
      <c r="E816" s="125" t="str">
        <f>VLOOKUP($B816,'Выгр Торг'!$B:$Q,E$1,0)</f>
        <v>Руль анатомический "Ferrum" Vesta Grand Premium для Лада Веста, XRAY (Сине-зелёная нить, Чёрный глянец)</v>
      </c>
      <c r="F816" s="127" t="str">
        <f>VLOOKUP($B816,'Выгр Торг'!$B:$Q,F$1,0)</f>
        <v>Y</v>
      </c>
      <c r="G816" s="127" t="str">
        <f>VLOOKUP($B816,'Выгр Торг'!$B:$Q,G$1,0)</f>
        <v>1</v>
      </c>
      <c r="H816" s="127">
        <v>341990</v>
      </c>
      <c r="I816" s="156"/>
      <c r="J816" s="160"/>
      <c r="K816" s="161">
        <v>870</v>
      </c>
      <c r="L816" s="130">
        <f t="shared" si="557"/>
        <v>40470</v>
      </c>
      <c r="M816" s="130">
        <f t="shared" si="551"/>
        <v>41470</v>
      </c>
      <c r="N816" s="130">
        <f t="shared" si="552"/>
        <v>34470</v>
      </c>
      <c r="O816" s="132">
        <f t="shared" si="558"/>
        <v>1.0247096614776376</v>
      </c>
      <c r="P816" s="132">
        <f t="shared" si="536"/>
        <v>1.1499999999999999</v>
      </c>
      <c r="Q816" s="130">
        <f t="shared" si="554"/>
        <v>50043.548387096773</v>
      </c>
      <c r="R816" s="148">
        <f t="shared" si="559"/>
        <v>50090</v>
      </c>
      <c r="S816" s="127">
        <f>VLOOKUP($B816,'Выгр Торг'!$B:$Q,S$1,0)</f>
        <v>40470</v>
      </c>
      <c r="T816" s="127">
        <f>VLOOKUP($B816,'Выгр Торг'!$B:$Q,T$1,0)</f>
        <v>50090</v>
      </c>
      <c r="U816" s="94">
        <f t="shared" si="539"/>
        <v>0</v>
      </c>
      <c r="V816" s="94">
        <f t="shared" si="540"/>
        <v>0</v>
      </c>
      <c r="W816" s="153">
        <f t="shared" si="560"/>
        <v>46583.7</v>
      </c>
      <c r="X816" s="209">
        <f>IFERROR(VLOOKUP($B816,'Из ГУГЛа'!$B:$G,6,0)*Z816+Y816,VLOOKUP($B816,'Из ГУГЛа'!$B:$G,6,0))</f>
        <v>51460</v>
      </c>
      <c r="Y816" s="220">
        <f t="shared" si="556"/>
        <v>9970</v>
      </c>
      <c r="Z816" s="133">
        <v>1</v>
      </c>
      <c r="AA816" s="134"/>
      <c r="AB816" s="135">
        <f t="shared" si="561"/>
        <v>0.15106745737583394</v>
      </c>
      <c r="AC816" s="135">
        <f t="shared" si="562"/>
        <v>9.4759036144578368E-2</v>
      </c>
      <c r="AD816" s="135">
        <f t="shared" si="563"/>
        <v>0.27155917963923892</v>
      </c>
      <c r="AE816" s="223">
        <v>51460</v>
      </c>
      <c r="AF816" s="36" t="s">
        <v>620</v>
      </c>
      <c r="AH816" s="98" t="s">
        <v>109</v>
      </c>
    </row>
    <row r="817" spans="1:34" ht="46.5" thickTop="1" thickBot="1">
      <c r="A817" s="125" t="str">
        <f>INDEX('Выгр Торг'!$A:$A,MATCH($B817,'Выгр Торг'!$B:$B,0))</f>
        <v>Руль анатомический "Ferrum" Vesta Grand Premium для Лада Веста, XRAY</v>
      </c>
      <c r="B817" s="126">
        <v>342009</v>
      </c>
      <c r="C817" s="127">
        <f>VLOOKUP($B817,'Выгр Торг'!$B:$Q,C$1,0)</f>
        <v>342009</v>
      </c>
      <c r="D817" s="142" t="s">
        <v>109</v>
      </c>
      <c r="E817" s="125" t="str">
        <f>VLOOKUP($B817,'Выгр Торг'!$B:$Q,E$1,0)</f>
        <v>Руль анатомический "Ferrum" Vesta Grand Premium для Лада Веста, XRAY (Сине-зелёная нить, Чёрный мат)</v>
      </c>
      <c r="F817" s="127" t="str">
        <f>VLOOKUP($B817,'Выгр Торг'!$B:$Q,F$1,0)</f>
        <v>Y</v>
      </c>
      <c r="G817" s="127" t="str">
        <f>VLOOKUP($B817,'Выгр Торг'!$B:$Q,G$1,0)</f>
        <v>1</v>
      </c>
      <c r="H817" s="127">
        <v>341990</v>
      </c>
      <c r="I817" s="156"/>
      <c r="J817" s="160">
        <v>830</v>
      </c>
      <c r="K817" s="161">
        <v>870</v>
      </c>
      <c r="L817" s="130">
        <f t="shared" si="557"/>
        <v>41300</v>
      </c>
      <c r="M817" s="130">
        <f t="shared" si="551"/>
        <v>42300</v>
      </c>
      <c r="N817" s="130">
        <f t="shared" si="552"/>
        <v>35300</v>
      </c>
      <c r="O817" s="132">
        <f t="shared" si="558"/>
        <v>1.0242130750605327</v>
      </c>
      <c r="P817" s="132">
        <f t="shared" si="536"/>
        <v>1.1499999999999999</v>
      </c>
      <c r="Q817" s="130">
        <f t="shared" si="554"/>
        <v>51069.892473118278</v>
      </c>
      <c r="R817" s="148">
        <f t="shared" si="559"/>
        <v>51090</v>
      </c>
      <c r="S817" s="127">
        <f>VLOOKUP($B817,'Выгр Торг'!$B:$Q,S$1,0)</f>
        <v>41300</v>
      </c>
      <c r="T817" s="127">
        <f>VLOOKUP($B817,'Выгр Торг'!$B:$Q,T$1,0)</f>
        <v>51090</v>
      </c>
      <c r="U817" s="94">
        <f t="shared" si="539"/>
        <v>0</v>
      </c>
      <c r="V817" s="94">
        <f t="shared" si="540"/>
        <v>0</v>
      </c>
      <c r="W817" s="153">
        <f t="shared" si="560"/>
        <v>47513.7</v>
      </c>
      <c r="X817" s="209">
        <f>IFERROR(VLOOKUP($B817,'Из ГУГЛа'!$B:$G,6,0)*Z817+Y817,VLOOKUP($B817,'Из ГУГЛа'!$B:$G,6,0))</f>
        <v>52290</v>
      </c>
      <c r="Y817" s="220">
        <f t="shared" si="556"/>
        <v>10800</v>
      </c>
      <c r="Z817" s="133">
        <v>1</v>
      </c>
      <c r="AA817" s="133">
        <v>1300</v>
      </c>
      <c r="AB817" s="135">
        <f t="shared" si="561"/>
        <v>0.15045278450363186</v>
      </c>
      <c r="AC817" s="135">
        <f t="shared" si="562"/>
        <v>9.1342512908778026E-2</v>
      </c>
      <c r="AD817" s="135">
        <f t="shared" si="563"/>
        <v>0.26610169491525415</v>
      </c>
      <c r="AE817" s="223">
        <v>52290</v>
      </c>
      <c r="AF817" s="36" t="s">
        <v>620</v>
      </c>
      <c r="AH817" s="98" t="s">
        <v>109</v>
      </c>
    </row>
    <row r="818" spans="1:34" ht="46.5" thickTop="1" thickBot="1">
      <c r="A818" s="125" t="str">
        <f>INDEX('Выгр Торг'!$A:$A,MATCH($B818,'Выгр Торг'!$B:$B,0))</f>
        <v>Руль анатомический "Ferrum" Vesta Grand Premium для Лада Веста, XRAY</v>
      </c>
      <c r="B818" s="126">
        <v>341997</v>
      </c>
      <c r="C818" s="127">
        <f>VLOOKUP($B818,'Выгр Торг'!$B:$Q,C$1,0)</f>
        <v>341997</v>
      </c>
      <c r="D818" s="142" t="s">
        <v>109</v>
      </c>
      <c r="E818" s="125" t="str">
        <f>VLOOKUP($B818,'Выгр Торг'!$B:$Q,E$1,0)</f>
        <v>Руль анатомический "Ferrum" Vesta Grand Premium для Лада Веста, XRAY (Синяя нить, Чёрный глянец)</v>
      </c>
      <c r="F818" s="127" t="str">
        <f>VLOOKUP($B818,'Выгр Торг'!$B:$Q,F$1,0)</f>
        <v>Y</v>
      </c>
      <c r="G818" s="127" t="str">
        <f>VLOOKUP($B818,'Выгр Торг'!$B:$Q,G$1,0)</f>
        <v>1</v>
      </c>
      <c r="H818" s="127">
        <v>341990</v>
      </c>
      <c r="I818" s="156"/>
      <c r="J818" s="160"/>
      <c r="K818" s="161">
        <v>870</v>
      </c>
      <c r="L818" s="130">
        <f t="shared" si="557"/>
        <v>40470</v>
      </c>
      <c r="M818" s="130">
        <f t="shared" si="551"/>
        <v>41470</v>
      </c>
      <c r="N818" s="130">
        <f t="shared" si="552"/>
        <v>34470</v>
      </c>
      <c r="O818" s="132">
        <f t="shared" si="558"/>
        <v>1.0247096614776376</v>
      </c>
      <c r="P818" s="132">
        <f t="shared" si="536"/>
        <v>1.1499999999999999</v>
      </c>
      <c r="Q818" s="130">
        <f t="shared" si="554"/>
        <v>50043.548387096773</v>
      </c>
      <c r="R818" s="148">
        <f t="shared" si="559"/>
        <v>50090</v>
      </c>
      <c r="S818" s="127">
        <f>VLOOKUP($B818,'Выгр Торг'!$B:$Q,S$1,0)</f>
        <v>40470</v>
      </c>
      <c r="T818" s="127">
        <f>VLOOKUP($B818,'Выгр Торг'!$B:$Q,T$1,0)</f>
        <v>50090</v>
      </c>
      <c r="U818" s="94">
        <f t="shared" si="539"/>
        <v>0</v>
      </c>
      <c r="V818" s="94">
        <f t="shared" si="540"/>
        <v>0</v>
      </c>
      <c r="W818" s="153">
        <f t="shared" si="560"/>
        <v>46583.7</v>
      </c>
      <c r="X818" s="209">
        <f>IFERROR(VLOOKUP($B818,'Из ГУГЛа'!$B:$G,6,0)*Z818+Y818,VLOOKUP($B818,'Из ГУГЛа'!$B:$G,6,0))</f>
        <v>51460</v>
      </c>
      <c r="Y818" s="220">
        <f t="shared" si="556"/>
        <v>9970</v>
      </c>
      <c r="Z818" s="133">
        <v>1</v>
      </c>
      <c r="AA818" s="134"/>
      <c r="AB818" s="135">
        <f t="shared" si="561"/>
        <v>0.15106745737583394</v>
      </c>
      <c r="AC818" s="135">
        <f t="shared" si="562"/>
        <v>9.4759036144578368E-2</v>
      </c>
      <c r="AD818" s="135">
        <f t="shared" si="563"/>
        <v>0.27155917963923892</v>
      </c>
      <c r="AE818" s="223">
        <v>51460</v>
      </c>
      <c r="AF818" s="36" t="s">
        <v>620</v>
      </c>
      <c r="AH818" s="98" t="s">
        <v>109</v>
      </c>
    </row>
    <row r="819" spans="1:34" ht="46.5" thickTop="1" thickBot="1">
      <c r="A819" s="125" t="str">
        <f>INDEX('Выгр Торг'!$A:$A,MATCH($B819,'Выгр Торг'!$B:$B,0))</f>
        <v>Руль анатомический "Ferrum" Vesta Grand Premium для Лада Веста, XRAY</v>
      </c>
      <c r="B819" s="126">
        <v>342010</v>
      </c>
      <c r="C819" s="127">
        <f>VLOOKUP($B819,'Выгр Торг'!$B:$Q,C$1,0)</f>
        <v>342010</v>
      </c>
      <c r="D819" s="142" t="s">
        <v>109</v>
      </c>
      <c r="E819" s="125" t="str">
        <f>VLOOKUP($B819,'Выгр Торг'!$B:$Q,E$1,0)</f>
        <v>Руль анатомический "Ferrum" Vesta Grand Premium для Лада Веста, XRAY (Синяя нить, Чёрный мат)</v>
      </c>
      <c r="F819" s="127" t="str">
        <f>VLOOKUP($B819,'Выгр Торг'!$B:$Q,F$1,0)</f>
        <v>Y</v>
      </c>
      <c r="G819" s="127" t="str">
        <f>VLOOKUP($B819,'Выгр Торг'!$B:$Q,G$1,0)</f>
        <v>1</v>
      </c>
      <c r="H819" s="127">
        <v>341990</v>
      </c>
      <c r="I819" s="156"/>
      <c r="J819" s="160">
        <v>830</v>
      </c>
      <c r="K819" s="161">
        <v>870</v>
      </c>
      <c r="L819" s="130">
        <f t="shared" si="557"/>
        <v>41300</v>
      </c>
      <c r="M819" s="130">
        <f t="shared" si="551"/>
        <v>42300</v>
      </c>
      <c r="N819" s="130">
        <f t="shared" si="552"/>
        <v>35300</v>
      </c>
      <c r="O819" s="132">
        <f t="shared" si="558"/>
        <v>1.0242130750605327</v>
      </c>
      <c r="P819" s="132">
        <f t="shared" si="536"/>
        <v>1.1499999999999999</v>
      </c>
      <c r="Q819" s="130">
        <f t="shared" si="554"/>
        <v>51069.892473118278</v>
      </c>
      <c r="R819" s="148">
        <f t="shared" si="559"/>
        <v>51090</v>
      </c>
      <c r="S819" s="127">
        <f>VLOOKUP($B819,'Выгр Торг'!$B:$Q,S$1,0)</f>
        <v>41300</v>
      </c>
      <c r="T819" s="127">
        <f>VLOOKUP($B819,'Выгр Торг'!$B:$Q,T$1,0)</f>
        <v>51090</v>
      </c>
      <c r="U819" s="94">
        <f t="shared" si="539"/>
        <v>0</v>
      </c>
      <c r="V819" s="94">
        <f t="shared" si="540"/>
        <v>0</v>
      </c>
      <c r="W819" s="153">
        <f t="shared" si="560"/>
        <v>47513.7</v>
      </c>
      <c r="X819" s="209">
        <f>IFERROR(VLOOKUP($B819,'Из ГУГЛа'!$B:$G,6,0)*Z819+Y819,VLOOKUP($B819,'Из ГУГЛа'!$B:$G,6,0))</f>
        <v>52290</v>
      </c>
      <c r="Y819" s="220">
        <f t="shared" si="556"/>
        <v>10800</v>
      </c>
      <c r="Z819" s="133">
        <v>1</v>
      </c>
      <c r="AA819" s="133">
        <v>1300</v>
      </c>
      <c r="AB819" s="135">
        <f t="shared" si="561"/>
        <v>0.15045278450363186</v>
      </c>
      <c r="AC819" s="135">
        <f t="shared" si="562"/>
        <v>9.1342512908778026E-2</v>
      </c>
      <c r="AD819" s="135">
        <f t="shared" si="563"/>
        <v>0.26610169491525415</v>
      </c>
      <c r="AE819" s="223">
        <v>52290</v>
      </c>
      <c r="AF819" s="36" t="s">
        <v>620</v>
      </c>
      <c r="AH819" s="98" t="s">
        <v>109</v>
      </c>
    </row>
    <row r="820" spans="1:34" ht="46.5" thickTop="1" thickBot="1">
      <c r="A820" s="125" t="str">
        <f>INDEX('Выгр Торг'!$A:$A,MATCH($B820,'Выгр Торг'!$B:$B,0))</f>
        <v>Руль анатомический "Ferrum" Vesta Grand Premium для Лада Веста, XRAY</v>
      </c>
      <c r="B820" s="126">
        <v>341999</v>
      </c>
      <c r="C820" s="127">
        <f>VLOOKUP($B820,'Выгр Торг'!$B:$Q,C$1,0)</f>
        <v>341999</v>
      </c>
      <c r="D820" s="142" t="s">
        <v>109</v>
      </c>
      <c r="E820" s="125" t="str">
        <f>VLOOKUP($B820,'Выгр Торг'!$B:$Q,E$1,0)</f>
        <v>Руль анатомический "Ferrum" Vesta Grand Premium для Лада Веста, XRAY (Тёмно-серая нить, Чёрный глянец)</v>
      </c>
      <c r="F820" s="127" t="str">
        <f>VLOOKUP($B820,'Выгр Торг'!$B:$Q,F$1,0)</f>
        <v>Y</v>
      </c>
      <c r="G820" s="127" t="str">
        <f>VLOOKUP($B820,'Выгр Торг'!$B:$Q,G$1,0)</f>
        <v>1</v>
      </c>
      <c r="H820" s="127">
        <v>341990</v>
      </c>
      <c r="I820" s="156"/>
      <c r="J820" s="160"/>
      <c r="K820" s="161">
        <v>870</v>
      </c>
      <c r="L820" s="130">
        <f t="shared" si="557"/>
        <v>40470</v>
      </c>
      <c r="M820" s="130">
        <f t="shared" si="551"/>
        <v>41470</v>
      </c>
      <c r="N820" s="130">
        <f t="shared" si="552"/>
        <v>34470</v>
      </c>
      <c r="O820" s="132">
        <f t="shared" si="558"/>
        <v>1.0247096614776376</v>
      </c>
      <c r="P820" s="132">
        <f t="shared" si="536"/>
        <v>1.1499999999999999</v>
      </c>
      <c r="Q820" s="130">
        <f t="shared" si="554"/>
        <v>50043.548387096773</v>
      </c>
      <c r="R820" s="148">
        <f t="shared" si="559"/>
        <v>50090</v>
      </c>
      <c r="S820" s="127">
        <f>VLOOKUP($B820,'Выгр Торг'!$B:$Q,S$1,0)</f>
        <v>40470</v>
      </c>
      <c r="T820" s="127">
        <f>VLOOKUP($B820,'Выгр Торг'!$B:$Q,T$1,0)</f>
        <v>50090</v>
      </c>
      <c r="U820" s="94">
        <f t="shared" si="539"/>
        <v>0</v>
      </c>
      <c r="V820" s="94">
        <f t="shared" si="540"/>
        <v>0</v>
      </c>
      <c r="W820" s="153">
        <f t="shared" si="560"/>
        <v>46583.7</v>
      </c>
      <c r="X820" s="209">
        <f>IFERROR(VLOOKUP($B820,'Из ГУГЛа'!$B:$G,6,0)*Z820+Y820,VLOOKUP($B820,'Из ГУГЛа'!$B:$G,6,0))</f>
        <v>51460</v>
      </c>
      <c r="Y820" s="220">
        <f t="shared" si="556"/>
        <v>9970</v>
      </c>
      <c r="Z820" s="133">
        <v>1</v>
      </c>
      <c r="AA820" s="134"/>
      <c r="AB820" s="135">
        <f t="shared" si="561"/>
        <v>0.15106745737583394</v>
      </c>
      <c r="AC820" s="135">
        <f t="shared" si="562"/>
        <v>9.4759036144578368E-2</v>
      </c>
      <c r="AD820" s="135">
        <f t="shared" si="563"/>
        <v>0.27155917963923892</v>
      </c>
      <c r="AE820" s="223">
        <v>51460</v>
      </c>
      <c r="AF820" s="36" t="s">
        <v>620</v>
      </c>
      <c r="AH820" s="98" t="s">
        <v>109</v>
      </c>
    </row>
    <row r="821" spans="1:34" ht="46.5" thickTop="1" thickBot="1">
      <c r="A821" s="125" t="str">
        <f>INDEX('Выгр Торг'!$A:$A,MATCH($B821,'Выгр Торг'!$B:$B,0))</f>
        <v>Руль анатомический "Ferrum" Vesta Grand Premium для Лада Веста, XRAY</v>
      </c>
      <c r="B821" s="126">
        <v>342012</v>
      </c>
      <c r="C821" s="127">
        <f>VLOOKUP($B821,'Выгр Торг'!$B:$Q,C$1,0)</f>
        <v>342012</v>
      </c>
      <c r="D821" s="142" t="s">
        <v>109</v>
      </c>
      <c r="E821" s="125" t="str">
        <f>VLOOKUP($B821,'Выгр Торг'!$B:$Q,E$1,0)</f>
        <v>Руль анатомический "Ferrum" Vesta Grand Premium для Лада Веста, XRAY (Тёмно-серая нить, Чёрный мат)</v>
      </c>
      <c r="F821" s="127" t="str">
        <f>VLOOKUP($B821,'Выгр Торг'!$B:$Q,F$1,0)</f>
        <v>Y</v>
      </c>
      <c r="G821" s="127" t="str">
        <f>VLOOKUP($B821,'Выгр Торг'!$B:$Q,G$1,0)</f>
        <v>1</v>
      </c>
      <c r="H821" s="127">
        <v>341990</v>
      </c>
      <c r="I821" s="156"/>
      <c r="J821" s="160">
        <v>830</v>
      </c>
      <c r="K821" s="161">
        <v>870</v>
      </c>
      <c r="L821" s="130">
        <f t="shared" si="557"/>
        <v>41300</v>
      </c>
      <c r="M821" s="130">
        <f t="shared" si="551"/>
        <v>42300</v>
      </c>
      <c r="N821" s="130">
        <f t="shared" si="552"/>
        <v>35300</v>
      </c>
      <c r="O821" s="132">
        <f t="shared" si="558"/>
        <v>1.0242130750605327</v>
      </c>
      <c r="P821" s="132">
        <f t="shared" si="536"/>
        <v>1.1499999999999999</v>
      </c>
      <c r="Q821" s="130">
        <f t="shared" si="554"/>
        <v>51069.892473118278</v>
      </c>
      <c r="R821" s="148">
        <f t="shared" si="559"/>
        <v>51090</v>
      </c>
      <c r="S821" s="127">
        <f>VLOOKUP($B821,'Выгр Торг'!$B:$Q,S$1,0)</f>
        <v>41300</v>
      </c>
      <c r="T821" s="127">
        <f>VLOOKUP($B821,'Выгр Торг'!$B:$Q,T$1,0)</f>
        <v>51090</v>
      </c>
      <c r="U821" s="94">
        <f t="shared" si="539"/>
        <v>0</v>
      </c>
      <c r="V821" s="94">
        <f t="shared" si="540"/>
        <v>0</v>
      </c>
      <c r="W821" s="153">
        <f t="shared" si="560"/>
        <v>47513.7</v>
      </c>
      <c r="X821" s="209">
        <f>IFERROR(VLOOKUP($B821,'Из ГУГЛа'!$B:$G,6,0)*Z821+Y821,VLOOKUP($B821,'Из ГУГЛа'!$B:$G,6,0))</f>
        <v>52290</v>
      </c>
      <c r="Y821" s="220">
        <f t="shared" si="556"/>
        <v>10800</v>
      </c>
      <c r="Z821" s="133">
        <v>1</v>
      </c>
      <c r="AA821" s="133">
        <v>1300</v>
      </c>
      <c r="AB821" s="135">
        <f t="shared" si="561"/>
        <v>0.15045278450363186</v>
      </c>
      <c r="AC821" s="135">
        <f t="shared" si="562"/>
        <v>9.1342512908778026E-2</v>
      </c>
      <c r="AD821" s="135">
        <f t="shared" si="563"/>
        <v>0.26610169491525415</v>
      </c>
      <c r="AE821" s="223">
        <v>52290</v>
      </c>
      <c r="AF821" s="36" t="s">
        <v>620</v>
      </c>
      <c r="AH821" s="98" t="s">
        <v>109</v>
      </c>
    </row>
    <row r="822" spans="1:34" ht="46.5" thickTop="1" thickBot="1">
      <c r="A822" s="125" t="str">
        <f>INDEX('Выгр Торг'!$A:$A,MATCH($B822,'Выгр Торг'!$B:$B,0))</f>
        <v>Руль анатомический "Ferrum" Vesta Grand Premium для Лада Веста, XRAY</v>
      </c>
      <c r="B822" s="126">
        <v>341991</v>
      </c>
      <c r="C822" s="127">
        <f>VLOOKUP($B822,'Выгр Торг'!$B:$Q,C$1,0)</f>
        <v>341991</v>
      </c>
      <c r="D822" s="142" t="s">
        <v>109</v>
      </c>
      <c r="E822" s="125" t="str">
        <f>VLOOKUP($B822,'Выгр Торг'!$B:$Q,E$1,0)</f>
        <v>Руль анатомический "Ferrum" Vesta Grand Premium для Лада Веста, XRAY (Фиолетовая нить, Чёрный глянец)</v>
      </c>
      <c r="F822" s="127" t="str">
        <f>VLOOKUP($B822,'Выгр Торг'!$B:$Q,F$1,0)</f>
        <v>Y</v>
      </c>
      <c r="G822" s="127" t="str">
        <f>VLOOKUP($B822,'Выгр Торг'!$B:$Q,G$1,0)</f>
        <v>1</v>
      </c>
      <c r="H822" s="127">
        <v>341990</v>
      </c>
      <c r="I822" s="156"/>
      <c r="J822" s="160"/>
      <c r="K822" s="161">
        <v>870</v>
      </c>
      <c r="L822" s="130">
        <f t="shared" si="557"/>
        <v>40470</v>
      </c>
      <c r="M822" s="130">
        <f t="shared" si="551"/>
        <v>41470</v>
      </c>
      <c r="N822" s="130">
        <f t="shared" si="552"/>
        <v>34470</v>
      </c>
      <c r="O822" s="132">
        <f t="shared" si="558"/>
        <v>1.0247096614776376</v>
      </c>
      <c r="P822" s="132">
        <f t="shared" si="536"/>
        <v>1.1499999999999999</v>
      </c>
      <c r="Q822" s="130">
        <f t="shared" si="554"/>
        <v>50043.548387096773</v>
      </c>
      <c r="R822" s="148">
        <f t="shared" si="559"/>
        <v>50090</v>
      </c>
      <c r="S822" s="127">
        <f>VLOOKUP($B822,'Выгр Торг'!$B:$Q,S$1,0)</f>
        <v>40470</v>
      </c>
      <c r="T822" s="127">
        <f>VLOOKUP($B822,'Выгр Торг'!$B:$Q,T$1,0)</f>
        <v>50090</v>
      </c>
      <c r="U822" s="94">
        <f t="shared" si="539"/>
        <v>0</v>
      </c>
      <c r="V822" s="94">
        <f t="shared" si="540"/>
        <v>0</v>
      </c>
      <c r="W822" s="153">
        <f t="shared" si="560"/>
        <v>46583.7</v>
      </c>
      <c r="X822" s="209">
        <f>IFERROR(VLOOKUP($B822,'Из ГУГЛа'!$B:$G,6,0)*Z822+Y822,VLOOKUP($B822,'Из ГУГЛа'!$B:$G,6,0))</f>
        <v>51460</v>
      </c>
      <c r="Y822" s="220">
        <f t="shared" si="556"/>
        <v>9970</v>
      </c>
      <c r="Z822" s="133">
        <v>1</v>
      </c>
      <c r="AA822" s="134"/>
      <c r="AB822" s="135">
        <f t="shared" si="561"/>
        <v>0.15106745737583394</v>
      </c>
      <c r="AC822" s="135">
        <f t="shared" si="562"/>
        <v>9.4759036144578368E-2</v>
      </c>
      <c r="AD822" s="135">
        <f t="shared" si="563"/>
        <v>0.27155917963923892</v>
      </c>
      <c r="AE822" s="223">
        <v>51460</v>
      </c>
      <c r="AF822" s="36" t="s">
        <v>620</v>
      </c>
      <c r="AH822" s="98" t="s">
        <v>109</v>
      </c>
    </row>
    <row r="823" spans="1:34" ht="46.5" thickTop="1" thickBot="1">
      <c r="A823" s="125" t="str">
        <f>INDEX('Выгр Торг'!$A:$A,MATCH($B823,'Выгр Торг'!$B:$B,0))</f>
        <v>Руль анатомический "Ferrum" Vesta Grand Premium для Лада Веста, XRAY</v>
      </c>
      <c r="B823" s="126">
        <v>342004</v>
      </c>
      <c r="C823" s="127">
        <f>VLOOKUP($B823,'Выгр Торг'!$B:$Q,C$1,0)</f>
        <v>342004</v>
      </c>
      <c r="D823" s="142" t="s">
        <v>109</v>
      </c>
      <c r="E823" s="125" t="str">
        <f>VLOOKUP($B823,'Выгр Торг'!$B:$Q,E$1,0)</f>
        <v>Руль анатомический "Ferrum" Vesta Grand Premium для Лада Веста, XRAY (Фиолетовая нить, Чёрный мат)</v>
      </c>
      <c r="F823" s="127" t="str">
        <f>VLOOKUP($B823,'Выгр Торг'!$B:$Q,F$1,0)</f>
        <v>Y</v>
      </c>
      <c r="G823" s="127" t="str">
        <f>VLOOKUP($B823,'Выгр Торг'!$B:$Q,G$1,0)</f>
        <v>1</v>
      </c>
      <c r="H823" s="127">
        <v>341990</v>
      </c>
      <c r="I823" s="156"/>
      <c r="J823" s="160">
        <v>830</v>
      </c>
      <c r="K823" s="161">
        <v>870</v>
      </c>
      <c r="L823" s="130">
        <f t="shared" si="557"/>
        <v>41300</v>
      </c>
      <c r="M823" s="130">
        <f t="shared" si="551"/>
        <v>42300</v>
      </c>
      <c r="N823" s="130">
        <f t="shared" si="552"/>
        <v>35300</v>
      </c>
      <c r="O823" s="132">
        <f t="shared" si="558"/>
        <v>1.0242130750605327</v>
      </c>
      <c r="P823" s="132">
        <f t="shared" si="536"/>
        <v>1.1499999999999999</v>
      </c>
      <c r="Q823" s="130">
        <f t="shared" si="554"/>
        <v>51069.892473118278</v>
      </c>
      <c r="R823" s="148">
        <f t="shared" si="559"/>
        <v>51090</v>
      </c>
      <c r="S823" s="127">
        <f>VLOOKUP($B823,'Выгр Торг'!$B:$Q,S$1,0)</f>
        <v>41300</v>
      </c>
      <c r="T823" s="127">
        <f>VLOOKUP($B823,'Выгр Торг'!$B:$Q,T$1,0)</f>
        <v>51090</v>
      </c>
      <c r="U823" s="94">
        <f t="shared" si="539"/>
        <v>0</v>
      </c>
      <c r="V823" s="94">
        <f t="shared" si="540"/>
        <v>0</v>
      </c>
      <c r="W823" s="153">
        <f t="shared" si="560"/>
        <v>47513.7</v>
      </c>
      <c r="X823" s="209">
        <f>IFERROR(VLOOKUP($B823,'Из ГУГЛа'!$B:$G,6,0)*Z823+Y823,VLOOKUP($B823,'Из ГУГЛа'!$B:$G,6,0))</f>
        <v>52290</v>
      </c>
      <c r="Y823" s="220">
        <f t="shared" si="556"/>
        <v>10800</v>
      </c>
      <c r="Z823" s="133">
        <v>1</v>
      </c>
      <c r="AA823" s="133">
        <v>1300</v>
      </c>
      <c r="AB823" s="135">
        <f t="shared" si="561"/>
        <v>0.15045278450363186</v>
      </c>
      <c r="AC823" s="135">
        <f t="shared" si="562"/>
        <v>9.1342512908778026E-2</v>
      </c>
      <c r="AD823" s="135">
        <f t="shared" si="563"/>
        <v>0.26610169491525415</v>
      </c>
      <c r="AE823" s="223">
        <v>52290</v>
      </c>
      <c r="AF823" s="36" t="s">
        <v>620</v>
      </c>
      <c r="AH823" s="98" t="s">
        <v>109</v>
      </c>
    </row>
    <row r="824" spans="1:34" ht="31.5" thickTop="1" thickBot="1">
      <c r="A824" s="125" t="str">
        <f>INDEX('Выгр Торг'!$A:$A,MATCH($B824,'Выгр Торг'!$B:$B,0))</f>
        <v>Руль анатомический "Ferrum" Vesta Lite для Лада Веста, XRAY</v>
      </c>
      <c r="B824" s="126">
        <v>342019</v>
      </c>
      <c r="C824" s="127">
        <f>VLOOKUP($B824,'Выгр Торг'!$B:$Q,C$1,0)</f>
        <v>342019</v>
      </c>
      <c r="D824" s="142" t="s">
        <v>149</v>
      </c>
      <c r="E824" s="125" t="str">
        <f>VLOOKUP($B824,'Выгр Торг'!$B:$Q,E$1,0)</f>
        <v>Руль анатомический "Ferrum" Vesta Lite для Лада Веста, XRAY (Чёрная нить, Чёрный глянец)</v>
      </c>
      <c r="F824" s="127" t="str">
        <f>VLOOKUP($B824,'Выгр Торг'!$B:$Q,F$1,0)</f>
        <v>Y</v>
      </c>
      <c r="G824" s="127" t="str">
        <f>VLOOKUP($B824,'Выгр Торг'!$B:$Q,G$1,0)</f>
        <v>1</v>
      </c>
      <c r="H824" s="127">
        <v>342019</v>
      </c>
      <c r="I824" s="156"/>
      <c r="J824" s="160">
        <v>7000</v>
      </c>
      <c r="K824" s="161">
        <v>0</v>
      </c>
      <c r="L824" s="130">
        <f>M824-1000</f>
        <v>39800</v>
      </c>
      <c r="M824" s="131">
        <f>N824+J824</f>
        <v>40800</v>
      </c>
      <c r="N824" s="131">
        <v>33800</v>
      </c>
      <c r="O824" s="132">
        <f t="shared" ref="O824:O826" si="564">M824/L824</f>
        <v>1.0251256281407035</v>
      </c>
      <c r="P824" s="132">
        <f t="shared" si="536"/>
        <v>1.1499999999999999</v>
      </c>
      <c r="Q824" s="147">
        <f t="shared" ref="Q824" si="565">L824*P824*100/93</f>
        <v>49215.053763440861</v>
      </c>
      <c r="R824" s="148">
        <f t="shared" ref="R824:R825" si="566">IF(Q824&lt;=1000,(ROUNDUP(Q824,-2)-1),(ROUNDUP(Q824,-2)-10))</f>
        <v>49290</v>
      </c>
      <c r="S824" s="127">
        <f>VLOOKUP($B824,'Выгр Торг'!$B:$Q,S$1,0)</f>
        <v>39800</v>
      </c>
      <c r="T824" s="127">
        <f>VLOOKUP($B824,'Выгр Торг'!$B:$Q,T$1,0)</f>
        <v>49290</v>
      </c>
      <c r="U824" s="94">
        <f t="shared" si="539"/>
        <v>0</v>
      </c>
      <c r="V824" s="94">
        <f t="shared" si="540"/>
        <v>0</v>
      </c>
      <c r="W824" s="153">
        <f>R824*(1-$W$2)</f>
        <v>45839.7</v>
      </c>
      <c r="X824" s="209">
        <f>IFERROR(VLOOKUP($B824,'Из ГУГЛа'!$B:$G,6,0)*Z824+Y824,VLOOKUP($B824,'Из ГУГЛа'!$B:$G,6,0))</f>
        <v>50890</v>
      </c>
      <c r="Y824" s="106">
        <f>(J824+K824)*$Y$2</f>
        <v>9100</v>
      </c>
      <c r="Z824" s="133">
        <v>1</v>
      </c>
      <c r="AA824" s="134"/>
      <c r="AB824" s="135">
        <f>IFERROR(W824/L824-1,"")</f>
        <v>0.15175125628140695</v>
      </c>
      <c r="AC824" s="135">
        <f>IFERROR((AE824-W824)/AE824,"")</f>
        <v>9.9239536254666985E-2</v>
      </c>
      <c r="AD824" s="135">
        <f>IFERROR(IF(AE824="","",AE824/L824-1),"")</f>
        <v>0.27864321608040199</v>
      </c>
      <c r="AE824" s="223">
        <v>50890</v>
      </c>
      <c r="AF824" s="36" t="s">
        <v>618</v>
      </c>
      <c r="AH824" s="98" t="s">
        <v>149</v>
      </c>
    </row>
    <row r="825" spans="1:34" ht="31.5" thickTop="1" thickBot="1">
      <c r="A825" s="125" t="str">
        <f>INDEX('Выгр Торг'!$A:$A,MATCH($B825,'Выгр Торг'!$B:$B,0))</f>
        <v>Руль анатомический "Ferrum" Vesta Lite для Лада Веста, XRAY</v>
      </c>
      <c r="B825" s="126">
        <v>342032</v>
      </c>
      <c r="C825" s="127">
        <f>VLOOKUP($B825,'Выгр Торг'!$B:$Q,C$1,0)</f>
        <v>342032</v>
      </c>
      <c r="D825" s="142" t="s">
        <v>149</v>
      </c>
      <c r="E825" s="125" t="str">
        <f>VLOOKUP($B825,'Выгр Торг'!$B:$Q,E$1,0)</f>
        <v>Руль анатомический "Ferrum" Vesta Lite для Лада Веста, XRAY (Чёрная нить, Чёрный мат)</v>
      </c>
      <c r="F825" s="127" t="str">
        <f>VLOOKUP($B825,'Выгр Торг'!$B:$Q,F$1,0)</f>
        <v>Y</v>
      </c>
      <c r="G825" s="127" t="str">
        <f>VLOOKUP($B825,'Выгр Торг'!$B:$Q,G$1,0)</f>
        <v>1</v>
      </c>
      <c r="H825" s="127">
        <v>342019</v>
      </c>
      <c r="I825" s="156"/>
      <c r="J825" s="160">
        <v>830</v>
      </c>
      <c r="K825" s="161">
        <v>0</v>
      </c>
      <c r="L825" s="130">
        <f t="shared" si="557"/>
        <v>40630</v>
      </c>
      <c r="M825" s="130">
        <f t="shared" ref="M825:M849" si="567">INDEX($M:$M,MATCH($H825,$C:$C,0))+$K825+$J825</f>
        <v>41630</v>
      </c>
      <c r="N825" s="130">
        <f t="shared" ref="N825:N849" si="568">INDEX($N:$N,MATCH($H825,$C:$C,0))+$K825+$J825</f>
        <v>34630</v>
      </c>
      <c r="O825" s="132">
        <f t="shared" ref="O825" si="569">M825/L825</f>
        <v>1.024612355402412</v>
      </c>
      <c r="P825" s="132">
        <f t="shared" si="536"/>
        <v>1.1499999999999999</v>
      </c>
      <c r="Q825" s="130">
        <f t="shared" ref="Q825:Q849" si="570">INDEX($Q:$Q,MATCH($H825,$C:$C,0))+($K825+$J825)*INDEX($P:$P,MATCH($H825,$C:$C,0))*100/93</f>
        <v>50241.397849462366</v>
      </c>
      <c r="R825" s="148">
        <f t="shared" si="566"/>
        <v>50290</v>
      </c>
      <c r="S825" s="127">
        <f>VLOOKUP($B825,'Выгр Торг'!$B:$Q,S$1,0)</f>
        <v>40630</v>
      </c>
      <c r="T825" s="127">
        <f>VLOOKUP($B825,'Выгр Торг'!$B:$Q,T$1,0)</f>
        <v>50290</v>
      </c>
      <c r="U825" s="94">
        <f t="shared" si="539"/>
        <v>0</v>
      </c>
      <c r="V825" s="94">
        <f t="shared" si="540"/>
        <v>0</v>
      </c>
      <c r="W825" s="153">
        <f>R825*(1-$W$2)</f>
        <v>46769.7</v>
      </c>
      <c r="X825" s="209">
        <f>IFERROR(VLOOKUP($B825,'Из ГУГЛа'!$B:$G,6,0)*Z825+Y825,VLOOKUP($B825,'Из ГУГЛа'!$B:$G,6,0))</f>
        <v>51720</v>
      </c>
      <c r="Y825" s="220">
        <f t="shared" ref="Y825:Y849" si="571">INDEX($Y:$Y,MATCH($H825,$C:$C,0))+J825+K825</f>
        <v>9930</v>
      </c>
      <c r="Z825" s="133">
        <v>1</v>
      </c>
      <c r="AA825" s="133">
        <v>1300</v>
      </c>
      <c r="AB825" s="135">
        <f>IFERROR(W825/L825-1,"")</f>
        <v>0.15111247846418885</v>
      </c>
      <c r="AC825" s="135">
        <f>IFERROR((AE825-W825)/AE825,"")</f>
        <v>9.5713457076566186E-2</v>
      </c>
      <c r="AD825" s="135">
        <f>IFERROR(IF(AE825="","",AE825/L825-1),"")</f>
        <v>0.2729510214127493</v>
      </c>
      <c r="AE825" s="223">
        <v>51720</v>
      </c>
      <c r="AF825" s="36" t="s">
        <v>618</v>
      </c>
      <c r="AH825" s="98" t="s">
        <v>149</v>
      </c>
    </row>
    <row r="826" spans="1:34" ht="31.5" thickTop="1" thickBot="1">
      <c r="A826" s="125" t="str">
        <f>INDEX('Выгр Торг'!$A:$A,MATCH($B826,'Выгр Торг'!$B:$B,0))</f>
        <v>Руль анатомический "Ferrum" Vesta Lite для Лада Веста, XRAY</v>
      </c>
      <c r="B826" s="126">
        <v>342018</v>
      </c>
      <c r="C826" s="127">
        <f>VLOOKUP($B826,'Выгр Торг'!$B:$Q,C$1,0)</f>
        <v>342018</v>
      </c>
      <c r="D826" s="142" t="s">
        <v>149</v>
      </c>
      <c r="E826" s="125" t="str">
        <f>VLOOKUP($B826,'Выгр Торг'!$B:$Q,E$1,0)</f>
        <v>Руль анатомический "Ferrum" Vesta Lite для Лада Веста, XRAY (Белая нить, Чёрный глянец)</v>
      </c>
      <c r="F826" s="127" t="str">
        <f>VLOOKUP($B826,'Выгр Торг'!$B:$Q,F$1,0)</f>
        <v>Y</v>
      </c>
      <c r="G826" s="127" t="str">
        <f>VLOOKUP($B826,'Выгр Торг'!$B:$Q,G$1,0)</f>
        <v>1</v>
      </c>
      <c r="H826" s="127">
        <v>342019</v>
      </c>
      <c r="I826" s="156"/>
      <c r="J826" s="160"/>
      <c r="K826" s="161">
        <v>870</v>
      </c>
      <c r="L826" s="130">
        <f t="shared" si="557"/>
        <v>40670</v>
      </c>
      <c r="M826" s="130">
        <f t="shared" si="567"/>
        <v>41670</v>
      </c>
      <c r="N826" s="130">
        <f t="shared" si="568"/>
        <v>34670</v>
      </c>
      <c r="O826" s="132">
        <f t="shared" si="564"/>
        <v>1.0245881485124171</v>
      </c>
      <c r="P826" s="132">
        <f t="shared" si="536"/>
        <v>1.1499999999999999</v>
      </c>
      <c r="Q826" s="130">
        <f t="shared" si="570"/>
        <v>50290.860215053763</v>
      </c>
      <c r="R826" s="148">
        <f t="shared" si="559"/>
        <v>50290</v>
      </c>
      <c r="S826" s="127">
        <f>VLOOKUP($B826,'Выгр Торг'!$B:$Q,S$1,0)</f>
        <v>40670</v>
      </c>
      <c r="T826" s="127">
        <f>VLOOKUP($B826,'Выгр Торг'!$B:$Q,T$1,0)</f>
        <v>50290</v>
      </c>
      <c r="U826" s="94">
        <f t="shared" si="539"/>
        <v>0</v>
      </c>
      <c r="V826" s="94">
        <f t="shared" si="540"/>
        <v>0</v>
      </c>
      <c r="W826" s="153">
        <f t="shared" si="560"/>
        <v>46769.7</v>
      </c>
      <c r="X826" s="209">
        <f>IFERROR(VLOOKUP($B826,'Из ГУГЛа'!$B:$G,6,0)*Z826+Y826,VLOOKUP($B826,'Из ГУГЛа'!$B:$G,6,0))</f>
        <v>51760</v>
      </c>
      <c r="Y826" s="220">
        <f t="shared" si="571"/>
        <v>9970</v>
      </c>
      <c r="Z826" s="133">
        <v>1</v>
      </c>
      <c r="AA826" s="134"/>
      <c r="AB826" s="135">
        <f t="shared" si="561"/>
        <v>0.14998032948118989</v>
      </c>
      <c r="AC826" s="135">
        <f t="shared" si="562"/>
        <v>9.641228748068012E-2</v>
      </c>
      <c r="AD826" s="135">
        <f t="shared" si="563"/>
        <v>0.27268256700270466</v>
      </c>
      <c r="AE826" s="223">
        <v>51760</v>
      </c>
      <c r="AF826" s="36" t="s">
        <v>618</v>
      </c>
      <c r="AH826" s="98" t="s">
        <v>149</v>
      </c>
    </row>
    <row r="827" spans="1:34" ht="31.5" thickTop="1" thickBot="1">
      <c r="A827" s="125" t="str">
        <f>INDEX('Выгр Торг'!$A:$A,MATCH($B827,'Выгр Торг'!$B:$B,0))</f>
        <v>Руль анатомический "Ferrum" Vesta Lite для Лада Веста, XRAY</v>
      </c>
      <c r="B827" s="126">
        <v>342031</v>
      </c>
      <c r="C827" s="127">
        <f>VLOOKUP($B827,'Выгр Торг'!$B:$Q,C$1,0)</f>
        <v>342031</v>
      </c>
      <c r="D827" s="142" t="s">
        <v>149</v>
      </c>
      <c r="E827" s="125" t="str">
        <f>VLOOKUP($B827,'Выгр Торг'!$B:$Q,E$1,0)</f>
        <v>Руль анатомический "Ferrum" Vesta Lite для Лада Веста, XRAY (Белая нить, Чёрный мат)</v>
      </c>
      <c r="F827" s="127" t="str">
        <f>VLOOKUP($B827,'Выгр Торг'!$B:$Q,F$1,0)</f>
        <v>Y</v>
      </c>
      <c r="G827" s="127" t="str">
        <f>VLOOKUP($B827,'Выгр Торг'!$B:$Q,G$1,0)</f>
        <v>1</v>
      </c>
      <c r="H827" s="127">
        <v>342019</v>
      </c>
      <c r="I827" s="156"/>
      <c r="J827" s="160">
        <v>830</v>
      </c>
      <c r="K827" s="161">
        <v>870</v>
      </c>
      <c r="L827" s="130">
        <f t="shared" si="557"/>
        <v>41500</v>
      </c>
      <c r="M827" s="130">
        <f t="shared" si="567"/>
        <v>42500</v>
      </c>
      <c r="N827" s="130">
        <f t="shared" si="568"/>
        <v>35500</v>
      </c>
      <c r="O827" s="132">
        <f t="shared" ref="O827" si="572">M827/L827</f>
        <v>1.0240963855421688</v>
      </c>
      <c r="P827" s="132">
        <f t="shared" si="536"/>
        <v>1.1499999999999999</v>
      </c>
      <c r="Q827" s="130">
        <f t="shared" si="570"/>
        <v>51317.204301075268</v>
      </c>
      <c r="R827" s="148">
        <f t="shared" ref="R827" si="573">IF(Q827&lt;=1000,(ROUNDUP(Q827,-2)-1),(ROUNDUP(Q827,-2)-10))</f>
        <v>51390</v>
      </c>
      <c r="S827" s="127">
        <f>VLOOKUP($B827,'Выгр Торг'!$B:$Q,S$1,0)</f>
        <v>41500</v>
      </c>
      <c r="T827" s="127">
        <f>VLOOKUP($B827,'Выгр Торг'!$B:$Q,T$1,0)</f>
        <v>51390</v>
      </c>
      <c r="U827" s="94">
        <f t="shared" si="539"/>
        <v>0</v>
      </c>
      <c r="V827" s="94">
        <f t="shared" si="540"/>
        <v>0</v>
      </c>
      <c r="W827" s="153">
        <f t="shared" si="560"/>
        <v>47792.7</v>
      </c>
      <c r="X827" s="209">
        <f>IFERROR(VLOOKUP($B827,'Из ГУГЛа'!$B:$G,6,0)*Z827+Y827,VLOOKUP($B827,'Из ГУГЛа'!$B:$G,6,0))</f>
        <v>52590</v>
      </c>
      <c r="Y827" s="220">
        <f t="shared" si="571"/>
        <v>10800</v>
      </c>
      <c r="Z827" s="133">
        <v>1</v>
      </c>
      <c r="AA827" s="133">
        <v>1300</v>
      </c>
      <c r="AB827" s="135">
        <f t="shared" si="561"/>
        <v>0.15163132530120471</v>
      </c>
      <c r="AC827" s="135">
        <f t="shared" si="562"/>
        <v>9.122076440387912E-2</v>
      </c>
      <c r="AD827" s="135">
        <f t="shared" si="563"/>
        <v>0.26722891566265061</v>
      </c>
      <c r="AE827" s="223">
        <v>52590</v>
      </c>
      <c r="AF827" s="36" t="s">
        <v>618</v>
      </c>
      <c r="AH827" s="98" t="s">
        <v>149</v>
      </c>
    </row>
    <row r="828" spans="1:34" ht="31.5" thickTop="1" thickBot="1">
      <c r="A828" s="125" t="str">
        <f>INDEX('Выгр Торг'!$A:$A,MATCH($B828,'Выгр Торг'!$B:$B,0))</f>
        <v>Руль анатомический "Ferrum" Vesta Lite для Лада Веста, XRAY</v>
      </c>
      <c r="B828" s="126">
        <v>342030</v>
      </c>
      <c r="C828" s="127">
        <f>VLOOKUP($B828,'Выгр Торг'!$B:$Q,C$1,0)</f>
        <v>342030</v>
      </c>
      <c r="D828" s="142" t="s">
        <v>149</v>
      </c>
      <c r="E828" s="125" t="str">
        <f>VLOOKUP($B828,'Выгр Торг'!$B:$Q,E$1,0)</f>
        <v>Руль анатомический "Ferrum" Vesta Lite для Лада Веста, XRAY (Жёлтая нить, Чёрный глянец)</v>
      </c>
      <c r="F828" s="127" t="str">
        <f>VLOOKUP($B828,'Выгр Торг'!$B:$Q,F$1,0)</f>
        <v>Y</v>
      </c>
      <c r="G828" s="127" t="str">
        <f>VLOOKUP($B828,'Выгр Торг'!$B:$Q,G$1,0)</f>
        <v>1</v>
      </c>
      <c r="H828" s="127">
        <v>342019</v>
      </c>
      <c r="I828" s="156"/>
      <c r="J828" s="160"/>
      <c r="K828" s="161">
        <v>870</v>
      </c>
      <c r="L828" s="130">
        <f t="shared" si="557"/>
        <v>40670</v>
      </c>
      <c r="M828" s="130">
        <f t="shared" si="567"/>
        <v>41670</v>
      </c>
      <c r="N828" s="130">
        <f t="shared" si="568"/>
        <v>34670</v>
      </c>
      <c r="O828" s="132">
        <f t="shared" si="558"/>
        <v>1.0245881485124171</v>
      </c>
      <c r="P828" s="132">
        <f t="shared" si="536"/>
        <v>1.1499999999999999</v>
      </c>
      <c r="Q828" s="130">
        <f t="shared" si="570"/>
        <v>50290.860215053763</v>
      </c>
      <c r="R828" s="148">
        <f t="shared" si="559"/>
        <v>50290</v>
      </c>
      <c r="S828" s="127">
        <f>VLOOKUP($B828,'Выгр Торг'!$B:$Q,S$1,0)</f>
        <v>40670</v>
      </c>
      <c r="T828" s="127">
        <f>VLOOKUP($B828,'Выгр Торг'!$B:$Q,T$1,0)</f>
        <v>50290</v>
      </c>
      <c r="U828" s="94">
        <f t="shared" si="539"/>
        <v>0</v>
      </c>
      <c r="V828" s="94">
        <f t="shared" si="540"/>
        <v>0</v>
      </c>
      <c r="W828" s="153">
        <f t="shared" si="560"/>
        <v>46769.7</v>
      </c>
      <c r="X828" s="209">
        <f>IFERROR(VLOOKUP($B828,'Из ГУГЛа'!$B:$G,6,0)*Z828+Y828,VLOOKUP($B828,'Из ГУГЛа'!$B:$G,6,0))</f>
        <v>51760</v>
      </c>
      <c r="Y828" s="220">
        <f t="shared" si="571"/>
        <v>9970</v>
      </c>
      <c r="Z828" s="133">
        <v>1</v>
      </c>
      <c r="AA828" s="134"/>
      <c r="AB828" s="135">
        <f t="shared" si="561"/>
        <v>0.14998032948118989</v>
      </c>
      <c r="AC828" s="135">
        <f t="shared" si="562"/>
        <v>9.641228748068012E-2</v>
      </c>
      <c r="AD828" s="135">
        <f t="shared" si="563"/>
        <v>0.27268256700270466</v>
      </c>
      <c r="AE828" s="223">
        <v>51760</v>
      </c>
      <c r="AF828" s="36" t="s">
        <v>618</v>
      </c>
      <c r="AH828" s="98" t="s">
        <v>149</v>
      </c>
    </row>
    <row r="829" spans="1:34" ht="31.5" thickTop="1" thickBot="1">
      <c r="A829" s="125" t="str">
        <f>INDEX('Выгр Торг'!$A:$A,MATCH($B829,'Выгр Торг'!$B:$B,0))</f>
        <v>Руль анатомический "Ferrum" Vesta Lite для Лада Веста, XRAY</v>
      </c>
      <c r="B829" s="126">
        <v>342043</v>
      </c>
      <c r="C829" s="127">
        <f>VLOOKUP($B829,'Выгр Торг'!$B:$Q,C$1,0)</f>
        <v>342043</v>
      </c>
      <c r="D829" s="142" t="s">
        <v>149</v>
      </c>
      <c r="E829" s="125" t="str">
        <f>VLOOKUP($B829,'Выгр Торг'!$B:$Q,E$1,0)</f>
        <v>Руль анатомический "Ferrum" Vesta Lite для Лада Веста, XRAY (Жёлтая нить, Чёрный мат)</v>
      </c>
      <c r="F829" s="127" t="str">
        <f>VLOOKUP($B829,'Выгр Торг'!$B:$Q,F$1,0)</f>
        <v>Y</v>
      </c>
      <c r="G829" s="127" t="str">
        <f>VLOOKUP($B829,'Выгр Торг'!$B:$Q,G$1,0)</f>
        <v>1</v>
      </c>
      <c r="H829" s="127">
        <v>342019</v>
      </c>
      <c r="I829" s="156"/>
      <c r="J829" s="160">
        <v>830</v>
      </c>
      <c r="K829" s="161">
        <v>870</v>
      </c>
      <c r="L829" s="130">
        <f t="shared" si="557"/>
        <v>41500</v>
      </c>
      <c r="M829" s="130">
        <f t="shared" si="567"/>
        <v>42500</v>
      </c>
      <c r="N829" s="130">
        <f t="shared" si="568"/>
        <v>35500</v>
      </c>
      <c r="O829" s="132">
        <f t="shared" si="558"/>
        <v>1.0240963855421688</v>
      </c>
      <c r="P829" s="132">
        <f t="shared" si="536"/>
        <v>1.1499999999999999</v>
      </c>
      <c r="Q829" s="130">
        <f t="shared" si="570"/>
        <v>51317.204301075268</v>
      </c>
      <c r="R829" s="148">
        <f t="shared" si="559"/>
        <v>51390</v>
      </c>
      <c r="S829" s="127">
        <f>VLOOKUP($B829,'Выгр Торг'!$B:$Q,S$1,0)</f>
        <v>41500</v>
      </c>
      <c r="T829" s="127">
        <f>VLOOKUP($B829,'Выгр Торг'!$B:$Q,T$1,0)</f>
        <v>51390</v>
      </c>
      <c r="U829" s="94">
        <f t="shared" si="539"/>
        <v>0</v>
      </c>
      <c r="V829" s="94">
        <f t="shared" si="540"/>
        <v>0</v>
      </c>
      <c r="W829" s="153">
        <f t="shared" si="560"/>
        <v>47792.7</v>
      </c>
      <c r="X829" s="209">
        <f>IFERROR(VLOOKUP($B829,'Из ГУГЛа'!$B:$G,6,0)*Z829+Y829,VLOOKUP($B829,'Из ГУГЛа'!$B:$G,6,0))</f>
        <v>52590</v>
      </c>
      <c r="Y829" s="220">
        <f t="shared" si="571"/>
        <v>10800</v>
      </c>
      <c r="Z829" s="133">
        <v>1</v>
      </c>
      <c r="AA829" s="133">
        <v>1300</v>
      </c>
      <c r="AB829" s="135">
        <f t="shared" si="561"/>
        <v>0.15163132530120471</v>
      </c>
      <c r="AC829" s="135">
        <f t="shared" si="562"/>
        <v>9.122076440387912E-2</v>
      </c>
      <c r="AD829" s="135">
        <f t="shared" si="563"/>
        <v>0.26722891566265061</v>
      </c>
      <c r="AE829" s="223">
        <v>52590</v>
      </c>
      <c r="AF829" s="36" t="s">
        <v>618</v>
      </c>
      <c r="AH829" s="98" t="s">
        <v>149</v>
      </c>
    </row>
    <row r="830" spans="1:34" ht="31.5" thickTop="1" thickBot="1">
      <c r="A830" s="125" t="str">
        <f>INDEX('Выгр Торг'!$A:$A,MATCH($B830,'Выгр Торг'!$B:$B,0))</f>
        <v>Руль анатомический "Ferrum" Vesta Lite для Лада Веста, XRAY</v>
      </c>
      <c r="B830" s="126">
        <v>342029</v>
      </c>
      <c r="C830" s="127">
        <f>VLOOKUP($B830,'Выгр Торг'!$B:$Q,C$1,0)</f>
        <v>342029</v>
      </c>
      <c r="D830" s="142" t="s">
        <v>149</v>
      </c>
      <c r="E830" s="125" t="str">
        <f>VLOOKUP($B830,'Выгр Торг'!$B:$Q,E$1,0)</f>
        <v>Руль анатомический "Ferrum" Vesta Lite для Лада Веста, XRAY (Зелёная нить, Чёрный глянец)</v>
      </c>
      <c r="F830" s="127" t="str">
        <f>VLOOKUP($B830,'Выгр Торг'!$B:$Q,F$1,0)</f>
        <v>Y</v>
      </c>
      <c r="G830" s="127" t="str">
        <f>VLOOKUP($B830,'Выгр Торг'!$B:$Q,G$1,0)</f>
        <v>1</v>
      </c>
      <c r="H830" s="127">
        <v>342019</v>
      </c>
      <c r="I830" s="156"/>
      <c r="J830" s="160"/>
      <c r="K830" s="161">
        <v>870</v>
      </c>
      <c r="L830" s="130">
        <f t="shared" si="557"/>
        <v>40670</v>
      </c>
      <c r="M830" s="130">
        <f t="shared" si="567"/>
        <v>41670</v>
      </c>
      <c r="N830" s="130">
        <f t="shared" si="568"/>
        <v>34670</v>
      </c>
      <c r="O830" s="132">
        <f t="shared" si="558"/>
        <v>1.0245881485124171</v>
      </c>
      <c r="P830" s="132">
        <f t="shared" si="536"/>
        <v>1.1499999999999999</v>
      </c>
      <c r="Q830" s="130">
        <f t="shared" si="570"/>
        <v>50290.860215053763</v>
      </c>
      <c r="R830" s="148">
        <f t="shared" si="559"/>
        <v>50290</v>
      </c>
      <c r="S830" s="127">
        <f>VLOOKUP($B830,'Выгр Торг'!$B:$Q,S$1,0)</f>
        <v>40670</v>
      </c>
      <c r="T830" s="127">
        <f>VLOOKUP($B830,'Выгр Торг'!$B:$Q,T$1,0)</f>
        <v>50290</v>
      </c>
      <c r="U830" s="94">
        <f t="shared" si="539"/>
        <v>0</v>
      </c>
      <c r="V830" s="94">
        <f t="shared" si="540"/>
        <v>0</v>
      </c>
      <c r="W830" s="153">
        <f t="shared" si="560"/>
        <v>46769.7</v>
      </c>
      <c r="X830" s="209">
        <f>IFERROR(VLOOKUP($B830,'Из ГУГЛа'!$B:$G,6,0)*Z830+Y830,VLOOKUP($B830,'Из ГУГЛа'!$B:$G,6,0))</f>
        <v>51760</v>
      </c>
      <c r="Y830" s="220">
        <f t="shared" si="571"/>
        <v>9970</v>
      </c>
      <c r="Z830" s="133">
        <v>1</v>
      </c>
      <c r="AA830" s="134"/>
      <c r="AB830" s="135">
        <f t="shared" si="561"/>
        <v>0.14998032948118989</v>
      </c>
      <c r="AC830" s="135">
        <f t="shared" si="562"/>
        <v>9.641228748068012E-2</v>
      </c>
      <c r="AD830" s="135">
        <f t="shared" si="563"/>
        <v>0.27268256700270466</v>
      </c>
      <c r="AE830" s="223">
        <v>51760</v>
      </c>
      <c r="AF830" s="36" t="s">
        <v>618</v>
      </c>
      <c r="AH830" s="98" t="s">
        <v>149</v>
      </c>
    </row>
    <row r="831" spans="1:34" ht="31.5" thickTop="1" thickBot="1">
      <c r="A831" s="125" t="str">
        <f>INDEX('Выгр Торг'!$A:$A,MATCH($B831,'Выгр Торг'!$B:$B,0))</f>
        <v>Руль анатомический "Ferrum" Vesta Lite для Лада Веста, XRAY</v>
      </c>
      <c r="B831" s="126">
        <v>342042</v>
      </c>
      <c r="C831" s="127">
        <f>VLOOKUP($B831,'Выгр Торг'!$B:$Q,C$1,0)</f>
        <v>342042</v>
      </c>
      <c r="D831" s="142" t="s">
        <v>149</v>
      </c>
      <c r="E831" s="125" t="str">
        <f>VLOOKUP($B831,'Выгр Торг'!$B:$Q,E$1,0)</f>
        <v>Руль анатомический "Ferrum" Vesta Lite для Лада Веста, XRAY (Зелёная нить, Чёрный мат)</v>
      </c>
      <c r="F831" s="127" t="str">
        <f>VLOOKUP($B831,'Выгр Торг'!$B:$Q,F$1,0)</f>
        <v>Y</v>
      </c>
      <c r="G831" s="127" t="str">
        <f>VLOOKUP($B831,'Выгр Торг'!$B:$Q,G$1,0)</f>
        <v>1</v>
      </c>
      <c r="H831" s="127">
        <v>342019</v>
      </c>
      <c r="I831" s="156"/>
      <c r="J831" s="160">
        <v>830</v>
      </c>
      <c r="K831" s="161">
        <v>870</v>
      </c>
      <c r="L831" s="130">
        <f t="shared" si="557"/>
        <v>41500</v>
      </c>
      <c r="M831" s="130">
        <f t="shared" si="567"/>
        <v>42500</v>
      </c>
      <c r="N831" s="130">
        <f t="shared" si="568"/>
        <v>35500</v>
      </c>
      <c r="O831" s="132">
        <f t="shared" si="558"/>
        <v>1.0240963855421688</v>
      </c>
      <c r="P831" s="132">
        <f t="shared" si="536"/>
        <v>1.1499999999999999</v>
      </c>
      <c r="Q831" s="130">
        <f t="shared" si="570"/>
        <v>51317.204301075268</v>
      </c>
      <c r="R831" s="148">
        <f t="shared" si="559"/>
        <v>51390</v>
      </c>
      <c r="S831" s="127">
        <f>VLOOKUP($B831,'Выгр Торг'!$B:$Q,S$1,0)</f>
        <v>41500</v>
      </c>
      <c r="T831" s="127">
        <f>VLOOKUP($B831,'Выгр Торг'!$B:$Q,T$1,0)</f>
        <v>51390</v>
      </c>
      <c r="U831" s="94">
        <f t="shared" si="539"/>
        <v>0</v>
      </c>
      <c r="V831" s="94">
        <f t="shared" si="540"/>
        <v>0</v>
      </c>
      <c r="W831" s="153">
        <f t="shared" si="560"/>
        <v>47792.7</v>
      </c>
      <c r="X831" s="209">
        <f>IFERROR(VLOOKUP($B831,'Из ГУГЛа'!$B:$G,6,0)*Z831+Y831,VLOOKUP($B831,'Из ГУГЛа'!$B:$G,6,0))</f>
        <v>52590</v>
      </c>
      <c r="Y831" s="220">
        <f t="shared" si="571"/>
        <v>10800</v>
      </c>
      <c r="Z831" s="133">
        <v>1</v>
      </c>
      <c r="AA831" s="133">
        <v>1300</v>
      </c>
      <c r="AB831" s="135">
        <f t="shared" si="561"/>
        <v>0.15163132530120471</v>
      </c>
      <c r="AC831" s="135">
        <f t="shared" si="562"/>
        <v>9.122076440387912E-2</v>
      </c>
      <c r="AD831" s="135">
        <f t="shared" si="563"/>
        <v>0.26722891566265061</v>
      </c>
      <c r="AE831" s="223">
        <v>52590</v>
      </c>
      <c r="AF831" s="36" t="s">
        <v>618</v>
      </c>
      <c r="AH831" s="98" t="s">
        <v>149</v>
      </c>
    </row>
    <row r="832" spans="1:34" ht="31.5" thickTop="1" thickBot="1">
      <c r="A832" s="125" t="str">
        <f>INDEX('Выгр Торг'!$A:$A,MATCH($B832,'Выгр Торг'!$B:$B,0))</f>
        <v>Руль анатомический "Ferrum" Vesta Lite для Лада Веста, XRAY</v>
      </c>
      <c r="B832" s="126">
        <v>342021</v>
      </c>
      <c r="C832" s="127">
        <f>VLOOKUP($B832,'Выгр Торг'!$B:$Q,C$1,0)</f>
        <v>342021</v>
      </c>
      <c r="D832" s="142" t="s">
        <v>149</v>
      </c>
      <c r="E832" s="125" t="str">
        <f>VLOOKUP($B832,'Выгр Торг'!$B:$Q,E$1,0)</f>
        <v>Руль анатомический "Ferrum" Vesta Lite для Лада Веста, XRAY (Коричневая нить, Чёрный глянец)</v>
      </c>
      <c r="F832" s="127" t="str">
        <f>VLOOKUP($B832,'Выгр Торг'!$B:$Q,F$1,0)</f>
        <v>Y</v>
      </c>
      <c r="G832" s="127" t="str">
        <f>VLOOKUP($B832,'Выгр Торг'!$B:$Q,G$1,0)</f>
        <v>1</v>
      </c>
      <c r="H832" s="127">
        <v>342019</v>
      </c>
      <c r="I832" s="156"/>
      <c r="J832" s="160"/>
      <c r="K832" s="161">
        <v>870</v>
      </c>
      <c r="L832" s="130">
        <f t="shared" si="557"/>
        <v>40670</v>
      </c>
      <c r="M832" s="130">
        <f t="shared" si="567"/>
        <v>41670</v>
      </c>
      <c r="N832" s="130">
        <f t="shared" si="568"/>
        <v>34670</v>
      </c>
      <c r="O832" s="132">
        <f t="shared" si="558"/>
        <v>1.0245881485124171</v>
      </c>
      <c r="P832" s="132">
        <f t="shared" si="536"/>
        <v>1.1499999999999999</v>
      </c>
      <c r="Q832" s="130">
        <f t="shared" si="570"/>
        <v>50290.860215053763</v>
      </c>
      <c r="R832" s="148">
        <f t="shared" si="559"/>
        <v>50290</v>
      </c>
      <c r="S832" s="127">
        <f>VLOOKUP($B832,'Выгр Торг'!$B:$Q,S$1,0)</f>
        <v>40670</v>
      </c>
      <c r="T832" s="127">
        <f>VLOOKUP($B832,'Выгр Торг'!$B:$Q,T$1,0)</f>
        <v>50290</v>
      </c>
      <c r="U832" s="94">
        <f t="shared" si="539"/>
        <v>0</v>
      </c>
      <c r="V832" s="94">
        <f t="shared" si="540"/>
        <v>0</v>
      </c>
      <c r="W832" s="153">
        <f t="shared" si="560"/>
        <v>46769.7</v>
      </c>
      <c r="X832" s="209">
        <f>IFERROR(VLOOKUP($B832,'Из ГУГЛа'!$B:$G,6,0)*Z832+Y832,VLOOKUP($B832,'Из ГУГЛа'!$B:$G,6,0))</f>
        <v>51760</v>
      </c>
      <c r="Y832" s="220">
        <f t="shared" si="571"/>
        <v>9970</v>
      </c>
      <c r="Z832" s="133">
        <v>1</v>
      </c>
      <c r="AA832" s="134"/>
      <c r="AB832" s="135">
        <f t="shared" si="561"/>
        <v>0.14998032948118989</v>
      </c>
      <c r="AC832" s="135">
        <f t="shared" si="562"/>
        <v>9.641228748068012E-2</v>
      </c>
      <c r="AD832" s="135">
        <f t="shared" si="563"/>
        <v>0.27268256700270466</v>
      </c>
      <c r="AE832" s="223">
        <v>51760</v>
      </c>
      <c r="AF832" s="36" t="s">
        <v>618</v>
      </c>
      <c r="AH832" s="98" t="s">
        <v>149</v>
      </c>
    </row>
    <row r="833" spans="1:34" ht="31.5" thickTop="1" thickBot="1">
      <c r="A833" s="125" t="str">
        <f>INDEX('Выгр Торг'!$A:$A,MATCH($B833,'Выгр Торг'!$B:$B,0))</f>
        <v>Руль анатомический "Ferrum" Vesta Lite для Лада Веста, XRAY</v>
      </c>
      <c r="B833" s="126">
        <v>342034</v>
      </c>
      <c r="C833" s="127">
        <f>VLOOKUP($B833,'Выгр Торг'!$B:$Q,C$1,0)</f>
        <v>342034</v>
      </c>
      <c r="D833" s="142" t="s">
        <v>149</v>
      </c>
      <c r="E833" s="125" t="str">
        <f>VLOOKUP($B833,'Выгр Торг'!$B:$Q,E$1,0)</f>
        <v>Руль анатомический "Ferrum" Vesta Lite для Лада Веста, XRAY (Коричневая нить, Чёрный мат)</v>
      </c>
      <c r="F833" s="127" t="str">
        <f>VLOOKUP($B833,'Выгр Торг'!$B:$Q,F$1,0)</f>
        <v>Y</v>
      </c>
      <c r="G833" s="127" t="str">
        <f>VLOOKUP($B833,'Выгр Торг'!$B:$Q,G$1,0)</f>
        <v>1</v>
      </c>
      <c r="H833" s="127">
        <v>342019</v>
      </c>
      <c r="I833" s="156"/>
      <c r="J833" s="160">
        <v>830</v>
      </c>
      <c r="K833" s="161">
        <v>870</v>
      </c>
      <c r="L833" s="130">
        <f t="shared" si="557"/>
        <v>41500</v>
      </c>
      <c r="M833" s="130">
        <f t="shared" si="567"/>
        <v>42500</v>
      </c>
      <c r="N833" s="130">
        <f t="shared" si="568"/>
        <v>35500</v>
      </c>
      <c r="O833" s="132">
        <f t="shared" si="558"/>
        <v>1.0240963855421688</v>
      </c>
      <c r="P833" s="132">
        <f t="shared" si="536"/>
        <v>1.1499999999999999</v>
      </c>
      <c r="Q833" s="130">
        <f t="shared" si="570"/>
        <v>51317.204301075268</v>
      </c>
      <c r="R833" s="148">
        <f t="shared" si="559"/>
        <v>51390</v>
      </c>
      <c r="S833" s="127">
        <f>VLOOKUP($B833,'Выгр Торг'!$B:$Q,S$1,0)</f>
        <v>41500</v>
      </c>
      <c r="T833" s="127">
        <f>VLOOKUP($B833,'Выгр Торг'!$B:$Q,T$1,0)</f>
        <v>51390</v>
      </c>
      <c r="U833" s="94">
        <f t="shared" si="539"/>
        <v>0</v>
      </c>
      <c r="V833" s="94">
        <f t="shared" si="540"/>
        <v>0</v>
      </c>
      <c r="W833" s="153">
        <f t="shared" si="560"/>
        <v>47792.7</v>
      </c>
      <c r="X833" s="209">
        <f>IFERROR(VLOOKUP($B833,'Из ГУГЛа'!$B:$G,6,0)*Z833+Y833,VLOOKUP($B833,'Из ГУГЛа'!$B:$G,6,0))</f>
        <v>52590</v>
      </c>
      <c r="Y833" s="220">
        <f t="shared" si="571"/>
        <v>10800</v>
      </c>
      <c r="Z833" s="133">
        <v>1</v>
      </c>
      <c r="AA833" s="133">
        <v>1300</v>
      </c>
      <c r="AB833" s="135">
        <f t="shared" si="561"/>
        <v>0.15163132530120471</v>
      </c>
      <c r="AC833" s="135">
        <f t="shared" si="562"/>
        <v>9.122076440387912E-2</v>
      </c>
      <c r="AD833" s="135">
        <f t="shared" si="563"/>
        <v>0.26722891566265061</v>
      </c>
      <c r="AE833" s="223">
        <v>52590</v>
      </c>
      <c r="AF833" s="36" t="s">
        <v>618</v>
      </c>
      <c r="AH833" s="98" t="s">
        <v>149</v>
      </c>
    </row>
    <row r="834" spans="1:34" ht="31.5" thickTop="1" thickBot="1">
      <c r="A834" s="125" t="str">
        <f>INDEX('Выгр Торг'!$A:$A,MATCH($B834,'Выгр Торг'!$B:$B,0))</f>
        <v>Руль анатомический "Ferrum" Vesta Lite для Лада Веста, XRAY</v>
      </c>
      <c r="B834" s="126">
        <v>342022</v>
      </c>
      <c r="C834" s="127">
        <f>VLOOKUP($B834,'Выгр Торг'!$B:$Q,C$1,0)</f>
        <v>342022</v>
      </c>
      <c r="D834" s="142" t="s">
        <v>149</v>
      </c>
      <c r="E834" s="125" t="str">
        <f>VLOOKUP($B834,'Выгр Торг'!$B:$Q,E$1,0)</f>
        <v>Руль анатомический "Ferrum" Vesta Lite для Лада Веста, XRAY (Красная нить, Чёрный глянец)</v>
      </c>
      <c r="F834" s="127" t="str">
        <f>VLOOKUP($B834,'Выгр Торг'!$B:$Q,F$1,0)</f>
        <v>Y</v>
      </c>
      <c r="G834" s="127" t="str">
        <f>VLOOKUP($B834,'Выгр Торг'!$B:$Q,G$1,0)</f>
        <v>1</v>
      </c>
      <c r="H834" s="127">
        <v>342019</v>
      </c>
      <c r="I834" s="156"/>
      <c r="J834" s="160"/>
      <c r="K834" s="161">
        <v>870</v>
      </c>
      <c r="L834" s="130">
        <f t="shared" si="557"/>
        <v>40670</v>
      </c>
      <c r="M834" s="130">
        <f t="shared" si="567"/>
        <v>41670</v>
      </c>
      <c r="N834" s="130">
        <f t="shared" si="568"/>
        <v>34670</v>
      </c>
      <c r="O834" s="132">
        <f t="shared" si="558"/>
        <v>1.0245881485124171</v>
      </c>
      <c r="P834" s="132">
        <f t="shared" si="536"/>
        <v>1.1499999999999999</v>
      </c>
      <c r="Q834" s="130">
        <f t="shared" si="570"/>
        <v>50290.860215053763</v>
      </c>
      <c r="R834" s="148">
        <f t="shared" si="559"/>
        <v>50290</v>
      </c>
      <c r="S834" s="127">
        <f>VLOOKUP($B834,'Выгр Торг'!$B:$Q,S$1,0)</f>
        <v>40670</v>
      </c>
      <c r="T834" s="127">
        <f>VLOOKUP($B834,'Выгр Торг'!$B:$Q,T$1,0)</f>
        <v>50290</v>
      </c>
      <c r="U834" s="94">
        <f t="shared" si="539"/>
        <v>0</v>
      </c>
      <c r="V834" s="94">
        <f t="shared" si="540"/>
        <v>0</v>
      </c>
      <c r="W834" s="153">
        <f t="shared" si="560"/>
        <v>46769.7</v>
      </c>
      <c r="X834" s="209">
        <f>IFERROR(VLOOKUP($B834,'Из ГУГЛа'!$B:$G,6,0)*Z834+Y834,VLOOKUP($B834,'Из ГУГЛа'!$B:$G,6,0))</f>
        <v>51760</v>
      </c>
      <c r="Y834" s="220">
        <f t="shared" si="571"/>
        <v>9970</v>
      </c>
      <c r="Z834" s="133">
        <v>1</v>
      </c>
      <c r="AA834" s="134"/>
      <c r="AB834" s="135">
        <f t="shared" si="561"/>
        <v>0.14998032948118989</v>
      </c>
      <c r="AC834" s="135">
        <f t="shared" si="562"/>
        <v>9.641228748068012E-2</v>
      </c>
      <c r="AD834" s="135">
        <f t="shared" si="563"/>
        <v>0.27268256700270466</v>
      </c>
      <c r="AE834" s="223">
        <v>51760</v>
      </c>
      <c r="AF834" s="36" t="s">
        <v>618</v>
      </c>
      <c r="AH834" s="98" t="s">
        <v>149</v>
      </c>
    </row>
    <row r="835" spans="1:34" ht="31.5" thickTop="1" thickBot="1">
      <c r="A835" s="125" t="str">
        <f>INDEX('Выгр Торг'!$A:$A,MATCH($B835,'Выгр Торг'!$B:$B,0))</f>
        <v>Руль анатомический "Ferrum" Vesta Lite для Лада Веста, XRAY</v>
      </c>
      <c r="B835" s="126">
        <v>342035</v>
      </c>
      <c r="C835" s="127">
        <f>VLOOKUP($B835,'Выгр Торг'!$B:$Q,C$1,0)</f>
        <v>342035</v>
      </c>
      <c r="D835" s="142" t="s">
        <v>149</v>
      </c>
      <c r="E835" s="125" t="str">
        <f>VLOOKUP($B835,'Выгр Торг'!$B:$Q,E$1,0)</f>
        <v>Руль анатомический "Ferrum" Vesta Lite для Лада Веста, XRAY (Красная нить, Чёрный мат)</v>
      </c>
      <c r="F835" s="127" t="str">
        <f>VLOOKUP($B835,'Выгр Торг'!$B:$Q,F$1,0)</f>
        <v>Y</v>
      </c>
      <c r="G835" s="127" t="str">
        <f>VLOOKUP($B835,'Выгр Торг'!$B:$Q,G$1,0)</f>
        <v>1</v>
      </c>
      <c r="H835" s="127">
        <v>342019</v>
      </c>
      <c r="I835" s="156"/>
      <c r="J835" s="160">
        <v>830</v>
      </c>
      <c r="K835" s="161">
        <v>870</v>
      </c>
      <c r="L835" s="130">
        <f t="shared" si="557"/>
        <v>41500</v>
      </c>
      <c r="M835" s="130">
        <f t="shared" si="567"/>
        <v>42500</v>
      </c>
      <c r="N835" s="130">
        <f t="shared" si="568"/>
        <v>35500</v>
      </c>
      <c r="O835" s="132">
        <f t="shared" si="558"/>
        <v>1.0240963855421688</v>
      </c>
      <c r="P835" s="132">
        <f t="shared" si="536"/>
        <v>1.1499999999999999</v>
      </c>
      <c r="Q835" s="130">
        <f t="shared" si="570"/>
        <v>51317.204301075268</v>
      </c>
      <c r="R835" s="148">
        <f t="shared" si="559"/>
        <v>51390</v>
      </c>
      <c r="S835" s="127">
        <f>VLOOKUP($B835,'Выгр Торг'!$B:$Q,S$1,0)</f>
        <v>41500</v>
      </c>
      <c r="T835" s="127">
        <f>VLOOKUP($B835,'Выгр Торг'!$B:$Q,T$1,0)</f>
        <v>51390</v>
      </c>
      <c r="U835" s="94">
        <f t="shared" si="539"/>
        <v>0</v>
      </c>
      <c r="V835" s="94">
        <f t="shared" si="540"/>
        <v>0</v>
      </c>
      <c r="W835" s="153">
        <f t="shared" si="560"/>
        <v>47792.7</v>
      </c>
      <c r="X835" s="209">
        <f>IFERROR(VLOOKUP($B835,'Из ГУГЛа'!$B:$G,6,0)*Z835+Y835,VLOOKUP($B835,'Из ГУГЛа'!$B:$G,6,0))</f>
        <v>52590</v>
      </c>
      <c r="Y835" s="220">
        <f t="shared" si="571"/>
        <v>10800</v>
      </c>
      <c r="Z835" s="133">
        <v>1</v>
      </c>
      <c r="AA835" s="133">
        <v>1300</v>
      </c>
      <c r="AB835" s="135">
        <f t="shared" si="561"/>
        <v>0.15163132530120471</v>
      </c>
      <c r="AC835" s="135">
        <f t="shared" si="562"/>
        <v>9.122076440387912E-2</v>
      </c>
      <c r="AD835" s="135">
        <f t="shared" si="563"/>
        <v>0.26722891566265061</v>
      </c>
      <c r="AE835" s="223">
        <v>52590</v>
      </c>
      <c r="AF835" s="36" t="s">
        <v>618</v>
      </c>
      <c r="AH835" s="98" t="s">
        <v>149</v>
      </c>
    </row>
    <row r="836" spans="1:34" ht="31.5" thickTop="1" thickBot="1">
      <c r="A836" s="125" t="str">
        <f>INDEX('Выгр Торг'!$A:$A,MATCH($B836,'Выгр Торг'!$B:$B,0))</f>
        <v>Руль анатомический "Ferrum" Vesta Lite для Лада Веста, XRAY</v>
      </c>
      <c r="B836" s="126">
        <v>342023</v>
      </c>
      <c r="C836" s="127">
        <f>VLOOKUP($B836,'Выгр Торг'!$B:$Q,C$1,0)</f>
        <v>342023</v>
      </c>
      <c r="D836" s="142" t="s">
        <v>149</v>
      </c>
      <c r="E836" s="125" t="str">
        <f>VLOOKUP($B836,'Выгр Торг'!$B:$Q,E$1,0)</f>
        <v>Руль анатомический "Ferrum" Vesta Lite для Лада Веста, XRAY (Оранжевая нить, Чёрный глянец)</v>
      </c>
      <c r="F836" s="127" t="str">
        <f>VLOOKUP($B836,'Выгр Торг'!$B:$Q,F$1,0)</f>
        <v>Y</v>
      </c>
      <c r="G836" s="127" t="str">
        <f>VLOOKUP($B836,'Выгр Торг'!$B:$Q,G$1,0)</f>
        <v>1</v>
      </c>
      <c r="H836" s="127">
        <v>342019</v>
      </c>
      <c r="I836" s="156"/>
      <c r="J836" s="160"/>
      <c r="K836" s="161">
        <v>870</v>
      </c>
      <c r="L836" s="130">
        <f t="shared" si="557"/>
        <v>40670</v>
      </c>
      <c r="M836" s="130">
        <f t="shared" si="567"/>
        <v>41670</v>
      </c>
      <c r="N836" s="130">
        <f t="shared" si="568"/>
        <v>34670</v>
      </c>
      <c r="O836" s="132">
        <f t="shared" si="558"/>
        <v>1.0245881485124171</v>
      </c>
      <c r="P836" s="132">
        <f t="shared" ref="P836:P868" si="574">IF(O836&lt;=$P$1,$P$1,O836)</f>
        <v>1.1499999999999999</v>
      </c>
      <c r="Q836" s="130">
        <f t="shared" si="570"/>
        <v>50290.860215053763</v>
      </c>
      <c r="R836" s="148">
        <f t="shared" si="559"/>
        <v>50290</v>
      </c>
      <c r="S836" s="127">
        <f>VLOOKUP($B836,'Выгр Торг'!$B:$Q,S$1,0)</f>
        <v>40670</v>
      </c>
      <c r="T836" s="127">
        <f>VLOOKUP($B836,'Выгр Торг'!$B:$Q,T$1,0)</f>
        <v>50290</v>
      </c>
      <c r="U836" s="94">
        <f t="shared" ref="U836:U867" si="575">S836-L836</f>
        <v>0</v>
      </c>
      <c r="V836" s="94">
        <f t="shared" ref="V836:V867" si="576">T836-R836</f>
        <v>0</v>
      </c>
      <c r="W836" s="153">
        <f t="shared" si="560"/>
        <v>46769.7</v>
      </c>
      <c r="X836" s="209">
        <f>IFERROR(VLOOKUP($B836,'Из ГУГЛа'!$B:$G,6,0)*Z836+Y836,VLOOKUP($B836,'Из ГУГЛа'!$B:$G,6,0))</f>
        <v>51760</v>
      </c>
      <c r="Y836" s="220">
        <f t="shared" si="571"/>
        <v>9970</v>
      </c>
      <c r="Z836" s="133">
        <v>1</v>
      </c>
      <c r="AA836" s="134"/>
      <c r="AB836" s="135">
        <f t="shared" si="561"/>
        <v>0.14998032948118989</v>
      </c>
      <c r="AC836" s="135">
        <f t="shared" si="562"/>
        <v>9.641228748068012E-2</v>
      </c>
      <c r="AD836" s="135">
        <f t="shared" si="563"/>
        <v>0.27268256700270466</v>
      </c>
      <c r="AE836" s="223">
        <v>51760</v>
      </c>
      <c r="AF836" s="36" t="s">
        <v>618</v>
      </c>
      <c r="AH836" s="98" t="s">
        <v>149</v>
      </c>
    </row>
    <row r="837" spans="1:34" ht="31.5" thickTop="1" thickBot="1">
      <c r="A837" s="125" t="str">
        <f>INDEX('Выгр Торг'!$A:$A,MATCH($B837,'Выгр Торг'!$B:$B,0))</f>
        <v>Руль анатомический "Ferrum" Vesta Lite для Лада Веста, XRAY</v>
      </c>
      <c r="B837" s="126">
        <v>342036</v>
      </c>
      <c r="C837" s="127">
        <f>VLOOKUP($B837,'Выгр Торг'!$B:$Q,C$1,0)</f>
        <v>342036</v>
      </c>
      <c r="D837" s="142" t="s">
        <v>149</v>
      </c>
      <c r="E837" s="125" t="str">
        <f>VLOOKUP($B837,'Выгр Торг'!$B:$Q,E$1,0)</f>
        <v>Руль анатомический "Ferrum" Vesta Lite для Лада Веста, XRAY (Оранжевая нить, Чёрный мат)</v>
      </c>
      <c r="F837" s="127" t="str">
        <f>VLOOKUP($B837,'Выгр Торг'!$B:$Q,F$1,0)</f>
        <v>Y</v>
      </c>
      <c r="G837" s="127" t="str">
        <f>VLOOKUP($B837,'Выгр Торг'!$B:$Q,G$1,0)</f>
        <v>1</v>
      </c>
      <c r="H837" s="127">
        <v>342019</v>
      </c>
      <c r="I837" s="156"/>
      <c r="J837" s="160">
        <v>830</v>
      </c>
      <c r="K837" s="161">
        <v>870</v>
      </c>
      <c r="L837" s="130">
        <f t="shared" si="557"/>
        <v>41500</v>
      </c>
      <c r="M837" s="130">
        <f t="shared" si="567"/>
        <v>42500</v>
      </c>
      <c r="N837" s="130">
        <f t="shared" si="568"/>
        <v>35500</v>
      </c>
      <c r="O837" s="132">
        <f t="shared" si="558"/>
        <v>1.0240963855421688</v>
      </c>
      <c r="P837" s="132">
        <f t="shared" si="574"/>
        <v>1.1499999999999999</v>
      </c>
      <c r="Q837" s="130">
        <f t="shared" si="570"/>
        <v>51317.204301075268</v>
      </c>
      <c r="R837" s="148">
        <f t="shared" si="559"/>
        <v>51390</v>
      </c>
      <c r="S837" s="127">
        <f>VLOOKUP($B837,'Выгр Торг'!$B:$Q,S$1,0)</f>
        <v>41500</v>
      </c>
      <c r="T837" s="127">
        <f>VLOOKUP($B837,'Выгр Торг'!$B:$Q,T$1,0)</f>
        <v>51390</v>
      </c>
      <c r="U837" s="94">
        <f t="shared" si="575"/>
        <v>0</v>
      </c>
      <c r="V837" s="94">
        <f t="shared" si="576"/>
        <v>0</v>
      </c>
      <c r="W837" s="153">
        <f t="shared" si="560"/>
        <v>47792.7</v>
      </c>
      <c r="X837" s="209">
        <f>IFERROR(VLOOKUP($B837,'Из ГУГЛа'!$B:$G,6,0)*Z837+Y837,VLOOKUP($B837,'Из ГУГЛа'!$B:$G,6,0))</f>
        <v>52590</v>
      </c>
      <c r="Y837" s="220">
        <f t="shared" si="571"/>
        <v>10800</v>
      </c>
      <c r="Z837" s="133">
        <v>1</v>
      </c>
      <c r="AA837" s="133">
        <v>1300</v>
      </c>
      <c r="AB837" s="135">
        <f t="shared" si="561"/>
        <v>0.15163132530120471</v>
      </c>
      <c r="AC837" s="135">
        <f t="shared" si="562"/>
        <v>9.122076440387912E-2</v>
      </c>
      <c r="AD837" s="135">
        <f t="shared" si="563"/>
        <v>0.26722891566265061</v>
      </c>
      <c r="AE837" s="223">
        <v>52590</v>
      </c>
      <c r="AF837" s="36" t="s">
        <v>618</v>
      </c>
      <c r="AH837" s="98" t="s">
        <v>149</v>
      </c>
    </row>
    <row r="838" spans="1:34" ht="31.5" thickTop="1" thickBot="1">
      <c r="A838" s="125" t="str">
        <f>INDEX('Выгр Торг'!$A:$A,MATCH($B838,'Выгр Торг'!$B:$B,0))</f>
        <v>Руль анатомический "Ferrum" Vesta Lite для Лада Веста, XRAY</v>
      </c>
      <c r="B838" s="126">
        <v>342024</v>
      </c>
      <c r="C838" s="127">
        <f>VLOOKUP($B838,'Выгр Торг'!$B:$Q,C$1,0)</f>
        <v>342024</v>
      </c>
      <c r="D838" s="142" t="s">
        <v>149</v>
      </c>
      <c r="E838" s="125" t="str">
        <f>VLOOKUP($B838,'Выгр Торг'!$B:$Q,E$1,0)</f>
        <v>Руль анатомический "Ferrum" Vesta Lite для Лада Веста, XRAY (Салатовая нить, Чёрный глянец)</v>
      </c>
      <c r="F838" s="127" t="str">
        <f>VLOOKUP($B838,'Выгр Торг'!$B:$Q,F$1,0)</f>
        <v>Y</v>
      </c>
      <c r="G838" s="127" t="str">
        <f>VLOOKUP($B838,'Выгр Торг'!$B:$Q,G$1,0)</f>
        <v>1</v>
      </c>
      <c r="H838" s="127">
        <v>342019</v>
      </c>
      <c r="I838" s="156"/>
      <c r="J838" s="160"/>
      <c r="K838" s="161">
        <v>870</v>
      </c>
      <c r="L838" s="130">
        <f t="shared" si="557"/>
        <v>40670</v>
      </c>
      <c r="M838" s="130">
        <f t="shared" si="567"/>
        <v>41670</v>
      </c>
      <c r="N838" s="130">
        <f t="shared" si="568"/>
        <v>34670</v>
      </c>
      <c r="O838" s="132">
        <f t="shared" si="558"/>
        <v>1.0245881485124171</v>
      </c>
      <c r="P838" s="132">
        <f t="shared" si="574"/>
        <v>1.1499999999999999</v>
      </c>
      <c r="Q838" s="130">
        <f t="shared" si="570"/>
        <v>50290.860215053763</v>
      </c>
      <c r="R838" s="148">
        <f t="shared" si="559"/>
        <v>50290</v>
      </c>
      <c r="S838" s="127">
        <f>VLOOKUP($B838,'Выгр Торг'!$B:$Q,S$1,0)</f>
        <v>40670</v>
      </c>
      <c r="T838" s="127">
        <f>VLOOKUP($B838,'Выгр Торг'!$B:$Q,T$1,0)</f>
        <v>50290</v>
      </c>
      <c r="U838" s="94">
        <f t="shared" si="575"/>
        <v>0</v>
      </c>
      <c r="V838" s="94">
        <f t="shared" si="576"/>
        <v>0</v>
      </c>
      <c r="W838" s="153">
        <f t="shared" si="560"/>
        <v>46769.7</v>
      </c>
      <c r="X838" s="209">
        <f>IFERROR(VLOOKUP($B838,'Из ГУГЛа'!$B:$G,6,0)*Z838+Y838,VLOOKUP($B838,'Из ГУГЛа'!$B:$G,6,0))</f>
        <v>51760</v>
      </c>
      <c r="Y838" s="220">
        <f t="shared" si="571"/>
        <v>9970</v>
      </c>
      <c r="Z838" s="133">
        <v>1</v>
      </c>
      <c r="AA838" s="134"/>
      <c r="AB838" s="135">
        <f t="shared" si="561"/>
        <v>0.14998032948118989</v>
      </c>
      <c r="AC838" s="135">
        <f t="shared" si="562"/>
        <v>9.641228748068012E-2</v>
      </c>
      <c r="AD838" s="135">
        <f t="shared" si="563"/>
        <v>0.27268256700270466</v>
      </c>
      <c r="AE838" s="223">
        <v>51760</v>
      </c>
      <c r="AF838" s="36" t="s">
        <v>618</v>
      </c>
      <c r="AH838" s="98" t="s">
        <v>149</v>
      </c>
    </row>
    <row r="839" spans="1:34" ht="31.5" thickTop="1" thickBot="1">
      <c r="A839" s="125" t="str">
        <f>INDEX('Выгр Торг'!$A:$A,MATCH($B839,'Выгр Торг'!$B:$B,0))</f>
        <v>Руль анатомический "Ferrum" Vesta Lite для Лада Веста, XRAY</v>
      </c>
      <c r="B839" s="126">
        <v>342037</v>
      </c>
      <c r="C839" s="127">
        <f>VLOOKUP($B839,'Выгр Торг'!$B:$Q,C$1,0)</f>
        <v>342037</v>
      </c>
      <c r="D839" s="142" t="s">
        <v>149</v>
      </c>
      <c r="E839" s="125" t="str">
        <f>VLOOKUP($B839,'Выгр Торг'!$B:$Q,E$1,0)</f>
        <v>Руль анатомический "Ferrum" Vesta Lite для Лада Веста, XRAY (Салатовая нить, Чёрный мат)</v>
      </c>
      <c r="F839" s="127" t="str">
        <f>VLOOKUP($B839,'Выгр Торг'!$B:$Q,F$1,0)</f>
        <v>Y</v>
      </c>
      <c r="G839" s="127" t="str">
        <f>VLOOKUP($B839,'Выгр Торг'!$B:$Q,G$1,0)</f>
        <v>1</v>
      </c>
      <c r="H839" s="127">
        <v>342019</v>
      </c>
      <c r="I839" s="156"/>
      <c r="J839" s="160">
        <v>830</v>
      </c>
      <c r="K839" s="161">
        <v>870</v>
      </c>
      <c r="L839" s="130">
        <f t="shared" si="557"/>
        <v>41500</v>
      </c>
      <c r="M839" s="130">
        <f t="shared" si="567"/>
        <v>42500</v>
      </c>
      <c r="N839" s="130">
        <f t="shared" si="568"/>
        <v>35500</v>
      </c>
      <c r="O839" s="132">
        <f t="shared" si="558"/>
        <v>1.0240963855421688</v>
      </c>
      <c r="P839" s="132">
        <f t="shared" si="574"/>
        <v>1.1499999999999999</v>
      </c>
      <c r="Q839" s="130">
        <f t="shared" si="570"/>
        <v>51317.204301075268</v>
      </c>
      <c r="R839" s="148">
        <f t="shared" si="559"/>
        <v>51390</v>
      </c>
      <c r="S839" s="127">
        <f>VLOOKUP($B839,'Выгр Торг'!$B:$Q,S$1,0)</f>
        <v>41500</v>
      </c>
      <c r="T839" s="127">
        <f>VLOOKUP($B839,'Выгр Торг'!$B:$Q,T$1,0)</f>
        <v>51390</v>
      </c>
      <c r="U839" s="94">
        <f t="shared" si="575"/>
        <v>0</v>
      </c>
      <c r="V839" s="94">
        <f t="shared" si="576"/>
        <v>0</v>
      </c>
      <c r="W839" s="153">
        <f t="shared" si="560"/>
        <v>47792.7</v>
      </c>
      <c r="X839" s="209">
        <f>IFERROR(VLOOKUP($B839,'Из ГУГЛа'!$B:$G,6,0)*Z839+Y839,VLOOKUP($B839,'Из ГУГЛа'!$B:$G,6,0))</f>
        <v>52590</v>
      </c>
      <c r="Y839" s="220">
        <f t="shared" si="571"/>
        <v>10800</v>
      </c>
      <c r="Z839" s="133">
        <v>1</v>
      </c>
      <c r="AA839" s="133">
        <v>1300</v>
      </c>
      <c r="AB839" s="135">
        <f t="shared" si="561"/>
        <v>0.15163132530120471</v>
      </c>
      <c r="AC839" s="135">
        <f t="shared" si="562"/>
        <v>9.122076440387912E-2</v>
      </c>
      <c r="AD839" s="135">
        <f t="shared" si="563"/>
        <v>0.26722891566265061</v>
      </c>
      <c r="AE839" s="223">
        <v>52590</v>
      </c>
      <c r="AF839" s="36" t="s">
        <v>618</v>
      </c>
      <c r="AH839" s="98" t="s">
        <v>149</v>
      </c>
    </row>
    <row r="840" spans="1:34" ht="31.5" thickTop="1" thickBot="1">
      <c r="A840" s="125" t="str">
        <f>INDEX('Выгр Торг'!$A:$A,MATCH($B840,'Выгр Торг'!$B:$B,0))</f>
        <v>Руль анатомический "Ferrum" Vesta Lite для Лада Веста, XRAY</v>
      </c>
      <c r="B840" s="126">
        <v>342027</v>
      </c>
      <c r="C840" s="127">
        <f>VLOOKUP($B840,'Выгр Торг'!$B:$Q,C$1,0)</f>
        <v>342027</v>
      </c>
      <c r="D840" s="142" t="s">
        <v>149</v>
      </c>
      <c r="E840" s="125" t="str">
        <f>VLOOKUP($B840,'Выгр Торг'!$B:$Q,E$1,0)</f>
        <v>Руль анатомический "Ferrum" Vesta Lite для Лада Веста, XRAY (Светло-серая нить, Чёрный глянец)</v>
      </c>
      <c r="F840" s="127" t="str">
        <f>VLOOKUP($B840,'Выгр Торг'!$B:$Q,F$1,0)</f>
        <v>Y</v>
      </c>
      <c r="G840" s="127" t="str">
        <f>VLOOKUP($B840,'Выгр Торг'!$B:$Q,G$1,0)</f>
        <v>1</v>
      </c>
      <c r="H840" s="127">
        <v>342019</v>
      </c>
      <c r="I840" s="156"/>
      <c r="J840" s="160"/>
      <c r="K840" s="161">
        <v>870</v>
      </c>
      <c r="L840" s="130">
        <f t="shared" si="557"/>
        <v>40670</v>
      </c>
      <c r="M840" s="130">
        <f t="shared" si="567"/>
        <v>41670</v>
      </c>
      <c r="N840" s="130">
        <f t="shared" si="568"/>
        <v>34670</v>
      </c>
      <c r="O840" s="132">
        <f t="shared" si="558"/>
        <v>1.0245881485124171</v>
      </c>
      <c r="P840" s="132">
        <f t="shared" si="574"/>
        <v>1.1499999999999999</v>
      </c>
      <c r="Q840" s="130">
        <f t="shared" si="570"/>
        <v>50290.860215053763</v>
      </c>
      <c r="R840" s="148">
        <f t="shared" si="559"/>
        <v>50290</v>
      </c>
      <c r="S840" s="127">
        <f>VLOOKUP($B840,'Выгр Торг'!$B:$Q,S$1,0)</f>
        <v>40670</v>
      </c>
      <c r="T840" s="127">
        <f>VLOOKUP($B840,'Выгр Торг'!$B:$Q,T$1,0)</f>
        <v>50290</v>
      </c>
      <c r="U840" s="94">
        <f t="shared" si="575"/>
        <v>0</v>
      </c>
      <c r="V840" s="94">
        <f t="shared" si="576"/>
        <v>0</v>
      </c>
      <c r="W840" s="153">
        <f t="shared" si="560"/>
        <v>46769.7</v>
      </c>
      <c r="X840" s="209">
        <f>IFERROR(VLOOKUP($B840,'Из ГУГЛа'!$B:$G,6,0)*Z840+Y840,VLOOKUP($B840,'Из ГУГЛа'!$B:$G,6,0))</f>
        <v>51760</v>
      </c>
      <c r="Y840" s="220">
        <f t="shared" si="571"/>
        <v>9970</v>
      </c>
      <c r="Z840" s="133">
        <v>1</v>
      </c>
      <c r="AA840" s="134"/>
      <c r="AB840" s="135">
        <f t="shared" si="561"/>
        <v>0.14998032948118989</v>
      </c>
      <c r="AC840" s="135">
        <f t="shared" si="562"/>
        <v>9.641228748068012E-2</v>
      </c>
      <c r="AD840" s="135">
        <f t="shared" si="563"/>
        <v>0.27268256700270466</v>
      </c>
      <c r="AE840" s="223">
        <v>51760</v>
      </c>
      <c r="AF840" s="36" t="s">
        <v>618</v>
      </c>
      <c r="AH840" s="98" t="s">
        <v>149</v>
      </c>
    </row>
    <row r="841" spans="1:34" ht="31.5" thickTop="1" thickBot="1">
      <c r="A841" s="125" t="str">
        <f>INDEX('Выгр Торг'!$A:$A,MATCH($B841,'Выгр Торг'!$B:$B,0))</f>
        <v>Руль анатомический "Ferrum" Vesta Lite для Лада Веста, XRAY</v>
      </c>
      <c r="B841" s="126">
        <v>342040</v>
      </c>
      <c r="C841" s="127">
        <f>VLOOKUP($B841,'Выгр Торг'!$B:$Q,C$1,0)</f>
        <v>342040</v>
      </c>
      <c r="D841" s="142" t="s">
        <v>149</v>
      </c>
      <c r="E841" s="125" t="str">
        <f>VLOOKUP($B841,'Выгр Торг'!$B:$Q,E$1,0)</f>
        <v>Руль анатомический "Ferrum" Vesta Lite для Лада Веста, XRAY (Светло-серая нить, Чёрный мат)</v>
      </c>
      <c r="F841" s="127" t="str">
        <f>VLOOKUP($B841,'Выгр Торг'!$B:$Q,F$1,0)</f>
        <v>Y</v>
      </c>
      <c r="G841" s="127" t="str">
        <f>VLOOKUP($B841,'Выгр Торг'!$B:$Q,G$1,0)</f>
        <v>1</v>
      </c>
      <c r="H841" s="127">
        <v>342019</v>
      </c>
      <c r="I841" s="156"/>
      <c r="J841" s="160">
        <v>830</v>
      </c>
      <c r="K841" s="161">
        <v>870</v>
      </c>
      <c r="L841" s="130">
        <f t="shared" si="557"/>
        <v>41500</v>
      </c>
      <c r="M841" s="130">
        <f t="shared" si="567"/>
        <v>42500</v>
      </c>
      <c r="N841" s="130">
        <f t="shared" si="568"/>
        <v>35500</v>
      </c>
      <c r="O841" s="132">
        <f t="shared" si="558"/>
        <v>1.0240963855421688</v>
      </c>
      <c r="P841" s="132">
        <f t="shared" si="574"/>
        <v>1.1499999999999999</v>
      </c>
      <c r="Q841" s="130">
        <f t="shared" si="570"/>
        <v>51317.204301075268</v>
      </c>
      <c r="R841" s="148">
        <f t="shared" si="559"/>
        <v>51390</v>
      </c>
      <c r="S841" s="127">
        <f>VLOOKUP($B841,'Выгр Торг'!$B:$Q,S$1,0)</f>
        <v>41500</v>
      </c>
      <c r="T841" s="127">
        <f>VLOOKUP($B841,'Выгр Торг'!$B:$Q,T$1,0)</f>
        <v>51390</v>
      </c>
      <c r="U841" s="94">
        <f t="shared" si="575"/>
        <v>0</v>
      </c>
      <c r="V841" s="94">
        <f t="shared" si="576"/>
        <v>0</v>
      </c>
      <c r="W841" s="153">
        <f t="shared" si="560"/>
        <v>47792.7</v>
      </c>
      <c r="X841" s="209">
        <f>IFERROR(VLOOKUP($B841,'Из ГУГЛа'!$B:$G,6,0)*Z841+Y841,VLOOKUP($B841,'Из ГУГЛа'!$B:$G,6,0))</f>
        <v>52590</v>
      </c>
      <c r="Y841" s="220">
        <f t="shared" si="571"/>
        <v>10800</v>
      </c>
      <c r="Z841" s="133">
        <v>1</v>
      </c>
      <c r="AA841" s="133">
        <v>1300</v>
      </c>
      <c r="AB841" s="135">
        <f t="shared" si="561"/>
        <v>0.15163132530120471</v>
      </c>
      <c r="AC841" s="135">
        <f t="shared" si="562"/>
        <v>9.122076440387912E-2</v>
      </c>
      <c r="AD841" s="135">
        <f t="shared" si="563"/>
        <v>0.26722891566265061</v>
      </c>
      <c r="AE841" s="223">
        <v>52590</v>
      </c>
      <c r="AF841" s="36" t="s">
        <v>618</v>
      </c>
      <c r="AH841" s="98" t="s">
        <v>149</v>
      </c>
    </row>
    <row r="842" spans="1:34" ht="31.5" thickTop="1" thickBot="1">
      <c r="A842" s="125" t="str">
        <f>INDEX('Выгр Торг'!$A:$A,MATCH($B842,'Выгр Торг'!$B:$B,0))</f>
        <v>Руль анатомический "Ferrum" Vesta Lite для Лада Веста, XRAY</v>
      </c>
      <c r="B842" s="126">
        <v>342025</v>
      </c>
      <c r="C842" s="127">
        <f>VLOOKUP($B842,'Выгр Торг'!$B:$Q,C$1,0)</f>
        <v>342025</v>
      </c>
      <c r="D842" s="142" t="s">
        <v>149</v>
      </c>
      <c r="E842" s="125" t="str">
        <f>VLOOKUP($B842,'Выгр Торг'!$B:$Q,E$1,0)</f>
        <v>Руль анатомический "Ferrum" Vesta Lite для Лада Веста, XRAY (Сине-зелёная нить, Чёрный глянец)</v>
      </c>
      <c r="F842" s="127" t="str">
        <f>VLOOKUP($B842,'Выгр Торг'!$B:$Q,F$1,0)</f>
        <v>Y</v>
      </c>
      <c r="G842" s="127" t="str">
        <f>VLOOKUP($B842,'Выгр Торг'!$B:$Q,G$1,0)</f>
        <v>1</v>
      </c>
      <c r="H842" s="127">
        <v>342019</v>
      </c>
      <c r="I842" s="156"/>
      <c r="J842" s="160"/>
      <c r="K842" s="161">
        <v>870</v>
      </c>
      <c r="L842" s="130">
        <f t="shared" si="557"/>
        <v>40670</v>
      </c>
      <c r="M842" s="130">
        <f t="shared" si="567"/>
        <v>41670</v>
      </c>
      <c r="N842" s="130">
        <f t="shared" si="568"/>
        <v>34670</v>
      </c>
      <c r="O842" s="132">
        <f t="shared" si="558"/>
        <v>1.0245881485124171</v>
      </c>
      <c r="P842" s="132">
        <f t="shared" si="574"/>
        <v>1.1499999999999999</v>
      </c>
      <c r="Q842" s="130">
        <f t="shared" si="570"/>
        <v>50290.860215053763</v>
      </c>
      <c r="R842" s="148">
        <f t="shared" si="559"/>
        <v>50290</v>
      </c>
      <c r="S842" s="127">
        <f>VLOOKUP($B842,'Выгр Торг'!$B:$Q,S$1,0)</f>
        <v>40670</v>
      </c>
      <c r="T842" s="127">
        <f>VLOOKUP($B842,'Выгр Торг'!$B:$Q,T$1,0)</f>
        <v>50290</v>
      </c>
      <c r="U842" s="94">
        <f t="shared" si="575"/>
        <v>0</v>
      </c>
      <c r="V842" s="94">
        <f t="shared" si="576"/>
        <v>0</v>
      </c>
      <c r="W842" s="153">
        <f t="shared" si="560"/>
        <v>46769.7</v>
      </c>
      <c r="X842" s="209">
        <f>IFERROR(VLOOKUP($B842,'Из ГУГЛа'!$B:$G,6,0)*Z842+Y842,VLOOKUP($B842,'Из ГУГЛа'!$B:$G,6,0))</f>
        <v>51760</v>
      </c>
      <c r="Y842" s="220">
        <f t="shared" si="571"/>
        <v>9970</v>
      </c>
      <c r="Z842" s="133">
        <v>1</v>
      </c>
      <c r="AA842" s="134"/>
      <c r="AB842" s="135">
        <f t="shared" si="561"/>
        <v>0.14998032948118989</v>
      </c>
      <c r="AC842" s="135">
        <f t="shared" si="562"/>
        <v>9.641228748068012E-2</v>
      </c>
      <c r="AD842" s="135">
        <f t="shared" si="563"/>
        <v>0.27268256700270466</v>
      </c>
      <c r="AE842" s="223">
        <v>51760</v>
      </c>
      <c r="AF842" s="36" t="s">
        <v>618</v>
      </c>
      <c r="AH842" s="98" t="s">
        <v>149</v>
      </c>
    </row>
    <row r="843" spans="1:34" ht="31.5" thickTop="1" thickBot="1">
      <c r="A843" s="125" t="str">
        <f>INDEX('Выгр Торг'!$A:$A,MATCH($B843,'Выгр Торг'!$B:$B,0))</f>
        <v>Руль анатомический "Ferrum" Vesta Lite для Лада Веста, XRAY</v>
      </c>
      <c r="B843" s="126">
        <v>342038</v>
      </c>
      <c r="C843" s="127">
        <f>VLOOKUP($B843,'Выгр Торг'!$B:$Q,C$1,0)</f>
        <v>342038</v>
      </c>
      <c r="D843" s="142" t="s">
        <v>149</v>
      </c>
      <c r="E843" s="125" t="str">
        <f>VLOOKUP($B843,'Выгр Торг'!$B:$Q,E$1,0)</f>
        <v>Руль анатомический "Ferrum" Vesta Lite для Лада Веста, XRAY (Сине-зелёная нить, Чёрный мат)</v>
      </c>
      <c r="F843" s="127" t="str">
        <f>VLOOKUP($B843,'Выгр Торг'!$B:$Q,F$1,0)</f>
        <v>Y</v>
      </c>
      <c r="G843" s="127" t="str">
        <f>VLOOKUP($B843,'Выгр Торг'!$B:$Q,G$1,0)</f>
        <v>1</v>
      </c>
      <c r="H843" s="127">
        <v>342019</v>
      </c>
      <c r="I843" s="156"/>
      <c r="J843" s="160">
        <v>830</v>
      </c>
      <c r="K843" s="161">
        <v>870</v>
      </c>
      <c r="L843" s="130">
        <f t="shared" si="557"/>
        <v>41500</v>
      </c>
      <c r="M843" s="130">
        <f t="shared" si="567"/>
        <v>42500</v>
      </c>
      <c r="N843" s="130">
        <f t="shared" si="568"/>
        <v>35500</v>
      </c>
      <c r="O843" s="132">
        <f t="shared" si="558"/>
        <v>1.0240963855421688</v>
      </c>
      <c r="P843" s="132">
        <f t="shared" si="574"/>
        <v>1.1499999999999999</v>
      </c>
      <c r="Q843" s="130">
        <f t="shared" si="570"/>
        <v>51317.204301075268</v>
      </c>
      <c r="R843" s="148">
        <f t="shared" si="559"/>
        <v>51390</v>
      </c>
      <c r="S843" s="127">
        <f>VLOOKUP($B843,'Выгр Торг'!$B:$Q,S$1,0)</f>
        <v>41500</v>
      </c>
      <c r="T843" s="127">
        <f>VLOOKUP($B843,'Выгр Торг'!$B:$Q,T$1,0)</f>
        <v>51390</v>
      </c>
      <c r="U843" s="94">
        <f t="shared" si="575"/>
        <v>0</v>
      </c>
      <c r="V843" s="94">
        <f t="shared" si="576"/>
        <v>0</v>
      </c>
      <c r="W843" s="153">
        <f t="shared" si="560"/>
        <v>47792.7</v>
      </c>
      <c r="X843" s="209">
        <f>IFERROR(VLOOKUP($B843,'Из ГУГЛа'!$B:$G,6,0)*Z843+Y843,VLOOKUP($B843,'Из ГУГЛа'!$B:$G,6,0))</f>
        <v>52590</v>
      </c>
      <c r="Y843" s="220">
        <f t="shared" si="571"/>
        <v>10800</v>
      </c>
      <c r="Z843" s="133">
        <v>1</v>
      </c>
      <c r="AA843" s="133">
        <v>1300</v>
      </c>
      <c r="AB843" s="135">
        <f t="shared" si="561"/>
        <v>0.15163132530120471</v>
      </c>
      <c r="AC843" s="135">
        <f t="shared" si="562"/>
        <v>9.122076440387912E-2</v>
      </c>
      <c r="AD843" s="135">
        <f t="shared" si="563"/>
        <v>0.26722891566265061</v>
      </c>
      <c r="AE843" s="223">
        <v>52590</v>
      </c>
      <c r="AF843" s="36" t="s">
        <v>618</v>
      </c>
      <c r="AH843" s="98" t="s">
        <v>149</v>
      </c>
    </row>
    <row r="844" spans="1:34" ht="31.5" thickTop="1" thickBot="1">
      <c r="A844" s="125" t="str">
        <f>INDEX('Выгр Торг'!$A:$A,MATCH($B844,'Выгр Торг'!$B:$B,0))</f>
        <v>Руль анатомический "Ferrum" Vesta Lite для Лада Веста, XRAY</v>
      </c>
      <c r="B844" s="126">
        <v>342026</v>
      </c>
      <c r="C844" s="127">
        <f>VLOOKUP($B844,'Выгр Торг'!$B:$Q,C$1,0)</f>
        <v>342026</v>
      </c>
      <c r="D844" s="142" t="s">
        <v>149</v>
      </c>
      <c r="E844" s="125" t="str">
        <f>VLOOKUP($B844,'Выгр Торг'!$B:$Q,E$1,0)</f>
        <v>Руль анатомический "Ferrum" Vesta Lite для Лада Веста, XRAY (Синяя нить, Чёрный глянец)</v>
      </c>
      <c r="F844" s="127" t="str">
        <f>VLOOKUP($B844,'Выгр Торг'!$B:$Q,F$1,0)</f>
        <v>Y</v>
      </c>
      <c r="G844" s="127" t="str">
        <f>VLOOKUP($B844,'Выгр Торг'!$B:$Q,G$1,0)</f>
        <v>1</v>
      </c>
      <c r="H844" s="127">
        <v>342019</v>
      </c>
      <c r="I844" s="156"/>
      <c r="J844" s="160"/>
      <c r="K844" s="161">
        <v>870</v>
      </c>
      <c r="L844" s="130">
        <f t="shared" si="557"/>
        <v>40670</v>
      </c>
      <c r="M844" s="130">
        <f t="shared" si="567"/>
        <v>41670</v>
      </c>
      <c r="N844" s="130">
        <f t="shared" si="568"/>
        <v>34670</v>
      </c>
      <c r="O844" s="132">
        <f t="shared" si="558"/>
        <v>1.0245881485124171</v>
      </c>
      <c r="P844" s="132">
        <f t="shared" si="574"/>
        <v>1.1499999999999999</v>
      </c>
      <c r="Q844" s="130">
        <f t="shared" si="570"/>
        <v>50290.860215053763</v>
      </c>
      <c r="R844" s="148">
        <f t="shared" si="559"/>
        <v>50290</v>
      </c>
      <c r="S844" s="127">
        <f>VLOOKUP($B844,'Выгр Торг'!$B:$Q,S$1,0)</f>
        <v>40670</v>
      </c>
      <c r="T844" s="127">
        <f>VLOOKUP($B844,'Выгр Торг'!$B:$Q,T$1,0)</f>
        <v>50290</v>
      </c>
      <c r="U844" s="94">
        <f t="shared" si="575"/>
        <v>0</v>
      </c>
      <c r="V844" s="94">
        <f t="shared" si="576"/>
        <v>0</v>
      </c>
      <c r="W844" s="153">
        <f t="shared" si="560"/>
        <v>46769.7</v>
      </c>
      <c r="X844" s="209">
        <f>IFERROR(VLOOKUP($B844,'Из ГУГЛа'!$B:$G,6,0)*Z844+Y844,VLOOKUP($B844,'Из ГУГЛа'!$B:$G,6,0))</f>
        <v>51760</v>
      </c>
      <c r="Y844" s="220">
        <f t="shared" si="571"/>
        <v>9970</v>
      </c>
      <c r="Z844" s="133">
        <v>1</v>
      </c>
      <c r="AA844" s="134"/>
      <c r="AB844" s="135">
        <f t="shared" si="561"/>
        <v>0.14998032948118989</v>
      </c>
      <c r="AC844" s="135">
        <f t="shared" si="562"/>
        <v>9.641228748068012E-2</v>
      </c>
      <c r="AD844" s="135">
        <f t="shared" si="563"/>
        <v>0.27268256700270466</v>
      </c>
      <c r="AE844" s="223">
        <v>51760</v>
      </c>
      <c r="AF844" s="36" t="s">
        <v>618</v>
      </c>
      <c r="AH844" s="98" t="s">
        <v>149</v>
      </c>
    </row>
    <row r="845" spans="1:34" ht="31.5" thickTop="1" thickBot="1">
      <c r="A845" s="125" t="str">
        <f>INDEX('Выгр Торг'!$A:$A,MATCH($B845,'Выгр Торг'!$B:$B,0))</f>
        <v>Руль анатомический "Ferrum" Vesta Lite для Лада Веста, XRAY</v>
      </c>
      <c r="B845" s="126">
        <v>342039</v>
      </c>
      <c r="C845" s="127">
        <f>VLOOKUP($B845,'Выгр Торг'!$B:$Q,C$1,0)</f>
        <v>342039</v>
      </c>
      <c r="D845" s="142" t="s">
        <v>149</v>
      </c>
      <c r="E845" s="125" t="str">
        <f>VLOOKUP($B845,'Выгр Торг'!$B:$Q,E$1,0)</f>
        <v>Руль анатомический "Ferrum" Vesta Lite для Лада Веста, XRAY (Синяя нить, Чёрный мат)</v>
      </c>
      <c r="F845" s="127" t="str">
        <f>VLOOKUP($B845,'Выгр Торг'!$B:$Q,F$1,0)</f>
        <v>Y</v>
      </c>
      <c r="G845" s="127" t="str">
        <f>VLOOKUP($B845,'Выгр Торг'!$B:$Q,G$1,0)</f>
        <v>1</v>
      </c>
      <c r="H845" s="127">
        <v>342019</v>
      </c>
      <c r="I845" s="156"/>
      <c r="J845" s="160">
        <v>830</v>
      </c>
      <c r="K845" s="161">
        <v>870</v>
      </c>
      <c r="L845" s="130">
        <f t="shared" si="557"/>
        <v>41500</v>
      </c>
      <c r="M845" s="130">
        <f t="shared" si="567"/>
        <v>42500</v>
      </c>
      <c r="N845" s="130">
        <f t="shared" si="568"/>
        <v>35500</v>
      </c>
      <c r="O845" s="132">
        <f t="shared" si="558"/>
        <v>1.0240963855421688</v>
      </c>
      <c r="P845" s="132">
        <f t="shared" si="574"/>
        <v>1.1499999999999999</v>
      </c>
      <c r="Q845" s="130">
        <f t="shared" si="570"/>
        <v>51317.204301075268</v>
      </c>
      <c r="R845" s="148">
        <f t="shared" si="559"/>
        <v>51390</v>
      </c>
      <c r="S845" s="127">
        <f>VLOOKUP($B845,'Выгр Торг'!$B:$Q,S$1,0)</f>
        <v>41500</v>
      </c>
      <c r="T845" s="127">
        <f>VLOOKUP($B845,'Выгр Торг'!$B:$Q,T$1,0)</f>
        <v>51390</v>
      </c>
      <c r="U845" s="94">
        <f t="shared" si="575"/>
        <v>0</v>
      </c>
      <c r="V845" s="94">
        <f t="shared" si="576"/>
        <v>0</v>
      </c>
      <c r="W845" s="153">
        <f t="shared" si="560"/>
        <v>47792.7</v>
      </c>
      <c r="X845" s="209">
        <f>IFERROR(VLOOKUP($B845,'Из ГУГЛа'!$B:$G,6,0)*Z845+Y845,VLOOKUP($B845,'Из ГУГЛа'!$B:$G,6,0))</f>
        <v>52590</v>
      </c>
      <c r="Y845" s="220">
        <f t="shared" si="571"/>
        <v>10800</v>
      </c>
      <c r="Z845" s="133">
        <v>1</v>
      </c>
      <c r="AA845" s="133">
        <v>1300</v>
      </c>
      <c r="AB845" s="135">
        <f t="shared" si="561"/>
        <v>0.15163132530120471</v>
      </c>
      <c r="AC845" s="135">
        <f t="shared" si="562"/>
        <v>9.122076440387912E-2</v>
      </c>
      <c r="AD845" s="135">
        <f t="shared" si="563"/>
        <v>0.26722891566265061</v>
      </c>
      <c r="AE845" s="223">
        <v>52590</v>
      </c>
      <c r="AF845" s="36" t="s">
        <v>618</v>
      </c>
      <c r="AH845" s="98" t="s">
        <v>149</v>
      </c>
    </row>
    <row r="846" spans="1:34" ht="31.5" thickTop="1" thickBot="1">
      <c r="A846" s="125" t="str">
        <f>INDEX('Выгр Торг'!$A:$A,MATCH($B846,'Выгр Торг'!$B:$B,0))</f>
        <v>Руль анатомический "Ferrum" Vesta Lite для Лада Веста, XRAY</v>
      </c>
      <c r="B846" s="126">
        <v>342028</v>
      </c>
      <c r="C846" s="127">
        <f>VLOOKUP($B846,'Выгр Торг'!$B:$Q,C$1,0)</f>
        <v>342028</v>
      </c>
      <c r="D846" s="142" t="s">
        <v>149</v>
      </c>
      <c r="E846" s="125" t="str">
        <f>VLOOKUP($B846,'Выгр Торг'!$B:$Q,E$1,0)</f>
        <v>Руль анатомический "Ferrum" Vesta Lite для Лада Веста, XRAY (Тёмно-серая нить, Чёрный глянец)</v>
      </c>
      <c r="F846" s="127" t="str">
        <f>VLOOKUP($B846,'Выгр Торг'!$B:$Q,F$1,0)</f>
        <v>Y</v>
      </c>
      <c r="G846" s="127" t="str">
        <f>VLOOKUP($B846,'Выгр Торг'!$B:$Q,G$1,0)</f>
        <v>1</v>
      </c>
      <c r="H846" s="127">
        <v>342019</v>
      </c>
      <c r="I846" s="156"/>
      <c r="J846" s="160"/>
      <c r="K846" s="161">
        <v>870</v>
      </c>
      <c r="L846" s="130">
        <f t="shared" si="557"/>
        <v>40670</v>
      </c>
      <c r="M846" s="130">
        <f t="shared" si="567"/>
        <v>41670</v>
      </c>
      <c r="N846" s="130">
        <f t="shared" si="568"/>
        <v>34670</v>
      </c>
      <c r="O846" s="132">
        <f t="shared" si="558"/>
        <v>1.0245881485124171</v>
      </c>
      <c r="P846" s="132">
        <f t="shared" si="574"/>
        <v>1.1499999999999999</v>
      </c>
      <c r="Q846" s="130">
        <f t="shared" si="570"/>
        <v>50290.860215053763</v>
      </c>
      <c r="R846" s="148">
        <f t="shared" si="559"/>
        <v>50290</v>
      </c>
      <c r="S846" s="127">
        <f>VLOOKUP($B846,'Выгр Торг'!$B:$Q,S$1,0)</f>
        <v>40670</v>
      </c>
      <c r="T846" s="127">
        <f>VLOOKUP($B846,'Выгр Торг'!$B:$Q,T$1,0)</f>
        <v>50290</v>
      </c>
      <c r="U846" s="94">
        <f t="shared" si="575"/>
        <v>0</v>
      </c>
      <c r="V846" s="94">
        <f t="shared" si="576"/>
        <v>0</v>
      </c>
      <c r="W846" s="153">
        <f t="shared" si="560"/>
        <v>46769.7</v>
      </c>
      <c r="X846" s="209">
        <f>IFERROR(VLOOKUP($B846,'Из ГУГЛа'!$B:$G,6,0)*Z846+Y846,VLOOKUP($B846,'Из ГУГЛа'!$B:$G,6,0))</f>
        <v>51760</v>
      </c>
      <c r="Y846" s="220">
        <f t="shared" si="571"/>
        <v>9970</v>
      </c>
      <c r="Z846" s="133">
        <v>1</v>
      </c>
      <c r="AA846" s="134"/>
      <c r="AB846" s="135">
        <f t="shared" si="561"/>
        <v>0.14998032948118989</v>
      </c>
      <c r="AC846" s="135">
        <f t="shared" si="562"/>
        <v>9.641228748068012E-2</v>
      </c>
      <c r="AD846" s="135">
        <f t="shared" si="563"/>
        <v>0.27268256700270466</v>
      </c>
      <c r="AE846" s="223">
        <v>51760</v>
      </c>
      <c r="AF846" s="36" t="s">
        <v>618</v>
      </c>
      <c r="AH846" s="98" t="s">
        <v>149</v>
      </c>
    </row>
    <row r="847" spans="1:34" ht="31.5" thickTop="1" thickBot="1">
      <c r="A847" s="125" t="str">
        <f>INDEX('Выгр Торг'!$A:$A,MATCH($B847,'Выгр Торг'!$B:$B,0))</f>
        <v>Руль анатомический "Ferrum" Vesta Lite для Лада Веста, XRAY</v>
      </c>
      <c r="B847" s="126">
        <v>342041</v>
      </c>
      <c r="C847" s="127">
        <f>VLOOKUP($B847,'Выгр Торг'!$B:$Q,C$1,0)</f>
        <v>342041</v>
      </c>
      <c r="D847" s="142" t="s">
        <v>149</v>
      </c>
      <c r="E847" s="125" t="str">
        <f>VLOOKUP($B847,'Выгр Торг'!$B:$Q,E$1,0)</f>
        <v>Руль анатомический "Ferrum" Vesta Lite для Лада Веста, XRAY (Тёмно-серая нить, Чёрный мат)</v>
      </c>
      <c r="F847" s="127" t="str">
        <f>VLOOKUP($B847,'Выгр Торг'!$B:$Q,F$1,0)</f>
        <v>Y</v>
      </c>
      <c r="G847" s="127" t="str">
        <f>VLOOKUP($B847,'Выгр Торг'!$B:$Q,G$1,0)</f>
        <v>1</v>
      </c>
      <c r="H847" s="127">
        <v>342019</v>
      </c>
      <c r="I847" s="156"/>
      <c r="J847" s="160">
        <v>830</v>
      </c>
      <c r="K847" s="161">
        <v>870</v>
      </c>
      <c r="L847" s="130">
        <f t="shared" si="557"/>
        <v>41500</v>
      </c>
      <c r="M847" s="130">
        <f t="shared" si="567"/>
        <v>42500</v>
      </c>
      <c r="N847" s="130">
        <f t="shared" si="568"/>
        <v>35500</v>
      </c>
      <c r="O847" s="132">
        <f t="shared" si="558"/>
        <v>1.0240963855421688</v>
      </c>
      <c r="P847" s="132">
        <f t="shared" si="574"/>
        <v>1.1499999999999999</v>
      </c>
      <c r="Q847" s="130">
        <f t="shared" si="570"/>
        <v>51317.204301075268</v>
      </c>
      <c r="R847" s="148">
        <f t="shared" si="559"/>
        <v>51390</v>
      </c>
      <c r="S847" s="127">
        <f>VLOOKUP($B847,'Выгр Торг'!$B:$Q,S$1,0)</f>
        <v>41500</v>
      </c>
      <c r="T847" s="127">
        <f>VLOOKUP($B847,'Выгр Торг'!$B:$Q,T$1,0)</f>
        <v>51390</v>
      </c>
      <c r="U847" s="94">
        <f t="shared" si="575"/>
        <v>0</v>
      </c>
      <c r="V847" s="94">
        <f t="shared" si="576"/>
        <v>0</v>
      </c>
      <c r="W847" s="153">
        <f t="shared" si="560"/>
        <v>47792.7</v>
      </c>
      <c r="X847" s="209">
        <f>IFERROR(VLOOKUP($B847,'Из ГУГЛа'!$B:$G,6,0)*Z847+Y847,VLOOKUP($B847,'Из ГУГЛа'!$B:$G,6,0))</f>
        <v>52590</v>
      </c>
      <c r="Y847" s="220">
        <f t="shared" si="571"/>
        <v>10800</v>
      </c>
      <c r="Z847" s="133">
        <v>1</v>
      </c>
      <c r="AA847" s="133">
        <v>1300</v>
      </c>
      <c r="AB847" s="135">
        <f t="shared" si="561"/>
        <v>0.15163132530120471</v>
      </c>
      <c r="AC847" s="135">
        <f t="shared" si="562"/>
        <v>9.122076440387912E-2</v>
      </c>
      <c r="AD847" s="135">
        <f t="shared" si="563"/>
        <v>0.26722891566265061</v>
      </c>
      <c r="AE847" s="223">
        <v>52590</v>
      </c>
      <c r="AF847" s="36" t="s">
        <v>618</v>
      </c>
      <c r="AH847" s="98" t="s">
        <v>149</v>
      </c>
    </row>
    <row r="848" spans="1:34" ht="31.5" thickTop="1" thickBot="1">
      <c r="A848" s="125" t="str">
        <f>INDEX('Выгр Торг'!$A:$A,MATCH($B848,'Выгр Торг'!$B:$B,0))</f>
        <v>Руль анатомический "Ferrum" Vesta Lite для Лада Веста, XRAY</v>
      </c>
      <c r="B848" s="126">
        <v>342020</v>
      </c>
      <c r="C848" s="127">
        <f>VLOOKUP($B848,'Выгр Торг'!$B:$Q,C$1,0)</f>
        <v>342020</v>
      </c>
      <c r="D848" s="142" t="s">
        <v>149</v>
      </c>
      <c r="E848" s="125" t="str">
        <f>VLOOKUP($B848,'Выгр Торг'!$B:$Q,E$1,0)</f>
        <v>Руль анатомический "Ferrum" Vesta Lite для Лада Веста, XRAY (Фиолетовая нить, Чёрный глянец)</v>
      </c>
      <c r="F848" s="127" t="str">
        <f>VLOOKUP($B848,'Выгр Торг'!$B:$Q,F$1,0)</f>
        <v>Y</v>
      </c>
      <c r="G848" s="127" t="str">
        <f>VLOOKUP($B848,'Выгр Торг'!$B:$Q,G$1,0)</f>
        <v>1</v>
      </c>
      <c r="H848" s="127">
        <v>342019</v>
      </c>
      <c r="I848" s="156"/>
      <c r="J848" s="160"/>
      <c r="K848" s="161">
        <v>870</v>
      </c>
      <c r="L848" s="130">
        <f t="shared" si="557"/>
        <v>40670</v>
      </c>
      <c r="M848" s="130">
        <f t="shared" si="567"/>
        <v>41670</v>
      </c>
      <c r="N848" s="130">
        <f t="shared" si="568"/>
        <v>34670</v>
      </c>
      <c r="O848" s="132">
        <f t="shared" si="558"/>
        <v>1.0245881485124171</v>
      </c>
      <c r="P848" s="132">
        <f t="shared" si="574"/>
        <v>1.1499999999999999</v>
      </c>
      <c r="Q848" s="130">
        <f t="shared" si="570"/>
        <v>50290.860215053763</v>
      </c>
      <c r="R848" s="148">
        <f t="shared" si="559"/>
        <v>50290</v>
      </c>
      <c r="S848" s="127">
        <f>VLOOKUP($B848,'Выгр Торг'!$B:$Q,S$1,0)</f>
        <v>40670</v>
      </c>
      <c r="T848" s="127">
        <f>VLOOKUP($B848,'Выгр Торг'!$B:$Q,T$1,0)</f>
        <v>50290</v>
      </c>
      <c r="U848" s="94">
        <f t="shared" si="575"/>
        <v>0</v>
      </c>
      <c r="V848" s="94">
        <f t="shared" si="576"/>
        <v>0</v>
      </c>
      <c r="W848" s="153">
        <f t="shared" si="560"/>
        <v>46769.7</v>
      </c>
      <c r="X848" s="209">
        <f>IFERROR(VLOOKUP($B848,'Из ГУГЛа'!$B:$G,6,0)*Z848+Y848,VLOOKUP($B848,'Из ГУГЛа'!$B:$G,6,0))</f>
        <v>51760</v>
      </c>
      <c r="Y848" s="220">
        <f t="shared" si="571"/>
        <v>9970</v>
      </c>
      <c r="Z848" s="133">
        <v>1</v>
      </c>
      <c r="AA848" s="134"/>
      <c r="AB848" s="135">
        <f t="shared" si="561"/>
        <v>0.14998032948118989</v>
      </c>
      <c r="AC848" s="135">
        <f t="shared" si="562"/>
        <v>9.641228748068012E-2</v>
      </c>
      <c r="AD848" s="135">
        <f t="shared" si="563"/>
        <v>0.27268256700270466</v>
      </c>
      <c r="AE848" s="223">
        <v>51760</v>
      </c>
      <c r="AF848" s="36" t="s">
        <v>618</v>
      </c>
      <c r="AH848" s="98" t="s">
        <v>149</v>
      </c>
    </row>
    <row r="849" spans="1:34" ht="31.5" thickTop="1" thickBot="1">
      <c r="A849" s="125" t="str">
        <f>INDEX('Выгр Торг'!$A:$A,MATCH($B849,'Выгр Торг'!$B:$B,0))</f>
        <v>Руль анатомический "Ferrum" Vesta Lite для Лада Веста, XRAY</v>
      </c>
      <c r="B849" s="126">
        <v>342033</v>
      </c>
      <c r="C849" s="127">
        <f>VLOOKUP($B849,'Выгр Торг'!$B:$Q,C$1,0)</f>
        <v>342033</v>
      </c>
      <c r="D849" s="142" t="s">
        <v>149</v>
      </c>
      <c r="E849" s="125" t="str">
        <f>VLOOKUP($B849,'Выгр Торг'!$B:$Q,E$1,0)</f>
        <v>Руль анатомический "Ferrum" Vesta Lite для Лада Веста, XRAY (Фиолетовая нить, Чёрный мат)</v>
      </c>
      <c r="F849" s="127" t="str">
        <f>VLOOKUP($B849,'Выгр Торг'!$B:$Q,F$1,0)</f>
        <v>Y</v>
      </c>
      <c r="G849" s="127" t="str">
        <f>VLOOKUP($B849,'Выгр Торг'!$B:$Q,G$1,0)</f>
        <v>1</v>
      </c>
      <c r="H849" s="127">
        <v>342019</v>
      </c>
      <c r="I849" s="156"/>
      <c r="J849" s="160">
        <v>830</v>
      </c>
      <c r="K849" s="161">
        <v>870</v>
      </c>
      <c r="L849" s="130">
        <f t="shared" si="557"/>
        <v>41500</v>
      </c>
      <c r="M849" s="130">
        <f t="shared" si="567"/>
        <v>42500</v>
      </c>
      <c r="N849" s="130">
        <f t="shared" si="568"/>
        <v>35500</v>
      </c>
      <c r="O849" s="132">
        <f t="shared" si="558"/>
        <v>1.0240963855421688</v>
      </c>
      <c r="P849" s="132">
        <f t="shared" si="574"/>
        <v>1.1499999999999999</v>
      </c>
      <c r="Q849" s="130">
        <f t="shared" si="570"/>
        <v>51317.204301075268</v>
      </c>
      <c r="R849" s="148">
        <f t="shared" si="559"/>
        <v>51390</v>
      </c>
      <c r="S849" s="127">
        <f>VLOOKUP($B849,'Выгр Торг'!$B:$Q,S$1,0)</f>
        <v>41500</v>
      </c>
      <c r="T849" s="127">
        <f>VLOOKUP($B849,'Выгр Торг'!$B:$Q,T$1,0)</f>
        <v>51390</v>
      </c>
      <c r="U849" s="94">
        <f t="shared" si="575"/>
        <v>0</v>
      </c>
      <c r="V849" s="94">
        <f t="shared" si="576"/>
        <v>0</v>
      </c>
      <c r="W849" s="153">
        <f t="shared" si="560"/>
        <v>47792.7</v>
      </c>
      <c r="X849" s="209">
        <f>IFERROR(VLOOKUP($B849,'Из ГУГЛа'!$B:$G,6,0)*Z849+Y849,VLOOKUP($B849,'Из ГУГЛа'!$B:$G,6,0))</f>
        <v>52590</v>
      </c>
      <c r="Y849" s="220">
        <f t="shared" si="571"/>
        <v>10800</v>
      </c>
      <c r="Z849" s="133">
        <v>1</v>
      </c>
      <c r="AA849" s="133">
        <v>1300</v>
      </c>
      <c r="AB849" s="135">
        <f t="shared" si="561"/>
        <v>0.15163132530120471</v>
      </c>
      <c r="AC849" s="135">
        <f t="shared" si="562"/>
        <v>9.122076440387912E-2</v>
      </c>
      <c r="AD849" s="135">
        <f t="shared" si="563"/>
        <v>0.26722891566265061</v>
      </c>
      <c r="AE849" s="223">
        <v>52590</v>
      </c>
      <c r="AF849" s="36" t="s">
        <v>618</v>
      </c>
      <c r="AH849" s="98" t="s">
        <v>149</v>
      </c>
    </row>
    <row r="850" spans="1:34" ht="76.5" thickTop="1" thickBot="1">
      <c r="A850" s="125" t="str">
        <f>INDEX('Выгр Торг'!$A:$A,MATCH($B850,'Выгр Торг'!$B:$B,0))</f>
        <v>Электронная комбинация приборов "Ferrum Group" GF 819 Black для ВАЗ 2110-2112 (европанель), Лада (Калина, Приора)</v>
      </c>
      <c r="B850" s="126">
        <v>364030</v>
      </c>
      <c r="C850" s="127">
        <f>VLOOKUP($B850,'Выгр Торг'!$B:$Q,C$1,0)</f>
        <v>364030</v>
      </c>
      <c r="D850" s="142" t="s">
        <v>175</v>
      </c>
      <c r="E850" s="125" t="str">
        <f>VLOOKUP($B850,'Выгр Торг'!$B:$Q,E$1,0)</f>
        <v>Электронная комбинация приборов "Ferrum Group" GF 819 Black для ВАЗ 2110-2112 (европанель), Лада (Калина, Приора) (Чёрный)</v>
      </c>
      <c r="F850" s="127" t="str">
        <f>VLOOKUP($B850,'Выгр Торг'!$B:$Q,F$1,0)</f>
        <v>Y</v>
      </c>
      <c r="G850" s="127" t="str">
        <f>VLOOKUP($B850,'Выгр Торг'!$B:$Q,G$1,0)</f>
        <v>1</v>
      </c>
      <c r="H850" s="127"/>
      <c r="I850" s="103" t="s">
        <v>350</v>
      </c>
      <c r="J850" s="162"/>
      <c r="K850" s="162"/>
      <c r="L850" s="140">
        <f>VLOOKUP(I850,'Прайс Gamma'!$B:$H,3,0)+$K850+$J850</f>
        <v>54834</v>
      </c>
      <c r="M850" s="140">
        <f>VLOOKUP(I850,'Прайс Gamma'!$B:$H,4,0)+$K850+$J850</f>
        <v>57834</v>
      </c>
      <c r="N850" s="140"/>
      <c r="O850" s="132">
        <f t="shared" si="558"/>
        <v>1.0547105810263706</v>
      </c>
      <c r="P850" s="132">
        <f t="shared" si="574"/>
        <v>1.1499999999999999</v>
      </c>
      <c r="Q850" s="147">
        <f t="shared" ref="Q850" si="577">L850*P850*100/93</f>
        <v>67805.483870967742</v>
      </c>
      <c r="R850" s="148">
        <f t="shared" si="559"/>
        <v>67890</v>
      </c>
      <c r="S850" s="127">
        <f>VLOOKUP($B850,'Выгр Торг'!$B:$Q,S$1,0)</f>
        <v>54834</v>
      </c>
      <c r="T850" s="127">
        <f>VLOOKUP($B850,'Выгр Торг'!$B:$Q,T$1,0)</f>
        <v>67890</v>
      </c>
      <c r="U850" s="94">
        <f t="shared" si="575"/>
        <v>0</v>
      </c>
      <c r="V850" s="94">
        <f t="shared" si="576"/>
        <v>0</v>
      </c>
      <c r="W850" s="153">
        <f t="shared" si="560"/>
        <v>63137.7</v>
      </c>
      <c r="X850" s="209">
        <f>IFERROR(VLOOKUP($B850,'Из ГУГЛа'!$B:$G,6,0)*Z850+Y850,VLOOKUP($B850,'Из ГУГЛа'!$B:$G,6,0))</f>
        <v>68190</v>
      </c>
      <c r="Y850" s="76"/>
      <c r="Z850" s="133">
        <v>1</v>
      </c>
      <c r="AA850" s="134"/>
      <c r="AB850" s="135">
        <f t="shared" si="561"/>
        <v>0.15143341722289083</v>
      </c>
      <c r="AC850" s="135">
        <f t="shared" si="562"/>
        <v>7.409150901891777E-2</v>
      </c>
      <c r="AD850" s="135">
        <f t="shared" si="563"/>
        <v>0.24357150672940153</v>
      </c>
      <c r="AE850" s="137">
        <v>68190</v>
      </c>
      <c r="AF850" s="98" t="s">
        <v>545</v>
      </c>
      <c r="AH850" s="98" t="s">
        <v>175</v>
      </c>
    </row>
    <row r="851" spans="1:34" ht="76.5" thickTop="1" thickBot="1">
      <c r="A851" s="125" t="str">
        <f>INDEX('Выгр Торг'!$A:$A,MATCH($B851,'Выгр Торг'!$B:$B,0))</f>
        <v>Электронная комбинация приборов "Ferrum Group" GF 819 Black для ВАЗ 2110-2112 (европанель), Лада (Калина, Приора)</v>
      </c>
      <c r="B851" s="126">
        <v>364031</v>
      </c>
      <c r="C851" s="127">
        <f>VLOOKUP($B851,'Выгр Торг'!$B:$Q,C$1,0)</f>
        <v>364031</v>
      </c>
      <c r="D851" s="142" t="s">
        <v>174</v>
      </c>
      <c r="E851" s="125" t="str">
        <f>VLOOKUP($B851,'Выгр Торг'!$B:$Q,E$1,0)</f>
        <v>Электронная комбинация приборов "Ferrum Group" GF 819 для ВАЗ 2110-2112 (европанель), Лада (Калина, Приора) (Серебро)</v>
      </c>
      <c r="F851" s="127" t="str">
        <f>VLOOKUP($B851,'Выгр Торг'!$B:$Q,F$1,0)</f>
        <v>Y</v>
      </c>
      <c r="G851" s="127" t="str">
        <f>VLOOKUP($B851,'Выгр Торг'!$B:$Q,G$1,0)</f>
        <v>1</v>
      </c>
      <c r="H851" s="127"/>
      <c r="I851" s="103" t="s">
        <v>350</v>
      </c>
      <c r="J851" s="162"/>
      <c r="K851" s="162"/>
      <c r="L851" s="140">
        <f>VLOOKUP(I851,'Прайс Gamma'!$B:$H,3,0)+$K851+$J851</f>
        <v>54834</v>
      </c>
      <c r="M851" s="140">
        <f>VLOOKUP(I851,'Прайс Gamma'!$B:$H,4,0)+$K851+$J851</f>
        <v>57834</v>
      </c>
      <c r="N851" s="140"/>
      <c r="O851" s="132">
        <f t="shared" ref="O851:O863" si="578">M851/L851</f>
        <v>1.0547105810263706</v>
      </c>
      <c r="P851" s="132">
        <f t="shared" si="574"/>
        <v>1.1499999999999999</v>
      </c>
      <c r="Q851" s="147">
        <f t="shared" ref="Q851:Q863" si="579">L851*P851*100/93</f>
        <v>67805.483870967742</v>
      </c>
      <c r="R851" s="148">
        <f t="shared" ref="R851:R863" si="580">IF(Q851&lt;=1000,(ROUNDUP(Q851,-2)-1),(ROUNDUP(Q851,-2)-10))</f>
        <v>67890</v>
      </c>
      <c r="S851" s="127">
        <f>VLOOKUP($B851,'Выгр Торг'!$B:$Q,S$1,0)</f>
        <v>54834</v>
      </c>
      <c r="T851" s="127">
        <f>VLOOKUP($B851,'Выгр Торг'!$B:$Q,T$1,0)</f>
        <v>67890</v>
      </c>
      <c r="U851" s="94">
        <f t="shared" si="575"/>
        <v>0</v>
      </c>
      <c r="V851" s="94">
        <f t="shared" si="576"/>
        <v>0</v>
      </c>
      <c r="W851" s="153">
        <f t="shared" ref="W851:W863" si="581">R851*(1-$W$2)</f>
        <v>63137.7</v>
      </c>
      <c r="X851" s="209">
        <f>IFERROR(VLOOKUP($B851,'Из ГУГЛа'!$B:$G,6,0)*Z851+Y851,VLOOKUP($B851,'Из ГУГЛа'!$B:$G,6,0))</f>
        <v>68190</v>
      </c>
      <c r="Y851" s="76"/>
      <c r="Z851" s="133">
        <v>1</v>
      </c>
      <c r="AA851" s="134"/>
      <c r="AB851" s="135">
        <f t="shared" ref="AB851:AB863" si="582">IFERROR(W851/L851-1,"")</f>
        <v>0.15143341722289083</v>
      </c>
      <c r="AC851" s="135">
        <f t="shared" ref="AC851:AC863" si="583">IFERROR((AE851-W851)/AE851,"")</f>
        <v>7.409150901891777E-2</v>
      </c>
      <c r="AD851" s="135">
        <f t="shared" ref="AD851:AD863" si="584">IFERROR(IF(AE851="","",AE851/L851-1),"")</f>
        <v>0.24357150672940153</v>
      </c>
      <c r="AE851" s="137">
        <v>68190</v>
      </c>
      <c r="AF851" s="98" t="s">
        <v>549</v>
      </c>
      <c r="AH851" s="98" t="s">
        <v>174</v>
      </c>
    </row>
    <row r="852" spans="1:34" ht="46.5" thickTop="1" thickBot="1">
      <c r="A852" s="125" t="str">
        <f>INDEX('Выгр Торг'!$A:$A,MATCH($B852,'Выгр Торг'!$B:$B,0))</f>
        <v>Электронная комбинация приборов "Ferrum Group" GF 826 для ВАЗ 2110-2112, 2113-2115</v>
      </c>
      <c r="B852" s="126">
        <v>364045</v>
      </c>
      <c r="C852" s="127">
        <f>VLOOKUP($B852,'Выгр Торг'!$B:$Q,C$1,0)</f>
        <v>364045</v>
      </c>
      <c r="D852" s="219" t="s">
        <v>464</v>
      </c>
      <c r="E852" s="125" t="str">
        <f>VLOOKUP($B852,'Выгр Торг'!$B:$Q,E$1,0)</f>
        <v>Электронная комбинация приборов "Ferrum Group" GF 826 для ВАЗ 2110-2112, 2113-2115 (Индикация оранжевая, Кольца хром)</v>
      </c>
      <c r="F852" s="127" t="str">
        <f>VLOOKUP($B852,'Выгр Торг'!$B:$Q,F$1,0)</f>
        <v>Y</v>
      </c>
      <c r="G852" s="127" t="str">
        <f>VLOOKUP($B852,'Выгр Торг'!$B:$Q,G$1,0)</f>
        <v>1</v>
      </c>
      <c r="H852" s="127"/>
      <c r="I852" s="159" t="s">
        <v>886</v>
      </c>
      <c r="J852" s="162"/>
      <c r="K852" s="162"/>
      <c r="L852" s="140">
        <f>VLOOKUP(I852,'Прайс Gamma'!$B:$H,3,0)+$K852+$J852</f>
        <v>74700</v>
      </c>
      <c r="M852" s="140">
        <f>VLOOKUP(I852,'Прайс Gamma'!$B:$H,4,0)+$K852+$J852</f>
        <v>77700</v>
      </c>
      <c r="N852" s="140"/>
      <c r="O852" s="132">
        <f t="shared" si="578"/>
        <v>1.0401606425702812</v>
      </c>
      <c r="P852" s="132">
        <f t="shared" si="574"/>
        <v>1.1499999999999999</v>
      </c>
      <c r="Q852" s="147">
        <f t="shared" si="579"/>
        <v>92370.967741935485</v>
      </c>
      <c r="R852" s="148">
        <f t="shared" si="580"/>
        <v>92390</v>
      </c>
      <c r="S852" s="127">
        <f>VLOOKUP($B852,'Выгр Торг'!$B:$Q,S$1,0)</f>
        <v>74700</v>
      </c>
      <c r="T852" s="127">
        <f>VLOOKUP($B852,'Выгр Торг'!$B:$Q,T$1,0)</f>
        <v>92390</v>
      </c>
      <c r="U852" s="94">
        <f t="shared" si="575"/>
        <v>0</v>
      </c>
      <c r="V852" s="94">
        <f t="shared" si="576"/>
        <v>0</v>
      </c>
      <c r="W852" s="153">
        <f t="shared" si="581"/>
        <v>85922.7</v>
      </c>
      <c r="X852" s="209">
        <f>IFERROR(VLOOKUP($B852,'Из ГУГЛа'!$B:$G,6,0)*Z852+Y852,VLOOKUP($B852,'Из ГУГЛа'!$B:$G,6,0))</f>
        <v>87390</v>
      </c>
      <c r="Y852" s="76"/>
      <c r="Z852" s="133">
        <v>1</v>
      </c>
      <c r="AA852" s="134"/>
      <c r="AB852" s="135">
        <f t="shared" si="582"/>
        <v>0.1502369477911647</v>
      </c>
      <c r="AC852" s="135">
        <f t="shared" si="583"/>
        <v>1.6790250600755268E-2</v>
      </c>
      <c r="AD852" s="135">
        <f t="shared" si="584"/>
        <v>0.16987951807228918</v>
      </c>
      <c r="AE852" s="137">
        <v>87390</v>
      </c>
      <c r="AF852" s="98" t="s">
        <v>581</v>
      </c>
      <c r="AH852" s="98" t="s">
        <v>464</v>
      </c>
    </row>
    <row r="853" spans="1:34" ht="46.5" thickTop="1" thickBot="1">
      <c r="A853" s="125" t="str">
        <f>INDEX('Выгр Торг'!$A:$A,MATCH($B853,'Выгр Торг'!$B:$B,0))</f>
        <v>Электронная комбинация приборов "Ferrum Group" GF 826 для ВАЗ 2110-2112, 2113-2115</v>
      </c>
      <c r="B853" s="126">
        <v>364047</v>
      </c>
      <c r="C853" s="127">
        <f>VLOOKUP($B853,'Выгр Торг'!$B:$Q,C$1,0)</f>
        <v>364047</v>
      </c>
      <c r="D853" s="219" t="s">
        <v>464</v>
      </c>
      <c r="E853" s="125" t="str">
        <f>VLOOKUP($B853,'Выгр Торг'!$B:$Q,E$1,0)</f>
        <v>Электронная комбинация приборов "Ferrum Group" GF 826 для ВАЗ 2110-2112, 2113-2115 (Индикация оранжевая, Кольца чёрные)</v>
      </c>
      <c r="F853" s="127" t="str">
        <f>VLOOKUP($B853,'Выгр Торг'!$B:$Q,F$1,0)</f>
        <v>Y</v>
      </c>
      <c r="G853" s="127" t="str">
        <f>VLOOKUP($B853,'Выгр Торг'!$B:$Q,G$1,0)</f>
        <v>1</v>
      </c>
      <c r="H853" s="127"/>
      <c r="I853" s="159" t="s">
        <v>886</v>
      </c>
      <c r="J853" s="162"/>
      <c r="K853" s="162"/>
      <c r="L853" s="140">
        <f>VLOOKUP(I853,'Прайс Gamma'!$B:$H,3,0)+$K853+$J853</f>
        <v>74700</v>
      </c>
      <c r="M853" s="140">
        <f>VLOOKUP(I853,'Прайс Gamma'!$B:$H,4,0)+$K853+$J853</f>
        <v>77700</v>
      </c>
      <c r="N853" s="140"/>
      <c r="O853" s="132">
        <f t="shared" si="578"/>
        <v>1.0401606425702812</v>
      </c>
      <c r="P853" s="132">
        <f t="shared" si="574"/>
        <v>1.1499999999999999</v>
      </c>
      <c r="Q853" s="147">
        <f t="shared" si="579"/>
        <v>92370.967741935485</v>
      </c>
      <c r="R853" s="148">
        <f t="shared" si="580"/>
        <v>92390</v>
      </c>
      <c r="S853" s="127">
        <f>VLOOKUP($B853,'Выгр Торг'!$B:$Q,S$1,0)</f>
        <v>74700</v>
      </c>
      <c r="T853" s="127">
        <f>VLOOKUP($B853,'Выгр Торг'!$B:$Q,T$1,0)</f>
        <v>92390</v>
      </c>
      <c r="U853" s="94">
        <f t="shared" si="575"/>
        <v>0</v>
      </c>
      <c r="V853" s="94">
        <f t="shared" si="576"/>
        <v>0</v>
      </c>
      <c r="W853" s="153">
        <f t="shared" si="581"/>
        <v>85922.7</v>
      </c>
      <c r="X853" s="209">
        <f>IFERROR(VLOOKUP($B853,'Из ГУГЛа'!$B:$G,6,0)*Z853+Y853,VLOOKUP($B853,'Из ГУГЛа'!$B:$G,6,0))</f>
        <v>87390</v>
      </c>
      <c r="Y853" s="76"/>
      <c r="Z853" s="133">
        <v>1</v>
      </c>
      <c r="AA853" s="134"/>
      <c r="AB853" s="135">
        <f t="shared" si="582"/>
        <v>0.1502369477911647</v>
      </c>
      <c r="AC853" s="135">
        <f t="shared" si="583"/>
        <v>1.6790250600755268E-2</v>
      </c>
      <c r="AD853" s="135">
        <f t="shared" si="584"/>
        <v>0.16987951807228918</v>
      </c>
      <c r="AE853" s="137">
        <v>87390</v>
      </c>
      <c r="AF853" s="98" t="s">
        <v>559</v>
      </c>
      <c r="AH853" s="98" t="s">
        <v>464</v>
      </c>
    </row>
    <row r="854" spans="1:34" ht="46.5" thickTop="1" thickBot="1">
      <c r="A854" s="125" t="str">
        <f>INDEX('Выгр Торг'!$A:$A,MATCH($B854,'Выгр Торг'!$B:$B,0))</f>
        <v>Электронная комбинация приборов "Ferrum Group" GF 826 для ВАЗ 2110-2112, 2113-2115</v>
      </c>
      <c r="B854" s="126">
        <v>364044</v>
      </c>
      <c r="C854" s="127">
        <f>VLOOKUP($B854,'Выгр Торг'!$B:$Q,C$1,0)</f>
        <v>364044</v>
      </c>
      <c r="D854" s="219" t="s">
        <v>464</v>
      </c>
      <c r="E854" s="125" t="str">
        <f>VLOOKUP($B854,'Выгр Торг'!$B:$Q,E$1,0)</f>
        <v>Электронная комбинация приборов "Ferrum Group" GF 826 для ВАЗ 2110-2112, 2113-2115 (Индикация серо-голубая, Кольца хром)</v>
      </c>
      <c r="F854" s="127" t="str">
        <f>VLOOKUP($B854,'Выгр Торг'!$B:$Q,F$1,0)</f>
        <v>Y</v>
      </c>
      <c r="G854" s="127" t="str">
        <f>VLOOKUP($B854,'Выгр Торг'!$B:$Q,G$1,0)</f>
        <v>1</v>
      </c>
      <c r="H854" s="127"/>
      <c r="I854" s="159" t="s">
        <v>886</v>
      </c>
      <c r="J854" s="162"/>
      <c r="K854" s="162"/>
      <c r="L854" s="140">
        <f>VLOOKUP(I854,'Прайс Gamma'!$B:$H,3,0)+$K854+$J854</f>
        <v>74700</v>
      </c>
      <c r="M854" s="140">
        <f>VLOOKUP(I854,'Прайс Gamma'!$B:$H,4,0)+$K854+$J854</f>
        <v>77700</v>
      </c>
      <c r="N854" s="140"/>
      <c r="O854" s="132">
        <f t="shared" si="578"/>
        <v>1.0401606425702812</v>
      </c>
      <c r="P854" s="132">
        <f t="shared" si="574"/>
        <v>1.1499999999999999</v>
      </c>
      <c r="Q854" s="147">
        <f t="shared" si="579"/>
        <v>92370.967741935485</v>
      </c>
      <c r="R854" s="148">
        <f t="shared" si="580"/>
        <v>92390</v>
      </c>
      <c r="S854" s="127">
        <f>VLOOKUP($B854,'Выгр Торг'!$B:$Q,S$1,0)</f>
        <v>74700</v>
      </c>
      <c r="T854" s="127">
        <f>VLOOKUP($B854,'Выгр Торг'!$B:$Q,T$1,0)</f>
        <v>92390</v>
      </c>
      <c r="U854" s="94">
        <f t="shared" si="575"/>
        <v>0</v>
      </c>
      <c r="V854" s="94">
        <f t="shared" si="576"/>
        <v>0</v>
      </c>
      <c r="W854" s="153">
        <f t="shared" si="581"/>
        <v>85922.7</v>
      </c>
      <c r="X854" s="209">
        <f>IFERROR(VLOOKUP($B854,'Из ГУГЛа'!$B:$G,6,0)*Z854+Y854,VLOOKUP($B854,'Из ГУГЛа'!$B:$G,6,0))</f>
        <v>87390</v>
      </c>
      <c r="Y854" s="76"/>
      <c r="Z854" s="133">
        <v>1</v>
      </c>
      <c r="AA854" s="134"/>
      <c r="AB854" s="135">
        <f t="shared" si="582"/>
        <v>0.1502369477911647</v>
      </c>
      <c r="AC854" s="135">
        <f t="shared" si="583"/>
        <v>1.6790250600755268E-2</v>
      </c>
      <c r="AD854" s="135">
        <f t="shared" si="584"/>
        <v>0.16987951807228918</v>
      </c>
      <c r="AE854" s="137">
        <v>87390</v>
      </c>
      <c r="AF854" s="98" t="s">
        <v>581</v>
      </c>
      <c r="AH854" s="98" t="s">
        <v>464</v>
      </c>
    </row>
    <row r="855" spans="1:34" ht="46.5" thickTop="1" thickBot="1">
      <c r="A855" s="125" t="str">
        <f>INDEX('Выгр Торг'!$A:$A,MATCH($B855,'Выгр Торг'!$B:$B,0))</f>
        <v>Электронная комбинация приборов "Ferrum Group" GF 826 для ВАЗ 2110-2112, 2113-2115</v>
      </c>
      <c r="B855" s="126">
        <v>364046</v>
      </c>
      <c r="C855" s="127">
        <f>VLOOKUP($B855,'Выгр Торг'!$B:$Q,C$1,0)</f>
        <v>364046</v>
      </c>
      <c r="D855" s="219" t="s">
        <v>464</v>
      </c>
      <c r="E855" s="125" t="str">
        <f>VLOOKUP($B855,'Выгр Торг'!$B:$Q,E$1,0)</f>
        <v>Электронная комбинация приборов "Ferrum Group" GF 826 для ВАЗ 2110-2112, 2113-2115 (Индикация серо-голубая, Кольца чёрные)</v>
      </c>
      <c r="F855" s="127" t="str">
        <f>VLOOKUP($B855,'Выгр Торг'!$B:$Q,F$1,0)</f>
        <v>Y</v>
      </c>
      <c r="G855" s="127" t="str">
        <f>VLOOKUP($B855,'Выгр Торг'!$B:$Q,G$1,0)</f>
        <v>1</v>
      </c>
      <c r="H855" s="127"/>
      <c r="I855" s="159" t="s">
        <v>886</v>
      </c>
      <c r="J855" s="162"/>
      <c r="K855" s="162"/>
      <c r="L855" s="140">
        <f>VLOOKUP(I855,'Прайс Gamma'!$B:$H,3,0)+$K855+$J855</f>
        <v>74700</v>
      </c>
      <c r="M855" s="140">
        <f>VLOOKUP(I855,'Прайс Gamma'!$B:$H,4,0)+$K855+$J855</f>
        <v>77700</v>
      </c>
      <c r="N855" s="140"/>
      <c r="O855" s="132">
        <f t="shared" si="578"/>
        <v>1.0401606425702812</v>
      </c>
      <c r="P855" s="132">
        <f t="shared" si="574"/>
        <v>1.1499999999999999</v>
      </c>
      <c r="Q855" s="147">
        <f t="shared" si="579"/>
        <v>92370.967741935485</v>
      </c>
      <c r="R855" s="148">
        <f t="shared" si="580"/>
        <v>92390</v>
      </c>
      <c r="S855" s="127">
        <f>VLOOKUP($B855,'Выгр Торг'!$B:$Q,S$1,0)</f>
        <v>74700</v>
      </c>
      <c r="T855" s="127">
        <f>VLOOKUP($B855,'Выгр Торг'!$B:$Q,T$1,0)</f>
        <v>92390</v>
      </c>
      <c r="U855" s="94">
        <f t="shared" si="575"/>
        <v>0</v>
      </c>
      <c r="V855" s="94">
        <f t="shared" si="576"/>
        <v>0</v>
      </c>
      <c r="W855" s="153">
        <f t="shared" si="581"/>
        <v>85922.7</v>
      </c>
      <c r="X855" s="209">
        <f>IFERROR(VLOOKUP($B855,'Из ГУГЛа'!$B:$G,6,0)*Z855+Y855,VLOOKUP($B855,'Из ГУГЛа'!$B:$G,6,0))</f>
        <v>87390</v>
      </c>
      <c r="Y855" s="76"/>
      <c r="Z855" s="133">
        <v>1</v>
      </c>
      <c r="AA855" s="134"/>
      <c r="AB855" s="135">
        <f t="shared" si="582"/>
        <v>0.1502369477911647</v>
      </c>
      <c r="AC855" s="135">
        <f t="shared" si="583"/>
        <v>1.6790250600755268E-2</v>
      </c>
      <c r="AD855" s="135">
        <f t="shared" si="584"/>
        <v>0.16987951807228918</v>
      </c>
      <c r="AE855" s="137">
        <v>87390</v>
      </c>
      <c r="AF855" s="98" t="s">
        <v>559</v>
      </c>
      <c r="AH855" s="98" t="s">
        <v>464</v>
      </c>
    </row>
    <row r="856" spans="1:34" ht="46.5" thickTop="1" thickBot="1">
      <c r="A856" s="125" t="str">
        <f>INDEX('Выгр Торг'!$A:$A,MATCH($B856,'Выгр Торг'!$B:$B,0))</f>
        <v>Электронная комбинация приборов "Ferrum Group" GF 826 для Лада Нива 4x4, Нива 4x4 Урбан</v>
      </c>
      <c r="B856" s="126">
        <v>364052</v>
      </c>
      <c r="C856" s="127">
        <f>VLOOKUP($B856,'Выгр Торг'!$B:$Q,C$1,0)</f>
        <v>364052</v>
      </c>
      <c r="D856" s="219" t="s">
        <v>464</v>
      </c>
      <c r="E856" s="125" t="str">
        <f>VLOOKUP($B856,'Выгр Торг'!$B:$Q,E$1,0)</f>
        <v>Электронная комбинация приборов "Ferrum Group" GF 826 для Лада Нива 4x4, Нива 4x4 Урбан (Индикация оранжевая, Кольца хром)</v>
      </c>
      <c r="F856" s="127" t="str">
        <f>VLOOKUP($B856,'Выгр Торг'!$B:$Q,F$1,0)</f>
        <v>Y</v>
      </c>
      <c r="G856" s="127" t="str">
        <f>VLOOKUP($B856,'Выгр Торг'!$B:$Q,G$1,0)</f>
        <v>1</v>
      </c>
      <c r="H856" s="127"/>
      <c r="I856" s="159" t="s">
        <v>886</v>
      </c>
      <c r="J856" s="162"/>
      <c r="K856" s="162"/>
      <c r="L856" s="140">
        <f>VLOOKUP(I856,'Прайс Gamma'!$B:$H,3,0)+$K856+$J856</f>
        <v>74700</v>
      </c>
      <c r="M856" s="140">
        <f>VLOOKUP(I856,'Прайс Gamma'!$B:$H,4,0)+$K856+$J856</f>
        <v>77700</v>
      </c>
      <c r="N856" s="140"/>
      <c r="O856" s="132">
        <f t="shared" si="578"/>
        <v>1.0401606425702812</v>
      </c>
      <c r="P856" s="132">
        <f t="shared" si="574"/>
        <v>1.1499999999999999</v>
      </c>
      <c r="Q856" s="147">
        <f t="shared" si="579"/>
        <v>92370.967741935485</v>
      </c>
      <c r="R856" s="148">
        <f t="shared" si="580"/>
        <v>92390</v>
      </c>
      <c r="S856" s="127">
        <f>VLOOKUP($B856,'Выгр Торг'!$B:$Q,S$1,0)</f>
        <v>74700</v>
      </c>
      <c r="T856" s="127">
        <f>VLOOKUP($B856,'Выгр Торг'!$B:$Q,T$1,0)</f>
        <v>92390</v>
      </c>
      <c r="U856" s="94">
        <f t="shared" si="575"/>
        <v>0</v>
      </c>
      <c r="V856" s="94">
        <f t="shared" si="576"/>
        <v>0</v>
      </c>
      <c r="W856" s="153">
        <f t="shared" si="581"/>
        <v>85922.7</v>
      </c>
      <c r="X856" s="209">
        <f>IFERROR(VLOOKUP($B856,'Из ГУГЛа'!$B:$G,6,0)*Z856+Y856,VLOOKUP($B856,'Из ГУГЛа'!$B:$G,6,0))</f>
        <v>87390</v>
      </c>
      <c r="Y856" s="76"/>
      <c r="Z856" s="133">
        <v>1</v>
      </c>
      <c r="AA856" s="134"/>
      <c r="AB856" s="135">
        <f t="shared" si="582"/>
        <v>0.1502369477911647</v>
      </c>
      <c r="AC856" s="135">
        <f t="shared" si="583"/>
        <v>1.6790250600755268E-2</v>
      </c>
      <c r="AD856" s="135">
        <f t="shared" si="584"/>
        <v>0.16987951807228918</v>
      </c>
      <c r="AE856" s="137">
        <v>87390</v>
      </c>
      <c r="AF856" s="98" t="s">
        <v>585</v>
      </c>
      <c r="AH856" s="98" t="s">
        <v>464</v>
      </c>
    </row>
    <row r="857" spans="1:34" ht="46.5" thickTop="1" thickBot="1">
      <c r="A857" s="125" t="str">
        <f>INDEX('Выгр Торг'!$A:$A,MATCH($B857,'Выгр Торг'!$B:$B,0))</f>
        <v>Электронная комбинация приборов "Ferrum Group" GF 826 для Лада Нива 4x4, Нива 4x4 Урбан</v>
      </c>
      <c r="B857" s="126">
        <v>364054</v>
      </c>
      <c r="C857" s="127">
        <f>VLOOKUP($B857,'Выгр Торг'!$B:$Q,C$1,0)</f>
        <v>364054</v>
      </c>
      <c r="D857" s="219" t="s">
        <v>464</v>
      </c>
      <c r="E857" s="125" t="str">
        <f>VLOOKUP($B857,'Выгр Торг'!$B:$Q,E$1,0)</f>
        <v>Электронная комбинация приборов "Ferrum Group" GF 826 для Лада Нива 4x4, Нива 4x4 Урбан (Индикация оранжевая, Кольца чёрные)</v>
      </c>
      <c r="F857" s="127" t="str">
        <f>VLOOKUP($B857,'Выгр Торг'!$B:$Q,F$1,0)</f>
        <v>Y</v>
      </c>
      <c r="G857" s="127" t="str">
        <f>VLOOKUP($B857,'Выгр Торг'!$B:$Q,G$1,0)</f>
        <v>1</v>
      </c>
      <c r="H857" s="127"/>
      <c r="I857" s="159" t="s">
        <v>886</v>
      </c>
      <c r="J857" s="162"/>
      <c r="K857" s="162"/>
      <c r="L857" s="140">
        <f>VLOOKUP(I857,'Прайс Gamma'!$B:$H,3,0)+$K857+$J857</f>
        <v>74700</v>
      </c>
      <c r="M857" s="140">
        <f>VLOOKUP(I857,'Прайс Gamma'!$B:$H,4,0)+$K857+$J857</f>
        <v>77700</v>
      </c>
      <c r="N857" s="140"/>
      <c r="O857" s="132">
        <f t="shared" si="578"/>
        <v>1.0401606425702812</v>
      </c>
      <c r="P857" s="132">
        <f t="shared" si="574"/>
        <v>1.1499999999999999</v>
      </c>
      <c r="Q857" s="147">
        <f t="shared" si="579"/>
        <v>92370.967741935485</v>
      </c>
      <c r="R857" s="148">
        <f t="shared" si="580"/>
        <v>92390</v>
      </c>
      <c r="S857" s="127">
        <f>VLOOKUP($B857,'Выгр Торг'!$B:$Q,S$1,0)</f>
        <v>74700</v>
      </c>
      <c r="T857" s="127">
        <f>VLOOKUP($B857,'Выгр Торг'!$B:$Q,T$1,0)</f>
        <v>92390</v>
      </c>
      <c r="U857" s="94">
        <f t="shared" si="575"/>
        <v>0</v>
      </c>
      <c r="V857" s="94">
        <f t="shared" si="576"/>
        <v>0</v>
      </c>
      <c r="W857" s="153">
        <f t="shared" si="581"/>
        <v>85922.7</v>
      </c>
      <c r="X857" s="209">
        <f>IFERROR(VLOOKUP($B857,'Из ГУГЛа'!$B:$G,6,0)*Z857+Y857,VLOOKUP($B857,'Из ГУГЛа'!$B:$G,6,0))</f>
        <v>87390</v>
      </c>
      <c r="Y857" s="76"/>
      <c r="Z857" s="133">
        <v>1</v>
      </c>
      <c r="AA857" s="134"/>
      <c r="AB857" s="135">
        <f t="shared" si="582"/>
        <v>0.1502369477911647</v>
      </c>
      <c r="AC857" s="135">
        <f t="shared" si="583"/>
        <v>1.6790250600755268E-2</v>
      </c>
      <c r="AD857" s="135">
        <f t="shared" si="584"/>
        <v>0.16987951807228918</v>
      </c>
      <c r="AE857" s="137">
        <v>87390</v>
      </c>
      <c r="AF857" s="98" t="s">
        <v>580</v>
      </c>
      <c r="AH857" s="98" t="s">
        <v>464</v>
      </c>
    </row>
    <row r="858" spans="1:34" ht="46.5" thickTop="1" thickBot="1">
      <c r="A858" s="125" t="str">
        <f>INDEX('Выгр Торг'!$A:$A,MATCH($B858,'Выгр Торг'!$B:$B,0))</f>
        <v>Электронная комбинация приборов "Ferrum Group" GF 826 для Лада Нива 4x4, Нива 4x4 Урбан</v>
      </c>
      <c r="B858" s="126">
        <v>364051</v>
      </c>
      <c r="C858" s="127">
        <f>VLOOKUP($B858,'Выгр Торг'!$B:$Q,C$1,0)</f>
        <v>364051</v>
      </c>
      <c r="D858" s="219" t="s">
        <v>464</v>
      </c>
      <c r="E858" s="125" t="str">
        <f>VLOOKUP($B858,'Выгр Торг'!$B:$Q,E$1,0)</f>
        <v>Электронная комбинация приборов "Ferrum Group" GF 826 для Лада Нива 4x4, Нива 4x4 Урбан (Индикация серо-голубая, Кольца хром)</v>
      </c>
      <c r="F858" s="127" t="str">
        <f>VLOOKUP($B858,'Выгр Торг'!$B:$Q,F$1,0)</f>
        <v>Y</v>
      </c>
      <c r="G858" s="127" t="str">
        <f>VLOOKUP($B858,'Выгр Торг'!$B:$Q,G$1,0)</f>
        <v>1</v>
      </c>
      <c r="H858" s="127"/>
      <c r="I858" s="159" t="s">
        <v>886</v>
      </c>
      <c r="J858" s="162"/>
      <c r="K858" s="162"/>
      <c r="L858" s="140">
        <f>VLOOKUP(I858,'Прайс Gamma'!$B:$H,3,0)+$K858+$J858</f>
        <v>74700</v>
      </c>
      <c r="M858" s="140">
        <f>VLOOKUP(I858,'Прайс Gamma'!$B:$H,4,0)+$K858+$J858</f>
        <v>77700</v>
      </c>
      <c r="N858" s="140"/>
      <c r="O858" s="132">
        <f t="shared" si="578"/>
        <v>1.0401606425702812</v>
      </c>
      <c r="P858" s="132">
        <f t="shared" si="574"/>
        <v>1.1499999999999999</v>
      </c>
      <c r="Q858" s="147">
        <f t="shared" si="579"/>
        <v>92370.967741935485</v>
      </c>
      <c r="R858" s="148">
        <f t="shared" si="580"/>
        <v>92390</v>
      </c>
      <c r="S858" s="127">
        <f>VLOOKUP($B858,'Выгр Торг'!$B:$Q,S$1,0)</f>
        <v>74700</v>
      </c>
      <c r="T858" s="127">
        <f>VLOOKUP($B858,'Выгр Торг'!$B:$Q,T$1,0)</f>
        <v>92390</v>
      </c>
      <c r="U858" s="94">
        <f t="shared" si="575"/>
        <v>0</v>
      </c>
      <c r="V858" s="94">
        <f t="shared" si="576"/>
        <v>0</v>
      </c>
      <c r="W858" s="153">
        <f t="shared" si="581"/>
        <v>85922.7</v>
      </c>
      <c r="X858" s="209">
        <f>IFERROR(VLOOKUP($B858,'Из ГУГЛа'!$B:$G,6,0)*Z858+Y858,VLOOKUP($B858,'Из ГУГЛа'!$B:$G,6,0))</f>
        <v>87390</v>
      </c>
      <c r="Y858" s="76"/>
      <c r="Z858" s="133">
        <v>1</v>
      </c>
      <c r="AA858" s="134"/>
      <c r="AB858" s="135">
        <f t="shared" si="582"/>
        <v>0.1502369477911647</v>
      </c>
      <c r="AC858" s="135">
        <f t="shared" si="583"/>
        <v>1.6790250600755268E-2</v>
      </c>
      <c r="AD858" s="135">
        <f t="shared" si="584"/>
        <v>0.16987951807228918</v>
      </c>
      <c r="AE858" s="137">
        <v>87390</v>
      </c>
      <c r="AF858" s="98" t="s">
        <v>585</v>
      </c>
      <c r="AH858" s="98" t="s">
        <v>464</v>
      </c>
    </row>
    <row r="859" spans="1:34" ht="46.5" thickTop="1" thickBot="1">
      <c r="A859" s="125" t="str">
        <f>INDEX('Выгр Торг'!$A:$A,MATCH($B859,'Выгр Торг'!$B:$B,0))</f>
        <v>Электронная комбинация приборов "Ferrum Group" GF 826 для Лада Нива 4x4, Нива 4x4 Урбан</v>
      </c>
      <c r="B859" s="126">
        <v>364053</v>
      </c>
      <c r="C859" s="127">
        <f>VLOOKUP($B859,'Выгр Торг'!$B:$Q,C$1,0)</f>
        <v>364053</v>
      </c>
      <c r="D859" s="219" t="s">
        <v>464</v>
      </c>
      <c r="E859" s="125" t="str">
        <f>VLOOKUP($B859,'Выгр Торг'!$B:$Q,E$1,0)</f>
        <v>Электронная комбинация приборов "Ferrum Group" GF 826 для Лада Нива 4x4, Нива 4x4 Урбан (Индикация серо-голубая, Кольца чёрные)</v>
      </c>
      <c r="F859" s="127" t="str">
        <f>VLOOKUP($B859,'Выгр Торг'!$B:$Q,F$1,0)</f>
        <v>Y</v>
      </c>
      <c r="G859" s="127" t="str">
        <f>VLOOKUP($B859,'Выгр Торг'!$B:$Q,G$1,0)</f>
        <v>1</v>
      </c>
      <c r="H859" s="127"/>
      <c r="I859" s="159" t="s">
        <v>886</v>
      </c>
      <c r="J859" s="162"/>
      <c r="K859" s="162"/>
      <c r="L859" s="140">
        <f>VLOOKUP(I859,'Прайс Gamma'!$B:$H,3,0)+$K859+$J859</f>
        <v>74700</v>
      </c>
      <c r="M859" s="140">
        <f>VLOOKUP(I859,'Прайс Gamma'!$B:$H,4,0)+$K859+$J859</f>
        <v>77700</v>
      </c>
      <c r="N859" s="140"/>
      <c r="O859" s="132">
        <f t="shared" si="578"/>
        <v>1.0401606425702812</v>
      </c>
      <c r="P859" s="132">
        <f t="shared" si="574"/>
        <v>1.1499999999999999</v>
      </c>
      <c r="Q859" s="147">
        <f t="shared" si="579"/>
        <v>92370.967741935485</v>
      </c>
      <c r="R859" s="148">
        <f t="shared" si="580"/>
        <v>92390</v>
      </c>
      <c r="S859" s="127">
        <f>VLOOKUP($B859,'Выгр Торг'!$B:$Q,S$1,0)</f>
        <v>74700</v>
      </c>
      <c r="T859" s="127">
        <f>VLOOKUP($B859,'Выгр Торг'!$B:$Q,T$1,0)</f>
        <v>92390</v>
      </c>
      <c r="U859" s="94">
        <f t="shared" si="575"/>
        <v>0</v>
      </c>
      <c r="V859" s="94">
        <f t="shared" si="576"/>
        <v>0</v>
      </c>
      <c r="W859" s="153">
        <f t="shared" si="581"/>
        <v>85922.7</v>
      </c>
      <c r="X859" s="209">
        <f>IFERROR(VLOOKUP($B859,'Из ГУГЛа'!$B:$G,6,0)*Z859+Y859,VLOOKUP($B859,'Из ГУГЛа'!$B:$G,6,0))</f>
        <v>87390</v>
      </c>
      <c r="Y859" s="76"/>
      <c r="Z859" s="133">
        <v>1</v>
      </c>
      <c r="AA859" s="134"/>
      <c r="AB859" s="135">
        <f t="shared" si="582"/>
        <v>0.1502369477911647</v>
      </c>
      <c r="AC859" s="135">
        <f t="shared" si="583"/>
        <v>1.6790250600755268E-2</v>
      </c>
      <c r="AD859" s="135">
        <f t="shared" si="584"/>
        <v>0.16987951807228918</v>
      </c>
      <c r="AE859" s="137">
        <v>87390</v>
      </c>
      <c r="AF859" s="98" t="s">
        <v>580</v>
      </c>
      <c r="AH859" s="98" t="s">
        <v>464</v>
      </c>
    </row>
    <row r="860" spans="1:34" ht="46.5" thickTop="1" thickBot="1">
      <c r="A860" s="125" t="str">
        <f>INDEX('Выгр Торг'!$A:$A,MATCH($B860,'Выгр Торг'!$B:$B,0))</f>
        <v>Электронная комбинация приборов "Ferrum Group" GF 826 для Шевроле Нива</v>
      </c>
      <c r="B860" s="126">
        <v>364061</v>
      </c>
      <c r="C860" s="127">
        <f>VLOOKUP($B860,'Выгр Торг'!$B:$Q,C$1,0)</f>
        <v>364061</v>
      </c>
      <c r="D860" s="219" t="s">
        <v>464</v>
      </c>
      <c r="E860" s="125" t="str">
        <f>VLOOKUP($B860,'Выгр Торг'!$B:$Q,E$1,0)</f>
        <v>Электронная комбинация приборов "Ferrum Group" GF 826 для Шевроле Нива (Индикация оранжевая, Кольца хром)</v>
      </c>
      <c r="F860" s="127" t="str">
        <f>VLOOKUP($B860,'Выгр Торг'!$B:$Q,F$1,0)</f>
        <v>Y</v>
      </c>
      <c r="G860" s="127" t="str">
        <f>VLOOKUP($B860,'Выгр Торг'!$B:$Q,G$1,0)</f>
        <v>1</v>
      </c>
      <c r="H860" s="127"/>
      <c r="I860" s="159" t="s">
        <v>886</v>
      </c>
      <c r="J860" s="162"/>
      <c r="K860" s="162"/>
      <c r="L860" s="140">
        <f>VLOOKUP(I860,'Прайс Gamma'!$B:$H,3,0)+$K860+$J860</f>
        <v>74700</v>
      </c>
      <c r="M860" s="140">
        <f>VLOOKUP(I860,'Прайс Gamma'!$B:$H,4,0)+$K860+$J860</f>
        <v>77700</v>
      </c>
      <c r="N860" s="140"/>
      <c r="O860" s="132">
        <f t="shared" si="578"/>
        <v>1.0401606425702812</v>
      </c>
      <c r="P860" s="132">
        <f t="shared" si="574"/>
        <v>1.1499999999999999</v>
      </c>
      <c r="Q860" s="147">
        <f t="shared" si="579"/>
        <v>92370.967741935485</v>
      </c>
      <c r="R860" s="148">
        <f t="shared" si="580"/>
        <v>92390</v>
      </c>
      <c r="S860" s="127">
        <f>VLOOKUP($B860,'Выгр Торг'!$B:$Q,S$1,0)</f>
        <v>74700</v>
      </c>
      <c r="T860" s="127">
        <f>VLOOKUP($B860,'Выгр Торг'!$B:$Q,T$1,0)</f>
        <v>92390</v>
      </c>
      <c r="U860" s="94">
        <f t="shared" si="575"/>
        <v>0</v>
      </c>
      <c r="V860" s="94">
        <f t="shared" si="576"/>
        <v>0</v>
      </c>
      <c r="W860" s="153">
        <f t="shared" si="581"/>
        <v>85922.7</v>
      </c>
      <c r="X860" s="209">
        <f>IFERROR(VLOOKUP($B860,'Из ГУГЛа'!$B:$G,6,0)*Z860+Y860,VLOOKUP($B860,'Из ГУГЛа'!$B:$G,6,0))</f>
        <v>87390</v>
      </c>
      <c r="Y860" s="76"/>
      <c r="Z860" s="133">
        <v>1</v>
      </c>
      <c r="AA860" s="134"/>
      <c r="AB860" s="135">
        <f t="shared" si="582"/>
        <v>0.1502369477911647</v>
      </c>
      <c r="AC860" s="135">
        <f t="shared" si="583"/>
        <v>1.6790250600755268E-2</v>
      </c>
      <c r="AD860" s="135">
        <f t="shared" si="584"/>
        <v>0.16987951807228918</v>
      </c>
      <c r="AE860" s="137">
        <v>87390</v>
      </c>
      <c r="AF860" s="98" t="s">
        <v>584</v>
      </c>
      <c r="AH860" s="98" t="s">
        <v>464</v>
      </c>
    </row>
    <row r="861" spans="1:34" ht="46.5" thickTop="1" thickBot="1">
      <c r="A861" s="125" t="str">
        <f>INDEX('Выгр Торг'!$A:$A,MATCH($B861,'Выгр Торг'!$B:$B,0))</f>
        <v>Электронная комбинация приборов "Ferrum Group" GF 826 для Шевроле Нива</v>
      </c>
      <c r="B861" s="126">
        <v>364063</v>
      </c>
      <c r="C861" s="127">
        <f>VLOOKUP($B861,'Выгр Торг'!$B:$Q,C$1,0)</f>
        <v>364063</v>
      </c>
      <c r="D861" s="219" t="s">
        <v>464</v>
      </c>
      <c r="E861" s="125" t="str">
        <f>VLOOKUP($B861,'Выгр Торг'!$B:$Q,E$1,0)</f>
        <v>Электронная комбинация приборов "Ferrum Group" GF 826 для Шевроле Нива (Индикация оранжевая, Кольца чёрные)</v>
      </c>
      <c r="F861" s="127" t="str">
        <f>VLOOKUP($B861,'Выгр Торг'!$B:$Q,F$1,0)</f>
        <v>Y</v>
      </c>
      <c r="G861" s="127" t="str">
        <f>VLOOKUP($B861,'Выгр Торг'!$B:$Q,G$1,0)</f>
        <v>1</v>
      </c>
      <c r="H861" s="127"/>
      <c r="I861" s="159" t="s">
        <v>886</v>
      </c>
      <c r="J861" s="162"/>
      <c r="K861" s="162"/>
      <c r="L861" s="140">
        <f>VLOOKUP(I861,'Прайс Gamma'!$B:$H,3,0)+$K861+$J861</f>
        <v>74700</v>
      </c>
      <c r="M861" s="140">
        <f>VLOOKUP(I861,'Прайс Gamma'!$B:$H,4,0)+$K861+$J861</f>
        <v>77700</v>
      </c>
      <c r="N861" s="140"/>
      <c r="O861" s="132">
        <f t="shared" si="578"/>
        <v>1.0401606425702812</v>
      </c>
      <c r="P861" s="132">
        <f t="shared" si="574"/>
        <v>1.1499999999999999</v>
      </c>
      <c r="Q861" s="147">
        <f t="shared" si="579"/>
        <v>92370.967741935485</v>
      </c>
      <c r="R861" s="148">
        <f t="shared" si="580"/>
        <v>92390</v>
      </c>
      <c r="S861" s="127">
        <f>VLOOKUP($B861,'Выгр Торг'!$B:$Q,S$1,0)</f>
        <v>74700</v>
      </c>
      <c r="T861" s="127">
        <f>VLOOKUP($B861,'Выгр Торг'!$B:$Q,T$1,0)</f>
        <v>92390</v>
      </c>
      <c r="U861" s="94">
        <f t="shared" si="575"/>
        <v>0</v>
      </c>
      <c r="V861" s="94">
        <f t="shared" si="576"/>
        <v>0</v>
      </c>
      <c r="W861" s="153">
        <f t="shared" si="581"/>
        <v>85922.7</v>
      </c>
      <c r="X861" s="209">
        <f>IFERROR(VLOOKUP($B861,'Из ГУГЛа'!$B:$G,6,0)*Z861+Y861,VLOOKUP($B861,'Из ГУГЛа'!$B:$G,6,0))</f>
        <v>87390</v>
      </c>
      <c r="Y861" s="76"/>
      <c r="Z861" s="133">
        <v>1</v>
      </c>
      <c r="AA861" s="134"/>
      <c r="AB861" s="135">
        <f t="shared" si="582"/>
        <v>0.1502369477911647</v>
      </c>
      <c r="AC861" s="135">
        <f t="shared" si="583"/>
        <v>1.6790250600755268E-2</v>
      </c>
      <c r="AD861" s="135">
        <f t="shared" si="584"/>
        <v>0.16987951807228918</v>
      </c>
      <c r="AE861" s="137">
        <v>87390</v>
      </c>
      <c r="AF861" s="98" t="s">
        <v>582</v>
      </c>
      <c r="AH861" s="98" t="s">
        <v>464</v>
      </c>
    </row>
    <row r="862" spans="1:34" ht="46.5" thickTop="1" thickBot="1">
      <c r="A862" s="125" t="str">
        <f>INDEX('Выгр Торг'!$A:$A,MATCH($B862,'Выгр Торг'!$B:$B,0))</f>
        <v>Электронная комбинация приборов "Ferrum Group" GF 826 для Шевроле Нива</v>
      </c>
      <c r="B862" s="126">
        <v>364060</v>
      </c>
      <c r="C862" s="127">
        <f>VLOOKUP($B862,'Выгр Торг'!$B:$Q,C$1,0)</f>
        <v>364060</v>
      </c>
      <c r="D862" s="219" t="s">
        <v>464</v>
      </c>
      <c r="E862" s="125" t="str">
        <f>VLOOKUP($B862,'Выгр Торг'!$B:$Q,E$1,0)</f>
        <v>Электронная комбинация приборов "Ferrum Group" GF 826 для Шевроле Нива (Индикация серо-голубая, Кольца хром)</v>
      </c>
      <c r="F862" s="127" t="str">
        <f>VLOOKUP($B862,'Выгр Торг'!$B:$Q,F$1,0)</f>
        <v>Y</v>
      </c>
      <c r="G862" s="127" t="str">
        <f>VLOOKUP($B862,'Выгр Торг'!$B:$Q,G$1,0)</f>
        <v>1</v>
      </c>
      <c r="H862" s="127"/>
      <c r="I862" s="159" t="s">
        <v>886</v>
      </c>
      <c r="J862" s="162"/>
      <c r="K862" s="162"/>
      <c r="L862" s="140">
        <f>VLOOKUP(I862,'Прайс Gamma'!$B:$H,3,0)+$K862+$J862</f>
        <v>74700</v>
      </c>
      <c r="M862" s="140">
        <f>VLOOKUP(I862,'Прайс Gamma'!$B:$H,4,0)+$K862+$J862</f>
        <v>77700</v>
      </c>
      <c r="N862" s="140"/>
      <c r="O862" s="132">
        <f t="shared" si="578"/>
        <v>1.0401606425702812</v>
      </c>
      <c r="P862" s="132">
        <f t="shared" si="574"/>
        <v>1.1499999999999999</v>
      </c>
      <c r="Q862" s="147">
        <f t="shared" si="579"/>
        <v>92370.967741935485</v>
      </c>
      <c r="R862" s="148">
        <f t="shared" si="580"/>
        <v>92390</v>
      </c>
      <c r="S862" s="127">
        <f>VLOOKUP($B862,'Выгр Торг'!$B:$Q,S$1,0)</f>
        <v>74700</v>
      </c>
      <c r="T862" s="127">
        <f>VLOOKUP($B862,'Выгр Торг'!$B:$Q,T$1,0)</f>
        <v>92390</v>
      </c>
      <c r="U862" s="94">
        <f t="shared" si="575"/>
        <v>0</v>
      </c>
      <c r="V862" s="94">
        <f t="shared" si="576"/>
        <v>0</v>
      </c>
      <c r="W862" s="153">
        <f t="shared" si="581"/>
        <v>85922.7</v>
      </c>
      <c r="X862" s="209">
        <f>IFERROR(VLOOKUP($B862,'Из ГУГЛа'!$B:$G,6,0)*Z862+Y862,VLOOKUP($B862,'Из ГУГЛа'!$B:$G,6,0))</f>
        <v>87390</v>
      </c>
      <c r="Y862" s="76"/>
      <c r="Z862" s="133">
        <v>1</v>
      </c>
      <c r="AA862" s="134"/>
      <c r="AB862" s="135">
        <f t="shared" si="582"/>
        <v>0.1502369477911647</v>
      </c>
      <c r="AC862" s="135">
        <f t="shared" si="583"/>
        <v>1.6790250600755268E-2</v>
      </c>
      <c r="AD862" s="135">
        <f t="shared" si="584"/>
        <v>0.16987951807228918</v>
      </c>
      <c r="AE862" s="137">
        <v>87390</v>
      </c>
      <c r="AF862" s="98" t="s">
        <v>584</v>
      </c>
      <c r="AH862" s="98" t="s">
        <v>464</v>
      </c>
    </row>
    <row r="863" spans="1:34" ht="46.5" thickTop="1" thickBot="1">
      <c r="A863" s="125" t="str">
        <f>INDEX('Выгр Торг'!$A:$A,MATCH($B863,'Выгр Торг'!$B:$B,0))</f>
        <v>Электронная комбинация приборов "Ferrum Group" GF 826 для Шевроле Нива</v>
      </c>
      <c r="B863" s="126">
        <v>364062</v>
      </c>
      <c r="C863" s="127">
        <f>VLOOKUP($B863,'Выгр Торг'!$B:$Q,C$1,0)</f>
        <v>364062</v>
      </c>
      <c r="D863" s="219" t="s">
        <v>464</v>
      </c>
      <c r="E863" s="125" t="str">
        <f>VLOOKUP($B863,'Выгр Торг'!$B:$Q,E$1,0)</f>
        <v>Электронная комбинация приборов "Ferrum Group" GF 826 для Шевроле Нива (Индикация серо-голубая, Кольца чёрные)</v>
      </c>
      <c r="F863" s="127" t="str">
        <f>VLOOKUP($B863,'Выгр Торг'!$B:$Q,F$1,0)</f>
        <v>Y</v>
      </c>
      <c r="G863" s="127" t="str">
        <f>VLOOKUP($B863,'Выгр Торг'!$B:$Q,G$1,0)</f>
        <v>1</v>
      </c>
      <c r="H863" s="127"/>
      <c r="I863" s="159" t="s">
        <v>886</v>
      </c>
      <c r="J863" s="162"/>
      <c r="K863" s="162"/>
      <c r="L863" s="140">
        <f>VLOOKUP(I863,'Прайс Gamma'!$B:$H,3,0)+$K863+$J863</f>
        <v>74700</v>
      </c>
      <c r="M863" s="140">
        <f>VLOOKUP(I863,'Прайс Gamma'!$B:$H,4,0)+$K863+$J863</f>
        <v>77700</v>
      </c>
      <c r="N863" s="140"/>
      <c r="O863" s="132">
        <f t="shared" si="578"/>
        <v>1.0401606425702812</v>
      </c>
      <c r="P863" s="132">
        <f t="shared" si="574"/>
        <v>1.1499999999999999</v>
      </c>
      <c r="Q863" s="147">
        <f t="shared" si="579"/>
        <v>92370.967741935485</v>
      </c>
      <c r="R863" s="148">
        <f t="shared" si="580"/>
        <v>92390</v>
      </c>
      <c r="S863" s="127">
        <f>VLOOKUP($B863,'Выгр Торг'!$B:$Q,S$1,0)</f>
        <v>74700</v>
      </c>
      <c r="T863" s="127">
        <f>VLOOKUP($B863,'Выгр Торг'!$B:$Q,T$1,0)</f>
        <v>92390</v>
      </c>
      <c r="U863" s="94">
        <f t="shared" si="575"/>
        <v>0</v>
      </c>
      <c r="V863" s="94">
        <f t="shared" si="576"/>
        <v>0</v>
      </c>
      <c r="W863" s="153">
        <f t="shared" si="581"/>
        <v>85922.7</v>
      </c>
      <c r="X863" s="209">
        <f>IFERROR(VLOOKUP($B863,'Из ГУГЛа'!$B:$G,6,0)*Z863+Y863,VLOOKUP($B863,'Из ГУГЛа'!$B:$G,6,0))</f>
        <v>87390</v>
      </c>
      <c r="Y863" s="76"/>
      <c r="Z863" s="133">
        <v>1</v>
      </c>
      <c r="AA863" s="134"/>
      <c r="AB863" s="135">
        <f t="shared" si="582"/>
        <v>0.1502369477911647</v>
      </c>
      <c r="AC863" s="135">
        <f t="shared" si="583"/>
        <v>1.6790250600755268E-2</v>
      </c>
      <c r="AD863" s="135">
        <f t="shared" si="584"/>
        <v>0.16987951807228918</v>
      </c>
      <c r="AE863" s="137">
        <v>87390</v>
      </c>
      <c r="AF863" s="98" t="s">
        <v>582</v>
      </c>
      <c r="AH863" s="98" t="s">
        <v>464</v>
      </c>
    </row>
    <row r="864" spans="1:34" ht="61.5" thickTop="1" thickBot="1">
      <c r="A864" s="125" t="str">
        <f>INDEX('Выгр Торг'!$A:$A,MATCH($B864,'Выгр Торг'!$B:$B,0))</f>
        <v>Электронная комбинация приборов "Ferrum Group" Travel GF 826 для Лада Нива Travel, Шевроле Нива</v>
      </c>
      <c r="B864" s="126">
        <v>364070</v>
      </c>
      <c r="C864" s="127">
        <f>VLOOKUP($B864,'Выгр Торг'!$B:$Q,C$1,0)</f>
        <v>364070</v>
      </c>
      <c r="D864" s="219" t="s">
        <v>464</v>
      </c>
      <c r="E864" s="125" t="str">
        <f>VLOOKUP($B864,'Выгр Торг'!$B:$Q,E$1,0)</f>
        <v>Электронная комбинация приборов "Ferrum Group" Travel GF 826 для Лада Нива Travel, Шевроле Нива (Индикация оранжевая, Кольца хром)</v>
      </c>
      <c r="F864" s="127" t="str">
        <f>VLOOKUP($B864,'Выгр Торг'!$B:$Q,F$1,0)</f>
        <v>Y</v>
      </c>
      <c r="G864" s="127" t="str">
        <f>VLOOKUP($B864,'Выгр Торг'!$B:$Q,G$1,0)</f>
        <v>1</v>
      </c>
      <c r="H864" s="127"/>
      <c r="I864" s="159" t="s">
        <v>886</v>
      </c>
      <c r="J864" s="162"/>
      <c r="K864" s="162"/>
      <c r="L864" s="140">
        <f>VLOOKUP(I864,'Прайс Gamma'!$B:$H,3,0)+$K864+$J864</f>
        <v>74700</v>
      </c>
      <c r="M864" s="140">
        <f>VLOOKUP(I864,'Прайс Gamma'!$B:$H,4,0)+$K864+$J864</f>
        <v>77700</v>
      </c>
      <c r="N864" s="140"/>
      <c r="O864" s="132">
        <f t="shared" ref="O864" si="585">M864/L864</f>
        <v>1.0401606425702812</v>
      </c>
      <c r="P864" s="132">
        <f t="shared" si="574"/>
        <v>1.1499999999999999</v>
      </c>
      <c r="Q864" s="147">
        <f t="shared" ref="Q864" si="586">L864*P864*100/93</f>
        <v>92370.967741935485</v>
      </c>
      <c r="R864" s="148">
        <f t="shared" ref="R864" si="587">IF(Q864&lt;=1000,(ROUNDUP(Q864,-2)-1),(ROUNDUP(Q864,-2)-10))</f>
        <v>92390</v>
      </c>
      <c r="S864" s="127">
        <f>VLOOKUP($B864,'Выгр Торг'!$B:$Q,S$1,0)</f>
        <v>74700</v>
      </c>
      <c r="T864" s="127">
        <f>VLOOKUP($B864,'Выгр Торг'!$B:$Q,T$1,0)</f>
        <v>92390</v>
      </c>
      <c r="U864" s="94">
        <f t="shared" si="575"/>
        <v>0</v>
      </c>
      <c r="V864" s="94">
        <f t="shared" si="576"/>
        <v>0</v>
      </c>
      <c r="W864" s="153">
        <f t="shared" ref="W864" si="588">R864*(1-$W$2)</f>
        <v>85922.7</v>
      </c>
      <c r="X864" s="209" t="e">
        <f>IFERROR(VLOOKUP($B864,'Из ГУГЛа'!$B:$G,6,0)*Z864+Y864,VLOOKUP($B864,'Из ГУГЛа'!$B:$G,6,0))</f>
        <v>#N/A</v>
      </c>
      <c r="Y864" s="76"/>
      <c r="Z864" s="133">
        <v>1</v>
      </c>
      <c r="AA864" s="134"/>
      <c r="AB864" s="135">
        <f t="shared" ref="AB864" si="589">IFERROR(W864/L864-1,"")</f>
        <v>0.1502369477911647</v>
      </c>
      <c r="AC864" s="135">
        <f t="shared" ref="AC864" si="590">IFERROR((AE864-W864)/AE864,"")</f>
        <v>5.4091908785739431E-3</v>
      </c>
      <c r="AD864" s="135">
        <f t="shared" ref="AD864" si="591">IFERROR(IF(AE864="","",AE864/L864-1),"")</f>
        <v>0.15649263721552886</v>
      </c>
      <c r="AE864" s="137">
        <v>86390</v>
      </c>
      <c r="AF864" s="98" t="s">
        <v>583</v>
      </c>
      <c r="AH864" s="98" t="s">
        <v>464</v>
      </c>
    </row>
    <row r="865" spans="1:34" ht="61.5" thickTop="1" thickBot="1">
      <c r="A865" s="125" t="str">
        <f>INDEX('Выгр Торг'!$A:$A,MATCH($B865,'Выгр Торг'!$B:$B,0))</f>
        <v>Электронная комбинация приборов "Ferrum Group" Travel GF 826 для Лада Нива Travel, Шевроле Нива</v>
      </c>
      <c r="B865" s="126">
        <v>364072</v>
      </c>
      <c r="C865" s="127">
        <f>VLOOKUP($B865,'Выгр Торг'!$B:$Q,C$1,0)</f>
        <v>364072</v>
      </c>
      <c r="D865" s="219" t="s">
        <v>464</v>
      </c>
      <c r="E865" s="125" t="str">
        <f>VLOOKUP($B865,'Выгр Торг'!$B:$Q,E$1,0)</f>
        <v>Электронная комбинация приборов "Ferrum Group" Travel GF 826 для Лада Нива Travel, Шевроле Нива (Индикация оранжевая, Кольца чёрные)</v>
      </c>
      <c r="F865" s="127" t="str">
        <f>VLOOKUP($B865,'Выгр Торг'!$B:$Q,F$1,0)</f>
        <v>Y</v>
      </c>
      <c r="G865" s="127" t="str">
        <f>VLOOKUP($B865,'Выгр Торг'!$B:$Q,G$1,0)</f>
        <v>1</v>
      </c>
      <c r="H865" s="127"/>
      <c r="I865" s="159" t="s">
        <v>886</v>
      </c>
      <c r="J865" s="162"/>
      <c r="K865" s="162"/>
      <c r="L865" s="140">
        <f>VLOOKUP(I865,'Прайс Gamma'!$B:$H,3,0)+$K865+$J865</f>
        <v>74700</v>
      </c>
      <c r="M865" s="140">
        <f>VLOOKUP(I865,'Прайс Gamma'!$B:$H,4,0)+$K865+$J865</f>
        <v>77700</v>
      </c>
      <c r="N865" s="140"/>
      <c r="O865" s="132">
        <f t="shared" ref="O865:O867" si="592">M865/L865</f>
        <v>1.0401606425702812</v>
      </c>
      <c r="P865" s="132">
        <f t="shared" si="574"/>
        <v>1.1499999999999999</v>
      </c>
      <c r="Q865" s="147">
        <f t="shared" ref="Q865:Q868" si="593">L865*P865*100/93</f>
        <v>92370.967741935485</v>
      </c>
      <c r="R865" s="148">
        <f t="shared" ref="R865:R868" si="594">IF(Q865&lt;=1000,(ROUNDUP(Q865,-2)-1),(ROUNDUP(Q865,-2)-10))</f>
        <v>92390</v>
      </c>
      <c r="S865" s="127">
        <f>VLOOKUP($B865,'Выгр Торг'!$B:$Q,S$1,0)</f>
        <v>74700</v>
      </c>
      <c r="T865" s="127">
        <f>VLOOKUP($B865,'Выгр Торг'!$B:$Q,T$1,0)</f>
        <v>92390</v>
      </c>
      <c r="U865" s="94">
        <f t="shared" si="575"/>
        <v>0</v>
      </c>
      <c r="V865" s="94">
        <f t="shared" si="576"/>
        <v>0</v>
      </c>
      <c r="W865" s="153">
        <f t="shared" ref="W865:W868" si="595">R865*(1-$W$2)</f>
        <v>85922.7</v>
      </c>
      <c r="X865" s="209" t="e">
        <f>IFERROR(VLOOKUP($B865,'Из ГУГЛа'!$B:$G,6,0)*Z865+Y865,VLOOKUP($B865,'Из ГУГЛа'!$B:$G,6,0))</f>
        <v>#N/A</v>
      </c>
      <c r="Y865" s="76"/>
      <c r="Z865" s="133">
        <v>1</v>
      </c>
      <c r="AA865" s="134"/>
      <c r="AB865" s="135">
        <f t="shared" ref="AB865:AB868" si="596">IFERROR(W865/L865-1,"")</f>
        <v>0.1502369477911647</v>
      </c>
      <c r="AC865" s="135">
        <f t="shared" ref="AC865:AC867" si="597">IFERROR((AE865-W865)/AE865,"")</f>
        <v>5.4091908785739431E-3</v>
      </c>
      <c r="AD865" s="135">
        <f t="shared" ref="AD865:AD867" si="598">IFERROR(IF(AE865="","",AE865/L865-1),"")</f>
        <v>0.15649263721552886</v>
      </c>
      <c r="AE865" s="137">
        <v>86390</v>
      </c>
      <c r="AF865" s="98" t="s">
        <v>583</v>
      </c>
      <c r="AH865" s="98" t="s">
        <v>464</v>
      </c>
    </row>
    <row r="866" spans="1:34" ht="61.5" thickTop="1" thickBot="1">
      <c r="A866" s="125" t="str">
        <f>INDEX('Выгр Торг'!$A:$A,MATCH($B866,'Выгр Торг'!$B:$B,0))</f>
        <v>Электронная комбинация приборов "Ferrum Group" Travel GF 826 для Лада Нива Travel, Шевроле Нива</v>
      </c>
      <c r="B866" s="126">
        <v>364069</v>
      </c>
      <c r="C866" s="127">
        <f>VLOOKUP($B866,'Выгр Торг'!$B:$Q,C$1,0)</f>
        <v>364069</v>
      </c>
      <c r="D866" s="219" t="s">
        <v>464</v>
      </c>
      <c r="E866" s="125" t="str">
        <f>VLOOKUP($B866,'Выгр Торг'!$B:$Q,E$1,0)</f>
        <v>Электронная комбинация приборов "Ferrum Group" Travel GF 826 для Лада Нива Travel, Шевроле Нива (Индикация серо-голубая, Кольца хром)</v>
      </c>
      <c r="F866" s="127" t="str">
        <f>VLOOKUP($B866,'Выгр Торг'!$B:$Q,F$1,0)</f>
        <v>Y</v>
      </c>
      <c r="G866" s="127" t="str">
        <f>VLOOKUP($B866,'Выгр Торг'!$B:$Q,G$1,0)</f>
        <v>1</v>
      </c>
      <c r="H866" s="127"/>
      <c r="I866" s="159" t="s">
        <v>886</v>
      </c>
      <c r="J866" s="162"/>
      <c r="K866" s="162"/>
      <c r="L866" s="140">
        <f>VLOOKUP(I866,'Прайс Gamma'!$B:$H,3,0)+$K866+$J866</f>
        <v>74700</v>
      </c>
      <c r="M866" s="140">
        <f>VLOOKUP(I866,'Прайс Gamma'!$B:$H,4,0)+$K866+$J866</f>
        <v>77700</v>
      </c>
      <c r="N866" s="140"/>
      <c r="O866" s="132">
        <f t="shared" si="592"/>
        <v>1.0401606425702812</v>
      </c>
      <c r="P866" s="132">
        <f t="shared" si="574"/>
        <v>1.1499999999999999</v>
      </c>
      <c r="Q866" s="147">
        <f t="shared" si="593"/>
        <v>92370.967741935485</v>
      </c>
      <c r="R866" s="148">
        <f t="shared" si="594"/>
        <v>92390</v>
      </c>
      <c r="S866" s="127">
        <f>VLOOKUP($B866,'Выгр Торг'!$B:$Q,S$1,0)</f>
        <v>74700</v>
      </c>
      <c r="T866" s="127">
        <f>VLOOKUP($B866,'Выгр Торг'!$B:$Q,T$1,0)</f>
        <v>92390</v>
      </c>
      <c r="U866" s="94">
        <f t="shared" si="575"/>
        <v>0</v>
      </c>
      <c r="V866" s="94">
        <f t="shared" si="576"/>
        <v>0</v>
      </c>
      <c r="W866" s="153">
        <f t="shared" si="595"/>
        <v>85922.7</v>
      </c>
      <c r="X866" s="209" t="e">
        <f>IFERROR(VLOOKUP($B866,'Из ГУГЛа'!$B:$G,6,0)*Z866+Y866,VLOOKUP($B866,'Из ГУГЛа'!$B:$G,6,0))</f>
        <v>#N/A</v>
      </c>
      <c r="Y866" s="76"/>
      <c r="Z866" s="133">
        <v>1</v>
      </c>
      <c r="AA866" s="134"/>
      <c r="AB866" s="135">
        <f t="shared" si="596"/>
        <v>0.1502369477911647</v>
      </c>
      <c r="AC866" s="135">
        <f t="shared" si="597"/>
        <v>5.4091908785739431E-3</v>
      </c>
      <c r="AD866" s="135">
        <f t="shared" si="598"/>
        <v>0.15649263721552886</v>
      </c>
      <c r="AE866" s="137">
        <v>86390</v>
      </c>
      <c r="AF866" s="98" t="s">
        <v>583</v>
      </c>
      <c r="AH866" s="98" t="s">
        <v>464</v>
      </c>
    </row>
    <row r="867" spans="1:34" ht="61.5" thickTop="1" thickBot="1">
      <c r="A867" s="125" t="str">
        <f>INDEX('Выгр Торг'!$A:$A,MATCH($B867,'Выгр Торг'!$B:$B,0))</f>
        <v>Электронная комбинация приборов "Ferrum Group" Travel GF 826 для Лада Нива Travel, Шевроле Нива</v>
      </c>
      <c r="B867" s="126">
        <v>364071</v>
      </c>
      <c r="C867" s="127">
        <f>VLOOKUP($B867,'Выгр Торг'!$B:$Q,C$1,0)</f>
        <v>364071</v>
      </c>
      <c r="D867" s="219" t="s">
        <v>464</v>
      </c>
      <c r="E867" s="125" t="str">
        <f>VLOOKUP($B867,'Выгр Торг'!$B:$Q,E$1,0)</f>
        <v>Электронная комбинация приборов "Ferrum Group" Travel GF 826 для Лада Нива Travel, Шевроле Нива (Индикация серо-голубая, Кольца чёрные)</v>
      </c>
      <c r="F867" s="127" t="str">
        <f>VLOOKUP($B867,'Выгр Торг'!$B:$Q,F$1,0)</f>
        <v>Y</v>
      </c>
      <c r="G867" s="127" t="str">
        <f>VLOOKUP($B867,'Выгр Торг'!$B:$Q,G$1,0)</f>
        <v>1</v>
      </c>
      <c r="H867" s="127"/>
      <c r="I867" s="159" t="s">
        <v>886</v>
      </c>
      <c r="J867" s="162"/>
      <c r="K867" s="162"/>
      <c r="L867" s="140">
        <f>VLOOKUP(I867,'Прайс Gamma'!$B:$H,3,0)+$K867+$J867</f>
        <v>74700</v>
      </c>
      <c r="M867" s="140">
        <f>VLOOKUP(I867,'Прайс Gamma'!$B:$H,4,0)+$K867+$J867</f>
        <v>77700</v>
      </c>
      <c r="N867" s="140"/>
      <c r="O867" s="132">
        <f t="shared" si="592"/>
        <v>1.0401606425702812</v>
      </c>
      <c r="P867" s="132">
        <f t="shared" si="574"/>
        <v>1.1499999999999999</v>
      </c>
      <c r="Q867" s="147">
        <f t="shared" si="593"/>
        <v>92370.967741935485</v>
      </c>
      <c r="R867" s="148">
        <f t="shared" si="594"/>
        <v>92390</v>
      </c>
      <c r="S867" s="127">
        <f>VLOOKUP($B867,'Выгр Торг'!$B:$Q,S$1,0)</f>
        <v>74700</v>
      </c>
      <c r="T867" s="127">
        <f>VLOOKUP($B867,'Выгр Торг'!$B:$Q,T$1,0)</f>
        <v>92390</v>
      </c>
      <c r="U867" s="94">
        <f t="shared" si="575"/>
        <v>0</v>
      </c>
      <c r="V867" s="94">
        <f t="shared" si="576"/>
        <v>0</v>
      </c>
      <c r="W867" s="153">
        <f t="shared" si="595"/>
        <v>85922.7</v>
      </c>
      <c r="X867" s="209" t="e">
        <f>IFERROR(VLOOKUP($B867,'Из ГУГЛа'!$B:$G,6,0)*Z867+Y867,VLOOKUP($B867,'Из ГУГЛа'!$B:$G,6,0))</f>
        <v>#N/A</v>
      </c>
      <c r="Y867" s="76"/>
      <c r="Z867" s="133">
        <v>1</v>
      </c>
      <c r="AA867" s="134"/>
      <c r="AB867" s="135">
        <f t="shared" si="596"/>
        <v>0.1502369477911647</v>
      </c>
      <c r="AC867" s="135">
        <f t="shared" si="597"/>
        <v>5.4091908785739431E-3</v>
      </c>
      <c r="AD867" s="135">
        <f t="shared" si="598"/>
        <v>0.15649263721552886</v>
      </c>
      <c r="AE867" s="137">
        <v>86390</v>
      </c>
      <c r="AF867" s="98" t="s">
        <v>583</v>
      </c>
      <c r="AH867" s="98" t="s">
        <v>464</v>
      </c>
    </row>
    <row r="868" spans="1:34" ht="91.5" thickTop="1" thickBot="1">
      <c r="A868" s="125" t="str">
        <f>INDEX('Выгр Торг'!$A:$A,MATCH($B868,'Выгр Торг'!$B:$B,0))</f>
        <v>Электронная комбинация приборов "Ferrum Group" GF 890 для Лада Ларгус, Nissan (Almera, Terrano III), Renault (Duster (PH1), Duster Diesel (PH1), Logan I, Sandero I, Sandero Stepway I)</v>
      </c>
      <c r="B868" s="126">
        <v>382139</v>
      </c>
      <c r="C868" s="127">
        <f>VLOOKUP($B868,'Выгр Торг'!$B:$Q,C$1,0)</f>
        <v>382139</v>
      </c>
      <c r="D868" s="219" t="s">
        <v>195</v>
      </c>
      <c r="E868" s="125" t="str">
        <f>VLOOKUP($B868,'Выгр Торг'!$B:$Q,E$1,0)</f>
        <v>Электронная комбинация приборов "Ferrum Group" GF 890 для Лада Ларгус, Nissan (Almera, Terrano III), Renault (Duster (PH1), Duster Diesel (PH1), Logan I, Sandero I, Sandero Stepway I) (Кольца Hot Fire)</v>
      </c>
      <c r="F868" s="127" t="str">
        <f>VLOOKUP($B868,'Выгр Торг'!$B:$Q,F$1,0)</f>
        <v>Y</v>
      </c>
      <c r="G868" s="127" t="str">
        <f>VLOOKUP($B868,'Выгр Торг'!$B:$Q,G$1,0)</f>
        <v>1</v>
      </c>
      <c r="H868" s="127"/>
      <c r="I868" s="159" t="s">
        <v>890</v>
      </c>
      <c r="J868" s="162"/>
      <c r="K868" s="162"/>
      <c r="L868" s="140">
        <f>VLOOKUP(I868,'Прайс Gamma'!$B:$H,3,0)+$K868+$J868</f>
        <v>75186</v>
      </c>
      <c r="M868" s="140">
        <f>VLOOKUP(I868,'Прайс Gamma'!$B:$H,4,0)+$K868+$J868</f>
        <v>78186</v>
      </c>
      <c r="N868" s="140"/>
      <c r="O868" s="132">
        <f t="shared" ref="O868" si="599">M868/L868</f>
        <v>1.0399010454073896</v>
      </c>
      <c r="P868" s="132">
        <f t="shared" ref="P868" si="600">IF(O868&lt;=$P$1,$P$1,O868)</f>
        <v>1.1499999999999999</v>
      </c>
      <c r="Q868" s="147">
        <f t="shared" ref="Q868" si="601">L868*P868*100/93</f>
        <v>92971.93548387097</v>
      </c>
      <c r="R868" s="148">
        <f t="shared" ref="R868" si="602">IF(Q868&lt;=1000,(ROUNDUP(Q868,-2)-1),(ROUNDUP(Q868,-2)-10))</f>
        <v>92990</v>
      </c>
      <c r="S868" s="127">
        <f>VLOOKUP($B868,'Выгр Торг'!$B:$Q,S$1,0)</f>
        <v>75186</v>
      </c>
      <c r="T868" s="127">
        <f>VLOOKUP($B868,'Выгр Торг'!$B:$Q,T$1,0)</f>
        <v>92990</v>
      </c>
      <c r="U868" s="94">
        <f t="shared" ref="U868" si="603">S868-L868</f>
        <v>0</v>
      </c>
      <c r="V868" s="94">
        <f t="shared" ref="V868" si="604">T868-R868</f>
        <v>0</v>
      </c>
      <c r="W868" s="153">
        <f t="shared" ref="W868" si="605">R868*(1-$W$2)</f>
        <v>86480.7</v>
      </c>
      <c r="X868" s="209" t="e">
        <f>IFERROR(VLOOKUP($B868,'Из ГУГЛа'!$B:$G,6,0)*Z868+Y868,VLOOKUP($B868,'Из ГУГЛа'!$B:$G,6,0))</f>
        <v>#N/A</v>
      </c>
      <c r="Y868" s="76"/>
      <c r="Z868" s="133">
        <v>1</v>
      </c>
      <c r="AA868" s="134"/>
      <c r="AB868" s="135">
        <f t="shared" ref="AB868" si="606">IFERROR(W868/L868-1,"")</f>
        <v>0.15022344585428127</v>
      </c>
      <c r="AC868" s="135" t="str">
        <f t="shared" ref="AC868" si="607">IFERROR((AE868-W868)/AE868,"")</f>
        <v/>
      </c>
      <c r="AD868" s="135" t="str">
        <f t="shared" ref="AD868" si="608">IFERROR(IF(AE868="","",AE868/L868-1),"")</f>
        <v/>
      </c>
      <c r="AE868" s="137"/>
      <c r="AH868" s="98" t="s">
        <v>195</v>
      </c>
    </row>
    <row r="869" spans="1:34" ht="91.5" thickTop="1" thickBot="1">
      <c r="A869" s="125" t="str">
        <f>INDEX('Выгр Торг'!$A:$A,MATCH($B869,'Выгр Торг'!$B:$B,0))</f>
        <v>Электронная комбинация приборов "Ferrum Group" GF 890 для Лада Ларгус, Nissan (Almera, Terrano III), Renault (Duster (PH1), Duster Diesel (PH1), Logan I, Sandero I, Sandero Stepway I)</v>
      </c>
      <c r="B869" s="126">
        <v>382136</v>
      </c>
      <c r="C869" s="127">
        <f>VLOOKUP($B869,'Выгр Торг'!$B:$Q,C$1,0)</f>
        <v>382136</v>
      </c>
      <c r="D869" s="219" t="s">
        <v>195</v>
      </c>
      <c r="E869" s="125" t="str">
        <f>VLOOKUP($B869,'Выгр Торг'!$B:$Q,E$1,0)</f>
        <v>Электронная комбинация приборов "Ferrum Group" GF 890 для Лада Ларгус, Nissan (Almera, Terrano III), Renault (Duster (PH1), Duster Diesel (PH1), Logan I, Sandero I, Sandero Stepway I) (Кольца серебро)</v>
      </c>
      <c r="F869" s="127" t="str">
        <f>VLOOKUP($B869,'Выгр Торг'!$B:$Q,F$1,0)</f>
        <v>Y</v>
      </c>
      <c r="G869" s="127" t="str">
        <f>VLOOKUP($B869,'Выгр Торг'!$B:$Q,G$1,0)</f>
        <v>1</v>
      </c>
      <c r="H869" s="127"/>
      <c r="I869" s="159" t="s">
        <v>890</v>
      </c>
      <c r="J869" s="162"/>
      <c r="K869" s="162"/>
      <c r="L869" s="140">
        <f>VLOOKUP(I869,'Прайс Gamma'!$B:$H,3,0)+$K869+$J869</f>
        <v>75186</v>
      </c>
      <c r="M869" s="140">
        <f>VLOOKUP(I869,'Прайс Gamma'!$B:$H,4,0)+$K869+$J869</f>
        <v>78186</v>
      </c>
      <c r="N869" s="140"/>
      <c r="O869" s="132">
        <f t="shared" ref="O869:O871" si="609">M869/L869</f>
        <v>1.0399010454073896</v>
      </c>
      <c r="P869" s="132">
        <f t="shared" ref="P869:P871" si="610">IF(O869&lt;=$P$1,$P$1,O869)</f>
        <v>1.1499999999999999</v>
      </c>
      <c r="Q869" s="147">
        <f t="shared" ref="Q869:Q871" si="611">L869*P869*100/93</f>
        <v>92971.93548387097</v>
      </c>
      <c r="R869" s="148">
        <f t="shared" ref="R869:R871" si="612">IF(Q869&lt;=1000,(ROUNDUP(Q869,-2)-1),(ROUNDUP(Q869,-2)-10))</f>
        <v>92990</v>
      </c>
      <c r="S869" s="127">
        <f>VLOOKUP($B869,'Выгр Торг'!$B:$Q,S$1,0)</f>
        <v>75186</v>
      </c>
      <c r="T869" s="127">
        <f>VLOOKUP($B869,'Выгр Торг'!$B:$Q,T$1,0)</f>
        <v>92990</v>
      </c>
      <c r="U869" s="94">
        <f t="shared" ref="U869:U871" si="613">S869-L869</f>
        <v>0</v>
      </c>
      <c r="V869" s="94">
        <f t="shared" ref="V869:V871" si="614">T869-R869</f>
        <v>0</v>
      </c>
      <c r="W869" s="153">
        <f t="shared" ref="W869:W871" si="615">R869*(1-$W$2)</f>
        <v>86480.7</v>
      </c>
      <c r="X869" s="209" t="e">
        <f>IFERROR(VLOOKUP($B869,'Из ГУГЛа'!$B:$G,6,0)*Z869+Y869,VLOOKUP($B869,'Из ГУГЛа'!$B:$G,6,0))</f>
        <v>#N/A</v>
      </c>
      <c r="Y869" s="76"/>
      <c r="Z869" s="133">
        <v>1</v>
      </c>
      <c r="AA869" s="134"/>
      <c r="AB869" s="135">
        <f t="shared" ref="AB869:AB871" si="616">IFERROR(W869/L869-1,"")</f>
        <v>0.15022344585428127</v>
      </c>
      <c r="AC869" s="135" t="str">
        <f t="shared" ref="AC869:AC871" si="617">IFERROR((AE869-W869)/AE869,"")</f>
        <v/>
      </c>
      <c r="AD869" s="135" t="str">
        <f t="shared" ref="AD869:AD871" si="618">IFERROR(IF(AE869="","",AE869/L869-1),"")</f>
        <v/>
      </c>
      <c r="AE869" s="137"/>
      <c r="AH869" s="98" t="s">
        <v>195</v>
      </c>
    </row>
    <row r="870" spans="1:34" ht="91.5" thickTop="1" thickBot="1">
      <c r="A870" s="125" t="str">
        <f>INDEX('Выгр Торг'!$A:$A,MATCH($B870,'Выгр Торг'!$B:$B,0))</f>
        <v>Электронная комбинация приборов "Ferrum Group" GF 890 для Лада Ларгус, Nissan (Almera, Terrano III), Renault (Duster (PH1), Duster Diesel (PH1), Logan I, Sandero I, Sandero Stepway I)</v>
      </c>
      <c r="B870" s="126">
        <v>382137</v>
      </c>
      <c r="C870" s="127">
        <f>VLOOKUP($B870,'Выгр Торг'!$B:$Q,C$1,0)</f>
        <v>382137</v>
      </c>
      <c r="D870" s="219" t="s">
        <v>195</v>
      </c>
      <c r="E870" s="125" t="str">
        <f>VLOOKUP($B870,'Выгр Торг'!$B:$Q,E$1,0)</f>
        <v>Электронная комбинация приборов "Ferrum Group" GF 890 для Лада Ларгус, Nissan (Almera, Terrano III), Renault (Duster (PH1), Duster Diesel (PH1), Logan I, Sandero I, Sandero Stepway I) (Кольца хром)</v>
      </c>
      <c r="F870" s="127" t="str">
        <f>VLOOKUP($B870,'Выгр Торг'!$B:$Q,F$1,0)</f>
        <v>Y</v>
      </c>
      <c r="G870" s="127" t="str">
        <f>VLOOKUP($B870,'Выгр Торг'!$B:$Q,G$1,0)</f>
        <v>1</v>
      </c>
      <c r="H870" s="127"/>
      <c r="I870" s="159" t="s">
        <v>890</v>
      </c>
      <c r="J870" s="162"/>
      <c r="K870" s="162"/>
      <c r="L870" s="140">
        <f>VLOOKUP(I870,'Прайс Gamma'!$B:$H,3,0)+$K870+$J870</f>
        <v>75186</v>
      </c>
      <c r="M870" s="140">
        <f>VLOOKUP(I870,'Прайс Gamma'!$B:$H,4,0)+$K870+$J870</f>
        <v>78186</v>
      </c>
      <c r="N870" s="140"/>
      <c r="O870" s="132">
        <f t="shared" si="609"/>
        <v>1.0399010454073896</v>
      </c>
      <c r="P870" s="132">
        <f t="shared" si="610"/>
        <v>1.1499999999999999</v>
      </c>
      <c r="Q870" s="147">
        <f t="shared" si="611"/>
        <v>92971.93548387097</v>
      </c>
      <c r="R870" s="148">
        <f t="shared" si="612"/>
        <v>92990</v>
      </c>
      <c r="S870" s="127">
        <f>VLOOKUP($B870,'Выгр Торг'!$B:$Q,S$1,0)</f>
        <v>75186</v>
      </c>
      <c r="T870" s="127">
        <f>VLOOKUP($B870,'Выгр Торг'!$B:$Q,T$1,0)</f>
        <v>92990</v>
      </c>
      <c r="U870" s="94">
        <f t="shared" si="613"/>
        <v>0</v>
      </c>
      <c r="V870" s="94">
        <f t="shared" si="614"/>
        <v>0</v>
      </c>
      <c r="W870" s="153">
        <f t="shared" si="615"/>
        <v>86480.7</v>
      </c>
      <c r="X870" s="209" t="e">
        <f>IFERROR(VLOOKUP($B870,'Из ГУГЛа'!$B:$G,6,0)*Z870+Y870,VLOOKUP($B870,'Из ГУГЛа'!$B:$G,6,0))</f>
        <v>#N/A</v>
      </c>
      <c r="Y870" s="76"/>
      <c r="Z870" s="133">
        <v>1</v>
      </c>
      <c r="AA870" s="134"/>
      <c r="AB870" s="135">
        <f t="shared" si="616"/>
        <v>0.15022344585428127</v>
      </c>
      <c r="AC870" s="135" t="str">
        <f t="shared" si="617"/>
        <v/>
      </c>
      <c r="AD870" s="135" t="str">
        <f t="shared" si="618"/>
        <v/>
      </c>
      <c r="AE870" s="137"/>
      <c r="AH870" s="98" t="s">
        <v>195</v>
      </c>
    </row>
    <row r="871" spans="1:34" ht="91.5" thickTop="1" thickBot="1">
      <c r="A871" s="125" t="str">
        <f>INDEX('Выгр Торг'!$A:$A,MATCH($B871,'Выгр Торг'!$B:$B,0))</f>
        <v>Электронная комбинация приборов "Ferrum Group" GF 890 для Лада Ларгус, Nissan (Almera, Terrano III), Renault (Duster (PH1), Duster Diesel (PH1), Logan I, Sandero I, Sandero Stepway I)</v>
      </c>
      <c r="B871" s="126">
        <v>382138</v>
      </c>
      <c r="C871" s="127">
        <f>VLOOKUP($B871,'Выгр Торг'!$B:$Q,C$1,0)</f>
        <v>382138</v>
      </c>
      <c r="D871" s="219" t="s">
        <v>195</v>
      </c>
      <c r="E871" s="125" t="str">
        <f>VLOOKUP($B871,'Выгр Торг'!$B:$Q,E$1,0)</f>
        <v>Электронная комбинация приборов "Ferrum Group" GF 890 для Лада Ларгус, Nissan (Almera, Terrano III), Renault (Duster (PH1), Duster Diesel (PH1), Logan I, Sandero I, Sandero Stepway I) (Кольца черные)</v>
      </c>
      <c r="F871" s="127" t="str">
        <f>VLOOKUP($B871,'Выгр Торг'!$B:$Q,F$1,0)</f>
        <v>Y</v>
      </c>
      <c r="G871" s="127" t="str">
        <f>VLOOKUP($B871,'Выгр Торг'!$B:$Q,G$1,0)</f>
        <v>1</v>
      </c>
      <c r="H871" s="127"/>
      <c r="I871" s="159" t="s">
        <v>890</v>
      </c>
      <c r="J871" s="162"/>
      <c r="K871" s="162"/>
      <c r="L871" s="140">
        <f>VLOOKUP(I871,'Прайс Gamma'!$B:$H,3,0)+$K871+$J871</f>
        <v>75186</v>
      </c>
      <c r="M871" s="140">
        <f>VLOOKUP(I871,'Прайс Gamma'!$B:$H,4,0)+$K871+$J871</f>
        <v>78186</v>
      </c>
      <c r="N871" s="140"/>
      <c r="O871" s="132">
        <f t="shared" si="609"/>
        <v>1.0399010454073896</v>
      </c>
      <c r="P871" s="132">
        <f t="shared" si="610"/>
        <v>1.1499999999999999</v>
      </c>
      <c r="Q871" s="147">
        <f t="shared" si="611"/>
        <v>92971.93548387097</v>
      </c>
      <c r="R871" s="148">
        <f t="shared" si="612"/>
        <v>92990</v>
      </c>
      <c r="S871" s="127">
        <f>VLOOKUP($B871,'Выгр Торг'!$B:$Q,S$1,0)</f>
        <v>75186</v>
      </c>
      <c r="T871" s="127">
        <f>VLOOKUP($B871,'Выгр Торг'!$B:$Q,T$1,0)</f>
        <v>92990</v>
      </c>
      <c r="U871" s="94">
        <f t="shared" si="613"/>
        <v>0</v>
      </c>
      <c r="V871" s="94">
        <f t="shared" si="614"/>
        <v>0</v>
      </c>
      <c r="W871" s="153">
        <f t="shared" si="615"/>
        <v>86480.7</v>
      </c>
      <c r="X871" s="209" t="e">
        <f>IFERROR(VLOOKUP($B871,'Из ГУГЛа'!$B:$G,6,0)*Z871+Y871,VLOOKUP($B871,'Из ГУГЛа'!$B:$G,6,0))</f>
        <v>#N/A</v>
      </c>
      <c r="Y871" s="76"/>
      <c r="Z871" s="133">
        <v>1</v>
      </c>
      <c r="AA871" s="134"/>
      <c r="AB871" s="135">
        <f t="shared" si="616"/>
        <v>0.15022344585428127</v>
      </c>
      <c r="AC871" s="135" t="str">
        <f t="shared" si="617"/>
        <v/>
      </c>
      <c r="AD871" s="135" t="str">
        <f t="shared" si="618"/>
        <v/>
      </c>
      <c r="AE871" s="137"/>
      <c r="AH871" s="98" t="s">
        <v>195</v>
      </c>
    </row>
    <row r="872" spans="1:34" ht="15.75" thickTop="1"/>
  </sheetData>
  <autoFilter ref="A2:AF867" xr:uid="{26884AD5-B61B-4D2C-9D3F-8DC22A237806}"/>
  <phoneticPr fontId="37" type="noConversion"/>
  <conditionalFormatting sqref="AD3:AD871 AB3:AB871">
    <cfRule type="cellIs" dxfId="18" priority="31" operator="lessThan">
      <formula>0.2</formula>
    </cfRule>
  </conditionalFormatting>
  <conditionalFormatting sqref="AC3:AC849">
    <cfRule type="cellIs" dxfId="17" priority="22" operator="lessThan">
      <formula>0%</formula>
    </cfRule>
  </conditionalFormatting>
  <conditionalFormatting sqref="B3:B849">
    <cfRule type="expression" dxfId="16" priority="19">
      <formula>AND($U3=0,$V3=0)</formula>
    </cfRule>
  </conditionalFormatting>
  <conditionalFormatting sqref="X2:X849">
    <cfRule type="expression" dxfId="15" priority="18">
      <formula>VALUE(X2)&lt;&gt;AE2</formula>
    </cfRule>
  </conditionalFormatting>
  <conditionalFormatting sqref="E3:E849">
    <cfRule type="expression" dxfId="14" priority="16">
      <formula>OR(F3="N",G3="0")</formula>
    </cfRule>
  </conditionalFormatting>
  <conditionalFormatting sqref="AC850:AC871">
    <cfRule type="cellIs" dxfId="13" priority="4" operator="lessThan">
      <formula>0%</formula>
    </cfRule>
  </conditionalFormatting>
  <conditionalFormatting sqref="B850:B871">
    <cfRule type="expression" dxfId="12" priority="3">
      <formula>AND($U850=0,$V850=0)</formula>
    </cfRule>
  </conditionalFormatting>
  <conditionalFormatting sqref="X850:X871">
    <cfRule type="expression" dxfId="11" priority="2">
      <formula>VALUE(X850)&lt;&gt;AE850</formula>
    </cfRule>
  </conditionalFormatting>
  <conditionalFormatting sqref="E850:E871">
    <cfRule type="expression" dxfId="10" priority="1">
      <formula>OR(F850="N",G850="0")</formula>
    </cfRule>
  </conditionalFormatting>
  <hyperlinks>
    <hyperlink ref="D3:D14" r:id="rId1" display="https://ferrum.group/products/311" xr:uid="{059D92FA-9AC5-412E-9C83-EFBD8ED22813}"/>
    <hyperlink ref="D39" r:id="rId2" xr:uid="{D44AA20C-8E86-4471-B753-2E46368D9E5B}"/>
    <hyperlink ref="D27" r:id="rId3" xr:uid="{63D5315C-AF02-4C8F-BC9D-792E39A34F1B}"/>
    <hyperlink ref="D65" r:id="rId4" xr:uid="{C8F1574E-7212-4734-972A-E51C5379DC24}"/>
    <hyperlink ref="D66:D68" r:id="rId5" display="https://ferrum.group/products/195" xr:uid="{752B6A95-8D6F-4B47-93C9-278015E3F665}"/>
    <hyperlink ref="D15" r:id="rId6" xr:uid="{626AE361-1C4A-433F-A8C0-88A274CBC9E3}"/>
    <hyperlink ref="D16:D26" r:id="rId7" display="https://ferrum.group/products/255" xr:uid="{CE7D578A-01E1-4F7B-823A-9DAF46A75D7D}"/>
    <hyperlink ref="D28:D38" r:id="rId8" display="https://ferrum.group/products/267" xr:uid="{A64E1607-644B-4872-ACCF-E6F4DF5A8273}"/>
    <hyperlink ref="D40:D50" r:id="rId9" display="https://ferrum.group/products/267" xr:uid="{A2E65B33-D0FC-4602-A6B9-0299436F9624}"/>
    <hyperlink ref="D51" r:id="rId10" xr:uid="{0505C3CA-1E06-4889-AC0F-D4B74A574350}"/>
    <hyperlink ref="D52:D64" r:id="rId11" display="https://ferrum.group/products/310" xr:uid="{8F5EAE9C-76BC-4A3E-9690-B214E93C216D}"/>
    <hyperlink ref="D381" r:id="rId12" xr:uid="{059DA1AB-C8E9-4758-8CC9-71E5C42706E4}"/>
    <hyperlink ref="D383:D406" r:id="rId13" display="https://ferrum.group/products/228" xr:uid="{5FB4FDBE-5C51-46D7-AE44-59BFCCD12E58}"/>
    <hyperlink ref="D407:D432" r:id="rId14" display="https://ferrum.group/products/227" xr:uid="{9A4793E2-AAA5-4934-AD49-75CDCAA789C4}"/>
    <hyperlink ref="D69:D94" r:id="rId15" display="https://ferrum.group/products/231" xr:uid="{E165C234-0DE9-4DF2-8074-254C41E6AE97}"/>
    <hyperlink ref="D121:D146" r:id="rId16" display="https://ferrum.group/products/233" xr:uid="{55BDF655-1756-40B4-BA63-207AE92BD413}"/>
    <hyperlink ref="D199:D224" r:id="rId17" display="https://ferrum.group/products/229" xr:uid="{E70146E1-DC18-4AA2-BB2A-EA339AD71D11}"/>
    <hyperlink ref="D251:D276" r:id="rId18" display="https://ferrum.group/products/235" xr:uid="{0B89C020-6091-4A42-9B10-2F8C5731A0C5}"/>
    <hyperlink ref="D277:D279" r:id="rId19" display="https://ferrum.group/products/234" xr:uid="{C3B0103E-48D0-4858-AAFA-5D3BE5F29FFF}"/>
    <hyperlink ref="D173:D198" r:id="rId20" display="https://ferrum.group/products/237" xr:uid="{38371E0B-3589-4E48-8EE4-7258DF1742BF}"/>
    <hyperlink ref="D95:D120" r:id="rId21" display="https://ferrum.group/products/236" xr:uid="{BE2D3084-E405-49BC-BA47-85661E11B8FC}"/>
    <hyperlink ref="D329" r:id="rId22" xr:uid="{FB2098CA-A87A-4960-80E9-6C0435661E8D}"/>
    <hyperlink ref="D435" r:id="rId23" xr:uid="{348422BF-6D47-40FD-854F-21AEAEC60382}"/>
    <hyperlink ref="D436" r:id="rId24" xr:uid="{82C49B2C-E474-4A0A-BC1A-B794E6F9218B}"/>
    <hyperlink ref="D437" r:id="rId25" xr:uid="{726560D1-BA48-4525-AC94-B2C6E55E2ED1}"/>
    <hyperlink ref="D433" r:id="rId26" xr:uid="{3360A108-0F6C-4274-A5ED-5B7391794B54}"/>
    <hyperlink ref="D434" r:id="rId27" xr:uid="{82C18AF3-9387-4C5B-A4BF-AF3ADE5224A2}"/>
    <hyperlink ref="D147" r:id="rId28" xr:uid="{0B80D7AA-E374-4BD3-B19B-72A53B2158D9}"/>
    <hyperlink ref="D225" r:id="rId29" xr:uid="{2E84C6E1-58AB-4C62-A767-EBEAC99E6774}"/>
    <hyperlink ref="D355" r:id="rId30" xr:uid="{5360DA27-CE84-477C-BE4A-8CCE753D1A31}"/>
    <hyperlink ref="D438" r:id="rId31" xr:uid="{45D125BD-933A-405D-9FFB-947467F6EF68}"/>
    <hyperlink ref="D439:D455" r:id="rId32" display="https://ferrum.group/products/140" xr:uid="{BA909CDE-E770-4080-8B90-A628ABEADF87}"/>
    <hyperlink ref="D456" r:id="rId33" xr:uid="{ADED378F-A95C-417B-A6EA-10DC470BD988}"/>
    <hyperlink ref="D458:D481" r:id="rId34" display="https://ferrum.group/products/212" xr:uid="{8137A9A8-9226-4294-90AD-64CC1DC67886}"/>
    <hyperlink ref="D482" r:id="rId35" xr:uid="{AC049527-54B8-4520-9346-C7F6BE9EF5BB}"/>
    <hyperlink ref="D737:D739" r:id="rId36" display="https://ferrum.group/products/239" xr:uid="{A2658BC7-CBBA-4BD6-93C8-508439F3C2E8}"/>
    <hyperlink ref="D734:D736" r:id="rId37" display="https://ferrum.group/products/241" xr:uid="{9B3587C9-B388-453A-8764-467631E6B8C0}"/>
    <hyperlink ref="D728:D733" r:id="rId38" display="https://ferrum.group/products/149" xr:uid="{A0982417-6AFE-4684-A0C1-EEA347B5A54C}"/>
    <hyperlink ref="D743:D745" r:id="rId39" display="https://ferrum.group/products/242" xr:uid="{7B7F3127-B79B-4042-A572-F14D7F7E70B2}"/>
    <hyperlink ref="D710:D715" r:id="rId40" display="https://ferrum.group/products/137" xr:uid="{223BFAA4-D7D6-4C54-81D5-3610BED60625}"/>
    <hyperlink ref="D722:D727" r:id="rId41" display="https://ferrum.group/products/148" xr:uid="{2B0E0BF3-4E58-41D4-8965-05D02E9DEBA0}"/>
    <hyperlink ref="D698:D709" r:id="rId42" display="https://ferrum.group/products/307" xr:uid="{AF790AF4-0CB2-41BC-8003-A5450138C547}"/>
    <hyperlink ref="D740:D742" r:id="rId43" display="https://ferrum.group/products/243" xr:uid="{0F9AEFE3-DCC0-44E0-A64D-14746741DDC1}"/>
    <hyperlink ref="D716:D721" r:id="rId44" display="https://ferrum.group/products/147" xr:uid="{34F9006D-D6B8-4B1B-A9E7-7A76DA04232A}"/>
    <hyperlink ref="D303" r:id="rId45" xr:uid="{9922BF68-FB3F-42CA-B22B-D716CB4E1EF2}"/>
    <hyperlink ref="D495" r:id="rId46" xr:uid="{91F015FD-71C4-40AF-AE6D-3E0182C47FFB}"/>
    <hyperlink ref="D521" r:id="rId47" xr:uid="{FFD541C3-3B0A-49C1-BFAE-D89E7D9FF30B}"/>
    <hyperlink ref="D547" r:id="rId48" xr:uid="{A786C095-FB25-47C0-9AB1-3F8BFB746DE1}"/>
    <hyperlink ref="D580" r:id="rId49" xr:uid="{F48CF860-4B51-454B-8B53-92190C42A8A9}"/>
    <hyperlink ref="D606" r:id="rId50" xr:uid="{6D936FCE-810C-41F3-B1FA-5E6E68987857}"/>
    <hyperlink ref="D632" r:id="rId51" xr:uid="{19042B51-7C9F-428A-A78C-914A04BF0011}"/>
    <hyperlink ref="D658" r:id="rId52" xr:uid="{9BBB4C17-7BDF-4DD3-96D8-279165F5F5C5}"/>
    <hyperlink ref="D746" r:id="rId53" xr:uid="{4C778380-A59F-493C-AD1C-1D0FBE8C8739}"/>
    <hyperlink ref="D772" r:id="rId54" xr:uid="{25D9F5D2-BD6C-4851-98CD-B86D27B2AA9B}"/>
    <hyperlink ref="D798" r:id="rId55" xr:uid="{437EC01C-B346-491D-A974-2A190B1E1059}"/>
    <hyperlink ref="D824" r:id="rId56" xr:uid="{414269D0-D4AA-4F58-97AD-6785177F40D5}"/>
    <hyperlink ref="D851" r:id="rId57" xr:uid="{F22CD3FF-827E-4026-8060-E898E16F5D63}"/>
    <hyperlink ref="D850" r:id="rId58" xr:uid="{2F58E44A-A521-4753-AC0F-6E739DD8FC8A}"/>
    <hyperlink ref="D693" r:id="rId59" xr:uid="{22D698B9-BF3B-43C5-83D9-E97490D14D3C}"/>
    <hyperlink ref="D692" r:id="rId60" xr:uid="{83D767A2-746A-4505-A5B5-B6559DF6771B}"/>
    <hyperlink ref="D691" r:id="rId61" xr:uid="{83E16C2D-0201-4822-BFCC-87E9D6C61AD9}"/>
    <hyperlink ref="D690" r:id="rId62" xr:uid="{5B6E337E-0257-4FC7-8C95-6FF93AD6CCFF}"/>
    <hyperlink ref="D689" r:id="rId63" xr:uid="{1FD75630-31B0-4591-B8B5-C3955AA102F3}"/>
  </hyperlinks>
  <pageMargins left="0.7" right="0.7" top="0.75" bottom="0.75" header="0.3" footer="0.3"/>
  <pageSetup paperSize="9" orientation="portrait" r:id="rId6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A6701-3F84-4CD8-A1B1-6A78A36E13EF}">
  <sheetPr codeName="Лист7"/>
  <dimension ref="A1:K105"/>
  <sheetViews>
    <sheetView topLeftCell="A21" workbookViewId="0">
      <selection activeCell="B28" sqref="B28"/>
    </sheetView>
  </sheetViews>
  <sheetFormatPr defaultColWidth="9.140625" defaultRowHeight="15"/>
  <cols>
    <col min="1" max="1" width="40.28515625" style="29" customWidth="1"/>
    <col min="2" max="2" width="34" style="29" customWidth="1"/>
    <col min="3" max="3" width="13" style="29" customWidth="1"/>
    <col min="4" max="5" width="11.85546875" style="60" customWidth="1"/>
    <col min="6" max="6" width="21.5703125" style="29" customWidth="1"/>
    <col min="7" max="8" width="9.140625" style="29"/>
    <col min="9" max="9" width="9.140625" style="25"/>
    <col min="10" max="10" width="101.7109375" style="25" customWidth="1"/>
    <col min="11" max="11" width="32.7109375" style="25" customWidth="1"/>
    <col min="12" max="256" width="9.140625" style="25"/>
    <col min="257" max="257" width="29.5703125" style="25" customWidth="1"/>
    <col min="258" max="258" width="25" style="25" customWidth="1"/>
    <col min="259" max="259" width="13" style="25" customWidth="1"/>
    <col min="260" max="512" width="9.140625" style="25"/>
    <col min="513" max="513" width="29.5703125" style="25" customWidth="1"/>
    <col min="514" max="514" width="25" style="25" customWidth="1"/>
    <col min="515" max="515" width="13" style="25" customWidth="1"/>
    <col min="516" max="768" width="9.140625" style="25"/>
    <col min="769" max="769" width="29.5703125" style="25" customWidth="1"/>
    <col min="770" max="770" width="25" style="25" customWidth="1"/>
    <col min="771" max="771" width="13" style="25" customWidth="1"/>
    <col min="772" max="1024" width="9.140625" style="25"/>
    <col min="1025" max="1025" width="29.5703125" style="25" customWidth="1"/>
    <col min="1026" max="1026" width="25" style="25" customWidth="1"/>
    <col min="1027" max="1027" width="13" style="25" customWidth="1"/>
    <col min="1028" max="1280" width="9.140625" style="25"/>
    <col min="1281" max="1281" width="29.5703125" style="25" customWidth="1"/>
    <col min="1282" max="1282" width="25" style="25" customWidth="1"/>
    <col min="1283" max="1283" width="13" style="25" customWidth="1"/>
    <col min="1284" max="1536" width="9.140625" style="25"/>
    <col min="1537" max="1537" width="29.5703125" style="25" customWidth="1"/>
    <col min="1538" max="1538" width="25" style="25" customWidth="1"/>
    <col min="1539" max="1539" width="13" style="25" customWidth="1"/>
    <col min="1540" max="1792" width="9.140625" style="25"/>
    <col min="1793" max="1793" width="29.5703125" style="25" customWidth="1"/>
    <col min="1794" max="1794" width="25" style="25" customWidth="1"/>
    <col min="1795" max="1795" width="13" style="25" customWidth="1"/>
    <col min="1796" max="2048" width="9.140625" style="25"/>
    <col min="2049" max="2049" width="29.5703125" style="25" customWidth="1"/>
    <col min="2050" max="2050" width="25" style="25" customWidth="1"/>
    <col min="2051" max="2051" width="13" style="25" customWidth="1"/>
    <col min="2052" max="2304" width="9.140625" style="25"/>
    <col min="2305" max="2305" width="29.5703125" style="25" customWidth="1"/>
    <col min="2306" max="2306" width="25" style="25" customWidth="1"/>
    <col min="2307" max="2307" width="13" style="25" customWidth="1"/>
    <col min="2308" max="2560" width="9.140625" style="25"/>
    <col min="2561" max="2561" width="29.5703125" style="25" customWidth="1"/>
    <col min="2562" max="2562" width="25" style="25" customWidth="1"/>
    <col min="2563" max="2563" width="13" style="25" customWidth="1"/>
    <col min="2564" max="2816" width="9.140625" style="25"/>
    <col min="2817" max="2817" width="29.5703125" style="25" customWidth="1"/>
    <col min="2818" max="2818" width="25" style="25" customWidth="1"/>
    <col min="2819" max="2819" width="13" style="25" customWidth="1"/>
    <col min="2820" max="3072" width="9.140625" style="25"/>
    <col min="3073" max="3073" width="29.5703125" style="25" customWidth="1"/>
    <col min="3074" max="3074" width="25" style="25" customWidth="1"/>
    <col min="3075" max="3075" width="13" style="25" customWidth="1"/>
    <col min="3076" max="3328" width="9.140625" style="25"/>
    <col min="3329" max="3329" width="29.5703125" style="25" customWidth="1"/>
    <col min="3330" max="3330" width="25" style="25" customWidth="1"/>
    <col min="3331" max="3331" width="13" style="25" customWidth="1"/>
    <col min="3332" max="3584" width="9.140625" style="25"/>
    <col min="3585" max="3585" width="29.5703125" style="25" customWidth="1"/>
    <col min="3586" max="3586" width="25" style="25" customWidth="1"/>
    <col min="3587" max="3587" width="13" style="25" customWidth="1"/>
    <col min="3588" max="3840" width="9.140625" style="25"/>
    <col min="3841" max="3841" width="29.5703125" style="25" customWidth="1"/>
    <col min="3842" max="3842" width="25" style="25" customWidth="1"/>
    <col min="3843" max="3843" width="13" style="25" customWidth="1"/>
    <col min="3844" max="4096" width="9.140625" style="25"/>
    <col min="4097" max="4097" width="29.5703125" style="25" customWidth="1"/>
    <col min="4098" max="4098" width="25" style="25" customWidth="1"/>
    <col min="4099" max="4099" width="13" style="25" customWidth="1"/>
    <col min="4100" max="4352" width="9.140625" style="25"/>
    <col min="4353" max="4353" width="29.5703125" style="25" customWidth="1"/>
    <col min="4354" max="4354" width="25" style="25" customWidth="1"/>
    <col min="4355" max="4355" width="13" style="25" customWidth="1"/>
    <col min="4356" max="4608" width="9.140625" style="25"/>
    <col min="4609" max="4609" width="29.5703125" style="25" customWidth="1"/>
    <col min="4610" max="4610" width="25" style="25" customWidth="1"/>
    <col min="4611" max="4611" width="13" style="25" customWidth="1"/>
    <col min="4612" max="4864" width="9.140625" style="25"/>
    <col min="4865" max="4865" width="29.5703125" style="25" customWidth="1"/>
    <col min="4866" max="4866" width="25" style="25" customWidth="1"/>
    <col min="4867" max="4867" width="13" style="25" customWidth="1"/>
    <col min="4868" max="5120" width="9.140625" style="25"/>
    <col min="5121" max="5121" width="29.5703125" style="25" customWidth="1"/>
    <col min="5122" max="5122" width="25" style="25" customWidth="1"/>
    <col min="5123" max="5123" width="13" style="25" customWidth="1"/>
    <col min="5124" max="5376" width="9.140625" style="25"/>
    <col min="5377" max="5377" width="29.5703125" style="25" customWidth="1"/>
    <col min="5378" max="5378" width="25" style="25" customWidth="1"/>
    <col min="5379" max="5379" width="13" style="25" customWidth="1"/>
    <col min="5380" max="5632" width="9.140625" style="25"/>
    <col min="5633" max="5633" width="29.5703125" style="25" customWidth="1"/>
    <col min="5634" max="5634" width="25" style="25" customWidth="1"/>
    <col min="5635" max="5635" width="13" style="25" customWidth="1"/>
    <col min="5636" max="5888" width="9.140625" style="25"/>
    <col min="5889" max="5889" width="29.5703125" style="25" customWidth="1"/>
    <col min="5890" max="5890" width="25" style="25" customWidth="1"/>
    <col min="5891" max="5891" width="13" style="25" customWidth="1"/>
    <col min="5892" max="6144" width="9.140625" style="25"/>
    <col min="6145" max="6145" width="29.5703125" style="25" customWidth="1"/>
    <col min="6146" max="6146" width="25" style="25" customWidth="1"/>
    <col min="6147" max="6147" width="13" style="25" customWidth="1"/>
    <col min="6148" max="6400" width="9.140625" style="25"/>
    <col min="6401" max="6401" width="29.5703125" style="25" customWidth="1"/>
    <col min="6402" max="6402" width="25" style="25" customWidth="1"/>
    <col min="6403" max="6403" width="13" style="25" customWidth="1"/>
    <col min="6404" max="6656" width="9.140625" style="25"/>
    <col min="6657" max="6657" width="29.5703125" style="25" customWidth="1"/>
    <col min="6658" max="6658" width="25" style="25" customWidth="1"/>
    <col min="6659" max="6659" width="13" style="25" customWidth="1"/>
    <col min="6660" max="6912" width="9.140625" style="25"/>
    <col min="6913" max="6913" width="29.5703125" style="25" customWidth="1"/>
    <col min="6914" max="6914" width="25" style="25" customWidth="1"/>
    <col min="6915" max="6915" width="13" style="25" customWidth="1"/>
    <col min="6916" max="7168" width="9.140625" style="25"/>
    <col min="7169" max="7169" width="29.5703125" style="25" customWidth="1"/>
    <col min="7170" max="7170" width="25" style="25" customWidth="1"/>
    <col min="7171" max="7171" width="13" style="25" customWidth="1"/>
    <col min="7172" max="7424" width="9.140625" style="25"/>
    <col min="7425" max="7425" width="29.5703125" style="25" customWidth="1"/>
    <col min="7426" max="7426" width="25" style="25" customWidth="1"/>
    <col min="7427" max="7427" width="13" style="25" customWidth="1"/>
    <col min="7428" max="7680" width="9.140625" style="25"/>
    <col min="7681" max="7681" width="29.5703125" style="25" customWidth="1"/>
    <col min="7682" max="7682" width="25" style="25" customWidth="1"/>
    <col min="7683" max="7683" width="13" style="25" customWidth="1"/>
    <col min="7684" max="7936" width="9.140625" style="25"/>
    <col min="7937" max="7937" width="29.5703125" style="25" customWidth="1"/>
    <col min="7938" max="7938" width="25" style="25" customWidth="1"/>
    <col min="7939" max="7939" width="13" style="25" customWidth="1"/>
    <col min="7940" max="8192" width="9.140625" style="25"/>
    <col min="8193" max="8193" width="29.5703125" style="25" customWidth="1"/>
    <col min="8194" max="8194" width="25" style="25" customWidth="1"/>
    <col min="8195" max="8195" width="13" style="25" customWidth="1"/>
    <col min="8196" max="8448" width="9.140625" style="25"/>
    <col min="8449" max="8449" width="29.5703125" style="25" customWidth="1"/>
    <col min="8450" max="8450" width="25" style="25" customWidth="1"/>
    <col min="8451" max="8451" width="13" style="25" customWidth="1"/>
    <col min="8452" max="8704" width="9.140625" style="25"/>
    <col min="8705" max="8705" width="29.5703125" style="25" customWidth="1"/>
    <col min="8706" max="8706" width="25" style="25" customWidth="1"/>
    <col min="8707" max="8707" width="13" style="25" customWidth="1"/>
    <col min="8708" max="8960" width="9.140625" style="25"/>
    <col min="8961" max="8961" width="29.5703125" style="25" customWidth="1"/>
    <col min="8962" max="8962" width="25" style="25" customWidth="1"/>
    <col min="8963" max="8963" width="13" style="25" customWidth="1"/>
    <col min="8964" max="9216" width="9.140625" style="25"/>
    <col min="9217" max="9217" width="29.5703125" style="25" customWidth="1"/>
    <col min="9218" max="9218" width="25" style="25" customWidth="1"/>
    <col min="9219" max="9219" width="13" style="25" customWidth="1"/>
    <col min="9220" max="9472" width="9.140625" style="25"/>
    <col min="9473" max="9473" width="29.5703125" style="25" customWidth="1"/>
    <col min="9474" max="9474" width="25" style="25" customWidth="1"/>
    <col min="9475" max="9475" width="13" style="25" customWidth="1"/>
    <col min="9476" max="9728" width="9.140625" style="25"/>
    <col min="9729" max="9729" width="29.5703125" style="25" customWidth="1"/>
    <col min="9730" max="9730" width="25" style="25" customWidth="1"/>
    <col min="9731" max="9731" width="13" style="25" customWidth="1"/>
    <col min="9732" max="9984" width="9.140625" style="25"/>
    <col min="9985" max="9985" width="29.5703125" style="25" customWidth="1"/>
    <col min="9986" max="9986" width="25" style="25" customWidth="1"/>
    <col min="9987" max="9987" width="13" style="25" customWidth="1"/>
    <col min="9988" max="10240" width="9.140625" style="25"/>
    <col min="10241" max="10241" width="29.5703125" style="25" customWidth="1"/>
    <col min="10242" max="10242" width="25" style="25" customWidth="1"/>
    <col min="10243" max="10243" width="13" style="25" customWidth="1"/>
    <col min="10244" max="10496" width="9.140625" style="25"/>
    <col min="10497" max="10497" width="29.5703125" style="25" customWidth="1"/>
    <col min="10498" max="10498" width="25" style="25" customWidth="1"/>
    <col min="10499" max="10499" width="13" style="25" customWidth="1"/>
    <col min="10500" max="10752" width="9.140625" style="25"/>
    <col min="10753" max="10753" width="29.5703125" style="25" customWidth="1"/>
    <col min="10754" max="10754" width="25" style="25" customWidth="1"/>
    <col min="10755" max="10755" width="13" style="25" customWidth="1"/>
    <col min="10756" max="11008" width="9.140625" style="25"/>
    <col min="11009" max="11009" width="29.5703125" style="25" customWidth="1"/>
    <col min="11010" max="11010" width="25" style="25" customWidth="1"/>
    <col min="11011" max="11011" width="13" style="25" customWidth="1"/>
    <col min="11012" max="11264" width="9.140625" style="25"/>
    <col min="11265" max="11265" width="29.5703125" style="25" customWidth="1"/>
    <col min="11266" max="11266" width="25" style="25" customWidth="1"/>
    <col min="11267" max="11267" width="13" style="25" customWidth="1"/>
    <col min="11268" max="11520" width="9.140625" style="25"/>
    <col min="11521" max="11521" width="29.5703125" style="25" customWidth="1"/>
    <col min="11522" max="11522" width="25" style="25" customWidth="1"/>
    <col min="11523" max="11523" width="13" style="25" customWidth="1"/>
    <col min="11524" max="11776" width="9.140625" style="25"/>
    <col min="11777" max="11777" width="29.5703125" style="25" customWidth="1"/>
    <col min="11778" max="11778" width="25" style="25" customWidth="1"/>
    <col min="11779" max="11779" width="13" style="25" customWidth="1"/>
    <col min="11780" max="12032" width="9.140625" style="25"/>
    <col min="12033" max="12033" width="29.5703125" style="25" customWidth="1"/>
    <col min="12034" max="12034" width="25" style="25" customWidth="1"/>
    <col min="12035" max="12035" width="13" style="25" customWidth="1"/>
    <col min="12036" max="12288" width="9.140625" style="25"/>
    <col min="12289" max="12289" width="29.5703125" style="25" customWidth="1"/>
    <col min="12290" max="12290" width="25" style="25" customWidth="1"/>
    <col min="12291" max="12291" width="13" style="25" customWidth="1"/>
    <col min="12292" max="12544" width="9.140625" style="25"/>
    <col min="12545" max="12545" width="29.5703125" style="25" customWidth="1"/>
    <col min="12546" max="12546" width="25" style="25" customWidth="1"/>
    <col min="12547" max="12547" width="13" style="25" customWidth="1"/>
    <col min="12548" max="12800" width="9.140625" style="25"/>
    <col min="12801" max="12801" width="29.5703125" style="25" customWidth="1"/>
    <col min="12802" max="12802" width="25" style="25" customWidth="1"/>
    <col min="12803" max="12803" width="13" style="25" customWidth="1"/>
    <col min="12804" max="13056" width="9.140625" style="25"/>
    <col min="13057" max="13057" width="29.5703125" style="25" customWidth="1"/>
    <col min="13058" max="13058" width="25" style="25" customWidth="1"/>
    <col min="13059" max="13059" width="13" style="25" customWidth="1"/>
    <col min="13060" max="13312" width="9.140625" style="25"/>
    <col min="13313" max="13313" width="29.5703125" style="25" customWidth="1"/>
    <col min="13314" max="13314" width="25" style="25" customWidth="1"/>
    <col min="13315" max="13315" width="13" style="25" customWidth="1"/>
    <col min="13316" max="13568" width="9.140625" style="25"/>
    <col min="13569" max="13569" width="29.5703125" style="25" customWidth="1"/>
    <col min="13570" max="13570" width="25" style="25" customWidth="1"/>
    <col min="13571" max="13571" width="13" style="25" customWidth="1"/>
    <col min="13572" max="13824" width="9.140625" style="25"/>
    <col min="13825" max="13825" width="29.5703125" style="25" customWidth="1"/>
    <col min="13826" max="13826" width="25" style="25" customWidth="1"/>
    <col min="13827" max="13827" width="13" style="25" customWidth="1"/>
    <col min="13828" max="14080" width="9.140625" style="25"/>
    <col min="14081" max="14081" width="29.5703125" style="25" customWidth="1"/>
    <col min="14082" max="14082" width="25" style="25" customWidth="1"/>
    <col min="14083" max="14083" width="13" style="25" customWidth="1"/>
    <col min="14084" max="14336" width="9.140625" style="25"/>
    <col min="14337" max="14337" width="29.5703125" style="25" customWidth="1"/>
    <col min="14338" max="14338" width="25" style="25" customWidth="1"/>
    <col min="14339" max="14339" width="13" style="25" customWidth="1"/>
    <col min="14340" max="14592" width="9.140625" style="25"/>
    <col min="14593" max="14593" width="29.5703125" style="25" customWidth="1"/>
    <col min="14594" max="14594" width="25" style="25" customWidth="1"/>
    <col min="14595" max="14595" width="13" style="25" customWidth="1"/>
    <col min="14596" max="14848" width="9.140625" style="25"/>
    <col min="14849" max="14849" width="29.5703125" style="25" customWidth="1"/>
    <col min="14850" max="14850" width="25" style="25" customWidth="1"/>
    <col min="14851" max="14851" width="13" style="25" customWidth="1"/>
    <col min="14852" max="15104" width="9.140625" style="25"/>
    <col min="15105" max="15105" width="29.5703125" style="25" customWidth="1"/>
    <col min="15106" max="15106" width="25" style="25" customWidth="1"/>
    <col min="15107" max="15107" width="13" style="25" customWidth="1"/>
    <col min="15108" max="15360" width="9.140625" style="25"/>
    <col min="15361" max="15361" width="29.5703125" style="25" customWidth="1"/>
    <col min="15362" max="15362" width="25" style="25" customWidth="1"/>
    <col min="15363" max="15363" width="13" style="25" customWidth="1"/>
    <col min="15364" max="15616" width="9.140625" style="25"/>
    <col min="15617" max="15617" width="29.5703125" style="25" customWidth="1"/>
    <col min="15618" max="15618" width="25" style="25" customWidth="1"/>
    <col min="15619" max="15619" width="13" style="25" customWidth="1"/>
    <col min="15620" max="15872" width="9.140625" style="25"/>
    <col min="15873" max="15873" width="29.5703125" style="25" customWidth="1"/>
    <col min="15874" max="15874" width="25" style="25" customWidth="1"/>
    <col min="15875" max="15875" width="13" style="25" customWidth="1"/>
    <col min="15876" max="16128" width="9.140625" style="25"/>
    <col min="16129" max="16129" width="29.5703125" style="25" customWidth="1"/>
    <col min="16130" max="16130" width="25" style="25" customWidth="1"/>
    <col min="16131" max="16131" width="13" style="25" customWidth="1"/>
    <col min="16132" max="16384" width="9.140625" style="25"/>
  </cols>
  <sheetData>
    <row r="1" spans="1:11" ht="15.75">
      <c r="A1" s="28" t="s">
        <v>288</v>
      </c>
      <c r="B1" s="230" t="s">
        <v>289</v>
      </c>
      <c r="C1" s="230"/>
      <c r="D1" s="230"/>
    </row>
    <row r="2" spans="1:11">
      <c r="A2" s="30"/>
      <c r="B2" s="30"/>
      <c r="C2" s="30"/>
      <c r="D2" s="61"/>
    </row>
    <row r="3" spans="1:11">
      <c r="A3" s="31"/>
      <c r="B3" s="31"/>
      <c r="C3" s="31"/>
      <c r="D3" s="62"/>
      <c r="E3" s="63"/>
    </row>
    <row r="4" spans="1:11" ht="18.75">
      <c r="A4" s="89"/>
      <c r="B4" s="89"/>
      <c r="C4" s="89" t="s">
        <v>609</v>
      </c>
      <c r="D4" s="90"/>
      <c r="E4" s="90"/>
      <c r="F4" s="53"/>
      <c r="G4" s="53"/>
      <c r="H4" s="53"/>
    </row>
    <row r="5" spans="1:11" ht="18.75">
      <c r="A5" s="89"/>
      <c r="B5" s="89"/>
      <c r="C5" s="89"/>
      <c r="D5" s="90"/>
      <c r="E5" s="90"/>
      <c r="F5" s="53"/>
      <c r="G5" s="53"/>
      <c r="H5" s="53"/>
    </row>
    <row r="6" spans="1:11" ht="15.75" customHeight="1">
      <c r="A6" s="231" t="s">
        <v>346</v>
      </c>
      <c r="B6" s="231" t="s">
        <v>347</v>
      </c>
      <c r="C6" s="231" t="s">
        <v>348</v>
      </c>
      <c r="D6" s="231"/>
      <c r="E6" s="231"/>
      <c r="F6" s="228" t="s">
        <v>349</v>
      </c>
      <c r="G6" s="53"/>
      <c r="H6" s="53"/>
    </row>
    <row r="7" spans="1:11" ht="15.75">
      <c r="A7" s="231"/>
      <c r="B7" s="231"/>
      <c r="C7" s="164" t="s">
        <v>290</v>
      </c>
      <c r="D7" s="165" t="s">
        <v>291</v>
      </c>
      <c r="E7" s="165" t="s">
        <v>270</v>
      </c>
      <c r="F7" s="228"/>
      <c r="G7" s="53"/>
      <c r="H7" s="53"/>
    </row>
    <row r="8" spans="1:11" ht="25.5">
      <c r="A8" s="166" t="s">
        <v>292</v>
      </c>
      <c r="B8" s="167" t="s">
        <v>884</v>
      </c>
      <c r="C8" s="168">
        <f t="shared" ref="C8:C51" si="0">E8-1000</f>
        <v>76619</v>
      </c>
      <c r="D8" s="169">
        <f t="shared" ref="D8:D51" si="1">E8-3000</f>
        <v>74619</v>
      </c>
      <c r="E8" s="169">
        <v>77619</v>
      </c>
      <c r="F8" s="167"/>
      <c r="G8" s="53"/>
      <c r="H8" s="53"/>
      <c r="I8" s="37">
        <f>IFERROR(INDEX(Кат!$A:$A,MATCH($B8,Кат!$G:$G,0)),INDEX(Торг!$B:$B,MATCH($B8,Торг!$I:$I,0)))</f>
        <v>226948</v>
      </c>
      <c r="J8" s="37" t="str">
        <f>IFERROR(INDEX(Кат!$D:$D,MATCH($B8,Кат!$G:$G,0)),INDEX(Торг!$E:$E,MATCH($B8,Торг!$I:$I,0)))</f>
        <v>Электронная комбинация приборов "Ferrum Group" GF 851S для Лада (Гранта, Гранта FL, Калина 2), Датсун (mi-DO, on-DO)</v>
      </c>
      <c r="K8" s="37" t="str">
        <f>IFERROR(INDEX(Кат!$C:$C,MATCH($B8,Кат!$G:$G,0)),INDEX(Торг!$D:$D,MATCH($B8,Торг!$I:$I,0)))</f>
        <v>https://ferrum.group/products/124</v>
      </c>
    </row>
    <row r="9" spans="1:11" ht="25.5">
      <c r="A9" s="166" t="s">
        <v>292</v>
      </c>
      <c r="B9" s="167" t="s">
        <v>885</v>
      </c>
      <c r="C9" s="168">
        <f t="shared" si="0"/>
        <v>76619</v>
      </c>
      <c r="D9" s="169">
        <f t="shared" si="1"/>
        <v>74619</v>
      </c>
      <c r="E9" s="169">
        <v>77619</v>
      </c>
      <c r="F9" s="167"/>
      <c r="G9" s="53"/>
      <c r="H9" s="53"/>
      <c r="I9" s="37">
        <f>IFERROR(INDEX(Кат!$A:$A,MATCH($B9,Кат!$G:$G,0)),INDEX(Торг!$B:$B,MATCH($B9,Торг!$I:$I,0)))</f>
        <v>226947</v>
      </c>
      <c r="J9" s="37" t="str">
        <f>IFERROR(INDEX(Кат!$D:$D,MATCH($B9,Кат!$G:$G,0)),INDEX(Торг!$E:$E,MATCH($B9,Торг!$I:$I,0)))</f>
        <v>Электронная комбинация приборов "Ferrum Group" GF 851S Cross для Лада (Гранта, Гранта FL, Калина 2), Датсун (mi-DO, on-DO)</v>
      </c>
      <c r="K9" s="37" t="str">
        <f>IFERROR(INDEX(Кат!$C:$C,MATCH($B9,Кат!$G:$G,0)),INDEX(Торг!$D:$D,MATCH($B9,Торг!$I:$I,0)))</f>
        <v>https://ferrum.group/products/167</v>
      </c>
    </row>
    <row r="10" spans="1:11" ht="25.5">
      <c r="A10" s="170" t="s">
        <v>292</v>
      </c>
      <c r="B10" s="167" t="s">
        <v>293</v>
      </c>
      <c r="C10" s="168">
        <f t="shared" si="0"/>
        <v>70665</v>
      </c>
      <c r="D10" s="169">
        <f t="shared" si="1"/>
        <v>68665</v>
      </c>
      <c r="E10" s="169">
        <v>71665</v>
      </c>
      <c r="F10" s="167"/>
      <c r="G10" s="53"/>
      <c r="H10" s="53"/>
      <c r="I10" s="37">
        <f>IFERROR(INDEX(Кат!$A:$A,MATCH($B10,Кат!$G:$G,0)),INDEX(Торг!$B:$B,MATCH($B10,Торг!$I:$I,0)))</f>
        <v>226946</v>
      </c>
      <c r="J10" s="37" t="str">
        <f>IFERROR(INDEX(Кат!$D:$D,MATCH($B10,Кат!$G:$G,0)),INDEX(Торг!$E:$E,MATCH($B10,Торг!$I:$I,0)))</f>
        <v>Электронная комбинация приборов "Ferrum Group" GF 851L 3.2" для Лада (Гранта, Гранта FL, Калина 2), Датсун (mi-DO, on-DO)</v>
      </c>
      <c r="K10" s="37" t="str">
        <f>IFERROR(INDEX(Кат!$C:$C,MATCH($B10,Кат!$G:$G,0)),INDEX(Торг!$D:$D,MATCH($B10,Торг!$I:$I,0)))</f>
        <v>https://ferrum.group/products/134</v>
      </c>
    </row>
    <row r="11" spans="1:11">
      <c r="A11" s="171" t="s">
        <v>294</v>
      </c>
      <c r="B11" s="167" t="s">
        <v>104</v>
      </c>
      <c r="C11" s="168">
        <f t="shared" si="0"/>
        <v>41375</v>
      </c>
      <c r="D11" s="169">
        <f t="shared" si="1"/>
        <v>39375</v>
      </c>
      <c r="E11" s="169">
        <v>42375</v>
      </c>
      <c r="F11" s="167"/>
      <c r="G11" s="53"/>
      <c r="H11" s="53"/>
      <c r="I11" s="37">
        <f>IFERROR(INDEX(Кат!$A:$A,MATCH($B11,Кат!$G:$G,0)),INDEX(Торг!$B:$B,MATCH($B11,Торг!$I:$I,0)))</f>
        <v>226926</v>
      </c>
      <c r="J11" s="37" t="str">
        <f>IFERROR(INDEX(Кат!$D:$D,MATCH($B11,Кат!$G:$G,0)),INDEX(Торг!$E:$E,MATCH($B11,Торг!$I:$I,0)))</f>
        <v>Электронная комбинация приборов "Ferrum Group" GF 651 для Лада Гранта (до 2015 г. в.)</v>
      </c>
      <c r="K11" s="37" t="str">
        <f>IFERROR(INDEX(Кат!$C:$C,MATCH($B11,Кат!$G:$G,0)),INDEX(Торг!$D:$D,MATCH($B11,Торг!$I:$I,0)))</f>
        <v>https://ferrum.group/products/100</v>
      </c>
    </row>
    <row r="12" spans="1:11">
      <c r="A12" s="171" t="s">
        <v>294</v>
      </c>
      <c r="B12" s="167" t="s">
        <v>295</v>
      </c>
      <c r="C12" s="168">
        <f t="shared" si="0"/>
        <v>62100</v>
      </c>
      <c r="D12" s="169">
        <f t="shared" si="1"/>
        <v>60100</v>
      </c>
      <c r="E12" s="169">
        <v>63100</v>
      </c>
      <c r="F12" s="167"/>
      <c r="G12" s="53"/>
      <c r="H12" s="53"/>
      <c r="I12" s="37">
        <f>IFERROR(INDEX(Кат!$A:$A,MATCH($B12,Кат!$G:$G,0)),INDEX(Торг!$B:$B,MATCH($B12,Торг!$I:$I,0)))</f>
        <v>226927</v>
      </c>
      <c r="J12" s="37" t="str">
        <f>IFERROR(INDEX(Кат!$D:$D,MATCH($B12,Кат!$G:$G,0)),INDEX(Торг!$E:$E,MATCH($B12,Торг!$I:$I,0)))</f>
        <v>Электронная комбинация приборов "Ferrum Group" GF 651S для Лада (Гранта, Гранта FL, Калина 2), Датсун (mi-DO, on-DO)</v>
      </c>
      <c r="K12" s="37" t="str">
        <f>IFERROR(INDEX(Кат!$C:$C,MATCH($B12,Кат!$G:$G,0)),INDEX(Торг!$D:$D,MATCH($B12,Торг!$I:$I,0)))</f>
        <v>https://ferrum.group/products/118</v>
      </c>
    </row>
    <row r="13" spans="1:11">
      <c r="A13" s="170" t="s">
        <v>296</v>
      </c>
      <c r="B13" s="172" t="s">
        <v>350</v>
      </c>
      <c r="C13" s="168">
        <f t="shared" si="0"/>
        <v>56834</v>
      </c>
      <c r="D13" s="169">
        <f t="shared" si="1"/>
        <v>54834</v>
      </c>
      <c r="E13" s="169">
        <v>57834</v>
      </c>
      <c r="F13" s="167"/>
      <c r="G13" s="53"/>
      <c r="H13" s="53"/>
      <c r="I13" s="37">
        <f>IFERROR(INDEX(Кат!$A:$A,MATCH($B13,Кат!$G:$G,0)),INDEX(Торг!$B:$B,MATCH($B13,Торг!$I:$I,0)))</f>
        <v>364030</v>
      </c>
      <c r="J13" s="37" t="str">
        <f>IFERROR(INDEX(Кат!$D:$D,MATCH($B13,Кат!$G:$G,0)),INDEX(Торг!$E:$E,MATCH($B13,Торг!$I:$I,0)))</f>
        <v>Электронная комбинация приборов "Ferrum Group" GF 819 Black для ВАЗ 2110-2112 (европанель), Лада (Калина, Приора) (Чёрный)</v>
      </c>
      <c r="K13" s="37" t="str">
        <f>IFERROR(INDEX(Кат!$C:$C,MATCH($B13,Кат!$G:$G,0)),INDEX(Торг!$D:$D,MATCH($B13,Торг!$I:$I,0)))</f>
        <v>https://ferrum.group/products/78</v>
      </c>
    </row>
    <row r="14" spans="1:11">
      <c r="A14" s="173" t="s">
        <v>351</v>
      </c>
      <c r="B14" s="172" t="s">
        <v>102</v>
      </c>
      <c r="C14" s="168">
        <f t="shared" si="0"/>
        <v>67830</v>
      </c>
      <c r="D14" s="169">
        <f t="shared" si="1"/>
        <v>65830</v>
      </c>
      <c r="E14" s="169">
        <v>68830</v>
      </c>
      <c r="F14" s="167"/>
      <c r="G14" s="53"/>
      <c r="H14" s="53"/>
      <c r="I14" s="37">
        <f>IFERROR(INDEX(Кат!$A:$A,MATCH($B14,Кат!$G:$G,0)),INDEX(Торг!$B:$B,MATCH($B14,Торг!$I:$I,0)))</f>
        <v>226932</v>
      </c>
      <c r="J14" s="37" t="str">
        <f>IFERROR(INDEX(Кат!$D:$D,MATCH($B14,Кат!$G:$G,0)),INDEX(Торг!$E:$E,MATCH($B14,Торг!$I:$I,0)))</f>
        <v>Электронная комбинация приборов "Ferrum Group" GF 821 для ВАЗ 2110-2112 (европанель), Лада (Калина, Приора)</v>
      </c>
      <c r="K14" s="37" t="str">
        <f>IFERROR(INDEX(Кат!$C:$C,MATCH($B14,Кат!$G:$G,0)),INDEX(Торг!$D:$D,MATCH($B14,Торг!$I:$I,0)))</f>
        <v>https://ferrum.group/products/86</v>
      </c>
    </row>
    <row r="15" spans="1:11">
      <c r="A15" s="173" t="s">
        <v>352</v>
      </c>
      <c r="B15" s="172" t="s">
        <v>269</v>
      </c>
      <c r="C15" s="168">
        <f t="shared" si="0"/>
        <v>72834</v>
      </c>
      <c r="D15" s="169">
        <f t="shared" si="1"/>
        <v>70834</v>
      </c>
      <c r="E15" s="169">
        <v>73834</v>
      </c>
      <c r="F15" s="167"/>
      <c r="G15" s="53"/>
      <c r="H15" s="53"/>
      <c r="I15" s="37">
        <f>IFERROR(INDEX(Кат!$A:$A,MATCH($B15,Кат!$G:$G,0)),INDEX(Торг!$B:$B,MATCH($B15,Торг!$I:$I,0)))</f>
        <v>226933</v>
      </c>
      <c r="J15" s="37" t="str">
        <f>IFERROR(INDEX(Кат!$D:$D,MATCH($B15,Кат!$G:$G,0)),INDEX(Торг!$E:$E,MATCH($B15,Торг!$I:$I,0)))</f>
        <v>Электронная комбинация приборов "Ferrum Group" GF 822 для ВАЗ 2110-2112 (европанель), Лада (Калина, Приора)</v>
      </c>
      <c r="K15" s="37" t="str">
        <f>IFERROR(INDEX(Кат!$C:$C,MATCH($B15,Кат!$G:$G,0)),INDEX(Торг!$D:$D,MATCH($B15,Торг!$I:$I,0)))</f>
        <v>https://ferrum.group/products/89</v>
      </c>
    </row>
    <row r="16" spans="1:11" ht="25.5">
      <c r="A16" s="173" t="s">
        <v>353</v>
      </c>
      <c r="B16" s="172" t="s">
        <v>297</v>
      </c>
      <c r="C16" s="168">
        <f t="shared" si="0"/>
        <v>75863</v>
      </c>
      <c r="D16" s="169">
        <f t="shared" si="1"/>
        <v>73863</v>
      </c>
      <c r="E16" s="169">
        <v>76863</v>
      </c>
      <c r="F16" s="167" t="s">
        <v>354</v>
      </c>
      <c r="G16" s="53"/>
      <c r="H16" s="53"/>
      <c r="I16" s="37">
        <f>IFERROR(INDEX(Кат!$A:$A,MATCH($B16,Кат!$G:$G,0)),INDEX(Торг!$B:$B,MATCH($B16,Торг!$I:$I,0)))</f>
        <v>226934</v>
      </c>
      <c r="J16" s="37" t="str">
        <f>IFERROR(INDEX(Кат!$D:$D,MATCH($B16,Кат!$G:$G,0)),INDEX(Торг!$E:$E,MATCH($B16,Торг!$I:$I,0)))</f>
        <v>Электронная комбинация приборов "Ferrum Group" GF 822S для ВАЗ 2110-2112 (европанель), Лада (Калина, Приора)</v>
      </c>
      <c r="K16" s="37" t="str">
        <f>IFERROR(INDEX(Кат!$C:$C,MATCH($B16,Кат!$G:$G,0)),INDEX(Торг!$D:$D,MATCH($B16,Торг!$I:$I,0)))</f>
        <v>https://ferrum.group/products/99</v>
      </c>
    </row>
    <row r="17" spans="1:11">
      <c r="A17" s="173" t="s">
        <v>298</v>
      </c>
      <c r="B17" s="172" t="s">
        <v>106</v>
      </c>
      <c r="C17" s="168">
        <f t="shared" si="0"/>
        <v>75113</v>
      </c>
      <c r="D17" s="169">
        <f t="shared" si="1"/>
        <v>73113</v>
      </c>
      <c r="E17" s="169">
        <v>76113</v>
      </c>
      <c r="F17" s="167"/>
      <c r="G17" s="53"/>
      <c r="H17" s="53"/>
      <c r="I17" s="37">
        <f>IFERROR(INDEX(Кат!$A:$A,MATCH($B17,Кат!$G:$G,0)),INDEX(Торг!$B:$B,MATCH($B17,Торг!$I:$I,0)))</f>
        <v>226935</v>
      </c>
      <c r="J17" s="37" t="str">
        <f>IFERROR(INDEX(Кат!$D:$D,MATCH($B17,Кат!$G:$G,0)),INDEX(Торг!$E:$E,MATCH($B17,Торг!$I:$I,0)))</f>
        <v>Электронная комбинация приборов "Ferrum Group" GF 823 для Лада Приора 2</v>
      </c>
      <c r="K17" s="37" t="str">
        <f>IFERROR(INDEX(Кат!$C:$C,MATCH($B17,Кат!$G:$G,0)),INDEX(Торг!$D:$D,MATCH($B17,Торг!$I:$I,0)))</f>
        <v>https://ferrum.group/products/133</v>
      </c>
    </row>
    <row r="18" spans="1:11" ht="25.5">
      <c r="A18" s="170" t="s">
        <v>355</v>
      </c>
      <c r="B18" s="172" t="s">
        <v>101</v>
      </c>
      <c r="C18" s="168">
        <f t="shared" si="0"/>
        <v>48750</v>
      </c>
      <c r="D18" s="169">
        <f t="shared" si="1"/>
        <v>46750</v>
      </c>
      <c r="E18" s="169">
        <v>49750</v>
      </c>
      <c r="F18" s="167"/>
      <c r="G18" s="53"/>
      <c r="H18" s="53"/>
      <c r="I18" s="37">
        <f>IFERROR(INDEX(Кат!$A:$A,MATCH($B18,Кат!$G:$G,0)),INDEX(Торг!$B:$B,MATCH($B18,Торг!$I:$I,0)))</f>
        <v>226925</v>
      </c>
      <c r="J18" s="37" t="str">
        <f>IFERROR(INDEX(Кат!$D:$D,MATCH($B18,Кат!$G:$G,0)),INDEX(Торг!$E:$E,MATCH($B18,Торг!$I:$I,0)))</f>
        <v>Электронная комбинация приборов "Ferrum Group" GF 619 для ВАЗ 2110-2112 (европанель), Лада (Калина, Приора)</v>
      </c>
      <c r="K18" s="37" t="str">
        <f>IFERROR(INDEX(Кат!$C:$C,MATCH($B18,Кат!$G:$G,0)),INDEX(Торг!$D:$D,MATCH($B18,Торг!$I:$I,0)))</f>
        <v>https://ferrum.group/products/57</v>
      </c>
    </row>
    <row r="19" spans="1:11">
      <c r="A19" s="174" t="s">
        <v>356</v>
      </c>
      <c r="B19" s="167" t="s">
        <v>357</v>
      </c>
      <c r="C19" s="168">
        <f t="shared" si="0"/>
        <v>52609</v>
      </c>
      <c r="D19" s="169">
        <f t="shared" si="1"/>
        <v>50609</v>
      </c>
      <c r="E19" s="169">
        <v>53609</v>
      </c>
      <c r="F19" s="167"/>
      <c r="G19" s="53"/>
      <c r="H19" s="53"/>
      <c r="I19" s="37">
        <f>IFERROR(INDEX(Кат!$A:$A,MATCH($B19,Кат!$G:$G,0)),INDEX(Торг!$B:$B,MATCH($B19,Торг!$I:$I,0)))</f>
        <v>226996</v>
      </c>
      <c r="J19" s="37" t="str">
        <f>IFERROR(INDEX(Кат!$D:$D,MATCH($B19,Кат!$G:$G,0)),INDEX(Торг!$E:$E,MATCH($B19,Торг!$I:$I,0)))</f>
        <v>Электронная комбинация приборов "Ferrum Group" GF 818 для ВАЗ 2110-12 (европанель), Лада (Калина, Приора)</v>
      </c>
      <c r="K19" s="37" t="str">
        <f>IFERROR(INDEX(Кат!$C:$C,MATCH($B19,Кат!$G:$G,0)),INDEX(Торг!$D:$D,MATCH($B19,Торг!$I:$I,0)))</f>
        <v>https://ferrum.group/products/77</v>
      </c>
    </row>
    <row r="20" spans="1:11">
      <c r="A20" s="170" t="s">
        <v>299</v>
      </c>
      <c r="B20" s="172" t="s">
        <v>103</v>
      </c>
      <c r="C20" s="168">
        <f t="shared" si="0"/>
        <v>57060</v>
      </c>
      <c r="D20" s="169">
        <f t="shared" si="1"/>
        <v>55060</v>
      </c>
      <c r="E20" s="169">
        <v>58060</v>
      </c>
      <c r="F20" s="167"/>
      <c r="G20" s="53"/>
      <c r="H20" s="53"/>
      <c r="I20" s="37">
        <f>IFERROR(INDEX(Кат!$A:$A,MATCH($B20,Кат!$G:$G,0)),INDEX(Торг!$B:$B,MATCH($B20,Торг!$I:$I,0)))</f>
        <v>226922</v>
      </c>
      <c r="J20" s="37" t="str">
        <f>IFERROR(INDEX(Кат!$D:$D,MATCH($B20,Кат!$G:$G,0)),INDEX(Торг!$E:$E,MATCH($B20,Торг!$I:$I,0)))</f>
        <v>Электронная комбинация приборов "Ferrum Group" GF 616 для ВАЗ 2110-2112, 2113-2115</v>
      </c>
      <c r="K20" s="37" t="str">
        <f>IFERROR(INDEX(Кат!$C:$C,MATCH($B20,Кат!$G:$G,0)),INDEX(Торг!$D:$D,MATCH($B20,Торг!$I:$I,0)))</f>
        <v>https://ferrum.group/products/66</v>
      </c>
    </row>
    <row r="21" spans="1:11" ht="25.5">
      <c r="A21" s="170" t="s">
        <v>300</v>
      </c>
      <c r="B21" s="172" t="s">
        <v>205</v>
      </c>
      <c r="C21" s="168">
        <f t="shared" si="0"/>
        <v>66413</v>
      </c>
      <c r="D21" s="169">
        <f t="shared" si="1"/>
        <v>64413</v>
      </c>
      <c r="E21" s="169">
        <v>67413</v>
      </c>
      <c r="F21" s="167"/>
      <c r="G21" s="53"/>
      <c r="H21" s="53"/>
      <c r="I21" s="37">
        <f>IFERROR(INDEX(Кат!$A:$A,MATCH($B21,Кат!$G:$G,0)),INDEX(Торг!$B:$B,MATCH($B21,Торг!$I:$I,0)))</f>
        <v>226936</v>
      </c>
      <c r="J21" s="37" t="str">
        <f>IFERROR(INDEX(Кат!$D:$D,MATCH($B21,Кат!$G:$G,0)),INDEX(Торг!$E:$E,MATCH($B21,Торг!$I:$I,0)))</f>
        <v>Электронная комбинация приборов "Ferrum Group" GF 825S для ВАЗ 2110-2112, 2113-2115</v>
      </c>
      <c r="K21" s="37" t="str">
        <f>IFERROR(INDEX(Кат!$C:$C,MATCH($B21,Кат!$G:$G,0)),INDEX(Торг!$D:$D,MATCH($B21,Торг!$I:$I,0)))</f>
        <v>https://ferrum.group/products/125</v>
      </c>
    </row>
    <row r="22" spans="1:11" ht="25.5">
      <c r="A22" s="170" t="s">
        <v>300</v>
      </c>
      <c r="B22" s="172" t="s">
        <v>886</v>
      </c>
      <c r="C22" s="168">
        <f t="shared" si="0"/>
        <v>76700</v>
      </c>
      <c r="D22" s="169">
        <f t="shared" si="1"/>
        <v>74700</v>
      </c>
      <c r="E22" s="169">
        <v>77700</v>
      </c>
      <c r="F22" s="167" t="s">
        <v>887</v>
      </c>
      <c r="G22" s="53"/>
      <c r="H22" s="53"/>
      <c r="I22" s="37">
        <f>IFERROR(INDEX(Кат!$A:$A,MATCH($B22,Кат!$G:$G,0)),INDEX(Торг!$B:$B,MATCH($B22,Торг!$I:$I,0)))</f>
        <v>364045</v>
      </c>
      <c r="J22" s="37" t="str">
        <f>IFERROR(INDEX(Кат!$D:$D,MATCH($B22,Кат!$G:$G,0)),INDEX(Торг!$E:$E,MATCH($B22,Торг!$I:$I,0)))</f>
        <v>Электронная комбинация приборов "Ferrum Group" GF 826 для ВАЗ 2110-2112, 2113-2115 (Индикация оранжевая, Кольца хром)</v>
      </c>
      <c r="K22" s="37" t="str">
        <f>IFERROR(INDEX(Кат!$C:$C,MATCH($B22,Кат!$G:$G,0)),INDEX(Торг!$D:$D,MATCH($B22,Торг!$I:$I,0)))</f>
        <v>https://ferrum.group/products/245</v>
      </c>
    </row>
    <row r="23" spans="1:11">
      <c r="A23" s="170" t="s">
        <v>301</v>
      </c>
      <c r="B23" s="172" t="s">
        <v>103</v>
      </c>
      <c r="C23" s="168">
        <f t="shared" si="0"/>
        <v>57060</v>
      </c>
      <c r="D23" s="169">
        <f t="shared" si="1"/>
        <v>55060</v>
      </c>
      <c r="E23" s="169">
        <v>58060</v>
      </c>
      <c r="F23" s="167"/>
      <c r="G23" s="53"/>
      <c r="H23" s="53"/>
      <c r="I23" s="37">
        <f>IFERROR(INDEX(Кат!$A:$A,MATCH($B23,Кат!$G:$G,0)),INDEX(Торг!$B:$B,MATCH($B23,Торг!$I:$I,0)))</f>
        <v>226922</v>
      </c>
      <c r="J23" s="37" t="str">
        <f>IFERROR(INDEX(Кат!$D:$D,MATCH($B23,Кат!$G:$G,0)),INDEX(Торг!$E:$E,MATCH($B23,Торг!$I:$I,0)))</f>
        <v>Электронная комбинация приборов "Ferrum Group" GF 616 для ВАЗ 2110-2112, 2113-2115</v>
      </c>
      <c r="K23" s="37" t="str">
        <f>IFERROR(INDEX(Кат!$C:$C,MATCH($B23,Кат!$G:$G,0)),INDEX(Торг!$D:$D,MATCH($B23,Торг!$I:$I,0)))</f>
        <v>https://ferrum.group/products/66</v>
      </c>
    </row>
    <row r="24" spans="1:11">
      <c r="A24" s="170" t="s">
        <v>302</v>
      </c>
      <c r="B24" s="172" t="s">
        <v>205</v>
      </c>
      <c r="C24" s="168">
        <f t="shared" si="0"/>
        <v>66413</v>
      </c>
      <c r="D24" s="169">
        <f t="shared" si="1"/>
        <v>64413</v>
      </c>
      <c r="E24" s="169">
        <v>67413</v>
      </c>
      <c r="F24" s="167"/>
      <c r="G24" s="53"/>
      <c r="H24" s="53"/>
      <c r="I24" s="37">
        <f>IFERROR(INDEX(Кат!$A:$A,MATCH($B24,Кат!$G:$G,0)),INDEX(Торг!$B:$B,MATCH($B24,Торг!$I:$I,0)))</f>
        <v>226936</v>
      </c>
      <c r="J24" s="37" t="str">
        <f>IFERROR(INDEX(Кат!$D:$D,MATCH($B24,Кат!$G:$G,0)),INDEX(Торг!$E:$E,MATCH($B24,Торг!$I:$I,0)))</f>
        <v>Электронная комбинация приборов "Ferrum Group" GF 825S для ВАЗ 2110-2112, 2113-2115</v>
      </c>
      <c r="K24" s="37" t="str">
        <f>IFERROR(INDEX(Кат!$C:$C,MATCH($B24,Кат!$G:$G,0)),INDEX(Торг!$D:$D,MATCH($B24,Торг!$I:$I,0)))</f>
        <v>https://ferrum.group/products/125</v>
      </c>
    </row>
    <row r="25" spans="1:11" ht="25.5">
      <c r="A25" s="170" t="s">
        <v>302</v>
      </c>
      <c r="B25" s="172" t="s">
        <v>886</v>
      </c>
      <c r="C25" s="168">
        <f t="shared" si="0"/>
        <v>76700</v>
      </c>
      <c r="D25" s="169">
        <f t="shared" si="1"/>
        <v>74700</v>
      </c>
      <c r="E25" s="169">
        <v>77700</v>
      </c>
      <c r="F25" s="167" t="s">
        <v>887</v>
      </c>
      <c r="G25" s="53"/>
      <c r="H25" s="53"/>
      <c r="I25" s="37">
        <f>IFERROR(INDEX(Кат!$A:$A,MATCH($B25,Кат!$G:$G,0)),INDEX(Торг!$B:$B,MATCH($B25,Торг!$I:$I,0)))</f>
        <v>364045</v>
      </c>
      <c r="J25" s="37" t="str">
        <f>IFERROR(INDEX(Кат!$D:$D,MATCH($B25,Кат!$G:$G,0)),INDEX(Торг!$E:$E,MATCH($B25,Торг!$I:$I,0)))</f>
        <v>Электронная комбинация приборов "Ferrum Group" GF 826 для ВАЗ 2110-2112, 2113-2115 (Индикация оранжевая, Кольца хром)</v>
      </c>
      <c r="K25" s="37" t="str">
        <f>IFERROR(INDEX(Кат!$C:$C,MATCH($B25,Кат!$G:$G,0)),INDEX(Торг!$D:$D,MATCH($B25,Торг!$I:$I,0)))</f>
        <v>https://ferrum.group/products/245</v>
      </c>
    </row>
    <row r="26" spans="1:11">
      <c r="A26" s="170" t="s">
        <v>888</v>
      </c>
      <c r="B26" s="172" t="s">
        <v>99</v>
      </c>
      <c r="C26" s="168">
        <f t="shared" si="0"/>
        <v>77800</v>
      </c>
      <c r="D26" s="169">
        <f t="shared" si="1"/>
        <v>75800</v>
      </c>
      <c r="E26" s="169">
        <v>78800</v>
      </c>
      <c r="F26" s="167"/>
      <c r="G26" s="53"/>
      <c r="H26" s="53"/>
      <c r="I26" s="37">
        <f>IFERROR(INDEX(Кат!$A:$A,MATCH($B26,Кат!$G:$G,0)),INDEX(Торг!$B:$B,MATCH($B26,Торг!$I:$I,0)))</f>
        <v>226997</v>
      </c>
      <c r="J26" s="37" t="str">
        <f>IFERROR(INDEX(Кат!$D:$D,MATCH($B26,Кат!$G:$G,0)),INDEX(Торг!$E:$E,MATCH($B26,Торг!$I:$I,0)))</f>
        <v>Электронная комбинация приборов "Ferrum Group" GF 841 для Chevrolet Lacetti</v>
      </c>
      <c r="K26" s="37" t="str">
        <f>IFERROR(INDEX(Кат!$C:$C,MATCH($B26,Кат!$G:$G,0)),INDEX(Торг!$D:$D,MATCH($B26,Торг!$I:$I,0)))</f>
        <v>https://ferrum.group/products/116</v>
      </c>
    </row>
    <row r="27" spans="1:11">
      <c r="A27" s="170" t="s">
        <v>889</v>
      </c>
      <c r="B27" s="172" t="s">
        <v>99</v>
      </c>
      <c r="C27" s="168">
        <f t="shared" si="0"/>
        <v>77800</v>
      </c>
      <c r="D27" s="169">
        <f t="shared" si="1"/>
        <v>75800</v>
      </c>
      <c r="E27" s="169">
        <v>78800</v>
      </c>
      <c r="F27" s="167"/>
      <c r="G27" s="53"/>
      <c r="H27" s="53"/>
      <c r="I27" s="37">
        <f>IFERROR(INDEX(Кат!$A:$A,MATCH($B27,Кат!$G:$G,0)),INDEX(Торг!$B:$B,MATCH($B27,Торг!$I:$I,0)))</f>
        <v>226997</v>
      </c>
      <c r="J27" s="37" t="str">
        <f>IFERROR(INDEX(Кат!$D:$D,MATCH($B27,Кат!$G:$G,0)),INDEX(Торг!$E:$E,MATCH($B27,Торг!$I:$I,0)))</f>
        <v>Электронная комбинация приборов "Ferrum Group" GF 841 для Chevrolet Lacetti</v>
      </c>
      <c r="K27" s="37" t="str">
        <f>IFERROR(INDEX(Кат!$C:$C,MATCH($B27,Кат!$G:$G,0)),INDEX(Торг!$D:$D,MATCH($B27,Торг!$I:$I,0)))</f>
        <v>https://ferrum.group/products/116</v>
      </c>
    </row>
    <row r="28" spans="1:11">
      <c r="A28" s="170" t="s">
        <v>303</v>
      </c>
      <c r="B28" s="172" t="s">
        <v>890</v>
      </c>
      <c r="C28" s="168">
        <f t="shared" si="0"/>
        <v>77186</v>
      </c>
      <c r="D28" s="169">
        <f t="shared" si="1"/>
        <v>75186</v>
      </c>
      <c r="E28" s="169">
        <v>78186</v>
      </c>
      <c r="F28" s="167"/>
      <c r="G28" s="53"/>
      <c r="H28" s="53"/>
      <c r="I28" s="37">
        <f>IFERROR(INDEX(Кат!$A:$A,MATCH($B28,Кат!$G:$G,0)),INDEX(Торг!$B:$B,MATCH($B28,Торг!$I:$I,0)))</f>
        <v>382139</v>
      </c>
      <c r="J28" s="37" t="str">
        <f>IFERROR(INDEX(Кат!$D:$D,MATCH($B28,Кат!$G:$G,0)),INDEX(Торг!$E:$E,MATCH($B28,Торг!$I:$I,0)))</f>
        <v>Электронная комбинация приборов "Ferrum Group" GF 890 для Лада Ларгус, Nissan (Almera, Terrano III), Renault (Duster (PH1), Duster Diesel (PH1), Logan I, Sandero I, Sandero Stepway I) (Кольца Hot Fire)</v>
      </c>
      <c r="K28" s="37" t="str">
        <f>IFERROR(INDEX(Кат!$C:$C,MATCH($B28,Кат!$G:$G,0)),INDEX(Торг!$D:$D,MATCH($B28,Торг!$I:$I,0)))</f>
        <v>https://ferrum.group/products/110</v>
      </c>
    </row>
    <row r="29" spans="1:11" ht="38.25">
      <c r="A29" s="170" t="s">
        <v>304</v>
      </c>
      <c r="B29" s="167" t="s">
        <v>891</v>
      </c>
      <c r="C29" s="168">
        <f t="shared" si="0"/>
        <v>77899</v>
      </c>
      <c r="D29" s="169">
        <f t="shared" si="1"/>
        <v>75899</v>
      </c>
      <c r="E29" s="169">
        <v>78899</v>
      </c>
      <c r="F29" s="167"/>
      <c r="G29" s="53"/>
      <c r="H29" s="53"/>
      <c r="I29" s="37">
        <f>IFERROR(INDEX(Кат!$A:$A,MATCH($B29,Кат!$G:$G,0)),INDEX(Торг!$B:$B,MATCH($B29,Торг!$I:$I,0)))</f>
        <v>319796</v>
      </c>
      <c r="J29" s="37" t="str">
        <f>IFERROR(INDEX(Кат!$D:$D,MATCH($B29,Кат!$G:$G,0)),INDEX(Торг!$E:$E,MATCH($B29,Торг!$I:$I,0)))</f>
        <v>Электронная комбинация приборов "Ferrum Group" GF 890 PH2 (серебро) для Лада Ларгус FL, Nissan Terrano IV, Renault (Dokker, Duster (PH2), Duster Diesel (PH2), Logan II, Sandero II) (Без АБС, Оранжевая)</v>
      </c>
      <c r="K29" s="37" t="str">
        <f>IFERROR(INDEX(Кат!$C:$C,MATCH($B29,Кат!$G:$G,0)),INDEX(Торг!$D:$D,MATCH($B29,Торг!$I:$I,0)))</f>
        <v>https://ferrum.group/products/307</v>
      </c>
    </row>
    <row r="30" spans="1:11">
      <c r="A30" s="170" t="s">
        <v>305</v>
      </c>
      <c r="B30" s="167" t="s">
        <v>306</v>
      </c>
      <c r="C30" s="168">
        <f t="shared" si="0"/>
        <v>77200</v>
      </c>
      <c r="D30" s="169">
        <f t="shared" si="1"/>
        <v>75200</v>
      </c>
      <c r="E30" s="169">
        <v>78200</v>
      </c>
      <c r="F30" s="167" t="s">
        <v>358</v>
      </c>
      <c r="G30" s="53"/>
      <c r="H30" s="53"/>
      <c r="I30" s="37" t="e">
        <f>IFERROR(INDEX(Кат!$A:$A,MATCH($B30,Кат!$G:$G,0)),INDEX(Торг!$B:$B,MATCH($B30,Торг!$I:$I,0)))</f>
        <v>#N/A</v>
      </c>
      <c r="J30" s="37" t="e">
        <f>IFERROR(INDEX(Кат!$D:$D,MATCH($B30,Кат!$G:$G,0)),INDEX(Торг!$E:$E,MATCH($B30,Торг!$I:$I,0)))</f>
        <v>#N/A</v>
      </c>
      <c r="K30" s="37" t="e">
        <f>IFERROR(INDEX(Кат!$C:$C,MATCH($B30,Кат!$G:$G,0)),INDEX(Торг!$D:$D,MATCH($B30,Торг!$I:$I,0)))</f>
        <v>#N/A</v>
      </c>
    </row>
    <row r="31" spans="1:11">
      <c r="A31" s="170" t="s">
        <v>307</v>
      </c>
      <c r="B31" s="172" t="s">
        <v>610</v>
      </c>
      <c r="C31" s="168">
        <f t="shared" si="0"/>
        <v>80210</v>
      </c>
      <c r="D31" s="169">
        <f t="shared" si="1"/>
        <v>78210</v>
      </c>
      <c r="E31" s="169">
        <v>81210</v>
      </c>
      <c r="F31" s="167" t="s">
        <v>358</v>
      </c>
      <c r="G31" s="53"/>
      <c r="H31" s="53"/>
      <c r="I31" s="37">
        <f>IFERROR(INDEX(Кат!$A:$A,MATCH($B31,Кат!$G:$G,0)),INDEX(Торг!$B:$B,MATCH($B31,Торг!$I:$I,0)))</f>
        <v>320059</v>
      </c>
      <c r="J31" s="37" t="str">
        <f>IFERROR(INDEX(Кат!$D:$D,MATCH($B31,Кат!$G:$G,0)),INDEX(Торг!$E:$E,MATCH($B31,Торг!$I:$I,0)))</f>
        <v>Электронная комбинация приборов "Ferrum Group" GF 890 для Лада XRAY (Индикация оранжевая, Кольца титан)</v>
      </c>
      <c r="K31" s="37" t="str">
        <f>IFERROR(INDEX(Кат!$C:$C,MATCH($B31,Кат!$G:$G,0)),INDEX(Торг!$D:$D,MATCH($B31,Торг!$I:$I,0)))</f>
        <v>https://ferrum.group/products/137</v>
      </c>
    </row>
    <row r="32" spans="1:11">
      <c r="A32" s="170" t="s">
        <v>308</v>
      </c>
      <c r="B32" s="167" t="s">
        <v>359</v>
      </c>
      <c r="C32" s="168">
        <f t="shared" si="0"/>
        <v>79643</v>
      </c>
      <c r="D32" s="169">
        <f t="shared" si="1"/>
        <v>77643</v>
      </c>
      <c r="E32" s="169">
        <v>80643</v>
      </c>
      <c r="F32" s="167" t="s">
        <v>358</v>
      </c>
      <c r="G32" s="53"/>
      <c r="H32" s="53"/>
      <c r="I32" s="37">
        <f>IFERROR(INDEX(Кат!$A:$A,MATCH($B32,Кат!$G:$G,0)),INDEX(Торг!$B:$B,MATCH($B32,Торг!$I:$I,0)))</f>
        <v>320083</v>
      </c>
      <c r="J32" s="37" t="str">
        <f>IFERROR(INDEX(Кат!$D:$D,MATCH($B32,Кат!$G:$G,0)),INDEX(Торг!$E:$E,MATCH($B32,Торг!$I:$I,0)))</f>
        <v>Электронная комбинация приборов "Ferrum Group" GF 940 SPORT Edition для Лада Веста (Алькантара, Белые шкалы)</v>
      </c>
      <c r="K32" s="37" t="str">
        <f>IFERROR(INDEX(Кат!$C:$C,MATCH($B32,Кат!$G:$G,0)),INDEX(Торг!$D:$D,MATCH($B32,Торг!$I:$I,0)))</f>
        <v>https://ferrum.group/products/149</v>
      </c>
    </row>
    <row r="33" spans="1:11">
      <c r="A33" s="170" t="s">
        <v>308</v>
      </c>
      <c r="B33" s="167" t="s">
        <v>114</v>
      </c>
      <c r="C33" s="168">
        <f t="shared" si="0"/>
        <v>79737</v>
      </c>
      <c r="D33" s="169">
        <f t="shared" si="1"/>
        <v>77737</v>
      </c>
      <c r="E33" s="169">
        <v>80737</v>
      </c>
      <c r="F33" s="167" t="s">
        <v>358</v>
      </c>
      <c r="G33" s="53"/>
      <c r="H33" s="53"/>
      <c r="I33" s="37">
        <f>IFERROR(INDEX(Кат!$A:$A,MATCH($B33,Кат!$G:$G,0)),INDEX(Торг!$B:$B,MATCH($B33,Торг!$I:$I,0)))</f>
        <v>226960</v>
      </c>
      <c r="J33" s="37" t="str">
        <f>IFERROR(INDEX(Кат!$D:$D,MATCH($B33,Кат!$G:$G,0)),INDEX(Торг!$E:$E,MATCH($B33,Торг!$I:$I,0)))</f>
        <v>Электронная комбинация приборов "Ferrum Group" GF 940 Exclusive Edition для Лада Веста</v>
      </c>
      <c r="K33" s="37" t="str">
        <f>IFERROR(INDEX(Кат!$C:$C,MATCH($B33,Кат!$G:$G,0)),INDEX(Торг!$D:$D,MATCH($B33,Торг!$I:$I,0)))</f>
        <v>https://ferrum.group/products/161/</v>
      </c>
    </row>
    <row r="34" spans="1:11">
      <c r="A34" s="170" t="s">
        <v>308</v>
      </c>
      <c r="B34" s="167" t="s">
        <v>309</v>
      </c>
      <c r="C34" s="168">
        <f t="shared" si="0"/>
        <v>79665</v>
      </c>
      <c r="D34" s="169">
        <f t="shared" si="1"/>
        <v>77665</v>
      </c>
      <c r="E34" s="169">
        <v>80665</v>
      </c>
      <c r="F34" s="167" t="s">
        <v>358</v>
      </c>
      <c r="G34" s="53"/>
      <c r="H34" s="53"/>
      <c r="I34" s="37">
        <f>IFERROR(INDEX(Кат!$A:$A,MATCH($B34,Кат!$G:$G,0)),INDEX(Торг!$B:$B,MATCH($B34,Торг!$I:$I,0)))</f>
        <v>226959</v>
      </c>
      <c r="J34" s="37" t="str">
        <f>IFERROR(INDEX(Кат!$D:$D,MATCH($B34,Кат!$G:$G,0)),INDEX(Торг!$E:$E,MATCH($B34,Торг!$I:$I,0)))</f>
        <v>Электронная комбинация приборов "Ferrum Group" GF 940 Cross Serie для Лада Веста</v>
      </c>
      <c r="K34" s="37" t="str">
        <f>IFERROR(INDEX(Кат!$C:$C,MATCH($B34,Кат!$G:$G,0)),INDEX(Торг!$D:$D,MATCH($B34,Торг!$I:$I,0)))</f>
        <v>https://ferrum.group/products/164</v>
      </c>
    </row>
    <row r="35" spans="1:11">
      <c r="A35" s="170" t="s">
        <v>308</v>
      </c>
      <c r="B35" s="167" t="s">
        <v>393</v>
      </c>
      <c r="C35" s="168">
        <f t="shared" si="0"/>
        <v>85633</v>
      </c>
      <c r="D35" s="169">
        <f t="shared" si="1"/>
        <v>83633</v>
      </c>
      <c r="E35" s="169">
        <v>86633</v>
      </c>
      <c r="F35" s="167"/>
      <c r="G35" s="53"/>
      <c r="H35" s="53"/>
      <c r="I35" s="37">
        <f>IFERROR(INDEX(Кат!$A:$A,MATCH($B35,Кат!$G:$G,0)),INDEX(Торг!$B:$B,MATCH($B35,Торг!$I:$I,0)))</f>
        <v>226962</v>
      </c>
      <c r="J35" s="37" t="str">
        <f>IFERROR(INDEX(Кат!$D:$D,MATCH($B35,Кат!$G:$G,0)),INDEX(Торг!$E:$E,MATCH($B35,Торг!$I:$I,0)))</f>
        <v>Электронная комбинация приборов "Ferrum Group" GF 940 LIMITED Edition для Лада Веста</v>
      </c>
      <c r="K35" s="37" t="str">
        <f>IFERROR(INDEX(Кат!$C:$C,MATCH($B35,Кат!$G:$G,0)),INDEX(Торг!$D:$D,MATCH($B35,Торг!$I:$I,0)))</f>
        <v>https://ferrum.group/products/213</v>
      </c>
    </row>
    <row r="36" spans="1:11" ht="25.5">
      <c r="A36" s="170" t="s">
        <v>308</v>
      </c>
      <c r="B36" s="167" t="s">
        <v>360</v>
      </c>
      <c r="C36" s="168">
        <f t="shared" si="0"/>
        <v>78036</v>
      </c>
      <c r="D36" s="169">
        <f t="shared" si="1"/>
        <v>76036</v>
      </c>
      <c r="E36" s="169">
        <v>79036</v>
      </c>
      <c r="F36" s="167" t="s">
        <v>358</v>
      </c>
      <c r="G36" s="53"/>
      <c r="H36" s="53"/>
      <c r="I36" s="37">
        <f>IFERROR(INDEX(Кат!$A:$A,MATCH($B36,Кат!$G:$G,0)),INDEX(Торг!$B:$B,MATCH($B36,Торг!$I:$I,0)))</f>
        <v>320120</v>
      </c>
      <c r="J36" s="37" t="str">
        <f>IFERROR(INDEX(Кат!$D:$D,MATCH($B36,Кат!$G:$G,0)),INDEX(Торг!$E:$E,MATCH($B36,Торг!$I:$I,0)))</f>
        <v>Электронная комбинация приборов "Ferrum Group" GF 940 PREMIUM Edition для Лада Веста (Алькантара, Оранжевые шкалы)</v>
      </c>
      <c r="K36" s="37" t="str">
        <f>IFERROR(INDEX(Кат!$C:$C,MATCH($B36,Кат!$G:$G,0)),INDEX(Торг!$D:$D,MATCH($B36,Торг!$I:$I,0)))</f>
        <v>https://ferrum.group/products/148</v>
      </c>
    </row>
    <row r="37" spans="1:11">
      <c r="A37" s="170" t="s">
        <v>308</v>
      </c>
      <c r="B37" s="167" t="s">
        <v>611</v>
      </c>
      <c r="C37" s="168">
        <f>E37-1000</f>
        <v>75487</v>
      </c>
      <c r="D37" s="169">
        <f>E37-3000</f>
        <v>73487</v>
      </c>
      <c r="E37" s="169">
        <v>76487</v>
      </c>
      <c r="F37" s="167" t="s">
        <v>358</v>
      </c>
      <c r="G37" s="53"/>
      <c r="H37" s="53"/>
      <c r="I37" s="37">
        <f>IFERROR(INDEX(Кат!$A:$A,MATCH($B37,Кат!$G:$G,0)),INDEX(Торг!$B:$B,MATCH($B37,Торг!$I:$I,0)))</f>
        <v>364263</v>
      </c>
      <c r="J37" s="37" t="str">
        <f>IFERROR(INDEX(Кат!$D:$D,MATCH($B37,Кат!$G:$G,0)),INDEX(Торг!$E:$E,MATCH($B37,Торг!$I:$I,0)))</f>
        <v>Электронная комбинация приборов "Ferrum Group" GF 940 Black CLUB для Лада Веста</v>
      </c>
      <c r="K37" s="37" t="str">
        <f>IFERROR(INDEX(Кат!$C:$C,MATCH($B37,Кат!$G:$G,0)),INDEX(Торг!$D:$D,MATCH($B37,Торг!$I:$I,0)))</f>
        <v>https://ferrum.group/products/268</v>
      </c>
    </row>
    <row r="38" spans="1:11">
      <c r="A38" s="170" t="s">
        <v>308</v>
      </c>
      <c r="B38" s="167" t="s">
        <v>892</v>
      </c>
      <c r="C38" s="168">
        <f t="shared" si="0"/>
        <v>106111</v>
      </c>
      <c r="D38" s="169">
        <f t="shared" si="1"/>
        <v>104111</v>
      </c>
      <c r="E38" s="169">
        <v>107111</v>
      </c>
      <c r="F38" s="167"/>
      <c r="G38" s="53"/>
      <c r="H38" s="53"/>
      <c r="I38" s="37">
        <f>IFERROR(INDEX(Кат!$A:$A,MATCH($B38,Кат!$G:$G,0)),INDEX(Торг!$B:$B,MATCH($B38,Торг!$I:$I,0)))</f>
        <v>226965</v>
      </c>
      <c r="J38" s="37" t="str">
        <f>IFERROR(INDEX(Кат!$D:$D,MATCH($B38,Кат!$G:$G,0)),INDEX(Торг!$E:$E,MATCH($B38,Торг!$I:$I,0)))</f>
        <v>Электронная комбинация приборов "Ferrum Group" GF 940N Turbo LIMITED2 для Лада Веста</v>
      </c>
      <c r="K38" s="37" t="str">
        <f>IFERROR(INDEX(Кат!$C:$C,MATCH($B38,Кат!$G:$G,0)),INDEX(Торг!$D:$D,MATCH($B38,Торг!$I:$I,0)))</f>
        <v>https://ferrum.group/products/327</v>
      </c>
    </row>
    <row r="39" spans="1:11">
      <c r="A39" s="170" t="s">
        <v>308</v>
      </c>
      <c r="B39" s="167" t="s">
        <v>361</v>
      </c>
      <c r="C39" s="168">
        <f t="shared" si="0"/>
        <v>74972</v>
      </c>
      <c r="D39" s="169">
        <f t="shared" si="1"/>
        <v>72972</v>
      </c>
      <c r="E39" s="169">
        <v>75972</v>
      </c>
      <c r="F39" s="167" t="s">
        <v>358</v>
      </c>
      <c r="G39" s="53"/>
      <c r="H39" s="53"/>
      <c r="I39" s="37">
        <f>IFERROR(INDEX(Кат!$A:$A,MATCH($B39,Кат!$G:$G,0)),INDEX(Торг!$B:$B,MATCH($B39,Торг!$I:$I,0)))</f>
        <v>320076</v>
      </c>
      <c r="J39" s="37" t="str">
        <f>IFERROR(INDEX(Кат!$D:$D,MATCH($B39,Кат!$G:$G,0)),INDEX(Торг!$E:$E,MATCH($B39,Торг!$I:$I,0)))</f>
        <v>Электронная комбинация приборов "Ferrum Group" GF 940 Light Edition для Лада Веста (Алькантара, Белые стрелки)</v>
      </c>
      <c r="K39" s="37" t="str">
        <f>IFERROR(INDEX(Кат!$C:$C,MATCH($B39,Кат!$G:$G,0)),INDEX(Торг!$D:$D,MATCH($B39,Торг!$I:$I,0)))</f>
        <v>https://ferrum.group/products/147</v>
      </c>
    </row>
    <row r="40" spans="1:11">
      <c r="A40" s="170" t="s">
        <v>308</v>
      </c>
      <c r="B40" s="167" t="s">
        <v>362</v>
      </c>
      <c r="C40" s="168">
        <f t="shared" si="0"/>
        <v>93200</v>
      </c>
      <c r="D40" s="169">
        <f t="shared" si="1"/>
        <v>91200</v>
      </c>
      <c r="E40" s="169">
        <v>94200</v>
      </c>
      <c r="F40" s="167" t="s">
        <v>358</v>
      </c>
      <c r="G40" s="53"/>
      <c r="H40" s="53"/>
      <c r="I40" s="37">
        <f>IFERROR(INDEX(Кат!$A:$A,MATCH($B40,Кат!$G:$G,0)),INDEX(Торг!$B:$B,MATCH($B40,Торг!$I:$I,0)))</f>
        <v>226970</v>
      </c>
      <c r="J40" s="37" t="str">
        <f>IFERROR(INDEX(Кат!$D:$D,MATCH($B40,Кат!$G:$G,0)),INDEX(Торг!$E:$E,MATCH($B40,Торг!$I:$I,0)))</f>
        <v>Электронная комбинация приборов "Ferrum Group" GF 949N TURBO для Лада Веста</v>
      </c>
      <c r="K40" s="37" t="str">
        <f>IFERROR(INDEX(Кат!$C:$C,MATCH($B40,Кат!$G:$G,0)),INDEX(Торг!$D:$D,MATCH($B40,Торг!$I:$I,0)))</f>
        <v>https://ferrum.group/products/326</v>
      </c>
    </row>
    <row r="41" spans="1:11">
      <c r="A41" s="170" t="s">
        <v>308</v>
      </c>
      <c r="B41" s="167" t="s">
        <v>363</v>
      </c>
      <c r="C41" s="168">
        <f t="shared" si="0"/>
        <v>79665</v>
      </c>
      <c r="D41" s="169">
        <f t="shared" si="1"/>
        <v>77665</v>
      </c>
      <c r="E41" s="169">
        <v>80665</v>
      </c>
      <c r="F41" s="167" t="s">
        <v>358</v>
      </c>
      <c r="G41" s="53"/>
      <c r="H41" s="53"/>
      <c r="I41" s="37">
        <f>IFERROR(INDEX(Кат!$A:$A,MATCH($B41,Кат!$G:$G,0)),INDEX(Торг!$B:$B,MATCH($B41,Торг!$I:$I,0)))</f>
        <v>320100</v>
      </c>
      <c r="J41" s="37" t="str">
        <f>IFERROR(INDEX(Кат!$D:$D,MATCH($B41,Кат!$G:$G,0)),INDEX(Торг!$E:$E,MATCH($B41,Торг!$I:$I,0)))</f>
        <v>Электронная комбинация приборов "Ferrum Group" GF 949 CROSS Serie для Лада Веста (Алькантара)</v>
      </c>
      <c r="K41" s="37" t="str">
        <f>IFERROR(INDEX(Кат!$C:$C,MATCH($B41,Кат!$G:$G,0)),INDEX(Торг!$D:$D,MATCH($B41,Торг!$I:$I,0)))</f>
        <v>https://ferrum.group/products/241</v>
      </c>
    </row>
    <row r="42" spans="1:11">
      <c r="A42" s="170" t="s">
        <v>308</v>
      </c>
      <c r="B42" s="167" t="s">
        <v>201</v>
      </c>
      <c r="C42" s="168">
        <f t="shared" si="0"/>
        <v>79926</v>
      </c>
      <c r="D42" s="169">
        <f t="shared" si="1"/>
        <v>77926</v>
      </c>
      <c r="E42" s="169">
        <v>80926</v>
      </c>
      <c r="F42" s="167" t="s">
        <v>358</v>
      </c>
      <c r="G42" s="53"/>
      <c r="H42" s="53"/>
      <c r="I42" s="37">
        <f>IFERROR(INDEX(Кат!$A:$A,MATCH($B42,Кат!$G:$G,0)),INDEX(Торг!$B:$B,MATCH($B42,Торг!$I:$I,0)))</f>
        <v>320106</v>
      </c>
      <c r="J42" s="37" t="str">
        <f>IFERROR(INDEX(Кат!$D:$D,MATCH($B42,Кат!$G:$G,0)),INDEX(Торг!$E:$E,MATCH($B42,Торг!$I:$I,0)))</f>
        <v>Электронная комбинация приборов "Ferrum Group" GF 949 Exclusive для Лада Веста (Алькантара)</v>
      </c>
      <c r="K42" s="37" t="str">
        <f>IFERROR(INDEX(Кат!$C:$C,MATCH($B42,Кат!$G:$G,0)),INDEX(Торг!$D:$D,MATCH($B42,Торг!$I:$I,0)))</f>
        <v>https://ferrum.group/products/239</v>
      </c>
    </row>
    <row r="43" spans="1:11">
      <c r="A43" s="170" t="s">
        <v>308</v>
      </c>
      <c r="B43" s="167" t="s">
        <v>364</v>
      </c>
      <c r="C43" s="168">
        <f t="shared" si="0"/>
        <v>79359</v>
      </c>
      <c r="D43" s="169">
        <f t="shared" si="1"/>
        <v>77359</v>
      </c>
      <c r="E43" s="169">
        <v>80359</v>
      </c>
      <c r="F43" s="167" t="s">
        <v>358</v>
      </c>
      <c r="G43" s="53"/>
      <c r="H43" s="53"/>
      <c r="I43" s="37">
        <f>IFERROR(INDEX(Кат!$A:$A,MATCH($B43,Кат!$G:$G,0)),INDEX(Торг!$B:$B,MATCH($B43,Торг!$I:$I,0)))</f>
        <v>320114</v>
      </c>
      <c r="J43" s="37" t="str">
        <f>IFERROR(INDEX(Кат!$D:$D,MATCH($B43,Кат!$G:$G,0)),INDEX(Торг!$E:$E,MATCH($B43,Торг!$I:$I,0)))</f>
        <v>Электронная комбинация приборов "Ferrum Group" GF 949 GRAND Sport для Лада Веста (Алькантара)</v>
      </c>
      <c r="K43" s="37" t="str">
        <f>IFERROR(INDEX(Кат!$C:$C,MATCH($B43,Кат!$G:$G,0)),INDEX(Торг!$D:$D,MATCH($B43,Торг!$I:$I,0)))</f>
        <v>https://ferrum.group/products/242</v>
      </c>
    </row>
    <row r="44" spans="1:11">
      <c r="A44" s="170" t="s">
        <v>308</v>
      </c>
      <c r="B44" s="167" t="s">
        <v>365</v>
      </c>
      <c r="C44" s="168">
        <f t="shared" si="0"/>
        <v>77942</v>
      </c>
      <c r="D44" s="169">
        <f t="shared" si="1"/>
        <v>75942</v>
      </c>
      <c r="E44" s="169">
        <v>78942</v>
      </c>
      <c r="F44" s="167" t="s">
        <v>358</v>
      </c>
      <c r="G44" s="53"/>
      <c r="H44" s="53"/>
      <c r="I44" s="37">
        <f>IFERROR(INDEX(Кат!$A:$A,MATCH($B44,Кат!$G:$G,0)),INDEX(Торг!$B:$B,MATCH($B44,Торг!$I:$I,0)))</f>
        <v>320109</v>
      </c>
      <c r="J44" s="37" t="str">
        <f>IFERROR(INDEX(Кат!$D:$D,MATCH($B44,Кат!$G:$G,0)),INDEX(Торг!$E:$E,MATCH($B44,Торг!$I:$I,0)))</f>
        <v>Электронная комбинация приборов "Ferrum Group" GF 949 GRAND Premium для Лада Веста (Алькантара)</v>
      </c>
      <c r="K44" s="37" t="str">
        <f>IFERROR(INDEX(Кат!$C:$C,MATCH($B44,Кат!$G:$G,0)),INDEX(Торг!$D:$D,MATCH($B44,Торг!$I:$I,0)))</f>
        <v>https://ferrum.group/products/243</v>
      </c>
    </row>
    <row r="45" spans="1:11">
      <c r="A45" s="170" t="s">
        <v>308</v>
      </c>
      <c r="B45" s="167" t="s">
        <v>612</v>
      </c>
      <c r="C45" s="168">
        <f>E45-1000</f>
        <v>75676</v>
      </c>
      <c r="D45" s="169">
        <f>E45-3000</f>
        <v>73676</v>
      </c>
      <c r="E45" s="169">
        <v>76676</v>
      </c>
      <c r="F45" s="167" t="s">
        <v>358</v>
      </c>
      <c r="G45" s="53"/>
      <c r="H45" s="53"/>
      <c r="I45" s="37">
        <f>IFERROR(INDEX(Кат!$A:$A,MATCH($B45,Кат!$G:$G,0)),INDEX(Торг!$B:$B,MATCH($B45,Торг!$I:$I,0)))</f>
        <v>364090</v>
      </c>
      <c r="J45" s="37" t="str">
        <f>IFERROR(INDEX(Кат!$D:$D,MATCH($B45,Кат!$G:$G,0)),INDEX(Торг!$E:$E,MATCH($B45,Торг!$I:$I,0)))</f>
        <v>Электронная комбинация приборов "Ferrum Group" GF 949 Black CLUB для Лада Веста</v>
      </c>
      <c r="K45" s="37" t="str">
        <f>IFERROR(INDEX(Кат!$C:$C,MATCH($B45,Кат!$G:$G,0)),INDEX(Торг!$D:$D,MATCH($B45,Торг!$I:$I,0)))</f>
        <v>https://ferrum.group/products/266</v>
      </c>
    </row>
    <row r="46" spans="1:11">
      <c r="A46" s="170" t="s">
        <v>310</v>
      </c>
      <c r="B46" s="172" t="s">
        <v>103</v>
      </c>
      <c r="C46" s="168">
        <f t="shared" si="0"/>
        <v>57060</v>
      </c>
      <c r="D46" s="169">
        <f t="shared" si="1"/>
        <v>55060</v>
      </c>
      <c r="E46" s="169">
        <v>58060</v>
      </c>
      <c r="F46" s="167"/>
      <c r="G46" s="53"/>
      <c r="H46" s="53"/>
      <c r="I46" s="37">
        <f>IFERROR(INDEX(Кат!$A:$A,MATCH($B46,Кат!$G:$G,0)),INDEX(Торг!$B:$B,MATCH($B46,Торг!$I:$I,0)))</f>
        <v>226922</v>
      </c>
      <c r="J46" s="37" t="str">
        <f>IFERROR(INDEX(Кат!$D:$D,MATCH($B46,Кат!$G:$G,0)),INDEX(Торг!$E:$E,MATCH($B46,Торг!$I:$I,0)))</f>
        <v>Электронная комбинация приборов "Ferrum Group" GF 616 для ВАЗ 2110-2112, 2113-2115</v>
      </c>
      <c r="K46" s="37" t="str">
        <f>IFERROR(INDEX(Кат!$C:$C,MATCH($B46,Кат!$G:$G,0)),INDEX(Торг!$D:$D,MATCH($B46,Торг!$I:$I,0)))</f>
        <v>https://ferrum.group/products/66</v>
      </c>
    </row>
    <row r="47" spans="1:11">
      <c r="A47" s="170" t="s">
        <v>310</v>
      </c>
      <c r="B47" s="172" t="s">
        <v>205</v>
      </c>
      <c r="C47" s="168">
        <f t="shared" si="0"/>
        <v>66413</v>
      </c>
      <c r="D47" s="169">
        <f t="shared" si="1"/>
        <v>64413</v>
      </c>
      <c r="E47" s="169">
        <v>67413</v>
      </c>
      <c r="F47" s="167"/>
      <c r="G47" s="53"/>
      <c r="H47" s="53"/>
      <c r="I47" s="37">
        <f>IFERROR(INDEX(Кат!$A:$A,MATCH($B47,Кат!$G:$G,0)),INDEX(Торг!$B:$B,MATCH($B47,Торг!$I:$I,0)))</f>
        <v>226936</v>
      </c>
      <c r="J47" s="37" t="str">
        <f>IFERROR(INDEX(Кат!$D:$D,MATCH($B47,Кат!$G:$G,0)),INDEX(Торг!$E:$E,MATCH($B47,Торг!$I:$I,0)))</f>
        <v>Электронная комбинация приборов "Ferrum Group" GF 825S для ВАЗ 2110-2112, 2113-2115</v>
      </c>
      <c r="K47" s="37" t="str">
        <f>IFERROR(INDEX(Кат!$C:$C,MATCH($B47,Кат!$G:$G,0)),INDEX(Торг!$D:$D,MATCH($B47,Торг!$I:$I,0)))</f>
        <v>https://ferrum.group/products/125</v>
      </c>
    </row>
    <row r="48" spans="1:11" ht="25.5">
      <c r="A48" s="170" t="s">
        <v>310</v>
      </c>
      <c r="B48" s="172" t="s">
        <v>886</v>
      </c>
      <c r="C48" s="168">
        <f t="shared" si="0"/>
        <v>76700</v>
      </c>
      <c r="D48" s="169">
        <f t="shared" si="1"/>
        <v>74700</v>
      </c>
      <c r="E48" s="169">
        <v>77700</v>
      </c>
      <c r="F48" s="167" t="s">
        <v>887</v>
      </c>
      <c r="G48" s="53"/>
      <c r="H48" s="53"/>
      <c r="I48" s="37">
        <f>IFERROR(INDEX(Кат!$A:$A,MATCH($B48,Кат!$G:$G,0)),INDEX(Торг!$B:$B,MATCH($B48,Торг!$I:$I,0)))</f>
        <v>364045</v>
      </c>
      <c r="J48" s="37" t="str">
        <f>IFERROR(INDEX(Кат!$D:$D,MATCH($B48,Кат!$G:$G,0)),INDEX(Торг!$E:$E,MATCH($B48,Торг!$I:$I,0)))</f>
        <v>Электронная комбинация приборов "Ferrum Group" GF 826 для ВАЗ 2110-2112, 2113-2115 (Индикация оранжевая, Кольца хром)</v>
      </c>
      <c r="K48" s="37" t="str">
        <f>IFERROR(INDEX(Кат!$C:$C,MATCH($B48,Кат!$G:$G,0)),INDEX(Торг!$D:$D,MATCH($B48,Торг!$I:$I,0)))</f>
        <v>https://ferrum.group/products/245</v>
      </c>
    </row>
    <row r="49" spans="1:11" ht="25.5">
      <c r="A49" s="170" t="s">
        <v>310</v>
      </c>
      <c r="B49" s="172" t="s">
        <v>893</v>
      </c>
      <c r="C49" s="168">
        <f t="shared" si="0"/>
        <v>77701</v>
      </c>
      <c r="D49" s="169">
        <f t="shared" si="1"/>
        <v>75701</v>
      </c>
      <c r="E49" s="169">
        <v>78701</v>
      </c>
      <c r="F49" s="167" t="s">
        <v>887</v>
      </c>
      <c r="G49" s="53"/>
      <c r="H49" s="53"/>
      <c r="I49" s="37">
        <f>IFERROR(INDEX(Кат!$A:$A,MATCH($B49,Кат!$G:$G,0)),INDEX(Торг!$B:$B,MATCH($B49,Торг!$I:$I,0)))</f>
        <v>256868</v>
      </c>
      <c r="J49" s="37" t="str">
        <f>IFERROR(INDEX(Кат!$D:$D,MATCH($B49,Кат!$G:$G,0)),INDEX(Торг!$E:$E,MATCH($B49,Торг!$I:$I,0)))</f>
        <v>Электронная комбинация приборов "Ferrum Group" GF 826 N для Лада Нива Legend (с 2020 г. в.) (Серебро)</v>
      </c>
      <c r="K49" s="37" t="str">
        <f>IFERROR(INDEX(Кат!$C:$C,MATCH($B49,Кат!$G:$G,0)),INDEX(Торг!$D:$D,MATCH($B49,Торг!$I:$I,0)))</f>
        <v>https://ferrum.group/products/244</v>
      </c>
    </row>
    <row r="50" spans="1:11">
      <c r="A50" s="170" t="s">
        <v>310</v>
      </c>
      <c r="B50" s="172" t="s">
        <v>501</v>
      </c>
      <c r="C50" s="168">
        <f t="shared" si="0"/>
        <v>77701</v>
      </c>
      <c r="D50" s="169">
        <f t="shared" si="1"/>
        <v>75701</v>
      </c>
      <c r="E50" s="169">
        <v>78701</v>
      </c>
      <c r="F50" s="167"/>
      <c r="G50" s="53"/>
      <c r="H50" s="53"/>
      <c r="I50" s="37">
        <f>IFERROR(INDEX(Кат!$A:$A,MATCH($B50,Кат!$G:$G,0)),INDEX(Торг!$B:$B,MATCH($B50,Торг!$I:$I,0)))</f>
        <v>256867</v>
      </c>
      <c r="J50" s="37" t="str">
        <f>IFERROR(INDEX(Кат!$D:$D,MATCH($B50,Кат!$G:$G,0)),INDEX(Торг!$E:$E,MATCH($B50,Торг!$I:$I,0)))</f>
        <v>Электронная комбинация приборов "Ferrum Group" GF 826 N "Black CLUB" для Лада Нива 4х4, Нива Legend</v>
      </c>
      <c r="K50" s="37" t="str">
        <f>IFERROR(INDEX(Кат!$C:$C,MATCH($B50,Кат!$G:$G,0)),INDEX(Торг!$D:$D,MATCH($B50,Торг!$I:$I,0)))</f>
        <v>https://ferrum.group/products/272</v>
      </c>
    </row>
    <row r="51" spans="1:11">
      <c r="A51" s="170" t="s">
        <v>311</v>
      </c>
      <c r="B51" s="172" t="s">
        <v>105</v>
      </c>
      <c r="C51" s="168">
        <f t="shared" si="0"/>
        <v>62765</v>
      </c>
      <c r="D51" s="169">
        <f t="shared" si="1"/>
        <v>60765</v>
      </c>
      <c r="E51" s="169">
        <v>63765</v>
      </c>
      <c r="F51" s="167"/>
      <c r="G51" s="53"/>
      <c r="H51" s="53"/>
      <c r="I51" s="37">
        <f>IFERROR(INDEX(Кат!$A:$A,MATCH($B51,Кат!$G:$G,0)),INDEX(Торг!$B:$B,MATCH($B51,Торг!$I:$I,0)))</f>
        <v>226921</v>
      </c>
      <c r="J51" s="37" t="str">
        <f>IFERROR(INDEX(Кат!$D:$D,MATCH($B51,Кат!$G:$G,0)),INDEX(Торг!$E:$E,MATCH($B51,Торг!$I:$I,0)))</f>
        <v>Электронная комбинация приборов "Ferrum Group" GF 607 для ВАЗ 2107 (инжекторный двигатель)</v>
      </c>
      <c r="K51" s="37" t="str">
        <f>IFERROR(INDEX(Кат!$C:$C,MATCH($B51,Кат!$G:$G,0)),INDEX(Торг!$D:$D,MATCH($B51,Торг!$I:$I,0)))</f>
        <v>https://ferrum.group/products/53</v>
      </c>
    </row>
    <row r="52" spans="1:11" ht="15.75" customHeight="1">
      <c r="A52" s="229" t="s">
        <v>346</v>
      </c>
      <c r="B52" s="175" t="s">
        <v>366</v>
      </c>
      <c r="C52" s="163"/>
      <c r="D52" s="175" t="s">
        <v>348</v>
      </c>
      <c r="E52" s="175"/>
      <c r="F52" s="175"/>
      <c r="G52" s="175"/>
      <c r="H52" s="229"/>
    </row>
    <row r="53" spans="1:11" ht="31.5">
      <c r="A53" s="229"/>
      <c r="B53" s="175"/>
      <c r="C53" s="163"/>
      <c r="D53" s="65" t="s">
        <v>312</v>
      </c>
      <c r="E53" s="65" t="s">
        <v>270</v>
      </c>
      <c r="F53" s="163" t="s">
        <v>313</v>
      </c>
      <c r="G53" s="163" t="s">
        <v>314</v>
      </c>
      <c r="H53" s="229"/>
    </row>
    <row r="54" spans="1:11">
      <c r="A54" s="51" t="s">
        <v>315</v>
      </c>
      <c r="B54" s="52" t="s">
        <v>274</v>
      </c>
      <c r="C54" s="52"/>
      <c r="D54" s="64">
        <f t="shared" ref="D54:D59" si="2">E54-1000</f>
        <v>10800</v>
      </c>
      <c r="E54" s="64">
        <v>11800</v>
      </c>
      <c r="F54" s="49">
        <f t="shared" ref="F54:F59" si="3">D54-200</f>
        <v>10600</v>
      </c>
      <c r="G54" s="49">
        <f t="shared" ref="G54:G59" si="4">F54-200</f>
        <v>10400</v>
      </c>
      <c r="H54" s="58"/>
      <c r="I54" s="37">
        <f>IFERROR(INDEX(Кат!$A:$A,MATCH($B54,Кат!$G:$G,0)),INDEX(Торг!$B:$B,MATCH($B54,Торг!$I:$I,0)))</f>
        <v>138629</v>
      </c>
      <c r="J54" s="37" t="str">
        <f>IFERROR(INDEX(Кат!$D:$D,MATCH($B54,Кат!$G:$G,0)),INDEX(Торг!$E:$E,MATCH($B54,Торг!$I:$I,0)))</f>
        <v>Бортовой компьютер "Ferrum Group" GF 412 (с электронным блоком отопителя) для ВАЗ 2110-2112 (старая панель)</v>
      </c>
      <c r="K54" s="37" t="str">
        <f>IFERROR(INDEX(Кат!$C:$C,MATCH($B54,Кат!$G:$G,0)),INDEX(Торг!$D:$D,MATCH($B54,Торг!$I:$I,0)))</f>
        <v>https://ferrum.group/products/47</v>
      </c>
    </row>
    <row r="55" spans="1:11">
      <c r="A55" s="51" t="s">
        <v>316</v>
      </c>
      <c r="B55" s="52" t="s">
        <v>271</v>
      </c>
      <c r="C55" s="52"/>
      <c r="D55" s="64">
        <f t="shared" si="2"/>
        <v>6600</v>
      </c>
      <c r="E55" s="64">
        <v>7600</v>
      </c>
      <c r="F55" s="49">
        <f t="shared" si="3"/>
        <v>6400</v>
      </c>
      <c r="G55" s="49">
        <f t="shared" si="4"/>
        <v>6200</v>
      </c>
      <c r="H55" s="58"/>
      <c r="I55" s="37">
        <f>IFERROR(INDEX(Кат!$A:$A,MATCH($B55,Кат!$G:$G,0)),INDEX(Торг!$B:$B,MATCH($B55,Торг!$I:$I,0)))</f>
        <v>138623</v>
      </c>
      <c r="J55" s="37" t="str">
        <f>IFERROR(INDEX(Кат!$D:$D,MATCH($B55,Кат!$G:$G,0)),INDEX(Торг!$E:$E,MATCH($B55,Торг!$I:$I,0)))</f>
        <v>Бортовой компьютер "Ferrum Group" GF 215T для ВАЗ 2108-21099, 2113-2115</v>
      </c>
      <c r="K55" s="37" t="str">
        <f>IFERROR(INDEX(Кат!$C:$C,MATCH($B55,Кат!$G:$G,0)),INDEX(Торг!$D:$D,MATCH($B55,Торг!$I:$I,0)))</f>
        <v>https://ferrum.group/products/36</v>
      </c>
    </row>
    <row r="56" spans="1:11">
      <c r="A56" s="54" t="s">
        <v>317</v>
      </c>
      <c r="B56" s="52" t="s">
        <v>276</v>
      </c>
      <c r="C56" s="52"/>
      <c r="D56" s="64">
        <f t="shared" si="2"/>
        <v>8200</v>
      </c>
      <c r="E56" s="64">
        <v>9200</v>
      </c>
      <c r="F56" s="49">
        <f t="shared" si="3"/>
        <v>8000</v>
      </c>
      <c r="G56" s="49">
        <f t="shared" si="4"/>
        <v>7800</v>
      </c>
      <c r="H56" s="58"/>
      <c r="I56" s="37">
        <f>IFERROR(INDEX(Кат!$A:$A,MATCH($B56,Кат!$G:$G,0)),INDEX(Торг!$B:$B,MATCH($B56,Торг!$I:$I,0)))</f>
        <v>138625</v>
      </c>
      <c r="J56" s="37" t="str">
        <f>IFERROR(INDEX(Кат!$D:$D,MATCH($B56,Кат!$G:$G,0)),INDEX(Торг!$E:$E,MATCH($B56,Торг!$I:$I,0)))</f>
        <v>Бортовой компьютер "Ferrum Group" GF 223 для Шевроле Нива</v>
      </c>
      <c r="K56" s="37" t="str">
        <f>IFERROR(INDEX(Кат!$C:$C,MATCH($B56,Кат!$G:$G,0)),INDEX(Торг!$D:$D,MATCH($B56,Торг!$I:$I,0)))</f>
        <v>https://ferrum.group/products/38</v>
      </c>
    </row>
    <row r="57" spans="1:11">
      <c r="A57" s="54" t="s">
        <v>367</v>
      </c>
      <c r="B57" s="52" t="s">
        <v>277</v>
      </c>
      <c r="C57" s="52"/>
      <c r="D57" s="64">
        <f t="shared" si="2"/>
        <v>8200</v>
      </c>
      <c r="E57" s="64">
        <v>9200</v>
      </c>
      <c r="F57" s="49">
        <f t="shared" si="3"/>
        <v>8000</v>
      </c>
      <c r="G57" s="49">
        <f t="shared" si="4"/>
        <v>7800</v>
      </c>
      <c r="H57" s="58"/>
      <c r="I57" s="37">
        <f>IFERROR(INDEX(Кат!$A:$A,MATCH($B57,Кат!$G:$G,0)),INDEX(Торг!$B:$B,MATCH($B57,Торг!$I:$I,0)))</f>
        <v>138624</v>
      </c>
      <c r="J57" s="37" t="str">
        <f>IFERROR(INDEX(Кат!$D:$D,MATCH($B57,Кат!$G:$G,0)),INDEX(Торг!$E:$E,MATCH($B57,Торг!$I:$I,0)))</f>
        <v>Бортовой компьютер "Ferrum Group" GF 218T для Лада Калина</v>
      </c>
      <c r="K57" s="37" t="str">
        <f>IFERROR(INDEX(Кат!$C:$C,MATCH($B57,Кат!$G:$G,0)),INDEX(Торг!$D:$D,MATCH($B57,Торг!$I:$I,0)))</f>
        <v>https://ferrum.group/products/37</v>
      </c>
    </row>
    <row r="58" spans="1:11">
      <c r="A58" s="51" t="s">
        <v>318</v>
      </c>
      <c r="B58" s="55" t="s">
        <v>273</v>
      </c>
      <c r="C58" s="55"/>
      <c r="D58" s="64">
        <f t="shared" si="2"/>
        <v>7900</v>
      </c>
      <c r="E58" s="64">
        <v>8900</v>
      </c>
      <c r="F58" s="49">
        <f t="shared" si="3"/>
        <v>7700</v>
      </c>
      <c r="G58" s="49">
        <f t="shared" si="4"/>
        <v>7500</v>
      </c>
      <c r="H58" s="58"/>
      <c r="I58" s="37">
        <f>IFERROR(INDEX(Кат!$A:$A,MATCH($B58,Кат!$G:$G,0)),INDEX(Торг!$B:$B,MATCH($B58,Торг!$I:$I,0)))</f>
        <v>138649</v>
      </c>
      <c r="J58" s="37" t="str">
        <f>IFERROR(INDEX(Кат!$D:$D,MATCH($B58,Кат!$G:$G,0)),INDEX(Торг!$E:$E,MATCH($B58,Торг!$I:$I,0)))</f>
        <v>Бортовой компьютер Gamma GF 270 на Lada Priora</v>
      </c>
      <c r="K58" s="37" t="str">
        <f>IFERROR(INDEX(Кат!$C:$C,MATCH($B58,Кат!$G:$G,0)),INDEX(Торг!$D:$D,MATCH($B58,Торг!$I:$I,0)))</f>
        <v>https://ferrum.group/products/43</v>
      </c>
    </row>
    <row r="59" spans="1:11">
      <c r="A59" s="56" t="s">
        <v>311</v>
      </c>
      <c r="B59" s="57" t="s">
        <v>272</v>
      </c>
      <c r="C59" s="57"/>
      <c r="D59" s="64">
        <f t="shared" si="2"/>
        <v>6600</v>
      </c>
      <c r="E59" s="64">
        <v>7600</v>
      </c>
      <c r="F59" s="49">
        <f t="shared" si="3"/>
        <v>6400</v>
      </c>
      <c r="G59" s="49">
        <f t="shared" si="4"/>
        <v>6200</v>
      </c>
      <c r="H59" s="58"/>
      <c r="I59" s="37">
        <f>IFERROR(INDEX(Кат!$A:$A,MATCH($B59,Кат!$G:$G,0)),INDEX(Торг!$B:$B,MATCH($B59,Торг!$I:$I,0)))</f>
        <v>138622</v>
      </c>
      <c r="J59" s="37" t="str">
        <f>IFERROR(INDEX(Кат!$D:$D,MATCH($B59,Кат!$G:$G,0)),INDEX(Торг!$E:$E,MATCH($B59,Торг!$I:$I,0)))</f>
        <v>Бортовой компьютер "Ferrum Group" GF 207 для ВАЗ 2105, 2107</v>
      </c>
      <c r="K59" s="37" t="str">
        <f>IFERROR(INDEX(Кат!$C:$C,MATCH($B59,Кат!$G:$G,0)),INDEX(Торг!$D:$D,MATCH($B59,Торг!$I:$I,0)))</f>
        <v>https://ferrum.group/products/33</v>
      </c>
    </row>
    <row r="60" spans="1:11">
      <c r="A60" s="56" t="s">
        <v>319</v>
      </c>
      <c r="B60" s="57" t="s">
        <v>100</v>
      </c>
      <c r="C60" s="57"/>
      <c r="D60" s="66">
        <f>E60</f>
        <v>5225</v>
      </c>
      <c r="E60" s="64">
        <v>5225</v>
      </c>
      <c r="F60" s="50">
        <f>D60</f>
        <v>5225</v>
      </c>
      <c r="G60" s="50">
        <f>F60</f>
        <v>5225</v>
      </c>
      <c r="H60" s="58"/>
      <c r="I60" s="37">
        <f>IFERROR(INDEX(Кат!$A:$A,MATCH($B60,Кат!$G:$G,0)),INDEX(Торг!$B:$B,MATCH($B60,Торг!$I:$I,0)))</f>
        <v>138626</v>
      </c>
      <c r="J60" s="37" t="str">
        <f>IFERROR(INDEX(Кат!$D:$D,MATCH($B60,Кат!$G:$G,0)),INDEX(Торг!$E:$E,MATCH($B60,Торг!$I:$I,0)))</f>
        <v>Бортовой компьютер "Ferrum Group" GF 240 для Chevrolet Lanos, ZAZ Sens</v>
      </c>
      <c r="K60" s="37" t="str">
        <f>IFERROR(INDEX(Кат!$C:$C,MATCH($B60,Кат!$G:$G,0)),INDEX(Торг!$D:$D,MATCH($B60,Торг!$I:$I,0)))</f>
        <v>https://ferrum.group/products/40</v>
      </c>
    </row>
    <row r="61" spans="1:11">
      <c r="A61" s="56" t="s">
        <v>320</v>
      </c>
      <c r="B61" s="57" t="s">
        <v>275</v>
      </c>
      <c r="C61" s="57"/>
      <c r="D61" s="64">
        <f>E61-1000</f>
        <v>10900</v>
      </c>
      <c r="E61" s="64">
        <v>11900</v>
      </c>
      <c r="F61" s="49">
        <f>D61-200</f>
        <v>10700</v>
      </c>
      <c r="G61" s="49">
        <f t="shared" ref="G61:G63" si="5">F61-200</f>
        <v>10500</v>
      </c>
      <c r="H61" s="58"/>
      <c r="I61" s="37">
        <f>IFERROR(INDEX(Кат!$A:$A,MATCH($B61,Кат!$G:$G,0)),INDEX(Торг!$B:$B,MATCH($B61,Торг!$I:$I,0)))</f>
        <v>138627</v>
      </c>
      <c r="J61" s="37" t="str">
        <f>IFERROR(INDEX(Кат!$D:$D,MATCH($B61,Кат!$G:$G,0)),INDEX(Торг!$E:$E,MATCH($B61,Торг!$I:$I,0)))</f>
        <v>Бортовой компьютер "Ferrum Group" GF 241 для Chevrolet Aveo, Lacetti, Rezzo</v>
      </c>
      <c r="K61" s="37" t="str">
        <f>IFERROR(INDEX(Кат!$C:$C,MATCH($B61,Кат!$G:$G,0)),INDEX(Торг!$D:$D,MATCH($B61,Торг!$I:$I,0)))</f>
        <v>https://ferrum.group/products/41</v>
      </c>
    </row>
    <row r="62" spans="1:11" ht="25.5">
      <c r="A62" s="56" t="s">
        <v>368</v>
      </c>
      <c r="B62" s="58" t="s">
        <v>369</v>
      </c>
      <c r="C62" s="58"/>
      <c r="D62" s="64">
        <f>E62-1000</f>
        <v>11200</v>
      </c>
      <c r="E62" s="64">
        <v>12200</v>
      </c>
      <c r="F62" s="49">
        <f>D62-200</f>
        <v>11000</v>
      </c>
      <c r="G62" s="49">
        <f t="shared" si="5"/>
        <v>10800</v>
      </c>
      <c r="H62" s="58"/>
      <c r="I62" s="33">
        <f>IFERROR(INDEX(Кат!$A:$A,MATCH($A62,Кат!$G:$G,0)),INDEX(Торг!$B:$B,MATCH($A62,Торг!$I:$I,0)))</f>
        <v>193349</v>
      </c>
      <c r="J62" s="33" t="str">
        <f>IFERROR(INDEX(Кат!$D:$D,MATCH($A62,Кат!$G:$G,0)),INDEX(Торг!$E:$E,MATCH($A62,Торг!$I:$I,0)))</f>
        <v>Передний парктроник "Ferrum Group" (для GF 890 XRAY и GF 890 PH2) для Лада XRAY</v>
      </c>
      <c r="K62" s="33" t="str">
        <f>IFERROR(INDEX(Кат!$C:$C,MATCH($A62,Кат!$G:$G,0)),INDEX(Торг!$D:$D,MATCH($A62,Торг!$I:$I,0)))</f>
        <v>https://ferrum.group/products/143</v>
      </c>
    </row>
    <row r="63" spans="1:11">
      <c r="A63" s="59" t="s">
        <v>370</v>
      </c>
      <c r="B63" s="58" t="s">
        <v>371</v>
      </c>
      <c r="C63" s="58"/>
      <c r="D63" s="64">
        <f>E63-1000</f>
        <v>9050</v>
      </c>
      <c r="E63" s="64">
        <v>10050</v>
      </c>
      <c r="F63" s="49">
        <f>D63-200</f>
        <v>8850</v>
      </c>
      <c r="G63" s="49">
        <f t="shared" si="5"/>
        <v>8650</v>
      </c>
      <c r="H63" s="58"/>
      <c r="I63" s="33">
        <f>IFERROR(INDEX(Кат!$A:$A,MATCH($A63,Кат!$G:$G,0)),INDEX(Торг!$B:$B,MATCH($A63,Торг!$I:$I,0)))</f>
        <v>186323</v>
      </c>
      <c r="J63" s="33" t="str">
        <f>IFERROR(INDEX(Кат!$D:$D,MATCH($A63,Кат!$G:$G,0)),INDEX(Торг!$E:$E,MATCH($A63,Торг!$I:$I,0)))</f>
        <v>Парктроники "Ferrum Group" GF 801 для продукции "Ferrum Group" серии "Gamma"</v>
      </c>
      <c r="K63" s="33" t="str">
        <f>IFERROR(INDEX(Кат!$C:$C,MATCH($A63,Кат!$G:$G,0)),INDEX(Торг!$D:$D,MATCH($A63,Торг!$I:$I,0)))</f>
        <v>https://ferrum.group/products/69</v>
      </c>
    </row>
    <row r="64" spans="1:11">
      <c r="A64" s="56" t="s">
        <v>321</v>
      </c>
      <c r="B64" s="57" t="s">
        <v>322</v>
      </c>
      <c r="C64" s="57"/>
      <c r="D64" s="66">
        <f>E64-520</f>
        <v>1600</v>
      </c>
      <c r="E64" s="64">
        <v>2120</v>
      </c>
      <c r="F64" s="50">
        <f>D64</f>
        <v>1600</v>
      </c>
      <c r="G64" s="50">
        <f t="shared" ref="G64:G66" si="6">F64</f>
        <v>1600</v>
      </c>
      <c r="H64" s="58"/>
      <c r="I64" s="33">
        <f>IFERROR(INDEX(Кат!$A:$A,MATCH($A64,Кат!$G:$G,0)),INDEX(Торг!$B:$B,MATCH($A64,Торг!$I:$I,0)))</f>
        <v>201302</v>
      </c>
      <c r="J64" s="33" t="str">
        <f>IFERROR(INDEX(Кат!$D:$D,MATCH($A64,Кат!$G:$G,0)),INDEX(Торг!$E:$E,MATCH($A64,Торг!$I:$I,0)))</f>
        <v>Программатор "Ferrum Group" GF 911</v>
      </c>
      <c r="K64" s="33" t="str">
        <f>IFERROR(INDEX(Кат!$C:$C,MATCH($A64,Кат!$G:$G,0)),INDEX(Торг!$D:$D,MATCH($A64,Торг!$I:$I,0)))</f>
        <v>https://ferrum.group/products/64</v>
      </c>
    </row>
    <row r="65" spans="1:11">
      <c r="A65" s="56" t="s">
        <v>323</v>
      </c>
      <c r="B65" s="57" t="s">
        <v>324</v>
      </c>
      <c r="C65" s="57"/>
      <c r="D65" s="66">
        <f>E65-600</f>
        <v>1400</v>
      </c>
      <c r="E65" s="64">
        <v>2000</v>
      </c>
      <c r="F65" s="50">
        <f>D65</f>
        <v>1400</v>
      </c>
      <c r="G65" s="50">
        <f t="shared" si="6"/>
        <v>1400</v>
      </c>
      <c r="H65" s="58"/>
      <c r="I65" s="33">
        <f>IFERROR(INDEX(Кат!$A:$A,MATCH($A65,Кат!$G:$G,0)),INDEX(Торг!$B:$B,MATCH($A65,Торг!$I:$I,0)))</f>
        <v>201301</v>
      </c>
      <c r="J65" s="33" t="str">
        <f>IFERROR(INDEX(Кат!$D:$D,MATCH($A65,Кат!$G:$G,0)),INDEX(Торг!$E:$E,MATCH($A65,Торг!$I:$I,0)))</f>
        <v>Программатор "Ferrum Group" GF 910 для комбинаций приборов "Ferrum Group"</v>
      </c>
      <c r="K65" s="33" t="str">
        <f>IFERROR(INDEX(Кат!$C:$C,MATCH($A65,Кат!$G:$G,0)),INDEX(Торг!$D:$D,MATCH($A65,Торг!$I:$I,0)))</f>
        <v>https://ferrum.group/products/115</v>
      </c>
    </row>
    <row r="66" spans="1:11">
      <c r="A66" s="56" t="s">
        <v>372</v>
      </c>
      <c r="B66" s="57" t="s">
        <v>325</v>
      </c>
      <c r="C66" s="57"/>
      <c r="D66" s="66">
        <f>E66-1000</f>
        <v>3900</v>
      </c>
      <c r="E66" s="64">
        <v>4900</v>
      </c>
      <c r="F66" s="50">
        <f>D66</f>
        <v>3900</v>
      </c>
      <c r="G66" s="50">
        <f t="shared" si="6"/>
        <v>3900</v>
      </c>
      <c r="H66" s="58"/>
      <c r="I66" s="33">
        <f>IFERROR(INDEX(Кат!$A:$A,MATCH($A66,Кат!$G:$G,0)),INDEX(Торг!$B:$B,MATCH($A66,Торг!$I:$I,0)))</f>
        <v>193593</v>
      </c>
      <c r="J66" s="33" t="str">
        <f>IFERROR(INDEX(Кат!$D:$D,MATCH($A66,Кат!$G:$G,0)),INDEX(Торг!$E:$E,MATCH($A66,Торг!$I:$I,0)))</f>
        <v>Переходник "Ferrum Group" GF 921 для комбинаций приборов "Ferrum Group"</v>
      </c>
      <c r="K66" s="33" t="str">
        <f>IFERROR(INDEX(Кат!$C:$C,MATCH($A66,Кат!$G:$G,0)),INDEX(Торг!$D:$D,MATCH($A66,Торг!$I:$I,0)))</f>
        <v>https://ferrum.group/products/90</v>
      </c>
    </row>
    <row r="67" spans="1:11">
      <c r="A67" s="56" t="s">
        <v>326</v>
      </c>
      <c r="B67" s="57"/>
      <c r="C67" s="57"/>
      <c r="D67" s="66">
        <f>E67-600</f>
        <v>2100</v>
      </c>
      <c r="E67" s="64">
        <v>2700</v>
      </c>
      <c r="F67" s="50"/>
      <c r="G67" s="50"/>
      <c r="H67" s="58"/>
      <c r="I67" s="33">
        <f>IFERROR(INDEX(Кат!$A:$A,MATCH($A67,Кат!$G:$G,0)),INDEX(Торг!$B:$B,MATCH($A67,Торг!$I:$I,0)))</f>
        <v>322867</v>
      </c>
      <c r="J67" s="33" t="str">
        <f>IFERROR(INDEX(Кат!$D:$D,MATCH($A67,Кат!$G:$G,0)),INDEX(Торг!$E:$E,MATCH($A67,Торг!$I:$I,0)))</f>
        <v>Ручки отопителя "Ferrum Group" для Лада Приора (без кондиционера) (Серебро)</v>
      </c>
      <c r="K67" s="33" t="str">
        <f>IFERROR(INDEX(Кат!$C:$C,MATCH($A67,Кат!$G:$G,0)),INDEX(Торг!$D:$D,MATCH($A67,Торг!$I:$I,0)))</f>
        <v>https://ferrum.group/products/28</v>
      </c>
    </row>
    <row r="68" spans="1:11">
      <c r="A68" s="56" t="s">
        <v>327</v>
      </c>
      <c r="B68" s="57"/>
      <c r="C68" s="57"/>
      <c r="D68" s="66">
        <f>E68-600</f>
        <v>2100</v>
      </c>
      <c r="E68" s="64">
        <v>2700</v>
      </c>
      <c r="F68" s="50"/>
      <c r="G68" s="50"/>
      <c r="H68" s="58"/>
      <c r="I68" s="33">
        <f>IFERROR(INDEX(Кат!$A:$A,MATCH($A68,Кат!$G:$G,0)),INDEX(Торг!$B:$B,MATCH($A68,Торг!$I:$I,0)))</f>
        <v>322855</v>
      </c>
      <c r="J68" s="33" t="str">
        <f>IFERROR(INDEX(Кат!$D:$D,MATCH($A68,Кат!$G:$G,0)),INDEX(Торг!$E:$E,MATCH($A68,Торг!$I:$I,0)))</f>
        <v>Ручки отопителя "Ferrum Group" для Лада Калина, Калина 2, Гранта (Серебро)</v>
      </c>
      <c r="K68" s="33" t="str">
        <f>IFERROR(INDEX(Кат!$C:$C,MATCH($A68,Кат!$G:$G,0)),INDEX(Торг!$D:$D,MATCH($A68,Торг!$I:$I,0)))</f>
        <v>https://ferrum.group/products/101</v>
      </c>
    </row>
    <row r="69" spans="1:11">
      <c r="A69" s="56" t="s">
        <v>328</v>
      </c>
      <c r="B69" s="57" t="s">
        <v>329</v>
      </c>
      <c r="C69" s="57"/>
      <c r="D69" s="66">
        <f>E69-1000</f>
        <v>5000</v>
      </c>
      <c r="E69" s="64">
        <v>6000</v>
      </c>
      <c r="F69" s="50"/>
      <c r="G69" s="50"/>
      <c r="H69" s="58"/>
      <c r="I69" s="33">
        <f>IFERROR(INDEX(Кат!$A:$A,MATCH($A69,Кат!$G:$G,0)),INDEX(Торг!$B:$B,MATCH($A69,Торг!$I:$I,0)))</f>
        <v>226780</v>
      </c>
      <c r="J69" s="33" t="str">
        <f>IFERROR(INDEX(Кат!$D:$D,MATCH($A69,Кат!$G:$G,0)),INDEX(Торг!$E:$E,MATCH($A69,Торг!$I:$I,0)))</f>
        <v>Щиток комбинации приборов "Ferrum Group" (c отделкой из кожи) для Лада Гранта</v>
      </c>
      <c r="K69" s="33" t="str">
        <f>IFERROR(INDEX(Кат!$C:$C,MATCH($A69,Кат!$G:$G,0)),INDEX(Торг!$D:$D,MATCH($A69,Торг!$I:$I,0)))</f>
        <v>https://ferrum.group/products/142</v>
      </c>
    </row>
    <row r="70" spans="1:11" ht="25.5">
      <c r="A70" s="56" t="s">
        <v>328</v>
      </c>
      <c r="B70" s="58" t="s">
        <v>373</v>
      </c>
      <c r="C70" s="58"/>
      <c r="D70" s="66">
        <f>E70-1000</f>
        <v>5000</v>
      </c>
      <c r="E70" s="64">
        <v>6000</v>
      </c>
      <c r="F70" s="50"/>
      <c r="G70" s="50"/>
      <c r="H70" s="58"/>
      <c r="I70" s="33">
        <f>IFERROR(INDEX(Кат!$A:$A,MATCH($A70,Кат!$G:$G,0)),INDEX(Торг!$B:$B,MATCH($A70,Торг!$I:$I,0)))</f>
        <v>226780</v>
      </c>
      <c r="J70" s="33" t="str">
        <f>IFERROR(INDEX(Кат!$D:$D,MATCH($A70,Кат!$G:$G,0)),INDEX(Торг!$E:$E,MATCH($A70,Торг!$I:$I,0)))</f>
        <v>Щиток комбинации приборов "Ferrum Group" (c отделкой из кожи) для Лада Гранта</v>
      </c>
      <c r="K70" s="33" t="str">
        <f>IFERROR(INDEX(Кат!$C:$C,MATCH($A70,Кат!$G:$G,0)),INDEX(Торг!$D:$D,MATCH($A70,Торг!$I:$I,0)))</f>
        <v>https://ferrum.group/products/142</v>
      </c>
    </row>
    <row r="71" spans="1:11">
      <c r="A71" s="56" t="s">
        <v>330</v>
      </c>
      <c r="B71" s="57" t="s">
        <v>374</v>
      </c>
      <c r="C71" s="57"/>
      <c r="D71" s="66">
        <f>E71-1000</f>
        <v>2500</v>
      </c>
      <c r="E71" s="64">
        <v>3500</v>
      </c>
      <c r="F71" s="50"/>
      <c r="G71" s="50"/>
      <c r="H71" s="58"/>
      <c r="I71" s="33">
        <f>IFERROR(INDEX(Кат!$A:$A,MATCH($A71,Кат!$G:$G,0)),INDEX(Торг!$B:$B,MATCH($A71,Торг!$I:$I,0)))</f>
        <v>212887</v>
      </c>
      <c r="J71" s="33" t="str">
        <f>IFERROR(INDEX(Кат!$D:$D,MATCH($A71,Кат!$G:$G,0)),INDEX(Торг!$E:$E,MATCH($A71,Торг!$I:$I,0)))</f>
        <v>Ручки отопителя "Ferrum Group" (серебро) для Шевроле Нива</v>
      </c>
      <c r="K71" s="33" t="str">
        <f>IFERROR(INDEX(Кат!$C:$C,MATCH($A71,Кат!$G:$G,0)),INDEX(Торг!$D:$D,MATCH($A71,Торг!$I:$I,0)))</f>
        <v>https://ferrum.group/products/117</v>
      </c>
    </row>
    <row r="72" spans="1:11">
      <c r="A72" s="56" t="s">
        <v>331</v>
      </c>
      <c r="B72" s="57" t="s">
        <v>332</v>
      </c>
      <c r="C72" s="57"/>
      <c r="D72" s="66">
        <f>E72-300</f>
        <v>1450</v>
      </c>
      <c r="E72" s="64">
        <v>1750</v>
      </c>
      <c r="F72" s="50"/>
      <c r="G72" s="50"/>
      <c r="H72" s="58"/>
      <c r="I72" s="33">
        <f>IFERROR(INDEX(Кат!$A:$A,MATCH($A72,Кат!$G:$G,0)),INDEX(Торг!$B:$B,MATCH($A72,Торг!$I:$I,0)))</f>
        <v>225793</v>
      </c>
      <c r="J72" s="33" t="str">
        <f>IFERROR(INDEX(Кат!$D:$D,MATCH($A72,Кат!$G:$G,0)),INDEX(Торг!$E:$E,MATCH($A72,Торг!$I:$I,0)))</f>
        <v>Шильд FG "Ferrum Group" для Лада Веста</v>
      </c>
      <c r="K72" s="33" t="str">
        <f>IFERROR(INDEX(Кат!$C:$C,MATCH($A72,Кат!$G:$G,0)),INDEX(Торг!$D:$D,MATCH($A72,Торг!$I:$I,0)))</f>
        <v>https://ferrum.group/products/182</v>
      </c>
    </row>
    <row r="73" spans="1:11" ht="25.5">
      <c r="A73" s="56" t="s">
        <v>333</v>
      </c>
      <c r="B73" s="57"/>
      <c r="C73" s="57"/>
      <c r="D73" s="66">
        <f>E73-900</f>
        <v>3300</v>
      </c>
      <c r="E73" s="64">
        <v>4200</v>
      </c>
      <c r="F73" s="50"/>
      <c r="G73" s="50"/>
      <c r="H73" s="58"/>
      <c r="I73" s="33">
        <f>IFERROR(INDEX(Кат!$A:$A,MATCH($A73,Кат!$G:$G,0)),INDEX(Торг!$B:$B,MATCH($A73,Торг!$I:$I,0)))</f>
        <v>158826</v>
      </c>
      <c r="J73" s="33" t="str">
        <f>IFERROR(INDEX(Кат!$D:$D,MATCH($A73,Кат!$G:$G,0)),INDEX(Торг!$E:$E,MATCH($A73,Торг!$I:$I,0)))</f>
        <v>Комплект органайзеров "Ferrum Group" в багажник для Шевроле Нива</v>
      </c>
      <c r="K73" s="33" t="str">
        <f>IFERROR(INDEX(Кат!$C:$C,MATCH($A73,Кат!$G:$G,0)),INDEX(Торг!$D:$D,MATCH($A73,Торг!$I:$I,0)))</f>
        <v>https://ferrum.group/products/108</v>
      </c>
    </row>
    <row r="74" spans="1:11">
      <c r="A74" s="56" t="s">
        <v>375</v>
      </c>
      <c r="B74" s="57"/>
      <c r="C74" s="57"/>
      <c r="D74" s="66">
        <f>E74-900</f>
        <v>3300</v>
      </c>
      <c r="E74" s="64">
        <v>4200</v>
      </c>
      <c r="F74" s="50"/>
      <c r="G74" s="50"/>
      <c r="H74" s="58"/>
      <c r="I74" s="33">
        <f>IFERROR(INDEX(Кат!$A:$A,MATCH($A74,Кат!$G:$G,0)),INDEX(Торг!$B:$B,MATCH($A74,Торг!$I:$I,0)))</f>
        <v>158825</v>
      </c>
      <c r="J74" s="33" t="str">
        <f>IFERROR(INDEX(Кат!$D:$D,MATCH($A74,Кат!$G:$G,0)),INDEX(Торг!$E:$E,MATCH($A74,Торг!$I:$I,0)))</f>
        <v>Комплект органайзеров "Ferrum Group" в багажник для Лада Нива 4x4, Нива 4x4 Урбан</v>
      </c>
      <c r="K74" s="33" t="str">
        <f>IFERROR(INDEX(Кат!$C:$C,MATCH($A74,Кат!$G:$G,0)),INDEX(Торг!$D:$D,MATCH($A74,Торг!$I:$I,0)))</f>
        <v>https://ferrum.group/products/129</v>
      </c>
    </row>
    <row r="75" spans="1:11" ht="25.5">
      <c r="A75" s="56" t="s">
        <v>376</v>
      </c>
      <c r="B75" s="57"/>
      <c r="C75" s="57"/>
      <c r="D75" s="66">
        <f>E75-900</f>
        <v>3300</v>
      </c>
      <c r="E75" s="64">
        <v>4200</v>
      </c>
      <c r="F75" s="50"/>
      <c r="G75" s="50"/>
      <c r="H75" s="58"/>
      <c r="I75" s="33">
        <f>IFERROR(INDEX(Кат!$A:$A,MATCH($A75,Кат!$G:$G,0)),INDEX(Торг!$B:$B,MATCH($A75,Торг!$I:$I,0)))</f>
        <v>158824</v>
      </c>
      <c r="J75" s="33" t="str">
        <f>IFERROR(INDEX(Кат!$D:$D,MATCH($A75,Кат!$G:$G,0)),INDEX(Торг!$E:$E,MATCH($A75,Торг!$I:$I,0)))</f>
        <v>Комплект органайзеров "Ferrum Group" в багажник для Лада Калина, Калина 2</v>
      </c>
      <c r="K75" s="33" t="str">
        <f>IFERROR(INDEX(Кат!$C:$C,MATCH($A75,Кат!$G:$G,0)),INDEX(Торг!$D:$D,MATCH($A75,Торг!$I:$I,0)))</f>
        <v>https://ferrum.group/products/130</v>
      </c>
    </row>
    <row r="76" spans="1:11" ht="25.5">
      <c r="A76" s="56" t="s">
        <v>377</v>
      </c>
      <c r="B76" s="57"/>
      <c r="C76" s="57"/>
      <c r="D76" s="66">
        <f>E76-900</f>
        <v>3300</v>
      </c>
      <c r="E76" s="64">
        <v>4200</v>
      </c>
      <c r="F76" s="50"/>
      <c r="G76" s="50"/>
      <c r="H76" s="58"/>
      <c r="I76" s="33">
        <f>IFERROR(INDEX(Кат!$A:$A,MATCH($A76,Кат!$G:$G,0)),INDEX(Торг!$B:$B,MATCH($A76,Торг!$I:$I,0)))</f>
        <v>158823</v>
      </c>
      <c r="J76" s="33" t="str">
        <f>IFERROR(INDEX(Кат!$D:$D,MATCH($A76,Кат!$G:$G,0)),INDEX(Торг!$E:$E,MATCH($A76,Торг!$I:$I,0)))</f>
        <v>Комплект органайзеров "Ferrum Group" в багажник для Лада Веста</v>
      </c>
      <c r="K76" s="33" t="str">
        <f>IFERROR(INDEX(Кат!$C:$C,MATCH($A76,Кат!$G:$G,0)),INDEX(Торг!$D:$D,MATCH($A76,Торг!$I:$I,0)))</f>
        <v>https://ferrum.group/products/156</v>
      </c>
    </row>
    <row r="77" spans="1:11">
      <c r="A77" s="56" t="s">
        <v>334</v>
      </c>
      <c r="B77" s="57"/>
      <c r="C77" s="57"/>
      <c r="D77" s="66">
        <f>E77-700</f>
        <v>1900</v>
      </c>
      <c r="E77" s="64">
        <v>2600</v>
      </c>
      <c r="F77" s="50"/>
      <c r="G77" s="50"/>
      <c r="H77" s="58"/>
      <c r="I77" s="33">
        <f>IFERROR(INDEX(Кат!$A:$A,MATCH($A77,Кат!$G:$G,0)),INDEX(Торг!$B:$B,MATCH($A77,Торг!$I:$I,0)))</f>
        <v>158827</v>
      </c>
      <c r="J77" s="33" t="str">
        <f>IFERROR(INDEX(Кат!$D:$D,MATCH($A77,Кат!$G:$G,0)),INDEX(Торг!$E:$E,MATCH($A77,Торг!$I:$I,0)))</f>
        <v>Комплект органайзеров "Ferrum Group" на спинки сидений для Лада Калина, Калина 2, Гранта, Приора, Веста, XRAY</v>
      </c>
      <c r="K77" s="33" t="str">
        <f>IFERROR(INDEX(Кат!$C:$C,MATCH($A77,Кат!$G:$G,0)),INDEX(Торг!$D:$D,MATCH($A77,Торг!$I:$I,0)))</f>
        <v>https://ferrum.group/products/172</v>
      </c>
    </row>
    <row r="78" spans="1:11">
      <c r="A78" s="56" t="s">
        <v>378</v>
      </c>
      <c r="B78" s="57"/>
      <c r="C78" s="57"/>
      <c r="D78" s="66">
        <f>E78-1300</f>
        <v>2200</v>
      </c>
      <c r="E78" s="64">
        <v>3500</v>
      </c>
      <c r="F78" s="50"/>
      <c r="G78" s="50"/>
      <c r="H78" s="58"/>
      <c r="I78" s="33">
        <f>IFERROR(INDEX(Кат!$A:$A,MATCH($A78,Кат!$G:$G,0)),INDEX(Торг!$B:$B,MATCH($A78,Торг!$I:$I,0)))</f>
        <v>212885</v>
      </c>
      <c r="J78" s="33" t="str">
        <f>IFERROR(INDEX(Кат!$D:$D,MATCH($A78,Кат!$G:$G,0)),INDEX(Торг!$E:$E,MATCH($A78,Торг!$I:$I,0)))</f>
        <v>Ручки отопителя "Ferrum Group" (матовые) для Hyundai Solaris</v>
      </c>
      <c r="K78" s="33" t="str">
        <f>IFERROR(INDEX(Кат!$C:$C,MATCH($A78,Кат!$G:$G,0)),INDEX(Торг!$D:$D,MATCH($A78,Торг!$I:$I,0)))</f>
        <v>https://ferrum.group/products/162</v>
      </c>
    </row>
    <row r="79" spans="1:11">
      <c r="A79" s="56" t="s">
        <v>379</v>
      </c>
      <c r="B79" s="58"/>
      <c r="C79" s="58"/>
      <c r="D79" s="66">
        <f>E79-1300</f>
        <v>2200</v>
      </c>
      <c r="E79" s="64">
        <v>3500</v>
      </c>
      <c r="F79" s="50"/>
      <c r="G79" s="50"/>
      <c r="H79" s="58"/>
      <c r="I79" s="33">
        <f>IFERROR(INDEX(Кат!$A:$A,MATCH($A79,Кат!$G:$G,0)),INDEX(Торг!$B:$B,MATCH($A79,Торг!$I:$I,0)))</f>
        <v>212884</v>
      </c>
      <c r="J79" s="33" t="str">
        <f>IFERROR(INDEX(Кат!$D:$D,MATCH($A79,Кат!$G:$G,0)),INDEX(Торг!$E:$E,MATCH($A79,Торг!$I:$I,0)))</f>
        <v>Ручки отопителя "Ferrum Group" (глянцевые) для Hyundai Solaris 2</v>
      </c>
      <c r="K79" s="33" t="str">
        <f>IFERROR(INDEX(Кат!$C:$C,MATCH($A79,Кат!$G:$G,0)),INDEX(Торг!$D:$D,MATCH($A79,Торг!$I:$I,0)))</f>
        <v>https://ferrum.group/products/123</v>
      </c>
    </row>
    <row r="80" spans="1:11" ht="25.5">
      <c r="A80" s="56" t="s">
        <v>335</v>
      </c>
      <c r="B80" s="58"/>
      <c r="C80" s="58"/>
      <c r="D80" s="66">
        <f>E80-600</f>
        <v>2900</v>
      </c>
      <c r="E80" s="64">
        <v>3500</v>
      </c>
      <c r="F80" s="50"/>
      <c r="G80" s="50"/>
      <c r="H80" s="58"/>
      <c r="I80" s="33">
        <f>IFERROR(INDEX(Кат!$A:$A,MATCH($A80,Кат!$G:$G,0)),INDEX(Торг!$B:$B,MATCH($A80,Торг!$I:$I,0)))</f>
        <v>212892</v>
      </c>
      <c r="J80" s="33" t="str">
        <f>IFERROR(INDEX(Кат!$D:$D,MATCH($A80,Кат!$G:$G,0)),INDEX(Торг!$E:$E,MATCH($A80,Торг!$I:$I,0)))</f>
        <v>Ручки отопителя "Ferrum Group" для Chevrolet Lacetti, Daewoo Gentra</v>
      </c>
      <c r="K80" s="33" t="str">
        <f>IFERROR(INDEX(Кат!$C:$C,MATCH($A80,Кат!$G:$G,0)),INDEX(Торг!$D:$D,MATCH($A80,Торг!$I:$I,0)))</f>
        <v>https://ferrum.group/products/135</v>
      </c>
    </row>
    <row r="81" spans="1:11">
      <c r="A81" s="56" t="s">
        <v>613</v>
      </c>
      <c r="B81" s="58" t="s">
        <v>336</v>
      </c>
      <c r="C81" s="58"/>
      <c r="D81" s="66">
        <f>E81-1000</f>
        <v>5000</v>
      </c>
      <c r="E81" s="64">
        <v>6000</v>
      </c>
      <c r="F81" s="50"/>
      <c r="G81" s="50"/>
      <c r="H81" s="58"/>
      <c r="I81" s="33">
        <f>IFERROR(INDEX(Кат!$A:$A,MATCH($A81,Кат!$G:$G,0)),INDEX(Торг!$B:$B,MATCH($A81,Торг!$I:$I,0)))</f>
        <v>169732</v>
      </c>
      <c r="J81" s="33" t="str">
        <f>IFERROR(INDEX(Кат!$D:$D,MATCH($A81,Кат!$G:$G,0)),INDEX(Торг!$E:$E,MATCH($A81,Торг!$I:$I,0)))</f>
        <v>Накладки на педали "Ferrum Group" для Лада XRAY (AMT)</v>
      </c>
      <c r="K81" s="33" t="str">
        <f>IFERROR(INDEX(Кат!$C:$C,MATCH($A81,Кат!$G:$G,0)),INDEX(Торг!$D:$D,MATCH($A81,Торг!$I:$I,0)))</f>
        <v>https://ferrum.group/products/138</v>
      </c>
    </row>
    <row r="82" spans="1:11">
      <c r="A82" s="56" t="s">
        <v>1571</v>
      </c>
      <c r="B82" s="58" t="s">
        <v>337</v>
      </c>
      <c r="C82" s="58"/>
      <c r="D82" s="66">
        <f>E82-1000</f>
        <v>5300</v>
      </c>
      <c r="E82" s="64">
        <v>6300</v>
      </c>
      <c r="F82" s="50"/>
      <c r="G82" s="50"/>
      <c r="H82" s="58"/>
      <c r="I82" s="33" t="e">
        <f>IFERROR(INDEX(Кат!$A:$A,MATCH($A82,Кат!$G:$G,0)),INDEX(Торг!$B:$B,MATCH($A82,Торг!$I:$I,0)))</f>
        <v>#N/A</v>
      </c>
      <c r="J82" s="33" t="e">
        <f>IFERROR(INDEX(Кат!$D:$D,MATCH($A82,Кат!$G:$G,0)),INDEX(Торг!$E:$E,MATCH($A82,Торг!$I:$I,0)))</f>
        <v>#N/A</v>
      </c>
      <c r="K82" s="33" t="e">
        <f>IFERROR(INDEX(Кат!$C:$C,MATCH($A82,Кат!$G:$G,0)),INDEX(Торг!$D:$D,MATCH($A82,Торг!$I:$I,0)))</f>
        <v>#N/A</v>
      </c>
    </row>
    <row r="83" spans="1:11">
      <c r="A83" s="56" t="s">
        <v>473</v>
      </c>
      <c r="B83" s="57" t="s">
        <v>336</v>
      </c>
      <c r="C83" s="57"/>
      <c r="D83" s="66">
        <f>E83-1000</f>
        <v>5000</v>
      </c>
      <c r="E83" s="64">
        <v>6000</v>
      </c>
      <c r="F83" s="50"/>
      <c r="G83" s="50"/>
      <c r="H83" s="58"/>
      <c r="I83" s="33">
        <f>IFERROR(INDEX(Кат!$A:$A,MATCH($A83,Кат!$G:$G,0)),INDEX(Торг!$B:$B,MATCH($A83,Торг!$I:$I,0)))</f>
        <v>169735</v>
      </c>
      <c r="J83" s="33" t="str">
        <f>IFERROR(INDEX(Кат!$D:$D,MATCH($A83,Кат!$G:$G,0)),INDEX(Торг!$E:$E,MATCH($A83,Торг!$I:$I,0)))</f>
        <v>Накладки на педали "Ferrum Group" для Лада Веста (AMT, 1.6L)</v>
      </c>
      <c r="K83" s="33" t="str">
        <f>IFERROR(INDEX(Кат!$C:$C,MATCH($A83,Кат!$G:$G,0)),INDEX(Торг!$D:$D,MATCH($A83,Торг!$I:$I,0)))</f>
        <v>https://ferrum.group/products/153</v>
      </c>
    </row>
    <row r="84" spans="1:11">
      <c r="A84" s="56" t="s">
        <v>474</v>
      </c>
      <c r="B84" s="57" t="s">
        <v>337</v>
      </c>
      <c r="C84" s="57"/>
      <c r="D84" s="66">
        <f>E84-1000</f>
        <v>5300</v>
      </c>
      <c r="E84" s="64">
        <v>6300</v>
      </c>
      <c r="F84" s="50"/>
      <c r="G84" s="50"/>
      <c r="H84" s="58"/>
      <c r="I84" s="33">
        <f>IFERROR(INDEX(Кат!$A:$A,MATCH($A84,Кат!$G:$G,0)),INDEX(Торг!$B:$B,MATCH($A84,Торг!$I:$I,0)))</f>
        <v>169734</v>
      </c>
      <c r="J84" s="33" t="str">
        <f>IFERROR(INDEX(Кат!$D:$D,MATCH($A84,Кат!$G:$G,0)),INDEX(Торг!$E:$E,MATCH($A84,Торг!$I:$I,0)))</f>
        <v>Накладки на педали "Ferrum Group" для Лада Веста</v>
      </c>
      <c r="K84" s="33" t="str">
        <f>IFERROR(INDEX(Кат!$C:$C,MATCH($A84,Кат!$G:$G,0)),INDEX(Торг!$D:$D,MATCH($A84,Торг!$I:$I,0)))</f>
        <v>https://ferrum.group/products/151</v>
      </c>
    </row>
    <row r="85" spans="1:11">
      <c r="A85" s="56" t="s">
        <v>338</v>
      </c>
      <c r="B85" s="57"/>
      <c r="C85" s="57"/>
      <c r="D85" s="66">
        <f>E85-450</f>
        <v>2450</v>
      </c>
      <c r="E85" s="64">
        <v>2900</v>
      </c>
      <c r="F85" s="50"/>
      <c r="G85" s="50"/>
      <c r="H85" s="58"/>
      <c r="I85" s="33">
        <f>IFERROR(INDEX(Кат!$A:$A,MATCH($A85,Кат!$G:$G,0)),INDEX(Торг!$B:$B,MATCH($A85,Торг!$I:$I,0)))</f>
        <v>212893</v>
      </c>
      <c r="J85" s="33" t="str">
        <f>IFERROR(INDEX(Кат!$D:$D,MATCH($A85,Кат!$G:$G,0)),INDEX(Торг!$E:$E,MATCH($A85,Торг!$I:$I,0)))</f>
        <v>Ручки отопителя "Ferrum Group" для Volkswagen Polo Sedan</v>
      </c>
      <c r="K85" s="33" t="str">
        <f>IFERROR(INDEX(Кат!$C:$C,MATCH($A85,Кат!$G:$G,0)),INDEX(Торг!$D:$D,MATCH($A85,Торг!$I:$I,0)))</f>
        <v>https://ferrum.group/products/158</v>
      </c>
    </row>
    <row r="86" spans="1:11">
      <c r="A86" s="56" t="s">
        <v>339</v>
      </c>
      <c r="B86" s="58"/>
      <c r="C86" s="58"/>
      <c r="D86" s="66">
        <f>E86-600</f>
        <v>1250</v>
      </c>
      <c r="E86" s="64">
        <v>1850</v>
      </c>
      <c r="F86" s="50"/>
      <c r="G86" s="50"/>
      <c r="H86" s="58"/>
      <c r="I86" s="33">
        <f>IFERROR(INDEX(Кат!$A:$A,MATCH($A86,Кат!$G:$G,0)),INDEX(Торг!$B:$B,MATCH($A86,Торг!$I:$I,0)))</f>
        <v>181920</v>
      </c>
      <c r="J86" s="33" t="str">
        <f>IFERROR(INDEX(Кат!$D:$D,MATCH($A86,Кат!$G:$G,0)),INDEX(Торг!$E:$E,MATCH($A86,Торг!$I:$I,0)))</f>
        <v>Органайзер "Ferrum Group" на панель для Лада Ларгус</v>
      </c>
      <c r="K86" s="33" t="str">
        <f>IFERROR(INDEX(Кат!$C:$C,MATCH($A86,Кат!$G:$G,0)),INDEX(Торг!$D:$D,MATCH($A86,Торг!$I:$I,0)))</f>
        <v>https://ferrum.group/products/91</v>
      </c>
    </row>
    <row r="87" spans="1:11">
      <c r="A87" s="56" t="s">
        <v>380</v>
      </c>
      <c r="B87" s="58"/>
      <c r="C87" s="58"/>
      <c r="D87" s="66">
        <f>E87-3400</f>
        <v>10700</v>
      </c>
      <c r="E87" s="64">
        <v>14100</v>
      </c>
      <c r="F87" s="50"/>
      <c r="G87" s="50"/>
      <c r="H87" s="58"/>
      <c r="I87" s="33">
        <f>IFERROR(INDEX(Кат!$A:$A,MATCH($A87,Кат!$G:$G,0)),INDEX(Торг!$B:$B,MATCH($A87,Торг!$I:$I,0)))</f>
        <v>142192</v>
      </c>
      <c r="J87" s="33" t="str">
        <f>IFERROR(INDEX(Кат!$D:$D,MATCH($A87,Кат!$G:$G,0)),INDEX(Торг!$E:$E,MATCH($A87,Торг!$I:$I,0)))</f>
        <v>Датчики давления воздуха в шинах (TPMS) "Ferrum Group" для Лада Веста, XRAY</v>
      </c>
      <c r="K87" s="33" t="str">
        <f>IFERROR(INDEX(Кат!$C:$C,MATCH($A87,Кат!$G:$G,0)),INDEX(Торг!$D:$D,MATCH($A87,Торг!$I:$I,0)))</f>
        <v>https://ferrum.group/products/177</v>
      </c>
    </row>
    <row r="88" spans="1:11" ht="25.5">
      <c r="A88" s="56" t="s">
        <v>381</v>
      </c>
      <c r="B88" s="58"/>
      <c r="C88" s="58"/>
      <c r="D88" s="66">
        <f t="shared" ref="D88:D101" si="7">E88-300</f>
        <v>9400</v>
      </c>
      <c r="E88" s="64">
        <v>9700</v>
      </c>
      <c r="F88" s="50"/>
      <c r="G88" s="50"/>
      <c r="H88" s="58"/>
      <c r="I88" s="33">
        <f>IFERROR(INDEX(Кат!$A:$A,MATCH($A88,Кат!$G:$G,0)),INDEX(Торг!$B:$B,MATCH($A88,Торг!$I:$I,0)))</f>
        <v>341366</v>
      </c>
      <c r="J88" s="33" t="str">
        <f>IFERROR(INDEX(Кат!$D:$D,MATCH($A88,Кат!$G:$G,0)),INDEX(Торг!$E:$E,MATCH($A88,Торг!$I:$I,0)))</f>
        <v>Модельная ручка КПП "Ferrum Group" для Лада Веста (с вариатором) (Серый)</v>
      </c>
      <c r="K88" s="33" t="str">
        <f>IFERROR(INDEX(Кат!$C:$C,MATCH($A88,Кат!$G:$G,0)),INDEX(Торг!$D:$D,MATCH($A88,Торг!$I:$I,0)))</f>
        <v>https://ferrum.group/products/328</v>
      </c>
    </row>
    <row r="89" spans="1:11" ht="25.5">
      <c r="A89" s="56" t="s">
        <v>382</v>
      </c>
      <c r="B89" s="58"/>
      <c r="C89" s="58"/>
      <c r="D89" s="66">
        <f t="shared" si="7"/>
        <v>7720</v>
      </c>
      <c r="E89" s="64">
        <v>8020</v>
      </c>
      <c r="F89" s="50"/>
      <c r="G89" s="50"/>
      <c r="H89" s="58"/>
      <c r="I89" s="33">
        <f>IFERROR(INDEX(Кат!$A:$A,MATCH($A89,Кат!$G:$G,0)),INDEX(Торг!$B:$B,MATCH($A89,Торг!$I:$I,0)))</f>
        <v>163996</v>
      </c>
      <c r="J89" s="33" t="str">
        <f>IFERROR(INDEX(Кат!$D:$D,MATCH($A89,Кат!$G:$G,0)),INDEX(Торг!$E:$E,MATCH($A89,Торг!$I:$I,0)))</f>
        <v>Модельная ручка КПП "Ferrum Group" Sport для Лада Веста</v>
      </c>
      <c r="K89" s="33" t="str">
        <f>IFERROR(INDEX(Кат!$C:$C,MATCH($A89,Кат!$G:$G,0)),INDEX(Торг!$D:$D,MATCH($A89,Торг!$I:$I,0)))</f>
        <v>https://ferrum.group/products/221</v>
      </c>
    </row>
    <row r="90" spans="1:11" ht="25.5">
      <c r="A90" s="56" t="s">
        <v>383</v>
      </c>
      <c r="B90" s="58"/>
      <c r="C90" s="58"/>
      <c r="D90" s="66">
        <f t="shared" si="7"/>
        <v>6065</v>
      </c>
      <c r="E90" s="64">
        <v>6365</v>
      </c>
      <c r="F90" s="50"/>
      <c r="G90" s="50"/>
      <c r="H90" s="58"/>
      <c r="I90" s="33">
        <f>IFERROR(INDEX(Кат!$A:$A,MATCH($A90,Кат!$G:$G,0)),INDEX(Торг!$B:$B,MATCH($A90,Торг!$I:$I,0)))</f>
        <v>163986</v>
      </c>
      <c r="J90" s="33" t="str">
        <f>IFERROR(INDEX(Кат!$D:$D,MATCH($A90,Кат!$G:$G,0)),INDEX(Торг!$E:$E,MATCH($A90,Торг!$I:$I,0)))</f>
        <v>Модельная ручка КПП "Ferrum Group" Exclusive (в коже с алькантарой) для Лада Веста</v>
      </c>
      <c r="K90" s="33" t="str">
        <f>IFERROR(INDEX(Кат!$C:$C,MATCH($A90,Кат!$G:$G,0)),INDEX(Торг!$D:$D,MATCH($A90,Торг!$I:$I,0)))</f>
        <v>https://ferrum.group/products/301</v>
      </c>
    </row>
    <row r="91" spans="1:11">
      <c r="A91" s="56" t="s">
        <v>384</v>
      </c>
      <c r="B91" s="58"/>
      <c r="C91" s="58"/>
      <c r="D91" s="66">
        <f t="shared" si="7"/>
        <v>9400</v>
      </c>
      <c r="E91" s="64">
        <v>9700</v>
      </c>
      <c r="F91" s="50"/>
      <c r="G91" s="50"/>
      <c r="H91" s="58"/>
      <c r="I91" s="33">
        <f>IFERROR(INDEX(Кат!$A:$A,MATCH($A91,Кат!$G:$G,0)),INDEX(Торг!$B:$B,MATCH($A91,Торг!$I:$I,0)))</f>
        <v>364640</v>
      </c>
      <c r="J91" s="33" t="str">
        <f>IFERROR(INDEX(Кат!$D:$D,MATCH($A91,Кат!$G:$G,0)),INDEX(Торг!$E:$E,MATCH($A91,Торг!$I:$I,0)))</f>
        <v>Ручка КПП "Ferrum Group" (с подсветкой) для Лада Веста (Подсветка белая)</v>
      </c>
      <c r="K91" s="33" t="str">
        <f>IFERROR(INDEX(Кат!$C:$C,MATCH($A91,Кат!$G:$G,0)),INDEX(Торг!$D:$D,MATCH($A91,Торг!$I:$I,0)))</f>
        <v>https://ferrum.group/products/323</v>
      </c>
    </row>
    <row r="92" spans="1:11">
      <c r="A92" s="56" t="s">
        <v>385</v>
      </c>
      <c r="B92" s="58" t="s">
        <v>340</v>
      </c>
      <c r="C92" s="58"/>
      <c r="D92" s="66">
        <f t="shared" si="7"/>
        <v>5650</v>
      </c>
      <c r="E92" s="64">
        <v>5950</v>
      </c>
      <c r="F92" s="50"/>
      <c r="G92" s="50"/>
      <c r="H92" s="58"/>
      <c r="I92" s="33">
        <f>IFERROR(INDEX(Кат!$A:$A,MATCH($A92,Кат!$G:$G,0)),INDEX(Торг!$B:$B,MATCH($A92,Торг!$I:$I,0)))</f>
        <v>163999</v>
      </c>
      <c r="J92" s="33" t="str">
        <f>IFERROR(INDEX(Кат!$D:$D,MATCH($A92,Кат!$G:$G,0)),INDEX(Торг!$E:$E,MATCH($A92,Торг!$I:$I,0)))</f>
        <v>Модельная ручка КПП "Ferrum Group" с кожухом для Лада Калина 2, Приора 2, Гранта, Гранта FL (тросовая КПП)</v>
      </c>
      <c r="K92" s="33" t="str">
        <f>IFERROR(INDEX(Кат!$C:$C,MATCH($A92,Кат!$G:$G,0)),INDEX(Торг!$D:$D,MATCH($A92,Торг!$I:$I,0)))</f>
        <v>https://ferrum.group/products/240</v>
      </c>
    </row>
    <row r="93" spans="1:11" ht="25.5">
      <c r="A93" s="56" t="s">
        <v>386</v>
      </c>
      <c r="B93" s="58" t="s">
        <v>387</v>
      </c>
      <c r="C93" s="58"/>
      <c r="D93" s="66">
        <f t="shared" si="7"/>
        <v>6750</v>
      </c>
      <c r="E93" s="64">
        <v>7050</v>
      </c>
      <c r="F93" s="50"/>
      <c r="G93" s="50"/>
      <c r="H93" s="58"/>
      <c r="I93" s="33">
        <f>IFERROR(INDEX(Кат!$A:$A,MATCH($A93,Кат!$G:$G,0)),INDEX(Торг!$B:$B,MATCH($A93,Торг!$I:$I,0)))</f>
        <v>212269</v>
      </c>
      <c r="J93" s="33" t="str">
        <f>IFERROR(INDEX(Кат!$D:$D,MATCH($A93,Кат!$G:$G,0)),INDEX(Торг!$E:$E,MATCH($A93,Торг!$I:$I,0)))</f>
        <v>Ручка КПП "Ferrum Group" Sport с кожухом для Лада Гранта, Веста</v>
      </c>
      <c r="K93" s="33" t="str">
        <f>IFERROR(INDEX(Кат!$C:$C,MATCH($A93,Кат!$G:$G,0)),INDEX(Торг!$D:$D,MATCH($A93,Торг!$I:$I,0)))</f>
        <v>https://ferrum.group/products/317</v>
      </c>
    </row>
    <row r="94" spans="1:11">
      <c r="A94" s="56" t="s">
        <v>341</v>
      </c>
      <c r="B94" s="58"/>
      <c r="C94" s="58"/>
      <c r="D94" s="66">
        <f t="shared" si="7"/>
        <v>7250</v>
      </c>
      <c r="E94" s="64">
        <v>7550</v>
      </c>
      <c r="F94" s="50"/>
      <c r="G94" s="50"/>
      <c r="H94" s="58"/>
      <c r="I94" s="33">
        <f>IFERROR(INDEX(Кат!$A:$A,MATCH($A94,Кат!$G:$G,0)),INDEX(Торг!$B:$B,MATCH($A94,Торг!$I:$I,0)))</f>
        <v>212272</v>
      </c>
      <c r="J94" s="33" t="str">
        <f>IFERROR(INDEX(Кат!$D:$D,MATCH($A94,Кат!$G:$G,0)),INDEX(Торг!$E:$E,MATCH($A94,Торг!$I:$I,0)))</f>
        <v>Ручка КПП "Ferrum Group" для Лада (Ларгус, XRAY), Renault (Logan, Sandero) (Оранжевая нить)</v>
      </c>
      <c r="K94" s="33" t="str">
        <f>IFERROR(INDEX(Кат!$C:$C,MATCH($A94,Кат!$G:$G,0)),INDEX(Торг!$D:$D,MATCH($A94,Торг!$I:$I,0)))</f>
        <v>https://ferrum.group/products/314</v>
      </c>
    </row>
    <row r="95" spans="1:11" ht="25.5">
      <c r="A95" s="56" t="s">
        <v>388</v>
      </c>
      <c r="B95" s="58"/>
      <c r="C95" s="58"/>
      <c r="D95" s="66">
        <f t="shared" si="7"/>
        <v>7200</v>
      </c>
      <c r="E95" s="64">
        <v>7500</v>
      </c>
      <c r="F95" s="50"/>
      <c r="G95" s="50"/>
      <c r="H95" s="58"/>
      <c r="I95" s="33">
        <f>IFERROR(INDEX(Кат!$A:$A,MATCH($A95,Кат!$G:$G,0)),INDEX(Торг!$B:$B,MATCH($A95,Торг!$I:$I,0)))</f>
        <v>311717</v>
      </c>
      <c r="J95" s="33" t="str">
        <f>IFERROR(INDEX(Кат!$D:$D,MATCH($A95,Кат!$G:$G,0)),INDEX(Торг!$E:$E,MATCH($A95,Торг!$I:$I,0)))</f>
        <v>Модельная ручка КПП "Ferrum Group" для Лада Веста (Белая R)</v>
      </c>
      <c r="K95" s="33" t="str">
        <f>IFERROR(INDEX(Кат!$C:$C,MATCH($A95,Кат!$G:$G,0)),INDEX(Торг!$D:$D,MATCH($A95,Торг!$I:$I,0)))</f>
        <v>https://ferrum.group/products/313</v>
      </c>
    </row>
    <row r="96" spans="1:11">
      <c r="A96" s="56" t="s">
        <v>389</v>
      </c>
      <c r="B96" s="58"/>
      <c r="C96" s="58"/>
      <c r="D96" s="66">
        <f t="shared" si="7"/>
        <v>6750</v>
      </c>
      <c r="E96" s="64">
        <v>7050</v>
      </c>
      <c r="F96" s="50"/>
      <c r="G96" s="50"/>
      <c r="H96" s="58"/>
      <c r="I96" s="33">
        <f>IFERROR(INDEX(Кат!$A:$A,MATCH($A96,Кат!$G:$G,0)),INDEX(Торг!$B:$B,MATCH($A96,Торг!$I:$I,0)))</f>
        <v>212268</v>
      </c>
      <c r="J96" s="33" t="str">
        <f>IFERROR(INDEX(Кат!$D:$D,MATCH($A96,Кат!$G:$G,0)),INDEX(Торг!$E:$E,MATCH($A96,Торг!$I:$I,0)))</f>
        <v>Ручка КПП "Ferrum Group" BLACK CLUB (модельная) для ВАЗ 2101-2107, Лада Нива 4x4</v>
      </c>
      <c r="K96" s="33" t="str">
        <f>IFERROR(INDEX(Кат!$C:$C,MATCH($A96,Кат!$G:$G,0)),INDEX(Торг!$D:$D,MATCH($A96,Торг!$I:$I,0)))</f>
        <v>https://ferrum.group/products/312</v>
      </c>
    </row>
    <row r="97" spans="1:11" ht="25.5">
      <c r="A97" s="56" t="s">
        <v>342</v>
      </c>
      <c r="B97" s="57"/>
      <c r="C97" s="57"/>
      <c r="D97" s="66">
        <f t="shared" si="7"/>
        <v>7000</v>
      </c>
      <c r="E97" s="64">
        <v>7300</v>
      </c>
      <c r="F97" s="50"/>
      <c r="G97" s="50"/>
      <c r="H97" s="58"/>
      <c r="I97" s="33" t="e">
        <f>IFERROR(INDEX(Кат!$A:$A,MATCH($A97,Кат!$G:$G,0)),INDEX(Торг!$B:$B,MATCH($A97,Торг!$I:$I,0)))</f>
        <v>#N/A</v>
      </c>
      <c r="J97" s="33" t="e">
        <f>IFERROR(INDEX(Кат!$D:$D,MATCH($A97,Кат!$G:$G,0)),INDEX(Торг!$E:$E,MATCH($A97,Торг!$I:$I,0)))</f>
        <v>#N/A</v>
      </c>
      <c r="K97" s="33" t="e">
        <f>IFERROR(INDEX(Кат!$C:$C,MATCH($A97,Кат!$G:$G,0)),INDEX(Торг!$D:$D,MATCH($A97,Торг!$I:$I,0)))</f>
        <v>#N/A</v>
      </c>
    </row>
    <row r="98" spans="1:11" ht="25.5">
      <c r="A98" s="56" t="s">
        <v>343</v>
      </c>
      <c r="B98" s="57"/>
      <c r="C98" s="57"/>
      <c r="D98" s="66">
        <f t="shared" si="7"/>
        <v>6400</v>
      </c>
      <c r="E98" s="64">
        <v>6700</v>
      </c>
      <c r="F98" s="50"/>
      <c r="G98" s="50"/>
      <c r="H98" s="58"/>
      <c r="I98" s="33" t="e">
        <f>IFERROR(INDEX(Кат!$A:$A,MATCH($A98,Кат!$G:$G,0)),INDEX(Торг!$B:$B,MATCH($A98,Торг!$I:$I,0)))</f>
        <v>#N/A</v>
      </c>
      <c r="J98" s="33" t="e">
        <f>IFERROR(INDEX(Кат!$D:$D,MATCH($A98,Кат!$G:$G,0)),INDEX(Торг!$E:$E,MATCH($A98,Торг!$I:$I,0)))</f>
        <v>#N/A</v>
      </c>
      <c r="K98" s="33" t="e">
        <f>IFERROR(INDEX(Кат!$C:$C,MATCH($A98,Кат!$G:$G,0)),INDEX(Торг!$D:$D,MATCH($A98,Торг!$I:$I,0)))</f>
        <v>#N/A</v>
      </c>
    </row>
    <row r="99" spans="1:11" ht="25.5">
      <c r="A99" s="56" t="s">
        <v>894</v>
      </c>
      <c r="B99" s="57"/>
      <c r="C99" s="57"/>
      <c r="D99" s="66">
        <f t="shared" si="7"/>
        <v>6635</v>
      </c>
      <c r="E99" s="64">
        <v>6935</v>
      </c>
      <c r="F99" s="50"/>
      <c r="G99" s="50"/>
      <c r="H99" s="58"/>
      <c r="I99" s="33" t="e">
        <f>IFERROR(INDEX(Кат!$A:$A,MATCH($A99,Кат!$G:$G,0)),INDEX(Торг!$B:$B,MATCH($A99,Торг!$I:$I,0)))</f>
        <v>#N/A</v>
      </c>
      <c r="J99" s="33" t="e">
        <f>IFERROR(INDEX(Кат!$D:$D,MATCH($A99,Кат!$G:$G,0)),INDEX(Торг!$E:$E,MATCH($A99,Торг!$I:$I,0)))</f>
        <v>#N/A</v>
      </c>
      <c r="K99" s="33" t="e">
        <f>IFERROR(INDEX(Кат!$C:$C,MATCH($A99,Кат!$G:$G,0)),INDEX(Торг!$D:$D,MATCH($A99,Торг!$I:$I,0)))</f>
        <v>#N/A</v>
      </c>
    </row>
    <row r="100" spans="1:11" ht="25.5">
      <c r="A100" s="56" t="s">
        <v>895</v>
      </c>
      <c r="B100" s="57"/>
      <c r="C100" s="57"/>
      <c r="D100" s="66">
        <f t="shared" si="7"/>
        <v>7490</v>
      </c>
      <c r="E100" s="64">
        <v>7790</v>
      </c>
      <c r="F100" s="50"/>
      <c r="G100" s="50"/>
      <c r="H100" s="58"/>
      <c r="I100" s="33" t="e">
        <f>IFERROR(INDEX(Кат!$A:$A,MATCH($A100,Кат!$G:$G,0)),INDEX(Торг!$B:$B,MATCH($A100,Торг!$I:$I,0)))</f>
        <v>#N/A</v>
      </c>
      <c r="J100" s="33" t="e">
        <f>IFERROR(INDEX(Кат!$D:$D,MATCH($A100,Кат!$G:$G,0)),INDEX(Торг!$E:$E,MATCH($A100,Торг!$I:$I,0)))</f>
        <v>#N/A</v>
      </c>
      <c r="K100" s="33" t="e">
        <f>IFERROR(INDEX(Кат!$C:$C,MATCH($A100,Кат!$G:$G,0)),INDEX(Торг!$D:$D,MATCH($A100,Торг!$I:$I,0)))</f>
        <v>#N/A</v>
      </c>
    </row>
    <row r="101" spans="1:11">
      <c r="A101" s="56" t="s">
        <v>896</v>
      </c>
      <c r="B101" s="57"/>
      <c r="C101" s="57"/>
      <c r="D101" s="66">
        <f t="shared" si="7"/>
        <v>9600</v>
      </c>
      <c r="E101" s="64">
        <v>9900</v>
      </c>
      <c r="F101" s="50"/>
      <c r="G101" s="50"/>
      <c r="H101" s="58"/>
      <c r="I101" s="33">
        <f>IFERROR(INDEX(Кат!$A:$A,MATCH($A101,Кат!$G:$G,0)),INDEX(Торг!$B:$B,MATCH($A101,Торг!$I:$I,0)))</f>
        <v>364327</v>
      </c>
      <c r="J101" s="33" t="str">
        <f>IFERROR(INDEX(Кат!$D:$D,MATCH($A101,Кат!$G:$G,0)),INDEX(Торг!$E:$E,MATCH($A101,Торг!$I:$I,0)))</f>
        <v>Модельная ручка "Ferrum Group" для Лада Веста, Веста NG (Без подсветки)</v>
      </c>
      <c r="K101" s="33" t="str">
        <f>IFERROR(INDEX(Кат!$C:$C,MATCH($A101,Кат!$G:$G,0)),INDEX(Торг!$D:$D,MATCH($A101,Торг!$I:$I,0)))</f>
        <v>https://ferrum.group/products/336</v>
      </c>
    </row>
    <row r="102" spans="1:11">
      <c r="A102" s="56" t="s">
        <v>344</v>
      </c>
      <c r="B102" s="58"/>
      <c r="C102" s="58"/>
      <c r="D102" s="66">
        <f>E102-1000</f>
        <v>9650</v>
      </c>
      <c r="E102" s="64">
        <v>10650</v>
      </c>
      <c r="F102" s="50"/>
      <c r="G102" s="50"/>
      <c r="H102" s="58"/>
      <c r="I102" s="33">
        <f>IFERROR(INDEX(Кат!$A:$A,MATCH($A102,Кат!$G:$G,0)),INDEX(Торг!$B:$B,MATCH($A102,Торг!$I:$I,0)))</f>
        <v>217600</v>
      </c>
      <c r="J102" s="33" t="str">
        <f>IFERROR(INDEX(Кат!$D:$D,MATCH($A102,Кат!$G:$G,0)),INDEX(Торг!$E:$E,MATCH($A102,Торг!$I:$I,0)))</f>
        <v>Стилизованные колпачки ступиц "Ferrum Group" для Лада Веста</v>
      </c>
      <c r="K102" s="33" t="str">
        <f>IFERROR(INDEX(Кат!$C:$C,MATCH($A102,Кат!$G:$G,0)),INDEX(Торг!$D:$D,MATCH($A102,Торг!$I:$I,0)))</f>
        <v>https://ferrum.group/products/304</v>
      </c>
    </row>
    <row r="103" spans="1:11">
      <c r="A103" s="56" t="s">
        <v>390</v>
      </c>
      <c r="B103" s="57"/>
      <c r="C103" s="57"/>
      <c r="D103" s="66">
        <f>E103-1000</f>
        <v>5300</v>
      </c>
      <c r="E103" s="64">
        <v>6300</v>
      </c>
      <c r="F103" s="50"/>
      <c r="G103" s="50"/>
      <c r="H103" s="58"/>
      <c r="I103" s="33">
        <f>IFERROR(INDEX(Кат!$A:$A,MATCH($A103,Кат!$G:$G,0)),INDEX(Торг!$B:$B,MATCH($A103,Торг!$I:$I,0)))</f>
        <v>169887</v>
      </c>
      <c r="J103" s="33" t="str">
        <f>IFERROR(INDEX(Кат!$D:$D,MATCH($A103,Кат!$G:$G,0)),INDEX(Торг!$E:$E,MATCH($A103,Торг!$I:$I,0)))</f>
        <v>Накладки на пороги "Ferrum Group" для Лада Веста</v>
      </c>
      <c r="K103" s="33" t="str">
        <f>IFERROR(INDEX(Кат!$C:$C,MATCH($A103,Кат!$G:$G,0)),INDEX(Торг!$D:$D,MATCH($A103,Торг!$I:$I,0)))</f>
        <v>https://ferrum.group/products/309</v>
      </c>
    </row>
    <row r="104" spans="1:11" ht="25.5">
      <c r="A104" s="56" t="s">
        <v>391</v>
      </c>
      <c r="B104" s="57"/>
      <c r="C104" s="57"/>
      <c r="D104" s="66">
        <f>E104-450</f>
        <v>2100</v>
      </c>
      <c r="E104" s="64">
        <v>2550</v>
      </c>
      <c r="F104" s="50"/>
      <c r="G104" s="50"/>
      <c r="H104" s="58"/>
      <c r="I104" s="33">
        <f>IFERROR(INDEX(Кат!$A:$A,MATCH($A104,Кат!$G:$G,0)),INDEX(Торг!$B:$B,MATCH($A104,Торг!$I:$I,0)))</f>
        <v>248525</v>
      </c>
      <c r="J104" s="33" t="str">
        <f>IFERROR(INDEX(Кат!$D:$D,MATCH($A104,Кат!$G:$G,0)),INDEX(Торг!$E:$E,MATCH($A104,Торг!$I:$I,0)))</f>
        <v>Накладка решетки радиатора "Ferrum Group" для Лада Веста (Без покраски)</v>
      </c>
      <c r="K104" s="33" t="str">
        <f>IFERROR(INDEX(Кат!$C:$C,MATCH($A104,Кат!$G:$G,0)),INDEX(Торг!$D:$D,MATCH($A104,Торг!$I:$I,0)))</f>
        <v>https://ferrum.group/products/140</v>
      </c>
    </row>
    <row r="105" spans="1:11">
      <c r="A105" s="56" t="s">
        <v>345</v>
      </c>
      <c r="B105" s="57"/>
      <c r="C105" s="57"/>
      <c r="D105" s="66">
        <f>E105-1000</f>
        <v>7000</v>
      </c>
      <c r="E105" s="64">
        <v>8000</v>
      </c>
      <c r="F105" s="50"/>
      <c r="G105" s="50"/>
      <c r="H105" s="58"/>
      <c r="I105" s="33">
        <f>IFERROR(INDEX(Кат!$A:$A,MATCH($A105,Кат!$G:$G,0)),INDEX(Торг!$B:$B,MATCH($A105,Торг!$I:$I,0)))</f>
        <v>136922</v>
      </c>
      <c r="J105" s="33" t="str">
        <f>IFERROR(INDEX(Кат!$D:$D,MATCH($A105,Кат!$G:$G,0)),INDEX(Торг!$E:$E,MATCH($A105,Торг!$I:$I,0)))</f>
        <v>Блок управления отопителем с ручками "Ferrum Group" для Chevrolet Lacetti, Daewoo Gentra</v>
      </c>
      <c r="K105" s="33" t="str">
        <f>IFERROR(INDEX(Кат!$C:$C,MATCH($A105,Кат!$G:$G,0)),INDEX(Торг!$D:$D,MATCH($A105,Торг!$I:$I,0)))</f>
        <v>https://ferrum.group/products/136</v>
      </c>
    </row>
  </sheetData>
  <autoFilter ref="A7:WVK102" xr:uid="{D4E571CB-5567-40EC-A16F-4E26F37856E2}"/>
  <mergeCells count="7">
    <mergeCell ref="F6:F7"/>
    <mergeCell ref="H52:H53"/>
    <mergeCell ref="A52:A53"/>
    <mergeCell ref="B1:D1"/>
    <mergeCell ref="A6:A7"/>
    <mergeCell ref="B6:B7"/>
    <mergeCell ref="C6:E6"/>
  </mergeCells>
  <conditionalFormatting sqref="A1:A1048576">
    <cfRule type="duplicateValues" dxfId="9" priority="2"/>
  </conditionalFormatting>
  <conditionalFormatting sqref="B1:B1048576">
    <cfRule type="duplicateValues" dxfId="8" priority="1"/>
  </conditionalFormatting>
  <hyperlinks>
    <hyperlink ref="A1" r:id="rId1" xr:uid="{B53BCDD5-EF3A-45F1-940F-23C43C9ABA0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D5E28-BBB3-46B1-A902-EC60776205B6}">
  <sheetPr codeName="Лист4"/>
  <dimension ref="A1:O147"/>
  <sheetViews>
    <sheetView showGridLines="0" workbookViewId="0">
      <pane ySplit="1" topLeftCell="A146" activePane="bottomLeft" state="frozen"/>
      <selection pane="bottomLeft" activeCell="O1" sqref="O1"/>
    </sheetView>
  </sheetViews>
  <sheetFormatPr defaultRowHeight="15"/>
  <cols>
    <col min="1" max="1" width="7" customWidth="1"/>
    <col min="2" max="2" width="7" style="36" customWidth="1"/>
    <col min="3" max="3" width="36.5703125" customWidth="1"/>
    <col min="4" max="4" width="9.85546875" customWidth="1"/>
    <col min="5" max="5" width="36.5703125" customWidth="1"/>
    <col min="6" max="6" width="17.85546875" customWidth="1"/>
    <col min="7" max="7" width="9.85546875" customWidth="1"/>
    <col min="8" max="8" width="14.7109375" customWidth="1"/>
    <col min="9" max="9" width="14" customWidth="1"/>
    <col min="10" max="10" width="14" style="36" customWidth="1"/>
    <col min="11" max="11" width="12.28515625" customWidth="1"/>
  </cols>
  <sheetData>
    <row r="1" spans="1:15" ht="30">
      <c r="A1" s="232" t="s">
        <v>0</v>
      </c>
      <c r="B1" s="232" t="s">
        <v>475</v>
      </c>
      <c r="C1" s="232" t="s">
        <v>732</v>
      </c>
      <c r="D1" s="232" t="s">
        <v>733</v>
      </c>
      <c r="E1" s="232" t="s">
        <v>734</v>
      </c>
      <c r="F1" s="232" t="s">
        <v>735</v>
      </c>
      <c r="G1" s="232" t="s">
        <v>265</v>
      </c>
      <c r="H1" s="232" t="s">
        <v>160</v>
      </c>
      <c r="I1" s="232" t="s">
        <v>270</v>
      </c>
      <c r="J1" s="232" t="s">
        <v>736</v>
      </c>
      <c r="K1" s="232" t="s">
        <v>737</v>
      </c>
      <c r="L1" s="232" t="s">
        <v>738</v>
      </c>
      <c r="M1" s="232" t="s">
        <v>264</v>
      </c>
      <c r="N1" s="88"/>
      <c r="O1" s="88"/>
    </row>
    <row r="2" spans="1:15" ht="45">
      <c r="A2" s="233">
        <v>212886</v>
      </c>
      <c r="B2" s="233">
        <v>23732</v>
      </c>
      <c r="C2" s="234" t="s">
        <v>739</v>
      </c>
      <c r="D2" s="234" t="s">
        <v>740</v>
      </c>
      <c r="E2" s="234"/>
      <c r="F2" s="234" t="s">
        <v>214</v>
      </c>
      <c r="G2" s="234" t="s">
        <v>250</v>
      </c>
      <c r="H2" s="235">
        <v>2100</v>
      </c>
      <c r="I2" s="235">
        <v>2790</v>
      </c>
      <c r="J2" s="234"/>
      <c r="K2" s="234" t="s">
        <v>1</v>
      </c>
      <c r="L2" s="234"/>
      <c r="M2" s="234" t="s">
        <v>741</v>
      </c>
      <c r="N2" s="88" t="str">
        <f>_xlfn.CONCAT(K2,IF(L2&lt;&gt;"",_xlfn.CONCAT("ск",L2),""))</f>
        <v>1</v>
      </c>
      <c r="O2" s="88" t="str">
        <f>INDEX(Кат!$E:$E,MATCH($A2,Кат!$A:$A,0))</f>
        <v>N</v>
      </c>
    </row>
    <row r="3" spans="1:15" ht="45">
      <c r="A3" s="233">
        <v>212888</v>
      </c>
      <c r="B3" s="233">
        <v>6369</v>
      </c>
      <c r="C3" s="234" t="s">
        <v>742</v>
      </c>
      <c r="D3" s="234" t="s">
        <v>740</v>
      </c>
      <c r="E3" s="234"/>
      <c r="F3" s="234" t="s">
        <v>212</v>
      </c>
      <c r="G3" s="234" t="s">
        <v>250</v>
      </c>
      <c r="H3" s="235">
        <v>2100</v>
      </c>
      <c r="I3" s="235">
        <v>2790</v>
      </c>
      <c r="J3" s="234"/>
      <c r="K3" s="234" t="s">
        <v>1</v>
      </c>
      <c r="L3" s="234"/>
      <c r="M3" s="234" t="s">
        <v>741</v>
      </c>
      <c r="N3" s="88" t="str">
        <f t="shared" ref="N3:N66" si="0">_xlfn.CONCAT(K3,IF(L3&lt;&gt;"",_xlfn.CONCAT("ск",L3),""))</f>
        <v>1</v>
      </c>
      <c r="O3" s="88" t="str">
        <f>INDEX(Кат!$E:$E,MATCH($A3,Кат!$A:$A,0))</f>
        <v>N</v>
      </c>
    </row>
    <row r="4" spans="1:15" ht="45">
      <c r="A4" s="233">
        <v>212890</v>
      </c>
      <c r="B4" s="233">
        <v>23731</v>
      </c>
      <c r="C4" s="234" t="s">
        <v>743</v>
      </c>
      <c r="D4" s="234" t="s">
        <v>740</v>
      </c>
      <c r="E4" s="234"/>
      <c r="F4" s="234" t="s">
        <v>212</v>
      </c>
      <c r="G4" s="234" t="s">
        <v>250</v>
      </c>
      <c r="H4" s="235">
        <v>2100</v>
      </c>
      <c r="I4" s="235">
        <v>2790</v>
      </c>
      <c r="J4" s="234"/>
      <c r="K4" s="234" t="s">
        <v>1</v>
      </c>
      <c r="L4" s="234"/>
      <c r="M4" s="234" t="s">
        <v>741</v>
      </c>
      <c r="N4" s="88" t="str">
        <f t="shared" si="0"/>
        <v>1</v>
      </c>
      <c r="O4" s="88" t="str">
        <f>INDEX(Кат!$E:$E,MATCH($A4,Кат!$A:$A,0))</f>
        <v>N</v>
      </c>
    </row>
    <row r="5" spans="1:15" ht="45">
      <c r="A5" s="233">
        <v>226939</v>
      </c>
      <c r="B5" s="233">
        <v>7135</v>
      </c>
      <c r="C5" s="234" t="s">
        <v>1576</v>
      </c>
      <c r="D5" s="234" t="s">
        <v>740</v>
      </c>
      <c r="E5" s="234"/>
      <c r="F5" s="234" t="s">
        <v>185</v>
      </c>
      <c r="G5" s="234" t="s">
        <v>250</v>
      </c>
      <c r="H5" s="235">
        <v>77430</v>
      </c>
      <c r="I5" s="235">
        <v>95790</v>
      </c>
      <c r="J5" s="234"/>
      <c r="K5" s="234" t="s">
        <v>1</v>
      </c>
      <c r="L5" s="234"/>
      <c r="M5" s="234"/>
      <c r="N5" s="88" t="str">
        <f t="shared" si="0"/>
        <v>1</v>
      </c>
      <c r="O5" s="88" t="str">
        <f>INDEX(Кат!$E:$E,MATCH($A5,Кат!$A:$A,0))</f>
        <v>N</v>
      </c>
    </row>
    <row r="6" spans="1:15" ht="60">
      <c r="A6" s="233">
        <v>226940</v>
      </c>
      <c r="B6" s="233">
        <v>23811</v>
      </c>
      <c r="C6" s="234" t="s">
        <v>1577</v>
      </c>
      <c r="D6" s="234" t="s">
        <v>740</v>
      </c>
      <c r="E6" s="234"/>
      <c r="F6" s="234" t="s">
        <v>185</v>
      </c>
      <c r="G6" s="234" t="s">
        <v>250</v>
      </c>
      <c r="H6" s="235">
        <v>77430</v>
      </c>
      <c r="I6" s="235">
        <v>95790</v>
      </c>
      <c r="J6" s="234"/>
      <c r="K6" s="234" t="s">
        <v>1</v>
      </c>
      <c r="L6" s="234"/>
      <c r="M6" s="234"/>
      <c r="N6" s="88" t="str">
        <f t="shared" si="0"/>
        <v>1</v>
      </c>
      <c r="O6" s="88" t="str">
        <f>INDEX(Кат!$E:$E,MATCH($A6,Кат!$A:$A,0))</f>
        <v>N</v>
      </c>
    </row>
    <row r="7" spans="1:15" ht="60">
      <c r="A7" s="233">
        <v>256871</v>
      </c>
      <c r="B7" s="233">
        <v>178536</v>
      </c>
      <c r="C7" s="234" t="s">
        <v>1600</v>
      </c>
      <c r="D7" s="234" t="s">
        <v>740</v>
      </c>
      <c r="E7" s="234"/>
      <c r="F7" s="234" t="s">
        <v>464</v>
      </c>
      <c r="G7" s="234" t="s">
        <v>250</v>
      </c>
      <c r="H7" s="235">
        <v>77430</v>
      </c>
      <c r="I7" s="235">
        <v>95790</v>
      </c>
      <c r="J7" s="234"/>
      <c r="K7" s="234" t="s">
        <v>1</v>
      </c>
      <c r="L7" s="234"/>
      <c r="M7" s="234"/>
      <c r="N7" s="88" t="str">
        <f t="shared" si="0"/>
        <v>1</v>
      </c>
      <c r="O7" s="88" t="str">
        <f>INDEX(Кат!$E:$E,MATCH($A7,Кат!$A:$A,0))</f>
        <v>N</v>
      </c>
    </row>
    <row r="8" spans="1:15" ht="45">
      <c r="A8" s="233">
        <v>226945</v>
      </c>
      <c r="B8" s="233">
        <v>7145</v>
      </c>
      <c r="C8" s="234" t="s">
        <v>1601</v>
      </c>
      <c r="D8" s="234" t="s">
        <v>740</v>
      </c>
      <c r="E8" s="234"/>
      <c r="F8" s="234" t="s">
        <v>183</v>
      </c>
      <c r="G8" s="234" t="s">
        <v>250</v>
      </c>
      <c r="H8" s="235">
        <v>77430</v>
      </c>
      <c r="I8" s="235">
        <v>95790</v>
      </c>
      <c r="J8" s="234"/>
      <c r="K8" s="234" t="s">
        <v>1</v>
      </c>
      <c r="L8" s="234"/>
      <c r="M8" s="234"/>
      <c r="N8" s="88" t="str">
        <f t="shared" si="0"/>
        <v>1</v>
      </c>
      <c r="O8" s="88" t="str">
        <f>INDEX(Кат!$E:$E,MATCH($A8,Кат!$A:$A,0))</f>
        <v>N</v>
      </c>
    </row>
    <row r="9" spans="1:15" ht="120">
      <c r="A9" s="233">
        <v>226949</v>
      </c>
      <c r="B9" s="233">
        <v>7160</v>
      </c>
      <c r="C9" s="234" t="s">
        <v>1622</v>
      </c>
      <c r="D9" s="234" t="s">
        <v>740</v>
      </c>
      <c r="E9" s="234"/>
      <c r="F9" s="234" t="s">
        <v>194</v>
      </c>
      <c r="G9" s="234" t="s">
        <v>250</v>
      </c>
      <c r="H9" s="235">
        <v>75186</v>
      </c>
      <c r="I9" s="235">
        <v>92990</v>
      </c>
      <c r="J9" s="234" t="s">
        <v>637</v>
      </c>
      <c r="K9" s="234" t="s">
        <v>1</v>
      </c>
      <c r="L9" s="234"/>
      <c r="M9" s="234"/>
      <c r="N9" s="88" t="str">
        <f t="shared" si="0"/>
        <v>1</v>
      </c>
      <c r="O9" s="88" t="str">
        <f>INDEX(Кат!$E:$E,MATCH($A9,Кат!$A:$A,0))</f>
        <v>N</v>
      </c>
    </row>
    <row r="10" spans="1:15" ht="120">
      <c r="A10" s="233">
        <v>226950</v>
      </c>
      <c r="B10" s="233">
        <v>7159</v>
      </c>
      <c r="C10" s="234" t="s">
        <v>1623</v>
      </c>
      <c r="D10" s="234" t="s">
        <v>740</v>
      </c>
      <c r="E10" s="234"/>
      <c r="F10" s="234" t="s">
        <v>195</v>
      </c>
      <c r="G10" s="234" t="s">
        <v>250</v>
      </c>
      <c r="H10" s="235">
        <v>75186</v>
      </c>
      <c r="I10" s="235">
        <v>92990</v>
      </c>
      <c r="J10" s="234" t="s">
        <v>638</v>
      </c>
      <c r="K10" s="234" t="s">
        <v>1</v>
      </c>
      <c r="L10" s="234"/>
      <c r="M10" s="234"/>
      <c r="N10" s="88" t="str">
        <f t="shared" si="0"/>
        <v>1</v>
      </c>
      <c r="O10" s="88" t="str">
        <f>INDEX(Кат!$E:$E,MATCH($A10,Кат!$A:$A,0))</f>
        <v>N</v>
      </c>
    </row>
    <row r="11" spans="1:15" ht="135">
      <c r="A11" s="233">
        <v>226951</v>
      </c>
      <c r="B11" s="233">
        <v>7161</v>
      </c>
      <c r="C11" s="234" t="s">
        <v>1624</v>
      </c>
      <c r="D11" s="234" t="s">
        <v>740</v>
      </c>
      <c r="E11" s="234"/>
      <c r="F11" s="234" t="s">
        <v>196</v>
      </c>
      <c r="G11" s="234" t="s">
        <v>250</v>
      </c>
      <c r="H11" s="235">
        <v>75186</v>
      </c>
      <c r="I11" s="235">
        <v>92990</v>
      </c>
      <c r="J11" s="234" t="s">
        <v>639</v>
      </c>
      <c r="K11" s="234" t="s">
        <v>1</v>
      </c>
      <c r="L11" s="234"/>
      <c r="M11" s="234"/>
      <c r="N11" s="88" t="str">
        <f t="shared" si="0"/>
        <v>1</v>
      </c>
      <c r="O11" s="88" t="str">
        <f>INDEX(Кат!$E:$E,MATCH($A11,Кат!$A:$A,0))</f>
        <v>N</v>
      </c>
    </row>
    <row r="12" spans="1:15" ht="45">
      <c r="A12" s="233">
        <v>226952</v>
      </c>
      <c r="B12" s="233">
        <v>23805</v>
      </c>
      <c r="C12" s="234" t="s">
        <v>1578</v>
      </c>
      <c r="D12" s="234" t="s">
        <v>740</v>
      </c>
      <c r="E12" s="234"/>
      <c r="F12" s="234" t="s">
        <v>193</v>
      </c>
      <c r="G12" s="234" t="s">
        <v>250</v>
      </c>
      <c r="H12" s="235">
        <v>78210</v>
      </c>
      <c r="I12" s="235">
        <v>96790</v>
      </c>
      <c r="J12" s="234"/>
      <c r="K12" s="234" t="s">
        <v>1</v>
      </c>
      <c r="L12" s="234"/>
      <c r="M12" s="234"/>
      <c r="N12" s="88" t="str">
        <f t="shared" si="0"/>
        <v>1</v>
      </c>
      <c r="O12" s="88" t="str">
        <f>INDEX(Кат!$E:$E,MATCH($A12,Кат!$A:$A,0))</f>
        <v>N</v>
      </c>
    </row>
    <row r="13" spans="1:15" ht="45">
      <c r="A13" s="233">
        <v>226954</v>
      </c>
      <c r="B13" s="233">
        <v>23806</v>
      </c>
      <c r="C13" s="234" t="s">
        <v>1579</v>
      </c>
      <c r="D13" s="234" t="s">
        <v>740</v>
      </c>
      <c r="E13" s="234"/>
      <c r="F13" s="234" t="s">
        <v>203</v>
      </c>
      <c r="G13" s="234" t="s">
        <v>250</v>
      </c>
      <c r="H13" s="235">
        <v>78210</v>
      </c>
      <c r="I13" s="235">
        <v>96790</v>
      </c>
      <c r="J13" s="234"/>
      <c r="K13" s="234" t="s">
        <v>1</v>
      </c>
      <c r="L13" s="234"/>
      <c r="M13" s="234"/>
      <c r="N13" s="88" t="str">
        <f t="shared" si="0"/>
        <v>1</v>
      </c>
      <c r="O13" s="88" t="str">
        <f>INDEX(Кат!$E:$E,MATCH($A13,Кат!$A:$A,0))</f>
        <v>N</v>
      </c>
    </row>
    <row r="14" spans="1:15" ht="120">
      <c r="A14" s="233">
        <v>136922</v>
      </c>
      <c r="B14" s="233">
        <v>23737</v>
      </c>
      <c r="C14" s="234" t="s">
        <v>65</v>
      </c>
      <c r="D14" s="234" t="s">
        <v>741</v>
      </c>
      <c r="E14" s="234"/>
      <c r="F14" s="234" t="s">
        <v>152</v>
      </c>
      <c r="G14" s="234" t="s">
        <v>250</v>
      </c>
      <c r="H14" s="235">
        <v>7000</v>
      </c>
      <c r="I14" s="235">
        <v>9490</v>
      </c>
      <c r="J14" s="234" t="s">
        <v>628</v>
      </c>
      <c r="K14" s="234" t="s">
        <v>1</v>
      </c>
      <c r="L14" s="234"/>
      <c r="M14" s="234" t="s">
        <v>741</v>
      </c>
      <c r="N14" s="88" t="str">
        <f t="shared" si="0"/>
        <v>1</v>
      </c>
      <c r="O14" s="88" t="str">
        <f>INDEX(Кат!$E:$E,MATCH($A14,Кат!$A:$A,0))</f>
        <v>Y</v>
      </c>
    </row>
    <row r="15" spans="1:15" ht="30">
      <c r="A15" s="233">
        <v>138621</v>
      </c>
      <c r="B15" s="233">
        <v>7056</v>
      </c>
      <c r="C15" s="234" t="s">
        <v>6</v>
      </c>
      <c r="D15" s="234" t="s">
        <v>741</v>
      </c>
      <c r="E15" s="234"/>
      <c r="F15" s="234"/>
      <c r="G15" s="234" t="s">
        <v>250</v>
      </c>
      <c r="H15" s="235">
        <v>4050</v>
      </c>
      <c r="I15" s="235">
        <v>5090</v>
      </c>
      <c r="J15" s="234"/>
      <c r="K15" s="234" t="s">
        <v>744</v>
      </c>
      <c r="L15" s="234"/>
      <c r="M15" s="234" t="s">
        <v>741</v>
      </c>
      <c r="N15" s="88" t="str">
        <f t="shared" si="0"/>
        <v>0</v>
      </c>
      <c r="O15" s="88" t="str">
        <f>INDEX(Кат!$E:$E,MATCH($A15,Кат!$A:$A,0))</f>
        <v>Y</v>
      </c>
    </row>
    <row r="16" spans="1:15" ht="45">
      <c r="A16" s="233">
        <v>138622</v>
      </c>
      <c r="B16" s="233">
        <v>7078</v>
      </c>
      <c r="C16" s="234" t="s">
        <v>10</v>
      </c>
      <c r="D16" s="234" t="s">
        <v>741</v>
      </c>
      <c r="E16" s="234"/>
      <c r="F16" s="234" t="s">
        <v>217</v>
      </c>
      <c r="G16" s="234" t="s">
        <v>250</v>
      </c>
      <c r="H16" s="235">
        <v>6600</v>
      </c>
      <c r="I16" s="235">
        <v>8890</v>
      </c>
      <c r="J16" s="234" t="s">
        <v>534</v>
      </c>
      <c r="K16" s="234" t="s">
        <v>1</v>
      </c>
      <c r="L16" s="234"/>
      <c r="M16" s="234" t="s">
        <v>741</v>
      </c>
      <c r="N16" s="88" t="str">
        <f t="shared" si="0"/>
        <v>1</v>
      </c>
      <c r="O16" s="88" t="str">
        <f>INDEX(Кат!$E:$E,MATCH($A16,Кат!$A:$A,0))</f>
        <v>Y</v>
      </c>
    </row>
    <row r="17" spans="1:15" ht="45">
      <c r="A17" s="233">
        <v>138623</v>
      </c>
      <c r="B17" s="233">
        <v>7054</v>
      </c>
      <c r="C17" s="234" t="s">
        <v>5</v>
      </c>
      <c r="D17" s="234" t="s">
        <v>741</v>
      </c>
      <c r="E17" s="234"/>
      <c r="F17" s="234" t="s">
        <v>218</v>
      </c>
      <c r="G17" s="234" t="s">
        <v>250</v>
      </c>
      <c r="H17" s="235">
        <v>6200</v>
      </c>
      <c r="I17" s="235">
        <v>8890</v>
      </c>
      <c r="J17" s="234" t="s">
        <v>533</v>
      </c>
      <c r="K17" s="234" t="s">
        <v>1</v>
      </c>
      <c r="L17" s="234"/>
      <c r="M17" s="234" t="s">
        <v>741</v>
      </c>
      <c r="N17" s="88" t="str">
        <f t="shared" si="0"/>
        <v>1</v>
      </c>
      <c r="O17" s="88" t="str">
        <f>INDEX(Кат!$E:$E,MATCH($A17,Кат!$A:$A,0))</f>
        <v>Y</v>
      </c>
    </row>
    <row r="18" spans="1:15" ht="105">
      <c r="A18" s="233">
        <v>138624</v>
      </c>
      <c r="B18" s="233">
        <v>7035</v>
      </c>
      <c r="C18" s="234" t="s">
        <v>3</v>
      </c>
      <c r="D18" s="234" t="s">
        <v>741</v>
      </c>
      <c r="E18" s="234"/>
      <c r="F18" s="234" t="s">
        <v>219</v>
      </c>
      <c r="G18" s="234" t="s">
        <v>250</v>
      </c>
      <c r="H18" s="235">
        <v>8200</v>
      </c>
      <c r="I18" s="235">
        <v>10590</v>
      </c>
      <c r="J18" s="234" t="s">
        <v>536</v>
      </c>
      <c r="K18" s="234" t="s">
        <v>1</v>
      </c>
      <c r="L18" s="234"/>
      <c r="M18" s="234" t="s">
        <v>741</v>
      </c>
      <c r="N18" s="88" t="str">
        <f t="shared" si="0"/>
        <v>1</v>
      </c>
      <c r="O18" s="88" t="str">
        <f>INDEX(Кат!$E:$E,MATCH($A18,Кат!$A:$A,0))</f>
        <v>Y</v>
      </c>
    </row>
    <row r="19" spans="1:15" ht="105">
      <c r="A19" s="233">
        <v>138625</v>
      </c>
      <c r="B19" s="233">
        <v>7075</v>
      </c>
      <c r="C19" s="234" t="s">
        <v>9</v>
      </c>
      <c r="D19" s="234" t="s">
        <v>741</v>
      </c>
      <c r="E19" s="234"/>
      <c r="F19" s="234" t="s">
        <v>220</v>
      </c>
      <c r="G19" s="234" t="s">
        <v>250</v>
      </c>
      <c r="H19" s="235">
        <v>8200</v>
      </c>
      <c r="I19" s="235">
        <v>10590</v>
      </c>
      <c r="J19" s="234" t="s">
        <v>537</v>
      </c>
      <c r="K19" s="234" t="s">
        <v>1</v>
      </c>
      <c r="L19" s="234"/>
      <c r="M19" s="234" t="s">
        <v>741</v>
      </c>
      <c r="N19" s="88" t="str">
        <f t="shared" si="0"/>
        <v>1</v>
      </c>
      <c r="O19" s="88" t="str">
        <f>INDEX(Кат!$E:$E,MATCH($A19,Кат!$A:$A,0))</f>
        <v>Y</v>
      </c>
    </row>
    <row r="20" spans="1:15" ht="135">
      <c r="A20" s="233">
        <v>138626</v>
      </c>
      <c r="B20" s="233">
        <v>7088</v>
      </c>
      <c r="C20" s="234" t="s">
        <v>11</v>
      </c>
      <c r="D20" s="234" t="s">
        <v>741</v>
      </c>
      <c r="E20" s="234"/>
      <c r="F20" s="234" t="s">
        <v>226</v>
      </c>
      <c r="G20" s="234" t="s">
        <v>250</v>
      </c>
      <c r="H20" s="235">
        <v>5225</v>
      </c>
      <c r="I20" s="235">
        <v>6990</v>
      </c>
      <c r="J20" s="234" t="s">
        <v>522</v>
      </c>
      <c r="K20" s="234" t="s">
        <v>1</v>
      </c>
      <c r="L20" s="234"/>
      <c r="M20" s="234" t="s">
        <v>741</v>
      </c>
      <c r="N20" s="88" t="str">
        <f t="shared" si="0"/>
        <v>1</v>
      </c>
      <c r="O20" s="88" t="str">
        <f>INDEX(Кат!$E:$E,MATCH($A20,Кат!$A:$A,0))</f>
        <v>Y</v>
      </c>
    </row>
    <row r="21" spans="1:15" ht="135">
      <c r="A21" s="233">
        <v>138627</v>
      </c>
      <c r="B21" s="233">
        <v>7089</v>
      </c>
      <c r="C21" s="234" t="s">
        <v>12</v>
      </c>
      <c r="D21" s="234" t="s">
        <v>741</v>
      </c>
      <c r="E21" s="234"/>
      <c r="F21" s="234" t="s">
        <v>225</v>
      </c>
      <c r="G21" s="234" t="s">
        <v>250</v>
      </c>
      <c r="H21" s="235">
        <v>10900</v>
      </c>
      <c r="I21" s="235">
        <v>13490</v>
      </c>
      <c r="J21" s="234" t="s">
        <v>540</v>
      </c>
      <c r="K21" s="234" t="s">
        <v>1</v>
      </c>
      <c r="L21" s="234"/>
      <c r="M21" s="234" t="s">
        <v>741</v>
      </c>
      <c r="N21" s="88" t="str">
        <f t="shared" si="0"/>
        <v>1</v>
      </c>
      <c r="O21" s="88" t="str">
        <f>INDEX(Кат!$E:$E,MATCH($A21,Кат!$A:$A,0))</f>
        <v>Y</v>
      </c>
    </row>
    <row r="22" spans="1:15" ht="45">
      <c r="A22" s="233">
        <v>138628</v>
      </c>
      <c r="B22" s="233">
        <v>7022</v>
      </c>
      <c r="C22" s="234" t="s">
        <v>2</v>
      </c>
      <c r="D22" s="234" t="s">
        <v>741</v>
      </c>
      <c r="E22" s="234"/>
      <c r="F22" s="234"/>
      <c r="G22" s="234" t="s">
        <v>250</v>
      </c>
      <c r="H22" s="235">
        <v>0</v>
      </c>
      <c r="I22" s="235">
        <v>6290</v>
      </c>
      <c r="J22" s="234"/>
      <c r="K22" s="234" t="s">
        <v>744</v>
      </c>
      <c r="L22" s="234"/>
      <c r="M22" s="234" t="s">
        <v>741</v>
      </c>
      <c r="N22" s="88" t="str">
        <f t="shared" si="0"/>
        <v>0</v>
      </c>
      <c r="O22" s="88" t="str">
        <f>INDEX(Кат!$E:$E,MATCH($A22,Кат!$A:$A,0))</f>
        <v>Y</v>
      </c>
    </row>
    <row r="23" spans="1:15" ht="135">
      <c r="A23" s="233">
        <v>138629</v>
      </c>
      <c r="B23" s="233">
        <v>7063</v>
      </c>
      <c r="C23" s="234" t="s">
        <v>7</v>
      </c>
      <c r="D23" s="234" t="s">
        <v>741</v>
      </c>
      <c r="E23" s="234"/>
      <c r="F23" s="234"/>
      <c r="G23" s="234" t="s">
        <v>250</v>
      </c>
      <c r="H23" s="235">
        <v>10800</v>
      </c>
      <c r="I23" s="235">
        <v>13390</v>
      </c>
      <c r="J23" s="234" t="s">
        <v>539</v>
      </c>
      <c r="K23" s="234" t="s">
        <v>1</v>
      </c>
      <c r="L23" s="234"/>
      <c r="M23" s="234" t="s">
        <v>741</v>
      </c>
      <c r="N23" s="88" t="str">
        <f t="shared" si="0"/>
        <v>1</v>
      </c>
      <c r="O23" s="88" t="str">
        <f>INDEX(Кат!$E:$E,MATCH($A23,Кат!$A:$A,0))</f>
        <v>Y</v>
      </c>
    </row>
    <row r="24" spans="1:15" ht="30">
      <c r="A24" s="233">
        <v>138630</v>
      </c>
      <c r="B24" s="233">
        <v>7052</v>
      </c>
      <c r="C24" s="234" t="s">
        <v>4</v>
      </c>
      <c r="D24" s="234" t="s">
        <v>741</v>
      </c>
      <c r="E24" s="234"/>
      <c r="F24" s="234"/>
      <c r="G24" s="234" t="s">
        <v>250</v>
      </c>
      <c r="H24" s="235">
        <v>6600</v>
      </c>
      <c r="I24" s="235">
        <v>8190</v>
      </c>
      <c r="J24" s="234"/>
      <c r="K24" s="234" t="s">
        <v>744</v>
      </c>
      <c r="L24" s="234"/>
      <c r="M24" s="234" t="s">
        <v>741</v>
      </c>
      <c r="N24" s="88" t="str">
        <f t="shared" si="0"/>
        <v>0</v>
      </c>
      <c r="O24" s="88" t="str">
        <f>INDEX(Кат!$E:$E,MATCH($A24,Кат!$A:$A,0))</f>
        <v>Y</v>
      </c>
    </row>
    <row r="25" spans="1:15" ht="45">
      <c r="A25" s="233">
        <v>138631</v>
      </c>
      <c r="B25" s="233">
        <v>7067</v>
      </c>
      <c r="C25" s="234" t="s">
        <v>8</v>
      </c>
      <c r="D25" s="234" t="s">
        <v>741</v>
      </c>
      <c r="E25" s="234"/>
      <c r="F25" s="234"/>
      <c r="G25" s="234" t="s">
        <v>250</v>
      </c>
      <c r="H25" s="235">
        <v>4000</v>
      </c>
      <c r="I25" s="235">
        <v>4990</v>
      </c>
      <c r="J25" s="234"/>
      <c r="K25" s="234" t="s">
        <v>744</v>
      </c>
      <c r="L25" s="234"/>
      <c r="M25" s="234" t="s">
        <v>741</v>
      </c>
      <c r="N25" s="88" t="str">
        <f t="shared" si="0"/>
        <v>0</v>
      </c>
      <c r="O25" s="88" t="str">
        <f>INDEX(Кат!$E:$E,MATCH($A25,Кат!$A:$A,0))</f>
        <v>Y</v>
      </c>
    </row>
    <row r="26" spans="1:15" ht="30">
      <c r="A26" s="233">
        <v>138645</v>
      </c>
      <c r="B26" s="233">
        <v>7065</v>
      </c>
      <c r="C26" s="234" t="s">
        <v>263</v>
      </c>
      <c r="D26" s="234" t="s">
        <v>741</v>
      </c>
      <c r="E26" s="234"/>
      <c r="F26" s="234"/>
      <c r="G26" s="234" t="s">
        <v>250</v>
      </c>
      <c r="H26" s="235">
        <v>0</v>
      </c>
      <c r="I26" s="235">
        <v>3990</v>
      </c>
      <c r="J26" s="234"/>
      <c r="K26" s="234" t="s">
        <v>744</v>
      </c>
      <c r="L26" s="234"/>
      <c r="M26" s="234" t="s">
        <v>741</v>
      </c>
      <c r="N26" s="88" t="str">
        <f t="shared" si="0"/>
        <v>0</v>
      </c>
      <c r="O26" s="88" t="str">
        <f>INDEX(Кат!$E:$E,MATCH($A26,Кат!$A:$A,0))</f>
        <v>Y</v>
      </c>
    </row>
    <row r="27" spans="1:15" ht="30">
      <c r="A27" s="233">
        <v>138646</v>
      </c>
      <c r="B27" s="233">
        <v>7055</v>
      </c>
      <c r="C27" s="234" t="s">
        <v>262</v>
      </c>
      <c r="D27" s="234" t="s">
        <v>741</v>
      </c>
      <c r="E27" s="234"/>
      <c r="F27" s="234"/>
      <c r="G27" s="234" t="s">
        <v>250</v>
      </c>
      <c r="H27" s="235"/>
      <c r="I27" s="235">
        <v>0</v>
      </c>
      <c r="J27" s="234"/>
      <c r="K27" s="234" t="s">
        <v>744</v>
      </c>
      <c r="L27" s="234"/>
      <c r="M27" s="234" t="s">
        <v>741</v>
      </c>
      <c r="N27" s="88" t="str">
        <f t="shared" si="0"/>
        <v>0</v>
      </c>
      <c r="O27" s="88" t="str">
        <f>INDEX(Кат!$E:$E,MATCH($A27,Кат!$A:$A,0))</f>
        <v>Y</v>
      </c>
    </row>
    <row r="28" spans="1:15" ht="30">
      <c r="A28" s="233">
        <v>138647</v>
      </c>
      <c r="B28" s="233">
        <v>7085</v>
      </c>
      <c r="C28" s="234" t="s">
        <v>410</v>
      </c>
      <c r="D28" s="234" t="s">
        <v>741</v>
      </c>
      <c r="E28" s="234"/>
      <c r="F28" s="234"/>
      <c r="G28" s="234" t="s">
        <v>250</v>
      </c>
      <c r="H28" s="235"/>
      <c r="I28" s="235">
        <v>0</v>
      </c>
      <c r="J28" s="234"/>
      <c r="K28" s="234" t="s">
        <v>744</v>
      </c>
      <c r="L28" s="234"/>
      <c r="M28" s="234" t="s">
        <v>741</v>
      </c>
      <c r="N28" s="88" t="str">
        <f t="shared" si="0"/>
        <v>0</v>
      </c>
      <c r="O28" s="88" t="str">
        <f>INDEX(Кат!$E:$E,MATCH($A28,Кат!$A:$A,0))</f>
        <v>Y</v>
      </c>
    </row>
    <row r="29" spans="1:15">
      <c r="A29" s="233">
        <v>138648</v>
      </c>
      <c r="B29" s="233">
        <v>7087</v>
      </c>
      <c r="C29" s="234" t="s">
        <v>261</v>
      </c>
      <c r="D29" s="234" t="s">
        <v>741</v>
      </c>
      <c r="E29" s="234"/>
      <c r="F29" s="234"/>
      <c r="G29" s="234" t="s">
        <v>250</v>
      </c>
      <c r="H29" s="235"/>
      <c r="I29" s="235">
        <v>0</v>
      </c>
      <c r="J29" s="234"/>
      <c r="K29" s="234" t="s">
        <v>744</v>
      </c>
      <c r="L29" s="234"/>
      <c r="M29" s="234" t="s">
        <v>741</v>
      </c>
      <c r="N29" s="88" t="str">
        <f t="shared" si="0"/>
        <v>0</v>
      </c>
      <c r="O29" s="88" t="str">
        <f>INDEX(Кат!$E:$E,MATCH($A29,Кат!$A:$A,0))</f>
        <v>Y</v>
      </c>
    </row>
    <row r="30" spans="1:15" ht="105">
      <c r="A30" s="233">
        <v>138649</v>
      </c>
      <c r="B30" s="233">
        <v>7023</v>
      </c>
      <c r="C30" s="234" t="s">
        <v>260</v>
      </c>
      <c r="D30" s="234" t="s">
        <v>741</v>
      </c>
      <c r="E30" s="234"/>
      <c r="F30" s="234" t="s">
        <v>221</v>
      </c>
      <c r="G30" s="234" t="s">
        <v>250</v>
      </c>
      <c r="H30" s="235">
        <v>7900</v>
      </c>
      <c r="I30" s="235">
        <v>9790</v>
      </c>
      <c r="J30" s="234" t="s">
        <v>535</v>
      </c>
      <c r="K30" s="234" t="s">
        <v>1</v>
      </c>
      <c r="L30" s="234"/>
      <c r="M30" s="234" t="s">
        <v>741</v>
      </c>
      <c r="N30" s="88" t="str">
        <f t="shared" si="0"/>
        <v>1</v>
      </c>
      <c r="O30" s="88" t="str">
        <f>INDEX(Кат!$E:$E,MATCH($A30,Кат!$A:$A,0))</f>
        <v>Y</v>
      </c>
    </row>
    <row r="31" spans="1:15" ht="30">
      <c r="A31" s="233">
        <v>138650</v>
      </c>
      <c r="B31" s="233">
        <v>7064</v>
      </c>
      <c r="C31" s="234" t="s">
        <v>259</v>
      </c>
      <c r="D31" s="234" t="s">
        <v>741</v>
      </c>
      <c r="E31" s="234"/>
      <c r="F31" s="234"/>
      <c r="G31" s="234" t="s">
        <v>250</v>
      </c>
      <c r="H31" s="235">
        <v>0</v>
      </c>
      <c r="I31" s="235">
        <v>4590</v>
      </c>
      <c r="J31" s="234"/>
      <c r="K31" s="234" t="s">
        <v>744</v>
      </c>
      <c r="L31" s="234"/>
      <c r="M31" s="234" t="s">
        <v>741</v>
      </c>
      <c r="N31" s="88" t="str">
        <f t="shared" si="0"/>
        <v>0</v>
      </c>
      <c r="O31" s="88" t="str">
        <f>INDEX(Кат!$E:$E,MATCH($A31,Кат!$A:$A,0))</f>
        <v>Y</v>
      </c>
    </row>
    <row r="32" spans="1:15" ht="45">
      <c r="A32" s="233">
        <v>138651</v>
      </c>
      <c r="B32" s="233">
        <v>7066</v>
      </c>
      <c r="C32" s="234" t="s">
        <v>258</v>
      </c>
      <c r="D32" s="234" t="s">
        <v>741</v>
      </c>
      <c r="E32" s="234"/>
      <c r="F32" s="234"/>
      <c r="G32" s="234" t="s">
        <v>250</v>
      </c>
      <c r="H32" s="235">
        <v>0</v>
      </c>
      <c r="I32" s="235">
        <v>7890</v>
      </c>
      <c r="J32" s="234"/>
      <c r="K32" s="234" t="s">
        <v>744</v>
      </c>
      <c r="L32" s="234"/>
      <c r="M32" s="234" t="s">
        <v>741</v>
      </c>
      <c r="N32" s="88" t="str">
        <f t="shared" si="0"/>
        <v>0</v>
      </c>
      <c r="O32" s="88" t="str">
        <f>INDEX(Кат!$E:$E,MATCH($A32,Кат!$A:$A,0))</f>
        <v>Y</v>
      </c>
    </row>
    <row r="33" spans="1:15" ht="135">
      <c r="A33" s="233">
        <v>142192</v>
      </c>
      <c r="B33" s="233">
        <v>23715</v>
      </c>
      <c r="C33" s="234" t="s">
        <v>48</v>
      </c>
      <c r="D33" s="234" t="s">
        <v>741</v>
      </c>
      <c r="E33" s="234"/>
      <c r="F33" s="234" t="s">
        <v>227</v>
      </c>
      <c r="G33" s="234" t="s">
        <v>250</v>
      </c>
      <c r="H33" s="235">
        <v>10700</v>
      </c>
      <c r="I33" s="235">
        <v>14790</v>
      </c>
      <c r="J33" s="234" t="s">
        <v>626</v>
      </c>
      <c r="K33" s="234" t="s">
        <v>1</v>
      </c>
      <c r="L33" s="234"/>
      <c r="M33" s="234" t="s">
        <v>741</v>
      </c>
      <c r="N33" s="88" t="str">
        <f t="shared" si="0"/>
        <v>1</v>
      </c>
      <c r="O33" s="88" t="str">
        <f>INDEX(Кат!$E:$E,MATCH($A33,Кат!$A:$A,0))</f>
        <v>Y</v>
      </c>
    </row>
    <row r="34" spans="1:15" ht="30">
      <c r="A34" s="233">
        <v>158689</v>
      </c>
      <c r="B34" s="233">
        <v>31335</v>
      </c>
      <c r="C34" s="234" t="s">
        <v>92</v>
      </c>
      <c r="D34" s="234" t="s">
        <v>741</v>
      </c>
      <c r="E34" s="234"/>
      <c r="F34" s="234"/>
      <c r="G34" s="234" t="s">
        <v>250</v>
      </c>
      <c r="H34" s="235">
        <v>5500</v>
      </c>
      <c r="I34" s="235">
        <v>6890</v>
      </c>
      <c r="J34" s="234"/>
      <c r="K34" s="234" t="s">
        <v>744</v>
      </c>
      <c r="L34" s="234"/>
      <c r="M34" s="234" t="s">
        <v>741</v>
      </c>
      <c r="N34" s="88" t="str">
        <f t="shared" si="0"/>
        <v>0</v>
      </c>
      <c r="O34" s="88" t="str">
        <f>INDEX(Кат!$E:$E,MATCH($A34,Кат!$A:$A,0))</f>
        <v>Y</v>
      </c>
    </row>
    <row r="35" spans="1:15" ht="105">
      <c r="A35" s="233">
        <v>158823</v>
      </c>
      <c r="B35" s="233">
        <v>23738</v>
      </c>
      <c r="C35" s="234" t="s">
        <v>66</v>
      </c>
      <c r="D35" s="234" t="s">
        <v>741</v>
      </c>
      <c r="E35" s="234"/>
      <c r="F35" s="234" t="s">
        <v>153</v>
      </c>
      <c r="G35" s="234" t="s">
        <v>250</v>
      </c>
      <c r="H35" s="235">
        <v>3300</v>
      </c>
      <c r="I35" s="235">
        <v>4490</v>
      </c>
      <c r="J35" s="234" t="s">
        <v>518</v>
      </c>
      <c r="K35" s="234" t="s">
        <v>1</v>
      </c>
      <c r="L35" s="234"/>
      <c r="M35" s="234" t="s">
        <v>741</v>
      </c>
      <c r="N35" s="88" t="str">
        <f t="shared" si="0"/>
        <v>1</v>
      </c>
      <c r="O35" s="88" t="str">
        <f>INDEX(Кат!$E:$E,MATCH($A35,Кат!$A:$A,0))</f>
        <v>Y</v>
      </c>
    </row>
    <row r="36" spans="1:15" ht="135">
      <c r="A36" s="233">
        <v>158824</v>
      </c>
      <c r="B36" s="233">
        <v>23740</v>
      </c>
      <c r="C36" s="234" t="s">
        <v>68</v>
      </c>
      <c r="D36" s="234" t="s">
        <v>741</v>
      </c>
      <c r="E36" s="234"/>
      <c r="F36" s="234" t="s">
        <v>223</v>
      </c>
      <c r="G36" s="234" t="s">
        <v>250</v>
      </c>
      <c r="H36" s="235">
        <v>3300</v>
      </c>
      <c r="I36" s="235">
        <v>4490</v>
      </c>
      <c r="J36" s="234" t="s">
        <v>517</v>
      </c>
      <c r="K36" s="234" t="s">
        <v>1</v>
      </c>
      <c r="L36" s="234"/>
      <c r="M36" s="234" t="s">
        <v>741</v>
      </c>
      <c r="N36" s="88" t="str">
        <f t="shared" si="0"/>
        <v>1</v>
      </c>
      <c r="O36" s="88" t="str">
        <f>INDEX(Кат!$E:$E,MATCH($A36,Кат!$A:$A,0))</f>
        <v>Y</v>
      </c>
    </row>
    <row r="37" spans="1:15" ht="105">
      <c r="A37" s="233">
        <v>158825</v>
      </c>
      <c r="B37" s="233">
        <v>23741</v>
      </c>
      <c r="C37" s="234" t="s">
        <v>69</v>
      </c>
      <c r="D37" s="234" t="s">
        <v>741</v>
      </c>
      <c r="E37" s="234"/>
      <c r="F37" s="234" t="s">
        <v>154</v>
      </c>
      <c r="G37" s="234" t="s">
        <v>250</v>
      </c>
      <c r="H37" s="235">
        <v>3300</v>
      </c>
      <c r="I37" s="235">
        <v>4490</v>
      </c>
      <c r="J37" s="234" t="s">
        <v>519</v>
      </c>
      <c r="K37" s="234" t="s">
        <v>1</v>
      </c>
      <c r="L37" s="234"/>
      <c r="M37" s="234" t="s">
        <v>741</v>
      </c>
      <c r="N37" s="88" t="str">
        <f t="shared" si="0"/>
        <v>1</v>
      </c>
      <c r="O37" s="88" t="str">
        <f>INDEX(Кат!$E:$E,MATCH($A37,Кат!$A:$A,0))</f>
        <v>Y</v>
      </c>
    </row>
    <row r="38" spans="1:15" ht="120">
      <c r="A38" s="233">
        <v>158826</v>
      </c>
      <c r="B38" s="233">
        <v>23739</v>
      </c>
      <c r="C38" s="234" t="s">
        <v>67</v>
      </c>
      <c r="D38" s="234" t="s">
        <v>741</v>
      </c>
      <c r="E38" s="234"/>
      <c r="F38" s="234" t="s">
        <v>224</v>
      </c>
      <c r="G38" s="234" t="s">
        <v>250</v>
      </c>
      <c r="H38" s="235">
        <v>3300</v>
      </c>
      <c r="I38" s="235">
        <v>4490</v>
      </c>
      <c r="J38" s="234" t="s">
        <v>520</v>
      </c>
      <c r="K38" s="234" t="s">
        <v>1</v>
      </c>
      <c r="L38" s="234"/>
      <c r="M38" s="234" t="s">
        <v>741</v>
      </c>
      <c r="N38" s="88" t="str">
        <f t="shared" si="0"/>
        <v>1</v>
      </c>
      <c r="O38" s="88" t="str">
        <f>INDEX(Кат!$E:$E,MATCH($A38,Кат!$A:$A,0))</f>
        <v>Y</v>
      </c>
    </row>
    <row r="39" spans="1:15" ht="105">
      <c r="A39" s="233">
        <v>158827</v>
      </c>
      <c r="B39" s="233">
        <v>23743</v>
      </c>
      <c r="C39" s="234" t="s">
        <v>257</v>
      </c>
      <c r="D39" s="234" t="s">
        <v>741</v>
      </c>
      <c r="E39" s="234"/>
      <c r="F39" s="234" t="s">
        <v>155</v>
      </c>
      <c r="G39" s="234" t="s">
        <v>250</v>
      </c>
      <c r="H39" s="235">
        <v>3800</v>
      </c>
      <c r="I39" s="235">
        <v>5490</v>
      </c>
      <c r="J39" s="234" t="s">
        <v>525</v>
      </c>
      <c r="K39" s="234" t="s">
        <v>1</v>
      </c>
      <c r="L39" s="234"/>
      <c r="M39" s="234" t="s">
        <v>741</v>
      </c>
      <c r="N39" s="88" t="str">
        <f t="shared" si="0"/>
        <v>1</v>
      </c>
      <c r="O39" s="88" t="str">
        <f>INDEX(Кат!$E:$E,MATCH($A39,Кат!$A:$A,0))</f>
        <v>Y</v>
      </c>
    </row>
    <row r="40" spans="1:15" ht="30">
      <c r="A40" s="233">
        <v>160011</v>
      </c>
      <c r="B40" s="233">
        <v>23749</v>
      </c>
      <c r="C40" s="234" t="s">
        <v>74</v>
      </c>
      <c r="D40" s="234" t="s">
        <v>741</v>
      </c>
      <c r="E40" s="234"/>
      <c r="F40" s="234"/>
      <c r="G40" s="234" t="s">
        <v>250</v>
      </c>
      <c r="H40" s="235">
        <v>0</v>
      </c>
      <c r="I40" s="235">
        <v>769</v>
      </c>
      <c r="J40" s="234"/>
      <c r="K40" s="234" t="s">
        <v>744</v>
      </c>
      <c r="L40" s="234"/>
      <c r="M40" s="234" t="s">
        <v>741</v>
      </c>
      <c r="N40" s="88" t="str">
        <f t="shared" si="0"/>
        <v>0</v>
      </c>
      <c r="O40" s="88" t="str">
        <f>INDEX(Кат!$E:$E,MATCH($A40,Кат!$A:$A,0))</f>
        <v>Y</v>
      </c>
    </row>
    <row r="41" spans="1:15" ht="30">
      <c r="A41" s="233">
        <v>163982</v>
      </c>
      <c r="B41" s="233">
        <v>37299</v>
      </c>
      <c r="C41" s="234" t="s">
        <v>283</v>
      </c>
      <c r="D41" s="234" t="s">
        <v>741</v>
      </c>
      <c r="E41" s="234"/>
      <c r="F41" s="234" t="s">
        <v>248</v>
      </c>
      <c r="G41" s="234" t="s">
        <v>250</v>
      </c>
      <c r="H41" s="235">
        <v>8200</v>
      </c>
      <c r="I41" s="235">
        <v>10190</v>
      </c>
      <c r="J41" s="234"/>
      <c r="K41" s="234" t="s">
        <v>1</v>
      </c>
      <c r="L41" s="234"/>
      <c r="M41" s="234" t="s">
        <v>741</v>
      </c>
      <c r="N41" s="88" t="str">
        <f t="shared" si="0"/>
        <v>1</v>
      </c>
      <c r="O41" s="88" t="str">
        <f>INDEX(Кат!$E:$E,MATCH($A41,Кат!$A:$A,0))</f>
        <v>Y</v>
      </c>
    </row>
    <row r="42" spans="1:15" ht="45">
      <c r="A42" s="233">
        <v>163983</v>
      </c>
      <c r="B42" s="233">
        <v>31695</v>
      </c>
      <c r="C42" s="234" t="s">
        <v>95</v>
      </c>
      <c r="D42" s="234" t="s">
        <v>741</v>
      </c>
      <c r="E42" s="234"/>
      <c r="F42" s="234" t="s">
        <v>142</v>
      </c>
      <c r="G42" s="234" t="s">
        <v>250</v>
      </c>
      <c r="H42" s="235">
        <v>6065</v>
      </c>
      <c r="I42" s="235">
        <v>7490</v>
      </c>
      <c r="J42" s="234"/>
      <c r="K42" s="234" t="s">
        <v>1</v>
      </c>
      <c r="L42" s="234"/>
      <c r="M42" s="234" t="s">
        <v>741</v>
      </c>
      <c r="N42" s="88" t="str">
        <f t="shared" si="0"/>
        <v>1</v>
      </c>
      <c r="O42" s="88" t="str">
        <f>INDEX(Кат!$E:$E,MATCH($A42,Кат!$A:$A,0))</f>
        <v>Y</v>
      </c>
    </row>
    <row r="43" spans="1:15" ht="135">
      <c r="A43" s="233">
        <v>163984</v>
      </c>
      <c r="B43" s="233">
        <v>24861</v>
      </c>
      <c r="C43" s="234" t="s">
        <v>88</v>
      </c>
      <c r="D43" s="234" t="s">
        <v>741</v>
      </c>
      <c r="E43" s="234"/>
      <c r="F43" s="234" t="s">
        <v>207</v>
      </c>
      <c r="G43" s="234" t="s">
        <v>250</v>
      </c>
      <c r="H43" s="235">
        <v>7720</v>
      </c>
      <c r="I43" s="235">
        <v>9990</v>
      </c>
      <c r="J43" s="234" t="s">
        <v>630</v>
      </c>
      <c r="K43" s="234" t="s">
        <v>1</v>
      </c>
      <c r="L43" s="234"/>
      <c r="M43" s="234" t="s">
        <v>741</v>
      </c>
      <c r="N43" s="88" t="str">
        <f t="shared" si="0"/>
        <v>1</v>
      </c>
      <c r="O43" s="88" t="str">
        <f>INDEX(Кат!$E:$E,MATCH($A43,Кат!$A:$A,0))</f>
        <v>Y</v>
      </c>
    </row>
    <row r="44" spans="1:15" ht="30">
      <c r="A44" s="233">
        <v>163985</v>
      </c>
      <c r="B44" s="233">
        <v>24857</v>
      </c>
      <c r="C44" s="234" t="s">
        <v>84</v>
      </c>
      <c r="D44" s="234" t="s">
        <v>741</v>
      </c>
      <c r="E44" s="234"/>
      <c r="F44" s="234" t="s">
        <v>138</v>
      </c>
      <c r="G44" s="234" t="s">
        <v>250</v>
      </c>
      <c r="H44" s="235">
        <v>7720</v>
      </c>
      <c r="I44" s="235">
        <v>9590</v>
      </c>
      <c r="J44" s="234"/>
      <c r="K44" s="234" t="s">
        <v>1</v>
      </c>
      <c r="L44" s="234"/>
      <c r="M44" s="234" t="s">
        <v>741</v>
      </c>
      <c r="N44" s="88" t="str">
        <f t="shared" si="0"/>
        <v>1</v>
      </c>
      <c r="O44" s="88" t="str">
        <f>INDEX(Кат!$E:$E,MATCH($A44,Кат!$A:$A,0))</f>
        <v>Y</v>
      </c>
    </row>
    <row r="45" spans="1:15" ht="45">
      <c r="A45" s="233">
        <v>163986</v>
      </c>
      <c r="B45" s="233">
        <v>31696</v>
      </c>
      <c r="C45" s="234" t="s">
        <v>96</v>
      </c>
      <c r="D45" s="234" t="s">
        <v>741</v>
      </c>
      <c r="E45" s="234"/>
      <c r="F45" s="234" t="s">
        <v>165</v>
      </c>
      <c r="G45" s="234" t="s">
        <v>250</v>
      </c>
      <c r="H45" s="235">
        <v>6065</v>
      </c>
      <c r="I45" s="235">
        <v>7490</v>
      </c>
      <c r="J45" s="234"/>
      <c r="K45" s="234" t="s">
        <v>1</v>
      </c>
      <c r="L45" s="234"/>
      <c r="M45" s="234" t="s">
        <v>741</v>
      </c>
      <c r="N45" s="88" t="str">
        <f t="shared" si="0"/>
        <v>1</v>
      </c>
      <c r="O45" s="88" t="str">
        <f>INDEX(Кат!$E:$E,MATCH($A45,Кат!$A:$A,0))</f>
        <v>Y</v>
      </c>
    </row>
    <row r="46" spans="1:15" ht="135">
      <c r="A46" s="233">
        <v>163987</v>
      </c>
      <c r="B46" s="233">
        <v>24863</v>
      </c>
      <c r="C46" s="234" t="s">
        <v>90</v>
      </c>
      <c r="D46" s="234" t="s">
        <v>741</v>
      </c>
      <c r="E46" s="234"/>
      <c r="F46" s="234" t="s">
        <v>144</v>
      </c>
      <c r="G46" s="234" t="s">
        <v>250</v>
      </c>
      <c r="H46" s="235">
        <v>7720</v>
      </c>
      <c r="I46" s="235">
        <v>9990</v>
      </c>
      <c r="J46" s="234" t="s">
        <v>631</v>
      </c>
      <c r="K46" s="234" t="s">
        <v>1</v>
      </c>
      <c r="L46" s="234"/>
      <c r="M46" s="234" t="s">
        <v>741</v>
      </c>
      <c r="N46" s="88" t="str">
        <f t="shared" si="0"/>
        <v>1</v>
      </c>
      <c r="O46" s="88" t="str">
        <f>INDEX(Кат!$E:$E,MATCH($A46,Кат!$A:$A,0))</f>
        <v>Y</v>
      </c>
    </row>
    <row r="47" spans="1:15" ht="30">
      <c r="A47" s="233">
        <v>163988</v>
      </c>
      <c r="B47" s="233">
        <v>24858</v>
      </c>
      <c r="C47" s="234" t="s">
        <v>85</v>
      </c>
      <c r="D47" s="234" t="s">
        <v>741</v>
      </c>
      <c r="E47" s="234"/>
      <c r="F47" s="234" t="s">
        <v>139</v>
      </c>
      <c r="G47" s="234" t="s">
        <v>250</v>
      </c>
      <c r="H47" s="235">
        <v>7720</v>
      </c>
      <c r="I47" s="235">
        <v>9590</v>
      </c>
      <c r="J47" s="234"/>
      <c r="K47" s="234" t="s">
        <v>1</v>
      </c>
      <c r="L47" s="234"/>
      <c r="M47" s="234" t="s">
        <v>741</v>
      </c>
      <c r="N47" s="88" t="str">
        <f t="shared" si="0"/>
        <v>1</v>
      </c>
      <c r="O47" s="88" t="str">
        <f>INDEX(Кат!$E:$E,MATCH($A47,Кат!$A:$A,0))</f>
        <v>Y</v>
      </c>
    </row>
    <row r="48" spans="1:15" ht="120">
      <c r="A48" s="233">
        <v>163989</v>
      </c>
      <c r="B48" s="233">
        <v>31690</v>
      </c>
      <c r="C48" s="234" t="s">
        <v>93</v>
      </c>
      <c r="D48" s="234" t="s">
        <v>741</v>
      </c>
      <c r="E48" s="234"/>
      <c r="F48" s="234" t="s">
        <v>143</v>
      </c>
      <c r="G48" s="234" t="s">
        <v>250</v>
      </c>
      <c r="H48" s="235">
        <v>6065</v>
      </c>
      <c r="I48" s="235">
        <v>8190</v>
      </c>
      <c r="J48" s="234" t="s">
        <v>635</v>
      </c>
      <c r="K48" s="234" t="s">
        <v>1</v>
      </c>
      <c r="L48" s="234"/>
      <c r="M48" s="234" t="s">
        <v>741</v>
      </c>
      <c r="N48" s="88" t="str">
        <f t="shared" si="0"/>
        <v>1</v>
      </c>
      <c r="O48" s="88" t="str">
        <f>INDEX(Кат!$E:$E,MATCH($A48,Кат!$A:$A,0))</f>
        <v>Y</v>
      </c>
    </row>
    <row r="49" spans="1:15" ht="45">
      <c r="A49" s="233">
        <v>163990</v>
      </c>
      <c r="B49" s="233">
        <v>24862</v>
      </c>
      <c r="C49" s="234" t="s">
        <v>89</v>
      </c>
      <c r="D49" s="234" t="s">
        <v>741</v>
      </c>
      <c r="E49" s="234"/>
      <c r="F49" s="234" t="s">
        <v>206</v>
      </c>
      <c r="G49" s="234" t="s">
        <v>250</v>
      </c>
      <c r="H49" s="235">
        <v>7720</v>
      </c>
      <c r="I49" s="235">
        <v>9590</v>
      </c>
      <c r="J49" s="234"/>
      <c r="K49" s="234" t="s">
        <v>1</v>
      </c>
      <c r="L49" s="234"/>
      <c r="M49" s="234" t="s">
        <v>741</v>
      </c>
      <c r="N49" s="88" t="str">
        <f t="shared" si="0"/>
        <v>1</v>
      </c>
      <c r="O49" s="88" t="str">
        <f>INDEX(Кат!$E:$E,MATCH($A49,Кат!$A:$A,0))</f>
        <v>Y</v>
      </c>
    </row>
    <row r="50" spans="1:15" ht="135">
      <c r="A50" s="233">
        <v>163991</v>
      </c>
      <c r="B50" s="233">
        <v>31694</v>
      </c>
      <c r="C50" s="234" t="s">
        <v>94</v>
      </c>
      <c r="D50" s="234" t="s">
        <v>741</v>
      </c>
      <c r="E50" s="234"/>
      <c r="F50" s="234" t="s">
        <v>141</v>
      </c>
      <c r="G50" s="234" t="s">
        <v>250</v>
      </c>
      <c r="H50" s="235">
        <v>6065</v>
      </c>
      <c r="I50" s="235">
        <v>8190</v>
      </c>
      <c r="J50" s="234" t="s">
        <v>634</v>
      </c>
      <c r="K50" s="234" t="s">
        <v>1</v>
      </c>
      <c r="L50" s="234"/>
      <c r="M50" s="234" t="s">
        <v>741</v>
      </c>
      <c r="N50" s="88" t="str">
        <f t="shared" si="0"/>
        <v>1</v>
      </c>
      <c r="O50" s="88" t="str">
        <f>INDEX(Кат!$E:$E,MATCH($A50,Кат!$A:$A,0))</f>
        <v>Y</v>
      </c>
    </row>
    <row r="51" spans="1:15" ht="135">
      <c r="A51" s="233">
        <v>163992</v>
      </c>
      <c r="B51" s="233">
        <v>24860</v>
      </c>
      <c r="C51" s="234" t="s">
        <v>87</v>
      </c>
      <c r="D51" s="234" t="s">
        <v>741</v>
      </c>
      <c r="E51" s="234"/>
      <c r="F51" s="234" t="s">
        <v>208</v>
      </c>
      <c r="G51" s="234" t="s">
        <v>250</v>
      </c>
      <c r="H51" s="235">
        <v>7720</v>
      </c>
      <c r="I51" s="235">
        <v>9990</v>
      </c>
      <c r="J51" s="234" t="s">
        <v>632</v>
      </c>
      <c r="K51" s="234" t="s">
        <v>1</v>
      </c>
      <c r="L51" s="234"/>
      <c r="M51" s="234" t="s">
        <v>741</v>
      </c>
      <c r="N51" s="88" t="str">
        <f t="shared" si="0"/>
        <v>1</v>
      </c>
      <c r="O51" s="88" t="str">
        <f>INDEX(Кат!$E:$E,MATCH($A51,Кат!$A:$A,0))</f>
        <v>Y</v>
      </c>
    </row>
    <row r="52" spans="1:15" ht="135">
      <c r="A52" s="233">
        <v>163993</v>
      </c>
      <c r="B52" s="233">
        <v>31697</v>
      </c>
      <c r="C52" s="234" t="s">
        <v>97</v>
      </c>
      <c r="D52" s="234" t="s">
        <v>741</v>
      </c>
      <c r="E52" s="234"/>
      <c r="F52" s="234" t="s">
        <v>145</v>
      </c>
      <c r="G52" s="234" t="s">
        <v>250</v>
      </c>
      <c r="H52" s="235">
        <v>6065</v>
      </c>
      <c r="I52" s="235">
        <v>8190</v>
      </c>
      <c r="J52" s="234" t="s">
        <v>629</v>
      </c>
      <c r="K52" s="234" t="s">
        <v>1</v>
      </c>
      <c r="L52" s="234"/>
      <c r="M52" s="234" t="s">
        <v>741</v>
      </c>
      <c r="N52" s="88" t="str">
        <f t="shared" si="0"/>
        <v>1</v>
      </c>
      <c r="O52" s="88" t="str">
        <f>INDEX(Кат!$E:$E,MATCH($A52,Кат!$A:$A,0))</f>
        <v>Y</v>
      </c>
    </row>
    <row r="53" spans="1:15" ht="135">
      <c r="A53" s="233">
        <v>163994</v>
      </c>
      <c r="B53" s="233">
        <v>24864</v>
      </c>
      <c r="C53" s="234" t="s">
        <v>91</v>
      </c>
      <c r="D53" s="234" t="s">
        <v>741</v>
      </c>
      <c r="E53" s="234"/>
      <c r="F53" s="234" t="s">
        <v>209</v>
      </c>
      <c r="G53" s="234" t="s">
        <v>250</v>
      </c>
      <c r="H53" s="235">
        <v>7720</v>
      </c>
      <c r="I53" s="235">
        <v>9590</v>
      </c>
      <c r="J53" s="234" t="s">
        <v>629</v>
      </c>
      <c r="K53" s="234" t="s">
        <v>1</v>
      </c>
      <c r="L53" s="234"/>
      <c r="M53" s="234" t="s">
        <v>741</v>
      </c>
      <c r="N53" s="88" t="str">
        <f t="shared" si="0"/>
        <v>1</v>
      </c>
      <c r="O53" s="88" t="str">
        <f>INDEX(Кат!$E:$E,MATCH($A53,Кат!$A:$A,0))</f>
        <v>Y</v>
      </c>
    </row>
    <row r="54" spans="1:15" ht="30">
      <c r="A54" s="233">
        <v>163995</v>
      </c>
      <c r="B54" s="233">
        <v>24859</v>
      </c>
      <c r="C54" s="234" t="s">
        <v>86</v>
      </c>
      <c r="D54" s="234" t="s">
        <v>741</v>
      </c>
      <c r="E54" s="234"/>
      <c r="F54" s="234" t="s">
        <v>140</v>
      </c>
      <c r="G54" s="234" t="s">
        <v>250</v>
      </c>
      <c r="H54" s="235">
        <v>7720</v>
      </c>
      <c r="I54" s="235">
        <v>9590</v>
      </c>
      <c r="J54" s="234"/>
      <c r="K54" s="234" t="s">
        <v>1</v>
      </c>
      <c r="L54" s="234"/>
      <c r="M54" s="234" t="s">
        <v>741</v>
      </c>
      <c r="N54" s="88" t="str">
        <f t="shared" si="0"/>
        <v>1</v>
      </c>
      <c r="O54" s="88" t="str">
        <f>INDEX(Кат!$E:$E,MATCH($A54,Кат!$A:$A,0))</f>
        <v>Y</v>
      </c>
    </row>
    <row r="55" spans="1:15" ht="120">
      <c r="A55" s="233">
        <v>163996</v>
      </c>
      <c r="B55" s="233">
        <v>24856</v>
      </c>
      <c r="C55" s="234" t="s">
        <v>83</v>
      </c>
      <c r="D55" s="234" t="s">
        <v>741</v>
      </c>
      <c r="E55" s="234"/>
      <c r="F55" s="234" t="s">
        <v>137</v>
      </c>
      <c r="G55" s="234" t="s">
        <v>250</v>
      </c>
      <c r="H55" s="235">
        <v>7720</v>
      </c>
      <c r="I55" s="235">
        <v>9590</v>
      </c>
      <c r="J55" s="234" t="s">
        <v>530</v>
      </c>
      <c r="K55" s="234" t="s">
        <v>1</v>
      </c>
      <c r="L55" s="234"/>
      <c r="M55" s="234" t="s">
        <v>741</v>
      </c>
      <c r="N55" s="88" t="str">
        <f t="shared" si="0"/>
        <v>1</v>
      </c>
      <c r="O55" s="88" t="str">
        <f>INDEX(Кат!$E:$E,MATCH($A55,Кат!$A:$A,0))</f>
        <v>Y</v>
      </c>
    </row>
    <row r="56" spans="1:15" ht="135">
      <c r="A56" s="233">
        <v>163999</v>
      </c>
      <c r="B56" s="233">
        <v>24865</v>
      </c>
      <c r="C56" s="234" t="s">
        <v>1625</v>
      </c>
      <c r="D56" s="234" t="s">
        <v>741</v>
      </c>
      <c r="E56" s="234"/>
      <c r="F56" s="234" t="s">
        <v>146</v>
      </c>
      <c r="G56" s="234" t="s">
        <v>250</v>
      </c>
      <c r="H56" s="235">
        <v>5650</v>
      </c>
      <c r="I56" s="235">
        <v>7590</v>
      </c>
      <c r="J56" s="234" t="s">
        <v>636</v>
      </c>
      <c r="K56" s="234" t="s">
        <v>1</v>
      </c>
      <c r="L56" s="234"/>
      <c r="M56" s="234" t="s">
        <v>741</v>
      </c>
      <c r="N56" s="88" t="str">
        <f t="shared" si="0"/>
        <v>1</v>
      </c>
      <c r="O56" s="88" t="str">
        <f>INDEX(Кат!$E:$E,MATCH($A56,Кат!$A:$A,0))</f>
        <v>Y</v>
      </c>
    </row>
    <row r="57" spans="1:15" ht="60">
      <c r="A57" s="233">
        <v>164699</v>
      </c>
      <c r="B57" s="233">
        <v>20906</v>
      </c>
      <c r="C57" s="234" t="s">
        <v>46</v>
      </c>
      <c r="D57" s="234" t="s">
        <v>741</v>
      </c>
      <c r="E57" s="234"/>
      <c r="F57" s="234"/>
      <c r="G57" s="234" t="s">
        <v>250</v>
      </c>
      <c r="H57" s="235">
        <v>0</v>
      </c>
      <c r="I57" s="235">
        <v>6790</v>
      </c>
      <c r="J57" s="234"/>
      <c r="K57" s="234" t="s">
        <v>744</v>
      </c>
      <c r="L57" s="234"/>
      <c r="M57" s="234" t="s">
        <v>741</v>
      </c>
      <c r="N57" s="88" t="str">
        <f t="shared" si="0"/>
        <v>0</v>
      </c>
      <c r="O57" s="88" t="str">
        <f>INDEX(Кат!$E:$E,MATCH($A57,Кат!$A:$A,0))</f>
        <v>Y</v>
      </c>
    </row>
    <row r="58" spans="1:15" ht="30">
      <c r="A58" s="233">
        <v>169731</v>
      </c>
      <c r="B58" s="233">
        <v>23714</v>
      </c>
      <c r="C58" s="234" t="s">
        <v>47</v>
      </c>
      <c r="D58" s="234" t="s">
        <v>741</v>
      </c>
      <c r="E58" s="234"/>
      <c r="F58" s="234" t="s">
        <v>150</v>
      </c>
      <c r="G58" s="234" t="s">
        <v>250</v>
      </c>
      <c r="H58" s="235">
        <v>5385</v>
      </c>
      <c r="I58" s="235">
        <v>6890</v>
      </c>
      <c r="J58" s="234"/>
      <c r="K58" s="234" t="s">
        <v>1</v>
      </c>
      <c r="L58" s="234"/>
      <c r="M58" s="234" t="s">
        <v>741</v>
      </c>
      <c r="N58" s="88" t="str">
        <f t="shared" si="0"/>
        <v>1</v>
      </c>
      <c r="O58" s="88" t="str">
        <f>INDEX(Кат!$E:$E,MATCH($A58,Кат!$A:$A,0))</f>
        <v>Y</v>
      </c>
    </row>
    <row r="59" spans="1:15" ht="105">
      <c r="A59" s="233">
        <v>169732</v>
      </c>
      <c r="B59" s="233">
        <v>23722</v>
      </c>
      <c r="C59" s="234" t="s">
        <v>54</v>
      </c>
      <c r="D59" s="234" t="s">
        <v>741</v>
      </c>
      <c r="E59" s="234"/>
      <c r="F59" s="234" t="s">
        <v>230</v>
      </c>
      <c r="G59" s="234" t="s">
        <v>250</v>
      </c>
      <c r="H59" s="235">
        <v>5000</v>
      </c>
      <c r="I59" s="235">
        <v>6690</v>
      </c>
      <c r="J59" s="234" t="s">
        <v>528</v>
      </c>
      <c r="K59" s="234" t="s">
        <v>1</v>
      </c>
      <c r="L59" s="234"/>
      <c r="M59" s="234" t="s">
        <v>741</v>
      </c>
      <c r="N59" s="88" t="str">
        <f t="shared" si="0"/>
        <v>1</v>
      </c>
      <c r="O59" s="88" t="str">
        <f>INDEX(Кат!$E:$E,MATCH($A59,Кат!$A:$A,0))</f>
        <v>Y</v>
      </c>
    </row>
    <row r="60" spans="1:15" ht="45">
      <c r="A60" s="233">
        <v>169733</v>
      </c>
      <c r="B60" s="233">
        <v>23723</v>
      </c>
      <c r="C60" s="234" t="s">
        <v>55</v>
      </c>
      <c r="D60" s="234" t="s">
        <v>741</v>
      </c>
      <c r="E60" s="234"/>
      <c r="F60" s="234" t="s">
        <v>231</v>
      </c>
      <c r="G60" s="234" t="s">
        <v>250</v>
      </c>
      <c r="H60" s="235">
        <v>5800</v>
      </c>
      <c r="I60" s="235">
        <v>7190</v>
      </c>
      <c r="J60" s="234"/>
      <c r="K60" s="234" t="s">
        <v>744</v>
      </c>
      <c r="L60" s="234"/>
      <c r="M60" s="234" t="s">
        <v>741</v>
      </c>
      <c r="N60" s="88" t="str">
        <f t="shared" si="0"/>
        <v>0</v>
      </c>
      <c r="O60" s="88" t="str">
        <f>INDEX(Кат!$E:$E,MATCH($A60,Кат!$A:$A,0))</f>
        <v>Y</v>
      </c>
    </row>
    <row r="61" spans="1:15" ht="105">
      <c r="A61" s="233">
        <v>169734</v>
      </c>
      <c r="B61" s="233">
        <v>23721</v>
      </c>
      <c r="C61" s="234" t="s">
        <v>53</v>
      </c>
      <c r="D61" s="234" t="s">
        <v>741</v>
      </c>
      <c r="E61" s="234"/>
      <c r="F61" s="234" t="s">
        <v>232</v>
      </c>
      <c r="G61" s="234" t="s">
        <v>250</v>
      </c>
      <c r="H61" s="235">
        <v>5300</v>
      </c>
      <c r="I61" s="235">
        <v>7090</v>
      </c>
      <c r="J61" s="234" t="s">
        <v>529</v>
      </c>
      <c r="K61" s="234" t="s">
        <v>1</v>
      </c>
      <c r="L61" s="234"/>
      <c r="M61" s="234" t="s">
        <v>741</v>
      </c>
      <c r="N61" s="88" t="str">
        <f t="shared" si="0"/>
        <v>1</v>
      </c>
      <c r="O61" s="88" t="str">
        <f>INDEX(Кат!$E:$E,MATCH($A61,Кат!$A:$A,0))</f>
        <v>Y</v>
      </c>
    </row>
    <row r="62" spans="1:15" ht="105">
      <c r="A62" s="233">
        <v>169735</v>
      </c>
      <c r="B62" s="233">
        <v>23720</v>
      </c>
      <c r="C62" s="234" t="s">
        <v>52</v>
      </c>
      <c r="D62" s="234" t="s">
        <v>741</v>
      </c>
      <c r="E62" s="234"/>
      <c r="F62" s="234" t="s">
        <v>233</v>
      </c>
      <c r="G62" s="234" t="s">
        <v>250</v>
      </c>
      <c r="H62" s="235">
        <v>5000</v>
      </c>
      <c r="I62" s="235">
        <v>6490</v>
      </c>
      <c r="J62" s="234" t="s">
        <v>527</v>
      </c>
      <c r="K62" s="234" t="s">
        <v>1</v>
      </c>
      <c r="L62" s="234"/>
      <c r="M62" s="234" t="s">
        <v>741</v>
      </c>
      <c r="N62" s="88" t="str">
        <f t="shared" si="0"/>
        <v>1</v>
      </c>
      <c r="O62" s="88" t="str">
        <f>INDEX(Кат!$E:$E,MATCH($A62,Кат!$A:$A,0))</f>
        <v>Y</v>
      </c>
    </row>
    <row r="63" spans="1:15" ht="105">
      <c r="A63" s="233">
        <v>169736</v>
      </c>
      <c r="B63" s="233">
        <v>23719</v>
      </c>
      <c r="C63" s="234" t="s">
        <v>51</v>
      </c>
      <c r="D63" s="234" t="s">
        <v>741</v>
      </c>
      <c r="E63" s="234"/>
      <c r="F63" s="234" t="s">
        <v>151</v>
      </c>
      <c r="G63" s="234" t="s">
        <v>250</v>
      </c>
      <c r="H63" s="235">
        <v>5000</v>
      </c>
      <c r="I63" s="235">
        <v>6690</v>
      </c>
      <c r="J63" s="234" t="s">
        <v>526</v>
      </c>
      <c r="K63" s="234" t="s">
        <v>1</v>
      </c>
      <c r="L63" s="234"/>
      <c r="M63" s="234" t="s">
        <v>741</v>
      </c>
      <c r="N63" s="88" t="str">
        <f t="shared" si="0"/>
        <v>1</v>
      </c>
      <c r="O63" s="88" t="str">
        <f>INDEX(Кат!$E:$E,MATCH($A63,Кат!$A:$A,0))</f>
        <v>Y</v>
      </c>
    </row>
    <row r="64" spans="1:15" ht="120">
      <c r="A64" s="233">
        <v>169887</v>
      </c>
      <c r="B64" s="233">
        <v>39108</v>
      </c>
      <c r="C64" s="234" t="s">
        <v>392</v>
      </c>
      <c r="D64" s="234" t="s">
        <v>741</v>
      </c>
      <c r="E64" s="234"/>
      <c r="F64" s="234" t="s">
        <v>246</v>
      </c>
      <c r="G64" s="234" t="s">
        <v>250</v>
      </c>
      <c r="H64" s="235">
        <v>5300</v>
      </c>
      <c r="I64" s="235">
        <v>7090</v>
      </c>
      <c r="J64" s="234" t="s">
        <v>574</v>
      </c>
      <c r="K64" s="234" t="s">
        <v>1</v>
      </c>
      <c r="L64" s="234"/>
      <c r="M64" s="234"/>
      <c r="N64" s="88" t="str">
        <f t="shared" si="0"/>
        <v>1</v>
      </c>
      <c r="O64" s="88" t="str">
        <f>INDEX(Кат!$E:$E,MATCH($A64,Кат!$A:$A,0))</f>
        <v>Y</v>
      </c>
    </row>
    <row r="65" spans="1:15" ht="30">
      <c r="A65" s="233">
        <v>181919</v>
      </c>
      <c r="B65" s="233">
        <v>23742</v>
      </c>
      <c r="C65" s="234" t="s">
        <v>70</v>
      </c>
      <c r="D65" s="234" t="s">
        <v>741</v>
      </c>
      <c r="E65" s="234"/>
      <c r="F65" s="234"/>
      <c r="G65" s="234" t="s">
        <v>250</v>
      </c>
      <c r="H65" s="235">
        <v>0</v>
      </c>
      <c r="I65" s="235">
        <v>1990</v>
      </c>
      <c r="J65" s="234"/>
      <c r="K65" s="234" t="s">
        <v>744</v>
      </c>
      <c r="L65" s="234"/>
      <c r="M65" s="234" t="s">
        <v>741</v>
      </c>
      <c r="N65" s="88" t="str">
        <f t="shared" si="0"/>
        <v>0</v>
      </c>
      <c r="O65" s="88" t="str">
        <f>INDEX(Кат!$E:$E,MATCH($A65,Кат!$A:$A,0))</f>
        <v>Y</v>
      </c>
    </row>
    <row r="66" spans="1:15" ht="105">
      <c r="A66" s="233">
        <v>181920</v>
      </c>
      <c r="B66" s="233">
        <v>12621</v>
      </c>
      <c r="C66" s="234" t="s">
        <v>467</v>
      </c>
      <c r="D66" s="234" t="s">
        <v>741</v>
      </c>
      <c r="E66" s="234"/>
      <c r="F66" s="234" t="s">
        <v>234</v>
      </c>
      <c r="G66" s="234" t="s">
        <v>250</v>
      </c>
      <c r="H66" s="235">
        <v>1250</v>
      </c>
      <c r="I66" s="235">
        <v>1890</v>
      </c>
      <c r="J66" s="234" t="s">
        <v>504</v>
      </c>
      <c r="K66" s="234" t="s">
        <v>1</v>
      </c>
      <c r="L66" s="234"/>
      <c r="M66" s="234" t="s">
        <v>741</v>
      </c>
      <c r="N66" s="88" t="str">
        <f t="shared" si="0"/>
        <v>1</v>
      </c>
      <c r="O66" s="88" t="str">
        <f>INDEX(Кат!$E:$E,MATCH($A66,Кат!$A:$A,0))</f>
        <v>Y</v>
      </c>
    </row>
    <row r="67" spans="1:15" ht="105">
      <c r="A67" s="233">
        <v>186323</v>
      </c>
      <c r="B67" s="233">
        <v>7168</v>
      </c>
      <c r="C67" s="234" t="s">
        <v>278</v>
      </c>
      <c r="D67" s="234" t="s">
        <v>741</v>
      </c>
      <c r="E67" s="234"/>
      <c r="F67" s="234" t="s">
        <v>240</v>
      </c>
      <c r="G67" s="234" t="s">
        <v>250</v>
      </c>
      <c r="H67" s="235">
        <v>9050</v>
      </c>
      <c r="I67" s="235">
        <v>11690</v>
      </c>
      <c r="J67" s="234" t="s">
        <v>538</v>
      </c>
      <c r="K67" s="234" t="s">
        <v>1</v>
      </c>
      <c r="L67" s="234" t="s">
        <v>395</v>
      </c>
      <c r="M67" s="234" t="s">
        <v>741</v>
      </c>
      <c r="N67" s="88" t="str">
        <f t="shared" ref="N67:N130" si="1">_xlfn.CONCAT(K67,IF(L67&lt;&gt;"",_xlfn.CONCAT("ск",L67),""))</f>
        <v>1ск6</v>
      </c>
      <c r="O67" s="88" t="str">
        <f>INDEX(Кат!$E:$E,MATCH($A67,Кат!$A:$A,0))</f>
        <v>Y</v>
      </c>
    </row>
    <row r="68" spans="1:15" ht="45">
      <c r="A68" s="233">
        <v>193349</v>
      </c>
      <c r="B68" s="233">
        <v>23718</v>
      </c>
      <c r="C68" s="234" t="s">
        <v>50</v>
      </c>
      <c r="D68" s="234" t="s">
        <v>741</v>
      </c>
      <c r="E68" s="234"/>
      <c r="F68" s="234" t="s">
        <v>228</v>
      </c>
      <c r="G68" s="234" t="s">
        <v>250</v>
      </c>
      <c r="H68" s="235">
        <v>11200</v>
      </c>
      <c r="I68" s="235">
        <v>13890</v>
      </c>
      <c r="J68" s="234"/>
      <c r="K68" s="234" t="s">
        <v>1</v>
      </c>
      <c r="L68" s="234"/>
      <c r="M68" s="234" t="s">
        <v>741</v>
      </c>
      <c r="N68" s="88" t="str">
        <f t="shared" si="1"/>
        <v>1</v>
      </c>
      <c r="O68" s="88" t="str">
        <f>INDEX(Кат!$E:$E,MATCH($A68,Кат!$A:$A,0))</f>
        <v>Y</v>
      </c>
    </row>
    <row r="69" spans="1:15" ht="105">
      <c r="A69" s="233">
        <v>193350</v>
      </c>
      <c r="B69" s="233">
        <v>23717</v>
      </c>
      <c r="C69" s="234" t="s">
        <v>49</v>
      </c>
      <c r="D69" s="234" t="s">
        <v>741</v>
      </c>
      <c r="E69" s="234"/>
      <c r="F69" s="234" t="s">
        <v>229</v>
      </c>
      <c r="G69" s="234" t="s">
        <v>250</v>
      </c>
      <c r="H69" s="235">
        <v>11200</v>
      </c>
      <c r="I69" s="235">
        <v>13890</v>
      </c>
      <c r="J69" s="234" t="s">
        <v>538</v>
      </c>
      <c r="K69" s="234" t="s">
        <v>1</v>
      </c>
      <c r="L69" s="234"/>
      <c r="M69" s="234" t="s">
        <v>741</v>
      </c>
      <c r="N69" s="88" t="str">
        <f t="shared" si="1"/>
        <v>1</v>
      </c>
      <c r="O69" s="88" t="str">
        <f>INDEX(Кат!$E:$E,MATCH($A69,Кат!$A:$A,0))</f>
        <v>Y</v>
      </c>
    </row>
    <row r="70" spans="1:15" ht="135">
      <c r="A70" s="233">
        <v>193593</v>
      </c>
      <c r="B70" s="233">
        <v>7099</v>
      </c>
      <c r="C70" s="234" t="s">
        <v>13</v>
      </c>
      <c r="D70" s="234" t="s">
        <v>741</v>
      </c>
      <c r="E70" s="234"/>
      <c r="F70" s="234" t="s">
        <v>235</v>
      </c>
      <c r="G70" s="234" t="s">
        <v>250</v>
      </c>
      <c r="H70" s="235">
        <v>3900</v>
      </c>
      <c r="I70" s="235">
        <v>5290</v>
      </c>
      <c r="J70" s="234" t="s">
        <v>521</v>
      </c>
      <c r="K70" s="234" t="s">
        <v>1</v>
      </c>
      <c r="L70" s="234"/>
      <c r="M70" s="234"/>
      <c r="N70" s="88" t="str">
        <f t="shared" si="1"/>
        <v>1</v>
      </c>
      <c r="O70" s="88" t="str">
        <f>INDEX(Кат!$E:$E,MATCH($A70,Кат!$A:$A,0))</f>
        <v>Y</v>
      </c>
    </row>
    <row r="71" spans="1:15" ht="90">
      <c r="A71" s="233">
        <v>201301</v>
      </c>
      <c r="B71" s="233">
        <v>7103</v>
      </c>
      <c r="C71" s="234" t="s">
        <v>16</v>
      </c>
      <c r="D71" s="234" t="s">
        <v>741</v>
      </c>
      <c r="E71" s="234"/>
      <c r="F71" s="234" t="s">
        <v>236</v>
      </c>
      <c r="G71" s="234" t="s">
        <v>250</v>
      </c>
      <c r="H71" s="235">
        <v>1400</v>
      </c>
      <c r="I71" s="235">
        <v>1990</v>
      </c>
      <c r="J71" s="234" t="s">
        <v>516</v>
      </c>
      <c r="K71" s="234" t="s">
        <v>1</v>
      </c>
      <c r="L71" s="234"/>
      <c r="M71" s="234" t="s">
        <v>741</v>
      </c>
      <c r="N71" s="88" t="str">
        <f t="shared" si="1"/>
        <v>1</v>
      </c>
      <c r="O71" s="88" t="str">
        <f>INDEX(Кат!$E:$E,MATCH($A71,Кат!$A:$A,0))</f>
        <v>Y</v>
      </c>
    </row>
    <row r="72" spans="1:15" ht="45">
      <c r="A72" s="233">
        <v>201302</v>
      </c>
      <c r="B72" s="233">
        <v>7100</v>
      </c>
      <c r="C72" s="234" t="s">
        <v>14</v>
      </c>
      <c r="D72" s="234" t="s">
        <v>741</v>
      </c>
      <c r="E72" s="234"/>
      <c r="F72" s="234" t="s">
        <v>237</v>
      </c>
      <c r="G72" s="234" t="s">
        <v>250</v>
      </c>
      <c r="H72" s="235">
        <v>1600</v>
      </c>
      <c r="I72" s="235">
        <v>2290</v>
      </c>
      <c r="J72" s="234" t="s">
        <v>515</v>
      </c>
      <c r="K72" s="234" t="s">
        <v>1</v>
      </c>
      <c r="L72" s="234"/>
      <c r="M72" s="234" t="s">
        <v>741</v>
      </c>
      <c r="N72" s="88" t="str">
        <f t="shared" si="1"/>
        <v>1</v>
      </c>
      <c r="O72" s="88" t="str">
        <f>INDEX(Кат!$E:$E,MATCH($A72,Кат!$A:$A,0))</f>
        <v>Y</v>
      </c>
    </row>
    <row r="73" spans="1:15">
      <c r="A73" s="233">
        <v>205828</v>
      </c>
      <c r="B73" s="233">
        <v>7101</v>
      </c>
      <c r="C73" s="234" t="s">
        <v>15</v>
      </c>
      <c r="D73" s="234" t="s">
        <v>741</v>
      </c>
      <c r="E73" s="234"/>
      <c r="F73" s="234"/>
      <c r="G73" s="234" t="s">
        <v>250</v>
      </c>
      <c r="H73" s="235">
        <v>0</v>
      </c>
      <c r="I73" s="235">
        <v>2890</v>
      </c>
      <c r="J73" s="234"/>
      <c r="K73" s="234" t="s">
        <v>744</v>
      </c>
      <c r="L73" s="234"/>
      <c r="M73" s="234" t="s">
        <v>741</v>
      </c>
      <c r="N73" s="88" t="str">
        <f t="shared" si="1"/>
        <v>0</v>
      </c>
      <c r="O73" s="88" t="str">
        <f>INDEX(Кат!$E:$E,MATCH($A73,Кат!$A:$A,0))</f>
        <v>Y</v>
      </c>
    </row>
    <row r="74" spans="1:15" ht="60">
      <c r="A74" s="233">
        <v>132588</v>
      </c>
      <c r="B74" s="233">
        <v>39105</v>
      </c>
      <c r="C74" s="234" t="s">
        <v>745</v>
      </c>
      <c r="D74" s="234" t="s">
        <v>741</v>
      </c>
      <c r="E74" s="234"/>
      <c r="F74" s="234" t="s">
        <v>247</v>
      </c>
      <c r="G74" s="234" t="s">
        <v>250</v>
      </c>
      <c r="H74" s="235">
        <v>45700</v>
      </c>
      <c r="I74" s="235">
        <v>56590</v>
      </c>
      <c r="J74" s="234"/>
      <c r="K74" s="234" t="s">
        <v>1</v>
      </c>
      <c r="L74" s="234"/>
      <c r="M74" s="234"/>
      <c r="N74" s="88" t="str">
        <f t="shared" si="1"/>
        <v>1</v>
      </c>
      <c r="O74" s="88" t="str">
        <f>INDEX(Кат!$E:$E,MATCH($A74,Кат!$A:$A,0))</f>
        <v>Y</v>
      </c>
    </row>
    <row r="75" spans="1:15" ht="30">
      <c r="A75" s="233">
        <v>212266</v>
      </c>
      <c r="B75" s="233">
        <v>23726</v>
      </c>
      <c r="C75" s="234" t="s">
        <v>58</v>
      </c>
      <c r="D75" s="234" t="s">
        <v>741</v>
      </c>
      <c r="E75" s="234"/>
      <c r="F75" s="234"/>
      <c r="G75" s="234" t="s">
        <v>250</v>
      </c>
      <c r="H75" s="235">
        <v>0</v>
      </c>
      <c r="I75" s="235">
        <v>3190</v>
      </c>
      <c r="J75" s="234"/>
      <c r="K75" s="234" t="s">
        <v>744</v>
      </c>
      <c r="L75" s="234"/>
      <c r="M75" s="234" t="s">
        <v>741</v>
      </c>
      <c r="N75" s="88" t="str">
        <f t="shared" si="1"/>
        <v>0</v>
      </c>
      <c r="O75" s="88" t="str">
        <f>INDEX(Кат!$E:$E,MATCH($A75,Кат!$A:$A,0))</f>
        <v>Y</v>
      </c>
    </row>
    <row r="76" spans="1:15" ht="120">
      <c r="A76" s="233">
        <v>212268</v>
      </c>
      <c r="B76" s="233">
        <v>31334</v>
      </c>
      <c r="C76" s="234" t="s">
        <v>396</v>
      </c>
      <c r="D76" s="234" t="s">
        <v>741</v>
      </c>
      <c r="E76" s="234"/>
      <c r="F76" s="234" t="s">
        <v>158</v>
      </c>
      <c r="G76" s="234" t="s">
        <v>250</v>
      </c>
      <c r="H76" s="235">
        <v>6750</v>
      </c>
      <c r="I76" s="235">
        <v>9090</v>
      </c>
      <c r="J76" s="234" t="s">
        <v>524</v>
      </c>
      <c r="K76" s="234" t="s">
        <v>1</v>
      </c>
      <c r="L76" s="234"/>
      <c r="M76" s="234"/>
      <c r="N76" s="88" t="str">
        <f t="shared" si="1"/>
        <v>1</v>
      </c>
      <c r="O76" s="88" t="str">
        <f>INDEX(Кат!$E:$E,MATCH($A76,Кат!$A:$A,0))</f>
        <v>Y</v>
      </c>
    </row>
    <row r="77" spans="1:15" ht="30">
      <c r="A77" s="233">
        <v>212479</v>
      </c>
      <c r="B77" s="233">
        <v>23709</v>
      </c>
      <c r="C77" s="234" t="s">
        <v>750</v>
      </c>
      <c r="D77" s="234" t="s">
        <v>741</v>
      </c>
      <c r="E77" s="234"/>
      <c r="F77" s="234"/>
      <c r="G77" s="234" t="s">
        <v>250</v>
      </c>
      <c r="H77" s="235">
        <v>4700</v>
      </c>
      <c r="I77" s="235">
        <v>5890</v>
      </c>
      <c r="J77" s="234"/>
      <c r="K77" s="234" t="s">
        <v>744</v>
      </c>
      <c r="L77" s="234"/>
      <c r="M77" s="234" t="s">
        <v>741</v>
      </c>
      <c r="N77" s="88" t="str">
        <f t="shared" si="1"/>
        <v>0</v>
      </c>
      <c r="O77" s="88" t="str">
        <f>INDEX(Кат!$E:$E,MATCH($A77,Кат!$A:$A,0))</f>
        <v>Y</v>
      </c>
    </row>
    <row r="78" spans="1:15" ht="30">
      <c r="A78" s="233">
        <v>212480</v>
      </c>
      <c r="B78" s="233">
        <v>23710</v>
      </c>
      <c r="C78" s="234" t="s">
        <v>750</v>
      </c>
      <c r="D78" s="234" t="s">
        <v>741</v>
      </c>
      <c r="E78" s="234"/>
      <c r="F78" s="234"/>
      <c r="G78" s="234" t="s">
        <v>250</v>
      </c>
      <c r="H78" s="235">
        <v>4700</v>
      </c>
      <c r="I78" s="235">
        <v>5890</v>
      </c>
      <c r="J78" s="234"/>
      <c r="K78" s="234" t="s">
        <v>744</v>
      </c>
      <c r="L78" s="234"/>
      <c r="M78" s="234" t="s">
        <v>741</v>
      </c>
      <c r="N78" s="88" t="str">
        <f t="shared" si="1"/>
        <v>0</v>
      </c>
      <c r="O78" s="88" t="str">
        <f>INDEX(Кат!$E:$E,MATCH($A78,Кат!$A:$A,0))</f>
        <v>Y</v>
      </c>
    </row>
    <row r="79" spans="1:15" ht="30">
      <c r="A79" s="233">
        <v>212481</v>
      </c>
      <c r="B79" s="233">
        <v>23712</v>
      </c>
      <c r="C79" s="234" t="s">
        <v>751</v>
      </c>
      <c r="D79" s="234" t="s">
        <v>741</v>
      </c>
      <c r="E79" s="234"/>
      <c r="F79" s="234"/>
      <c r="G79" s="234" t="s">
        <v>250</v>
      </c>
      <c r="H79" s="235">
        <v>4700</v>
      </c>
      <c r="I79" s="235">
        <v>5890</v>
      </c>
      <c r="J79" s="234"/>
      <c r="K79" s="234" t="s">
        <v>744</v>
      </c>
      <c r="L79" s="234"/>
      <c r="M79" s="234" t="s">
        <v>741</v>
      </c>
      <c r="N79" s="88" t="str">
        <f t="shared" si="1"/>
        <v>0</v>
      </c>
      <c r="O79" s="88" t="str">
        <f>INDEX(Кат!$E:$E,MATCH($A79,Кат!$A:$A,0))</f>
        <v>Y</v>
      </c>
    </row>
    <row r="80" spans="1:15" ht="30">
      <c r="A80" s="233">
        <v>212482</v>
      </c>
      <c r="B80" s="233">
        <v>23707</v>
      </c>
      <c r="C80" s="234" t="s">
        <v>752</v>
      </c>
      <c r="D80" s="234" t="s">
        <v>741</v>
      </c>
      <c r="E80" s="234"/>
      <c r="F80" s="234"/>
      <c r="G80" s="234" t="s">
        <v>250</v>
      </c>
      <c r="H80" s="235">
        <v>4700</v>
      </c>
      <c r="I80" s="235">
        <v>5890</v>
      </c>
      <c r="J80" s="234"/>
      <c r="K80" s="234" t="s">
        <v>744</v>
      </c>
      <c r="L80" s="234"/>
      <c r="M80" s="234" t="s">
        <v>741</v>
      </c>
      <c r="N80" s="88" t="str">
        <f t="shared" si="1"/>
        <v>0</v>
      </c>
      <c r="O80" s="88" t="str">
        <f>INDEX(Кат!$E:$E,MATCH($A80,Кат!$A:$A,0))</f>
        <v>Y</v>
      </c>
    </row>
    <row r="81" spans="1:15" ht="30">
      <c r="A81" s="233">
        <v>212483</v>
      </c>
      <c r="B81" s="233">
        <v>23711</v>
      </c>
      <c r="C81" s="234" t="s">
        <v>753</v>
      </c>
      <c r="D81" s="234" t="s">
        <v>741</v>
      </c>
      <c r="E81" s="234"/>
      <c r="F81" s="234"/>
      <c r="G81" s="234" t="s">
        <v>250</v>
      </c>
      <c r="H81" s="235">
        <v>4700</v>
      </c>
      <c r="I81" s="235">
        <v>5890</v>
      </c>
      <c r="J81" s="234"/>
      <c r="K81" s="234" t="s">
        <v>744</v>
      </c>
      <c r="L81" s="234"/>
      <c r="M81" s="234" t="s">
        <v>741</v>
      </c>
      <c r="N81" s="88" t="str">
        <f t="shared" si="1"/>
        <v>0</v>
      </c>
      <c r="O81" s="88" t="str">
        <f>INDEX(Кат!$E:$E,MATCH($A81,Кат!$A:$A,0))</f>
        <v>Y</v>
      </c>
    </row>
    <row r="82" spans="1:15" ht="30">
      <c r="A82" s="233">
        <v>212484</v>
      </c>
      <c r="B82" s="233">
        <v>23708</v>
      </c>
      <c r="C82" s="234" t="s">
        <v>754</v>
      </c>
      <c r="D82" s="234" t="s">
        <v>741</v>
      </c>
      <c r="E82" s="234"/>
      <c r="F82" s="234"/>
      <c r="G82" s="234" t="s">
        <v>250</v>
      </c>
      <c r="H82" s="235">
        <v>4700</v>
      </c>
      <c r="I82" s="235">
        <v>5890</v>
      </c>
      <c r="J82" s="234"/>
      <c r="K82" s="234" t="s">
        <v>744</v>
      </c>
      <c r="L82" s="234"/>
      <c r="M82" s="234" t="s">
        <v>741</v>
      </c>
      <c r="N82" s="88" t="str">
        <f t="shared" si="1"/>
        <v>0</v>
      </c>
      <c r="O82" s="88" t="str">
        <f>INDEX(Кат!$E:$E,MATCH($A82,Кат!$A:$A,0))</f>
        <v>Y</v>
      </c>
    </row>
    <row r="83" spans="1:15" ht="30">
      <c r="A83" s="233">
        <v>212485</v>
      </c>
      <c r="B83" s="233">
        <v>23713</v>
      </c>
      <c r="C83" s="234" t="s">
        <v>755</v>
      </c>
      <c r="D83" s="234" t="s">
        <v>741</v>
      </c>
      <c r="E83" s="234"/>
      <c r="F83" s="234"/>
      <c r="G83" s="234" t="s">
        <v>250</v>
      </c>
      <c r="H83" s="235">
        <v>4700</v>
      </c>
      <c r="I83" s="235">
        <v>5890</v>
      </c>
      <c r="J83" s="234"/>
      <c r="K83" s="234" t="s">
        <v>744</v>
      </c>
      <c r="L83" s="234"/>
      <c r="M83" s="234" t="s">
        <v>741</v>
      </c>
      <c r="N83" s="88" t="str">
        <f t="shared" si="1"/>
        <v>0</v>
      </c>
      <c r="O83" s="88" t="str">
        <f>INDEX(Кат!$E:$E,MATCH($A83,Кат!$A:$A,0))</f>
        <v>Y</v>
      </c>
    </row>
    <row r="84" spans="1:15" ht="120">
      <c r="A84" s="233">
        <v>212269</v>
      </c>
      <c r="B84" s="233">
        <v>34596</v>
      </c>
      <c r="C84" s="234" t="s">
        <v>1626</v>
      </c>
      <c r="D84" s="234" t="s">
        <v>741</v>
      </c>
      <c r="E84" s="234"/>
      <c r="F84" s="234" t="s">
        <v>241</v>
      </c>
      <c r="G84" s="234" t="s">
        <v>250</v>
      </c>
      <c r="H84" s="235">
        <v>6750</v>
      </c>
      <c r="I84" s="235">
        <v>9090</v>
      </c>
      <c r="J84" s="234" t="s">
        <v>523</v>
      </c>
      <c r="K84" s="234" t="s">
        <v>1</v>
      </c>
      <c r="L84" s="234"/>
      <c r="M84" s="234" t="s">
        <v>741</v>
      </c>
      <c r="N84" s="88" t="str">
        <f t="shared" si="1"/>
        <v>1</v>
      </c>
      <c r="O84" s="88" t="str">
        <f>INDEX(Кат!$E:$E,MATCH($A84,Кат!$A:$A,0))</f>
        <v>Y</v>
      </c>
    </row>
    <row r="85" spans="1:15" ht="120">
      <c r="A85" s="233">
        <v>212270</v>
      </c>
      <c r="B85" s="233">
        <v>36700</v>
      </c>
      <c r="C85" s="234" t="s">
        <v>1627</v>
      </c>
      <c r="D85" s="234" t="s">
        <v>741</v>
      </c>
      <c r="E85" s="234"/>
      <c r="F85" s="234" t="s">
        <v>241</v>
      </c>
      <c r="G85" s="234" t="s">
        <v>250</v>
      </c>
      <c r="H85" s="235">
        <v>6750</v>
      </c>
      <c r="I85" s="235">
        <v>9090</v>
      </c>
      <c r="J85" s="234" t="s">
        <v>523</v>
      </c>
      <c r="K85" s="234" t="s">
        <v>1</v>
      </c>
      <c r="L85" s="234"/>
      <c r="M85" s="234" t="s">
        <v>741</v>
      </c>
      <c r="N85" s="88" t="str">
        <f t="shared" si="1"/>
        <v>1</v>
      </c>
      <c r="O85" s="88" t="str">
        <f>INDEX(Кат!$E:$E,MATCH($A85,Кат!$A:$A,0))</f>
        <v>Y</v>
      </c>
    </row>
    <row r="86" spans="1:15" ht="120">
      <c r="A86" s="233">
        <v>212274</v>
      </c>
      <c r="B86" s="233">
        <v>31374</v>
      </c>
      <c r="C86" s="234" t="s">
        <v>397</v>
      </c>
      <c r="D86" s="234" t="s">
        <v>741</v>
      </c>
      <c r="E86" s="234"/>
      <c r="F86" s="234" t="s">
        <v>158</v>
      </c>
      <c r="G86" s="234" t="s">
        <v>250</v>
      </c>
      <c r="H86" s="235">
        <v>6750</v>
      </c>
      <c r="I86" s="235">
        <v>9090</v>
      </c>
      <c r="J86" s="234" t="s">
        <v>633</v>
      </c>
      <c r="K86" s="234" t="s">
        <v>1</v>
      </c>
      <c r="L86" s="234"/>
      <c r="M86" s="234"/>
      <c r="N86" s="88" t="str">
        <f t="shared" si="1"/>
        <v>1</v>
      </c>
      <c r="O86" s="88" t="str">
        <f>INDEX(Кат!$E:$E,MATCH($A86,Кат!$A:$A,0))</f>
        <v>Y</v>
      </c>
    </row>
    <row r="87" spans="1:15" ht="30">
      <c r="A87" s="233">
        <v>212884</v>
      </c>
      <c r="B87" s="233">
        <v>23734</v>
      </c>
      <c r="C87" s="234" t="s">
        <v>62</v>
      </c>
      <c r="D87" s="234" t="s">
        <v>741</v>
      </c>
      <c r="E87" s="234"/>
      <c r="F87" s="234" t="s">
        <v>267</v>
      </c>
      <c r="G87" s="234" t="s">
        <v>250</v>
      </c>
      <c r="H87" s="235">
        <v>2200</v>
      </c>
      <c r="I87" s="235">
        <v>3790</v>
      </c>
      <c r="J87" s="234"/>
      <c r="K87" s="234" t="s">
        <v>744</v>
      </c>
      <c r="L87" s="234"/>
      <c r="M87" s="234" t="s">
        <v>741</v>
      </c>
      <c r="N87" s="88" t="str">
        <f t="shared" si="1"/>
        <v>0</v>
      </c>
      <c r="O87" s="88" t="str">
        <f>INDEX(Кат!$E:$E,MATCH($A87,Кат!$A:$A,0))</f>
        <v>Y</v>
      </c>
    </row>
    <row r="88" spans="1:15" ht="120">
      <c r="A88" s="233">
        <v>212885</v>
      </c>
      <c r="B88" s="233">
        <v>23733</v>
      </c>
      <c r="C88" s="234" t="s">
        <v>61</v>
      </c>
      <c r="D88" s="234" t="s">
        <v>741</v>
      </c>
      <c r="E88" s="234"/>
      <c r="F88" s="234" t="s">
        <v>238</v>
      </c>
      <c r="G88" s="234" t="s">
        <v>250</v>
      </c>
      <c r="H88" s="235">
        <v>2200</v>
      </c>
      <c r="I88" s="235">
        <v>3090</v>
      </c>
      <c r="J88" s="234" t="s">
        <v>508</v>
      </c>
      <c r="K88" s="234" t="s">
        <v>744</v>
      </c>
      <c r="L88" s="234"/>
      <c r="M88" s="234" t="s">
        <v>741</v>
      </c>
      <c r="N88" s="88" t="str">
        <f t="shared" si="1"/>
        <v>0</v>
      </c>
      <c r="O88" s="88" t="str">
        <f>INDEX(Кат!$E:$E,MATCH($A88,Кат!$A:$A,0))</f>
        <v>Y</v>
      </c>
    </row>
    <row r="89" spans="1:15" ht="120">
      <c r="A89" s="233">
        <v>212887</v>
      </c>
      <c r="B89" s="233">
        <v>13841</v>
      </c>
      <c r="C89" s="234" t="s">
        <v>40</v>
      </c>
      <c r="D89" s="234" t="s">
        <v>741</v>
      </c>
      <c r="E89" s="234"/>
      <c r="F89" s="234" t="s">
        <v>211</v>
      </c>
      <c r="G89" s="234" t="s">
        <v>250</v>
      </c>
      <c r="H89" s="235">
        <v>2500</v>
      </c>
      <c r="I89" s="235">
        <v>3490</v>
      </c>
      <c r="J89" s="234" t="s">
        <v>510</v>
      </c>
      <c r="K89" s="234" t="s">
        <v>1</v>
      </c>
      <c r="L89" s="234"/>
      <c r="M89" s="234" t="s">
        <v>741</v>
      </c>
      <c r="N89" s="88" t="str">
        <f t="shared" si="1"/>
        <v>1</v>
      </c>
      <c r="O89" s="88" t="str">
        <f>INDEX(Кат!$E:$E,MATCH($A89,Кат!$A:$A,0))</f>
        <v>Y</v>
      </c>
    </row>
    <row r="90" spans="1:15" ht="135">
      <c r="A90" s="233">
        <v>212891</v>
      </c>
      <c r="B90" s="233">
        <v>23730</v>
      </c>
      <c r="C90" s="234" t="s">
        <v>60</v>
      </c>
      <c r="D90" s="234" t="s">
        <v>741</v>
      </c>
      <c r="E90" s="234"/>
      <c r="F90" s="234" t="s">
        <v>211</v>
      </c>
      <c r="G90" s="234" t="s">
        <v>250</v>
      </c>
      <c r="H90" s="235">
        <v>2500</v>
      </c>
      <c r="I90" s="235">
        <v>3490</v>
      </c>
      <c r="J90" s="234" t="s">
        <v>509</v>
      </c>
      <c r="K90" s="234" t="s">
        <v>1</v>
      </c>
      <c r="L90" s="234"/>
      <c r="M90" s="234" t="s">
        <v>741</v>
      </c>
      <c r="N90" s="88" t="str">
        <f t="shared" si="1"/>
        <v>1</v>
      </c>
      <c r="O90" s="88" t="str">
        <f>INDEX(Кат!$E:$E,MATCH($A90,Кат!$A:$A,0))</f>
        <v>Y</v>
      </c>
    </row>
    <row r="91" spans="1:15" ht="135">
      <c r="A91" s="233">
        <v>212892</v>
      </c>
      <c r="B91" s="233">
        <v>23736</v>
      </c>
      <c r="C91" s="234" t="s">
        <v>64</v>
      </c>
      <c r="D91" s="234" t="s">
        <v>741</v>
      </c>
      <c r="E91" s="234"/>
      <c r="F91" s="234" t="s">
        <v>239</v>
      </c>
      <c r="G91" s="234" t="s">
        <v>250</v>
      </c>
      <c r="H91" s="235">
        <v>2900</v>
      </c>
      <c r="I91" s="235">
        <v>3990</v>
      </c>
      <c r="J91" s="234" t="s">
        <v>507</v>
      </c>
      <c r="K91" s="234" t="s">
        <v>1</v>
      </c>
      <c r="L91" s="234"/>
      <c r="M91" s="234"/>
      <c r="N91" s="88" t="str">
        <f t="shared" si="1"/>
        <v>1</v>
      </c>
      <c r="O91" s="88" t="str">
        <f>INDEX(Кат!$E:$E,MATCH($A91,Кат!$A:$A,0))</f>
        <v>Y</v>
      </c>
    </row>
    <row r="92" spans="1:15" ht="135">
      <c r="A92" s="233">
        <v>212893</v>
      </c>
      <c r="B92" s="233">
        <v>23735</v>
      </c>
      <c r="C92" s="234" t="s">
        <v>63</v>
      </c>
      <c r="D92" s="234" t="s">
        <v>741</v>
      </c>
      <c r="E92" s="234"/>
      <c r="F92" s="234" t="s">
        <v>213</v>
      </c>
      <c r="G92" s="234" t="s">
        <v>250</v>
      </c>
      <c r="H92" s="235">
        <v>2450</v>
      </c>
      <c r="I92" s="235">
        <v>3290</v>
      </c>
      <c r="J92" s="234" t="s">
        <v>506</v>
      </c>
      <c r="K92" s="234" t="s">
        <v>1</v>
      </c>
      <c r="L92" s="234"/>
      <c r="M92" s="234" t="s">
        <v>741</v>
      </c>
      <c r="N92" s="88" t="str">
        <f t="shared" si="1"/>
        <v>1</v>
      </c>
      <c r="O92" s="88" t="str">
        <f>INDEX(Кат!$E:$E,MATCH($A92,Кат!$A:$A,0))</f>
        <v>Y</v>
      </c>
    </row>
    <row r="93" spans="1:15" ht="30">
      <c r="A93" s="233">
        <v>212894</v>
      </c>
      <c r="B93" s="233">
        <v>23729</v>
      </c>
      <c r="C93" s="234" t="s">
        <v>59</v>
      </c>
      <c r="D93" s="234" t="s">
        <v>741</v>
      </c>
      <c r="E93" s="234"/>
      <c r="F93" s="234"/>
      <c r="G93" s="234" t="s">
        <v>250</v>
      </c>
      <c r="H93" s="235">
        <v>1550</v>
      </c>
      <c r="I93" s="235">
        <v>2090</v>
      </c>
      <c r="J93" s="234"/>
      <c r="K93" s="234" t="s">
        <v>744</v>
      </c>
      <c r="L93" s="234"/>
      <c r="M93" s="234" t="s">
        <v>741</v>
      </c>
      <c r="N93" s="88" t="str">
        <f t="shared" si="1"/>
        <v>0</v>
      </c>
      <c r="O93" s="88" t="str">
        <f>INDEX(Кат!$E:$E,MATCH($A93,Кат!$A:$A,0))</f>
        <v>Y</v>
      </c>
    </row>
    <row r="94" spans="1:15" ht="45">
      <c r="A94" s="233">
        <v>212901</v>
      </c>
      <c r="B94" s="233">
        <v>10090</v>
      </c>
      <c r="C94" s="234" t="s">
        <v>37</v>
      </c>
      <c r="D94" s="234" t="s">
        <v>741</v>
      </c>
      <c r="E94" s="234"/>
      <c r="F94" s="234"/>
      <c r="G94" s="234" t="s">
        <v>250</v>
      </c>
      <c r="H94" s="235">
        <v>1500</v>
      </c>
      <c r="I94" s="235">
        <v>1890</v>
      </c>
      <c r="J94" s="234"/>
      <c r="K94" s="234" t="s">
        <v>744</v>
      </c>
      <c r="L94" s="234"/>
      <c r="M94" s="234" t="s">
        <v>741</v>
      </c>
      <c r="N94" s="88" t="str">
        <f t="shared" si="1"/>
        <v>0</v>
      </c>
      <c r="O94" s="88" t="str">
        <f>INDEX(Кат!$E:$E,MATCH($A94,Кат!$A:$A,0))</f>
        <v>Y</v>
      </c>
    </row>
    <row r="95" spans="1:15">
      <c r="A95" s="233">
        <v>214014</v>
      </c>
      <c r="B95" s="233">
        <v>7174</v>
      </c>
      <c r="C95" s="234" t="s">
        <v>254</v>
      </c>
      <c r="D95" s="234" t="s">
        <v>741</v>
      </c>
      <c r="E95" s="234"/>
      <c r="F95" s="234"/>
      <c r="G95" s="234" t="s">
        <v>250</v>
      </c>
      <c r="H95" s="235">
        <v>0</v>
      </c>
      <c r="I95" s="235">
        <v>4590</v>
      </c>
      <c r="J95" s="234"/>
      <c r="K95" s="234" t="s">
        <v>744</v>
      </c>
      <c r="L95" s="234"/>
      <c r="M95" s="234" t="s">
        <v>741</v>
      </c>
      <c r="N95" s="88" t="str">
        <f t="shared" si="1"/>
        <v>0</v>
      </c>
      <c r="O95" s="88" t="str">
        <f>INDEX(Кат!$E:$E,MATCH($A95,Кат!$A:$A,0))</f>
        <v>Y</v>
      </c>
    </row>
    <row r="96" spans="1:15" ht="135">
      <c r="A96" s="233">
        <v>217600</v>
      </c>
      <c r="B96" s="233">
        <v>37235</v>
      </c>
      <c r="C96" s="234" t="s">
        <v>279</v>
      </c>
      <c r="D96" s="234" t="s">
        <v>741</v>
      </c>
      <c r="E96" s="234"/>
      <c r="F96" s="234" t="s">
        <v>249</v>
      </c>
      <c r="G96" s="234" t="s">
        <v>250</v>
      </c>
      <c r="H96" s="235">
        <v>9650</v>
      </c>
      <c r="I96" s="235">
        <v>11990</v>
      </c>
      <c r="J96" s="234" t="s">
        <v>572</v>
      </c>
      <c r="K96" s="234" t="s">
        <v>1</v>
      </c>
      <c r="L96" s="234"/>
      <c r="M96" s="234" t="s">
        <v>741</v>
      </c>
      <c r="N96" s="88" t="str">
        <f t="shared" si="1"/>
        <v>1</v>
      </c>
      <c r="O96" s="88" t="str">
        <f>INDEX(Кат!$E:$E,MATCH($A96,Кат!$A:$A,0))</f>
        <v>Y</v>
      </c>
    </row>
    <row r="97" spans="1:15" ht="30">
      <c r="A97" s="233">
        <v>218628</v>
      </c>
      <c r="B97" s="233">
        <v>23744</v>
      </c>
      <c r="C97" s="234" t="s">
        <v>71</v>
      </c>
      <c r="D97" s="234" t="s">
        <v>741</v>
      </c>
      <c r="E97" s="234"/>
      <c r="F97" s="234"/>
      <c r="G97" s="234" t="s">
        <v>250</v>
      </c>
      <c r="H97" s="235">
        <v>0</v>
      </c>
      <c r="I97" s="235">
        <v>1090</v>
      </c>
      <c r="J97" s="234"/>
      <c r="K97" s="234" t="s">
        <v>744</v>
      </c>
      <c r="L97" s="234"/>
      <c r="M97" s="234" t="s">
        <v>741</v>
      </c>
      <c r="N97" s="88" t="str">
        <f t="shared" si="1"/>
        <v>0</v>
      </c>
      <c r="O97" s="88" t="str">
        <f>INDEX(Кат!$E:$E,MATCH($A97,Кат!$A:$A,0))</f>
        <v>Y</v>
      </c>
    </row>
    <row r="98" spans="1:15" ht="30">
      <c r="A98" s="233">
        <v>221518</v>
      </c>
      <c r="B98" s="233">
        <v>23746</v>
      </c>
      <c r="C98" s="234" t="s">
        <v>72</v>
      </c>
      <c r="D98" s="234" t="s">
        <v>741</v>
      </c>
      <c r="E98" s="234"/>
      <c r="F98" s="234"/>
      <c r="G98" s="234" t="s">
        <v>250</v>
      </c>
      <c r="H98" s="235">
        <v>0</v>
      </c>
      <c r="I98" s="235">
        <v>14590</v>
      </c>
      <c r="J98" s="234"/>
      <c r="K98" s="234" t="s">
        <v>744</v>
      </c>
      <c r="L98" s="234"/>
      <c r="M98" s="234" t="s">
        <v>741</v>
      </c>
      <c r="N98" s="88" t="str">
        <f t="shared" si="1"/>
        <v>0</v>
      </c>
      <c r="O98" s="88" t="str">
        <f>INDEX(Кат!$E:$E,MATCH($A98,Кат!$A:$A,0))</f>
        <v>Y</v>
      </c>
    </row>
    <row r="99" spans="1:15" ht="105">
      <c r="A99" s="233">
        <v>225793</v>
      </c>
      <c r="B99" s="233">
        <v>23748</v>
      </c>
      <c r="C99" s="234" t="s">
        <v>73</v>
      </c>
      <c r="D99" s="234" t="s">
        <v>741</v>
      </c>
      <c r="E99" s="234"/>
      <c r="F99" s="234" t="s">
        <v>156</v>
      </c>
      <c r="G99" s="234" t="s">
        <v>250</v>
      </c>
      <c r="H99" s="235">
        <v>1450</v>
      </c>
      <c r="I99" s="235">
        <v>2090</v>
      </c>
      <c r="J99" s="234" t="s">
        <v>505</v>
      </c>
      <c r="K99" s="234" t="s">
        <v>1</v>
      </c>
      <c r="L99" s="234"/>
      <c r="M99" s="234" t="s">
        <v>741</v>
      </c>
      <c r="N99" s="88" t="str">
        <f t="shared" si="1"/>
        <v>1</v>
      </c>
      <c r="O99" s="88" t="str">
        <f>INDEX(Кат!$E:$E,MATCH($A99,Кат!$A:$A,0))</f>
        <v>Y</v>
      </c>
    </row>
    <row r="100" spans="1:15" ht="150">
      <c r="A100" s="233">
        <v>226780</v>
      </c>
      <c r="B100" s="233">
        <v>23724</v>
      </c>
      <c r="C100" s="234" t="s">
        <v>56</v>
      </c>
      <c r="D100" s="234" t="s">
        <v>741</v>
      </c>
      <c r="E100" s="234"/>
      <c r="F100" s="234" t="s">
        <v>215</v>
      </c>
      <c r="G100" s="234" t="s">
        <v>250</v>
      </c>
      <c r="H100" s="235">
        <v>5000</v>
      </c>
      <c r="I100" s="235">
        <v>6690</v>
      </c>
      <c r="J100" s="234" t="s">
        <v>532</v>
      </c>
      <c r="K100" s="234" t="s">
        <v>1</v>
      </c>
      <c r="L100" s="234"/>
      <c r="M100" s="234" t="s">
        <v>741</v>
      </c>
      <c r="N100" s="88" t="str">
        <f t="shared" si="1"/>
        <v>1</v>
      </c>
      <c r="O100" s="88" t="str">
        <f>INDEX(Кат!$E:$E,MATCH($A100,Кат!$A:$A,0))</f>
        <v>Y</v>
      </c>
    </row>
    <row r="101" spans="1:15" ht="30">
      <c r="A101" s="233">
        <v>226786</v>
      </c>
      <c r="B101" s="233">
        <v>24855</v>
      </c>
      <c r="C101" s="234" t="s">
        <v>82</v>
      </c>
      <c r="D101" s="234" t="s">
        <v>741</v>
      </c>
      <c r="E101" s="234"/>
      <c r="F101" s="234"/>
      <c r="G101" s="234" t="s">
        <v>250</v>
      </c>
      <c r="H101" s="235">
        <v>18000</v>
      </c>
      <c r="I101" s="235">
        <v>22290</v>
      </c>
      <c r="J101" s="234"/>
      <c r="K101" s="234" t="s">
        <v>744</v>
      </c>
      <c r="L101" s="234"/>
      <c r="M101" s="234" t="s">
        <v>741</v>
      </c>
      <c r="N101" s="88" t="str">
        <f t="shared" si="1"/>
        <v>0</v>
      </c>
      <c r="O101" s="88" t="str">
        <f>INDEX(Кат!$E:$E,MATCH($A101,Кат!$A:$A,0))</f>
        <v>Y</v>
      </c>
    </row>
    <row r="102" spans="1:15" ht="105">
      <c r="A102" s="233">
        <v>226787</v>
      </c>
      <c r="B102" s="233">
        <v>23725</v>
      </c>
      <c r="C102" s="234" t="s">
        <v>57</v>
      </c>
      <c r="D102" s="234" t="s">
        <v>741</v>
      </c>
      <c r="E102" s="234"/>
      <c r="F102" s="234" t="s">
        <v>216</v>
      </c>
      <c r="G102" s="234" t="s">
        <v>250</v>
      </c>
      <c r="H102" s="235">
        <v>5000</v>
      </c>
      <c r="I102" s="235">
        <v>6690</v>
      </c>
      <c r="J102" s="234" t="s">
        <v>531</v>
      </c>
      <c r="K102" s="234" t="s">
        <v>1</v>
      </c>
      <c r="L102" s="234"/>
      <c r="M102" s="234" t="s">
        <v>741</v>
      </c>
      <c r="N102" s="88" t="str">
        <f t="shared" si="1"/>
        <v>1</v>
      </c>
      <c r="O102" s="88" t="str">
        <f>INDEX(Кат!$E:$E,MATCH($A102,Кат!$A:$A,0))</f>
        <v>Y</v>
      </c>
    </row>
    <row r="103" spans="1:15" ht="120">
      <c r="A103" s="233">
        <v>226921</v>
      </c>
      <c r="B103" s="233">
        <v>7153</v>
      </c>
      <c r="C103" s="234" t="s">
        <v>36</v>
      </c>
      <c r="D103" s="234" t="s">
        <v>741</v>
      </c>
      <c r="E103" s="234"/>
      <c r="F103" s="234" t="s">
        <v>167</v>
      </c>
      <c r="G103" s="234" t="s">
        <v>250</v>
      </c>
      <c r="H103" s="235">
        <v>60765</v>
      </c>
      <c r="I103" s="235">
        <v>75190</v>
      </c>
      <c r="J103" s="234" t="s">
        <v>553</v>
      </c>
      <c r="K103" s="234" t="s">
        <v>1</v>
      </c>
      <c r="L103" s="234"/>
      <c r="M103" s="234"/>
      <c r="N103" s="88" t="str">
        <f t="shared" si="1"/>
        <v>1</v>
      </c>
      <c r="O103" s="88" t="str">
        <f>INDEX(Кат!$E:$E,MATCH($A103,Кат!$A:$A,0))</f>
        <v>Y</v>
      </c>
    </row>
    <row r="104" spans="1:15" ht="60">
      <c r="A104" s="233">
        <v>226983</v>
      </c>
      <c r="B104" s="233">
        <v>7131</v>
      </c>
      <c r="C104" s="234" t="s">
        <v>756</v>
      </c>
      <c r="D104" s="234" t="s">
        <v>741</v>
      </c>
      <c r="E104" s="234"/>
      <c r="F104" s="234"/>
      <c r="G104" s="234" t="s">
        <v>250</v>
      </c>
      <c r="H104" s="235"/>
      <c r="I104" s="235">
        <v>0</v>
      </c>
      <c r="J104" s="234"/>
      <c r="K104" s="234" t="s">
        <v>744</v>
      </c>
      <c r="L104" s="234"/>
      <c r="M104" s="234"/>
      <c r="N104" s="88" t="str">
        <f t="shared" si="1"/>
        <v>0</v>
      </c>
      <c r="O104" s="88" t="str">
        <f>INDEX(Кат!$E:$E,MATCH($A104,Кат!$A:$A,0))</f>
        <v>Y</v>
      </c>
    </row>
    <row r="105" spans="1:15" ht="60">
      <c r="A105" s="233">
        <v>226984</v>
      </c>
      <c r="B105" s="233">
        <v>7130</v>
      </c>
      <c r="C105" s="234" t="s">
        <v>757</v>
      </c>
      <c r="D105" s="234" t="s">
        <v>741</v>
      </c>
      <c r="E105" s="234"/>
      <c r="F105" s="234"/>
      <c r="G105" s="234" t="s">
        <v>250</v>
      </c>
      <c r="H105" s="235">
        <v>0</v>
      </c>
      <c r="I105" s="235">
        <v>14490</v>
      </c>
      <c r="J105" s="234"/>
      <c r="K105" s="234" t="s">
        <v>744</v>
      </c>
      <c r="L105" s="234"/>
      <c r="M105" s="234"/>
      <c r="N105" s="88" t="str">
        <f t="shared" si="1"/>
        <v>0</v>
      </c>
      <c r="O105" s="88" t="str">
        <f>INDEX(Кат!$E:$E,MATCH($A105,Кат!$A:$A,0))</f>
        <v>Y</v>
      </c>
    </row>
    <row r="106" spans="1:15" ht="45">
      <c r="A106" s="233">
        <v>226985</v>
      </c>
      <c r="B106" s="233">
        <v>7150</v>
      </c>
      <c r="C106" s="234" t="s">
        <v>758</v>
      </c>
      <c r="D106" s="234" t="s">
        <v>741</v>
      </c>
      <c r="E106" s="234"/>
      <c r="F106" s="234"/>
      <c r="G106" s="234" t="s">
        <v>250</v>
      </c>
      <c r="H106" s="235">
        <v>17075</v>
      </c>
      <c r="I106" s="235">
        <v>21190</v>
      </c>
      <c r="J106" s="234"/>
      <c r="K106" s="234" t="s">
        <v>744</v>
      </c>
      <c r="L106" s="234"/>
      <c r="M106" s="234"/>
      <c r="N106" s="88" t="str">
        <f t="shared" si="1"/>
        <v>0</v>
      </c>
      <c r="O106" s="88" t="str">
        <f>INDEX(Кат!$E:$E,MATCH($A106,Кат!$A:$A,0))</f>
        <v>Y</v>
      </c>
    </row>
    <row r="107" spans="1:15" ht="120">
      <c r="A107" s="233">
        <v>226922</v>
      </c>
      <c r="B107" s="233">
        <v>7129</v>
      </c>
      <c r="C107" s="234" t="s">
        <v>25</v>
      </c>
      <c r="D107" s="234" t="s">
        <v>741</v>
      </c>
      <c r="E107" s="234"/>
      <c r="F107" s="234" t="s">
        <v>168</v>
      </c>
      <c r="G107" s="234" t="s">
        <v>250</v>
      </c>
      <c r="H107" s="235">
        <v>55060</v>
      </c>
      <c r="I107" s="235">
        <v>68090</v>
      </c>
      <c r="J107" s="234" t="s">
        <v>546</v>
      </c>
      <c r="K107" s="234" t="s">
        <v>1</v>
      </c>
      <c r="L107" s="234"/>
      <c r="M107" s="234"/>
      <c r="N107" s="88" t="str">
        <f t="shared" si="1"/>
        <v>1</v>
      </c>
      <c r="O107" s="88" t="str">
        <f>INDEX(Кат!$E:$E,MATCH($A107,Кат!$A:$A,0))</f>
        <v>Y</v>
      </c>
    </row>
    <row r="108" spans="1:15" ht="120">
      <c r="A108" s="233">
        <v>226923</v>
      </c>
      <c r="B108" s="233">
        <v>7149</v>
      </c>
      <c r="C108" s="234" t="s">
        <v>34</v>
      </c>
      <c r="D108" s="234" t="s">
        <v>741</v>
      </c>
      <c r="E108" s="234"/>
      <c r="F108" s="234" t="s">
        <v>168</v>
      </c>
      <c r="G108" s="234" t="s">
        <v>250</v>
      </c>
      <c r="H108" s="235">
        <v>55060</v>
      </c>
      <c r="I108" s="235">
        <v>68090</v>
      </c>
      <c r="J108" s="234" t="s">
        <v>547</v>
      </c>
      <c r="K108" s="234" t="s">
        <v>1</v>
      </c>
      <c r="L108" s="234"/>
      <c r="M108" s="234"/>
      <c r="N108" s="88" t="str">
        <f t="shared" si="1"/>
        <v>1</v>
      </c>
      <c r="O108" s="88" t="str">
        <f>INDEX(Кат!$E:$E,MATCH($A108,Кат!$A:$A,0))</f>
        <v>Y</v>
      </c>
    </row>
    <row r="109" spans="1:15" ht="120">
      <c r="A109" s="233">
        <v>226924</v>
      </c>
      <c r="B109" s="233">
        <v>7146</v>
      </c>
      <c r="C109" s="234" t="s">
        <v>32</v>
      </c>
      <c r="D109" s="234" t="s">
        <v>741</v>
      </c>
      <c r="E109" s="234"/>
      <c r="F109" s="234" t="s">
        <v>168</v>
      </c>
      <c r="G109" s="234" t="s">
        <v>250</v>
      </c>
      <c r="H109" s="235">
        <v>55060</v>
      </c>
      <c r="I109" s="235">
        <v>68090</v>
      </c>
      <c r="J109" s="234" t="s">
        <v>548</v>
      </c>
      <c r="K109" s="234" t="s">
        <v>1</v>
      </c>
      <c r="L109" s="234"/>
      <c r="M109" s="234"/>
      <c r="N109" s="88" t="str">
        <f t="shared" si="1"/>
        <v>1</v>
      </c>
      <c r="O109" s="88" t="str">
        <f>INDEX(Кат!$E:$E,MATCH($A109,Кат!$A:$A,0))</f>
        <v>Y</v>
      </c>
    </row>
    <row r="110" spans="1:15" ht="60">
      <c r="A110" s="233">
        <v>226986</v>
      </c>
      <c r="B110" s="233">
        <v>7110</v>
      </c>
      <c r="C110" s="234" t="s">
        <v>759</v>
      </c>
      <c r="D110" s="234" t="s">
        <v>741</v>
      </c>
      <c r="E110" s="234"/>
      <c r="F110" s="234"/>
      <c r="G110" s="234" t="s">
        <v>250</v>
      </c>
      <c r="H110" s="235"/>
      <c r="I110" s="235">
        <v>0</v>
      </c>
      <c r="J110" s="234"/>
      <c r="K110" s="234" t="s">
        <v>744</v>
      </c>
      <c r="L110" s="234"/>
      <c r="M110" s="234"/>
      <c r="N110" s="88" t="str">
        <f t="shared" si="1"/>
        <v>0</v>
      </c>
      <c r="O110" s="88" t="str">
        <f>INDEX(Кат!$E:$E,MATCH($A110,Кат!$A:$A,0))</f>
        <v>Y</v>
      </c>
    </row>
    <row r="111" spans="1:15" ht="60">
      <c r="A111" s="233">
        <v>226987</v>
      </c>
      <c r="B111" s="233">
        <v>7111</v>
      </c>
      <c r="C111" s="234" t="s">
        <v>760</v>
      </c>
      <c r="D111" s="234" t="s">
        <v>741</v>
      </c>
      <c r="E111" s="234"/>
      <c r="F111" s="234"/>
      <c r="G111" s="234" t="s">
        <v>250</v>
      </c>
      <c r="H111" s="235"/>
      <c r="I111" s="235">
        <v>0</v>
      </c>
      <c r="J111" s="234"/>
      <c r="K111" s="234" t="s">
        <v>744</v>
      </c>
      <c r="L111" s="234"/>
      <c r="M111" s="234"/>
      <c r="N111" s="88" t="str">
        <f t="shared" si="1"/>
        <v>0</v>
      </c>
      <c r="O111" s="88" t="str">
        <f>INDEX(Кат!$E:$E,MATCH($A111,Кат!$A:$A,0))</f>
        <v>Y</v>
      </c>
    </row>
    <row r="112" spans="1:15" ht="120">
      <c r="A112" s="233">
        <v>226925</v>
      </c>
      <c r="B112" s="233">
        <v>7109</v>
      </c>
      <c r="C112" s="234" t="s">
        <v>21</v>
      </c>
      <c r="D112" s="234" t="s">
        <v>741</v>
      </c>
      <c r="E112" s="234"/>
      <c r="F112" s="234" t="s">
        <v>169</v>
      </c>
      <c r="G112" s="234" t="s">
        <v>250</v>
      </c>
      <c r="H112" s="235">
        <v>46750</v>
      </c>
      <c r="I112" s="235">
        <v>57890</v>
      </c>
      <c r="J112" s="234" t="s">
        <v>542</v>
      </c>
      <c r="K112" s="234" t="s">
        <v>1</v>
      </c>
      <c r="L112" s="234"/>
      <c r="M112" s="234"/>
      <c r="N112" s="88" t="str">
        <f t="shared" si="1"/>
        <v>1</v>
      </c>
      <c r="O112" s="88" t="str">
        <f>INDEX(Кат!$E:$E,MATCH($A112,Кат!$A:$A,0))</f>
        <v>Y</v>
      </c>
    </row>
    <row r="113" spans="1:15" ht="45">
      <c r="A113" s="233">
        <v>226988</v>
      </c>
      <c r="B113" s="233">
        <v>7128</v>
      </c>
      <c r="C113" s="234" t="s">
        <v>761</v>
      </c>
      <c r="D113" s="234" t="s">
        <v>741</v>
      </c>
      <c r="E113" s="234"/>
      <c r="F113" s="234"/>
      <c r="G113" s="234" t="s">
        <v>250</v>
      </c>
      <c r="H113" s="235">
        <v>0</v>
      </c>
      <c r="I113" s="235">
        <v>14490</v>
      </c>
      <c r="J113" s="234"/>
      <c r="K113" s="234" t="s">
        <v>744</v>
      </c>
      <c r="L113" s="234"/>
      <c r="M113" s="234"/>
      <c r="N113" s="88" t="str">
        <f t="shared" si="1"/>
        <v>0</v>
      </c>
      <c r="O113" s="88" t="str">
        <f>INDEX(Кат!$E:$E,MATCH($A113,Кат!$A:$A,0))</f>
        <v>Y</v>
      </c>
    </row>
    <row r="114" spans="1:15" ht="60">
      <c r="A114" s="233">
        <v>226989</v>
      </c>
      <c r="B114" s="233">
        <v>7127</v>
      </c>
      <c r="C114" s="234" t="s">
        <v>762</v>
      </c>
      <c r="D114" s="234" t="s">
        <v>741</v>
      </c>
      <c r="E114" s="234"/>
      <c r="F114" s="234"/>
      <c r="G114" s="234" t="s">
        <v>250</v>
      </c>
      <c r="H114" s="235">
        <v>0</v>
      </c>
      <c r="I114" s="235">
        <v>11690</v>
      </c>
      <c r="J114" s="234"/>
      <c r="K114" s="234" t="s">
        <v>744</v>
      </c>
      <c r="L114" s="234"/>
      <c r="M114" s="234"/>
      <c r="N114" s="88" t="str">
        <f t="shared" si="1"/>
        <v>0</v>
      </c>
      <c r="O114" s="88" t="str">
        <f>INDEX(Кат!$E:$E,MATCH($A114,Кат!$A:$A,0))</f>
        <v>Y</v>
      </c>
    </row>
    <row r="115" spans="1:15" ht="45">
      <c r="A115" s="233">
        <v>226990</v>
      </c>
      <c r="B115" s="233">
        <v>7147</v>
      </c>
      <c r="C115" s="234" t="s">
        <v>763</v>
      </c>
      <c r="D115" s="234" t="s">
        <v>741</v>
      </c>
      <c r="E115" s="234"/>
      <c r="F115" s="234"/>
      <c r="G115" s="234" t="s">
        <v>250</v>
      </c>
      <c r="H115" s="235">
        <v>0</v>
      </c>
      <c r="I115" s="235">
        <v>11190</v>
      </c>
      <c r="J115" s="234"/>
      <c r="K115" s="234" t="s">
        <v>744</v>
      </c>
      <c r="L115" s="234"/>
      <c r="M115" s="234"/>
      <c r="N115" s="88" t="str">
        <f t="shared" si="1"/>
        <v>0</v>
      </c>
      <c r="O115" s="88" t="str">
        <f>INDEX(Кат!$E:$E,MATCH($A115,Кат!$A:$A,0))</f>
        <v>Y</v>
      </c>
    </row>
    <row r="116" spans="1:15" ht="45">
      <c r="A116" s="233">
        <v>226991</v>
      </c>
      <c r="B116" s="233">
        <v>7155</v>
      </c>
      <c r="C116" s="234" t="s">
        <v>823</v>
      </c>
      <c r="D116" s="234" t="s">
        <v>740</v>
      </c>
      <c r="E116" s="234"/>
      <c r="F116" s="234"/>
      <c r="G116" s="234" t="s">
        <v>250</v>
      </c>
      <c r="H116" s="235">
        <v>0</v>
      </c>
      <c r="I116" s="235">
        <v>0</v>
      </c>
      <c r="J116" s="234"/>
      <c r="K116" s="234" t="s">
        <v>744</v>
      </c>
      <c r="L116" s="234"/>
      <c r="M116" s="234"/>
      <c r="N116" s="88" t="str">
        <f t="shared" si="1"/>
        <v>0</v>
      </c>
      <c r="O116" s="88" t="str">
        <f>INDEX(Кат!$E:$E,MATCH($A116,Кат!$A:$A,0))</f>
        <v>N</v>
      </c>
    </row>
    <row r="117" spans="1:15" ht="45">
      <c r="A117" s="233">
        <v>226992</v>
      </c>
      <c r="B117" s="233">
        <v>7157</v>
      </c>
      <c r="C117" s="234" t="s">
        <v>764</v>
      </c>
      <c r="D117" s="234" t="s">
        <v>741</v>
      </c>
      <c r="E117" s="234"/>
      <c r="F117" s="234"/>
      <c r="G117" s="234" t="s">
        <v>250</v>
      </c>
      <c r="H117" s="235">
        <v>0</v>
      </c>
      <c r="I117" s="235">
        <v>7190</v>
      </c>
      <c r="J117" s="234"/>
      <c r="K117" s="234" t="s">
        <v>744</v>
      </c>
      <c r="L117" s="234"/>
      <c r="M117" s="234"/>
      <c r="N117" s="88" t="str">
        <f t="shared" si="1"/>
        <v>0</v>
      </c>
      <c r="O117" s="88" t="str">
        <f>INDEX(Кат!$E:$E,MATCH($A117,Кат!$A:$A,0))</f>
        <v>Y</v>
      </c>
    </row>
    <row r="118" spans="1:15" ht="45">
      <c r="A118" s="233">
        <v>226993</v>
      </c>
      <c r="B118" s="233">
        <v>7156</v>
      </c>
      <c r="C118" s="234" t="s">
        <v>765</v>
      </c>
      <c r="D118" s="234" t="s">
        <v>741</v>
      </c>
      <c r="E118" s="234"/>
      <c r="F118" s="234"/>
      <c r="G118" s="234" t="s">
        <v>250</v>
      </c>
      <c r="H118" s="235">
        <v>0</v>
      </c>
      <c r="I118" s="235">
        <v>6190</v>
      </c>
      <c r="J118" s="234"/>
      <c r="K118" s="234" t="s">
        <v>744</v>
      </c>
      <c r="L118" s="234"/>
      <c r="M118" s="234"/>
      <c r="N118" s="88" t="str">
        <f t="shared" si="1"/>
        <v>0</v>
      </c>
      <c r="O118" s="88" t="str">
        <f>INDEX(Кат!$E:$E,MATCH($A118,Кат!$A:$A,0))</f>
        <v>Y</v>
      </c>
    </row>
    <row r="119" spans="1:15" ht="45">
      <c r="A119" s="233">
        <v>226994</v>
      </c>
      <c r="B119" s="233">
        <v>7154</v>
      </c>
      <c r="C119" s="234" t="s">
        <v>766</v>
      </c>
      <c r="D119" s="234" t="s">
        <v>741</v>
      </c>
      <c r="E119" s="234"/>
      <c r="F119" s="234"/>
      <c r="G119" s="234" t="s">
        <v>250</v>
      </c>
      <c r="H119" s="235">
        <v>0</v>
      </c>
      <c r="I119" s="235">
        <v>13390</v>
      </c>
      <c r="J119" s="234"/>
      <c r="K119" s="234" t="s">
        <v>744</v>
      </c>
      <c r="L119" s="234"/>
      <c r="M119" s="234"/>
      <c r="N119" s="88" t="str">
        <f t="shared" si="1"/>
        <v>0</v>
      </c>
      <c r="O119" s="88" t="str">
        <f>INDEX(Кат!$E:$E,MATCH($A119,Кат!$A:$A,0))</f>
        <v>Y</v>
      </c>
    </row>
    <row r="120" spans="1:15" ht="120">
      <c r="A120" s="233">
        <v>226926</v>
      </c>
      <c r="B120" s="233">
        <v>7143</v>
      </c>
      <c r="C120" s="234" t="s">
        <v>29</v>
      </c>
      <c r="D120" s="234" t="s">
        <v>741</v>
      </c>
      <c r="E120" s="234"/>
      <c r="F120" s="234" t="s">
        <v>170</v>
      </c>
      <c r="G120" s="234" t="s">
        <v>250</v>
      </c>
      <c r="H120" s="235">
        <v>39375</v>
      </c>
      <c r="I120" s="235">
        <v>48690</v>
      </c>
      <c r="J120" s="234" t="s">
        <v>541</v>
      </c>
      <c r="K120" s="234" t="s">
        <v>1</v>
      </c>
      <c r="L120" s="234"/>
      <c r="M120" s="234"/>
      <c r="N120" s="88" t="str">
        <f t="shared" si="1"/>
        <v>1</v>
      </c>
      <c r="O120" s="88" t="str">
        <f>INDEX(Кат!$E:$E,MATCH($A120,Кат!$A:$A,0))</f>
        <v>Y</v>
      </c>
    </row>
    <row r="121" spans="1:15" ht="120">
      <c r="A121" s="233">
        <v>226927</v>
      </c>
      <c r="B121" s="233">
        <v>7142</v>
      </c>
      <c r="C121" s="234" t="s">
        <v>28</v>
      </c>
      <c r="D121" s="234" t="s">
        <v>741</v>
      </c>
      <c r="E121" s="234"/>
      <c r="F121" s="234" t="s">
        <v>171</v>
      </c>
      <c r="G121" s="234" t="s">
        <v>250</v>
      </c>
      <c r="H121" s="235">
        <v>60100</v>
      </c>
      <c r="I121" s="235">
        <v>74390</v>
      </c>
      <c r="J121" s="234" t="s">
        <v>555</v>
      </c>
      <c r="K121" s="234" t="s">
        <v>1</v>
      </c>
      <c r="L121" s="234"/>
      <c r="M121" s="234"/>
      <c r="N121" s="88" t="str">
        <f t="shared" si="1"/>
        <v>1</v>
      </c>
      <c r="O121" s="88" t="str">
        <f>INDEX(Кат!$E:$E,MATCH($A121,Кат!$A:$A,0))</f>
        <v>Y</v>
      </c>
    </row>
    <row r="122" spans="1:15" ht="45">
      <c r="A122" s="233">
        <v>226928</v>
      </c>
      <c r="B122" s="233">
        <v>15567</v>
      </c>
      <c r="C122" s="234" t="s">
        <v>45</v>
      </c>
      <c r="D122" s="234" t="s">
        <v>741</v>
      </c>
      <c r="E122" s="234"/>
      <c r="F122" s="234"/>
      <c r="G122" s="234" t="s">
        <v>250</v>
      </c>
      <c r="H122" s="235">
        <v>0</v>
      </c>
      <c r="I122" s="235">
        <v>23190</v>
      </c>
      <c r="J122" s="234"/>
      <c r="K122" s="234" t="s">
        <v>744</v>
      </c>
      <c r="L122" s="234"/>
      <c r="M122" s="234"/>
      <c r="N122" s="88" t="str">
        <f t="shared" si="1"/>
        <v>0</v>
      </c>
      <c r="O122" s="88" t="str">
        <f>INDEX(Кат!$E:$E,MATCH($A122,Кат!$A:$A,0))</f>
        <v>Y</v>
      </c>
    </row>
    <row r="123" spans="1:15" ht="45">
      <c r="A123" s="233">
        <v>226995</v>
      </c>
      <c r="B123" s="233">
        <v>7158</v>
      </c>
      <c r="C123" s="234" t="s">
        <v>767</v>
      </c>
      <c r="D123" s="234" t="s">
        <v>741</v>
      </c>
      <c r="E123" s="234"/>
      <c r="F123" s="234"/>
      <c r="G123" s="234" t="s">
        <v>250</v>
      </c>
      <c r="H123" s="235">
        <v>0</v>
      </c>
      <c r="I123" s="235">
        <v>16590</v>
      </c>
      <c r="J123" s="234"/>
      <c r="K123" s="234" t="s">
        <v>744</v>
      </c>
      <c r="L123" s="234"/>
      <c r="M123" s="234"/>
      <c r="N123" s="88" t="str">
        <f t="shared" si="1"/>
        <v>0</v>
      </c>
      <c r="O123" s="88" t="str">
        <f>INDEX(Кат!$E:$E,MATCH($A123,Кат!$A:$A,0))</f>
        <v>Y</v>
      </c>
    </row>
    <row r="124" spans="1:15" ht="120">
      <c r="A124" s="233">
        <v>226929</v>
      </c>
      <c r="B124" s="233">
        <v>7107</v>
      </c>
      <c r="C124" s="234" t="s">
        <v>20</v>
      </c>
      <c r="D124" s="234" t="s">
        <v>741</v>
      </c>
      <c r="E124" s="234"/>
      <c r="F124" s="234" t="s">
        <v>173</v>
      </c>
      <c r="G124" s="234" t="s">
        <v>250</v>
      </c>
      <c r="H124" s="235">
        <v>50609</v>
      </c>
      <c r="I124" s="235">
        <v>62590</v>
      </c>
      <c r="J124" s="234" t="s">
        <v>543</v>
      </c>
      <c r="K124" s="234" t="s">
        <v>1</v>
      </c>
      <c r="L124" s="234"/>
      <c r="M124" s="234"/>
      <c r="N124" s="88" t="str">
        <f t="shared" si="1"/>
        <v>1</v>
      </c>
      <c r="O124" s="88" t="str">
        <f>INDEX(Кат!$E:$E,MATCH($A124,Кат!$A:$A,0))</f>
        <v>Y</v>
      </c>
    </row>
    <row r="125" spans="1:15" ht="120">
      <c r="A125" s="233">
        <v>226996</v>
      </c>
      <c r="B125" s="233">
        <v>7108</v>
      </c>
      <c r="C125" s="234" t="s">
        <v>768</v>
      </c>
      <c r="D125" s="234" t="s">
        <v>741</v>
      </c>
      <c r="E125" s="234"/>
      <c r="F125" s="234" t="s">
        <v>172</v>
      </c>
      <c r="G125" s="234" t="s">
        <v>250</v>
      </c>
      <c r="H125" s="235">
        <v>50609</v>
      </c>
      <c r="I125" s="235">
        <v>62590</v>
      </c>
      <c r="J125" s="234" t="s">
        <v>544</v>
      </c>
      <c r="K125" s="234" t="s">
        <v>1</v>
      </c>
      <c r="L125" s="234"/>
      <c r="M125" s="234"/>
      <c r="N125" s="88" t="str">
        <f t="shared" si="1"/>
        <v>1</v>
      </c>
      <c r="O125" s="88" t="str">
        <f>INDEX(Кат!$E:$E,MATCH($A125,Кат!$A:$A,0))</f>
        <v>Y</v>
      </c>
    </row>
    <row r="126" spans="1:15" ht="60">
      <c r="A126" s="233">
        <v>226931</v>
      </c>
      <c r="B126" s="233">
        <v>7105</v>
      </c>
      <c r="C126" s="234" t="s">
        <v>18</v>
      </c>
      <c r="D126" s="234" t="s">
        <v>740</v>
      </c>
      <c r="E126" s="234"/>
      <c r="F126" s="234" t="s">
        <v>174</v>
      </c>
      <c r="G126" s="234" t="s">
        <v>250</v>
      </c>
      <c r="H126" s="235">
        <v>58236</v>
      </c>
      <c r="I126" s="235">
        <v>72090</v>
      </c>
      <c r="J126" s="234"/>
      <c r="K126" s="234" t="s">
        <v>1</v>
      </c>
      <c r="L126" s="234"/>
      <c r="M126" s="234"/>
      <c r="N126" s="88" t="str">
        <f t="shared" si="1"/>
        <v>1</v>
      </c>
      <c r="O126" s="88" t="str">
        <f>INDEX(Кат!$E:$E,MATCH($A126,Кат!$A:$A,0))</f>
        <v>N</v>
      </c>
    </row>
    <row r="127" spans="1:15" ht="120">
      <c r="A127" s="233">
        <v>226932</v>
      </c>
      <c r="B127" s="233">
        <v>7112</v>
      </c>
      <c r="C127" s="234" t="s">
        <v>22</v>
      </c>
      <c r="D127" s="234" t="s">
        <v>741</v>
      </c>
      <c r="E127" s="234"/>
      <c r="F127" s="234" t="s">
        <v>176</v>
      </c>
      <c r="G127" s="234" t="s">
        <v>250</v>
      </c>
      <c r="H127" s="235">
        <v>65830</v>
      </c>
      <c r="I127" s="235">
        <v>81490</v>
      </c>
      <c r="J127" s="234" t="s">
        <v>554</v>
      </c>
      <c r="K127" s="234" t="s">
        <v>1</v>
      </c>
      <c r="L127" s="234"/>
      <c r="M127" s="234"/>
      <c r="N127" s="88" t="str">
        <f t="shared" si="1"/>
        <v>1</v>
      </c>
      <c r="O127" s="88" t="str">
        <f>INDEX(Кат!$E:$E,MATCH($A127,Кат!$A:$A,0))</f>
        <v>Y</v>
      </c>
    </row>
    <row r="128" spans="1:15" ht="120">
      <c r="A128" s="233">
        <v>226933</v>
      </c>
      <c r="B128" s="233">
        <v>7106</v>
      </c>
      <c r="C128" s="234" t="s">
        <v>19</v>
      </c>
      <c r="D128" s="234" t="s">
        <v>741</v>
      </c>
      <c r="E128" s="234"/>
      <c r="F128" s="234" t="s">
        <v>177</v>
      </c>
      <c r="G128" s="234" t="s">
        <v>250</v>
      </c>
      <c r="H128" s="235">
        <v>70834</v>
      </c>
      <c r="I128" s="235">
        <v>87590</v>
      </c>
      <c r="J128" s="234" t="s">
        <v>557</v>
      </c>
      <c r="K128" s="234" t="s">
        <v>1</v>
      </c>
      <c r="L128" s="234"/>
      <c r="M128" s="234"/>
      <c r="N128" s="88" t="str">
        <f t="shared" si="1"/>
        <v>1</v>
      </c>
      <c r="O128" s="88" t="str">
        <f>INDEX(Кат!$E:$E,MATCH($A128,Кат!$A:$A,0))</f>
        <v>Y</v>
      </c>
    </row>
    <row r="129" spans="1:15" ht="120">
      <c r="A129" s="233">
        <v>226934</v>
      </c>
      <c r="B129" s="233">
        <v>7113</v>
      </c>
      <c r="C129" s="234" t="s">
        <v>23</v>
      </c>
      <c r="D129" s="234" t="s">
        <v>741</v>
      </c>
      <c r="E129" s="234"/>
      <c r="F129" s="234" t="s">
        <v>178</v>
      </c>
      <c r="G129" s="234" t="s">
        <v>250</v>
      </c>
      <c r="H129" s="235">
        <v>73863</v>
      </c>
      <c r="I129" s="235">
        <v>91390</v>
      </c>
      <c r="J129" s="234" t="s">
        <v>558</v>
      </c>
      <c r="K129" s="234" t="s">
        <v>1</v>
      </c>
      <c r="L129" s="234"/>
      <c r="M129" s="234"/>
      <c r="N129" s="88" t="str">
        <f t="shared" si="1"/>
        <v>1</v>
      </c>
      <c r="O129" s="88" t="str">
        <f>INDEX(Кат!$E:$E,MATCH($A129,Кат!$A:$A,0))</f>
        <v>Y</v>
      </c>
    </row>
    <row r="130" spans="1:15" ht="120">
      <c r="A130" s="233">
        <v>226935</v>
      </c>
      <c r="B130" s="233">
        <v>13559</v>
      </c>
      <c r="C130" s="234" t="s">
        <v>38</v>
      </c>
      <c r="D130" s="234" t="s">
        <v>741</v>
      </c>
      <c r="E130" s="234"/>
      <c r="F130" s="234" t="s">
        <v>179</v>
      </c>
      <c r="G130" s="234" t="s">
        <v>250</v>
      </c>
      <c r="H130" s="235">
        <v>73113</v>
      </c>
      <c r="I130" s="235">
        <v>90490</v>
      </c>
      <c r="J130" s="234" t="s">
        <v>561</v>
      </c>
      <c r="K130" s="234" t="s">
        <v>1</v>
      </c>
      <c r="L130" s="234"/>
      <c r="M130" s="234"/>
      <c r="N130" s="88" t="str">
        <f t="shared" si="1"/>
        <v>1</v>
      </c>
      <c r="O130" s="88" t="str">
        <f>INDEX(Кат!$E:$E,MATCH($A130,Кат!$A:$A,0))</f>
        <v>Y</v>
      </c>
    </row>
    <row r="131" spans="1:15" ht="120">
      <c r="A131" s="233">
        <v>226936</v>
      </c>
      <c r="B131" s="233">
        <v>7126</v>
      </c>
      <c r="C131" s="234" t="s">
        <v>24</v>
      </c>
      <c r="D131" s="234" t="s">
        <v>741</v>
      </c>
      <c r="E131" s="234"/>
      <c r="F131" s="234" t="s">
        <v>180</v>
      </c>
      <c r="G131" s="234" t="s">
        <v>250</v>
      </c>
      <c r="H131" s="235">
        <v>64413</v>
      </c>
      <c r="I131" s="235">
        <v>79690</v>
      </c>
      <c r="J131" s="234" t="s">
        <v>552</v>
      </c>
      <c r="K131" s="234" t="s">
        <v>1</v>
      </c>
      <c r="L131" s="234"/>
      <c r="M131" s="234"/>
      <c r="N131" s="88" t="str">
        <f t="shared" ref="N131:N147" si="2">_xlfn.CONCAT(K131,IF(L131&lt;&gt;"",_xlfn.CONCAT("ск",L131),""))</f>
        <v>1</v>
      </c>
      <c r="O131" s="88" t="str">
        <f>INDEX(Кат!$E:$E,MATCH($A131,Кат!$A:$A,0))</f>
        <v>Y</v>
      </c>
    </row>
    <row r="132" spans="1:15" ht="120">
      <c r="A132" s="233">
        <v>226937</v>
      </c>
      <c r="B132" s="233">
        <v>7148</v>
      </c>
      <c r="C132" s="234" t="s">
        <v>33</v>
      </c>
      <c r="D132" s="234" t="s">
        <v>741</v>
      </c>
      <c r="E132" s="234"/>
      <c r="F132" s="234" t="s">
        <v>181</v>
      </c>
      <c r="G132" s="234" t="s">
        <v>250</v>
      </c>
      <c r="H132" s="235">
        <v>64413</v>
      </c>
      <c r="I132" s="235">
        <v>79690</v>
      </c>
      <c r="J132" s="234" t="s">
        <v>551</v>
      </c>
      <c r="K132" s="234" t="s">
        <v>1</v>
      </c>
      <c r="L132" s="234"/>
      <c r="M132" s="234"/>
      <c r="N132" s="88" t="str">
        <f t="shared" si="2"/>
        <v>1</v>
      </c>
      <c r="O132" s="88" t="str">
        <f>INDEX(Кат!$E:$E,MATCH($A132,Кат!$A:$A,0))</f>
        <v>Y</v>
      </c>
    </row>
    <row r="133" spans="1:15" ht="120">
      <c r="A133" s="233">
        <v>226938</v>
      </c>
      <c r="B133" s="233">
        <v>7144</v>
      </c>
      <c r="C133" s="234" t="s">
        <v>30</v>
      </c>
      <c r="D133" s="234" t="s">
        <v>741</v>
      </c>
      <c r="E133" s="234"/>
      <c r="F133" s="234" t="s">
        <v>182</v>
      </c>
      <c r="G133" s="234" t="s">
        <v>250</v>
      </c>
      <c r="H133" s="235">
        <v>64413</v>
      </c>
      <c r="I133" s="235">
        <v>79690</v>
      </c>
      <c r="J133" s="234" t="s">
        <v>550</v>
      </c>
      <c r="K133" s="234" t="s">
        <v>1</v>
      </c>
      <c r="L133" s="234"/>
      <c r="M133" s="234"/>
      <c r="N133" s="88" t="str">
        <f t="shared" si="2"/>
        <v>1</v>
      </c>
      <c r="O133" s="88" t="str">
        <f>INDEX(Кат!$E:$E,MATCH($A133,Кат!$A:$A,0))</f>
        <v>Y</v>
      </c>
    </row>
    <row r="134" spans="1:15" ht="120">
      <c r="A134" s="233">
        <v>256867</v>
      </c>
      <c r="B134" s="233">
        <v>178480</v>
      </c>
      <c r="C134" s="234" t="s">
        <v>897</v>
      </c>
      <c r="D134" s="234" t="s">
        <v>741</v>
      </c>
      <c r="E134" s="234"/>
      <c r="F134" s="234" t="s">
        <v>465</v>
      </c>
      <c r="G134" s="234" t="s">
        <v>250</v>
      </c>
      <c r="H134" s="235">
        <v>75701</v>
      </c>
      <c r="I134" s="235">
        <v>93690</v>
      </c>
      <c r="J134" s="234" t="s">
        <v>579</v>
      </c>
      <c r="K134" s="234" t="s">
        <v>1</v>
      </c>
      <c r="L134" s="234"/>
      <c r="M134" s="234"/>
      <c r="N134" s="88" t="str">
        <f t="shared" si="2"/>
        <v>1</v>
      </c>
      <c r="O134" s="88" t="str">
        <f>INDEX(Кат!$E:$E,MATCH($A134,Кат!$A:$A,0))</f>
        <v>Y</v>
      </c>
    </row>
    <row r="135" spans="1:15" ht="120">
      <c r="A135" s="233">
        <v>226998</v>
      </c>
      <c r="B135" s="233">
        <v>15568</v>
      </c>
      <c r="C135" s="234" t="s">
        <v>769</v>
      </c>
      <c r="D135" s="234" t="s">
        <v>741</v>
      </c>
      <c r="E135" s="234"/>
      <c r="F135" s="234" t="s">
        <v>187</v>
      </c>
      <c r="G135" s="234" t="s">
        <v>250</v>
      </c>
      <c r="H135" s="235">
        <v>75800</v>
      </c>
      <c r="I135" s="235">
        <v>93790</v>
      </c>
      <c r="J135" s="234" t="s">
        <v>564</v>
      </c>
      <c r="K135" s="234" t="s">
        <v>1</v>
      </c>
      <c r="L135" s="234"/>
      <c r="M135" s="234"/>
      <c r="N135" s="88" t="str">
        <f t="shared" si="2"/>
        <v>1</v>
      </c>
      <c r="O135" s="88" t="str">
        <f>INDEX(Кат!$E:$E,MATCH($A135,Кат!$A:$A,0))</f>
        <v>Y</v>
      </c>
    </row>
    <row r="136" spans="1:15" ht="120">
      <c r="A136" s="233">
        <v>226997</v>
      </c>
      <c r="B136" s="233">
        <v>7162</v>
      </c>
      <c r="C136" s="234" t="s">
        <v>770</v>
      </c>
      <c r="D136" s="234" t="s">
        <v>741</v>
      </c>
      <c r="E136" s="234"/>
      <c r="F136" s="234" t="s">
        <v>186</v>
      </c>
      <c r="G136" s="234" t="s">
        <v>250</v>
      </c>
      <c r="H136" s="235">
        <v>75800</v>
      </c>
      <c r="I136" s="235">
        <v>93790</v>
      </c>
      <c r="J136" s="234" t="s">
        <v>563</v>
      </c>
      <c r="K136" s="234" t="s">
        <v>1</v>
      </c>
      <c r="L136" s="234"/>
      <c r="M136" s="234"/>
      <c r="N136" s="88" t="str">
        <f t="shared" si="2"/>
        <v>1</v>
      </c>
      <c r="O136" s="88" t="str">
        <f>INDEX(Кат!$E:$E,MATCH($A136,Кат!$A:$A,0))</f>
        <v>Y</v>
      </c>
    </row>
    <row r="137" spans="1:15" ht="120">
      <c r="A137" s="233">
        <v>226946</v>
      </c>
      <c r="B137" s="233">
        <v>7141</v>
      </c>
      <c r="C137" s="234" t="s">
        <v>27</v>
      </c>
      <c r="D137" s="234" t="s">
        <v>741</v>
      </c>
      <c r="E137" s="234"/>
      <c r="F137" s="234" t="s">
        <v>188</v>
      </c>
      <c r="G137" s="234" t="s">
        <v>250</v>
      </c>
      <c r="H137" s="235">
        <v>68665</v>
      </c>
      <c r="I137" s="235">
        <v>84990</v>
      </c>
      <c r="J137" s="234" t="s">
        <v>556</v>
      </c>
      <c r="K137" s="234" t="s">
        <v>1</v>
      </c>
      <c r="L137" s="234"/>
      <c r="M137" s="234"/>
      <c r="N137" s="88" t="str">
        <f t="shared" si="2"/>
        <v>1</v>
      </c>
      <c r="O137" s="88" t="str">
        <f>INDEX(Кат!$E:$E,MATCH($A137,Кат!$A:$A,0))</f>
        <v>Y</v>
      </c>
    </row>
    <row r="138" spans="1:15" ht="120">
      <c r="A138" s="233">
        <v>226947</v>
      </c>
      <c r="B138" s="233">
        <v>23799</v>
      </c>
      <c r="C138" s="234" t="s">
        <v>75</v>
      </c>
      <c r="D138" s="234" t="s">
        <v>741</v>
      </c>
      <c r="E138" s="234"/>
      <c r="F138" s="234" t="s">
        <v>190</v>
      </c>
      <c r="G138" s="234" t="s">
        <v>250</v>
      </c>
      <c r="H138" s="235">
        <v>74619</v>
      </c>
      <c r="I138" s="235">
        <v>92290</v>
      </c>
      <c r="J138" s="234" t="s">
        <v>567</v>
      </c>
      <c r="K138" s="234" t="s">
        <v>1</v>
      </c>
      <c r="L138" s="234"/>
      <c r="M138" s="234"/>
      <c r="N138" s="88" t="str">
        <f t="shared" si="2"/>
        <v>1</v>
      </c>
      <c r="O138" s="88" t="str">
        <f>INDEX(Кат!$E:$E,MATCH($A138,Кат!$A:$A,0))</f>
        <v>Y</v>
      </c>
    </row>
    <row r="139" spans="1:15" ht="120">
      <c r="A139" s="233">
        <v>226948</v>
      </c>
      <c r="B139" s="233">
        <v>13735</v>
      </c>
      <c r="C139" s="234" t="s">
        <v>39</v>
      </c>
      <c r="D139" s="234" t="s">
        <v>741</v>
      </c>
      <c r="E139" s="234"/>
      <c r="F139" s="234" t="s">
        <v>189</v>
      </c>
      <c r="G139" s="234" t="s">
        <v>250</v>
      </c>
      <c r="H139" s="235">
        <v>74619</v>
      </c>
      <c r="I139" s="235">
        <v>92290</v>
      </c>
      <c r="J139" s="234" t="s">
        <v>562</v>
      </c>
      <c r="K139" s="234" t="s">
        <v>1</v>
      </c>
      <c r="L139" s="234"/>
      <c r="M139" s="234"/>
      <c r="N139" s="88" t="str">
        <f t="shared" si="2"/>
        <v>1</v>
      </c>
      <c r="O139" s="88" t="str">
        <f>INDEX(Кат!$E:$E,MATCH($A139,Кат!$A:$A,0))</f>
        <v>Y</v>
      </c>
    </row>
    <row r="140" spans="1:15" ht="45">
      <c r="A140" s="233">
        <v>364263</v>
      </c>
      <c r="B140" s="233">
        <v>364263</v>
      </c>
      <c r="C140" s="234" t="s">
        <v>1608</v>
      </c>
      <c r="D140" s="234" t="s">
        <v>741</v>
      </c>
      <c r="E140" s="234"/>
      <c r="F140" s="234" t="s">
        <v>1575</v>
      </c>
      <c r="G140" s="234" t="s">
        <v>250</v>
      </c>
      <c r="H140" s="235">
        <v>73487</v>
      </c>
      <c r="I140" s="235">
        <v>90890</v>
      </c>
      <c r="J140" s="234"/>
      <c r="K140" s="234" t="s">
        <v>1</v>
      </c>
      <c r="L140" s="234"/>
      <c r="M140" s="234"/>
      <c r="N140" s="88" t="str">
        <f t="shared" si="2"/>
        <v>1</v>
      </c>
      <c r="O140" s="88" t="str">
        <f>INDEX(Кат!$E:$E,MATCH($A140,Кат!$A:$A,0))</f>
        <v>Y</v>
      </c>
    </row>
    <row r="141" spans="1:15" ht="120">
      <c r="A141" s="233">
        <v>226959</v>
      </c>
      <c r="B141" s="233">
        <v>23810</v>
      </c>
      <c r="C141" s="234" t="s">
        <v>166</v>
      </c>
      <c r="D141" s="234" t="s">
        <v>741</v>
      </c>
      <c r="E141" s="234"/>
      <c r="F141" s="234" t="s">
        <v>197</v>
      </c>
      <c r="G141" s="234" t="s">
        <v>250</v>
      </c>
      <c r="H141" s="235">
        <v>77665</v>
      </c>
      <c r="I141" s="235">
        <v>96090</v>
      </c>
      <c r="J141" s="234" t="s">
        <v>568</v>
      </c>
      <c r="K141" s="234" t="s">
        <v>1</v>
      </c>
      <c r="L141" s="234"/>
      <c r="M141" s="234"/>
      <c r="N141" s="88" t="str">
        <f t="shared" si="2"/>
        <v>1</v>
      </c>
      <c r="O141" s="88" t="str">
        <f>INDEX(Кат!$E:$E,MATCH($A141,Кат!$A:$A,0))</f>
        <v>Y</v>
      </c>
    </row>
    <row r="142" spans="1:15" ht="135">
      <c r="A142" s="233">
        <v>226960</v>
      </c>
      <c r="B142" s="233">
        <v>23807</v>
      </c>
      <c r="C142" s="234" t="s">
        <v>76</v>
      </c>
      <c r="D142" s="234" t="s">
        <v>741</v>
      </c>
      <c r="E142" s="234"/>
      <c r="F142" s="234" t="s">
        <v>202</v>
      </c>
      <c r="G142" s="234" t="s">
        <v>250</v>
      </c>
      <c r="H142" s="235">
        <v>77737</v>
      </c>
      <c r="I142" s="235">
        <v>96190</v>
      </c>
      <c r="J142" s="234" t="s">
        <v>570</v>
      </c>
      <c r="K142" s="234" t="s">
        <v>1</v>
      </c>
      <c r="L142" s="234"/>
      <c r="M142" s="234"/>
      <c r="N142" s="88" t="str">
        <f t="shared" si="2"/>
        <v>1</v>
      </c>
      <c r="O142" s="88" t="str">
        <f>INDEX(Кат!$E:$E,MATCH($A142,Кат!$A:$A,0))</f>
        <v>Y</v>
      </c>
    </row>
    <row r="143" spans="1:15" ht="135">
      <c r="A143" s="233">
        <v>226962</v>
      </c>
      <c r="B143" s="233">
        <v>24834</v>
      </c>
      <c r="C143" s="234" t="s">
        <v>77</v>
      </c>
      <c r="D143" s="234" t="s">
        <v>741</v>
      </c>
      <c r="E143" s="234"/>
      <c r="F143" s="234" t="s">
        <v>119</v>
      </c>
      <c r="G143" s="234" t="s">
        <v>250</v>
      </c>
      <c r="H143" s="235">
        <v>83633</v>
      </c>
      <c r="I143" s="235">
        <v>103490</v>
      </c>
      <c r="J143" s="234" t="s">
        <v>571</v>
      </c>
      <c r="K143" s="234" t="s">
        <v>1</v>
      </c>
      <c r="L143" s="234"/>
      <c r="M143" s="234" t="s">
        <v>741</v>
      </c>
      <c r="N143" s="88" t="str">
        <f t="shared" si="2"/>
        <v>1</v>
      </c>
      <c r="O143" s="88" t="str">
        <f>INDEX(Кат!$E:$E,MATCH($A143,Кат!$A:$A,0))</f>
        <v>Y</v>
      </c>
    </row>
    <row r="144" spans="1:15" ht="60">
      <c r="A144" s="233">
        <v>226963</v>
      </c>
      <c r="B144" s="233">
        <v>15564</v>
      </c>
      <c r="C144" s="234" t="s">
        <v>42</v>
      </c>
      <c r="D144" s="234" t="s">
        <v>740</v>
      </c>
      <c r="E144" s="234"/>
      <c r="F144" s="234" t="s">
        <v>199</v>
      </c>
      <c r="G144" s="234" t="s">
        <v>250</v>
      </c>
      <c r="H144" s="235">
        <v>76036</v>
      </c>
      <c r="I144" s="235">
        <v>94090</v>
      </c>
      <c r="J144" s="234"/>
      <c r="K144" s="234" t="s">
        <v>1</v>
      </c>
      <c r="L144" s="234"/>
      <c r="M144" s="234"/>
      <c r="N144" s="88" t="str">
        <f t="shared" si="2"/>
        <v>1</v>
      </c>
      <c r="O144" s="88" t="str">
        <f>INDEX(Кат!$E:$E,MATCH($A144,Кат!$A:$A,0))</f>
        <v>N</v>
      </c>
    </row>
    <row r="145" spans="1:15" ht="120">
      <c r="A145" s="233">
        <v>226965</v>
      </c>
      <c r="B145" s="233">
        <v>37928</v>
      </c>
      <c r="C145" s="234" t="s">
        <v>285</v>
      </c>
      <c r="D145" s="234" t="s">
        <v>741</v>
      </c>
      <c r="E145" s="234"/>
      <c r="F145" s="234" t="s">
        <v>280</v>
      </c>
      <c r="G145" s="234" t="s">
        <v>250</v>
      </c>
      <c r="H145" s="235">
        <v>104111</v>
      </c>
      <c r="I145" s="235">
        <v>128790</v>
      </c>
      <c r="J145" s="234" t="s">
        <v>573</v>
      </c>
      <c r="K145" s="234" t="s">
        <v>1</v>
      </c>
      <c r="L145" s="234"/>
      <c r="M145" s="234"/>
      <c r="N145" s="88" t="str">
        <f t="shared" si="2"/>
        <v>1</v>
      </c>
      <c r="O145" s="88" t="str">
        <f>INDEX(Кат!$E:$E,MATCH($A145,Кат!$A:$A,0))</f>
        <v>Y</v>
      </c>
    </row>
    <row r="146" spans="1:15" ht="105">
      <c r="A146" s="233">
        <v>364090</v>
      </c>
      <c r="B146" s="233">
        <v>364090</v>
      </c>
      <c r="C146" s="234" t="s">
        <v>1609</v>
      </c>
      <c r="D146" s="234" t="s">
        <v>741</v>
      </c>
      <c r="E146" s="234"/>
      <c r="F146" s="234" t="s">
        <v>1574</v>
      </c>
      <c r="G146" s="234" t="s">
        <v>250</v>
      </c>
      <c r="H146" s="235">
        <v>73676</v>
      </c>
      <c r="I146" s="235">
        <v>91190</v>
      </c>
      <c r="J146" s="234" t="s">
        <v>1610</v>
      </c>
      <c r="K146" s="234" t="s">
        <v>1</v>
      </c>
      <c r="L146" s="234"/>
      <c r="M146" s="234"/>
      <c r="N146" s="88" t="str">
        <f t="shared" si="2"/>
        <v>1</v>
      </c>
      <c r="O146" s="88" t="str">
        <f>INDEX(Кат!$E:$E,MATCH($A146,Кат!$A:$A,0))</f>
        <v>Y</v>
      </c>
    </row>
    <row r="147" spans="1:15" ht="120">
      <c r="A147" s="233">
        <v>226970</v>
      </c>
      <c r="B147" s="233">
        <v>37929</v>
      </c>
      <c r="C147" s="234" t="s">
        <v>286</v>
      </c>
      <c r="D147" s="234" t="s">
        <v>741</v>
      </c>
      <c r="E147" s="234"/>
      <c r="F147" s="234" t="s">
        <v>266</v>
      </c>
      <c r="G147" s="234" t="s">
        <v>250</v>
      </c>
      <c r="H147" s="235">
        <v>91200</v>
      </c>
      <c r="I147" s="235">
        <v>112790</v>
      </c>
      <c r="J147" s="234" t="s">
        <v>575</v>
      </c>
      <c r="K147" s="234" t="s">
        <v>1</v>
      </c>
      <c r="L147" s="234"/>
      <c r="M147" s="234"/>
      <c r="N147" s="88" t="str">
        <f t="shared" si="2"/>
        <v>1</v>
      </c>
      <c r="O147" s="88" t="str">
        <f>INDEX(Кат!$E:$E,MATCH($A147,Кат!$A:$A,0))</f>
        <v>Y</v>
      </c>
    </row>
  </sheetData>
  <autoFilter ref="A1:O147" xr:uid="{149D5E28-BBB3-46B1-A902-EC60776205B6}"/>
  <pageMargins left="0.75" right="0.75" top="1" bottom="1" header="0.5" footer="0.5"/>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CE841C-D045-428F-B0AB-F77396591AF0}">
  <sheetPr codeName="Лист8" filterMode="1"/>
  <dimension ref="A1:R870"/>
  <sheetViews>
    <sheetView showGridLines="0" workbookViewId="0">
      <pane ySplit="1" topLeftCell="A2" activePane="bottomLeft" state="frozen"/>
      <selection pane="bottomLeft" activeCell="H836" sqref="H833:H836"/>
    </sheetView>
  </sheetViews>
  <sheetFormatPr defaultRowHeight="15"/>
  <cols>
    <col min="1" max="1" width="41.5703125" style="43" customWidth="1"/>
    <col min="2" max="2" width="7" style="36" customWidth="1"/>
    <col min="3" max="3" width="8.42578125" style="36" bestFit="1" customWidth="1"/>
    <col min="4" max="4" width="36.5703125" style="36" customWidth="1"/>
    <col min="5" max="5" width="7.5703125" style="36" bestFit="1" customWidth="1"/>
    <col min="6" max="6" width="6.85546875" style="36" customWidth="1"/>
    <col min="7" max="7" width="20" style="36" customWidth="1"/>
    <col min="8" max="8" width="18.85546875" style="36" bestFit="1" customWidth="1"/>
    <col min="9" max="9" width="13.28515625" style="36" bestFit="1" customWidth="1"/>
    <col min="10" max="10" width="8.42578125" style="36" bestFit="1" customWidth="1"/>
    <col min="11" max="11" width="10.85546875" style="36" bestFit="1" customWidth="1"/>
    <col min="12" max="12" width="32.42578125" style="36" customWidth="1"/>
    <col min="13" max="13" width="5.5703125" style="36" bestFit="1" customWidth="1"/>
    <col min="14" max="14" width="5.42578125" style="36" bestFit="1" customWidth="1"/>
    <col min="15" max="15" width="6.140625" style="36" bestFit="1" customWidth="1"/>
    <col min="16" max="16" width="4.85546875" style="36" bestFit="1" customWidth="1"/>
    <col min="17" max="17" width="11.7109375" style="36" bestFit="1" customWidth="1"/>
    <col min="18" max="18" width="9.7109375" style="36" bestFit="1" customWidth="1"/>
    <col min="19" max="16384" width="9.140625" style="36"/>
  </cols>
  <sheetData>
    <row r="1" spans="1:18" ht="30">
      <c r="A1" s="236" t="s">
        <v>771</v>
      </c>
      <c r="B1" s="236" t="s">
        <v>0</v>
      </c>
      <c r="C1" s="236" t="s">
        <v>772</v>
      </c>
      <c r="D1" s="236" t="s">
        <v>732</v>
      </c>
      <c r="E1" s="236" t="s">
        <v>733</v>
      </c>
      <c r="F1" s="236"/>
      <c r="G1" s="236" t="s">
        <v>734</v>
      </c>
      <c r="H1" s="236" t="s">
        <v>735</v>
      </c>
      <c r="I1" s="236" t="s">
        <v>265</v>
      </c>
      <c r="J1" s="236" t="s">
        <v>160</v>
      </c>
      <c r="K1" s="236" t="s">
        <v>270</v>
      </c>
      <c r="L1" s="236" t="s">
        <v>602</v>
      </c>
      <c r="M1" s="236" t="s">
        <v>737</v>
      </c>
      <c r="N1" s="236" t="s">
        <v>773</v>
      </c>
      <c r="O1" s="236" t="s">
        <v>264</v>
      </c>
      <c r="P1" s="88"/>
      <c r="Q1" s="88"/>
    </row>
    <row r="2" spans="1:18" ht="60" hidden="1">
      <c r="A2" s="238" t="s">
        <v>774</v>
      </c>
      <c r="B2" s="237">
        <v>322488</v>
      </c>
      <c r="C2" s="237">
        <v>322488</v>
      </c>
      <c r="D2" s="238" t="s">
        <v>775</v>
      </c>
      <c r="E2" s="238" t="s">
        <v>741</v>
      </c>
      <c r="F2" s="238"/>
      <c r="G2" s="238"/>
      <c r="H2" s="238" t="s">
        <v>157</v>
      </c>
      <c r="I2" s="238" t="s">
        <v>250</v>
      </c>
      <c r="J2" s="239">
        <v>53470</v>
      </c>
      <c r="K2" s="239">
        <v>66190</v>
      </c>
      <c r="L2" s="238"/>
      <c r="M2" s="237">
        <v>1</v>
      </c>
      <c r="N2" s="237"/>
      <c r="O2" s="238"/>
      <c r="P2" s="88" t="str">
        <f>_xlfn.CONCAT(M2,IF(N2&lt;&gt;"",_xlfn.CONCAT("ск",N2),""))</f>
        <v>1</v>
      </c>
      <c r="Q2" s="88" t="str">
        <f>IFERROR(INDEX(Торг!$F:$F,MATCH($B2,Торг!$B:$B,0)),"Отсутствует")</f>
        <v>Y</v>
      </c>
      <c r="R2" s="36" t="str">
        <f>IFERROR(IF(AND(Q2="Отсутствует",VLOOKUP(A2,Торг!$A:$A,1,0)=A2),"Добавить","Есть"),"Новый")</f>
        <v>Есть</v>
      </c>
    </row>
    <row r="3" spans="1:18" ht="60" hidden="1">
      <c r="A3" s="238" t="s">
        <v>774</v>
      </c>
      <c r="B3" s="237">
        <v>322499</v>
      </c>
      <c r="C3" s="237">
        <v>322499</v>
      </c>
      <c r="D3" s="238" t="s">
        <v>776</v>
      </c>
      <c r="E3" s="238" t="s">
        <v>741</v>
      </c>
      <c r="F3" s="238"/>
      <c r="G3" s="238"/>
      <c r="H3" s="238" t="s">
        <v>157</v>
      </c>
      <c r="I3" s="238" t="s">
        <v>250</v>
      </c>
      <c r="J3" s="239">
        <v>53470</v>
      </c>
      <c r="K3" s="239">
        <v>66190</v>
      </c>
      <c r="L3" s="238"/>
      <c r="M3" s="237">
        <v>1</v>
      </c>
      <c r="N3" s="237"/>
      <c r="O3" s="238"/>
      <c r="P3" s="88" t="str">
        <f t="shared" ref="P3:P66" si="0">_xlfn.CONCAT(M3,IF(N3&lt;&gt;"",_xlfn.CONCAT("ск",N3),""))</f>
        <v>1</v>
      </c>
      <c r="Q3" s="88" t="str">
        <f>IFERROR(INDEX(Торг!$F:$F,MATCH($B3,Торг!$B:$B,0)),"Отсутствует")</f>
        <v>Y</v>
      </c>
      <c r="R3" s="36" t="str">
        <f>IFERROR(IF(AND(Q3="Отсутствует",VLOOKUP(A3,Торг!$A:$A,1,0)=A3),"Добавить","Есть"),"Новый")</f>
        <v>Есть</v>
      </c>
    </row>
    <row r="4" spans="1:18" ht="60" hidden="1">
      <c r="A4" s="238" t="s">
        <v>774</v>
      </c>
      <c r="B4" s="237">
        <v>322498</v>
      </c>
      <c r="C4" s="237">
        <v>322498</v>
      </c>
      <c r="D4" s="238" t="s">
        <v>777</v>
      </c>
      <c r="E4" s="238" t="s">
        <v>741</v>
      </c>
      <c r="F4" s="238"/>
      <c r="G4" s="238"/>
      <c r="H4" s="238" t="s">
        <v>157</v>
      </c>
      <c r="I4" s="238" t="s">
        <v>250</v>
      </c>
      <c r="J4" s="239">
        <v>53470</v>
      </c>
      <c r="K4" s="239">
        <v>66190</v>
      </c>
      <c r="L4" s="238"/>
      <c r="M4" s="237">
        <v>1</v>
      </c>
      <c r="N4" s="237"/>
      <c r="O4" s="238"/>
      <c r="P4" s="88" t="str">
        <f t="shared" si="0"/>
        <v>1</v>
      </c>
      <c r="Q4" s="88" t="str">
        <f>IFERROR(INDEX(Торг!$F:$F,MATCH($B4,Торг!$B:$B,0)),"Отсутствует")</f>
        <v>Y</v>
      </c>
      <c r="R4" s="36" t="str">
        <f>IFERROR(IF(AND(Q4="Отсутствует",VLOOKUP(A4,Торг!$A:$A,1,0)=A4),"Добавить","Есть"),"Новый")</f>
        <v>Есть</v>
      </c>
    </row>
    <row r="5" spans="1:18" ht="60" hidden="1">
      <c r="A5" s="238" t="s">
        <v>774</v>
      </c>
      <c r="B5" s="237">
        <v>322490</v>
      </c>
      <c r="C5" s="237">
        <v>322490</v>
      </c>
      <c r="D5" s="238" t="s">
        <v>778</v>
      </c>
      <c r="E5" s="238" t="s">
        <v>741</v>
      </c>
      <c r="F5" s="238"/>
      <c r="G5" s="238"/>
      <c r="H5" s="238" t="s">
        <v>157</v>
      </c>
      <c r="I5" s="238" t="s">
        <v>250</v>
      </c>
      <c r="J5" s="239">
        <v>53470</v>
      </c>
      <c r="K5" s="239">
        <v>66190</v>
      </c>
      <c r="L5" s="238"/>
      <c r="M5" s="237">
        <v>1</v>
      </c>
      <c r="N5" s="237"/>
      <c r="O5" s="238"/>
      <c r="P5" s="88" t="str">
        <f t="shared" si="0"/>
        <v>1</v>
      </c>
      <c r="Q5" s="88" t="str">
        <f>IFERROR(INDEX(Торг!$F:$F,MATCH($B5,Торг!$B:$B,0)),"Отсутствует")</f>
        <v>Y</v>
      </c>
      <c r="R5" s="36" t="str">
        <f>IFERROR(IF(AND(Q5="Отсутствует",VLOOKUP(A5,Торг!$A:$A,1,0)=A5),"Добавить","Есть"),"Новый")</f>
        <v>Есть</v>
      </c>
    </row>
    <row r="6" spans="1:18" ht="60" hidden="1">
      <c r="A6" s="238" t="s">
        <v>774</v>
      </c>
      <c r="B6" s="237">
        <v>322491</v>
      </c>
      <c r="C6" s="237">
        <v>322491</v>
      </c>
      <c r="D6" s="238" t="s">
        <v>779</v>
      </c>
      <c r="E6" s="238" t="s">
        <v>741</v>
      </c>
      <c r="F6" s="238"/>
      <c r="G6" s="238"/>
      <c r="H6" s="238" t="s">
        <v>157</v>
      </c>
      <c r="I6" s="238" t="s">
        <v>250</v>
      </c>
      <c r="J6" s="239">
        <v>53470</v>
      </c>
      <c r="K6" s="239">
        <v>66190</v>
      </c>
      <c r="L6" s="238"/>
      <c r="M6" s="237">
        <v>1</v>
      </c>
      <c r="N6" s="237"/>
      <c r="O6" s="238"/>
      <c r="P6" s="88" t="str">
        <f t="shared" si="0"/>
        <v>1</v>
      </c>
      <c r="Q6" s="88" t="str">
        <f>IFERROR(INDEX(Торг!$F:$F,MATCH($B6,Торг!$B:$B,0)),"Отсутствует")</f>
        <v>Y</v>
      </c>
      <c r="R6" s="36" t="str">
        <f>IFERROR(IF(AND(Q6="Отсутствует",VLOOKUP(A6,Торг!$A:$A,1,0)=A6),"Добавить","Есть"),"Новый")</f>
        <v>Есть</v>
      </c>
    </row>
    <row r="7" spans="1:18" ht="60" hidden="1">
      <c r="A7" s="238" t="s">
        <v>774</v>
      </c>
      <c r="B7" s="237">
        <v>322492</v>
      </c>
      <c r="C7" s="237">
        <v>322492</v>
      </c>
      <c r="D7" s="238" t="s">
        <v>780</v>
      </c>
      <c r="E7" s="238" t="s">
        <v>741</v>
      </c>
      <c r="F7" s="238"/>
      <c r="G7" s="238"/>
      <c r="H7" s="238" t="s">
        <v>157</v>
      </c>
      <c r="I7" s="238" t="s">
        <v>250</v>
      </c>
      <c r="J7" s="239">
        <v>53470</v>
      </c>
      <c r="K7" s="239">
        <v>66190</v>
      </c>
      <c r="L7" s="238"/>
      <c r="M7" s="237">
        <v>1</v>
      </c>
      <c r="N7" s="237"/>
      <c r="O7" s="238"/>
      <c r="P7" s="88" t="str">
        <f t="shared" si="0"/>
        <v>1</v>
      </c>
      <c r="Q7" s="88" t="str">
        <f>IFERROR(INDEX(Торг!$F:$F,MATCH($B7,Торг!$B:$B,0)),"Отсутствует")</f>
        <v>Y</v>
      </c>
      <c r="R7" s="36" t="str">
        <f>IFERROR(IF(AND(Q7="Отсутствует",VLOOKUP(A7,Торг!$A:$A,1,0)=A7),"Добавить","Есть"),"Новый")</f>
        <v>Есть</v>
      </c>
    </row>
    <row r="8" spans="1:18" ht="60" hidden="1">
      <c r="A8" s="238" t="s">
        <v>774</v>
      </c>
      <c r="B8" s="237">
        <v>322493</v>
      </c>
      <c r="C8" s="237">
        <v>322493</v>
      </c>
      <c r="D8" s="238" t="s">
        <v>781</v>
      </c>
      <c r="E8" s="238" t="s">
        <v>741</v>
      </c>
      <c r="F8" s="238"/>
      <c r="G8" s="238"/>
      <c r="H8" s="238" t="s">
        <v>157</v>
      </c>
      <c r="I8" s="238" t="s">
        <v>250</v>
      </c>
      <c r="J8" s="239">
        <v>53470</v>
      </c>
      <c r="K8" s="239">
        <v>66190</v>
      </c>
      <c r="L8" s="238"/>
      <c r="M8" s="237">
        <v>1</v>
      </c>
      <c r="N8" s="237"/>
      <c r="O8" s="238"/>
      <c r="P8" s="88" t="str">
        <f t="shared" si="0"/>
        <v>1</v>
      </c>
      <c r="Q8" s="88" t="str">
        <f>IFERROR(INDEX(Торг!$F:$F,MATCH($B8,Торг!$B:$B,0)),"Отсутствует")</f>
        <v>Y</v>
      </c>
      <c r="R8" s="36" t="str">
        <f>IFERROR(IF(AND(Q8="Отсутствует",VLOOKUP(A8,Торг!$A:$A,1,0)=A8),"Добавить","Есть"),"Новый")</f>
        <v>Есть</v>
      </c>
    </row>
    <row r="9" spans="1:18" ht="60" hidden="1">
      <c r="A9" s="238" t="s">
        <v>774</v>
      </c>
      <c r="B9" s="237">
        <v>322496</v>
      </c>
      <c r="C9" s="237">
        <v>322496</v>
      </c>
      <c r="D9" s="238" t="s">
        <v>782</v>
      </c>
      <c r="E9" s="238" t="s">
        <v>741</v>
      </c>
      <c r="F9" s="238"/>
      <c r="G9" s="238"/>
      <c r="H9" s="238" t="s">
        <v>157</v>
      </c>
      <c r="I9" s="238" t="s">
        <v>250</v>
      </c>
      <c r="J9" s="239">
        <v>53470</v>
      </c>
      <c r="K9" s="239">
        <v>66190</v>
      </c>
      <c r="L9" s="238"/>
      <c r="M9" s="237">
        <v>1</v>
      </c>
      <c r="N9" s="237"/>
      <c r="O9" s="238"/>
      <c r="P9" s="88" t="str">
        <f t="shared" si="0"/>
        <v>1</v>
      </c>
      <c r="Q9" s="88" t="str">
        <f>IFERROR(INDEX(Торг!$F:$F,MATCH($B9,Торг!$B:$B,0)),"Отсутствует")</f>
        <v>Y</v>
      </c>
      <c r="R9" s="36" t="str">
        <f>IFERROR(IF(AND(Q9="Отсутствует",VLOOKUP(A9,Торг!$A:$A,1,0)=A9),"Добавить","Есть"),"Новый")</f>
        <v>Есть</v>
      </c>
    </row>
    <row r="10" spans="1:18" ht="60" hidden="1">
      <c r="A10" s="238" t="s">
        <v>774</v>
      </c>
      <c r="B10" s="237">
        <v>322494</v>
      </c>
      <c r="C10" s="237">
        <v>322494</v>
      </c>
      <c r="D10" s="238" t="s">
        <v>783</v>
      </c>
      <c r="E10" s="238" t="s">
        <v>741</v>
      </c>
      <c r="F10" s="238"/>
      <c r="G10" s="238"/>
      <c r="H10" s="238" t="s">
        <v>157</v>
      </c>
      <c r="I10" s="238" t="s">
        <v>250</v>
      </c>
      <c r="J10" s="239">
        <v>53470</v>
      </c>
      <c r="K10" s="239">
        <v>66190</v>
      </c>
      <c r="L10" s="238"/>
      <c r="M10" s="237">
        <v>1</v>
      </c>
      <c r="N10" s="237"/>
      <c r="O10" s="238"/>
      <c r="P10" s="88" t="str">
        <f t="shared" si="0"/>
        <v>1</v>
      </c>
      <c r="Q10" s="88" t="str">
        <f>IFERROR(INDEX(Торг!$F:$F,MATCH($B10,Торг!$B:$B,0)),"Отсутствует")</f>
        <v>Y</v>
      </c>
      <c r="R10" s="36" t="str">
        <f>IFERROR(IF(AND(Q10="Отсутствует",VLOOKUP(A10,Торг!$A:$A,1,0)=A10),"Добавить","Есть"),"Новый")</f>
        <v>Есть</v>
      </c>
    </row>
    <row r="11" spans="1:18" ht="60" hidden="1">
      <c r="A11" s="238" t="s">
        <v>774</v>
      </c>
      <c r="B11" s="237">
        <v>322495</v>
      </c>
      <c r="C11" s="237">
        <v>322495</v>
      </c>
      <c r="D11" s="238" t="s">
        <v>784</v>
      </c>
      <c r="E11" s="238" t="s">
        <v>741</v>
      </c>
      <c r="F11" s="238"/>
      <c r="G11" s="238"/>
      <c r="H11" s="238" t="s">
        <v>157</v>
      </c>
      <c r="I11" s="238" t="s">
        <v>250</v>
      </c>
      <c r="J11" s="239">
        <v>53470</v>
      </c>
      <c r="K11" s="239">
        <v>66190</v>
      </c>
      <c r="L11" s="238"/>
      <c r="M11" s="237">
        <v>1</v>
      </c>
      <c r="N11" s="237"/>
      <c r="O11" s="238"/>
      <c r="P11" s="88" t="str">
        <f t="shared" si="0"/>
        <v>1</v>
      </c>
      <c r="Q11" s="88" t="str">
        <f>IFERROR(INDEX(Торг!$F:$F,MATCH($B11,Торг!$B:$B,0)),"Отсутствует")</f>
        <v>Y</v>
      </c>
      <c r="R11" s="36" t="str">
        <f>IFERROR(IF(AND(Q11="Отсутствует",VLOOKUP(A11,Торг!$A:$A,1,0)=A11),"Добавить","Есть"),"Новый")</f>
        <v>Есть</v>
      </c>
    </row>
    <row r="12" spans="1:18" ht="60" hidden="1">
      <c r="A12" s="238" t="s">
        <v>774</v>
      </c>
      <c r="B12" s="237">
        <v>322497</v>
      </c>
      <c r="C12" s="237">
        <v>322497</v>
      </c>
      <c r="D12" s="238" t="s">
        <v>785</v>
      </c>
      <c r="E12" s="238" t="s">
        <v>741</v>
      </c>
      <c r="F12" s="238"/>
      <c r="G12" s="238"/>
      <c r="H12" s="238" t="s">
        <v>157</v>
      </c>
      <c r="I12" s="238" t="s">
        <v>250</v>
      </c>
      <c r="J12" s="239">
        <v>53470</v>
      </c>
      <c r="K12" s="239">
        <v>66190</v>
      </c>
      <c r="L12" s="238"/>
      <c r="M12" s="237">
        <v>1</v>
      </c>
      <c r="N12" s="237"/>
      <c r="O12" s="238"/>
      <c r="P12" s="88" t="str">
        <f t="shared" si="0"/>
        <v>1</v>
      </c>
      <c r="Q12" s="88" t="str">
        <f>IFERROR(INDEX(Торг!$F:$F,MATCH($B12,Торг!$B:$B,0)),"Отсутствует")</f>
        <v>Y</v>
      </c>
      <c r="R12" s="36" t="str">
        <f>IFERROR(IF(AND(Q12="Отсутствует",VLOOKUP(A12,Торг!$A:$A,1,0)=A12),"Добавить","Есть"),"Новый")</f>
        <v>Есть</v>
      </c>
    </row>
    <row r="13" spans="1:18" ht="60" hidden="1">
      <c r="A13" s="238" t="s">
        <v>774</v>
      </c>
      <c r="B13" s="237">
        <v>322489</v>
      </c>
      <c r="C13" s="237">
        <v>322489</v>
      </c>
      <c r="D13" s="238" t="s">
        <v>786</v>
      </c>
      <c r="E13" s="238" t="s">
        <v>741</v>
      </c>
      <c r="F13" s="238"/>
      <c r="G13" s="238"/>
      <c r="H13" s="238" t="s">
        <v>157</v>
      </c>
      <c r="I13" s="238" t="s">
        <v>250</v>
      </c>
      <c r="J13" s="239">
        <v>53470</v>
      </c>
      <c r="K13" s="239">
        <v>66190</v>
      </c>
      <c r="L13" s="238"/>
      <c r="M13" s="237">
        <v>1</v>
      </c>
      <c r="N13" s="237"/>
      <c r="O13" s="238"/>
      <c r="P13" s="88" t="str">
        <f t="shared" si="0"/>
        <v>1</v>
      </c>
      <c r="Q13" s="88" t="str">
        <f>IFERROR(INDEX(Торг!$F:$F,MATCH($B13,Торг!$B:$B,0)),"Отсутствует")</f>
        <v>Y</v>
      </c>
      <c r="R13" s="36" t="str">
        <f>IFERROR(IF(AND(Q13="Отсутствует",VLOOKUP(A13,Торг!$A:$A,1,0)=A13),"Добавить","Есть"),"Новый")</f>
        <v>Есть</v>
      </c>
    </row>
    <row r="14" spans="1:18" ht="60" hidden="1">
      <c r="A14" s="238" t="s">
        <v>774</v>
      </c>
      <c r="B14" s="237">
        <v>322487</v>
      </c>
      <c r="C14" s="237">
        <v>322487</v>
      </c>
      <c r="D14" s="238" t="s">
        <v>787</v>
      </c>
      <c r="E14" s="238" t="s">
        <v>741</v>
      </c>
      <c r="F14" s="238"/>
      <c r="G14" s="238"/>
      <c r="H14" s="238" t="s">
        <v>157</v>
      </c>
      <c r="I14" s="238" t="s">
        <v>250</v>
      </c>
      <c r="J14" s="239">
        <v>52600</v>
      </c>
      <c r="K14" s="239">
        <v>65090</v>
      </c>
      <c r="L14" s="238"/>
      <c r="M14" s="237">
        <v>1</v>
      </c>
      <c r="N14" s="237"/>
      <c r="O14" s="238"/>
      <c r="P14" s="88" t="str">
        <f t="shared" si="0"/>
        <v>1</v>
      </c>
      <c r="Q14" s="88" t="str">
        <f>IFERROR(INDEX(Торг!$F:$F,MATCH($B14,Торг!$B:$B,0)),"Отсутствует")</f>
        <v>Y</v>
      </c>
      <c r="R14" s="36" t="str">
        <f>IFERROR(IF(AND(Q14="Отсутствует",VLOOKUP(A14,Торг!$A:$A,1,0)=A14),"Добавить","Есть"),"Новый")</f>
        <v>Есть</v>
      </c>
    </row>
    <row r="15" spans="1:18" ht="30" hidden="1">
      <c r="A15" s="238" t="s">
        <v>1611</v>
      </c>
      <c r="B15" s="237">
        <v>364327</v>
      </c>
      <c r="C15" s="237">
        <v>364327</v>
      </c>
      <c r="D15" s="238" t="s">
        <v>1612</v>
      </c>
      <c r="E15" s="238" t="s">
        <v>741</v>
      </c>
      <c r="F15" s="238"/>
      <c r="G15" s="238"/>
      <c r="H15" s="238" t="s">
        <v>1613</v>
      </c>
      <c r="I15" s="238" t="s">
        <v>250</v>
      </c>
      <c r="J15" s="239">
        <v>8000</v>
      </c>
      <c r="K15" s="239">
        <v>9890</v>
      </c>
      <c r="L15" s="238"/>
      <c r="M15" s="237">
        <v>1</v>
      </c>
      <c r="N15" s="237"/>
      <c r="O15" s="238"/>
      <c r="P15" s="88" t="str">
        <f t="shared" si="0"/>
        <v>1</v>
      </c>
      <c r="Q15" s="88" t="str">
        <f>IFERROR(INDEX(Торг!$F:$F,MATCH($B15,Торг!$B:$B,0)),"Отсутствует")</f>
        <v>Y</v>
      </c>
      <c r="R15" s="36" t="str">
        <f>IFERROR(IF(AND(Q15="Отсутствует",VLOOKUP(A15,Торг!$A:$A,1,0)=A15),"Добавить","Есть"),"Новый")</f>
        <v>Есть</v>
      </c>
    </row>
    <row r="16" spans="1:18" ht="45" hidden="1">
      <c r="A16" s="238" t="s">
        <v>1611</v>
      </c>
      <c r="B16" s="237">
        <v>364329</v>
      </c>
      <c r="C16" s="237">
        <v>364329</v>
      </c>
      <c r="D16" s="238" t="s">
        <v>1614</v>
      </c>
      <c r="E16" s="238" t="s">
        <v>741</v>
      </c>
      <c r="F16" s="238"/>
      <c r="G16" s="238"/>
      <c r="H16" s="238" t="s">
        <v>1613</v>
      </c>
      <c r="I16" s="238" t="s">
        <v>250</v>
      </c>
      <c r="J16" s="239">
        <v>9600</v>
      </c>
      <c r="K16" s="239">
        <v>12290</v>
      </c>
      <c r="L16" s="238"/>
      <c r="M16" s="237">
        <v>1</v>
      </c>
      <c r="N16" s="237"/>
      <c r="O16" s="238"/>
      <c r="P16" s="88" t="str">
        <f t="shared" si="0"/>
        <v>1</v>
      </c>
      <c r="Q16" s="88" t="str">
        <f>IFERROR(INDEX(Торг!$F:$F,MATCH($B16,Торг!$B:$B,0)),"Отсутствует")</f>
        <v>Y</v>
      </c>
      <c r="R16" s="36" t="str">
        <f>IFERROR(IF(AND(Q16="Отсутствует",VLOOKUP(A16,Торг!$A:$A,1,0)=A16),"Добавить","Есть"),"Новый")</f>
        <v>Есть</v>
      </c>
    </row>
    <row r="17" spans="1:18" ht="45" hidden="1">
      <c r="A17" s="238" t="s">
        <v>1611</v>
      </c>
      <c r="B17" s="237">
        <v>364330</v>
      </c>
      <c r="C17" s="237">
        <v>364330</v>
      </c>
      <c r="D17" s="238" t="s">
        <v>1615</v>
      </c>
      <c r="E17" s="238" t="s">
        <v>741</v>
      </c>
      <c r="F17" s="238"/>
      <c r="G17" s="238"/>
      <c r="H17" s="238" t="s">
        <v>1613</v>
      </c>
      <c r="I17" s="238" t="s">
        <v>250</v>
      </c>
      <c r="J17" s="239">
        <v>9600</v>
      </c>
      <c r="K17" s="239">
        <v>12290</v>
      </c>
      <c r="L17" s="238"/>
      <c r="M17" s="237">
        <v>1</v>
      </c>
      <c r="N17" s="237"/>
      <c r="O17" s="238"/>
      <c r="P17" s="88" t="str">
        <f t="shared" si="0"/>
        <v>1</v>
      </c>
      <c r="Q17" s="88" t="str">
        <f>IFERROR(INDEX(Торг!$F:$F,MATCH($B17,Торг!$B:$B,0)),"Отсутствует")</f>
        <v>Y</v>
      </c>
      <c r="R17" s="36" t="str">
        <f>IFERROR(IF(AND(Q17="Отсутствует",VLOOKUP(A17,Торг!$A:$A,1,0)=A17),"Добавить","Есть"),"Новый")</f>
        <v>Есть</v>
      </c>
    </row>
    <row r="18" spans="1:18" ht="45" hidden="1">
      <c r="A18" s="238" t="s">
        <v>1611</v>
      </c>
      <c r="B18" s="237">
        <v>364328</v>
      </c>
      <c r="C18" s="237">
        <v>364328</v>
      </c>
      <c r="D18" s="238" t="s">
        <v>1616</v>
      </c>
      <c r="E18" s="238" t="s">
        <v>741</v>
      </c>
      <c r="F18" s="238"/>
      <c r="G18" s="238"/>
      <c r="H18" s="238" t="s">
        <v>1613</v>
      </c>
      <c r="I18" s="238" t="s">
        <v>250</v>
      </c>
      <c r="J18" s="239">
        <v>9600</v>
      </c>
      <c r="K18" s="239">
        <v>11890</v>
      </c>
      <c r="L18" s="238"/>
      <c r="M18" s="237">
        <v>1</v>
      </c>
      <c r="N18" s="237"/>
      <c r="O18" s="238"/>
      <c r="P18" s="88" t="str">
        <f t="shared" si="0"/>
        <v>1</v>
      </c>
      <c r="Q18" s="88" t="str">
        <f>IFERROR(INDEX(Торг!$F:$F,MATCH($B18,Торг!$B:$B,0)),"Отсутствует")</f>
        <v>Y</v>
      </c>
      <c r="R18" s="36" t="str">
        <f>IFERROR(IF(AND(Q18="Отсутствует",VLOOKUP(A18,Торг!$A:$A,1,0)=A18),"Добавить","Есть"),"Новый")</f>
        <v>Есть</v>
      </c>
    </row>
    <row r="19" spans="1:18" ht="45" hidden="1">
      <c r="A19" s="238" t="s">
        <v>1611</v>
      </c>
      <c r="B19" s="237">
        <v>364331</v>
      </c>
      <c r="C19" s="237">
        <v>364331</v>
      </c>
      <c r="D19" s="238" t="s">
        <v>1617</v>
      </c>
      <c r="E19" s="238" t="s">
        <v>741</v>
      </c>
      <c r="F19" s="238"/>
      <c r="G19" s="238"/>
      <c r="H19" s="238" t="s">
        <v>1613</v>
      </c>
      <c r="I19" s="238" t="s">
        <v>250</v>
      </c>
      <c r="J19" s="239">
        <v>9600</v>
      </c>
      <c r="K19" s="239">
        <v>11890</v>
      </c>
      <c r="L19" s="238"/>
      <c r="M19" s="237">
        <v>1</v>
      </c>
      <c r="N19" s="237"/>
      <c r="O19" s="238"/>
      <c r="P19" s="88" t="str">
        <f t="shared" si="0"/>
        <v>1</v>
      </c>
      <c r="Q19" s="88" t="str">
        <f>IFERROR(INDEX(Торг!$F:$F,MATCH($B19,Торг!$B:$B,0)),"Отсутствует")</f>
        <v>Y</v>
      </c>
      <c r="R19" s="36" t="str">
        <f>IFERROR(IF(AND(Q19="Отсутствует",VLOOKUP(A19,Торг!$A:$A,1,0)=A19),"Добавить","Есть"),"Новый")</f>
        <v>Есть</v>
      </c>
    </row>
    <row r="20" spans="1:18" ht="30" hidden="1">
      <c r="A20" s="238" t="s">
        <v>284</v>
      </c>
      <c r="B20" s="237">
        <v>311717</v>
      </c>
      <c r="C20" s="237">
        <v>311717</v>
      </c>
      <c r="D20" s="238" t="s">
        <v>788</v>
      </c>
      <c r="E20" s="238" t="s">
        <v>741</v>
      </c>
      <c r="F20" s="238"/>
      <c r="G20" s="238"/>
      <c r="H20" s="238" t="s">
        <v>245</v>
      </c>
      <c r="I20" s="238" t="s">
        <v>250</v>
      </c>
      <c r="J20" s="239">
        <v>7200</v>
      </c>
      <c r="K20" s="239">
        <v>8990</v>
      </c>
      <c r="L20" s="238"/>
      <c r="M20" s="237">
        <v>1</v>
      </c>
      <c r="N20" s="237"/>
      <c r="O20" s="238"/>
      <c r="P20" s="88" t="str">
        <f t="shared" si="0"/>
        <v>1</v>
      </c>
      <c r="Q20" s="88" t="str">
        <f>IFERROR(INDEX(Торг!$F:$F,MATCH($B20,Торг!$B:$B,0)),"Отсутствует")</f>
        <v>Y</v>
      </c>
      <c r="R20" s="36" t="str">
        <f>IFERROR(IF(AND(Q20="Отсутствует",VLOOKUP(A20,Торг!$A:$A,1,0)=A20),"Добавить","Есть"),"Новый")</f>
        <v>Есть</v>
      </c>
    </row>
    <row r="21" spans="1:18" ht="30" hidden="1">
      <c r="A21" s="238" t="s">
        <v>284</v>
      </c>
      <c r="B21" s="237">
        <v>311718</v>
      </c>
      <c r="C21" s="237">
        <v>311718</v>
      </c>
      <c r="D21" s="238" t="s">
        <v>789</v>
      </c>
      <c r="E21" s="238" t="s">
        <v>741</v>
      </c>
      <c r="F21" s="238"/>
      <c r="G21" s="238"/>
      <c r="H21" s="238" t="s">
        <v>245</v>
      </c>
      <c r="I21" s="238" t="s">
        <v>250</v>
      </c>
      <c r="J21" s="239">
        <v>7200</v>
      </c>
      <c r="K21" s="239">
        <v>8990</v>
      </c>
      <c r="L21" s="238"/>
      <c r="M21" s="237">
        <v>1</v>
      </c>
      <c r="N21" s="237"/>
      <c r="O21" s="238"/>
      <c r="P21" s="88" t="str">
        <f t="shared" si="0"/>
        <v>1</v>
      </c>
      <c r="Q21" s="88" t="str">
        <f>IFERROR(INDEX(Торг!$F:$F,MATCH($B21,Торг!$B:$B,0)),"Отсутствует")</f>
        <v>Y</v>
      </c>
      <c r="R21" s="36" t="str">
        <f>IFERROR(IF(AND(Q21="Отсутствует",VLOOKUP(A21,Торг!$A:$A,1,0)=A21),"Добавить","Есть"),"Новый")</f>
        <v>Есть</v>
      </c>
    </row>
    <row r="22" spans="1:18" ht="45" hidden="1">
      <c r="A22" s="238" t="s">
        <v>282</v>
      </c>
      <c r="B22" s="237">
        <v>300693</v>
      </c>
      <c r="C22" s="237">
        <v>300693</v>
      </c>
      <c r="D22" s="238" t="s">
        <v>790</v>
      </c>
      <c r="E22" s="238" t="s">
        <v>741</v>
      </c>
      <c r="F22" s="238"/>
      <c r="G22" s="238"/>
      <c r="H22" s="238" t="s">
        <v>281</v>
      </c>
      <c r="I22" s="238" t="s">
        <v>250</v>
      </c>
      <c r="J22" s="239">
        <v>9400</v>
      </c>
      <c r="K22" s="239">
        <v>12190</v>
      </c>
      <c r="L22" s="238" t="s">
        <v>625</v>
      </c>
      <c r="M22" s="237">
        <v>1</v>
      </c>
      <c r="N22" s="237"/>
      <c r="O22" s="238"/>
      <c r="P22" s="88" t="str">
        <f t="shared" si="0"/>
        <v>1</v>
      </c>
      <c r="Q22" s="88" t="str">
        <f>IFERROR(INDEX(Торг!$F:$F,MATCH($B22,Торг!$B:$B,0)),"Отсутствует")</f>
        <v>Y</v>
      </c>
      <c r="R22" s="36" t="str">
        <f>IFERROR(IF(AND(Q22="Отсутствует",VLOOKUP(A22,Торг!$A:$A,1,0)=A22),"Добавить","Есть"),"Новый")</f>
        <v>Есть</v>
      </c>
    </row>
    <row r="23" spans="1:18" ht="45" hidden="1">
      <c r="A23" s="238" t="s">
        <v>282</v>
      </c>
      <c r="B23" s="237">
        <v>300694</v>
      </c>
      <c r="C23" s="237">
        <v>300694</v>
      </c>
      <c r="D23" s="238" t="s">
        <v>791</v>
      </c>
      <c r="E23" s="238" t="s">
        <v>741</v>
      </c>
      <c r="F23" s="238"/>
      <c r="G23" s="238"/>
      <c r="H23" s="238" t="s">
        <v>281</v>
      </c>
      <c r="I23" s="238" t="s">
        <v>250</v>
      </c>
      <c r="J23" s="239">
        <v>9400</v>
      </c>
      <c r="K23" s="239">
        <v>12190</v>
      </c>
      <c r="L23" s="238" t="s">
        <v>876</v>
      </c>
      <c r="M23" s="237">
        <v>1</v>
      </c>
      <c r="N23" s="237"/>
      <c r="O23" s="238"/>
      <c r="P23" s="88" t="str">
        <f t="shared" si="0"/>
        <v>1</v>
      </c>
      <c r="Q23" s="88" t="str">
        <f>IFERROR(INDEX(Торг!$F:$F,MATCH($B23,Торг!$B:$B,0)),"Отсутствует")</f>
        <v>Y</v>
      </c>
      <c r="R23" s="36" t="str">
        <f>IFERROR(IF(AND(Q23="Отсутствует",VLOOKUP(A23,Торг!$A:$A,1,0)=A23),"Добавить","Есть"),"Новый")</f>
        <v>Есть</v>
      </c>
    </row>
    <row r="24" spans="1:18" ht="45" hidden="1">
      <c r="A24" s="238" t="s">
        <v>282</v>
      </c>
      <c r="B24" s="237">
        <v>341366</v>
      </c>
      <c r="C24" s="237">
        <v>341366</v>
      </c>
      <c r="D24" s="238" t="s">
        <v>898</v>
      </c>
      <c r="E24" s="238" t="s">
        <v>741</v>
      </c>
      <c r="F24" s="238"/>
      <c r="G24" s="238"/>
      <c r="H24" s="238" t="s">
        <v>281</v>
      </c>
      <c r="I24" s="238" t="s">
        <v>250</v>
      </c>
      <c r="J24" s="239">
        <v>9400</v>
      </c>
      <c r="K24" s="239">
        <v>12190</v>
      </c>
      <c r="L24" s="238" t="s">
        <v>625</v>
      </c>
      <c r="M24" s="237">
        <v>1</v>
      </c>
      <c r="N24" s="237"/>
      <c r="O24" s="238"/>
      <c r="P24" s="88" t="str">
        <f t="shared" si="0"/>
        <v>1</v>
      </c>
      <c r="Q24" s="88" t="str">
        <f>IFERROR(INDEX(Торг!$F:$F,MATCH($B24,Торг!$B:$B,0)),"Отсутствует")</f>
        <v>Y</v>
      </c>
      <c r="R24" s="36" t="str">
        <f>IFERROR(IF(AND(Q24="Отсутствует",VLOOKUP(A24,Торг!$A:$A,1,0)=A24),"Добавить","Есть"),"Новый")</f>
        <v>Есть</v>
      </c>
    </row>
    <row r="25" spans="1:18" ht="45" hidden="1">
      <c r="A25" s="238" t="s">
        <v>282</v>
      </c>
      <c r="B25" s="237">
        <v>300695</v>
      </c>
      <c r="C25" s="237">
        <v>300695</v>
      </c>
      <c r="D25" s="238" t="s">
        <v>792</v>
      </c>
      <c r="E25" s="238" t="s">
        <v>741</v>
      </c>
      <c r="F25" s="238"/>
      <c r="G25" s="238"/>
      <c r="H25" s="238" t="s">
        <v>281</v>
      </c>
      <c r="I25" s="238" t="s">
        <v>250</v>
      </c>
      <c r="J25" s="239">
        <v>9400</v>
      </c>
      <c r="K25" s="239">
        <v>12190</v>
      </c>
      <c r="L25" s="238" t="s">
        <v>878</v>
      </c>
      <c r="M25" s="237">
        <v>1</v>
      </c>
      <c r="N25" s="237"/>
      <c r="O25" s="238"/>
      <c r="P25" s="88" t="str">
        <f t="shared" si="0"/>
        <v>1</v>
      </c>
      <c r="Q25" s="88" t="str">
        <f>IFERROR(INDEX(Торг!$F:$F,MATCH($B25,Торг!$B:$B,0)),"Отсутствует")</f>
        <v>Y</v>
      </c>
      <c r="R25" s="36" t="str">
        <f>IFERROR(IF(AND(Q25="Отсутствует",VLOOKUP(A25,Торг!$A:$A,1,0)=A25),"Добавить","Есть"),"Новый")</f>
        <v>Есть</v>
      </c>
    </row>
    <row r="26" spans="1:18" ht="45" hidden="1">
      <c r="A26" s="238" t="s">
        <v>282</v>
      </c>
      <c r="B26" s="237">
        <v>300696</v>
      </c>
      <c r="C26" s="237">
        <v>300696</v>
      </c>
      <c r="D26" s="238" t="s">
        <v>793</v>
      </c>
      <c r="E26" s="238" t="s">
        <v>741</v>
      </c>
      <c r="F26" s="238"/>
      <c r="G26" s="238"/>
      <c r="H26" s="238" t="s">
        <v>281</v>
      </c>
      <c r="I26" s="238" t="s">
        <v>250</v>
      </c>
      <c r="J26" s="239">
        <v>9400</v>
      </c>
      <c r="K26" s="239">
        <v>12190</v>
      </c>
      <c r="L26" s="238" t="s">
        <v>877</v>
      </c>
      <c r="M26" s="237">
        <v>1</v>
      </c>
      <c r="N26" s="237"/>
      <c r="O26" s="238"/>
      <c r="P26" s="88" t="str">
        <f t="shared" si="0"/>
        <v>1</v>
      </c>
      <c r="Q26" s="88" t="str">
        <f>IFERROR(INDEX(Торг!$F:$F,MATCH($B26,Торг!$B:$B,0)),"Отсутствует")</f>
        <v>Y</v>
      </c>
      <c r="R26" s="36" t="str">
        <f>IFERROR(IF(AND(Q26="Отсутствует",VLOOKUP(A26,Торг!$A:$A,1,0)=A26),"Добавить","Есть"),"Новый")</f>
        <v>Есть</v>
      </c>
    </row>
    <row r="27" spans="1:18" ht="45" hidden="1">
      <c r="A27" s="238" t="s">
        <v>256</v>
      </c>
      <c r="B27" s="237">
        <v>248525</v>
      </c>
      <c r="C27" s="237">
        <v>183351</v>
      </c>
      <c r="D27" s="238" t="s">
        <v>477</v>
      </c>
      <c r="E27" s="238" t="s">
        <v>741</v>
      </c>
      <c r="F27" s="238"/>
      <c r="G27" s="238"/>
      <c r="H27" s="238" t="s">
        <v>210</v>
      </c>
      <c r="I27" s="238" t="s">
        <v>250</v>
      </c>
      <c r="J27" s="239">
        <v>2100</v>
      </c>
      <c r="K27" s="239">
        <v>2790</v>
      </c>
      <c r="L27" s="238" t="s">
        <v>870</v>
      </c>
      <c r="M27" s="237">
        <v>1</v>
      </c>
      <c r="N27" s="237"/>
      <c r="O27" s="238"/>
      <c r="P27" s="88" t="str">
        <f t="shared" si="0"/>
        <v>1</v>
      </c>
      <c r="Q27" s="88" t="str">
        <f>IFERROR(INDEX(Торг!$F:$F,MATCH($B27,Торг!$B:$B,0)),"Отсутствует")</f>
        <v>Y</v>
      </c>
      <c r="R27" s="36" t="str">
        <f>IFERROR(IF(AND(Q27="Отсутствует",VLOOKUP(A27,Торг!$A:$A,1,0)=A27),"Добавить","Есть"),"Новый")</f>
        <v>Есть</v>
      </c>
    </row>
    <row r="28" spans="1:18" ht="45" hidden="1">
      <c r="A28" s="238" t="s">
        <v>256</v>
      </c>
      <c r="B28" s="237">
        <v>248526</v>
      </c>
      <c r="C28" s="237">
        <v>183354</v>
      </c>
      <c r="D28" s="238" t="s">
        <v>478</v>
      </c>
      <c r="E28" s="238" t="s">
        <v>741</v>
      </c>
      <c r="F28" s="238"/>
      <c r="G28" s="238"/>
      <c r="H28" s="238" t="s">
        <v>210</v>
      </c>
      <c r="I28" s="238" t="s">
        <v>250</v>
      </c>
      <c r="J28" s="239">
        <v>2600</v>
      </c>
      <c r="K28" s="239">
        <v>3690</v>
      </c>
      <c r="L28" s="238" t="s">
        <v>870</v>
      </c>
      <c r="M28" s="237">
        <v>1</v>
      </c>
      <c r="N28" s="237"/>
      <c r="O28" s="238"/>
      <c r="P28" s="88" t="str">
        <f t="shared" si="0"/>
        <v>1</v>
      </c>
      <c r="Q28" s="88" t="str">
        <f>IFERROR(INDEX(Торг!$F:$F,MATCH($B28,Торг!$B:$B,0)),"Отсутствует")</f>
        <v>Y</v>
      </c>
      <c r="R28" s="36" t="str">
        <f>IFERROR(IF(AND(Q28="Отсутствует",VLOOKUP(A28,Торг!$A:$A,1,0)=A28),"Добавить","Есть"),"Новый")</f>
        <v>Есть</v>
      </c>
    </row>
    <row r="29" spans="1:18" ht="45" hidden="1">
      <c r="A29" s="238" t="s">
        <v>256</v>
      </c>
      <c r="B29" s="237">
        <v>248527</v>
      </c>
      <c r="C29" s="237">
        <v>183355</v>
      </c>
      <c r="D29" s="238" t="s">
        <v>479</v>
      </c>
      <c r="E29" s="238" t="s">
        <v>741</v>
      </c>
      <c r="F29" s="238"/>
      <c r="G29" s="238"/>
      <c r="H29" s="238" t="s">
        <v>210</v>
      </c>
      <c r="I29" s="238" t="s">
        <v>250</v>
      </c>
      <c r="J29" s="239">
        <v>2600</v>
      </c>
      <c r="K29" s="239">
        <v>3690</v>
      </c>
      <c r="L29" s="238" t="s">
        <v>870</v>
      </c>
      <c r="M29" s="237">
        <v>1</v>
      </c>
      <c r="N29" s="237"/>
      <c r="O29" s="238"/>
      <c r="P29" s="88" t="str">
        <f t="shared" si="0"/>
        <v>1</v>
      </c>
      <c r="Q29" s="88" t="str">
        <f>IFERROR(INDEX(Торг!$F:$F,MATCH($B29,Торг!$B:$B,0)),"Отсутствует")</f>
        <v>Y</v>
      </c>
      <c r="R29" s="36" t="str">
        <f>IFERROR(IF(AND(Q29="Отсутствует",VLOOKUP(A29,Торг!$A:$A,1,0)=A29),"Добавить","Есть"),"Новый")</f>
        <v>Есть</v>
      </c>
    </row>
    <row r="30" spans="1:18" ht="45" hidden="1">
      <c r="A30" s="238" t="s">
        <v>256</v>
      </c>
      <c r="B30" s="237">
        <v>248528</v>
      </c>
      <c r="C30" s="237">
        <v>183356</v>
      </c>
      <c r="D30" s="238" t="s">
        <v>480</v>
      </c>
      <c r="E30" s="238" t="s">
        <v>741</v>
      </c>
      <c r="F30" s="238"/>
      <c r="G30" s="238"/>
      <c r="H30" s="238" t="s">
        <v>210</v>
      </c>
      <c r="I30" s="238" t="s">
        <v>250</v>
      </c>
      <c r="J30" s="239">
        <v>2600</v>
      </c>
      <c r="K30" s="239">
        <v>3690</v>
      </c>
      <c r="L30" s="238" t="s">
        <v>870</v>
      </c>
      <c r="M30" s="237">
        <v>1</v>
      </c>
      <c r="N30" s="237"/>
      <c r="O30" s="238"/>
      <c r="P30" s="88" t="str">
        <f t="shared" si="0"/>
        <v>1</v>
      </c>
      <c r="Q30" s="88" t="str">
        <f>IFERROR(INDEX(Торг!$F:$F,MATCH($B30,Торг!$B:$B,0)),"Отсутствует")</f>
        <v>Y</v>
      </c>
      <c r="R30" s="36" t="str">
        <f>IFERROR(IF(AND(Q30="Отсутствует",VLOOKUP(A30,Торг!$A:$A,1,0)=A30),"Добавить","Есть"),"Новый")</f>
        <v>Есть</v>
      </c>
    </row>
    <row r="31" spans="1:18" ht="45" hidden="1">
      <c r="A31" s="238" t="s">
        <v>256</v>
      </c>
      <c r="B31" s="237">
        <v>248529</v>
      </c>
      <c r="C31" s="237">
        <v>183357</v>
      </c>
      <c r="D31" s="238" t="s">
        <v>481</v>
      </c>
      <c r="E31" s="238" t="s">
        <v>741</v>
      </c>
      <c r="F31" s="238"/>
      <c r="G31" s="238"/>
      <c r="H31" s="238" t="s">
        <v>210</v>
      </c>
      <c r="I31" s="238" t="s">
        <v>250</v>
      </c>
      <c r="J31" s="239">
        <v>2600</v>
      </c>
      <c r="K31" s="239">
        <v>3690</v>
      </c>
      <c r="L31" s="238" t="s">
        <v>870</v>
      </c>
      <c r="M31" s="237">
        <v>1</v>
      </c>
      <c r="N31" s="237"/>
      <c r="O31" s="238"/>
      <c r="P31" s="88" t="str">
        <f t="shared" si="0"/>
        <v>1</v>
      </c>
      <c r="Q31" s="88" t="str">
        <f>IFERROR(INDEX(Торг!$F:$F,MATCH($B31,Торг!$B:$B,0)),"Отсутствует")</f>
        <v>Y</v>
      </c>
      <c r="R31" s="36" t="str">
        <f>IFERROR(IF(AND(Q31="Отсутствует",VLOOKUP(A31,Торг!$A:$A,1,0)=A31),"Добавить","Есть"),"Новый")</f>
        <v>Есть</v>
      </c>
    </row>
    <row r="32" spans="1:18" ht="45" hidden="1">
      <c r="A32" s="238" t="s">
        <v>256</v>
      </c>
      <c r="B32" s="237">
        <v>248530</v>
      </c>
      <c r="C32" s="237">
        <v>183358</v>
      </c>
      <c r="D32" s="238" t="s">
        <v>482</v>
      </c>
      <c r="E32" s="238" t="s">
        <v>741</v>
      </c>
      <c r="F32" s="238"/>
      <c r="G32" s="238"/>
      <c r="H32" s="238" t="s">
        <v>210</v>
      </c>
      <c r="I32" s="238" t="s">
        <v>250</v>
      </c>
      <c r="J32" s="239">
        <v>2600</v>
      </c>
      <c r="K32" s="239">
        <v>3690</v>
      </c>
      <c r="L32" s="238" t="s">
        <v>870</v>
      </c>
      <c r="M32" s="237">
        <v>1</v>
      </c>
      <c r="N32" s="237"/>
      <c r="O32" s="238"/>
      <c r="P32" s="88" t="str">
        <f t="shared" si="0"/>
        <v>1</v>
      </c>
      <c r="Q32" s="88" t="str">
        <f>IFERROR(INDEX(Торг!$F:$F,MATCH($B32,Торг!$B:$B,0)),"Отсутствует")</f>
        <v>Y</v>
      </c>
      <c r="R32" s="36" t="str">
        <f>IFERROR(IF(AND(Q32="Отсутствует",VLOOKUP(A32,Торг!$A:$A,1,0)=A32),"Добавить","Есть"),"Новый")</f>
        <v>Есть</v>
      </c>
    </row>
    <row r="33" spans="1:18" ht="45" hidden="1">
      <c r="A33" s="238" t="s">
        <v>256</v>
      </c>
      <c r="B33" s="237">
        <v>248531</v>
      </c>
      <c r="C33" s="237">
        <v>183359</v>
      </c>
      <c r="D33" s="238" t="s">
        <v>483</v>
      </c>
      <c r="E33" s="238" t="s">
        <v>741</v>
      </c>
      <c r="F33" s="238"/>
      <c r="G33" s="238"/>
      <c r="H33" s="238" t="s">
        <v>210</v>
      </c>
      <c r="I33" s="238" t="s">
        <v>250</v>
      </c>
      <c r="J33" s="239">
        <v>2600</v>
      </c>
      <c r="K33" s="239">
        <v>3690</v>
      </c>
      <c r="L33" s="238" t="s">
        <v>870</v>
      </c>
      <c r="M33" s="237">
        <v>1</v>
      </c>
      <c r="N33" s="237"/>
      <c r="O33" s="238"/>
      <c r="P33" s="88" t="str">
        <f t="shared" si="0"/>
        <v>1</v>
      </c>
      <c r="Q33" s="88" t="str">
        <f>IFERROR(INDEX(Торг!$F:$F,MATCH($B33,Торг!$B:$B,0)),"Отсутствует")</f>
        <v>Y</v>
      </c>
      <c r="R33" s="36" t="str">
        <f>IFERROR(IF(AND(Q33="Отсутствует",VLOOKUP(A33,Торг!$A:$A,1,0)=A33),"Добавить","Есть"),"Новый")</f>
        <v>Есть</v>
      </c>
    </row>
    <row r="34" spans="1:18" ht="45" hidden="1">
      <c r="A34" s="238" t="s">
        <v>256</v>
      </c>
      <c r="B34" s="237">
        <v>248532</v>
      </c>
      <c r="C34" s="237">
        <v>183360</v>
      </c>
      <c r="D34" s="238" t="s">
        <v>484</v>
      </c>
      <c r="E34" s="238" t="s">
        <v>741</v>
      </c>
      <c r="F34" s="238"/>
      <c r="G34" s="238"/>
      <c r="H34" s="238" t="s">
        <v>210</v>
      </c>
      <c r="I34" s="238" t="s">
        <v>250</v>
      </c>
      <c r="J34" s="239">
        <v>2600</v>
      </c>
      <c r="K34" s="239">
        <v>3690</v>
      </c>
      <c r="L34" s="238" t="s">
        <v>870</v>
      </c>
      <c r="M34" s="237">
        <v>1</v>
      </c>
      <c r="N34" s="237"/>
      <c r="O34" s="238"/>
      <c r="P34" s="88" t="str">
        <f t="shared" si="0"/>
        <v>1</v>
      </c>
      <c r="Q34" s="88" t="str">
        <f>IFERROR(INDEX(Торг!$F:$F,MATCH($B34,Торг!$B:$B,0)),"Отсутствует")</f>
        <v>Y</v>
      </c>
      <c r="R34" s="36" t="str">
        <f>IFERROR(IF(AND(Q34="Отсутствует",VLOOKUP(A34,Торг!$A:$A,1,0)=A34),"Добавить","Есть"),"Новый")</f>
        <v>Есть</v>
      </c>
    </row>
    <row r="35" spans="1:18" ht="45" hidden="1">
      <c r="A35" s="238" t="s">
        <v>256</v>
      </c>
      <c r="B35" s="237">
        <v>248533</v>
      </c>
      <c r="C35" s="237">
        <v>183361</v>
      </c>
      <c r="D35" s="238" t="s">
        <v>485</v>
      </c>
      <c r="E35" s="238" t="s">
        <v>741</v>
      </c>
      <c r="F35" s="238"/>
      <c r="G35" s="238"/>
      <c r="H35" s="238" t="s">
        <v>210</v>
      </c>
      <c r="I35" s="238" t="s">
        <v>250</v>
      </c>
      <c r="J35" s="239">
        <v>2600</v>
      </c>
      <c r="K35" s="239">
        <v>3690</v>
      </c>
      <c r="L35" s="238" t="s">
        <v>870</v>
      </c>
      <c r="M35" s="237">
        <v>1</v>
      </c>
      <c r="N35" s="237"/>
      <c r="O35" s="238"/>
      <c r="P35" s="88" t="str">
        <f t="shared" si="0"/>
        <v>1</v>
      </c>
      <c r="Q35" s="88" t="str">
        <f>IFERROR(INDEX(Торг!$F:$F,MATCH($B35,Торг!$B:$B,0)),"Отсутствует")</f>
        <v>Y</v>
      </c>
      <c r="R35" s="36" t="str">
        <f>IFERROR(IF(AND(Q35="Отсутствует",VLOOKUP(A35,Торг!$A:$A,1,0)=A35),"Добавить","Есть"),"Новый")</f>
        <v>Есть</v>
      </c>
    </row>
    <row r="36" spans="1:18" ht="45" hidden="1">
      <c r="A36" s="238" t="s">
        <v>256</v>
      </c>
      <c r="B36" s="237">
        <v>248534</v>
      </c>
      <c r="C36" s="237">
        <v>183362</v>
      </c>
      <c r="D36" s="238" t="s">
        <v>486</v>
      </c>
      <c r="E36" s="238" t="s">
        <v>741</v>
      </c>
      <c r="F36" s="238"/>
      <c r="G36" s="238"/>
      <c r="H36" s="238" t="s">
        <v>210</v>
      </c>
      <c r="I36" s="238" t="s">
        <v>250</v>
      </c>
      <c r="J36" s="239">
        <v>2600</v>
      </c>
      <c r="K36" s="239">
        <v>3690</v>
      </c>
      <c r="L36" s="238" t="s">
        <v>870</v>
      </c>
      <c r="M36" s="237">
        <v>1</v>
      </c>
      <c r="N36" s="237"/>
      <c r="O36" s="238"/>
      <c r="P36" s="88" t="str">
        <f t="shared" si="0"/>
        <v>1</v>
      </c>
      <c r="Q36" s="88" t="str">
        <f>IFERROR(INDEX(Торг!$F:$F,MATCH($B36,Торг!$B:$B,0)),"Отсутствует")</f>
        <v>Y</v>
      </c>
      <c r="R36" s="36" t="str">
        <f>IFERROR(IF(AND(Q36="Отсутствует",VLOOKUP(A36,Торг!$A:$A,1,0)=A36),"Добавить","Есть"),"Новый")</f>
        <v>Есть</v>
      </c>
    </row>
    <row r="37" spans="1:18" ht="45" hidden="1">
      <c r="A37" s="238" t="s">
        <v>256</v>
      </c>
      <c r="B37" s="237">
        <v>248535</v>
      </c>
      <c r="C37" s="237">
        <v>183363</v>
      </c>
      <c r="D37" s="238" t="s">
        <v>487</v>
      </c>
      <c r="E37" s="238" t="s">
        <v>741</v>
      </c>
      <c r="F37" s="238"/>
      <c r="G37" s="238"/>
      <c r="H37" s="238" t="s">
        <v>210</v>
      </c>
      <c r="I37" s="238" t="s">
        <v>250</v>
      </c>
      <c r="J37" s="239">
        <v>2600</v>
      </c>
      <c r="K37" s="239">
        <v>3690</v>
      </c>
      <c r="L37" s="238" t="s">
        <v>870</v>
      </c>
      <c r="M37" s="237">
        <v>1</v>
      </c>
      <c r="N37" s="237"/>
      <c r="O37" s="238"/>
      <c r="P37" s="88" t="str">
        <f t="shared" si="0"/>
        <v>1</v>
      </c>
      <c r="Q37" s="88" t="str">
        <f>IFERROR(INDEX(Торг!$F:$F,MATCH($B37,Торг!$B:$B,0)),"Отсутствует")</f>
        <v>Y</v>
      </c>
      <c r="R37" s="36" t="str">
        <f>IFERROR(IF(AND(Q37="Отсутствует",VLOOKUP(A37,Торг!$A:$A,1,0)=A37),"Добавить","Есть"),"Новый")</f>
        <v>Есть</v>
      </c>
    </row>
    <row r="38" spans="1:18" ht="45" hidden="1">
      <c r="A38" s="238" t="s">
        <v>256</v>
      </c>
      <c r="B38" s="237">
        <v>248536</v>
      </c>
      <c r="C38" s="237">
        <v>183364</v>
      </c>
      <c r="D38" s="238" t="s">
        <v>488</v>
      </c>
      <c r="E38" s="238" t="s">
        <v>741</v>
      </c>
      <c r="F38" s="238"/>
      <c r="G38" s="238"/>
      <c r="H38" s="238" t="s">
        <v>210</v>
      </c>
      <c r="I38" s="238" t="s">
        <v>250</v>
      </c>
      <c r="J38" s="239">
        <v>2600</v>
      </c>
      <c r="K38" s="239">
        <v>3690</v>
      </c>
      <c r="L38" s="238" t="s">
        <v>870</v>
      </c>
      <c r="M38" s="237">
        <v>1</v>
      </c>
      <c r="N38" s="237"/>
      <c r="O38" s="238"/>
      <c r="P38" s="88" t="str">
        <f t="shared" si="0"/>
        <v>1</v>
      </c>
      <c r="Q38" s="88" t="str">
        <f>IFERROR(INDEX(Торг!$F:$F,MATCH($B38,Торг!$B:$B,0)),"Отсутствует")</f>
        <v>Y</v>
      </c>
      <c r="R38" s="36" t="str">
        <f>IFERROR(IF(AND(Q38="Отсутствует",VLOOKUP(A38,Торг!$A:$A,1,0)=A38),"Добавить","Есть"),"Новый")</f>
        <v>Есть</v>
      </c>
    </row>
    <row r="39" spans="1:18" ht="45" hidden="1">
      <c r="A39" s="238" t="s">
        <v>256</v>
      </c>
      <c r="B39" s="237">
        <v>248537</v>
      </c>
      <c r="C39" s="237">
        <v>183365</v>
      </c>
      <c r="D39" s="238" t="s">
        <v>489</v>
      </c>
      <c r="E39" s="238" t="s">
        <v>741</v>
      </c>
      <c r="F39" s="238"/>
      <c r="G39" s="238"/>
      <c r="H39" s="238" t="s">
        <v>210</v>
      </c>
      <c r="I39" s="238" t="s">
        <v>250</v>
      </c>
      <c r="J39" s="239">
        <v>2600</v>
      </c>
      <c r="K39" s="239">
        <v>3690</v>
      </c>
      <c r="L39" s="238" t="s">
        <v>870</v>
      </c>
      <c r="M39" s="237">
        <v>1</v>
      </c>
      <c r="N39" s="237"/>
      <c r="O39" s="238"/>
      <c r="P39" s="88" t="str">
        <f t="shared" si="0"/>
        <v>1</v>
      </c>
      <c r="Q39" s="88" t="str">
        <f>IFERROR(INDEX(Торг!$F:$F,MATCH($B39,Торг!$B:$B,0)),"Отсутствует")</f>
        <v>Y</v>
      </c>
      <c r="R39" s="36" t="str">
        <f>IFERROR(IF(AND(Q39="Отсутствует",VLOOKUP(A39,Торг!$A:$A,1,0)=A39),"Добавить","Есть"),"Новый")</f>
        <v>Есть</v>
      </c>
    </row>
    <row r="40" spans="1:18" ht="45" hidden="1">
      <c r="A40" s="238" t="s">
        <v>256</v>
      </c>
      <c r="B40" s="237">
        <v>248538</v>
      </c>
      <c r="C40" s="237">
        <v>183366</v>
      </c>
      <c r="D40" s="238" t="s">
        <v>490</v>
      </c>
      <c r="E40" s="238" t="s">
        <v>741</v>
      </c>
      <c r="F40" s="238"/>
      <c r="G40" s="238"/>
      <c r="H40" s="238" t="s">
        <v>210</v>
      </c>
      <c r="I40" s="238" t="s">
        <v>250</v>
      </c>
      <c r="J40" s="239">
        <v>2600</v>
      </c>
      <c r="K40" s="239">
        <v>3690</v>
      </c>
      <c r="L40" s="238" t="s">
        <v>870</v>
      </c>
      <c r="M40" s="237">
        <v>1</v>
      </c>
      <c r="N40" s="237"/>
      <c r="O40" s="238"/>
      <c r="P40" s="88" t="str">
        <f t="shared" si="0"/>
        <v>1</v>
      </c>
      <c r="Q40" s="88" t="str">
        <f>IFERROR(INDEX(Торг!$F:$F,MATCH($B40,Торг!$B:$B,0)),"Отсутствует")</f>
        <v>Y</v>
      </c>
      <c r="R40" s="36" t="str">
        <f>IFERROR(IF(AND(Q40="Отсутствует",VLOOKUP(A40,Торг!$A:$A,1,0)=A40),"Добавить","Есть"),"Новый")</f>
        <v>Есть</v>
      </c>
    </row>
    <row r="41" spans="1:18" ht="45" hidden="1">
      <c r="A41" s="238" t="s">
        <v>256</v>
      </c>
      <c r="B41" s="237">
        <v>248539</v>
      </c>
      <c r="C41" s="237">
        <v>183367</v>
      </c>
      <c r="D41" s="238" t="s">
        <v>491</v>
      </c>
      <c r="E41" s="238" t="s">
        <v>741</v>
      </c>
      <c r="F41" s="238"/>
      <c r="G41" s="238"/>
      <c r="H41" s="238" t="s">
        <v>210</v>
      </c>
      <c r="I41" s="238" t="s">
        <v>250</v>
      </c>
      <c r="J41" s="239">
        <v>2600</v>
      </c>
      <c r="K41" s="239">
        <v>3690</v>
      </c>
      <c r="L41" s="238" t="s">
        <v>870</v>
      </c>
      <c r="M41" s="237">
        <v>1</v>
      </c>
      <c r="N41" s="237"/>
      <c r="O41" s="238"/>
      <c r="P41" s="88" t="str">
        <f t="shared" si="0"/>
        <v>1</v>
      </c>
      <c r="Q41" s="88" t="str">
        <f>IFERROR(INDEX(Торг!$F:$F,MATCH($B41,Торг!$B:$B,0)),"Отсутствует")</f>
        <v>Y</v>
      </c>
      <c r="R41" s="36" t="str">
        <f>IFERROR(IF(AND(Q41="Отсутствует",VLOOKUP(A41,Торг!$A:$A,1,0)=A41),"Добавить","Есть"),"Новый")</f>
        <v>Есть</v>
      </c>
    </row>
    <row r="42" spans="1:18" ht="45" hidden="1">
      <c r="A42" s="238" t="s">
        <v>256</v>
      </c>
      <c r="B42" s="237">
        <v>248540</v>
      </c>
      <c r="C42" s="237">
        <v>183353</v>
      </c>
      <c r="D42" s="238" t="s">
        <v>492</v>
      </c>
      <c r="E42" s="238" t="s">
        <v>741</v>
      </c>
      <c r="F42" s="238"/>
      <c r="G42" s="238"/>
      <c r="H42" s="238" t="s">
        <v>210</v>
      </c>
      <c r="I42" s="238" t="s">
        <v>250</v>
      </c>
      <c r="J42" s="239">
        <v>2600</v>
      </c>
      <c r="K42" s="239">
        <v>3690</v>
      </c>
      <c r="L42" s="238" t="s">
        <v>870</v>
      </c>
      <c r="M42" s="237">
        <v>1</v>
      </c>
      <c r="N42" s="237"/>
      <c r="O42" s="238"/>
      <c r="P42" s="88" t="str">
        <f t="shared" si="0"/>
        <v>1</v>
      </c>
      <c r="Q42" s="88" t="str">
        <f>IFERROR(INDEX(Торг!$F:$F,MATCH($B42,Торг!$B:$B,0)),"Отсутствует")</f>
        <v>Y</v>
      </c>
      <c r="R42" s="36" t="str">
        <f>IFERROR(IF(AND(Q42="Отсутствует",VLOOKUP(A42,Торг!$A:$A,1,0)=A42),"Добавить","Есть"),"Новый")</f>
        <v>Есть</v>
      </c>
    </row>
    <row r="43" spans="1:18" ht="45" hidden="1">
      <c r="A43" s="238" t="s">
        <v>256</v>
      </c>
      <c r="B43" s="237">
        <v>248541</v>
      </c>
      <c r="C43" s="237">
        <v>183368</v>
      </c>
      <c r="D43" s="238" t="s">
        <v>493</v>
      </c>
      <c r="E43" s="238" t="s">
        <v>741</v>
      </c>
      <c r="F43" s="238"/>
      <c r="G43" s="238"/>
      <c r="H43" s="238" t="s">
        <v>210</v>
      </c>
      <c r="I43" s="238" t="s">
        <v>250</v>
      </c>
      <c r="J43" s="239">
        <v>2600</v>
      </c>
      <c r="K43" s="239">
        <v>3690</v>
      </c>
      <c r="L43" s="238" t="s">
        <v>870</v>
      </c>
      <c r="M43" s="237">
        <v>1</v>
      </c>
      <c r="N43" s="237"/>
      <c r="O43" s="238"/>
      <c r="P43" s="88" t="str">
        <f t="shared" si="0"/>
        <v>1</v>
      </c>
      <c r="Q43" s="88" t="str">
        <f>IFERROR(INDEX(Торг!$F:$F,MATCH($B43,Торг!$B:$B,0)),"Отсутствует")</f>
        <v>Y</v>
      </c>
      <c r="R43" s="36" t="str">
        <f>IFERROR(IF(AND(Q43="Отсутствует",VLOOKUP(A43,Торг!$A:$A,1,0)=A43),"Добавить","Есть"),"Новый")</f>
        <v>Есть</v>
      </c>
    </row>
    <row r="44" spans="1:18" ht="45" hidden="1">
      <c r="A44" s="238" t="s">
        <v>256</v>
      </c>
      <c r="B44" s="237">
        <v>248542</v>
      </c>
      <c r="C44" s="237">
        <v>183369</v>
      </c>
      <c r="D44" s="238" t="s">
        <v>494</v>
      </c>
      <c r="E44" s="238" t="s">
        <v>741</v>
      </c>
      <c r="F44" s="238"/>
      <c r="G44" s="238"/>
      <c r="H44" s="238" t="s">
        <v>210</v>
      </c>
      <c r="I44" s="238" t="s">
        <v>250</v>
      </c>
      <c r="J44" s="239">
        <v>2600</v>
      </c>
      <c r="K44" s="239">
        <v>3690</v>
      </c>
      <c r="L44" s="238" t="s">
        <v>870</v>
      </c>
      <c r="M44" s="237">
        <v>1</v>
      </c>
      <c r="N44" s="237"/>
      <c r="O44" s="238"/>
      <c r="P44" s="88" t="str">
        <f t="shared" si="0"/>
        <v>1</v>
      </c>
      <c r="Q44" s="88" t="str">
        <f>IFERROR(INDEX(Торг!$F:$F,MATCH($B44,Торг!$B:$B,0)),"Отсутствует")</f>
        <v>Y</v>
      </c>
      <c r="R44" s="36" t="str">
        <f>IFERROR(IF(AND(Q44="Отсутствует",VLOOKUP(A44,Торг!$A:$A,1,0)=A44),"Добавить","Есть"),"Новый")</f>
        <v>Есть</v>
      </c>
    </row>
    <row r="45" spans="1:18" ht="60" hidden="1">
      <c r="A45" s="238" t="s">
        <v>794</v>
      </c>
      <c r="B45" s="237">
        <v>208976</v>
      </c>
      <c r="C45" s="237">
        <v>38581</v>
      </c>
      <c r="D45" s="238" t="s">
        <v>398</v>
      </c>
      <c r="E45" s="238" t="s">
        <v>741</v>
      </c>
      <c r="F45" s="238"/>
      <c r="G45" s="238"/>
      <c r="H45" s="238" t="s">
        <v>243</v>
      </c>
      <c r="I45" s="238" t="s">
        <v>250</v>
      </c>
      <c r="J45" s="239">
        <v>32250</v>
      </c>
      <c r="K45" s="239">
        <v>39890</v>
      </c>
      <c r="L45" s="238" t="s">
        <v>647</v>
      </c>
      <c r="M45" s="237">
        <v>1</v>
      </c>
      <c r="N45" s="237"/>
      <c r="O45" s="238"/>
      <c r="P45" s="88" t="str">
        <f t="shared" si="0"/>
        <v>1</v>
      </c>
      <c r="Q45" s="88" t="str">
        <f>IFERROR(INDEX(Торг!$F:$F,MATCH($B45,Торг!$B:$B,0)),"Отсутствует")</f>
        <v>Y</v>
      </c>
      <c r="R45" s="36" t="str">
        <f>IFERROR(IF(AND(Q45="Отсутствует",VLOOKUP(A45,Торг!$A:$A,1,0)=A45),"Добавить","Есть"),"Новый")</f>
        <v>Есть</v>
      </c>
    </row>
    <row r="46" spans="1:18" ht="60" hidden="1">
      <c r="A46" s="238" t="s">
        <v>794</v>
      </c>
      <c r="B46" s="237">
        <v>208977</v>
      </c>
      <c r="C46" s="237">
        <v>38586</v>
      </c>
      <c r="D46" s="238" t="s">
        <v>399</v>
      </c>
      <c r="E46" s="238" t="s">
        <v>741</v>
      </c>
      <c r="F46" s="238"/>
      <c r="G46" s="238"/>
      <c r="H46" s="238" t="s">
        <v>243</v>
      </c>
      <c r="I46" s="238" t="s">
        <v>250</v>
      </c>
      <c r="J46" s="239">
        <v>32250</v>
      </c>
      <c r="K46" s="239">
        <v>39890</v>
      </c>
      <c r="L46" s="238" t="s">
        <v>647</v>
      </c>
      <c r="M46" s="237">
        <v>1</v>
      </c>
      <c r="N46" s="237"/>
      <c r="O46" s="238"/>
      <c r="P46" s="88" t="str">
        <f t="shared" si="0"/>
        <v>1</v>
      </c>
      <c r="Q46" s="88" t="str">
        <f>IFERROR(INDEX(Торг!$F:$F,MATCH($B46,Торг!$B:$B,0)),"Отсутствует")</f>
        <v>Y</v>
      </c>
      <c r="R46" s="36" t="str">
        <f>IFERROR(IF(AND(Q46="Отсутствует",VLOOKUP(A46,Торг!$A:$A,1,0)=A46),"Добавить","Есть"),"Новый")</f>
        <v>Есть</v>
      </c>
    </row>
    <row r="47" spans="1:18" ht="60" hidden="1">
      <c r="A47" s="238" t="s">
        <v>794</v>
      </c>
      <c r="B47" s="237">
        <v>208978</v>
      </c>
      <c r="C47" s="237">
        <v>38577</v>
      </c>
      <c r="D47" s="238" t="s">
        <v>400</v>
      </c>
      <c r="E47" s="238" t="s">
        <v>741</v>
      </c>
      <c r="F47" s="238"/>
      <c r="G47" s="238"/>
      <c r="H47" s="238" t="s">
        <v>243</v>
      </c>
      <c r="I47" s="238" t="s">
        <v>250</v>
      </c>
      <c r="J47" s="239">
        <v>32250</v>
      </c>
      <c r="K47" s="239">
        <v>39890</v>
      </c>
      <c r="L47" s="238" t="s">
        <v>647</v>
      </c>
      <c r="M47" s="237">
        <v>1</v>
      </c>
      <c r="N47" s="237"/>
      <c r="O47" s="238"/>
      <c r="P47" s="88" t="str">
        <f t="shared" si="0"/>
        <v>1</v>
      </c>
      <c r="Q47" s="88" t="str">
        <f>IFERROR(INDEX(Торг!$F:$F,MATCH($B47,Торг!$B:$B,0)),"Отсутствует")</f>
        <v>Y</v>
      </c>
      <c r="R47" s="36" t="str">
        <f>IFERROR(IF(AND(Q47="Отсутствует",VLOOKUP(A47,Торг!$A:$A,1,0)=A47),"Добавить","Есть"),"Новый")</f>
        <v>Есть</v>
      </c>
    </row>
    <row r="48" spans="1:18" ht="60" hidden="1">
      <c r="A48" s="238" t="s">
        <v>794</v>
      </c>
      <c r="B48" s="237">
        <v>208979</v>
      </c>
      <c r="C48" s="237">
        <v>38585</v>
      </c>
      <c r="D48" s="238" t="s">
        <v>401</v>
      </c>
      <c r="E48" s="238" t="s">
        <v>741</v>
      </c>
      <c r="F48" s="238"/>
      <c r="G48" s="238"/>
      <c r="H48" s="238" t="s">
        <v>243</v>
      </c>
      <c r="I48" s="238" t="s">
        <v>250</v>
      </c>
      <c r="J48" s="239">
        <v>32250</v>
      </c>
      <c r="K48" s="239">
        <v>39890</v>
      </c>
      <c r="L48" s="238" t="s">
        <v>647</v>
      </c>
      <c r="M48" s="237">
        <v>1</v>
      </c>
      <c r="N48" s="237"/>
      <c r="O48" s="238"/>
      <c r="P48" s="88" t="str">
        <f t="shared" si="0"/>
        <v>1</v>
      </c>
      <c r="Q48" s="88" t="str">
        <f>IFERROR(INDEX(Торг!$F:$F,MATCH($B48,Торг!$B:$B,0)),"Отсутствует")</f>
        <v>Y</v>
      </c>
      <c r="R48" s="36" t="str">
        <f>IFERROR(IF(AND(Q48="Отсутствует",VLOOKUP(A48,Торг!$A:$A,1,0)=A48),"Добавить","Есть"),"Новый")</f>
        <v>Есть</v>
      </c>
    </row>
    <row r="49" spans="1:18" ht="60" hidden="1">
      <c r="A49" s="238" t="s">
        <v>794</v>
      </c>
      <c r="B49" s="237">
        <v>208980</v>
      </c>
      <c r="C49" s="237">
        <v>38580</v>
      </c>
      <c r="D49" s="238" t="s">
        <v>402</v>
      </c>
      <c r="E49" s="238" t="s">
        <v>741</v>
      </c>
      <c r="F49" s="238"/>
      <c r="G49" s="238"/>
      <c r="H49" s="238" t="s">
        <v>243</v>
      </c>
      <c r="I49" s="238" t="s">
        <v>250</v>
      </c>
      <c r="J49" s="239">
        <v>32250</v>
      </c>
      <c r="K49" s="239">
        <v>39890</v>
      </c>
      <c r="L49" s="238" t="s">
        <v>647</v>
      </c>
      <c r="M49" s="237">
        <v>1</v>
      </c>
      <c r="N49" s="237"/>
      <c r="O49" s="238"/>
      <c r="P49" s="88" t="str">
        <f t="shared" si="0"/>
        <v>1</v>
      </c>
      <c r="Q49" s="88" t="str">
        <f>IFERROR(INDEX(Торг!$F:$F,MATCH($B49,Торг!$B:$B,0)),"Отсутствует")</f>
        <v>Y</v>
      </c>
      <c r="R49" s="36" t="str">
        <f>IFERROR(IF(AND(Q49="Отсутствует",VLOOKUP(A49,Торг!$A:$A,1,0)=A49),"Добавить","Есть"),"Новый")</f>
        <v>Есть</v>
      </c>
    </row>
    <row r="50" spans="1:18" ht="60" hidden="1">
      <c r="A50" s="238" t="s">
        <v>794</v>
      </c>
      <c r="B50" s="237">
        <v>208981</v>
      </c>
      <c r="C50" s="237">
        <v>38582</v>
      </c>
      <c r="D50" s="238" t="s">
        <v>403</v>
      </c>
      <c r="E50" s="238" t="s">
        <v>741</v>
      </c>
      <c r="F50" s="238"/>
      <c r="G50" s="238"/>
      <c r="H50" s="238" t="s">
        <v>243</v>
      </c>
      <c r="I50" s="238" t="s">
        <v>250</v>
      </c>
      <c r="J50" s="239">
        <v>32250</v>
      </c>
      <c r="K50" s="239">
        <v>39890</v>
      </c>
      <c r="L50" s="238" t="s">
        <v>647</v>
      </c>
      <c r="M50" s="237">
        <v>1</v>
      </c>
      <c r="N50" s="237"/>
      <c r="O50" s="238"/>
      <c r="P50" s="88" t="str">
        <f t="shared" si="0"/>
        <v>1</v>
      </c>
      <c r="Q50" s="88" t="str">
        <f>IFERROR(INDEX(Торг!$F:$F,MATCH($B50,Торг!$B:$B,0)),"Отсутствует")</f>
        <v>Y</v>
      </c>
      <c r="R50" s="36" t="str">
        <f>IFERROR(IF(AND(Q50="Отсутствует",VLOOKUP(A50,Торг!$A:$A,1,0)=A50),"Добавить","Есть"),"Новый")</f>
        <v>Есть</v>
      </c>
    </row>
    <row r="51" spans="1:18" ht="60" hidden="1">
      <c r="A51" s="238" t="s">
        <v>794</v>
      </c>
      <c r="B51" s="237">
        <v>208982</v>
      </c>
      <c r="C51" s="237">
        <v>38584</v>
      </c>
      <c r="D51" s="238" t="s">
        <v>404</v>
      </c>
      <c r="E51" s="238" t="s">
        <v>741</v>
      </c>
      <c r="F51" s="238"/>
      <c r="G51" s="238"/>
      <c r="H51" s="238" t="s">
        <v>243</v>
      </c>
      <c r="I51" s="238" t="s">
        <v>250</v>
      </c>
      <c r="J51" s="239">
        <v>32250</v>
      </c>
      <c r="K51" s="239">
        <v>39890</v>
      </c>
      <c r="L51" s="238" t="s">
        <v>647</v>
      </c>
      <c r="M51" s="237">
        <v>1</v>
      </c>
      <c r="N51" s="237"/>
      <c r="O51" s="238"/>
      <c r="P51" s="88" t="str">
        <f t="shared" si="0"/>
        <v>1</v>
      </c>
      <c r="Q51" s="88" t="str">
        <f>IFERROR(INDEX(Торг!$F:$F,MATCH($B51,Торг!$B:$B,0)),"Отсутствует")</f>
        <v>Y</v>
      </c>
      <c r="R51" s="36" t="str">
        <f>IFERROR(IF(AND(Q51="Отсутствует",VLOOKUP(A51,Торг!$A:$A,1,0)=A51),"Добавить","Есть"),"Новый")</f>
        <v>Есть</v>
      </c>
    </row>
    <row r="52" spans="1:18" ht="60" hidden="1">
      <c r="A52" s="238" t="s">
        <v>794</v>
      </c>
      <c r="B52" s="237">
        <v>208983</v>
      </c>
      <c r="C52" s="237">
        <v>38579</v>
      </c>
      <c r="D52" s="238" t="s">
        <v>405</v>
      </c>
      <c r="E52" s="238" t="s">
        <v>741</v>
      </c>
      <c r="F52" s="238"/>
      <c r="G52" s="238"/>
      <c r="H52" s="238" t="s">
        <v>243</v>
      </c>
      <c r="I52" s="238" t="s">
        <v>250</v>
      </c>
      <c r="J52" s="239">
        <v>32250</v>
      </c>
      <c r="K52" s="239">
        <v>39890</v>
      </c>
      <c r="L52" s="238" t="s">
        <v>647</v>
      </c>
      <c r="M52" s="237">
        <v>1</v>
      </c>
      <c r="N52" s="237"/>
      <c r="O52" s="238"/>
      <c r="P52" s="88" t="str">
        <f t="shared" si="0"/>
        <v>1</v>
      </c>
      <c r="Q52" s="88" t="str">
        <f>IFERROR(INDEX(Торг!$F:$F,MATCH($B52,Торг!$B:$B,0)),"Отсутствует")</f>
        <v>Y</v>
      </c>
      <c r="R52" s="36" t="str">
        <f>IFERROR(IF(AND(Q52="Отсутствует",VLOOKUP(A52,Торг!$A:$A,1,0)=A52),"Добавить","Есть"),"Новый")</f>
        <v>Есть</v>
      </c>
    </row>
    <row r="53" spans="1:18" ht="60" hidden="1">
      <c r="A53" s="238" t="s">
        <v>794</v>
      </c>
      <c r="B53" s="237">
        <v>208984</v>
      </c>
      <c r="C53" s="237">
        <v>38578</v>
      </c>
      <c r="D53" s="238" t="s">
        <v>406</v>
      </c>
      <c r="E53" s="238" t="s">
        <v>741</v>
      </c>
      <c r="F53" s="238"/>
      <c r="G53" s="238"/>
      <c r="H53" s="238" t="s">
        <v>243</v>
      </c>
      <c r="I53" s="238" t="s">
        <v>250</v>
      </c>
      <c r="J53" s="239">
        <v>32250</v>
      </c>
      <c r="K53" s="239">
        <v>39890</v>
      </c>
      <c r="L53" s="238" t="s">
        <v>647</v>
      </c>
      <c r="M53" s="237">
        <v>1</v>
      </c>
      <c r="N53" s="237"/>
      <c r="O53" s="238"/>
      <c r="P53" s="88" t="str">
        <f t="shared" si="0"/>
        <v>1</v>
      </c>
      <c r="Q53" s="88" t="str">
        <f>IFERROR(INDEX(Торг!$F:$F,MATCH($B53,Торг!$B:$B,0)),"Отсутствует")</f>
        <v>Y</v>
      </c>
      <c r="R53" s="36" t="str">
        <f>IFERROR(IF(AND(Q53="Отсутствует",VLOOKUP(A53,Торг!$A:$A,1,0)=A53),"Добавить","Есть"),"Новый")</f>
        <v>Есть</v>
      </c>
    </row>
    <row r="54" spans="1:18" ht="60" hidden="1">
      <c r="A54" s="238" t="s">
        <v>794</v>
      </c>
      <c r="B54" s="237">
        <v>208985</v>
      </c>
      <c r="C54" s="237">
        <v>38576</v>
      </c>
      <c r="D54" s="238" t="s">
        <v>407</v>
      </c>
      <c r="E54" s="238" t="s">
        <v>741</v>
      </c>
      <c r="F54" s="238"/>
      <c r="G54" s="238"/>
      <c r="H54" s="238" t="s">
        <v>243</v>
      </c>
      <c r="I54" s="238" t="s">
        <v>250</v>
      </c>
      <c r="J54" s="239">
        <v>32250</v>
      </c>
      <c r="K54" s="239">
        <v>39890</v>
      </c>
      <c r="L54" s="238" t="s">
        <v>647</v>
      </c>
      <c r="M54" s="237">
        <v>1</v>
      </c>
      <c r="N54" s="237"/>
      <c r="O54" s="238"/>
      <c r="P54" s="88" t="str">
        <f t="shared" si="0"/>
        <v>1</v>
      </c>
      <c r="Q54" s="88" t="str">
        <f>IFERROR(INDEX(Торг!$F:$F,MATCH($B54,Торг!$B:$B,0)),"Отсутствует")</f>
        <v>Y</v>
      </c>
      <c r="R54" s="36" t="str">
        <f>IFERROR(IF(AND(Q54="Отсутствует",VLOOKUP(A54,Торг!$A:$A,1,0)=A54),"Добавить","Есть"),"Новый")</f>
        <v>Есть</v>
      </c>
    </row>
    <row r="55" spans="1:18" ht="60" hidden="1">
      <c r="A55" s="238" t="s">
        <v>794</v>
      </c>
      <c r="B55" s="237">
        <v>208986</v>
      </c>
      <c r="C55" s="237">
        <v>38575</v>
      </c>
      <c r="D55" s="238" t="s">
        <v>408</v>
      </c>
      <c r="E55" s="238" t="s">
        <v>741</v>
      </c>
      <c r="F55" s="238"/>
      <c r="G55" s="238"/>
      <c r="H55" s="238" t="s">
        <v>243</v>
      </c>
      <c r="I55" s="238" t="s">
        <v>250</v>
      </c>
      <c r="J55" s="239">
        <v>32250</v>
      </c>
      <c r="K55" s="239">
        <v>39890</v>
      </c>
      <c r="L55" s="238" t="s">
        <v>647</v>
      </c>
      <c r="M55" s="237">
        <v>1</v>
      </c>
      <c r="N55" s="237"/>
      <c r="O55" s="238"/>
      <c r="P55" s="88" t="str">
        <f t="shared" si="0"/>
        <v>1</v>
      </c>
      <c r="Q55" s="88" t="str">
        <f>IFERROR(INDEX(Торг!$F:$F,MATCH($B55,Торг!$B:$B,0)),"Отсутствует")</f>
        <v>Y</v>
      </c>
      <c r="R55" s="36" t="str">
        <f>IFERROR(IF(AND(Q55="Отсутствует",VLOOKUP(A55,Торг!$A:$A,1,0)=A55),"Добавить","Есть"),"Новый")</f>
        <v>Есть</v>
      </c>
    </row>
    <row r="56" spans="1:18" ht="60" hidden="1">
      <c r="A56" s="238" t="s">
        <v>794</v>
      </c>
      <c r="B56" s="237">
        <v>208987</v>
      </c>
      <c r="C56" s="237">
        <v>38583</v>
      </c>
      <c r="D56" s="238" t="s">
        <v>409</v>
      </c>
      <c r="E56" s="238" t="s">
        <v>741</v>
      </c>
      <c r="F56" s="238"/>
      <c r="G56" s="238"/>
      <c r="H56" s="238" t="s">
        <v>243</v>
      </c>
      <c r="I56" s="238" t="s">
        <v>250</v>
      </c>
      <c r="J56" s="239">
        <v>31380</v>
      </c>
      <c r="K56" s="239">
        <v>38890</v>
      </c>
      <c r="L56" s="238" t="s">
        <v>647</v>
      </c>
      <c r="M56" s="237">
        <v>1</v>
      </c>
      <c r="N56" s="237"/>
      <c r="O56" s="238"/>
      <c r="P56" s="88" t="str">
        <f t="shared" si="0"/>
        <v>1</v>
      </c>
      <c r="Q56" s="88" t="str">
        <f>IFERROR(INDEX(Торг!$F:$F,MATCH($B56,Торг!$B:$B,0)),"Отсутствует")</f>
        <v>Y</v>
      </c>
      <c r="R56" s="36" t="str">
        <f>IFERROR(IF(AND(Q56="Отсутствует",VLOOKUP(A56,Торг!$A:$A,1,0)=A56),"Добавить","Есть"),"Новый")</f>
        <v>Есть</v>
      </c>
    </row>
    <row r="57" spans="1:18" ht="60" hidden="1">
      <c r="A57" s="238" t="s">
        <v>795</v>
      </c>
      <c r="B57" s="237">
        <v>208989</v>
      </c>
      <c r="C57" s="237">
        <v>109322</v>
      </c>
      <c r="D57" s="238" t="s">
        <v>435</v>
      </c>
      <c r="E57" s="238" t="s">
        <v>741</v>
      </c>
      <c r="F57" s="238"/>
      <c r="G57" s="238"/>
      <c r="H57" s="238" t="s">
        <v>159</v>
      </c>
      <c r="I57" s="238" t="s">
        <v>250</v>
      </c>
      <c r="J57" s="239">
        <v>32250</v>
      </c>
      <c r="K57" s="239">
        <v>39890</v>
      </c>
      <c r="L57" s="238" t="s">
        <v>647</v>
      </c>
      <c r="M57" s="237">
        <v>1</v>
      </c>
      <c r="N57" s="237"/>
      <c r="O57" s="238"/>
      <c r="P57" s="88" t="str">
        <f t="shared" si="0"/>
        <v>1</v>
      </c>
      <c r="Q57" s="88" t="str">
        <f>IFERROR(INDEX(Торг!$F:$F,MATCH($B57,Торг!$B:$B,0)),"Отсутствует")</f>
        <v>Y</v>
      </c>
      <c r="R57" s="36" t="str">
        <f>IFERROR(IF(AND(Q57="Отсутствует",VLOOKUP(A57,Торг!$A:$A,1,0)=A57),"Добавить","Есть"),"Новый")</f>
        <v>Есть</v>
      </c>
    </row>
    <row r="58" spans="1:18" ht="60" hidden="1">
      <c r="A58" s="238" t="s">
        <v>795</v>
      </c>
      <c r="B58" s="237">
        <v>208990</v>
      </c>
      <c r="C58" s="237">
        <v>109327</v>
      </c>
      <c r="D58" s="238" t="s">
        <v>436</v>
      </c>
      <c r="E58" s="238" t="s">
        <v>741</v>
      </c>
      <c r="F58" s="238"/>
      <c r="G58" s="238"/>
      <c r="H58" s="238" t="s">
        <v>159</v>
      </c>
      <c r="I58" s="238" t="s">
        <v>250</v>
      </c>
      <c r="J58" s="239">
        <v>32250</v>
      </c>
      <c r="K58" s="239">
        <v>39890</v>
      </c>
      <c r="L58" s="238" t="s">
        <v>647</v>
      </c>
      <c r="M58" s="237">
        <v>1</v>
      </c>
      <c r="N58" s="237"/>
      <c r="O58" s="238"/>
      <c r="P58" s="88" t="str">
        <f t="shared" si="0"/>
        <v>1</v>
      </c>
      <c r="Q58" s="88" t="str">
        <f>IFERROR(INDEX(Торг!$F:$F,MATCH($B58,Торг!$B:$B,0)),"Отсутствует")</f>
        <v>Y</v>
      </c>
      <c r="R58" s="36" t="str">
        <f>IFERROR(IF(AND(Q58="Отсутствует",VLOOKUP(A58,Торг!$A:$A,1,0)=A58),"Добавить","Есть"),"Новый")</f>
        <v>Есть</v>
      </c>
    </row>
    <row r="59" spans="1:18" ht="60" hidden="1">
      <c r="A59" s="238" t="s">
        <v>795</v>
      </c>
      <c r="B59" s="237">
        <v>208991</v>
      </c>
      <c r="C59" s="237">
        <v>109318</v>
      </c>
      <c r="D59" s="238" t="s">
        <v>437</v>
      </c>
      <c r="E59" s="238" t="s">
        <v>741</v>
      </c>
      <c r="F59" s="238"/>
      <c r="G59" s="238"/>
      <c r="H59" s="238" t="s">
        <v>159</v>
      </c>
      <c r="I59" s="238" t="s">
        <v>250</v>
      </c>
      <c r="J59" s="239">
        <v>32250</v>
      </c>
      <c r="K59" s="239">
        <v>39890</v>
      </c>
      <c r="L59" s="238" t="s">
        <v>647</v>
      </c>
      <c r="M59" s="237">
        <v>1</v>
      </c>
      <c r="N59" s="237"/>
      <c r="O59" s="238"/>
      <c r="P59" s="88" t="str">
        <f t="shared" si="0"/>
        <v>1</v>
      </c>
      <c r="Q59" s="88" t="str">
        <f>IFERROR(INDEX(Торг!$F:$F,MATCH($B59,Торг!$B:$B,0)),"Отсутствует")</f>
        <v>Y</v>
      </c>
      <c r="R59" s="36" t="str">
        <f>IFERROR(IF(AND(Q59="Отсутствует",VLOOKUP(A59,Торг!$A:$A,1,0)=A59),"Добавить","Есть"),"Новый")</f>
        <v>Есть</v>
      </c>
    </row>
    <row r="60" spans="1:18" ht="60" hidden="1">
      <c r="A60" s="238" t="s">
        <v>795</v>
      </c>
      <c r="B60" s="237">
        <v>208992</v>
      </c>
      <c r="C60" s="237">
        <v>109326</v>
      </c>
      <c r="D60" s="238" t="s">
        <v>438</v>
      </c>
      <c r="E60" s="238" t="s">
        <v>741</v>
      </c>
      <c r="F60" s="238"/>
      <c r="G60" s="238"/>
      <c r="H60" s="238" t="s">
        <v>159</v>
      </c>
      <c r="I60" s="238" t="s">
        <v>250</v>
      </c>
      <c r="J60" s="239">
        <v>32250</v>
      </c>
      <c r="K60" s="239">
        <v>39890</v>
      </c>
      <c r="L60" s="238" t="s">
        <v>647</v>
      </c>
      <c r="M60" s="237">
        <v>1</v>
      </c>
      <c r="N60" s="237"/>
      <c r="O60" s="238"/>
      <c r="P60" s="88" t="str">
        <f t="shared" si="0"/>
        <v>1</v>
      </c>
      <c r="Q60" s="88" t="str">
        <f>IFERROR(INDEX(Торг!$F:$F,MATCH($B60,Торг!$B:$B,0)),"Отсутствует")</f>
        <v>Y</v>
      </c>
      <c r="R60" s="36" t="str">
        <f>IFERROR(IF(AND(Q60="Отсутствует",VLOOKUP(A60,Торг!$A:$A,1,0)=A60),"Добавить","Есть"),"Новый")</f>
        <v>Есть</v>
      </c>
    </row>
    <row r="61" spans="1:18" ht="60" hidden="1">
      <c r="A61" s="238" t="s">
        <v>795</v>
      </c>
      <c r="B61" s="237">
        <v>208993</v>
      </c>
      <c r="C61" s="237">
        <v>109321</v>
      </c>
      <c r="D61" s="238" t="s">
        <v>439</v>
      </c>
      <c r="E61" s="238" t="s">
        <v>741</v>
      </c>
      <c r="F61" s="238"/>
      <c r="G61" s="238"/>
      <c r="H61" s="238" t="s">
        <v>159</v>
      </c>
      <c r="I61" s="238" t="s">
        <v>250</v>
      </c>
      <c r="J61" s="239">
        <v>32250</v>
      </c>
      <c r="K61" s="239">
        <v>39890</v>
      </c>
      <c r="L61" s="238" t="s">
        <v>647</v>
      </c>
      <c r="M61" s="237">
        <v>1</v>
      </c>
      <c r="N61" s="237"/>
      <c r="O61" s="238"/>
      <c r="P61" s="88" t="str">
        <f t="shared" si="0"/>
        <v>1</v>
      </c>
      <c r="Q61" s="88" t="str">
        <f>IFERROR(INDEX(Торг!$F:$F,MATCH($B61,Торг!$B:$B,0)),"Отсутствует")</f>
        <v>Y</v>
      </c>
      <c r="R61" s="36" t="str">
        <f>IFERROR(IF(AND(Q61="Отсутствует",VLOOKUP(A61,Торг!$A:$A,1,0)=A61),"Добавить","Есть"),"Новый")</f>
        <v>Есть</v>
      </c>
    </row>
    <row r="62" spans="1:18" ht="60" hidden="1">
      <c r="A62" s="238" t="s">
        <v>795</v>
      </c>
      <c r="B62" s="237">
        <v>208994</v>
      </c>
      <c r="C62" s="237">
        <v>109323</v>
      </c>
      <c r="D62" s="238" t="s">
        <v>440</v>
      </c>
      <c r="E62" s="238" t="s">
        <v>741</v>
      </c>
      <c r="F62" s="238"/>
      <c r="G62" s="238"/>
      <c r="H62" s="238" t="s">
        <v>159</v>
      </c>
      <c r="I62" s="238" t="s">
        <v>250</v>
      </c>
      <c r="J62" s="239">
        <v>32250</v>
      </c>
      <c r="K62" s="239">
        <v>39890</v>
      </c>
      <c r="L62" s="238" t="s">
        <v>647</v>
      </c>
      <c r="M62" s="237">
        <v>1</v>
      </c>
      <c r="N62" s="237"/>
      <c r="O62" s="238"/>
      <c r="P62" s="88" t="str">
        <f t="shared" si="0"/>
        <v>1</v>
      </c>
      <c r="Q62" s="88" t="str">
        <f>IFERROR(INDEX(Торг!$F:$F,MATCH($B62,Торг!$B:$B,0)),"Отсутствует")</f>
        <v>Y</v>
      </c>
      <c r="R62" s="36" t="str">
        <f>IFERROR(IF(AND(Q62="Отсутствует",VLOOKUP(A62,Торг!$A:$A,1,0)=A62),"Добавить","Есть"),"Новый")</f>
        <v>Есть</v>
      </c>
    </row>
    <row r="63" spans="1:18" ht="60" hidden="1">
      <c r="A63" s="238" t="s">
        <v>795</v>
      </c>
      <c r="B63" s="237">
        <v>208995</v>
      </c>
      <c r="C63" s="237">
        <v>109325</v>
      </c>
      <c r="D63" s="238" t="s">
        <v>441</v>
      </c>
      <c r="E63" s="238" t="s">
        <v>741</v>
      </c>
      <c r="F63" s="238"/>
      <c r="G63" s="238"/>
      <c r="H63" s="238" t="s">
        <v>159</v>
      </c>
      <c r="I63" s="238" t="s">
        <v>250</v>
      </c>
      <c r="J63" s="239">
        <v>32250</v>
      </c>
      <c r="K63" s="239">
        <v>39890</v>
      </c>
      <c r="L63" s="238" t="s">
        <v>647</v>
      </c>
      <c r="M63" s="237">
        <v>1</v>
      </c>
      <c r="N63" s="237"/>
      <c r="O63" s="238"/>
      <c r="P63" s="88" t="str">
        <f t="shared" si="0"/>
        <v>1</v>
      </c>
      <c r="Q63" s="88" t="str">
        <f>IFERROR(INDEX(Торг!$F:$F,MATCH($B63,Торг!$B:$B,0)),"Отсутствует")</f>
        <v>Y</v>
      </c>
      <c r="R63" s="36" t="str">
        <f>IFERROR(IF(AND(Q63="Отсутствует",VLOOKUP(A63,Торг!$A:$A,1,0)=A63),"Добавить","Есть"),"Новый")</f>
        <v>Есть</v>
      </c>
    </row>
    <row r="64" spans="1:18" ht="60" hidden="1">
      <c r="A64" s="238" t="s">
        <v>795</v>
      </c>
      <c r="B64" s="237">
        <v>208996</v>
      </c>
      <c r="C64" s="237">
        <v>109320</v>
      </c>
      <c r="D64" s="238" t="s">
        <v>442</v>
      </c>
      <c r="E64" s="238" t="s">
        <v>741</v>
      </c>
      <c r="F64" s="238"/>
      <c r="G64" s="238"/>
      <c r="H64" s="238" t="s">
        <v>159</v>
      </c>
      <c r="I64" s="238" t="s">
        <v>250</v>
      </c>
      <c r="J64" s="239">
        <v>32250</v>
      </c>
      <c r="K64" s="239">
        <v>39890</v>
      </c>
      <c r="L64" s="238" t="s">
        <v>647</v>
      </c>
      <c r="M64" s="237">
        <v>1</v>
      </c>
      <c r="N64" s="237"/>
      <c r="O64" s="238"/>
      <c r="P64" s="88" t="str">
        <f t="shared" si="0"/>
        <v>1</v>
      </c>
      <c r="Q64" s="88" t="str">
        <f>IFERROR(INDEX(Торг!$F:$F,MATCH($B64,Торг!$B:$B,0)),"Отсутствует")</f>
        <v>Y</v>
      </c>
      <c r="R64" s="36" t="str">
        <f>IFERROR(IF(AND(Q64="Отсутствует",VLOOKUP(A64,Торг!$A:$A,1,0)=A64),"Добавить","Есть"),"Новый")</f>
        <v>Есть</v>
      </c>
    </row>
    <row r="65" spans="1:18" ht="60" hidden="1">
      <c r="A65" s="238" t="s">
        <v>795</v>
      </c>
      <c r="B65" s="237">
        <v>208997</v>
      </c>
      <c r="C65" s="237">
        <v>109319</v>
      </c>
      <c r="D65" s="238" t="s">
        <v>443</v>
      </c>
      <c r="E65" s="238" t="s">
        <v>741</v>
      </c>
      <c r="F65" s="238"/>
      <c r="G65" s="238"/>
      <c r="H65" s="238" t="s">
        <v>159</v>
      </c>
      <c r="I65" s="238" t="s">
        <v>250</v>
      </c>
      <c r="J65" s="239">
        <v>32250</v>
      </c>
      <c r="K65" s="239">
        <v>39890</v>
      </c>
      <c r="L65" s="238" t="s">
        <v>647</v>
      </c>
      <c r="M65" s="237">
        <v>1</v>
      </c>
      <c r="N65" s="237"/>
      <c r="O65" s="238"/>
      <c r="P65" s="88" t="str">
        <f t="shared" si="0"/>
        <v>1</v>
      </c>
      <c r="Q65" s="88" t="str">
        <f>IFERROR(INDEX(Торг!$F:$F,MATCH($B65,Торг!$B:$B,0)),"Отсутствует")</f>
        <v>Y</v>
      </c>
      <c r="R65" s="36" t="str">
        <f>IFERROR(IF(AND(Q65="Отсутствует",VLOOKUP(A65,Торг!$A:$A,1,0)=A65),"Добавить","Есть"),"Новый")</f>
        <v>Есть</v>
      </c>
    </row>
    <row r="66" spans="1:18" ht="60" hidden="1">
      <c r="A66" s="238" t="s">
        <v>795</v>
      </c>
      <c r="B66" s="237">
        <v>208998</v>
      </c>
      <c r="C66" s="237">
        <v>109317</v>
      </c>
      <c r="D66" s="238" t="s">
        <v>444</v>
      </c>
      <c r="E66" s="238" t="s">
        <v>741</v>
      </c>
      <c r="F66" s="238"/>
      <c r="G66" s="238"/>
      <c r="H66" s="238" t="s">
        <v>159</v>
      </c>
      <c r="I66" s="238" t="s">
        <v>250</v>
      </c>
      <c r="J66" s="239">
        <v>32250</v>
      </c>
      <c r="K66" s="239">
        <v>39890</v>
      </c>
      <c r="L66" s="238" t="s">
        <v>647</v>
      </c>
      <c r="M66" s="237">
        <v>1</v>
      </c>
      <c r="N66" s="237"/>
      <c r="O66" s="238"/>
      <c r="P66" s="88" t="str">
        <f t="shared" si="0"/>
        <v>1</v>
      </c>
      <c r="Q66" s="88" t="str">
        <f>IFERROR(INDEX(Торг!$F:$F,MATCH($B66,Торг!$B:$B,0)),"Отсутствует")</f>
        <v>Y</v>
      </c>
      <c r="R66" s="36" t="str">
        <f>IFERROR(IF(AND(Q66="Отсутствует",VLOOKUP(A66,Торг!$A:$A,1,0)=A66),"Добавить","Есть"),"Новый")</f>
        <v>Есть</v>
      </c>
    </row>
    <row r="67" spans="1:18" ht="60" hidden="1">
      <c r="A67" s="238" t="s">
        <v>795</v>
      </c>
      <c r="B67" s="237">
        <v>208999</v>
      </c>
      <c r="C67" s="237">
        <v>109316</v>
      </c>
      <c r="D67" s="238" t="s">
        <v>445</v>
      </c>
      <c r="E67" s="238" t="s">
        <v>741</v>
      </c>
      <c r="F67" s="238"/>
      <c r="G67" s="238"/>
      <c r="H67" s="238" t="s">
        <v>159</v>
      </c>
      <c r="I67" s="238" t="s">
        <v>250</v>
      </c>
      <c r="J67" s="239">
        <v>32250</v>
      </c>
      <c r="K67" s="239">
        <v>39890</v>
      </c>
      <c r="L67" s="238" t="s">
        <v>647</v>
      </c>
      <c r="M67" s="237">
        <v>1</v>
      </c>
      <c r="N67" s="237"/>
      <c r="O67" s="238"/>
      <c r="P67" s="88" t="str">
        <f t="shared" ref="P67:P130" si="1">_xlfn.CONCAT(M67,IF(N67&lt;&gt;"",_xlfn.CONCAT("ск",N67),""))</f>
        <v>1</v>
      </c>
      <c r="Q67" s="88" t="str">
        <f>IFERROR(INDEX(Торг!$F:$F,MATCH($B67,Торг!$B:$B,0)),"Отсутствует")</f>
        <v>Y</v>
      </c>
      <c r="R67" s="36" t="str">
        <f>IFERROR(IF(AND(Q67="Отсутствует",VLOOKUP(A67,Торг!$A:$A,1,0)=A67),"Добавить","Есть"),"Новый")</f>
        <v>Есть</v>
      </c>
    </row>
    <row r="68" spans="1:18" ht="60" hidden="1">
      <c r="A68" s="238" t="s">
        <v>795</v>
      </c>
      <c r="B68" s="237">
        <v>209000</v>
      </c>
      <c r="C68" s="237">
        <v>109324</v>
      </c>
      <c r="D68" s="238" t="s">
        <v>446</v>
      </c>
      <c r="E68" s="238" t="s">
        <v>741</v>
      </c>
      <c r="F68" s="238"/>
      <c r="G68" s="238"/>
      <c r="H68" s="238" t="s">
        <v>159</v>
      </c>
      <c r="I68" s="238" t="s">
        <v>250</v>
      </c>
      <c r="J68" s="239">
        <v>31380</v>
      </c>
      <c r="K68" s="239">
        <v>38890</v>
      </c>
      <c r="L68" s="238" t="s">
        <v>647</v>
      </c>
      <c r="M68" s="237">
        <v>1</v>
      </c>
      <c r="N68" s="237"/>
      <c r="O68" s="238"/>
      <c r="P68" s="88" t="str">
        <f t="shared" si="1"/>
        <v>1</v>
      </c>
      <c r="Q68" s="88" t="str">
        <f>IFERROR(INDEX(Торг!$F:$F,MATCH($B68,Торг!$B:$B,0)),"Отсутствует")</f>
        <v>Y</v>
      </c>
      <c r="R68" s="36" t="str">
        <f>IFERROR(IF(AND(Q68="Отсутствует",VLOOKUP(A68,Торг!$A:$A,1,0)=A68),"Добавить","Есть"),"Новый")</f>
        <v>Есть</v>
      </c>
    </row>
    <row r="69" spans="1:18" ht="60" hidden="1">
      <c r="A69" s="238" t="s">
        <v>796</v>
      </c>
      <c r="B69" s="237">
        <v>209002</v>
      </c>
      <c r="C69" s="237">
        <v>119862</v>
      </c>
      <c r="D69" s="238" t="s">
        <v>447</v>
      </c>
      <c r="E69" s="238" t="s">
        <v>741</v>
      </c>
      <c r="F69" s="238"/>
      <c r="G69" s="238"/>
      <c r="H69" s="238" t="s">
        <v>147</v>
      </c>
      <c r="I69" s="238" t="s">
        <v>250</v>
      </c>
      <c r="J69" s="239">
        <v>32250</v>
      </c>
      <c r="K69" s="239">
        <v>39890</v>
      </c>
      <c r="L69" s="238" t="s">
        <v>646</v>
      </c>
      <c r="M69" s="237">
        <v>1</v>
      </c>
      <c r="N69" s="237"/>
      <c r="O69" s="238"/>
      <c r="P69" s="88" t="str">
        <f t="shared" si="1"/>
        <v>1</v>
      </c>
      <c r="Q69" s="88" t="str">
        <f>IFERROR(INDEX(Торг!$F:$F,MATCH($B69,Торг!$B:$B,0)),"Отсутствует")</f>
        <v>Y</v>
      </c>
      <c r="R69" s="36" t="str">
        <f>IFERROR(IF(AND(Q69="Отсутствует",VLOOKUP(A69,Торг!$A:$A,1,0)=A69),"Добавить","Есть"),"Новый")</f>
        <v>Есть</v>
      </c>
    </row>
    <row r="70" spans="1:18" ht="60" hidden="1">
      <c r="A70" s="238" t="s">
        <v>796</v>
      </c>
      <c r="B70" s="237">
        <v>209003</v>
      </c>
      <c r="C70" s="237">
        <v>119857</v>
      </c>
      <c r="D70" s="238" t="s">
        <v>448</v>
      </c>
      <c r="E70" s="238" t="s">
        <v>741</v>
      </c>
      <c r="F70" s="238"/>
      <c r="G70" s="238"/>
      <c r="H70" s="238" t="s">
        <v>147</v>
      </c>
      <c r="I70" s="238" t="s">
        <v>250</v>
      </c>
      <c r="J70" s="239">
        <v>32250</v>
      </c>
      <c r="K70" s="239">
        <v>39890</v>
      </c>
      <c r="L70" s="238" t="s">
        <v>646</v>
      </c>
      <c r="M70" s="237">
        <v>1</v>
      </c>
      <c r="N70" s="237"/>
      <c r="O70" s="238"/>
      <c r="P70" s="88" t="str">
        <f t="shared" si="1"/>
        <v>1</v>
      </c>
      <c r="Q70" s="88" t="str">
        <f>IFERROR(INDEX(Торг!$F:$F,MATCH($B70,Торг!$B:$B,0)),"Отсутствует")</f>
        <v>Y</v>
      </c>
      <c r="R70" s="36" t="str">
        <f>IFERROR(IF(AND(Q70="Отсутствует",VLOOKUP(A70,Торг!$A:$A,1,0)=A70),"Добавить","Есть"),"Новый")</f>
        <v>Есть</v>
      </c>
    </row>
    <row r="71" spans="1:18" ht="60" hidden="1">
      <c r="A71" s="238" t="s">
        <v>796</v>
      </c>
      <c r="B71" s="237">
        <v>209004</v>
      </c>
      <c r="C71" s="237">
        <v>119861</v>
      </c>
      <c r="D71" s="238" t="s">
        <v>449</v>
      </c>
      <c r="E71" s="238" t="s">
        <v>741</v>
      </c>
      <c r="F71" s="238"/>
      <c r="G71" s="238"/>
      <c r="H71" s="238" t="s">
        <v>147</v>
      </c>
      <c r="I71" s="238" t="s">
        <v>250</v>
      </c>
      <c r="J71" s="239">
        <v>32250</v>
      </c>
      <c r="K71" s="239">
        <v>39890</v>
      </c>
      <c r="L71" s="238" t="s">
        <v>646</v>
      </c>
      <c r="M71" s="237">
        <v>1</v>
      </c>
      <c r="N71" s="237"/>
      <c r="O71" s="238"/>
      <c r="P71" s="88" t="str">
        <f t="shared" si="1"/>
        <v>1</v>
      </c>
      <c r="Q71" s="88" t="str">
        <f>IFERROR(INDEX(Торг!$F:$F,MATCH($B71,Торг!$B:$B,0)),"Отсутствует")</f>
        <v>Y</v>
      </c>
      <c r="R71" s="36" t="str">
        <f>IFERROR(IF(AND(Q71="Отсутствует",VLOOKUP(A71,Торг!$A:$A,1,0)=A71),"Добавить","Есть"),"Новый")</f>
        <v>Есть</v>
      </c>
    </row>
    <row r="72" spans="1:18" ht="60" hidden="1">
      <c r="A72" s="238" t="s">
        <v>796</v>
      </c>
      <c r="B72" s="237">
        <v>209005</v>
      </c>
      <c r="C72" s="237">
        <v>119853</v>
      </c>
      <c r="D72" s="238" t="s">
        <v>450</v>
      </c>
      <c r="E72" s="238" t="s">
        <v>741</v>
      </c>
      <c r="F72" s="238"/>
      <c r="G72" s="238"/>
      <c r="H72" s="238" t="s">
        <v>147</v>
      </c>
      <c r="I72" s="238" t="s">
        <v>250</v>
      </c>
      <c r="J72" s="239">
        <v>32250</v>
      </c>
      <c r="K72" s="239">
        <v>39890</v>
      </c>
      <c r="L72" s="238" t="s">
        <v>646</v>
      </c>
      <c r="M72" s="237">
        <v>1</v>
      </c>
      <c r="N72" s="237"/>
      <c r="O72" s="238"/>
      <c r="P72" s="88" t="str">
        <f t="shared" si="1"/>
        <v>1</v>
      </c>
      <c r="Q72" s="88" t="str">
        <f>IFERROR(INDEX(Торг!$F:$F,MATCH($B72,Торг!$B:$B,0)),"Отсутствует")</f>
        <v>Y</v>
      </c>
      <c r="R72" s="36" t="str">
        <f>IFERROR(IF(AND(Q72="Отсутствует",VLOOKUP(A72,Торг!$A:$A,1,0)=A72),"Добавить","Есть"),"Новый")</f>
        <v>Есть</v>
      </c>
    </row>
    <row r="73" spans="1:18" ht="60" hidden="1">
      <c r="A73" s="238" t="s">
        <v>796</v>
      </c>
      <c r="B73" s="237">
        <v>209006</v>
      </c>
      <c r="C73" s="237">
        <v>119860</v>
      </c>
      <c r="D73" s="238" t="s">
        <v>451</v>
      </c>
      <c r="E73" s="238" t="s">
        <v>741</v>
      </c>
      <c r="F73" s="238"/>
      <c r="G73" s="238"/>
      <c r="H73" s="238" t="s">
        <v>147</v>
      </c>
      <c r="I73" s="238" t="s">
        <v>250</v>
      </c>
      <c r="J73" s="239">
        <v>32250</v>
      </c>
      <c r="K73" s="239">
        <v>39890</v>
      </c>
      <c r="L73" s="238" t="s">
        <v>646</v>
      </c>
      <c r="M73" s="237">
        <v>1</v>
      </c>
      <c r="N73" s="237"/>
      <c r="O73" s="238"/>
      <c r="P73" s="88" t="str">
        <f t="shared" si="1"/>
        <v>1</v>
      </c>
      <c r="Q73" s="88" t="str">
        <f>IFERROR(INDEX(Торг!$F:$F,MATCH($B73,Торг!$B:$B,0)),"Отсутствует")</f>
        <v>Y</v>
      </c>
      <c r="R73" s="36" t="str">
        <f>IFERROR(IF(AND(Q73="Отсутствует",VLOOKUP(A73,Торг!$A:$A,1,0)=A73),"Добавить","Есть"),"Новый")</f>
        <v>Есть</v>
      </c>
    </row>
    <row r="74" spans="1:18" ht="60" hidden="1">
      <c r="A74" s="238" t="s">
        <v>796</v>
      </c>
      <c r="B74" s="237">
        <v>209007</v>
      </c>
      <c r="C74" s="237">
        <v>119856</v>
      </c>
      <c r="D74" s="238" t="s">
        <v>452</v>
      </c>
      <c r="E74" s="238" t="s">
        <v>741</v>
      </c>
      <c r="F74" s="238"/>
      <c r="G74" s="238"/>
      <c r="H74" s="238" t="s">
        <v>147</v>
      </c>
      <c r="I74" s="238" t="s">
        <v>250</v>
      </c>
      <c r="J74" s="239">
        <v>32250</v>
      </c>
      <c r="K74" s="239">
        <v>39890</v>
      </c>
      <c r="L74" s="238" t="s">
        <v>646</v>
      </c>
      <c r="M74" s="237">
        <v>1</v>
      </c>
      <c r="N74" s="237"/>
      <c r="O74" s="238"/>
      <c r="P74" s="88" t="str">
        <f t="shared" si="1"/>
        <v>1</v>
      </c>
      <c r="Q74" s="88" t="str">
        <f>IFERROR(INDEX(Торг!$F:$F,MATCH($B74,Торг!$B:$B,0)),"Отсутствует")</f>
        <v>Y</v>
      </c>
      <c r="R74" s="36" t="str">
        <f>IFERROR(IF(AND(Q74="Отсутствует",VLOOKUP(A74,Торг!$A:$A,1,0)=A74),"Добавить","Есть"),"Новый")</f>
        <v>Есть</v>
      </c>
    </row>
    <row r="75" spans="1:18" ht="60" hidden="1">
      <c r="A75" s="238" t="s">
        <v>796</v>
      </c>
      <c r="B75" s="237">
        <v>209008</v>
      </c>
      <c r="C75" s="237">
        <v>119858</v>
      </c>
      <c r="D75" s="238" t="s">
        <v>453</v>
      </c>
      <c r="E75" s="238" t="s">
        <v>741</v>
      </c>
      <c r="F75" s="238"/>
      <c r="G75" s="238"/>
      <c r="H75" s="238" t="s">
        <v>147</v>
      </c>
      <c r="I75" s="238" t="s">
        <v>250</v>
      </c>
      <c r="J75" s="239">
        <v>32250</v>
      </c>
      <c r="K75" s="239">
        <v>39890</v>
      </c>
      <c r="L75" s="238" t="s">
        <v>646</v>
      </c>
      <c r="M75" s="237">
        <v>1</v>
      </c>
      <c r="N75" s="237"/>
      <c r="O75" s="238"/>
      <c r="P75" s="88" t="str">
        <f t="shared" si="1"/>
        <v>1</v>
      </c>
      <c r="Q75" s="88" t="str">
        <f>IFERROR(INDEX(Торг!$F:$F,MATCH($B75,Торг!$B:$B,0)),"Отсутствует")</f>
        <v>Y</v>
      </c>
      <c r="R75" s="36" t="str">
        <f>IFERROR(IF(AND(Q75="Отсутствует",VLOOKUP(A75,Торг!$A:$A,1,0)=A75),"Добавить","Есть"),"Новый")</f>
        <v>Есть</v>
      </c>
    </row>
    <row r="76" spans="1:18" ht="60" hidden="1">
      <c r="A76" s="238" t="s">
        <v>796</v>
      </c>
      <c r="B76" s="237">
        <v>209009</v>
      </c>
      <c r="C76" s="237">
        <v>119859</v>
      </c>
      <c r="D76" s="238" t="s">
        <v>454</v>
      </c>
      <c r="E76" s="238" t="s">
        <v>741</v>
      </c>
      <c r="F76" s="238"/>
      <c r="G76" s="238"/>
      <c r="H76" s="238" t="s">
        <v>147</v>
      </c>
      <c r="I76" s="238" t="s">
        <v>250</v>
      </c>
      <c r="J76" s="239">
        <v>32250</v>
      </c>
      <c r="K76" s="239">
        <v>39890</v>
      </c>
      <c r="L76" s="238" t="s">
        <v>646</v>
      </c>
      <c r="M76" s="237">
        <v>1</v>
      </c>
      <c r="N76" s="237"/>
      <c r="O76" s="238"/>
      <c r="P76" s="88" t="str">
        <f t="shared" si="1"/>
        <v>1</v>
      </c>
      <c r="Q76" s="88" t="str">
        <f>IFERROR(INDEX(Торг!$F:$F,MATCH($B76,Торг!$B:$B,0)),"Отсутствует")</f>
        <v>Y</v>
      </c>
      <c r="R76" s="36" t="str">
        <f>IFERROR(IF(AND(Q76="Отсутствует",VLOOKUP(A76,Торг!$A:$A,1,0)=A76),"Добавить","Есть"),"Новый")</f>
        <v>Есть</v>
      </c>
    </row>
    <row r="77" spans="1:18" ht="60" hidden="1">
      <c r="A77" s="238" t="s">
        <v>796</v>
      </c>
      <c r="B77" s="237">
        <v>209010</v>
      </c>
      <c r="C77" s="237">
        <v>119855</v>
      </c>
      <c r="D77" s="238" t="s">
        <v>455</v>
      </c>
      <c r="E77" s="238" t="s">
        <v>741</v>
      </c>
      <c r="F77" s="238"/>
      <c r="G77" s="238"/>
      <c r="H77" s="238" t="s">
        <v>147</v>
      </c>
      <c r="I77" s="238" t="s">
        <v>250</v>
      </c>
      <c r="J77" s="239">
        <v>32250</v>
      </c>
      <c r="K77" s="239">
        <v>39890</v>
      </c>
      <c r="L77" s="238" t="s">
        <v>646</v>
      </c>
      <c r="M77" s="237">
        <v>1</v>
      </c>
      <c r="N77" s="237"/>
      <c r="O77" s="238"/>
      <c r="P77" s="88" t="str">
        <f t="shared" si="1"/>
        <v>1</v>
      </c>
      <c r="Q77" s="88" t="str">
        <f>IFERROR(INDEX(Торг!$F:$F,MATCH($B77,Торг!$B:$B,0)),"Отсутствует")</f>
        <v>Y</v>
      </c>
      <c r="R77" s="36" t="str">
        <f>IFERROR(IF(AND(Q77="Отсутствует",VLOOKUP(A77,Торг!$A:$A,1,0)=A77),"Добавить","Есть"),"Новый")</f>
        <v>Есть</v>
      </c>
    </row>
    <row r="78" spans="1:18" ht="60" hidden="1">
      <c r="A78" s="238" t="s">
        <v>796</v>
      </c>
      <c r="B78" s="237">
        <v>209011</v>
      </c>
      <c r="C78" s="237">
        <v>119854</v>
      </c>
      <c r="D78" s="238" t="s">
        <v>456</v>
      </c>
      <c r="E78" s="238" t="s">
        <v>741</v>
      </c>
      <c r="F78" s="238"/>
      <c r="G78" s="238"/>
      <c r="H78" s="238" t="s">
        <v>147</v>
      </c>
      <c r="I78" s="238" t="s">
        <v>250</v>
      </c>
      <c r="J78" s="239">
        <v>32250</v>
      </c>
      <c r="K78" s="239">
        <v>39890</v>
      </c>
      <c r="L78" s="238" t="s">
        <v>646</v>
      </c>
      <c r="M78" s="237">
        <v>1</v>
      </c>
      <c r="N78" s="237"/>
      <c r="O78" s="238"/>
      <c r="P78" s="88" t="str">
        <f t="shared" si="1"/>
        <v>1</v>
      </c>
      <c r="Q78" s="88" t="str">
        <f>IFERROR(INDEX(Торг!$F:$F,MATCH($B78,Торг!$B:$B,0)),"Отсутствует")</f>
        <v>Y</v>
      </c>
      <c r="R78" s="36" t="str">
        <f>IFERROR(IF(AND(Q78="Отсутствует",VLOOKUP(A78,Торг!$A:$A,1,0)=A78),"Добавить","Есть"),"Новый")</f>
        <v>Есть</v>
      </c>
    </row>
    <row r="79" spans="1:18" ht="60" hidden="1">
      <c r="A79" s="238" t="s">
        <v>796</v>
      </c>
      <c r="B79" s="237">
        <v>209012</v>
      </c>
      <c r="C79" s="237">
        <v>119852</v>
      </c>
      <c r="D79" s="238" t="s">
        <v>457</v>
      </c>
      <c r="E79" s="238" t="s">
        <v>741</v>
      </c>
      <c r="F79" s="238"/>
      <c r="G79" s="238"/>
      <c r="H79" s="238" t="s">
        <v>147</v>
      </c>
      <c r="I79" s="238" t="s">
        <v>250</v>
      </c>
      <c r="J79" s="239">
        <v>32250</v>
      </c>
      <c r="K79" s="239">
        <v>39890</v>
      </c>
      <c r="L79" s="238" t="s">
        <v>646</v>
      </c>
      <c r="M79" s="237">
        <v>1</v>
      </c>
      <c r="N79" s="237"/>
      <c r="O79" s="238"/>
      <c r="P79" s="88" t="str">
        <f t="shared" si="1"/>
        <v>1</v>
      </c>
      <c r="Q79" s="88" t="str">
        <f>IFERROR(INDEX(Торг!$F:$F,MATCH($B79,Торг!$B:$B,0)),"Отсутствует")</f>
        <v>Y</v>
      </c>
      <c r="R79" s="36" t="str">
        <f>IFERROR(IF(AND(Q79="Отсутствует",VLOOKUP(A79,Торг!$A:$A,1,0)=A79),"Добавить","Есть"),"Новый")</f>
        <v>Есть</v>
      </c>
    </row>
    <row r="80" spans="1:18" ht="60" hidden="1">
      <c r="A80" s="238" t="s">
        <v>796</v>
      </c>
      <c r="B80" s="237">
        <v>209013</v>
      </c>
      <c r="C80" s="237">
        <v>119851</v>
      </c>
      <c r="D80" s="238" t="s">
        <v>458</v>
      </c>
      <c r="E80" s="238" t="s">
        <v>741</v>
      </c>
      <c r="F80" s="238"/>
      <c r="G80" s="238"/>
      <c r="H80" s="238" t="s">
        <v>147</v>
      </c>
      <c r="I80" s="238" t="s">
        <v>250</v>
      </c>
      <c r="J80" s="239">
        <v>32250</v>
      </c>
      <c r="K80" s="239">
        <v>39890</v>
      </c>
      <c r="L80" s="238" t="s">
        <v>646</v>
      </c>
      <c r="M80" s="237">
        <v>1</v>
      </c>
      <c r="N80" s="237"/>
      <c r="O80" s="238"/>
      <c r="P80" s="88" t="str">
        <f t="shared" si="1"/>
        <v>1</v>
      </c>
      <c r="Q80" s="88" t="str">
        <f>IFERROR(INDEX(Торг!$F:$F,MATCH($B80,Торг!$B:$B,0)),"Отсутствует")</f>
        <v>Y</v>
      </c>
      <c r="R80" s="36" t="str">
        <f>IFERROR(IF(AND(Q80="Отсутствует",VLOOKUP(A80,Торг!$A:$A,1,0)=A80),"Добавить","Есть"),"Новый")</f>
        <v>Есть</v>
      </c>
    </row>
    <row r="81" spans="1:18" ht="60" hidden="1">
      <c r="A81" s="238" t="s">
        <v>796</v>
      </c>
      <c r="B81" s="237">
        <v>209014</v>
      </c>
      <c r="C81" s="237">
        <v>119849</v>
      </c>
      <c r="D81" s="238" t="s">
        <v>459</v>
      </c>
      <c r="E81" s="238" t="s">
        <v>741</v>
      </c>
      <c r="F81" s="238"/>
      <c r="G81" s="238"/>
      <c r="H81" s="238" t="s">
        <v>147</v>
      </c>
      <c r="I81" s="238" t="s">
        <v>250</v>
      </c>
      <c r="J81" s="239">
        <v>31380</v>
      </c>
      <c r="K81" s="239">
        <v>38890</v>
      </c>
      <c r="L81" s="238" t="s">
        <v>646</v>
      </c>
      <c r="M81" s="237">
        <v>1</v>
      </c>
      <c r="N81" s="237"/>
      <c r="O81" s="238"/>
      <c r="P81" s="88" t="str">
        <f t="shared" si="1"/>
        <v>1</v>
      </c>
      <c r="Q81" s="88" t="str">
        <f>IFERROR(INDEX(Торг!$F:$F,MATCH($B81,Торг!$B:$B,0)),"Отсутствует")</f>
        <v>Y</v>
      </c>
      <c r="R81" s="36" t="str">
        <f>IFERROR(IF(AND(Q81="Отсутствует",VLOOKUP(A81,Торг!$A:$A,1,0)=A81),"Добавить","Есть"),"Новый")</f>
        <v>Есть</v>
      </c>
    </row>
    <row r="82" spans="1:18" ht="60" hidden="1">
      <c r="A82" s="238" t="s">
        <v>797</v>
      </c>
      <c r="B82" s="237">
        <v>132504</v>
      </c>
      <c r="C82" s="237">
        <v>120864</v>
      </c>
      <c r="D82" s="238" t="s">
        <v>423</v>
      </c>
      <c r="E82" s="238" t="s">
        <v>741</v>
      </c>
      <c r="F82" s="238"/>
      <c r="G82" s="238"/>
      <c r="H82" s="238" t="s">
        <v>244</v>
      </c>
      <c r="I82" s="238" t="s">
        <v>250</v>
      </c>
      <c r="J82" s="239">
        <v>32250</v>
      </c>
      <c r="K82" s="239">
        <v>39890</v>
      </c>
      <c r="L82" s="238"/>
      <c r="M82" s="237">
        <v>1</v>
      </c>
      <c r="N82" s="237"/>
      <c r="O82" s="238"/>
      <c r="P82" s="88" t="str">
        <f t="shared" si="1"/>
        <v>1</v>
      </c>
      <c r="Q82" s="88" t="str">
        <f>IFERROR(INDEX(Торг!$F:$F,MATCH($B82,Торг!$B:$B,0)),"Отсутствует")</f>
        <v>Y</v>
      </c>
      <c r="R82" s="36" t="str">
        <f>IFERROR(IF(AND(Q82="Отсутствует",VLOOKUP(A82,Торг!$A:$A,1,0)=A82),"Добавить","Есть"),"Новый")</f>
        <v>Есть</v>
      </c>
    </row>
    <row r="83" spans="1:18" ht="75" hidden="1">
      <c r="A83" s="238" t="s">
        <v>797</v>
      </c>
      <c r="B83" s="237">
        <v>132505</v>
      </c>
      <c r="C83" s="237">
        <v>120858</v>
      </c>
      <c r="D83" s="238" t="s">
        <v>798</v>
      </c>
      <c r="E83" s="238" t="s">
        <v>741</v>
      </c>
      <c r="F83" s="238"/>
      <c r="G83" s="238"/>
      <c r="H83" s="238" t="s">
        <v>244</v>
      </c>
      <c r="I83" s="238" t="s">
        <v>250</v>
      </c>
      <c r="J83" s="239">
        <v>32250</v>
      </c>
      <c r="K83" s="239">
        <v>39890</v>
      </c>
      <c r="L83" s="238"/>
      <c r="M83" s="237">
        <v>1</v>
      </c>
      <c r="N83" s="237"/>
      <c r="O83" s="238"/>
      <c r="P83" s="88" t="str">
        <f t="shared" si="1"/>
        <v>1</v>
      </c>
      <c r="Q83" s="88" t="str">
        <f>IFERROR(INDEX(Торг!$F:$F,MATCH($B83,Торг!$B:$B,0)),"Отсутствует")</f>
        <v>Y</v>
      </c>
      <c r="R83" s="36" t="str">
        <f>IFERROR(IF(AND(Q83="Отсутствует",VLOOKUP(A83,Торг!$A:$A,1,0)=A83),"Добавить","Есть"),"Новый")</f>
        <v>Есть</v>
      </c>
    </row>
    <row r="84" spans="1:18" ht="75" hidden="1">
      <c r="A84" s="238" t="s">
        <v>797</v>
      </c>
      <c r="B84" s="237">
        <v>132506</v>
      </c>
      <c r="C84" s="237">
        <v>120863</v>
      </c>
      <c r="D84" s="238" t="s">
        <v>424</v>
      </c>
      <c r="E84" s="238" t="s">
        <v>741</v>
      </c>
      <c r="F84" s="238"/>
      <c r="G84" s="238"/>
      <c r="H84" s="238" t="s">
        <v>244</v>
      </c>
      <c r="I84" s="238" t="s">
        <v>250</v>
      </c>
      <c r="J84" s="239">
        <v>32250</v>
      </c>
      <c r="K84" s="239">
        <v>39890</v>
      </c>
      <c r="L84" s="238"/>
      <c r="M84" s="237">
        <v>1</v>
      </c>
      <c r="N84" s="237"/>
      <c r="O84" s="238"/>
      <c r="P84" s="88" t="str">
        <f t="shared" si="1"/>
        <v>1</v>
      </c>
      <c r="Q84" s="88" t="str">
        <f>IFERROR(INDEX(Торг!$F:$F,MATCH($B84,Торг!$B:$B,0)),"Отсутствует")</f>
        <v>Y</v>
      </c>
      <c r="R84" s="36" t="str">
        <f>IFERROR(IF(AND(Q84="Отсутствует",VLOOKUP(A84,Торг!$A:$A,1,0)=A84),"Добавить","Есть"),"Новый")</f>
        <v>Есть</v>
      </c>
    </row>
    <row r="85" spans="1:18" ht="75" hidden="1">
      <c r="A85" s="238" t="s">
        <v>797</v>
      </c>
      <c r="B85" s="237">
        <v>132507</v>
      </c>
      <c r="C85" s="237">
        <v>120854</v>
      </c>
      <c r="D85" s="238" t="s">
        <v>425</v>
      </c>
      <c r="E85" s="238" t="s">
        <v>741</v>
      </c>
      <c r="F85" s="238"/>
      <c r="G85" s="238"/>
      <c r="H85" s="238" t="s">
        <v>244</v>
      </c>
      <c r="I85" s="238" t="s">
        <v>250</v>
      </c>
      <c r="J85" s="239">
        <v>32250</v>
      </c>
      <c r="K85" s="239">
        <v>39890</v>
      </c>
      <c r="L85" s="238"/>
      <c r="M85" s="237">
        <v>1</v>
      </c>
      <c r="N85" s="237"/>
      <c r="O85" s="238"/>
      <c r="P85" s="88" t="str">
        <f t="shared" si="1"/>
        <v>1</v>
      </c>
      <c r="Q85" s="88" t="str">
        <f>IFERROR(INDEX(Торг!$F:$F,MATCH($B85,Торг!$B:$B,0)),"Отсутствует")</f>
        <v>Y</v>
      </c>
      <c r="R85" s="36" t="str">
        <f>IFERROR(IF(AND(Q85="Отсутствует",VLOOKUP(A85,Торг!$A:$A,1,0)=A85),"Добавить","Есть"),"Новый")</f>
        <v>Есть</v>
      </c>
    </row>
    <row r="86" spans="1:18" ht="75" hidden="1">
      <c r="A86" s="238" t="s">
        <v>797</v>
      </c>
      <c r="B86" s="237">
        <v>132508</v>
      </c>
      <c r="C86" s="237">
        <v>120862</v>
      </c>
      <c r="D86" s="238" t="s">
        <v>426</v>
      </c>
      <c r="E86" s="238" t="s">
        <v>741</v>
      </c>
      <c r="F86" s="238"/>
      <c r="G86" s="238"/>
      <c r="H86" s="238" t="s">
        <v>244</v>
      </c>
      <c r="I86" s="238" t="s">
        <v>250</v>
      </c>
      <c r="J86" s="239">
        <v>32250</v>
      </c>
      <c r="K86" s="239">
        <v>39890</v>
      </c>
      <c r="L86" s="238"/>
      <c r="M86" s="237">
        <v>1</v>
      </c>
      <c r="N86" s="237"/>
      <c r="O86" s="238"/>
      <c r="P86" s="88" t="str">
        <f t="shared" si="1"/>
        <v>1</v>
      </c>
      <c r="Q86" s="88" t="str">
        <f>IFERROR(INDEX(Торг!$F:$F,MATCH($B86,Торг!$B:$B,0)),"Отсутствует")</f>
        <v>Y</v>
      </c>
      <c r="R86" s="36" t="str">
        <f>IFERROR(IF(AND(Q86="Отсутствует",VLOOKUP(A86,Торг!$A:$A,1,0)=A86),"Добавить","Есть"),"Новый")</f>
        <v>Есть</v>
      </c>
    </row>
    <row r="87" spans="1:18" ht="75" hidden="1">
      <c r="A87" s="238" t="s">
        <v>797</v>
      </c>
      <c r="B87" s="237">
        <v>132509</v>
      </c>
      <c r="C87" s="237">
        <v>120857</v>
      </c>
      <c r="D87" s="238" t="s">
        <v>427</v>
      </c>
      <c r="E87" s="238" t="s">
        <v>741</v>
      </c>
      <c r="F87" s="238"/>
      <c r="G87" s="238"/>
      <c r="H87" s="238" t="s">
        <v>244</v>
      </c>
      <c r="I87" s="238" t="s">
        <v>250</v>
      </c>
      <c r="J87" s="239">
        <v>32250</v>
      </c>
      <c r="K87" s="239">
        <v>39890</v>
      </c>
      <c r="L87" s="238"/>
      <c r="M87" s="237">
        <v>1</v>
      </c>
      <c r="N87" s="237"/>
      <c r="O87" s="238"/>
      <c r="P87" s="88" t="str">
        <f t="shared" si="1"/>
        <v>1</v>
      </c>
      <c r="Q87" s="88" t="str">
        <f>IFERROR(INDEX(Торг!$F:$F,MATCH($B87,Торг!$B:$B,0)),"Отсутствует")</f>
        <v>Y</v>
      </c>
      <c r="R87" s="36" t="str">
        <f>IFERROR(IF(AND(Q87="Отсутствует",VLOOKUP(A87,Торг!$A:$A,1,0)=A87),"Добавить","Есть"),"Новый")</f>
        <v>Есть</v>
      </c>
    </row>
    <row r="88" spans="1:18" ht="75" hidden="1">
      <c r="A88" s="238" t="s">
        <v>797</v>
      </c>
      <c r="B88" s="237">
        <v>132510</v>
      </c>
      <c r="C88" s="237">
        <v>120859</v>
      </c>
      <c r="D88" s="238" t="s">
        <v>428</v>
      </c>
      <c r="E88" s="238" t="s">
        <v>741</v>
      </c>
      <c r="F88" s="238"/>
      <c r="G88" s="238"/>
      <c r="H88" s="238" t="s">
        <v>244</v>
      </c>
      <c r="I88" s="238" t="s">
        <v>250</v>
      </c>
      <c r="J88" s="239">
        <v>32250</v>
      </c>
      <c r="K88" s="239">
        <v>39890</v>
      </c>
      <c r="L88" s="238"/>
      <c r="M88" s="237">
        <v>1</v>
      </c>
      <c r="N88" s="237"/>
      <c r="O88" s="238"/>
      <c r="P88" s="88" t="str">
        <f t="shared" si="1"/>
        <v>1</v>
      </c>
      <c r="Q88" s="88" t="str">
        <f>IFERROR(INDEX(Торг!$F:$F,MATCH($B88,Торг!$B:$B,0)),"Отсутствует")</f>
        <v>Y</v>
      </c>
      <c r="R88" s="36" t="str">
        <f>IFERROR(IF(AND(Q88="Отсутствует",VLOOKUP(A88,Торг!$A:$A,1,0)=A88),"Добавить","Есть"),"Новый")</f>
        <v>Есть</v>
      </c>
    </row>
    <row r="89" spans="1:18" ht="75" hidden="1">
      <c r="A89" s="238" t="s">
        <v>797</v>
      </c>
      <c r="B89" s="237">
        <v>132511</v>
      </c>
      <c r="C89" s="237">
        <v>120860</v>
      </c>
      <c r="D89" s="238" t="s">
        <v>429</v>
      </c>
      <c r="E89" s="238" t="s">
        <v>741</v>
      </c>
      <c r="F89" s="238"/>
      <c r="G89" s="238"/>
      <c r="H89" s="238" t="s">
        <v>244</v>
      </c>
      <c r="I89" s="238" t="s">
        <v>250</v>
      </c>
      <c r="J89" s="239">
        <v>32250</v>
      </c>
      <c r="K89" s="239">
        <v>39890</v>
      </c>
      <c r="L89" s="238"/>
      <c r="M89" s="237">
        <v>1</v>
      </c>
      <c r="N89" s="237"/>
      <c r="O89" s="238"/>
      <c r="P89" s="88" t="str">
        <f t="shared" si="1"/>
        <v>1</v>
      </c>
      <c r="Q89" s="88" t="str">
        <f>IFERROR(INDEX(Торг!$F:$F,MATCH($B89,Торг!$B:$B,0)),"Отсутствует")</f>
        <v>Y</v>
      </c>
      <c r="R89" s="36" t="str">
        <f>IFERROR(IF(AND(Q89="Отсутствует",VLOOKUP(A89,Торг!$A:$A,1,0)=A89),"Добавить","Есть"),"Новый")</f>
        <v>Есть</v>
      </c>
    </row>
    <row r="90" spans="1:18" ht="75" hidden="1">
      <c r="A90" s="238" t="s">
        <v>797</v>
      </c>
      <c r="B90" s="237">
        <v>132512</v>
      </c>
      <c r="C90" s="237">
        <v>120856</v>
      </c>
      <c r="D90" s="238" t="s">
        <v>430</v>
      </c>
      <c r="E90" s="238" t="s">
        <v>741</v>
      </c>
      <c r="F90" s="238"/>
      <c r="G90" s="238"/>
      <c r="H90" s="238" t="s">
        <v>244</v>
      </c>
      <c r="I90" s="238" t="s">
        <v>250</v>
      </c>
      <c r="J90" s="239">
        <v>32250</v>
      </c>
      <c r="K90" s="239">
        <v>39890</v>
      </c>
      <c r="L90" s="238"/>
      <c r="M90" s="237">
        <v>1</v>
      </c>
      <c r="N90" s="237"/>
      <c r="O90" s="238"/>
      <c r="P90" s="88" t="str">
        <f t="shared" si="1"/>
        <v>1</v>
      </c>
      <c r="Q90" s="88" t="str">
        <f>IFERROR(INDEX(Торг!$F:$F,MATCH($B90,Торг!$B:$B,0)),"Отсутствует")</f>
        <v>Y</v>
      </c>
      <c r="R90" s="36" t="str">
        <f>IFERROR(IF(AND(Q90="Отсутствует",VLOOKUP(A90,Торг!$A:$A,1,0)=A90),"Добавить","Есть"),"Новый")</f>
        <v>Есть</v>
      </c>
    </row>
    <row r="91" spans="1:18" ht="60" hidden="1">
      <c r="A91" s="238" t="s">
        <v>797</v>
      </c>
      <c r="B91" s="237">
        <v>132513</v>
      </c>
      <c r="C91" s="237">
        <v>120855</v>
      </c>
      <c r="D91" s="238" t="s">
        <v>431</v>
      </c>
      <c r="E91" s="238" t="s">
        <v>741</v>
      </c>
      <c r="F91" s="238"/>
      <c r="G91" s="238"/>
      <c r="H91" s="238" t="s">
        <v>244</v>
      </c>
      <c r="I91" s="238" t="s">
        <v>250</v>
      </c>
      <c r="J91" s="239">
        <v>32250</v>
      </c>
      <c r="K91" s="239">
        <v>39890</v>
      </c>
      <c r="L91" s="238"/>
      <c r="M91" s="237">
        <v>1</v>
      </c>
      <c r="N91" s="237"/>
      <c r="O91" s="238"/>
      <c r="P91" s="88" t="str">
        <f t="shared" si="1"/>
        <v>1</v>
      </c>
      <c r="Q91" s="88" t="str">
        <f>IFERROR(INDEX(Торг!$F:$F,MATCH($B91,Торг!$B:$B,0)),"Отсутствует")</f>
        <v>Y</v>
      </c>
      <c r="R91" s="36" t="str">
        <f>IFERROR(IF(AND(Q91="Отсутствует",VLOOKUP(A91,Торг!$A:$A,1,0)=A91),"Добавить","Есть"),"Новый")</f>
        <v>Есть</v>
      </c>
    </row>
    <row r="92" spans="1:18" ht="75" hidden="1">
      <c r="A92" s="238" t="s">
        <v>797</v>
      </c>
      <c r="B92" s="237">
        <v>132514</v>
      </c>
      <c r="C92" s="237">
        <v>120853</v>
      </c>
      <c r="D92" s="238" t="s">
        <v>432</v>
      </c>
      <c r="E92" s="238" t="s">
        <v>741</v>
      </c>
      <c r="F92" s="238"/>
      <c r="G92" s="238"/>
      <c r="H92" s="238" t="s">
        <v>244</v>
      </c>
      <c r="I92" s="238" t="s">
        <v>250</v>
      </c>
      <c r="J92" s="239">
        <v>32250</v>
      </c>
      <c r="K92" s="239">
        <v>39890</v>
      </c>
      <c r="L92" s="238"/>
      <c r="M92" s="237">
        <v>1</v>
      </c>
      <c r="N92" s="237"/>
      <c r="O92" s="238"/>
      <c r="P92" s="88" t="str">
        <f t="shared" si="1"/>
        <v>1</v>
      </c>
      <c r="Q92" s="88" t="str">
        <f>IFERROR(INDEX(Торг!$F:$F,MATCH($B92,Торг!$B:$B,0)),"Отсутствует")</f>
        <v>Y</v>
      </c>
      <c r="R92" s="36" t="str">
        <f>IFERROR(IF(AND(Q92="Отсутствует",VLOOKUP(A92,Торг!$A:$A,1,0)=A92),"Добавить","Есть"),"Новый")</f>
        <v>Есть</v>
      </c>
    </row>
    <row r="93" spans="1:18" ht="75" hidden="1">
      <c r="A93" s="238" t="s">
        <v>797</v>
      </c>
      <c r="B93" s="237">
        <v>132515</v>
      </c>
      <c r="C93" s="237">
        <v>120852</v>
      </c>
      <c r="D93" s="238" t="s">
        <v>433</v>
      </c>
      <c r="E93" s="238" t="s">
        <v>741</v>
      </c>
      <c r="F93" s="238"/>
      <c r="G93" s="238"/>
      <c r="H93" s="238" t="s">
        <v>244</v>
      </c>
      <c r="I93" s="238" t="s">
        <v>250</v>
      </c>
      <c r="J93" s="239">
        <v>32250</v>
      </c>
      <c r="K93" s="239">
        <v>39890</v>
      </c>
      <c r="L93" s="238"/>
      <c r="M93" s="237">
        <v>1</v>
      </c>
      <c r="N93" s="237"/>
      <c r="O93" s="238"/>
      <c r="P93" s="88" t="str">
        <f t="shared" si="1"/>
        <v>1</v>
      </c>
      <c r="Q93" s="88" t="str">
        <f>IFERROR(INDEX(Торг!$F:$F,MATCH($B93,Торг!$B:$B,0)),"Отсутствует")</f>
        <v>Y</v>
      </c>
      <c r="R93" s="36" t="str">
        <f>IFERROR(IF(AND(Q93="Отсутствует",VLOOKUP(A93,Торг!$A:$A,1,0)=A93),"Добавить","Есть"),"Новый")</f>
        <v>Есть</v>
      </c>
    </row>
    <row r="94" spans="1:18" ht="75" hidden="1">
      <c r="A94" s="238" t="s">
        <v>797</v>
      </c>
      <c r="B94" s="237">
        <v>132516</v>
      </c>
      <c r="C94" s="237">
        <v>120835</v>
      </c>
      <c r="D94" s="238" t="s">
        <v>434</v>
      </c>
      <c r="E94" s="238" t="s">
        <v>741</v>
      </c>
      <c r="F94" s="238"/>
      <c r="G94" s="238"/>
      <c r="H94" s="238" t="s">
        <v>244</v>
      </c>
      <c r="I94" s="238" t="s">
        <v>250</v>
      </c>
      <c r="J94" s="239">
        <v>31380</v>
      </c>
      <c r="K94" s="239">
        <v>38890</v>
      </c>
      <c r="L94" s="238"/>
      <c r="M94" s="237">
        <v>1</v>
      </c>
      <c r="N94" s="237"/>
      <c r="O94" s="238"/>
      <c r="P94" s="88" t="str">
        <f t="shared" si="1"/>
        <v>1</v>
      </c>
      <c r="Q94" s="88" t="str">
        <f>IFERROR(INDEX(Торг!$F:$F,MATCH($B94,Торг!$B:$B,0)),"Отсутствует")</f>
        <v>Y</v>
      </c>
      <c r="R94" s="36" t="str">
        <f>IFERROR(IF(AND(Q94="Отсутствует",VLOOKUP(A94,Торг!$A:$A,1,0)=A94),"Добавить","Есть"),"Новый")</f>
        <v>Есть</v>
      </c>
    </row>
    <row r="95" spans="1:18" ht="45" hidden="1">
      <c r="A95" s="238" t="s">
        <v>799</v>
      </c>
      <c r="B95" s="237">
        <v>132632</v>
      </c>
      <c r="C95" s="237">
        <v>109337</v>
      </c>
      <c r="D95" s="238" t="s">
        <v>411</v>
      </c>
      <c r="E95" s="238" t="s">
        <v>741</v>
      </c>
      <c r="F95" s="238"/>
      <c r="G95" s="238"/>
      <c r="H95" s="238" t="s">
        <v>147</v>
      </c>
      <c r="I95" s="238" t="s">
        <v>250</v>
      </c>
      <c r="J95" s="239">
        <v>32250</v>
      </c>
      <c r="K95" s="239">
        <v>39890</v>
      </c>
      <c r="L95" s="238"/>
      <c r="M95" s="237">
        <v>1</v>
      </c>
      <c r="N95" s="237"/>
      <c r="O95" s="238"/>
      <c r="P95" s="88" t="str">
        <f t="shared" si="1"/>
        <v>1</v>
      </c>
      <c r="Q95" s="88" t="str">
        <f>IFERROR(INDEX(Торг!$F:$F,MATCH($B95,Торг!$B:$B,0)),"Отсутствует")</f>
        <v>Y</v>
      </c>
      <c r="R95" s="36" t="str">
        <f>IFERROR(IF(AND(Q95="Отсутствует",VLOOKUP(A95,Торг!$A:$A,1,0)=A95),"Добавить","Есть"),"Новый")</f>
        <v>Есть</v>
      </c>
    </row>
    <row r="96" spans="1:18" ht="45" hidden="1">
      <c r="A96" s="238" t="s">
        <v>799</v>
      </c>
      <c r="B96" s="237">
        <v>132633</v>
      </c>
      <c r="C96" s="237">
        <v>109342</v>
      </c>
      <c r="D96" s="238" t="s">
        <v>412</v>
      </c>
      <c r="E96" s="238" t="s">
        <v>741</v>
      </c>
      <c r="F96" s="238"/>
      <c r="G96" s="238"/>
      <c r="H96" s="238" t="s">
        <v>147</v>
      </c>
      <c r="I96" s="238" t="s">
        <v>250</v>
      </c>
      <c r="J96" s="239">
        <v>32250</v>
      </c>
      <c r="K96" s="239">
        <v>39890</v>
      </c>
      <c r="L96" s="238"/>
      <c r="M96" s="237">
        <v>1</v>
      </c>
      <c r="N96" s="237"/>
      <c r="O96" s="238"/>
      <c r="P96" s="88" t="str">
        <f t="shared" si="1"/>
        <v>1</v>
      </c>
      <c r="Q96" s="88" t="str">
        <f>IFERROR(INDEX(Торг!$F:$F,MATCH($B96,Торг!$B:$B,0)),"Отсутствует")</f>
        <v>Y</v>
      </c>
      <c r="R96" s="36" t="str">
        <f>IFERROR(IF(AND(Q96="Отсутствует",VLOOKUP(A96,Торг!$A:$A,1,0)=A96),"Добавить","Есть"),"Новый")</f>
        <v>Есть</v>
      </c>
    </row>
    <row r="97" spans="1:18" ht="45" hidden="1">
      <c r="A97" s="238" t="s">
        <v>799</v>
      </c>
      <c r="B97" s="237">
        <v>132634</v>
      </c>
      <c r="C97" s="237">
        <v>109333</v>
      </c>
      <c r="D97" s="238" t="s">
        <v>413</v>
      </c>
      <c r="E97" s="238" t="s">
        <v>741</v>
      </c>
      <c r="F97" s="238"/>
      <c r="G97" s="238"/>
      <c r="H97" s="238" t="s">
        <v>147</v>
      </c>
      <c r="I97" s="238" t="s">
        <v>250</v>
      </c>
      <c r="J97" s="239">
        <v>32250</v>
      </c>
      <c r="K97" s="239">
        <v>39890</v>
      </c>
      <c r="L97" s="238"/>
      <c r="M97" s="237">
        <v>1</v>
      </c>
      <c r="N97" s="237"/>
      <c r="O97" s="238"/>
      <c r="P97" s="88" t="str">
        <f t="shared" si="1"/>
        <v>1</v>
      </c>
      <c r="Q97" s="88" t="str">
        <f>IFERROR(INDEX(Торг!$F:$F,MATCH($B97,Торг!$B:$B,0)),"Отсутствует")</f>
        <v>Y</v>
      </c>
      <c r="R97" s="36" t="str">
        <f>IFERROR(IF(AND(Q97="Отсутствует",VLOOKUP(A97,Торг!$A:$A,1,0)=A97),"Добавить","Есть"),"Новый")</f>
        <v>Есть</v>
      </c>
    </row>
    <row r="98" spans="1:18" ht="45" hidden="1">
      <c r="A98" s="238" t="s">
        <v>799</v>
      </c>
      <c r="B98" s="237">
        <v>132635</v>
      </c>
      <c r="C98" s="237">
        <v>109341</v>
      </c>
      <c r="D98" s="238" t="s">
        <v>414</v>
      </c>
      <c r="E98" s="238" t="s">
        <v>741</v>
      </c>
      <c r="F98" s="238"/>
      <c r="G98" s="238"/>
      <c r="H98" s="238" t="s">
        <v>147</v>
      </c>
      <c r="I98" s="238" t="s">
        <v>250</v>
      </c>
      <c r="J98" s="239">
        <v>32250</v>
      </c>
      <c r="K98" s="239">
        <v>39890</v>
      </c>
      <c r="L98" s="238"/>
      <c r="M98" s="237">
        <v>1</v>
      </c>
      <c r="N98" s="237"/>
      <c r="O98" s="238"/>
      <c r="P98" s="88" t="str">
        <f t="shared" si="1"/>
        <v>1</v>
      </c>
      <c r="Q98" s="88" t="str">
        <f>IFERROR(INDEX(Торг!$F:$F,MATCH($B98,Торг!$B:$B,0)),"Отсутствует")</f>
        <v>Y</v>
      </c>
      <c r="R98" s="36" t="str">
        <f>IFERROR(IF(AND(Q98="Отсутствует",VLOOKUP(A98,Торг!$A:$A,1,0)=A98),"Добавить","Есть"),"Новый")</f>
        <v>Есть</v>
      </c>
    </row>
    <row r="99" spans="1:18" ht="45" hidden="1">
      <c r="A99" s="238" t="s">
        <v>799</v>
      </c>
      <c r="B99" s="237">
        <v>132636</v>
      </c>
      <c r="C99" s="237">
        <v>109336</v>
      </c>
      <c r="D99" s="238" t="s">
        <v>415</v>
      </c>
      <c r="E99" s="238" t="s">
        <v>741</v>
      </c>
      <c r="F99" s="238"/>
      <c r="G99" s="238"/>
      <c r="H99" s="238" t="s">
        <v>147</v>
      </c>
      <c r="I99" s="238" t="s">
        <v>250</v>
      </c>
      <c r="J99" s="239">
        <v>32250</v>
      </c>
      <c r="K99" s="239">
        <v>39890</v>
      </c>
      <c r="L99" s="238"/>
      <c r="M99" s="237">
        <v>1</v>
      </c>
      <c r="N99" s="237"/>
      <c r="O99" s="238"/>
      <c r="P99" s="88" t="str">
        <f t="shared" si="1"/>
        <v>1</v>
      </c>
      <c r="Q99" s="88" t="str">
        <f>IFERROR(INDEX(Торг!$F:$F,MATCH($B99,Торг!$B:$B,0)),"Отсутствует")</f>
        <v>Y</v>
      </c>
      <c r="R99" s="36" t="str">
        <f>IFERROR(IF(AND(Q99="Отсутствует",VLOOKUP(A99,Торг!$A:$A,1,0)=A99),"Добавить","Есть"),"Новый")</f>
        <v>Есть</v>
      </c>
    </row>
    <row r="100" spans="1:18" ht="45" hidden="1">
      <c r="A100" s="238" t="s">
        <v>799</v>
      </c>
      <c r="B100" s="237">
        <v>132637</v>
      </c>
      <c r="C100" s="237">
        <v>109338</v>
      </c>
      <c r="D100" s="238" t="s">
        <v>416</v>
      </c>
      <c r="E100" s="238" t="s">
        <v>741</v>
      </c>
      <c r="F100" s="238"/>
      <c r="G100" s="238"/>
      <c r="H100" s="238" t="s">
        <v>147</v>
      </c>
      <c r="I100" s="238" t="s">
        <v>250</v>
      </c>
      <c r="J100" s="239">
        <v>32250</v>
      </c>
      <c r="K100" s="239">
        <v>39890</v>
      </c>
      <c r="L100" s="238"/>
      <c r="M100" s="237">
        <v>1</v>
      </c>
      <c r="N100" s="237"/>
      <c r="O100" s="238"/>
      <c r="P100" s="88" t="str">
        <f t="shared" si="1"/>
        <v>1</v>
      </c>
      <c r="Q100" s="88" t="str">
        <f>IFERROR(INDEX(Торг!$F:$F,MATCH($B100,Торг!$B:$B,0)),"Отсутствует")</f>
        <v>Y</v>
      </c>
      <c r="R100" s="36" t="str">
        <f>IFERROR(IF(AND(Q100="Отсутствует",VLOOKUP(A100,Торг!$A:$A,1,0)=A100),"Добавить","Есть"),"Новый")</f>
        <v>Есть</v>
      </c>
    </row>
    <row r="101" spans="1:18" ht="45" hidden="1">
      <c r="A101" s="238" t="s">
        <v>799</v>
      </c>
      <c r="B101" s="237">
        <v>132638</v>
      </c>
      <c r="C101" s="237">
        <v>109340</v>
      </c>
      <c r="D101" s="238" t="s">
        <v>417</v>
      </c>
      <c r="E101" s="238" t="s">
        <v>741</v>
      </c>
      <c r="F101" s="238"/>
      <c r="G101" s="238"/>
      <c r="H101" s="238" t="s">
        <v>147</v>
      </c>
      <c r="I101" s="238" t="s">
        <v>250</v>
      </c>
      <c r="J101" s="239">
        <v>32250</v>
      </c>
      <c r="K101" s="239">
        <v>39890</v>
      </c>
      <c r="L101" s="238"/>
      <c r="M101" s="237">
        <v>1</v>
      </c>
      <c r="N101" s="237"/>
      <c r="O101" s="238"/>
      <c r="P101" s="88" t="str">
        <f t="shared" si="1"/>
        <v>1</v>
      </c>
      <c r="Q101" s="88" t="str">
        <f>IFERROR(INDEX(Торг!$F:$F,MATCH($B101,Торг!$B:$B,0)),"Отсутствует")</f>
        <v>Y</v>
      </c>
      <c r="R101" s="36" t="str">
        <f>IFERROR(IF(AND(Q101="Отсутствует",VLOOKUP(A101,Торг!$A:$A,1,0)=A101),"Добавить","Есть"),"Новый")</f>
        <v>Есть</v>
      </c>
    </row>
    <row r="102" spans="1:18" ht="45" hidden="1">
      <c r="A102" s="238" t="s">
        <v>799</v>
      </c>
      <c r="B102" s="237">
        <v>132639</v>
      </c>
      <c r="C102" s="237">
        <v>109335</v>
      </c>
      <c r="D102" s="238" t="s">
        <v>418</v>
      </c>
      <c r="E102" s="238" t="s">
        <v>741</v>
      </c>
      <c r="F102" s="238"/>
      <c r="G102" s="238"/>
      <c r="H102" s="238" t="s">
        <v>147</v>
      </c>
      <c r="I102" s="238" t="s">
        <v>250</v>
      </c>
      <c r="J102" s="239">
        <v>32250</v>
      </c>
      <c r="K102" s="239">
        <v>39890</v>
      </c>
      <c r="L102" s="238"/>
      <c r="M102" s="237">
        <v>1</v>
      </c>
      <c r="N102" s="237"/>
      <c r="O102" s="238"/>
      <c r="P102" s="88" t="str">
        <f t="shared" si="1"/>
        <v>1</v>
      </c>
      <c r="Q102" s="88" t="str">
        <f>IFERROR(INDEX(Торг!$F:$F,MATCH($B102,Торг!$B:$B,0)),"Отсутствует")</f>
        <v>Y</v>
      </c>
      <c r="R102" s="36" t="str">
        <f>IFERROR(IF(AND(Q102="Отсутствует",VLOOKUP(A102,Торг!$A:$A,1,0)=A102),"Добавить","Есть"),"Новый")</f>
        <v>Есть</v>
      </c>
    </row>
    <row r="103" spans="1:18" ht="45" hidden="1">
      <c r="A103" s="238" t="s">
        <v>799</v>
      </c>
      <c r="B103" s="237">
        <v>132640</v>
      </c>
      <c r="C103" s="237">
        <v>109334</v>
      </c>
      <c r="D103" s="238" t="s">
        <v>419</v>
      </c>
      <c r="E103" s="238" t="s">
        <v>741</v>
      </c>
      <c r="F103" s="238"/>
      <c r="G103" s="238"/>
      <c r="H103" s="238" t="s">
        <v>147</v>
      </c>
      <c r="I103" s="238" t="s">
        <v>250</v>
      </c>
      <c r="J103" s="239">
        <v>32250</v>
      </c>
      <c r="K103" s="239">
        <v>39890</v>
      </c>
      <c r="L103" s="238"/>
      <c r="M103" s="237">
        <v>1</v>
      </c>
      <c r="N103" s="237"/>
      <c r="O103" s="238"/>
      <c r="P103" s="88" t="str">
        <f t="shared" si="1"/>
        <v>1</v>
      </c>
      <c r="Q103" s="88" t="str">
        <f>IFERROR(INDEX(Торг!$F:$F,MATCH($B103,Торг!$B:$B,0)),"Отсутствует")</f>
        <v>Y</v>
      </c>
      <c r="R103" s="36" t="str">
        <f>IFERROR(IF(AND(Q103="Отсутствует",VLOOKUP(A103,Торг!$A:$A,1,0)=A103),"Добавить","Есть"),"Новый")</f>
        <v>Есть</v>
      </c>
    </row>
    <row r="104" spans="1:18" ht="45" hidden="1">
      <c r="A104" s="238" t="s">
        <v>799</v>
      </c>
      <c r="B104" s="237">
        <v>132641</v>
      </c>
      <c r="C104" s="237">
        <v>109332</v>
      </c>
      <c r="D104" s="238" t="s">
        <v>420</v>
      </c>
      <c r="E104" s="238" t="s">
        <v>741</v>
      </c>
      <c r="F104" s="238"/>
      <c r="G104" s="238"/>
      <c r="H104" s="238" t="s">
        <v>147</v>
      </c>
      <c r="I104" s="238" t="s">
        <v>250</v>
      </c>
      <c r="J104" s="239">
        <v>32250</v>
      </c>
      <c r="K104" s="239">
        <v>39890</v>
      </c>
      <c r="L104" s="238"/>
      <c r="M104" s="237">
        <v>1</v>
      </c>
      <c r="N104" s="237"/>
      <c r="O104" s="238"/>
      <c r="P104" s="88" t="str">
        <f t="shared" si="1"/>
        <v>1</v>
      </c>
      <c r="Q104" s="88" t="str">
        <f>IFERROR(INDEX(Торг!$F:$F,MATCH($B104,Торг!$B:$B,0)),"Отсутствует")</f>
        <v>Y</v>
      </c>
      <c r="R104" s="36" t="str">
        <f>IFERROR(IF(AND(Q104="Отсутствует",VLOOKUP(A104,Торг!$A:$A,1,0)=A104),"Добавить","Есть"),"Новый")</f>
        <v>Есть</v>
      </c>
    </row>
    <row r="105" spans="1:18" ht="45" hidden="1">
      <c r="A105" s="238" t="s">
        <v>799</v>
      </c>
      <c r="B105" s="237">
        <v>132642</v>
      </c>
      <c r="C105" s="237">
        <v>109331</v>
      </c>
      <c r="D105" s="238" t="s">
        <v>421</v>
      </c>
      <c r="E105" s="238" t="s">
        <v>741</v>
      </c>
      <c r="F105" s="238"/>
      <c r="G105" s="238"/>
      <c r="H105" s="238" t="s">
        <v>147</v>
      </c>
      <c r="I105" s="238" t="s">
        <v>250</v>
      </c>
      <c r="J105" s="239">
        <v>32250</v>
      </c>
      <c r="K105" s="239">
        <v>39890</v>
      </c>
      <c r="L105" s="238"/>
      <c r="M105" s="237">
        <v>1</v>
      </c>
      <c r="N105" s="237"/>
      <c r="O105" s="238"/>
      <c r="P105" s="88" t="str">
        <f t="shared" si="1"/>
        <v>1</v>
      </c>
      <c r="Q105" s="88" t="str">
        <f>IFERROR(INDEX(Торг!$F:$F,MATCH($B105,Торг!$B:$B,0)),"Отсутствует")</f>
        <v>Y</v>
      </c>
      <c r="R105" s="36" t="str">
        <f>IFERROR(IF(AND(Q105="Отсутствует",VLOOKUP(A105,Торг!$A:$A,1,0)=A105),"Добавить","Есть"),"Новый")</f>
        <v>Есть</v>
      </c>
    </row>
    <row r="106" spans="1:18" ht="45" hidden="1">
      <c r="A106" s="238" t="s">
        <v>799</v>
      </c>
      <c r="B106" s="237">
        <v>132643</v>
      </c>
      <c r="C106" s="237">
        <v>109339</v>
      </c>
      <c r="D106" s="238" t="s">
        <v>422</v>
      </c>
      <c r="E106" s="238" t="s">
        <v>741</v>
      </c>
      <c r="F106" s="238"/>
      <c r="G106" s="238"/>
      <c r="H106" s="238" t="s">
        <v>147</v>
      </c>
      <c r="I106" s="238" t="s">
        <v>250</v>
      </c>
      <c r="J106" s="239">
        <v>31380</v>
      </c>
      <c r="K106" s="239">
        <v>38890</v>
      </c>
      <c r="L106" s="238"/>
      <c r="M106" s="237">
        <v>1</v>
      </c>
      <c r="N106" s="237"/>
      <c r="O106" s="238"/>
      <c r="P106" s="88" t="str">
        <f t="shared" si="1"/>
        <v>1</v>
      </c>
      <c r="Q106" s="88" t="str">
        <f>IFERROR(INDEX(Торг!$F:$F,MATCH($B106,Торг!$B:$B,0)),"Отсутствует")</f>
        <v>Y</v>
      </c>
      <c r="R106" s="36" t="str">
        <f>IFERROR(IF(AND(Q106="Отсутствует",VLOOKUP(A106,Торг!$A:$A,1,0)=A106),"Добавить","Есть"),"Новый")</f>
        <v>Есть</v>
      </c>
    </row>
    <row r="107" spans="1:18" ht="60" hidden="1">
      <c r="A107" s="238" t="s">
        <v>800</v>
      </c>
      <c r="B107" s="237">
        <v>256961</v>
      </c>
      <c r="C107" s="237">
        <v>208127</v>
      </c>
      <c r="D107" s="238" t="s">
        <v>899</v>
      </c>
      <c r="E107" s="238" t="s">
        <v>741</v>
      </c>
      <c r="F107" s="238"/>
      <c r="G107" s="238"/>
      <c r="H107" s="238" t="s">
        <v>116</v>
      </c>
      <c r="I107" s="238" t="s">
        <v>250</v>
      </c>
      <c r="J107" s="239">
        <v>41120</v>
      </c>
      <c r="K107" s="239">
        <v>50890</v>
      </c>
      <c r="L107" s="238" t="s">
        <v>648</v>
      </c>
      <c r="M107" s="237">
        <v>1</v>
      </c>
      <c r="N107" s="237"/>
      <c r="O107" s="238"/>
      <c r="P107" s="88" t="str">
        <f t="shared" si="1"/>
        <v>1</v>
      </c>
      <c r="Q107" s="88" t="str">
        <f>IFERROR(INDEX(Торг!$F:$F,MATCH($B107,Торг!$B:$B,0)),"Отсутствует")</f>
        <v>Y</v>
      </c>
      <c r="R107" s="36" t="str">
        <f>IFERROR(IF(AND(Q107="Отсутствует",VLOOKUP(A107,Торг!$A:$A,1,0)=A107),"Добавить","Есть"),"Новый")</f>
        <v>Есть</v>
      </c>
    </row>
    <row r="108" spans="1:18" ht="60" hidden="1">
      <c r="A108" s="238" t="s">
        <v>800</v>
      </c>
      <c r="B108" s="237">
        <v>341353</v>
      </c>
      <c r="C108" s="237">
        <v>341353</v>
      </c>
      <c r="D108" s="238" t="s">
        <v>900</v>
      </c>
      <c r="E108" s="238" t="s">
        <v>741</v>
      </c>
      <c r="F108" s="238"/>
      <c r="G108" s="238"/>
      <c r="H108" s="238" t="s">
        <v>116</v>
      </c>
      <c r="I108" s="238" t="s">
        <v>250</v>
      </c>
      <c r="J108" s="239">
        <v>41950</v>
      </c>
      <c r="K108" s="239">
        <v>51890</v>
      </c>
      <c r="L108" s="238" t="s">
        <v>648</v>
      </c>
      <c r="M108" s="237">
        <v>1</v>
      </c>
      <c r="N108" s="237"/>
      <c r="O108" s="238"/>
      <c r="P108" s="88" t="str">
        <f t="shared" si="1"/>
        <v>1</v>
      </c>
      <c r="Q108" s="88" t="str">
        <f>IFERROR(INDEX(Торг!$F:$F,MATCH($B108,Торг!$B:$B,0)),"Отсутствует")</f>
        <v>Y</v>
      </c>
      <c r="R108" s="36" t="str">
        <f>IFERROR(IF(AND(Q108="Отсутствует",VLOOKUP(A108,Торг!$A:$A,1,0)=A108),"Добавить","Есть"),"Новый")</f>
        <v>Есть</v>
      </c>
    </row>
    <row r="109" spans="1:18" ht="60" hidden="1">
      <c r="A109" s="238" t="s">
        <v>800</v>
      </c>
      <c r="B109" s="237">
        <v>256962</v>
      </c>
      <c r="C109" s="237">
        <v>208120</v>
      </c>
      <c r="D109" s="238" t="s">
        <v>901</v>
      </c>
      <c r="E109" s="238" t="s">
        <v>741</v>
      </c>
      <c r="F109" s="238"/>
      <c r="G109" s="238"/>
      <c r="H109" s="238" t="s">
        <v>116</v>
      </c>
      <c r="I109" s="238" t="s">
        <v>250</v>
      </c>
      <c r="J109" s="239">
        <v>41120</v>
      </c>
      <c r="K109" s="239">
        <v>50890</v>
      </c>
      <c r="L109" s="238" t="s">
        <v>648</v>
      </c>
      <c r="M109" s="237">
        <v>1</v>
      </c>
      <c r="N109" s="237"/>
      <c r="O109" s="238"/>
      <c r="P109" s="88" t="str">
        <f t="shared" si="1"/>
        <v>1</v>
      </c>
      <c r="Q109" s="88" t="str">
        <f>IFERROR(INDEX(Торг!$F:$F,MATCH($B109,Торг!$B:$B,0)),"Отсутствует")</f>
        <v>Y</v>
      </c>
      <c r="R109" s="36" t="str">
        <f>IFERROR(IF(AND(Q109="Отсутствует",VLOOKUP(A109,Торг!$A:$A,1,0)=A109),"Добавить","Есть"),"Новый")</f>
        <v>Есть</v>
      </c>
    </row>
    <row r="110" spans="1:18" ht="60" hidden="1">
      <c r="A110" s="238" t="s">
        <v>800</v>
      </c>
      <c r="B110" s="237">
        <v>341365</v>
      </c>
      <c r="C110" s="237">
        <v>341365</v>
      </c>
      <c r="D110" s="238" t="s">
        <v>902</v>
      </c>
      <c r="E110" s="238" t="s">
        <v>741</v>
      </c>
      <c r="F110" s="238"/>
      <c r="G110" s="238"/>
      <c r="H110" s="238" t="s">
        <v>116</v>
      </c>
      <c r="I110" s="238" t="s">
        <v>250</v>
      </c>
      <c r="J110" s="239">
        <v>41950</v>
      </c>
      <c r="K110" s="239">
        <v>51890</v>
      </c>
      <c r="L110" s="238" t="s">
        <v>648</v>
      </c>
      <c r="M110" s="237">
        <v>1</v>
      </c>
      <c r="N110" s="237"/>
      <c r="O110" s="238"/>
      <c r="P110" s="88" t="str">
        <f t="shared" si="1"/>
        <v>1</v>
      </c>
      <c r="Q110" s="88" t="str">
        <f>IFERROR(INDEX(Торг!$F:$F,MATCH($B110,Торг!$B:$B,0)),"Отсутствует")</f>
        <v>Y</v>
      </c>
      <c r="R110" s="36" t="str">
        <f>IFERROR(IF(AND(Q110="Отсутствует",VLOOKUP(A110,Торг!$A:$A,1,0)=A110),"Добавить","Есть"),"Новый")</f>
        <v>Есть</v>
      </c>
    </row>
    <row r="111" spans="1:18" ht="60" hidden="1">
      <c r="A111" s="238" t="s">
        <v>800</v>
      </c>
      <c r="B111" s="237">
        <v>256963</v>
      </c>
      <c r="C111" s="237">
        <v>208125</v>
      </c>
      <c r="D111" s="238" t="s">
        <v>903</v>
      </c>
      <c r="E111" s="238" t="s">
        <v>741</v>
      </c>
      <c r="F111" s="238"/>
      <c r="G111" s="238"/>
      <c r="H111" s="238" t="s">
        <v>116</v>
      </c>
      <c r="I111" s="238" t="s">
        <v>250</v>
      </c>
      <c r="J111" s="239">
        <v>41120</v>
      </c>
      <c r="K111" s="239">
        <v>50890</v>
      </c>
      <c r="L111" s="238" t="s">
        <v>648</v>
      </c>
      <c r="M111" s="237">
        <v>1</v>
      </c>
      <c r="N111" s="237"/>
      <c r="O111" s="238"/>
      <c r="P111" s="88" t="str">
        <f t="shared" si="1"/>
        <v>1</v>
      </c>
      <c r="Q111" s="88" t="str">
        <f>IFERROR(INDEX(Торг!$F:$F,MATCH($B111,Торг!$B:$B,0)),"Отсутствует")</f>
        <v>Y</v>
      </c>
      <c r="R111" s="36" t="str">
        <f>IFERROR(IF(AND(Q111="Отсутствует",VLOOKUP(A111,Торг!$A:$A,1,0)=A111),"Добавить","Есть"),"Новый")</f>
        <v>Есть</v>
      </c>
    </row>
    <row r="112" spans="1:18" ht="60" hidden="1">
      <c r="A112" s="238" t="s">
        <v>800</v>
      </c>
      <c r="B112" s="237">
        <v>341364</v>
      </c>
      <c r="C112" s="237">
        <v>341364</v>
      </c>
      <c r="D112" s="238" t="s">
        <v>904</v>
      </c>
      <c r="E112" s="238" t="s">
        <v>741</v>
      </c>
      <c r="F112" s="238"/>
      <c r="G112" s="238"/>
      <c r="H112" s="238" t="s">
        <v>116</v>
      </c>
      <c r="I112" s="238" t="s">
        <v>250</v>
      </c>
      <c r="J112" s="239">
        <v>41950</v>
      </c>
      <c r="K112" s="239">
        <v>51890</v>
      </c>
      <c r="L112" s="238" t="s">
        <v>648</v>
      </c>
      <c r="M112" s="237">
        <v>1</v>
      </c>
      <c r="N112" s="237"/>
      <c r="O112" s="238"/>
      <c r="P112" s="88" t="str">
        <f t="shared" si="1"/>
        <v>1</v>
      </c>
      <c r="Q112" s="88" t="str">
        <f>IFERROR(INDEX(Торг!$F:$F,MATCH($B112,Торг!$B:$B,0)),"Отсутствует")</f>
        <v>Y</v>
      </c>
      <c r="R112" s="36" t="str">
        <f>IFERROR(IF(AND(Q112="Отсутствует",VLOOKUP(A112,Торг!$A:$A,1,0)=A112),"Добавить","Есть"),"Новый")</f>
        <v>Есть</v>
      </c>
    </row>
    <row r="113" spans="1:18" ht="60" hidden="1">
      <c r="A113" s="238" t="s">
        <v>800</v>
      </c>
      <c r="B113" s="237">
        <v>341356</v>
      </c>
      <c r="C113" s="237">
        <v>341356</v>
      </c>
      <c r="D113" s="238" t="s">
        <v>905</v>
      </c>
      <c r="E113" s="238" t="s">
        <v>741</v>
      </c>
      <c r="F113" s="238"/>
      <c r="G113" s="238"/>
      <c r="H113" s="238" t="s">
        <v>116</v>
      </c>
      <c r="I113" s="238" t="s">
        <v>250</v>
      </c>
      <c r="J113" s="239">
        <v>41950</v>
      </c>
      <c r="K113" s="239">
        <v>51890</v>
      </c>
      <c r="L113" s="238" t="s">
        <v>648</v>
      </c>
      <c r="M113" s="237">
        <v>1</v>
      </c>
      <c r="N113" s="237"/>
      <c r="O113" s="238"/>
      <c r="P113" s="88" t="str">
        <f t="shared" si="1"/>
        <v>1</v>
      </c>
      <c r="Q113" s="88" t="str">
        <f>IFERROR(INDEX(Торг!$F:$F,MATCH($B113,Торг!$B:$B,0)),"Отсутствует")</f>
        <v>Y</v>
      </c>
      <c r="R113" s="36" t="str">
        <f>IFERROR(IF(AND(Q113="Отсутствует",VLOOKUP(A113,Торг!$A:$A,1,0)=A113),"Добавить","Есть"),"Новый")</f>
        <v>Есть</v>
      </c>
    </row>
    <row r="114" spans="1:18" ht="60" hidden="1">
      <c r="A114" s="238" t="s">
        <v>800</v>
      </c>
      <c r="B114" s="237">
        <v>256965</v>
      </c>
      <c r="C114" s="237">
        <v>208124</v>
      </c>
      <c r="D114" s="238" t="s">
        <v>906</v>
      </c>
      <c r="E114" s="238" t="s">
        <v>741</v>
      </c>
      <c r="F114" s="238"/>
      <c r="G114" s="238"/>
      <c r="H114" s="238" t="s">
        <v>116</v>
      </c>
      <c r="I114" s="238" t="s">
        <v>250</v>
      </c>
      <c r="J114" s="239">
        <v>41120</v>
      </c>
      <c r="K114" s="239">
        <v>50890</v>
      </c>
      <c r="L114" s="238" t="s">
        <v>648</v>
      </c>
      <c r="M114" s="237">
        <v>1</v>
      </c>
      <c r="N114" s="237">
        <v>5</v>
      </c>
      <c r="O114" s="238"/>
      <c r="P114" s="88" t="str">
        <f t="shared" si="1"/>
        <v>1ск5</v>
      </c>
      <c r="Q114" s="88" t="str">
        <f>IFERROR(INDEX(Торг!$F:$F,MATCH($B114,Торг!$B:$B,0)),"Отсутствует")</f>
        <v>Y</v>
      </c>
      <c r="R114" s="36" t="str">
        <f>IFERROR(IF(AND(Q114="Отсутствует",VLOOKUP(A114,Торг!$A:$A,1,0)=A114),"Добавить","Есть"),"Новый")</f>
        <v>Есть</v>
      </c>
    </row>
    <row r="115" spans="1:18" ht="60" hidden="1">
      <c r="A115" s="238" t="s">
        <v>800</v>
      </c>
      <c r="B115" s="237">
        <v>341357</v>
      </c>
      <c r="C115" s="237">
        <v>341357</v>
      </c>
      <c r="D115" s="238" t="s">
        <v>907</v>
      </c>
      <c r="E115" s="238" t="s">
        <v>741</v>
      </c>
      <c r="F115" s="238"/>
      <c r="G115" s="238"/>
      <c r="H115" s="238" t="s">
        <v>116</v>
      </c>
      <c r="I115" s="238" t="s">
        <v>250</v>
      </c>
      <c r="J115" s="239">
        <v>41950</v>
      </c>
      <c r="K115" s="239">
        <v>51890</v>
      </c>
      <c r="L115" s="238" t="s">
        <v>648</v>
      </c>
      <c r="M115" s="237">
        <v>1</v>
      </c>
      <c r="N115" s="237"/>
      <c r="O115" s="238"/>
      <c r="P115" s="88" t="str">
        <f t="shared" si="1"/>
        <v>1</v>
      </c>
      <c r="Q115" s="88" t="str">
        <f>IFERROR(INDEX(Торг!$F:$F,MATCH($B115,Торг!$B:$B,0)),"Отсутствует")</f>
        <v>Y</v>
      </c>
      <c r="R115" s="36" t="str">
        <f>IFERROR(IF(AND(Q115="Отсутствует",VLOOKUP(A115,Торг!$A:$A,1,0)=A115),"Добавить","Есть"),"Новый")</f>
        <v>Есть</v>
      </c>
    </row>
    <row r="116" spans="1:18" ht="60" hidden="1">
      <c r="A116" s="238" t="s">
        <v>800</v>
      </c>
      <c r="B116" s="237">
        <v>256966</v>
      </c>
      <c r="C116" s="237">
        <v>208119</v>
      </c>
      <c r="D116" s="238" t="s">
        <v>908</v>
      </c>
      <c r="E116" s="238" t="s">
        <v>741</v>
      </c>
      <c r="F116" s="238"/>
      <c r="G116" s="238"/>
      <c r="H116" s="238" t="s">
        <v>116</v>
      </c>
      <c r="I116" s="238" t="s">
        <v>250</v>
      </c>
      <c r="J116" s="239">
        <v>41120</v>
      </c>
      <c r="K116" s="239">
        <v>50890</v>
      </c>
      <c r="L116" s="238" t="s">
        <v>648</v>
      </c>
      <c r="M116" s="237">
        <v>1</v>
      </c>
      <c r="N116" s="237"/>
      <c r="O116" s="238"/>
      <c r="P116" s="88" t="str">
        <f t="shared" si="1"/>
        <v>1</v>
      </c>
      <c r="Q116" s="88" t="str">
        <f>IFERROR(INDEX(Торг!$F:$F,MATCH($B116,Торг!$B:$B,0)),"Отсутствует")</f>
        <v>Y</v>
      </c>
      <c r="R116" s="36" t="str">
        <f>IFERROR(IF(AND(Q116="Отсутствует",VLOOKUP(A116,Торг!$A:$A,1,0)=A116),"Добавить","Есть"),"Новый")</f>
        <v>Есть</v>
      </c>
    </row>
    <row r="117" spans="1:18" ht="60" hidden="1">
      <c r="A117" s="238" t="s">
        <v>800</v>
      </c>
      <c r="B117" s="237">
        <v>341358</v>
      </c>
      <c r="C117" s="237">
        <v>341358</v>
      </c>
      <c r="D117" s="238" t="s">
        <v>909</v>
      </c>
      <c r="E117" s="238" t="s">
        <v>741</v>
      </c>
      <c r="F117" s="238"/>
      <c r="G117" s="238"/>
      <c r="H117" s="238" t="s">
        <v>116</v>
      </c>
      <c r="I117" s="238" t="s">
        <v>250</v>
      </c>
      <c r="J117" s="239">
        <v>41950</v>
      </c>
      <c r="K117" s="239">
        <v>51890</v>
      </c>
      <c r="L117" s="238" t="s">
        <v>648</v>
      </c>
      <c r="M117" s="237">
        <v>1</v>
      </c>
      <c r="N117" s="237"/>
      <c r="O117" s="238"/>
      <c r="P117" s="88" t="str">
        <f t="shared" si="1"/>
        <v>1</v>
      </c>
      <c r="Q117" s="88" t="str">
        <f>IFERROR(INDEX(Торг!$F:$F,MATCH($B117,Торг!$B:$B,0)),"Отсутствует")</f>
        <v>Y</v>
      </c>
      <c r="R117" s="36" t="str">
        <f>IFERROR(IF(AND(Q117="Отсутствует",VLOOKUP(A117,Торг!$A:$A,1,0)=A117),"Добавить","Есть"),"Новый")</f>
        <v>Есть</v>
      </c>
    </row>
    <row r="118" spans="1:18" ht="60" hidden="1">
      <c r="A118" s="238" t="s">
        <v>800</v>
      </c>
      <c r="B118" s="237">
        <v>256967</v>
      </c>
      <c r="C118" s="237">
        <v>208121</v>
      </c>
      <c r="D118" s="238" t="s">
        <v>910</v>
      </c>
      <c r="E118" s="238" t="s">
        <v>741</v>
      </c>
      <c r="F118" s="238"/>
      <c r="G118" s="238"/>
      <c r="H118" s="238" t="s">
        <v>116</v>
      </c>
      <c r="I118" s="238" t="s">
        <v>250</v>
      </c>
      <c r="J118" s="239">
        <v>41120</v>
      </c>
      <c r="K118" s="239">
        <v>50890</v>
      </c>
      <c r="L118" s="238" t="s">
        <v>648</v>
      </c>
      <c r="M118" s="237">
        <v>1</v>
      </c>
      <c r="N118" s="237"/>
      <c r="O118" s="238"/>
      <c r="P118" s="88" t="str">
        <f t="shared" si="1"/>
        <v>1</v>
      </c>
      <c r="Q118" s="88" t="str">
        <f>IFERROR(INDEX(Торг!$F:$F,MATCH($B118,Торг!$B:$B,0)),"Отсутствует")</f>
        <v>Y</v>
      </c>
      <c r="R118" s="36" t="str">
        <f>IFERROR(IF(AND(Q118="Отсутствует",VLOOKUP(A118,Торг!$A:$A,1,0)=A118),"Добавить","Есть"),"Новый")</f>
        <v>Есть</v>
      </c>
    </row>
    <row r="119" spans="1:18" ht="60" hidden="1">
      <c r="A119" s="238" t="s">
        <v>800</v>
      </c>
      <c r="B119" s="237">
        <v>341359</v>
      </c>
      <c r="C119" s="237">
        <v>341359</v>
      </c>
      <c r="D119" s="238" t="s">
        <v>911</v>
      </c>
      <c r="E119" s="238" t="s">
        <v>741</v>
      </c>
      <c r="F119" s="238"/>
      <c r="G119" s="238"/>
      <c r="H119" s="238" t="s">
        <v>116</v>
      </c>
      <c r="I119" s="238" t="s">
        <v>250</v>
      </c>
      <c r="J119" s="239">
        <v>41950</v>
      </c>
      <c r="K119" s="239">
        <v>51890</v>
      </c>
      <c r="L119" s="238" t="s">
        <v>648</v>
      </c>
      <c r="M119" s="237">
        <v>1</v>
      </c>
      <c r="N119" s="237"/>
      <c r="O119" s="238"/>
      <c r="P119" s="88" t="str">
        <f t="shared" si="1"/>
        <v>1</v>
      </c>
      <c r="Q119" s="88" t="str">
        <f>IFERROR(INDEX(Торг!$F:$F,MATCH($B119,Торг!$B:$B,0)),"Отсутствует")</f>
        <v>Y</v>
      </c>
      <c r="R119" s="36" t="str">
        <f>IFERROR(IF(AND(Q119="Отсутствует",VLOOKUP(A119,Торг!$A:$A,1,0)=A119),"Добавить","Есть"),"Новый")</f>
        <v>Есть</v>
      </c>
    </row>
    <row r="120" spans="1:18" ht="60" hidden="1">
      <c r="A120" s="238" t="s">
        <v>800</v>
      </c>
      <c r="B120" s="237">
        <v>256968</v>
      </c>
      <c r="C120" s="237">
        <v>208123</v>
      </c>
      <c r="D120" s="238" t="s">
        <v>912</v>
      </c>
      <c r="E120" s="238" t="s">
        <v>741</v>
      </c>
      <c r="F120" s="238"/>
      <c r="G120" s="238"/>
      <c r="H120" s="238" t="s">
        <v>116</v>
      </c>
      <c r="I120" s="238" t="s">
        <v>250</v>
      </c>
      <c r="J120" s="239">
        <v>41120</v>
      </c>
      <c r="K120" s="239">
        <v>50890</v>
      </c>
      <c r="L120" s="238" t="s">
        <v>648</v>
      </c>
      <c r="M120" s="237">
        <v>1</v>
      </c>
      <c r="N120" s="237"/>
      <c r="O120" s="238"/>
      <c r="P120" s="88" t="str">
        <f t="shared" si="1"/>
        <v>1</v>
      </c>
      <c r="Q120" s="88" t="str">
        <f>IFERROR(INDEX(Торг!$F:$F,MATCH($B120,Торг!$B:$B,0)),"Отсутствует")</f>
        <v>Y</v>
      </c>
      <c r="R120" s="36" t="str">
        <f>IFERROR(IF(AND(Q120="Отсутствует",VLOOKUP(A120,Торг!$A:$A,1,0)=A120),"Добавить","Есть"),"Новый")</f>
        <v>Есть</v>
      </c>
    </row>
    <row r="121" spans="1:18" ht="60" hidden="1">
      <c r="A121" s="238" t="s">
        <v>800</v>
      </c>
      <c r="B121" s="237">
        <v>341362</v>
      </c>
      <c r="C121" s="237">
        <v>341362</v>
      </c>
      <c r="D121" s="238" t="s">
        <v>913</v>
      </c>
      <c r="E121" s="238" t="s">
        <v>741</v>
      </c>
      <c r="F121" s="238"/>
      <c r="G121" s="238"/>
      <c r="H121" s="238" t="s">
        <v>116</v>
      </c>
      <c r="I121" s="238" t="s">
        <v>250</v>
      </c>
      <c r="J121" s="239">
        <v>41950</v>
      </c>
      <c r="K121" s="239">
        <v>51890</v>
      </c>
      <c r="L121" s="238" t="s">
        <v>648</v>
      </c>
      <c r="M121" s="237">
        <v>1</v>
      </c>
      <c r="N121" s="237"/>
      <c r="O121" s="238"/>
      <c r="P121" s="88" t="str">
        <f t="shared" si="1"/>
        <v>1</v>
      </c>
      <c r="Q121" s="88" t="str">
        <f>IFERROR(INDEX(Торг!$F:$F,MATCH($B121,Торг!$B:$B,0)),"Отсутствует")</f>
        <v>Y</v>
      </c>
      <c r="R121" s="36" t="str">
        <f>IFERROR(IF(AND(Q121="Отсутствует",VLOOKUP(A121,Торг!$A:$A,1,0)=A121),"Добавить","Есть"),"Новый")</f>
        <v>Есть</v>
      </c>
    </row>
    <row r="122" spans="1:18" ht="60" hidden="1">
      <c r="A122" s="238" t="s">
        <v>800</v>
      </c>
      <c r="B122" s="237">
        <v>256969</v>
      </c>
      <c r="C122" s="237">
        <v>208118</v>
      </c>
      <c r="D122" s="238" t="s">
        <v>914</v>
      </c>
      <c r="E122" s="238" t="s">
        <v>741</v>
      </c>
      <c r="F122" s="238"/>
      <c r="G122" s="238"/>
      <c r="H122" s="238" t="s">
        <v>116</v>
      </c>
      <c r="I122" s="238" t="s">
        <v>250</v>
      </c>
      <c r="J122" s="239">
        <v>41120</v>
      </c>
      <c r="K122" s="239">
        <v>50890</v>
      </c>
      <c r="L122" s="238" t="s">
        <v>648</v>
      </c>
      <c r="M122" s="237">
        <v>1</v>
      </c>
      <c r="N122" s="237"/>
      <c r="O122" s="238"/>
      <c r="P122" s="88" t="str">
        <f t="shared" si="1"/>
        <v>1</v>
      </c>
      <c r="Q122" s="88" t="str">
        <f>IFERROR(INDEX(Торг!$F:$F,MATCH($B122,Торг!$B:$B,0)),"Отсутствует")</f>
        <v>Y</v>
      </c>
      <c r="R122" s="36" t="str">
        <f>IFERROR(IF(AND(Q122="Отсутствует",VLOOKUP(A122,Торг!$A:$A,1,0)=A122),"Добавить","Есть"),"Новый")</f>
        <v>Есть</v>
      </c>
    </row>
    <row r="123" spans="1:18" ht="60" hidden="1">
      <c r="A123" s="238" t="s">
        <v>800</v>
      </c>
      <c r="B123" s="237">
        <v>341360</v>
      </c>
      <c r="C123" s="237">
        <v>341360</v>
      </c>
      <c r="D123" s="238" t="s">
        <v>915</v>
      </c>
      <c r="E123" s="238" t="s">
        <v>741</v>
      </c>
      <c r="F123" s="238"/>
      <c r="G123" s="238"/>
      <c r="H123" s="238" t="s">
        <v>116</v>
      </c>
      <c r="I123" s="238" t="s">
        <v>250</v>
      </c>
      <c r="J123" s="239">
        <v>41950</v>
      </c>
      <c r="K123" s="239">
        <v>51890</v>
      </c>
      <c r="L123" s="238" t="s">
        <v>648</v>
      </c>
      <c r="M123" s="237">
        <v>1</v>
      </c>
      <c r="N123" s="237"/>
      <c r="O123" s="238"/>
      <c r="P123" s="88" t="str">
        <f t="shared" si="1"/>
        <v>1</v>
      </c>
      <c r="Q123" s="88" t="str">
        <f>IFERROR(INDEX(Торг!$F:$F,MATCH($B123,Торг!$B:$B,0)),"Отсутствует")</f>
        <v>Y</v>
      </c>
      <c r="R123" s="36" t="str">
        <f>IFERROR(IF(AND(Q123="Отсутствует",VLOOKUP(A123,Торг!$A:$A,1,0)=A123),"Добавить","Есть"),"Новый")</f>
        <v>Есть</v>
      </c>
    </row>
    <row r="124" spans="1:18" ht="60" hidden="1">
      <c r="A124" s="238" t="s">
        <v>800</v>
      </c>
      <c r="B124" s="237">
        <v>341361</v>
      </c>
      <c r="C124" s="237">
        <v>341361</v>
      </c>
      <c r="D124" s="238" t="s">
        <v>916</v>
      </c>
      <c r="E124" s="238" t="s">
        <v>741</v>
      </c>
      <c r="F124" s="238"/>
      <c r="G124" s="238"/>
      <c r="H124" s="238" t="s">
        <v>116</v>
      </c>
      <c r="I124" s="238" t="s">
        <v>250</v>
      </c>
      <c r="J124" s="239">
        <v>41950</v>
      </c>
      <c r="K124" s="239">
        <v>51890</v>
      </c>
      <c r="L124" s="238" t="s">
        <v>648</v>
      </c>
      <c r="M124" s="237">
        <v>1</v>
      </c>
      <c r="N124" s="237"/>
      <c r="O124" s="238"/>
      <c r="P124" s="88" t="str">
        <f t="shared" si="1"/>
        <v>1</v>
      </c>
      <c r="Q124" s="88" t="str">
        <f>IFERROR(INDEX(Торг!$F:$F,MATCH($B124,Торг!$B:$B,0)),"Отсутствует")</f>
        <v>Y</v>
      </c>
      <c r="R124" s="36" t="str">
        <f>IFERROR(IF(AND(Q124="Отсутствует",VLOOKUP(A124,Торг!$A:$A,1,0)=A124),"Добавить","Есть"),"Новый")</f>
        <v>Есть</v>
      </c>
    </row>
    <row r="125" spans="1:18" ht="60" hidden="1">
      <c r="A125" s="238" t="s">
        <v>800</v>
      </c>
      <c r="B125" s="237">
        <v>256971</v>
      </c>
      <c r="C125" s="237">
        <v>208115</v>
      </c>
      <c r="D125" s="238" t="s">
        <v>917</v>
      </c>
      <c r="E125" s="238" t="s">
        <v>741</v>
      </c>
      <c r="F125" s="238"/>
      <c r="G125" s="238"/>
      <c r="H125" s="238" t="s">
        <v>116</v>
      </c>
      <c r="I125" s="238" t="s">
        <v>250</v>
      </c>
      <c r="J125" s="239">
        <v>41120</v>
      </c>
      <c r="K125" s="239">
        <v>50890</v>
      </c>
      <c r="L125" s="238" t="s">
        <v>648</v>
      </c>
      <c r="M125" s="237">
        <v>1</v>
      </c>
      <c r="N125" s="237"/>
      <c r="O125" s="238"/>
      <c r="P125" s="88" t="str">
        <f t="shared" si="1"/>
        <v>1</v>
      </c>
      <c r="Q125" s="88" t="str">
        <f>IFERROR(INDEX(Торг!$F:$F,MATCH($B125,Торг!$B:$B,0)),"Отсутствует")</f>
        <v>Y</v>
      </c>
      <c r="R125" s="36" t="str">
        <f>IFERROR(IF(AND(Q125="Отсутствует",VLOOKUP(A125,Торг!$A:$A,1,0)=A125),"Добавить","Есть"),"Новый")</f>
        <v>Есть</v>
      </c>
    </row>
    <row r="126" spans="1:18" ht="60" hidden="1">
      <c r="A126" s="238" t="s">
        <v>800</v>
      </c>
      <c r="B126" s="237">
        <v>341363</v>
      </c>
      <c r="C126" s="237">
        <v>341363</v>
      </c>
      <c r="D126" s="238" t="s">
        <v>918</v>
      </c>
      <c r="E126" s="238" t="s">
        <v>741</v>
      </c>
      <c r="F126" s="238"/>
      <c r="G126" s="238"/>
      <c r="H126" s="238" t="s">
        <v>116</v>
      </c>
      <c r="I126" s="238" t="s">
        <v>250</v>
      </c>
      <c r="J126" s="239">
        <v>41950</v>
      </c>
      <c r="K126" s="239">
        <v>51890</v>
      </c>
      <c r="L126" s="238" t="s">
        <v>648</v>
      </c>
      <c r="M126" s="237">
        <v>1</v>
      </c>
      <c r="N126" s="237"/>
      <c r="O126" s="238"/>
      <c r="P126" s="88" t="str">
        <f t="shared" si="1"/>
        <v>1</v>
      </c>
      <c r="Q126" s="88" t="str">
        <f>IFERROR(INDEX(Торг!$F:$F,MATCH($B126,Торг!$B:$B,0)),"Отсутствует")</f>
        <v>Y</v>
      </c>
      <c r="R126" s="36" t="str">
        <f>IFERROR(IF(AND(Q126="Отсутствует",VLOOKUP(A126,Торг!$A:$A,1,0)=A126),"Добавить","Есть"),"Новый")</f>
        <v>Есть</v>
      </c>
    </row>
    <row r="127" spans="1:18" ht="60" hidden="1">
      <c r="A127" s="238" t="s">
        <v>800</v>
      </c>
      <c r="B127" s="237">
        <v>256972</v>
      </c>
      <c r="C127" s="237">
        <v>208113</v>
      </c>
      <c r="D127" s="238" t="s">
        <v>919</v>
      </c>
      <c r="E127" s="238" t="s">
        <v>741</v>
      </c>
      <c r="F127" s="238"/>
      <c r="G127" s="238"/>
      <c r="H127" s="238" t="s">
        <v>116</v>
      </c>
      <c r="I127" s="238" t="s">
        <v>250</v>
      </c>
      <c r="J127" s="239">
        <v>41120</v>
      </c>
      <c r="K127" s="239">
        <v>50890</v>
      </c>
      <c r="L127" s="238" t="s">
        <v>648</v>
      </c>
      <c r="M127" s="237">
        <v>1</v>
      </c>
      <c r="N127" s="237"/>
      <c r="O127" s="238"/>
      <c r="P127" s="88" t="str">
        <f t="shared" si="1"/>
        <v>1</v>
      </c>
      <c r="Q127" s="88" t="str">
        <f>IFERROR(INDEX(Торг!$F:$F,MATCH($B127,Торг!$B:$B,0)),"Отсутствует")</f>
        <v>Y</v>
      </c>
      <c r="R127" s="36" t="str">
        <f>IFERROR(IF(AND(Q127="Отсутствует",VLOOKUP(A127,Торг!$A:$A,1,0)=A127),"Добавить","Есть"),"Новый")</f>
        <v>Есть</v>
      </c>
    </row>
    <row r="128" spans="1:18" ht="60" hidden="1">
      <c r="A128" s="238" t="s">
        <v>800</v>
      </c>
      <c r="B128" s="237">
        <v>341355</v>
      </c>
      <c r="C128" s="237">
        <v>341355</v>
      </c>
      <c r="D128" s="238" t="s">
        <v>920</v>
      </c>
      <c r="E128" s="238" t="s">
        <v>741</v>
      </c>
      <c r="F128" s="238"/>
      <c r="G128" s="238"/>
      <c r="H128" s="238" t="s">
        <v>116</v>
      </c>
      <c r="I128" s="238" t="s">
        <v>250</v>
      </c>
      <c r="J128" s="239">
        <v>41950</v>
      </c>
      <c r="K128" s="239">
        <v>51890</v>
      </c>
      <c r="L128" s="238" t="s">
        <v>648</v>
      </c>
      <c r="M128" s="237">
        <v>1</v>
      </c>
      <c r="N128" s="237"/>
      <c r="O128" s="238"/>
      <c r="P128" s="88" t="str">
        <f t="shared" si="1"/>
        <v>1</v>
      </c>
      <c r="Q128" s="88" t="str">
        <f>IFERROR(INDEX(Торг!$F:$F,MATCH($B128,Торг!$B:$B,0)),"Отсутствует")</f>
        <v>Y</v>
      </c>
      <c r="R128" s="36" t="str">
        <f>IFERROR(IF(AND(Q128="Отсутствует",VLOOKUP(A128,Торг!$A:$A,1,0)=A128),"Добавить","Есть"),"Новый")</f>
        <v>Есть</v>
      </c>
    </row>
    <row r="129" spans="1:18" ht="60" hidden="1">
      <c r="A129" s="238" t="s">
        <v>800</v>
      </c>
      <c r="B129" s="237">
        <v>256973</v>
      </c>
      <c r="C129" s="237">
        <v>208122</v>
      </c>
      <c r="D129" s="238" t="s">
        <v>921</v>
      </c>
      <c r="E129" s="238" t="s">
        <v>741</v>
      </c>
      <c r="F129" s="238"/>
      <c r="G129" s="238"/>
      <c r="H129" s="238" t="s">
        <v>116</v>
      </c>
      <c r="I129" s="238" t="s">
        <v>250</v>
      </c>
      <c r="J129" s="239">
        <v>40250</v>
      </c>
      <c r="K129" s="239">
        <v>49790</v>
      </c>
      <c r="L129" s="238" t="s">
        <v>648</v>
      </c>
      <c r="M129" s="237">
        <v>1</v>
      </c>
      <c r="N129" s="237"/>
      <c r="O129" s="238"/>
      <c r="P129" s="88" t="str">
        <f t="shared" si="1"/>
        <v>1</v>
      </c>
      <c r="Q129" s="88" t="str">
        <f>IFERROR(INDEX(Торг!$F:$F,MATCH($B129,Торг!$B:$B,0)),"Отсутствует")</f>
        <v>Y</v>
      </c>
      <c r="R129" s="36" t="str">
        <f>IFERROR(IF(AND(Q129="Отсутствует",VLOOKUP(A129,Торг!$A:$A,1,0)=A129),"Добавить","Есть"),"Новый")</f>
        <v>Есть</v>
      </c>
    </row>
    <row r="130" spans="1:18" ht="60" hidden="1">
      <c r="A130" s="238" t="s">
        <v>800</v>
      </c>
      <c r="B130" s="237">
        <v>341354</v>
      </c>
      <c r="C130" s="237">
        <v>341354</v>
      </c>
      <c r="D130" s="238" t="s">
        <v>922</v>
      </c>
      <c r="E130" s="238" t="s">
        <v>741</v>
      </c>
      <c r="F130" s="238"/>
      <c r="G130" s="238"/>
      <c r="H130" s="238" t="s">
        <v>116</v>
      </c>
      <c r="I130" s="238" t="s">
        <v>250</v>
      </c>
      <c r="J130" s="239">
        <v>41080</v>
      </c>
      <c r="K130" s="239">
        <v>50790</v>
      </c>
      <c r="L130" s="238" t="s">
        <v>648</v>
      </c>
      <c r="M130" s="237">
        <v>1</v>
      </c>
      <c r="N130" s="237"/>
      <c r="O130" s="238"/>
      <c r="P130" s="88" t="str">
        <f t="shared" si="1"/>
        <v>1</v>
      </c>
      <c r="Q130" s="88" t="str">
        <f>IFERROR(INDEX(Торг!$F:$F,MATCH($B130,Торг!$B:$B,0)),"Отсутствует")</f>
        <v>Y</v>
      </c>
      <c r="R130" s="36" t="str">
        <f>IFERROR(IF(AND(Q130="Отсутствует",VLOOKUP(A130,Торг!$A:$A,1,0)=A130),"Добавить","Есть"),"Новый")</f>
        <v>Есть</v>
      </c>
    </row>
    <row r="131" spans="1:18" ht="60" hidden="1">
      <c r="A131" s="238" t="s">
        <v>800</v>
      </c>
      <c r="B131" s="237">
        <v>256964</v>
      </c>
      <c r="C131" s="237">
        <v>208116</v>
      </c>
      <c r="D131" s="238" t="s">
        <v>923</v>
      </c>
      <c r="E131" s="238" t="s">
        <v>741</v>
      </c>
      <c r="F131" s="238"/>
      <c r="G131" s="238"/>
      <c r="H131" s="238" t="s">
        <v>116</v>
      </c>
      <c r="I131" s="238" t="s">
        <v>250</v>
      </c>
      <c r="J131" s="239">
        <v>41120</v>
      </c>
      <c r="K131" s="239">
        <v>50890</v>
      </c>
      <c r="L131" s="238" t="s">
        <v>648</v>
      </c>
      <c r="M131" s="237">
        <v>1</v>
      </c>
      <c r="N131" s="237"/>
      <c r="O131" s="238"/>
      <c r="P131" s="88" t="str">
        <f t="shared" ref="P131:P194" si="2">_xlfn.CONCAT(M131,IF(N131&lt;&gt;"",_xlfn.CONCAT("ск",N131),""))</f>
        <v>1</v>
      </c>
      <c r="Q131" s="88" t="str">
        <f>IFERROR(INDEX(Торг!$F:$F,MATCH($B131,Торг!$B:$B,0)),"Отсутствует")</f>
        <v>Y</v>
      </c>
      <c r="R131" s="36" t="str">
        <f>IFERROR(IF(AND(Q131="Отсутствует",VLOOKUP(A131,Торг!$A:$A,1,0)=A131),"Добавить","Есть"),"Новый")</f>
        <v>Есть</v>
      </c>
    </row>
    <row r="132" spans="1:18" ht="60" hidden="1">
      <c r="A132" s="238" t="s">
        <v>800</v>
      </c>
      <c r="B132" s="237">
        <v>256970</v>
      </c>
      <c r="C132" s="237">
        <v>208117</v>
      </c>
      <c r="D132" s="238" t="s">
        <v>924</v>
      </c>
      <c r="E132" s="238" t="s">
        <v>741</v>
      </c>
      <c r="F132" s="238"/>
      <c r="G132" s="238"/>
      <c r="H132" s="238" t="s">
        <v>116</v>
      </c>
      <c r="I132" s="238" t="s">
        <v>250</v>
      </c>
      <c r="J132" s="239">
        <v>41120</v>
      </c>
      <c r="K132" s="239">
        <v>50890</v>
      </c>
      <c r="L132" s="238" t="s">
        <v>648</v>
      </c>
      <c r="M132" s="237">
        <v>1</v>
      </c>
      <c r="N132" s="237"/>
      <c r="O132" s="238"/>
      <c r="P132" s="88" t="str">
        <f t="shared" si="2"/>
        <v>1</v>
      </c>
      <c r="Q132" s="88" t="str">
        <f>IFERROR(INDEX(Торг!$F:$F,MATCH($B132,Торг!$B:$B,0)),"Отсутствует")</f>
        <v>Y</v>
      </c>
      <c r="R132" s="36" t="str">
        <f>IFERROR(IF(AND(Q132="Отсутствует",VLOOKUP(A132,Торг!$A:$A,1,0)=A132),"Добавить","Есть"),"Новый")</f>
        <v>Есть</v>
      </c>
    </row>
    <row r="133" spans="1:18" ht="75" hidden="1">
      <c r="A133" s="238" t="s">
        <v>801</v>
      </c>
      <c r="B133" s="237">
        <v>132519</v>
      </c>
      <c r="C133" s="237">
        <v>165082</v>
      </c>
      <c r="D133" s="238" t="s">
        <v>925</v>
      </c>
      <c r="E133" s="238" t="s">
        <v>741</v>
      </c>
      <c r="F133" s="238"/>
      <c r="G133" s="238"/>
      <c r="H133" s="238" t="s">
        <v>134</v>
      </c>
      <c r="I133" s="238" t="s">
        <v>250</v>
      </c>
      <c r="J133" s="239">
        <v>51220</v>
      </c>
      <c r="K133" s="239">
        <v>63390</v>
      </c>
      <c r="L133" s="238" t="s">
        <v>648</v>
      </c>
      <c r="M133" s="237">
        <v>1</v>
      </c>
      <c r="N133" s="237"/>
      <c r="O133" s="238"/>
      <c r="P133" s="88" t="str">
        <f t="shared" si="2"/>
        <v>1</v>
      </c>
      <c r="Q133" s="88" t="str">
        <f>IFERROR(INDEX(Торг!$F:$F,MATCH($B133,Торг!$B:$B,0)),"Отсутствует")</f>
        <v>Y</v>
      </c>
      <c r="R133" s="36" t="str">
        <f>IFERROR(IF(AND(Q133="Отсутствует",VLOOKUP(A133,Торг!$A:$A,1,0)=A133),"Добавить","Есть"),"Новый")</f>
        <v>Есть</v>
      </c>
    </row>
    <row r="134" spans="1:18" ht="60" hidden="1">
      <c r="A134" s="238" t="s">
        <v>801</v>
      </c>
      <c r="B134" s="237">
        <v>341386</v>
      </c>
      <c r="C134" s="237">
        <v>341386</v>
      </c>
      <c r="D134" s="238" t="s">
        <v>926</v>
      </c>
      <c r="E134" s="238" t="s">
        <v>741</v>
      </c>
      <c r="F134" s="238"/>
      <c r="G134" s="238"/>
      <c r="H134" s="238" t="s">
        <v>134</v>
      </c>
      <c r="I134" s="238" t="s">
        <v>250</v>
      </c>
      <c r="J134" s="239">
        <v>52050</v>
      </c>
      <c r="K134" s="239">
        <v>64390</v>
      </c>
      <c r="L134" s="238" t="s">
        <v>648</v>
      </c>
      <c r="M134" s="237">
        <v>1</v>
      </c>
      <c r="N134" s="237"/>
      <c r="O134" s="238"/>
      <c r="P134" s="88" t="str">
        <f t="shared" si="2"/>
        <v>1</v>
      </c>
      <c r="Q134" s="88" t="str">
        <f>IFERROR(INDEX(Торг!$F:$F,MATCH($B134,Торг!$B:$B,0)),"Отсутствует")</f>
        <v>Y</v>
      </c>
      <c r="R134" s="36" t="str">
        <f>IFERROR(IF(AND(Q134="Отсутствует",VLOOKUP(A134,Торг!$A:$A,1,0)=A134),"Добавить","Есть"),"Новый")</f>
        <v>Есть</v>
      </c>
    </row>
    <row r="135" spans="1:18" ht="75" hidden="1">
      <c r="A135" s="238" t="s">
        <v>801</v>
      </c>
      <c r="B135" s="237">
        <v>132520</v>
      </c>
      <c r="C135" s="237">
        <v>165077</v>
      </c>
      <c r="D135" s="238" t="s">
        <v>927</v>
      </c>
      <c r="E135" s="238" t="s">
        <v>741</v>
      </c>
      <c r="F135" s="238"/>
      <c r="G135" s="238"/>
      <c r="H135" s="238" t="s">
        <v>134</v>
      </c>
      <c r="I135" s="238" t="s">
        <v>250</v>
      </c>
      <c r="J135" s="239">
        <v>51220</v>
      </c>
      <c r="K135" s="239">
        <v>63390</v>
      </c>
      <c r="L135" s="238" t="s">
        <v>648</v>
      </c>
      <c r="M135" s="237">
        <v>1</v>
      </c>
      <c r="N135" s="237"/>
      <c r="O135" s="238"/>
      <c r="P135" s="88" t="str">
        <f t="shared" si="2"/>
        <v>1</v>
      </c>
      <c r="Q135" s="88" t="str">
        <f>IFERROR(INDEX(Торг!$F:$F,MATCH($B135,Торг!$B:$B,0)),"Отсутствует")</f>
        <v>Y</v>
      </c>
      <c r="R135" s="36" t="str">
        <f>IFERROR(IF(AND(Q135="Отсутствует",VLOOKUP(A135,Торг!$A:$A,1,0)=A135),"Добавить","Есть"),"Новый")</f>
        <v>Есть</v>
      </c>
    </row>
    <row r="136" spans="1:18" ht="75" hidden="1">
      <c r="A136" s="238" t="s">
        <v>801</v>
      </c>
      <c r="B136" s="237">
        <v>341398</v>
      </c>
      <c r="C136" s="237">
        <v>341398</v>
      </c>
      <c r="D136" s="238" t="s">
        <v>928</v>
      </c>
      <c r="E136" s="238" t="s">
        <v>741</v>
      </c>
      <c r="F136" s="238"/>
      <c r="G136" s="238"/>
      <c r="H136" s="238" t="s">
        <v>134</v>
      </c>
      <c r="I136" s="238" t="s">
        <v>250</v>
      </c>
      <c r="J136" s="239">
        <v>52050</v>
      </c>
      <c r="K136" s="239">
        <v>64390</v>
      </c>
      <c r="L136" s="238" t="s">
        <v>648</v>
      </c>
      <c r="M136" s="237">
        <v>1</v>
      </c>
      <c r="N136" s="237"/>
      <c r="O136" s="238"/>
      <c r="P136" s="88" t="str">
        <f t="shared" si="2"/>
        <v>1</v>
      </c>
      <c r="Q136" s="88" t="str">
        <f>IFERROR(INDEX(Торг!$F:$F,MATCH($B136,Торг!$B:$B,0)),"Отсутствует")</f>
        <v>Y</v>
      </c>
      <c r="R136" s="36" t="str">
        <f>IFERROR(IF(AND(Q136="Отсутствует",VLOOKUP(A136,Торг!$A:$A,1,0)=A136),"Добавить","Есть"),"Новый")</f>
        <v>Есть</v>
      </c>
    </row>
    <row r="137" spans="1:18" ht="75" hidden="1">
      <c r="A137" s="238" t="s">
        <v>801</v>
      </c>
      <c r="B137" s="237">
        <v>132521</v>
      </c>
      <c r="C137" s="237">
        <v>165081</v>
      </c>
      <c r="D137" s="238" t="s">
        <v>929</v>
      </c>
      <c r="E137" s="238" t="s">
        <v>741</v>
      </c>
      <c r="F137" s="238"/>
      <c r="G137" s="238"/>
      <c r="H137" s="238" t="s">
        <v>134</v>
      </c>
      <c r="I137" s="238" t="s">
        <v>250</v>
      </c>
      <c r="J137" s="239">
        <v>51220</v>
      </c>
      <c r="K137" s="239">
        <v>63390</v>
      </c>
      <c r="L137" s="238" t="s">
        <v>648</v>
      </c>
      <c r="M137" s="237">
        <v>1</v>
      </c>
      <c r="N137" s="237"/>
      <c r="O137" s="238"/>
      <c r="P137" s="88" t="str">
        <f t="shared" si="2"/>
        <v>1</v>
      </c>
      <c r="Q137" s="88" t="str">
        <f>IFERROR(INDEX(Торг!$F:$F,MATCH($B137,Торг!$B:$B,0)),"Отсутствует")</f>
        <v>Y</v>
      </c>
      <c r="R137" s="36" t="str">
        <f>IFERROR(IF(AND(Q137="Отсутствует",VLOOKUP(A137,Торг!$A:$A,1,0)=A137),"Добавить","Есть"),"Новый")</f>
        <v>Есть</v>
      </c>
    </row>
    <row r="138" spans="1:18" ht="75" hidden="1">
      <c r="A138" s="238" t="s">
        <v>801</v>
      </c>
      <c r="B138" s="237">
        <v>341397</v>
      </c>
      <c r="C138" s="237">
        <v>341397</v>
      </c>
      <c r="D138" s="238" t="s">
        <v>930</v>
      </c>
      <c r="E138" s="238" t="s">
        <v>741</v>
      </c>
      <c r="F138" s="238"/>
      <c r="G138" s="238"/>
      <c r="H138" s="238" t="s">
        <v>134</v>
      </c>
      <c r="I138" s="238" t="s">
        <v>250</v>
      </c>
      <c r="J138" s="239">
        <v>52050</v>
      </c>
      <c r="K138" s="239">
        <v>64390</v>
      </c>
      <c r="L138" s="238" t="s">
        <v>648</v>
      </c>
      <c r="M138" s="237">
        <v>1</v>
      </c>
      <c r="N138" s="237"/>
      <c r="O138" s="238"/>
      <c r="P138" s="88" t="str">
        <f t="shared" si="2"/>
        <v>1</v>
      </c>
      <c r="Q138" s="88" t="str">
        <f>IFERROR(INDEX(Торг!$F:$F,MATCH($B138,Торг!$B:$B,0)),"Отсутствует")</f>
        <v>Y</v>
      </c>
      <c r="R138" s="36" t="str">
        <f>IFERROR(IF(AND(Q138="Отсутствует",VLOOKUP(A138,Торг!$A:$A,1,0)=A138),"Добавить","Есть"),"Новый")</f>
        <v>Есть</v>
      </c>
    </row>
    <row r="139" spans="1:18" ht="75" hidden="1">
      <c r="A139" s="238" t="s">
        <v>801</v>
      </c>
      <c r="B139" s="237">
        <v>132522</v>
      </c>
      <c r="C139" s="237">
        <v>165073</v>
      </c>
      <c r="D139" s="238" t="s">
        <v>931</v>
      </c>
      <c r="E139" s="238" t="s">
        <v>741</v>
      </c>
      <c r="F139" s="238"/>
      <c r="G139" s="238"/>
      <c r="H139" s="238" t="s">
        <v>134</v>
      </c>
      <c r="I139" s="238" t="s">
        <v>250</v>
      </c>
      <c r="J139" s="239">
        <v>51220</v>
      </c>
      <c r="K139" s="239">
        <v>63390</v>
      </c>
      <c r="L139" s="238" t="s">
        <v>648</v>
      </c>
      <c r="M139" s="237">
        <v>1</v>
      </c>
      <c r="N139" s="237"/>
      <c r="O139" s="238"/>
      <c r="P139" s="88" t="str">
        <f t="shared" si="2"/>
        <v>1</v>
      </c>
      <c r="Q139" s="88" t="str">
        <f>IFERROR(INDEX(Торг!$F:$F,MATCH($B139,Торг!$B:$B,0)),"Отсутствует")</f>
        <v>Y</v>
      </c>
      <c r="R139" s="36" t="str">
        <f>IFERROR(IF(AND(Q139="Отсутствует",VLOOKUP(A139,Торг!$A:$A,1,0)=A139),"Добавить","Есть"),"Новый")</f>
        <v>Есть</v>
      </c>
    </row>
    <row r="140" spans="1:18" ht="75" hidden="1">
      <c r="A140" s="238" t="s">
        <v>801</v>
      </c>
      <c r="B140" s="237">
        <v>341389</v>
      </c>
      <c r="C140" s="237">
        <v>341389</v>
      </c>
      <c r="D140" s="238" t="s">
        <v>932</v>
      </c>
      <c r="E140" s="238" t="s">
        <v>741</v>
      </c>
      <c r="F140" s="238"/>
      <c r="G140" s="238"/>
      <c r="H140" s="238" t="s">
        <v>134</v>
      </c>
      <c r="I140" s="238" t="s">
        <v>250</v>
      </c>
      <c r="J140" s="239">
        <v>52050</v>
      </c>
      <c r="K140" s="239">
        <v>64390</v>
      </c>
      <c r="L140" s="238" t="s">
        <v>648</v>
      </c>
      <c r="M140" s="237">
        <v>1</v>
      </c>
      <c r="N140" s="237"/>
      <c r="O140" s="238"/>
      <c r="P140" s="88" t="str">
        <f t="shared" si="2"/>
        <v>1</v>
      </c>
      <c r="Q140" s="88" t="str">
        <f>IFERROR(INDEX(Торг!$F:$F,MATCH($B140,Торг!$B:$B,0)),"Отсутствует")</f>
        <v>Y</v>
      </c>
      <c r="R140" s="36" t="str">
        <f>IFERROR(IF(AND(Q140="Отсутствует",VLOOKUP(A140,Торг!$A:$A,1,0)=A140),"Добавить","Есть"),"Новый")</f>
        <v>Есть</v>
      </c>
    </row>
    <row r="141" spans="1:18" ht="75" hidden="1">
      <c r="A141" s="238" t="s">
        <v>801</v>
      </c>
      <c r="B141" s="237">
        <v>132523</v>
      </c>
      <c r="C141" s="237">
        <v>165080</v>
      </c>
      <c r="D141" s="238" t="s">
        <v>933</v>
      </c>
      <c r="E141" s="238" t="s">
        <v>741</v>
      </c>
      <c r="F141" s="238"/>
      <c r="G141" s="238"/>
      <c r="H141" s="238" t="s">
        <v>134</v>
      </c>
      <c r="I141" s="238" t="s">
        <v>250</v>
      </c>
      <c r="J141" s="239">
        <v>51220</v>
      </c>
      <c r="K141" s="239">
        <v>63390</v>
      </c>
      <c r="L141" s="238" t="s">
        <v>648</v>
      </c>
      <c r="M141" s="237">
        <v>1</v>
      </c>
      <c r="N141" s="237"/>
      <c r="O141" s="238"/>
      <c r="P141" s="88" t="str">
        <f t="shared" si="2"/>
        <v>1</v>
      </c>
      <c r="Q141" s="88" t="str">
        <f>IFERROR(INDEX(Торг!$F:$F,MATCH($B141,Торг!$B:$B,0)),"Отсутствует")</f>
        <v>Y</v>
      </c>
      <c r="R141" s="36" t="str">
        <f>IFERROR(IF(AND(Q141="Отсутствует",VLOOKUP(A141,Торг!$A:$A,1,0)=A141),"Добавить","Есть"),"Новый")</f>
        <v>Есть</v>
      </c>
    </row>
    <row r="142" spans="1:18" ht="75" hidden="1">
      <c r="A142" s="238" t="s">
        <v>801</v>
      </c>
      <c r="B142" s="237">
        <v>341390</v>
      </c>
      <c r="C142" s="237">
        <v>341390</v>
      </c>
      <c r="D142" s="238" t="s">
        <v>934</v>
      </c>
      <c r="E142" s="238" t="s">
        <v>741</v>
      </c>
      <c r="F142" s="238"/>
      <c r="G142" s="238"/>
      <c r="H142" s="238" t="s">
        <v>134</v>
      </c>
      <c r="I142" s="238" t="s">
        <v>250</v>
      </c>
      <c r="J142" s="239">
        <v>52050</v>
      </c>
      <c r="K142" s="239">
        <v>64390</v>
      </c>
      <c r="L142" s="238" t="s">
        <v>648</v>
      </c>
      <c r="M142" s="237">
        <v>1</v>
      </c>
      <c r="N142" s="237"/>
      <c r="O142" s="238"/>
      <c r="P142" s="88" t="str">
        <f t="shared" si="2"/>
        <v>1</v>
      </c>
      <c r="Q142" s="88" t="str">
        <f>IFERROR(INDEX(Торг!$F:$F,MATCH($B142,Торг!$B:$B,0)),"Отсутствует")</f>
        <v>Y</v>
      </c>
      <c r="R142" s="36" t="str">
        <f>IFERROR(IF(AND(Q142="Отсутствует",VLOOKUP(A142,Торг!$A:$A,1,0)=A142),"Добавить","Есть"),"Новый")</f>
        <v>Есть</v>
      </c>
    </row>
    <row r="143" spans="1:18" ht="75" hidden="1">
      <c r="A143" s="238" t="s">
        <v>801</v>
      </c>
      <c r="B143" s="237">
        <v>132524</v>
      </c>
      <c r="C143" s="237">
        <v>165076</v>
      </c>
      <c r="D143" s="238" t="s">
        <v>935</v>
      </c>
      <c r="E143" s="238" t="s">
        <v>741</v>
      </c>
      <c r="F143" s="238"/>
      <c r="G143" s="238"/>
      <c r="H143" s="238" t="s">
        <v>134</v>
      </c>
      <c r="I143" s="238" t="s">
        <v>250</v>
      </c>
      <c r="J143" s="239">
        <v>51220</v>
      </c>
      <c r="K143" s="239">
        <v>63390</v>
      </c>
      <c r="L143" s="238" t="s">
        <v>648</v>
      </c>
      <c r="M143" s="237">
        <v>1</v>
      </c>
      <c r="N143" s="237"/>
      <c r="O143" s="238"/>
      <c r="P143" s="88" t="str">
        <f t="shared" si="2"/>
        <v>1</v>
      </c>
      <c r="Q143" s="88" t="str">
        <f>IFERROR(INDEX(Торг!$F:$F,MATCH($B143,Торг!$B:$B,0)),"Отсутствует")</f>
        <v>Y</v>
      </c>
      <c r="R143" s="36" t="str">
        <f>IFERROR(IF(AND(Q143="Отсутствует",VLOOKUP(A143,Торг!$A:$A,1,0)=A143),"Добавить","Есть"),"Новый")</f>
        <v>Есть</v>
      </c>
    </row>
    <row r="144" spans="1:18" ht="75" hidden="1">
      <c r="A144" s="238" t="s">
        <v>801</v>
      </c>
      <c r="B144" s="237">
        <v>341391</v>
      </c>
      <c r="C144" s="237">
        <v>341391</v>
      </c>
      <c r="D144" s="238" t="s">
        <v>936</v>
      </c>
      <c r="E144" s="238" t="s">
        <v>741</v>
      </c>
      <c r="F144" s="238"/>
      <c r="G144" s="238"/>
      <c r="H144" s="238" t="s">
        <v>134</v>
      </c>
      <c r="I144" s="238" t="s">
        <v>250</v>
      </c>
      <c r="J144" s="239">
        <v>52050</v>
      </c>
      <c r="K144" s="239">
        <v>64390</v>
      </c>
      <c r="L144" s="238" t="s">
        <v>648</v>
      </c>
      <c r="M144" s="237">
        <v>1</v>
      </c>
      <c r="N144" s="237"/>
      <c r="O144" s="238"/>
      <c r="P144" s="88" t="str">
        <f t="shared" si="2"/>
        <v>1</v>
      </c>
      <c r="Q144" s="88" t="str">
        <f>IFERROR(INDEX(Торг!$F:$F,MATCH($B144,Торг!$B:$B,0)),"Отсутствует")</f>
        <v>Y</v>
      </c>
      <c r="R144" s="36" t="str">
        <f>IFERROR(IF(AND(Q144="Отсутствует",VLOOKUP(A144,Торг!$A:$A,1,0)=A144),"Добавить","Есть"),"Новый")</f>
        <v>Есть</v>
      </c>
    </row>
    <row r="145" spans="1:18" ht="75" hidden="1">
      <c r="A145" s="238" t="s">
        <v>801</v>
      </c>
      <c r="B145" s="237">
        <v>132525</v>
      </c>
      <c r="C145" s="237">
        <v>165078</v>
      </c>
      <c r="D145" s="238" t="s">
        <v>937</v>
      </c>
      <c r="E145" s="238" t="s">
        <v>741</v>
      </c>
      <c r="F145" s="238"/>
      <c r="G145" s="238"/>
      <c r="H145" s="238" t="s">
        <v>134</v>
      </c>
      <c r="I145" s="238" t="s">
        <v>250</v>
      </c>
      <c r="J145" s="239">
        <v>51220</v>
      </c>
      <c r="K145" s="239">
        <v>63390</v>
      </c>
      <c r="L145" s="238" t="s">
        <v>648</v>
      </c>
      <c r="M145" s="237">
        <v>1</v>
      </c>
      <c r="N145" s="237"/>
      <c r="O145" s="238"/>
      <c r="P145" s="88" t="str">
        <f t="shared" si="2"/>
        <v>1</v>
      </c>
      <c r="Q145" s="88" t="str">
        <f>IFERROR(INDEX(Торг!$F:$F,MATCH($B145,Торг!$B:$B,0)),"Отсутствует")</f>
        <v>Y</v>
      </c>
      <c r="R145" s="36" t="str">
        <f>IFERROR(IF(AND(Q145="Отсутствует",VLOOKUP(A145,Торг!$A:$A,1,0)=A145),"Добавить","Есть"),"Новый")</f>
        <v>Есть</v>
      </c>
    </row>
    <row r="146" spans="1:18" ht="75" hidden="1">
      <c r="A146" s="238" t="s">
        <v>801</v>
      </c>
      <c r="B146" s="237">
        <v>341392</v>
      </c>
      <c r="C146" s="237">
        <v>341392</v>
      </c>
      <c r="D146" s="238" t="s">
        <v>938</v>
      </c>
      <c r="E146" s="238" t="s">
        <v>741</v>
      </c>
      <c r="F146" s="238"/>
      <c r="G146" s="238"/>
      <c r="H146" s="238" t="s">
        <v>134</v>
      </c>
      <c r="I146" s="238" t="s">
        <v>250</v>
      </c>
      <c r="J146" s="239">
        <v>52050</v>
      </c>
      <c r="K146" s="239">
        <v>64390</v>
      </c>
      <c r="L146" s="238" t="s">
        <v>648</v>
      </c>
      <c r="M146" s="237">
        <v>1</v>
      </c>
      <c r="N146" s="237"/>
      <c r="O146" s="238"/>
      <c r="P146" s="88" t="str">
        <f t="shared" si="2"/>
        <v>1</v>
      </c>
      <c r="Q146" s="88" t="str">
        <f>IFERROR(INDEX(Торг!$F:$F,MATCH($B146,Торг!$B:$B,0)),"Отсутствует")</f>
        <v>Y</v>
      </c>
      <c r="R146" s="36" t="str">
        <f>IFERROR(IF(AND(Q146="Отсутствует",VLOOKUP(A146,Торг!$A:$A,1,0)=A146),"Добавить","Есть"),"Новый")</f>
        <v>Есть</v>
      </c>
    </row>
    <row r="147" spans="1:18" ht="75" hidden="1">
      <c r="A147" s="238" t="s">
        <v>801</v>
      </c>
      <c r="B147" s="237">
        <v>132526</v>
      </c>
      <c r="C147" s="237">
        <v>165079</v>
      </c>
      <c r="D147" s="238" t="s">
        <v>939</v>
      </c>
      <c r="E147" s="238" t="s">
        <v>741</v>
      </c>
      <c r="F147" s="238"/>
      <c r="G147" s="238"/>
      <c r="H147" s="238" t="s">
        <v>134</v>
      </c>
      <c r="I147" s="238" t="s">
        <v>250</v>
      </c>
      <c r="J147" s="239">
        <v>51220</v>
      </c>
      <c r="K147" s="239">
        <v>63390</v>
      </c>
      <c r="L147" s="238" t="s">
        <v>648</v>
      </c>
      <c r="M147" s="237">
        <v>1</v>
      </c>
      <c r="N147" s="237"/>
      <c r="O147" s="238"/>
      <c r="P147" s="88" t="str">
        <f t="shared" si="2"/>
        <v>1</v>
      </c>
      <c r="Q147" s="88" t="str">
        <f>IFERROR(INDEX(Торг!$F:$F,MATCH($B147,Торг!$B:$B,0)),"Отсутствует")</f>
        <v>Y</v>
      </c>
      <c r="R147" s="36" t="str">
        <f>IFERROR(IF(AND(Q147="Отсутствует",VLOOKUP(A147,Торг!$A:$A,1,0)=A147),"Добавить","Есть"),"Новый")</f>
        <v>Есть</v>
      </c>
    </row>
    <row r="148" spans="1:18" ht="75" hidden="1">
      <c r="A148" s="238" t="s">
        <v>801</v>
      </c>
      <c r="B148" s="237">
        <v>341395</v>
      </c>
      <c r="C148" s="237">
        <v>341395</v>
      </c>
      <c r="D148" s="238" t="s">
        <v>940</v>
      </c>
      <c r="E148" s="238" t="s">
        <v>741</v>
      </c>
      <c r="F148" s="238"/>
      <c r="G148" s="238"/>
      <c r="H148" s="238" t="s">
        <v>134</v>
      </c>
      <c r="I148" s="238" t="s">
        <v>250</v>
      </c>
      <c r="J148" s="239">
        <v>52050</v>
      </c>
      <c r="K148" s="239">
        <v>64390</v>
      </c>
      <c r="L148" s="238" t="s">
        <v>648</v>
      </c>
      <c r="M148" s="237">
        <v>1</v>
      </c>
      <c r="N148" s="237"/>
      <c r="O148" s="238"/>
      <c r="P148" s="88" t="str">
        <f t="shared" si="2"/>
        <v>1</v>
      </c>
      <c r="Q148" s="88" t="str">
        <f>IFERROR(INDEX(Торг!$F:$F,MATCH($B148,Торг!$B:$B,0)),"Отсутствует")</f>
        <v>Y</v>
      </c>
      <c r="R148" s="36" t="str">
        <f>IFERROR(IF(AND(Q148="Отсутствует",VLOOKUP(A148,Торг!$A:$A,1,0)=A148),"Добавить","Есть"),"Новый")</f>
        <v>Есть</v>
      </c>
    </row>
    <row r="149" spans="1:18" ht="75" hidden="1">
      <c r="A149" s="238" t="s">
        <v>801</v>
      </c>
      <c r="B149" s="237">
        <v>132527</v>
      </c>
      <c r="C149" s="237">
        <v>165075</v>
      </c>
      <c r="D149" s="238" t="s">
        <v>941</v>
      </c>
      <c r="E149" s="238" t="s">
        <v>741</v>
      </c>
      <c r="F149" s="238"/>
      <c r="G149" s="238"/>
      <c r="H149" s="238" t="s">
        <v>134</v>
      </c>
      <c r="I149" s="238" t="s">
        <v>250</v>
      </c>
      <c r="J149" s="239">
        <v>51220</v>
      </c>
      <c r="K149" s="239">
        <v>63390</v>
      </c>
      <c r="L149" s="238" t="s">
        <v>648</v>
      </c>
      <c r="M149" s="237">
        <v>1</v>
      </c>
      <c r="N149" s="237"/>
      <c r="O149" s="238"/>
      <c r="P149" s="88" t="str">
        <f t="shared" si="2"/>
        <v>1</v>
      </c>
      <c r="Q149" s="88" t="str">
        <f>IFERROR(INDEX(Торг!$F:$F,MATCH($B149,Торг!$B:$B,0)),"Отсутствует")</f>
        <v>Y</v>
      </c>
      <c r="R149" s="36" t="str">
        <f>IFERROR(IF(AND(Q149="Отсутствует",VLOOKUP(A149,Торг!$A:$A,1,0)=A149),"Добавить","Есть"),"Новый")</f>
        <v>Есть</v>
      </c>
    </row>
    <row r="150" spans="1:18" ht="75" hidden="1">
      <c r="A150" s="238" t="s">
        <v>801</v>
      </c>
      <c r="B150" s="237">
        <v>341393</v>
      </c>
      <c r="C150" s="237">
        <v>341393</v>
      </c>
      <c r="D150" s="238" t="s">
        <v>942</v>
      </c>
      <c r="E150" s="238" t="s">
        <v>741</v>
      </c>
      <c r="F150" s="238"/>
      <c r="G150" s="238"/>
      <c r="H150" s="238" t="s">
        <v>134</v>
      </c>
      <c r="I150" s="238" t="s">
        <v>250</v>
      </c>
      <c r="J150" s="239">
        <v>52050</v>
      </c>
      <c r="K150" s="239">
        <v>64390</v>
      </c>
      <c r="L150" s="238" t="s">
        <v>648</v>
      </c>
      <c r="M150" s="237">
        <v>1</v>
      </c>
      <c r="N150" s="237"/>
      <c r="O150" s="238"/>
      <c r="P150" s="88" t="str">
        <f t="shared" si="2"/>
        <v>1</v>
      </c>
      <c r="Q150" s="88" t="str">
        <f>IFERROR(INDEX(Торг!$F:$F,MATCH($B150,Торг!$B:$B,0)),"Отсутствует")</f>
        <v>Y</v>
      </c>
      <c r="R150" s="36" t="str">
        <f>IFERROR(IF(AND(Q150="Отсутствует",VLOOKUP(A150,Торг!$A:$A,1,0)=A150),"Добавить","Есть"),"Новый")</f>
        <v>Есть</v>
      </c>
    </row>
    <row r="151" spans="1:18" ht="75" hidden="1">
      <c r="A151" s="238" t="s">
        <v>801</v>
      </c>
      <c r="B151" s="237">
        <v>132528</v>
      </c>
      <c r="C151" s="237">
        <v>165074</v>
      </c>
      <c r="D151" s="238" t="s">
        <v>943</v>
      </c>
      <c r="E151" s="238" t="s">
        <v>741</v>
      </c>
      <c r="F151" s="238"/>
      <c r="G151" s="238"/>
      <c r="H151" s="238" t="s">
        <v>134</v>
      </c>
      <c r="I151" s="238" t="s">
        <v>250</v>
      </c>
      <c r="J151" s="239">
        <v>51220</v>
      </c>
      <c r="K151" s="239">
        <v>63390</v>
      </c>
      <c r="L151" s="238" t="s">
        <v>648</v>
      </c>
      <c r="M151" s="237">
        <v>1</v>
      </c>
      <c r="N151" s="237"/>
      <c r="O151" s="238"/>
      <c r="P151" s="88" t="str">
        <f t="shared" si="2"/>
        <v>1</v>
      </c>
      <c r="Q151" s="88" t="str">
        <f>IFERROR(INDEX(Торг!$F:$F,MATCH($B151,Торг!$B:$B,0)),"Отсутствует")</f>
        <v>Y</v>
      </c>
      <c r="R151" s="36" t="str">
        <f>IFERROR(IF(AND(Q151="Отсутствует",VLOOKUP(A151,Торг!$A:$A,1,0)=A151),"Добавить","Есть"),"Новый")</f>
        <v>Есть</v>
      </c>
    </row>
    <row r="152" spans="1:18" ht="60" hidden="1">
      <c r="A152" s="238" t="s">
        <v>801</v>
      </c>
      <c r="B152" s="237">
        <v>341394</v>
      </c>
      <c r="C152" s="237">
        <v>341394</v>
      </c>
      <c r="D152" s="238" t="s">
        <v>944</v>
      </c>
      <c r="E152" s="238" t="s">
        <v>741</v>
      </c>
      <c r="F152" s="238"/>
      <c r="G152" s="238"/>
      <c r="H152" s="238" t="s">
        <v>134</v>
      </c>
      <c r="I152" s="238" t="s">
        <v>250</v>
      </c>
      <c r="J152" s="239">
        <v>52050</v>
      </c>
      <c r="K152" s="239">
        <v>64390</v>
      </c>
      <c r="L152" s="238" t="s">
        <v>648</v>
      </c>
      <c r="M152" s="237">
        <v>1</v>
      </c>
      <c r="N152" s="237"/>
      <c r="O152" s="238"/>
      <c r="P152" s="88" t="str">
        <f t="shared" si="2"/>
        <v>1</v>
      </c>
      <c r="Q152" s="88" t="str">
        <f>IFERROR(INDEX(Торг!$F:$F,MATCH($B152,Торг!$B:$B,0)),"Отсутствует")</f>
        <v>Y</v>
      </c>
      <c r="R152" s="36" t="str">
        <f>IFERROR(IF(AND(Q152="Отсутствует",VLOOKUP(A152,Торг!$A:$A,1,0)=A152),"Добавить","Есть"),"Новый")</f>
        <v>Есть</v>
      </c>
    </row>
    <row r="153" spans="1:18" ht="75" hidden="1">
      <c r="A153" s="238" t="s">
        <v>801</v>
      </c>
      <c r="B153" s="237">
        <v>132529</v>
      </c>
      <c r="C153" s="237">
        <v>165072</v>
      </c>
      <c r="D153" s="238" t="s">
        <v>945</v>
      </c>
      <c r="E153" s="238" t="s">
        <v>741</v>
      </c>
      <c r="F153" s="238"/>
      <c r="G153" s="238"/>
      <c r="H153" s="238" t="s">
        <v>134</v>
      </c>
      <c r="I153" s="238" t="s">
        <v>250</v>
      </c>
      <c r="J153" s="239">
        <v>51220</v>
      </c>
      <c r="K153" s="239">
        <v>63390</v>
      </c>
      <c r="L153" s="238" t="s">
        <v>648</v>
      </c>
      <c r="M153" s="237">
        <v>1</v>
      </c>
      <c r="N153" s="237"/>
      <c r="O153" s="238"/>
      <c r="P153" s="88" t="str">
        <f t="shared" si="2"/>
        <v>1</v>
      </c>
      <c r="Q153" s="88" t="str">
        <f>IFERROR(INDEX(Торг!$F:$F,MATCH($B153,Торг!$B:$B,0)),"Отсутствует")</f>
        <v>Y</v>
      </c>
      <c r="R153" s="36" t="str">
        <f>IFERROR(IF(AND(Q153="Отсутствует",VLOOKUP(A153,Торг!$A:$A,1,0)=A153),"Добавить","Есть"),"Новый")</f>
        <v>Есть</v>
      </c>
    </row>
    <row r="154" spans="1:18" ht="75" hidden="1">
      <c r="A154" s="238" t="s">
        <v>801</v>
      </c>
      <c r="B154" s="237">
        <v>341396</v>
      </c>
      <c r="C154" s="237">
        <v>341396</v>
      </c>
      <c r="D154" s="238" t="s">
        <v>946</v>
      </c>
      <c r="E154" s="238" t="s">
        <v>741</v>
      </c>
      <c r="F154" s="238"/>
      <c r="G154" s="238"/>
      <c r="H154" s="238" t="s">
        <v>134</v>
      </c>
      <c r="I154" s="238" t="s">
        <v>250</v>
      </c>
      <c r="J154" s="239">
        <v>52050</v>
      </c>
      <c r="K154" s="239">
        <v>64390</v>
      </c>
      <c r="L154" s="238" t="s">
        <v>648</v>
      </c>
      <c r="M154" s="237">
        <v>1</v>
      </c>
      <c r="N154" s="237"/>
      <c r="O154" s="238"/>
      <c r="P154" s="88" t="str">
        <f t="shared" si="2"/>
        <v>1</v>
      </c>
      <c r="Q154" s="88" t="str">
        <f>IFERROR(INDEX(Торг!$F:$F,MATCH($B154,Торг!$B:$B,0)),"Отсутствует")</f>
        <v>Y</v>
      </c>
      <c r="R154" s="36" t="str">
        <f>IFERROR(IF(AND(Q154="Отсутствует",VLOOKUP(A154,Торг!$A:$A,1,0)=A154),"Добавить","Есть"),"Новый")</f>
        <v>Есть</v>
      </c>
    </row>
    <row r="155" spans="1:18" ht="75" hidden="1">
      <c r="A155" s="238" t="s">
        <v>801</v>
      </c>
      <c r="B155" s="237">
        <v>132530</v>
      </c>
      <c r="C155" s="237">
        <v>165071</v>
      </c>
      <c r="D155" s="238" t="s">
        <v>947</v>
      </c>
      <c r="E155" s="238" t="s">
        <v>741</v>
      </c>
      <c r="F155" s="238"/>
      <c r="G155" s="238"/>
      <c r="H155" s="238" t="s">
        <v>134</v>
      </c>
      <c r="I155" s="238" t="s">
        <v>250</v>
      </c>
      <c r="J155" s="239">
        <v>51220</v>
      </c>
      <c r="K155" s="239">
        <v>63390</v>
      </c>
      <c r="L155" s="238" t="s">
        <v>648</v>
      </c>
      <c r="M155" s="237">
        <v>1</v>
      </c>
      <c r="N155" s="237"/>
      <c r="O155" s="238"/>
      <c r="P155" s="88" t="str">
        <f t="shared" si="2"/>
        <v>1</v>
      </c>
      <c r="Q155" s="88" t="str">
        <f>IFERROR(INDEX(Торг!$F:$F,MATCH($B155,Торг!$B:$B,0)),"Отсутствует")</f>
        <v>Y</v>
      </c>
      <c r="R155" s="36" t="str">
        <f>IFERROR(IF(AND(Q155="Отсутствует",VLOOKUP(A155,Торг!$A:$A,1,0)=A155),"Добавить","Есть"),"Новый")</f>
        <v>Есть</v>
      </c>
    </row>
    <row r="156" spans="1:18" ht="75" hidden="1">
      <c r="A156" s="238" t="s">
        <v>801</v>
      </c>
      <c r="B156" s="237">
        <v>341388</v>
      </c>
      <c r="C156" s="237">
        <v>341388</v>
      </c>
      <c r="D156" s="238" t="s">
        <v>948</v>
      </c>
      <c r="E156" s="238" t="s">
        <v>741</v>
      </c>
      <c r="F156" s="238"/>
      <c r="G156" s="238"/>
      <c r="H156" s="238" t="s">
        <v>134</v>
      </c>
      <c r="I156" s="238" t="s">
        <v>250</v>
      </c>
      <c r="J156" s="239">
        <v>52050</v>
      </c>
      <c r="K156" s="239">
        <v>64390</v>
      </c>
      <c r="L156" s="238" t="s">
        <v>648</v>
      </c>
      <c r="M156" s="237">
        <v>1</v>
      </c>
      <c r="N156" s="237"/>
      <c r="O156" s="238"/>
      <c r="P156" s="88" t="str">
        <f t="shared" si="2"/>
        <v>1</v>
      </c>
      <c r="Q156" s="88" t="str">
        <f>IFERROR(INDEX(Торг!$F:$F,MATCH($B156,Торг!$B:$B,0)),"Отсутствует")</f>
        <v>Y</v>
      </c>
      <c r="R156" s="36" t="str">
        <f>IFERROR(IF(AND(Q156="Отсутствует",VLOOKUP(A156,Торг!$A:$A,1,0)=A156),"Добавить","Есть"),"Новый")</f>
        <v>Есть</v>
      </c>
    </row>
    <row r="157" spans="1:18" ht="75" hidden="1">
      <c r="A157" s="238" t="s">
        <v>801</v>
      </c>
      <c r="B157" s="237">
        <v>132531</v>
      </c>
      <c r="C157" s="237">
        <v>165070</v>
      </c>
      <c r="D157" s="238" t="s">
        <v>949</v>
      </c>
      <c r="E157" s="238" t="s">
        <v>741</v>
      </c>
      <c r="F157" s="238"/>
      <c r="G157" s="238"/>
      <c r="H157" s="238" t="s">
        <v>134</v>
      </c>
      <c r="I157" s="238" t="s">
        <v>250</v>
      </c>
      <c r="J157" s="239">
        <v>50350</v>
      </c>
      <c r="K157" s="239">
        <v>62290</v>
      </c>
      <c r="L157" s="238" t="s">
        <v>648</v>
      </c>
      <c r="M157" s="237">
        <v>1</v>
      </c>
      <c r="N157" s="237"/>
      <c r="O157" s="238"/>
      <c r="P157" s="88" t="str">
        <f t="shared" si="2"/>
        <v>1</v>
      </c>
      <c r="Q157" s="88" t="str">
        <f>IFERROR(INDEX(Торг!$F:$F,MATCH($B157,Торг!$B:$B,0)),"Отсутствует")</f>
        <v>Y</v>
      </c>
      <c r="R157" s="36" t="str">
        <f>IFERROR(IF(AND(Q157="Отсутствует",VLOOKUP(A157,Торг!$A:$A,1,0)=A157),"Добавить","Есть"),"Новый")</f>
        <v>Есть</v>
      </c>
    </row>
    <row r="158" spans="1:18" ht="75" hidden="1">
      <c r="A158" s="238" t="s">
        <v>801</v>
      </c>
      <c r="B158" s="237">
        <v>341387</v>
      </c>
      <c r="C158" s="237">
        <v>341387</v>
      </c>
      <c r="D158" s="238" t="s">
        <v>950</v>
      </c>
      <c r="E158" s="238" t="s">
        <v>741</v>
      </c>
      <c r="F158" s="238"/>
      <c r="G158" s="238"/>
      <c r="H158" s="238" t="s">
        <v>134</v>
      </c>
      <c r="I158" s="238" t="s">
        <v>250</v>
      </c>
      <c r="J158" s="239">
        <v>51180</v>
      </c>
      <c r="K158" s="239">
        <v>63290</v>
      </c>
      <c r="L158" s="238" t="s">
        <v>648</v>
      </c>
      <c r="M158" s="237">
        <v>1</v>
      </c>
      <c r="N158" s="237"/>
      <c r="O158" s="238"/>
      <c r="P158" s="88" t="str">
        <f t="shared" si="2"/>
        <v>1</v>
      </c>
      <c r="Q158" s="88" t="str">
        <f>IFERROR(INDEX(Торг!$F:$F,MATCH($B158,Торг!$B:$B,0)),"Отсутствует")</f>
        <v>Y</v>
      </c>
      <c r="R158" s="36" t="str">
        <f>IFERROR(IF(AND(Q158="Отсутствует",VLOOKUP(A158,Торг!$A:$A,1,0)=A158),"Добавить","Есть"),"Новый")</f>
        <v>Есть</v>
      </c>
    </row>
    <row r="159" spans="1:18" ht="60" hidden="1">
      <c r="A159" s="238" t="s">
        <v>802</v>
      </c>
      <c r="B159" s="237">
        <v>132533</v>
      </c>
      <c r="C159" s="237">
        <v>166603</v>
      </c>
      <c r="D159" s="238" t="s">
        <v>951</v>
      </c>
      <c r="E159" s="238" t="s">
        <v>741</v>
      </c>
      <c r="F159" s="238"/>
      <c r="G159" s="238"/>
      <c r="H159" s="238" t="s">
        <v>130</v>
      </c>
      <c r="I159" s="238" t="s">
        <v>250</v>
      </c>
      <c r="J159" s="239">
        <v>48470</v>
      </c>
      <c r="K159" s="239">
        <v>59990</v>
      </c>
      <c r="L159" s="238" t="s">
        <v>615</v>
      </c>
      <c r="M159" s="237">
        <v>1</v>
      </c>
      <c r="N159" s="237"/>
      <c r="O159" s="238"/>
      <c r="P159" s="88" t="str">
        <f t="shared" si="2"/>
        <v>1</v>
      </c>
      <c r="Q159" s="88" t="str">
        <f>IFERROR(INDEX(Торг!$F:$F,MATCH($B159,Торг!$B:$B,0)),"Отсутствует")</f>
        <v>Y</v>
      </c>
      <c r="R159" s="36" t="str">
        <f>IFERROR(IF(AND(Q159="Отсутствует",VLOOKUP(A159,Торг!$A:$A,1,0)=A159),"Добавить","Есть"),"Новый")</f>
        <v>Есть</v>
      </c>
    </row>
    <row r="160" spans="1:18" ht="45" hidden="1">
      <c r="A160" s="238" t="s">
        <v>802</v>
      </c>
      <c r="B160" s="237">
        <v>341403</v>
      </c>
      <c r="C160" s="237">
        <v>341403</v>
      </c>
      <c r="D160" s="238" t="s">
        <v>952</v>
      </c>
      <c r="E160" s="238" t="s">
        <v>741</v>
      </c>
      <c r="F160" s="238"/>
      <c r="G160" s="238"/>
      <c r="H160" s="238" t="s">
        <v>130</v>
      </c>
      <c r="I160" s="238" t="s">
        <v>250</v>
      </c>
      <c r="J160" s="239">
        <v>49300</v>
      </c>
      <c r="K160" s="239">
        <v>60990</v>
      </c>
      <c r="L160" s="238" t="s">
        <v>615</v>
      </c>
      <c r="M160" s="237">
        <v>1</v>
      </c>
      <c r="N160" s="237"/>
      <c r="O160" s="238"/>
      <c r="P160" s="88" t="str">
        <f t="shared" si="2"/>
        <v>1</v>
      </c>
      <c r="Q160" s="88" t="str">
        <f>IFERROR(INDEX(Торг!$F:$F,MATCH($B160,Торг!$B:$B,0)),"Отсутствует")</f>
        <v>Y</v>
      </c>
      <c r="R160" s="36" t="str">
        <f>IFERROR(IF(AND(Q160="Отсутствует",VLOOKUP(A160,Торг!$A:$A,1,0)=A160),"Добавить","Есть"),"Новый")</f>
        <v>Есть</v>
      </c>
    </row>
    <row r="161" spans="1:18" ht="60" hidden="1">
      <c r="A161" s="238" t="s">
        <v>802</v>
      </c>
      <c r="B161" s="237">
        <v>132534</v>
      </c>
      <c r="C161" s="237">
        <v>166598</v>
      </c>
      <c r="D161" s="238" t="s">
        <v>953</v>
      </c>
      <c r="E161" s="238" t="s">
        <v>741</v>
      </c>
      <c r="F161" s="238"/>
      <c r="G161" s="238"/>
      <c r="H161" s="238" t="s">
        <v>130</v>
      </c>
      <c r="I161" s="238" t="s">
        <v>250</v>
      </c>
      <c r="J161" s="239">
        <v>48470</v>
      </c>
      <c r="K161" s="239">
        <v>59990</v>
      </c>
      <c r="L161" s="238" t="s">
        <v>615</v>
      </c>
      <c r="M161" s="237">
        <v>1</v>
      </c>
      <c r="N161" s="237"/>
      <c r="O161" s="238"/>
      <c r="P161" s="88" t="str">
        <f t="shared" si="2"/>
        <v>1</v>
      </c>
      <c r="Q161" s="88" t="str">
        <f>IFERROR(INDEX(Торг!$F:$F,MATCH($B161,Торг!$B:$B,0)),"Отсутствует")</f>
        <v>Y</v>
      </c>
      <c r="R161" s="36" t="str">
        <f>IFERROR(IF(AND(Q161="Отсутствует",VLOOKUP(A161,Торг!$A:$A,1,0)=A161),"Добавить","Есть"),"Новый")</f>
        <v>Есть</v>
      </c>
    </row>
    <row r="162" spans="1:18" ht="60" hidden="1">
      <c r="A162" s="238" t="s">
        <v>802</v>
      </c>
      <c r="B162" s="237">
        <v>341415</v>
      </c>
      <c r="C162" s="237">
        <v>341415</v>
      </c>
      <c r="D162" s="238" t="s">
        <v>954</v>
      </c>
      <c r="E162" s="238" t="s">
        <v>741</v>
      </c>
      <c r="F162" s="238"/>
      <c r="G162" s="238"/>
      <c r="H162" s="238" t="s">
        <v>130</v>
      </c>
      <c r="I162" s="238" t="s">
        <v>250</v>
      </c>
      <c r="J162" s="239">
        <v>49300</v>
      </c>
      <c r="K162" s="239">
        <v>60990</v>
      </c>
      <c r="L162" s="238" t="s">
        <v>615</v>
      </c>
      <c r="M162" s="237">
        <v>1</v>
      </c>
      <c r="N162" s="237"/>
      <c r="O162" s="238"/>
      <c r="P162" s="88" t="str">
        <f t="shared" si="2"/>
        <v>1</v>
      </c>
      <c r="Q162" s="88" t="str">
        <f>IFERROR(INDEX(Торг!$F:$F,MATCH($B162,Торг!$B:$B,0)),"Отсутствует")</f>
        <v>Y</v>
      </c>
      <c r="R162" s="36" t="str">
        <f>IFERROR(IF(AND(Q162="Отсутствует",VLOOKUP(A162,Торг!$A:$A,1,0)=A162),"Добавить","Есть"),"Новый")</f>
        <v>Есть</v>
      </c>
    </row>
    <row r="163" spans="1:18" ht="60" hidden="1">
      <c r="A163" s="238" t="s">
        <v>802</v>
      </c>
      <c r="B163" s="237">
        <v>132535</v>
      </c>
      <c r="C163" s="237">
        <v>166602</v>
      </c>
      <c r="D163" s="238" t="s">
        <v>955</v>
      </c>
      <c r="E163" s="238" t="s">
        <v>741</v>
      </c>
      <c r="F163" s="238"/>
      <c r="G163" s="238"/>
      <c r="H163" s="238" t="s">
        <v>130</v>
      </c>
      <c r="I163" s="238" t="s">
        <v>250</v>
      </c>
      <c r="J163" s="239">
        <v>48470</v>
      </c>
      <c r="K163" s="239">
        <v>59990</v>
      </c>
      <c r="L163" s="238" t="s">
        <v>615</v>
      </c>
      <c r="M163" s="237">
        <v>1</v>
      </c>
      <c r="N163" s="237"/>
      <c r="O163" s="238"/>
      <c r="P163" s="88" t="str">
        <f t="shared" si="2"/>
        <v>1</v>
      </c>
      <c r="Q163" s="88" t="str">
        <f>IFERROR(INDEX(Торг!$F:$F,MATCH($B163,Торг!$B:$B,0)),"Отсутствует")</f>
        <v>Y</v>
      </c>
      <c r="R163" s="36" t="str">
        <f>IFERROR(IF(AND(Q163="Отсутствует",VLOOKUP(A163,Торг!$A:$A,1,0)=A163),"Добавить","Есть"),"Новый")</f>
        <v>Есть</v>
      </c>
    </row>
    <row r="164" spans="1:18" ht="60" hidden="1">
      <c r="A164" s="238" t="s">
        <v>802</v>
      </c>
      <c r="B164" s="237">
        <v>341414</v>
      </c>
      <c r="C164" s="237">
        <v>341414</v>
      </c>
      <c r="D164" s="238" t="s">
        <v>956</v>
      </c>
      <c r="E164" s="238" t="s">
        <v>741</v>
      </c>
      <c r="F164" s="238"/>
      <c r="G164" s="238"/>
      <c r="H164" s="238" t="s">
        <v>130</v>
      </c>
      <c r="I164" s="238" t="s">
        <v>250</v>
      </c>
      <c r="J164" s="239">
        <v>49300</v>
      </c>
      <c r="K164" s="239">
        <v>60990</v>
      </c>
      <c r="L164" s="238" t="s">
        <v>615</v>
      </c>
      <c r="M164" s="237">
        <v>1</v>
      </c>
      <c r="N164" s="237"/>
      <c r="O164" s="238"/>
      <c r="P164" s="88" t="str">
        <f t="shared" si="2"/>
        <v>1</v>
      </c>
      <c r="Q164" s="88" t="str">
        <f>IFERROR(INDEX(Торг!$F:$F,MATCH($B164,Торг!$B:$B,0)),"Отсутствует")</f>
        <v>Y</v>
      </c>
      <c r="R164" s="36" t="str">
        <f>IFERROR(IF(AND(Q164="Отсутствует",VLOOKUP(A164,Торг!$A:$A,1,0)=A164),"Добавить","Есть"),"Новый")</f>
        <v>Есть</v>
      </c>
    </row>
    <row r="165" spans="1:18" ht="60" hidden="1">
      <c r="A165" s="238" t="s">
        <v>802</v>
      </c>
      <c r="B165" s="237">
        <v>132536</v>
      </c>
      <c r="C165" s="237">
        <v>166594</v>
      </c>
      <c r="D165" s="238" t="s">
        <v>957</v>
      </c>
      <c r="E165" s="238" t="s">
        <v>741</v>
      </c>
      <c r="F165" s="238"/>
      <c r="G165" s="238"/>
      <c r="H165" s="238" t="s">
        <v>130</v>
      </c>
      <c r="I165" s="238" t="s">
        <v>250</v>
      </c>
      <c r="J165" s="239">
        <v>48470</v>
      </c>
      <c r="K165" s="239">
        <v>59990</v>
      </c>
      <c r="L165" s="238" t="s">
        <v>615</v>
      </c>
      <c r="M165" s="237">
        <v>1</v>
      </c>
      <c r="N165" s="237"/>
      <c r="O165" s="238"/>
      <c r="P165" s="88" t="str">
        <f t="shared" si="2"/>
        <v>1</v>
      </c>
      <c r="Q165" s="88" t="str">
        <f>IFERROR(INDEX(Торг!$F:$F,MATCH($B165,Торг!$B:$B,0)),"Отсутствует")</f>
        <v>Y</v>
      </c>
      <c r="R165" s="36" t="str">
        <f>IFERROR(IF(AND(Q165="Отсутствует",VLOOKUP(A165,Торг!$A:$A,1,0)=A165),"Добавить","Есть"),"Новый")</f>
        <v>Есть</v>
      </c>
    </row>
    <row r="166" spans="1:18" ht="60" hidden="1">
      <c r="A166" s="238" t="s">
        <v>802</v>
      </c>
      <c r="B166" s="237">
        <v>341406</v>
      </c>
      <c r="C166" s="237">
        <v>341406</v>
      </c>
      <c r="D166" s="238" t="s">
        <v>958</v>
      </c>
      <c r="E166" s="238" t="s">
        <v>741</v>
      </c>
      <c r="F166" s="238"/>
      <c r="G166" s="238"/>
      <c r="H166" s="238" t="s">
        <v>130</v>
      </c>
      <c r="I166" s="238" t="s">
        <v>250</v>
      </c>
      <c r="J166" s="239">
        <v>49300</v>
      </c>
      <c r="K166" s="239">
        <v>60990</v>
      </c>
      <c r="L166" s="238" t="s">
        <v>615</v>
      </c>
      <c r="M166" s="237">
        <v>1</v>
      </c>
      <c r="N166" s="237"/>
      <c r="O166" s="238"/>
      <c r="P166" s="88" t="str">
        <f t="shared" si="2"/>
        <v>1</v>
      </c>
      <c r="Q166" s="88" t="str">
        <f>IFERROR(INDEX(Торг!$F:$F,MATCH($B166,Торг!$B:$B,0)),"Отсутствует")</f>
        <v>Y</v>
      </c>
      <c r="R166" s="36" t="str">
        <f>IFERROR(IF(AND(Q166="Отсутствует",VLOOKUP(A166,Торг!$A:$A,1,0)=A166),"Добавить","Есть"),"Новый")</f>
        <v>Есть</v>
      </c>
    </row>
    <row r="167" spans="1:18" ht="60" hidden="1">
      <c r="A167" s="238" t="s">
        <v>802</v>
      </c>
      <c r="B167" s="237">
        <v>132537</v>
      </c>
      <c r="C167" s="237">
        <v>166601</v>
      </c>
      <c r="D167" s="238" t="s">
        <v>959</v>
      </c>
      <c r="E167" s="238" t="s">
        <v>741</v>
      </c>
      <c r="F167" s="238"/>
      <c r="G167" s="238"/>
      <c r="H167" s="238" t="s">
        <v>130</v>
      </c>
      <c r="I167" s="238" t="s">
        <v>250</v>
      </c>
      <c r="J167" s="239">
        <v>48470</v>
      </c>
      <c r="K167" s="239">
        <v>59990</v>
      </c>
      <c r="L167" s="238" t="s">
        <v>615</v>
      </c>
      <c r="M167" s="237">
        <v>1</v>
      </c>
      <c r="N167" s="237"/>
      <c r="O167" s="238"/>
      <c r="P167" s="88" t="str">
        <f t="shared" si="2"/>
        <v>1</v>
      </c>
      <c r="Q167" s="88" t="str">
        <f>IFERROR(INDEX(Торг!$F:$F,MATCH($B167,Торг!$B:$B,0)),"Отсутствует")</f>
        <v>Y</v>
      </c>
      <c r="R167" s="36" t="str">
        <f>IFERROR(IF(AND(Q167="Отсутствует",VLOOKUP(A167,Торг!$A:$A,1,0)=A167),"Добавить","Есть"),"Новый")</f>
        <v>Есть</v>
      </c>
    </row>
    <row r="168" spans="1:18" ht="60" hidden="1">
      <c r="A168" s="238" t="s">
        <v>802</v>
      </c>
      <c r="B168" s="237">
        <v>341407</v>
      </c>
      <c r="C168" s="237">
        <v>341407</v>
      </c>
      <c r="D168" s="238" t="s">
        <v>960</v>
      </c>
      <c r="E168" s="238" t="s">
        <v>741</v>
      </c>
      <c r="F168" s="238"/>
      <c r="G168" s="238"/>
      <c r="H168" s="238" t="s">
        <v>130</v>
      </c>
      <c r="I168" s="238" t="s">
        <v>250</v>
      </c>
      <c r="J168" s="239">
        <v>49300</v>
      </c>
      <c r="K168" s="239">
        <v>60990</v>
      </c>
      <c r="L168" s="238" t="s">
        <v>615</v>
      </c>
      <c r="M168" s="237">
        <v>1</v>
      </c>
      <c r="N168" s="237"/>
      <c r="O168" s="238"/>
      <c r="P168" s="88" t="str">
        <f t="shared" si="2"/>
        <v>1</v>
      </c>
      <c r="Q168" s="88" t="str">
        <f>IFERROR(INDEX(Торг!$F:$F,MATCH($B168,Торг!$B:$B,0)),"Отсутствует")</f>
        <v>Y</v>
      </c>
      <c r="R168" s="36" t="str">
        <f>IFERROR(IF(AND(Q168="Отсутствует",VLOOKUP(A168,Торг!$A:$A,1,0)=A168),"Добавить","Есть"),"Новый")</f>
        <v>Есть</v>
      </c>
    </row>
    <row r="169" spans="1:18" ht="60" hidden="1">
      <c r="A169" s="238" t="s">
        <v>802</v>
      </c>
      <c r="B169" s="237">
        <v>132538</v>
      </c>
      <c r="C169" s="237">
        <v>166597</v>
      </c>
      <c r="D169" s="238" t="s">
        <v>961</v>
      </c>
      <c r="E169" s="238" t="s">
        <v>741</v>
      </c>
      <c r="F169" s="238"/>
      <c r="G169" s="238"/>
      <c r="H169" s="238" t="s">
        <v>130</v>
      </c>
      <c r="I169" s="238" t="s">
        <v>250</v>
      </c>
      <c r="J169" s="239">
        <v>48470</v>
      </c>
      <c r="K169" s="239">
        <v>59990</v>
      </c>
      <c r="L169" s="238" t="s">
        <v>615</v>
      </c>
      <c r="M169" s="237">
        <v>1</v>
      </c>
      <c r="N169" s="237"/>
      <c r="O169" s="238"/>
      <c r="P169" s="88" t="str">
        <f t="shared" si="2"/>
        <v>1</v>
      </c>
      <c r="Q169" s="88" t="str">
        <f>IFERROR(INDEX(Торг!$F:$F,MATCH($B169,Торг!$B:$B,0)),"Отсутствует")</f>
        <v>Y</v>
      </c>
      <c r="R169" s="36" t="str">
        <f>IFERROR(IF(AND(Q169="Отсутствует",VLOOKUP(A169,Торг!$A:$A,1,0)=A169),"Добавить","Есть"),"Новый")</f>
        <v>Есть</v>
      </c>
    </row>
    <row r="170" spans="1:18" ht="60" hidden="1">
      <c r="A170" s="238" t="s">
        <v>802</v>
      </c>
      <c r="B170" s="237">
        <v>341408</v>
      </c>
      <c r="C170" s="237">
        <v>341408</v>
      </c>
      <c r="D170" s="238" t="s">
        <v>962</v>
      </c>
      <c r="E170" s="238" t="s">
        <v>741</v>
      </c>
      <c r="F170" s="238"/>
      <c r="G170" s="238"/>
      <c r="H170" s="238" t="s">
        <v>130</v>
      </c>
      <c r="I170" s="238" t="s">
        <v>250</v>
      </c>
      <c r="J170" s="239">
        <v>49300</v>
      </c>
      <c r="K170" s="239">
        <v>60990</v>
      </c>
      <c r="L170" s="238" t="s">
        <v>615</v>
      </c>
      <c r="M170" s="237">
        <v>1</v>
      </c>
      <c r="N170" s="237"/>
      <c r="O170" s="238"/>
      <c r="P170" s="88" t="str">
        <f t="shared" si="2"/>
        <v>1</v>
      </c>
      <c r="Q170" s="88" t="str">
        <f>IFERROR(INDEX(Торг!$F:$F,MATCH($B170,Торг!$B:$B,0)),"Отсутствует")</f>
        <v>Y</v>
      </c>
      <c r="R170" s="36" t="str">
        <f>IFERROR(IF(AND(Q170="Отсутствует",VLOOKUP(A170,Торг!$A:$A,1,0)=A170),"Добавить","Есть"),"Новый")</f>
        <v>Есть</v>
      </c>
    </row>
    <row r="171" spans="1:18" ht="60" hidden="1">
      <c r="A171" s="238" t="s">
        <v>802</v>
      </c>
      <c r="B171" s="237">
        <v>132539</v>
      </c>
      <c r="C171" s="237">
        <v>166599</v>
      </c>
      <c r="D171" s="238" t="s">
        <v>963</v>
      </c>
      <c r="E171" s="238" t="s">
        <v>741</v>
      </c>
      <c r="F171" s="238"/>
      <c r="G171" s="238"/>
      <c r="H171" s="238" t="s">
        <v>130</v>
      </c>
      <c r="I171" s="238" t="s">
        <v>250</v>
      </c>
      <c r="J171" s="239">
        <v>48470</v>
      </c>
      <c r="K171" s="239">
        <v>59990</v>
      </c>
      <c r="L171" s="238" t="s">
        <v>615</v>
      </c>
      <c r="M171" s="237">
        <v>1</v>
      </c>
      <c r="N171" s="237"/>
      <c r="O171" s="238"/>
      <c r="P171" s="88" t="str">
        <f t="shared" si="2"/>
        <v>1</v>
      </c>
      <c r="Q171" s="88" t="str">
        <f>IFERROR(INDEX(Торг!$F:$F,MATCH($B171,Торг!$B:$B,0)),"Отсутствует")</f>
        <v>Y</v>
      </c>
      <c r="R171" s="36" t="str">
        <f>IFERROR(IF(AND(Q171="Отсутствует",VLOOKUP(A171,Торг!$A:$A,1,0)=A171),"Добавить","Есть"),"Новый")</f>
        <v>Есть</v>
      </c>
    </row>
    <row r="172" spans="1:18" ht="60" hidden="1">
      <c r="A172" s="238" t="s">
        <v>802</v>
      </c>
      <c r="B172" s="237">
        <v>341409</v>
      </c>
      <c r="C172" s="237">
        <v>341409</v>
      </c>
      <c r="D172" s="238" t="s">
        <v>964</v>
      </c>
      <c r="E172" s="238" t="s">
        <v>741</v>
      </c>
      <c r="F172" s="238"/>
      <c r="G172" s="238"/>
      <c r="H172" s="238" t="s">
        <v>130</v>
      </c>
      <c r="I172" s="238" t="s">
        <v>250</v>
      </c>
      <c r="J172" s="239">
        <v>49300</v>
      </c>
      <c r="K172" s="239">
        <v>60990</v>
      </c>
      <c r="L172" s="238" t="s">
        <v>615</v>
      </c>
      <c r="M172" s="237">
        <v>1</v>
      </c>
      <c r="N172" s="237"/>
      <c r="O172" s="238"/>
      <c r="P172" s="88" t="str">
        <f t="shared" si="2"/>
        <v>1</v>
      </c>
      <c r="Q172" s="88" t="str">
        <f>IFERROR(INDEX(Торг!$F:$F,MATCH($B172,Торг!$B:$B,0)),"Отсутствует")</f>
        <v>Y</v>
      </c>
      <c r="R172" s="36" t="str">
        <f>IFERROR(IF(AND(Q172="Отсутствует",VLOOKUP(A172,Торг!$A:$A,1,0)=A172),"Добавить","Есть"),"Новый")</f>
        <v>Есть</v>
      </c>
    </row>
    <row r="173" spans="1:18" ht="60" hidden="1">
      <c r="A173" s="238" t="s">
        <v>802</v>
      </c>
      <c r="B173" s="237">
        <v>132540</v>
      </c>
      <c r="C173" s="237">
        <v>166600</v>
      </c>
      <c r="D173" s="238" t="s">
        <v>965</v>
      </c>
      <c r="E173" s="238" t="s">
        <v>741</v>
      </c>
      <c r="F173" s="238"/>
      <c r="G173" s="238"/>
      <c r="H173" s="238" t="s">
        <v>130</v>
      </c>
      <c r="I173" s="238" t="s">
        <v>250</v>
      </c>
      <c r="J173" s="239">
        <v>48470</v>
      </c>
      <c r="K173" s="239">
        <v>59990</v>
      </c>
      <c r="L173" s="238" t="s">
        <v>615</v>
      </c>
      <c r="M173" s="237">
        <v>1</v>
      </c>
      <c r="N173" s="237"/>
      <c r="O173" s="238"/>
      <c r="P173" s="88" t="str">
        <f t="shared" si="2"/>
        <v>1</v>
      </c>
      <c r="Q173" s="88" t="str">
        <f>IFERROR(INDEX(Торг!$F:$F,MATCH($B173,Торг!$B:$B,0)),"Отсутствует")</f>
        <v>Y</v>
      </c>
      <c r="R173" s="36" t="str">
        <f>IFERROR(IF(AND(Q173="Отсутствует",VLOOKUP(A173,Торг!$A:$A,1,0)=A173),"Добавить","Есть"),"Новый")</f>
        <v>Есть</v>
      </c>
    </row>
    <row r="174" spans="1:18" ht="60" hidden="1">
      <c r="A174" s="238" t="s">
        <v>802</v>
      </c>
      <c r="B174" s="237">
        <v>341412</v>
      </c>
      <c r="C174" s="237">
        <v>341412</v>
      </c>
      <c r="D174" s="238" t="s">
        <v>966</v>
      </c>
      <c r="E174" s="238" t="s">
        <v>741</v>
      </c>
      <c r="F174" s="238"/>
      <c r="G174" s="238"/>
      <c r="H174" s="238" t="s">
        <v>130</v>
      </c>
      <c r="I174" s="238" t="s">
        <v>250</v>
      </c>
      <c r="J174" s="239">
        <v>49300</v>
      </c>
      <c r="K174" s="239">
        <v>60990</v>
      </c>
      <c r="L174" s="238" t="s">
        <v>615</v>
      </c>
      <c r="M174" s="237">
        <v>1</v>
      </c>
      <c r="N174" s="237"/>
      <c r="O174" s="238"/>
      <c r="P174" s="88" t="str">
        <f t="shared" si="2"/>
        <v>1</v>
      </c>
      <c r="Q174" s="88" t="str">
        <f>IFERROR(INDEX(Торг!$F:$F,MATCH($B174,Торг!$B:$B,0)),"Отсутствует")</f>
        <v>Y</v>
      </c>
      <c r="R174" s="36" t="str">
        <f>IFERROR(IF(AND(Q174="Отсутствует",VLOOKUP(A174,Торг!$A:$A,1,0)=A174),"Добавить","Есть"),"Новый")</f>
        <v>Есть</v>
      </c>
    </row>
    <row r="175" spans="1:18" ht="60" hidden="1">
      <c r="A175" s="238" t="s">
        <v>802</v>
      </c>
      <c r="B175" s="237">
        <v>132541</v>
      </c>
      <c r="C175" s="237">
        <v>166596</v>
      </c>
      <c r="D175" s="238" t="s">
        <v>967</v>
      </c>
      <c r="E175" s="238" t="s">
        <v>741</v>
      </c>
      <c r="F175" s="238"/>
      <c r="G175" s="238"/>
      <c r="H175" s="238" t="s">
        <v>130</v>
      </c>
      <c r="I175" s="238" t="s">
        <v>250</v>
      </c>
      <c r="J175" s="239">
        <v>48470</v>
      </c>
      <c r="K175" s="239">
        <v>59990</v>
      </c>
      <c r="L175" s="238" t="s">
        <v>615</v>
      </c>
      <c r="M175" s="237">
        <v>1</v>
      </c>
      <c r="N175" s="237"/>
      <c r="O175" s="238"/>
      <c r="P175" s="88" t="str">
        <f t="shared" si="2"/>
        <v>1</v>
      </c>
      <c r="Q175" s="88" t="str">
        <f>IFERROR(INDEX(Торг!$F:$F,MATCH($B175,Торг!$B:$B,0)),"Отсутствует")</f>
        <v>Y</v>
      </c>
      <c r="R175" s="36" t="str">
        <f>IFERROR(IF(AND(Q175="Отсутствует",VLOOKUP(A175,Торг!$A:$A,1,0)=A175),"Добавить","Есть"),"Новый")</f>
        <v>Есть</v>
      </c>
    </row>
    <row r="176" spans="1:18" ht="60" hidden="1">
      <c r="A176" s="238" t="s">
        <v>802</v>
      </c>
      <c r="B176" s="237">
        <v>341410</v>
      </c>
      <c r="C176" s="237">
        <v>341410</v>
      </c>
      <c r="D176" s="238" t="s">
        <v>968</v>
      </c>
      <c r="E176" s="238" t="s">
        <v>741</v>
      </c>
      <c r="F176" s="238"/>
      <c r="G176" s="238"/>
      <c r="H176" s="238" t="s">
        <v>130</v>
      </c>
      <c r="I176" s="238" t="s">
        <v>250</v>
      </c>
      <c r="J176" s="239">
        <v>49300</v>
      </c>
      <c r="K176" s="239">
        <v>60990</v>
      </c>
      <c r="L176" s="238" t="s">
        <v>615</v>
      </c>
      <c r="M176" s="237">
        <v>1</v>
      </c>
      <c r="N176" s="237"/>
      <c r="O176" s="238"/>
      <c r="P176" s="88" t="str">
        <f t="shared" si="2"/>
        <v>1</v>
      </c>
      <c r="Q176" s="88" t="str">
        <f>IFERROR(INDEX(Торг!$F:$F,MATCH($B176,Торг!$B:$B,0)),"Отсутствует")</f>
        <v>Y</v>
      </c>
      <c r="R176" s="36" t="str">
        <f>IFERROR(IF(AND(Q176="Отсутствует",VLOOKUP(A176,Торг!$A:$A,1,0)=A176),"Добавить","Есть"),"Новый")</f>
        <v>Есть</v>
      </c>
    </row>
    <row r="177" spans="1:18" ht="60" hidden="1">
      <c r="A177" s="238" t="s">
        <v>802</v>
      </c>
      <c r="B177" s="237">
        <v>132542</v>
      </c>
      <c r="C177" s="237">
        <v>166595</v>
      </c>
      <c r="D177" s="238" t="s">
        <v>969</v>
      </c>
      <c r="E177" s="238" t="s">
        <v>741</v>
      </c>
      <c r="F177" s="238"/>
      <c r="G177" s="238"/>
      <c r="H177" s="238" t="s">
        <v>130</v>
      </c>
      <c r="I177" s="238" t="s">
        <v>250</v>
      </c>
      <c r="J177" s="239">
        <v>48470</v>
      </c>
      <c r="K177" s="239">
        <v>59990</v>
      </c>
      <c r="L177" s="238" t="s">
        <v>615</v>
      </c>
      <c r="M177" s="237">
        <v>1</v>
      </c>
      <c r="N177" s="237"/>
      <c r="O177" s="238"/>
      <c r="P177" s="88" t="str">
        <f t="shared" si="2"/>
        <v>1</v>
      </c>
      <c r="Q177" s="88" t="str">
        <f>IFERROR(INDEX(Торг!$F:$F,MATCH($B177,Торг!$B:$B,0)),"Отсутствует")</f>
        <v>Y</v>
      </c>
      <c r="R177" s="36" t="str">
        <f>IFERROR(IF(AND(Q177="Отсутствует",VLOOKUP(A177,Торг!$A:$A,1,0)=A177),"Добавить","Есть"),"Новый")</f>
        <v>Есть</v>
      </c>
    </row>
    <row r="178" spans="1:18" ht="45" hidden="1">
      <c r="A178" s="238" t="s">
        <v>802</v>
      </c>
      <c r="B178" s="237">
        <v>341411</v>
      </c>
      <c r="C178" s="237">
        <v>341411</v>
      </c>
      <c r="D178" s="238" t="s">
        <v>970</v>
      </c>
      <c r="E178" s="238" t="s">
        <v>741</v>
      </c>
      <c r="F178" s="238"/>
      <c r="G178" s="238"/>
      <c r="H178" s="238" t="s">
        <v>130</v>
      </c>
      <c r="I178" s="238" t="s">
        <v>250</v>
      </c>
      <c r="J178" s="239">
        <v>49300</v>
      </c>
      <c r="K178" s="239">
        <v>60990</v>
      </c>
      <c r="L178" s="238" t="s">
        <v>615</v>
      </c>
      <c r="M178" s="237">
        <v>1</v>
      </c>
      <c r="N178" s="237"/>
      <c r="O178" s="238"/>
      <c r="P178" s="88" t="str">
        <f t="shared" si="2"/>
        <v>1</v>
      </c>
      <c r="Q178" s="88" t="str">
        <f>IFERROR(INDEX(Торг!$F:$F,MATCH($B178,Торг!$B:$B,0)),"Отсутствует")</f>
        <v>Y</v>
      </c>
      <c r="R178" s="36" t="str">
        <f>IFERROR(IF(AND(Q178="Отсутствует",VLOOKUP(A178,Торг!$A:$A,1,0)=A178),"Добавить","Есть"),"Новый")</f>
        <v>Есть</v>
      </c>
    </row>
    <row r="179" spans="1:18" ht="60" hidden="1">
      <c r="A179" s="238" t="s">
        <v>802</v>
      </c>
      <c r="B179" s="237">
        <v>132543</v>
      </c>
      <c r="C179" s="237">
        <v>166593</v>
      </c>
      <c r="D179" s="238" t="s">
        <v>971</v>
      </c>
      <c r="E179" s="238" t="s">
        <v>741</v>
      </c>
      <c r="F179" s="238"/>
      <c r="G179" s="238"/>
      <c r="H179" s="238" t="s">
        <v>130</v>
      </c>
      <c r="I179" s="238" t="s">
        <v>250</v>
      </c>
      <c r="J179" s="239">
        <v>48470</v>
      </c>
      <c r="K179" s="239">
        <v>59990</v>
      </c>
      <c r="L179" s="238" t="s">
        <v>615</v>
      </c>
      <c r="M179" s="237">
        <v>1</v>
      </c>
      <c r="N179" s="237"/>
      <c r="O179" s="238"/>
      <c r="P179" s="88" t="str">
        <f t="shared" si="2"/>
        <v>1</v>
      </c>
      <c r="Q179" s="88" t="str">
        <f>IFERROR(INDEX(Торг!$F:$F,MATCH($B179,Торг!$B:$B,0)),"Отсутствует")</f>
        <v>Y</v>
      </c>
      <c r="R179" s="36" t="str">
        <f>IFERROR(IF(AND(Q179="Отсутствует",VLOOKUP(A179,Торг!$A:$A,1,0)=A179),"Добавить","Есть"),"Новый")</f>
        <v>Есть</v>
      </c>
    </row>
    <row r="180" spans="1:18" ht="60" hidden="1">
      <c r="A180" s="238" t="s">
        <v>802</v>
      </c>
      <c r="B180" s="237">
        <v>341413</v>
      </c>
      <c r="C180" s="237">
        <v>341413</v>
      </c>
      <c r="D180" s="238" t="s">
        <v>972</v>
      </c>
      <c r="E180" s="238" t="s">
        <v>741</v>
      </c>
      <c r="F180" s="238"/>
      <c r="G180" s="238"/>
      <c r="H180" s="238" t="s">
        <v>130</v>
      </c>
      <c r="I180" s="238" t="s">
        <v>250</v>
      </c>
      <c r="J180" s="239">
        <v>49300</v>
      </c>
      <c r="K180" s="239">
        <v>60990</v>
      </c>
      <c r="L180" s="238" t="s">
        <v>615</v>
      </c>
      <c r="M180" s="237">
        <v>1</v>
      </c>
      <c r="N180" s="237"/>
      <c r="O180" s="238"/>
      <c r="P180" s="88" t="str">
        <f t="shared" si="2"/>
        <v>1</v>
      </c>
      <c r="Q180" s="88" t="str">
        <f>IFERROR(INDEX(Торг!$F:$F,MATCH($B180,Торг!$B:$B,0)),"Отсутствует")</f>
        <v>Y</v>
      </c>
      <c r="R180" s="36" t="str">
        <f>IFERROR(IF(AND(Q180="Отсутствует",VLOOKUP(A180,Торг!$A:$A,1,0)=A180),"Добавить","Есть"),"Новый")</f>
        <v>Есть</v>
      </c>
    </row>
    <row r="181" spans="1:18" ht="60" hidden="1">
      <c r="A181" s="238" t="s">
        <v>802</v>
      </c>
      <c r="B181" s="237">
        <v>132544</v>
      </c>
      <c r="C181" s="237">
        <v>166592</v>
      </c>
      <c r="D181" s="238" t="s">
        <v>973</v>
      </c>
      <c r="E181" s="238" t="s">
        <v>741</v>
      </c>
      <c r="F181" s="238"/>
      <c r="G181" s="238"/>
      <c r="H181" s="238" t="s">
        <v>130</v>
      </c>
      <c r="I181" s="238" t="s">
        <v>250</v>
      </c>
      <c r="J181" s="239">
        <v>48470</v>
      </c>
      <c r="K181" s="239">
        <v>59990</v>
      </c>
      <c r="L181" s="238" t="s">
        <v>615</v>
      </c>
      <c r="M181" s="237">
        <v>1</v>
      </c>
      <c r="N181" s="237"/>
      <c r="O181" s="238"/>
      <c r="P181" s="88" t="str">
        <f t="shared" si="2"/>
        <v>1</v>
      </c>
      <c r="Q181" s="88" t="str">
        <f>IFERROR(INDEX(Торг!$F:$F,MATCH($B181,Торг!$B:$B,0)),"Отсутствует")</f>
        <v>Y</v>
      </c>
      <c r="R181" s="36" t="str">
        <f>IFERROR(IF(AND(Q181="Отсутствует",VLOOKUP(A181,Торг!$A:$A,1,0)=A181),"Добавить","Есть"),"Новый")</f>
        <v>Есть</v>
      </c>
    </row>
    <row r="182" spans="1:18" ht="60" hidden="1">
      <c r="A182" s="238" t="s">
        <v>802</v>
      </c>
      <c r="B182" s="237">
        <v>341405</v>
      </c>
      <c r="C182" s="237">
        <v>341405</v>
      </c>
      <c r="D182" s="238" t="s">
        <v>974</v>
      </c>
      <c r="E182" s="238" t="s">
        <v>741</v>
      </c>
      <c r="F182" s="238"/>
      <c r="G182" s="238"/>
      <c r="H182" s="238" t="s">
        <v>130</v>
      </c>
      <c r="I182" s="238" t="s">
        <v>250</v>
      </c>
      <c r="J182" s="239">
        <v>49300</v>
      </c>
      <c r="K182" s="239">
        <v>60990</v>
      </c>
      <c r="L182" s="238" t="s">
        <v>615</v>
      </c>
      <c r="M182" s="237">
        <v>1</v>
      </c>
      <c r="N182" s="237"/>
      <c r="O182" s="238"/>
      <c r="P182" s="88" t="str">
        <f t="shared" si="2"/>
        <v>1</v>
      </c>
      <c r="Q182" s="88" t="str">
        <f>IFERROR(INDEX(Торг!$F:$F,MATCH($B182,Торг!$B:$B,0)),"Отсутствует")</f>
        <v>Y</v>
      </c>
      <c r="R182" s="36" t="str">
        <f>IFERROR(IF(AND(Q182="Отсутствует",VLOOKUP(A182,Торг!$A:$A,1,0)=A182),"Добавить","Есть"),"Новый")</f>
        <v>Есть</v>
      </c>
    </row>
    <row r="183" spans="1:18" ht="60" hidden="1">
      <c r="A183" s="238" t="s">
        <v>802</v>
      </c>
      <c r="B183" s="237">
        <v>132545</v>
      </c>
      <c r="C183" s="237">
        <v>166591</v>
      </c>
      <c r="D183" s="238" t="s">
        <v>975</v>
      </c>
      <c r="E183" s="238" t="s">
        <v>741</v>
      </c>
      <c r="F183" s="238"/>
      <c r="G183" s="238"/>
      <c r="H183" s="238" t="s">
        <v>130</v>
      </c>
      <c r="I183" s="238" t="s">
        <v>250</v>
      </c>
      <c r="J183" s="239">
        <v>47600</v>
      </c>
      <c r="K183" s="239">
        <v>58890</v>
      </c>
      <c r="L183" s="238" t="s">
        <v>615</v>
      </c>
      <c r="M183" s="237">
        <v>1</v>
      </c>
      <c r="N183" s="237"/>
      <c r="O183" s="238"/>
      <c r="P183" s="88" t="str">
        <f t="shared" si="2"/>
        <v>1</v>
      </c>
      <c r="Q183" s="88" t="str">
        <f>IFERROR(INDEX(Торг!$F:$F,MATCH($B183,Торг!$B:$B,0)),"Отсутствует")</f>
        <v>Y</v>
      </c>
      <c r="R183" s="36" t="str">
        <f>IFERROR(IF(AND(Q183="Отсутствует",VLOOKUP(A183,Торг!$A:$A,1,0)=A183),"Добавить","Есть"),"Новый")</f>
        <v>Есть</v>
      </c>
    </row>
    <row r="184" spans="1:18" ht="60" hidden="1">
      <c r="A184" s="238" t="s">
        <v>802</v>
      </c>
      <c r="B184" s="237">
        <v>341404</v>
      </c>
      <c r="C184" s="237">
        <v>341404</v>
      </c>
      <c r="D184" s="238" t="s">
        <v>976</v>
      </c>
      <c r="E184" s="238" t="s">
        <v>741</v>
      </c>
      <c r="F184" s="238"/>
      <c r="G184" s="238"/>
      <c r="H184" s="238" t="s">
        <v>130</v>
      </c>
      <c r="I184" s="238" t="s">
        <v>250</v>
      </c>
      <c r="J184" s="239">
        <v>48430</v>
      </c>
      <c r="K184" s="239">
        <v>59890</v>
      </c>
      <c r="L184" s="238" t="s">
        <v>615</v>
      </c>
      <c r="M184" s="237">
        <v>1</v>
      </c>
      <c r="N184" s="237"/>
      <c r="O184" s="238"/>
      <c r="P184" s="88" t="str">
        <f t="shared" si="2"/>
        <v>1</v>
      </c>
      <c r="Q184" s="88" t="str">
        <f>IFERROR(INDEX(Торг!$F:$F,MATCH($B184,Торг!$B:$B,0)),"Отсутствует")</f>
        <v>Y</v>
      </c>
      <c r="R184" s="36" t="str">
        <f>IFERROR(IF(AND(Q184="Отсутствует",VLOOKUP(A184,Торг!$A:$A,1,0)=A184),"Добавить","Есть"),"Новый")</f>
        <v>Есть</v>
      </c>
    </row>
    <row r="185" spans="1:18" ht="45" hidden="1">
      <c r="A185" s="238" t="s">
        <v>803</v>
      </c>
      <c r="B185" s="237">
        <v>132547</v>
      </c>
      <c r="C185" s="237">
        <v>165061</v>
      </c>
      <c r="D185" s="238" t="s">
        <v>977</v>
      </c>
      <c r="E185" s="238" t="s">
        <v>741</v>
      </c>
      <c r="F185" s="238"/>
      <c r="G185" s="238"/>
      <c r="H185" s="238" t="s">
        <v>126</v>
      </c>
      <c r="I185" s="238" t="s">
        <v>250</v>
      </c>
      <c r="J185" s="239">
        <v>46870</v>
      </c>
      <c r="K185" s="239">
        <v>57990</v>
      </c>
      <c r="L185" s="238" t="s">
        <v>614</v>
      </c>
      <c r="M185" s="237">
        <v>1</v>
      </c>
      <c r="N185" s="237"/>
      <c r="O185" s="238"/>
      <c r="P185" s="88" t="str">
        <f t="shared" si="2"/>
        <v>1</v>
      </c>
      <c r="Q185" s="88" t="str">
        <f>IFERROR(INDEX(Торг!$F:$F,MATCH($B185,Торг!$B:$B,0)),"Отсутствует")</f>
        <v>Y</v>
      </c>
      <c r="R185" s="36" t="str">
        <f>IFERROR(IF(AND(Q185="Отсутствует",VLOOKUP(A185,Торг!$A:$A,1,0)=A185),"Добавить","Есть"),"Новый")</f>
        <v>Есть</v>
      </c>
    </row>
    <row r="186" spans="1:18" ht="45" hidden="1">
      <c r="A186" s="238" t="s">
        <v>803</v>
      </c>
      <c r="B186" s="237">
        <v>341419</v>
      </c>
      <c r="C186" s="237">
        <v>341419</v>
      </c>
      <c r="D186" s="238" t="s">
        <v>978</v>
      </c>
      <c r="E186" s="238" t="s">
        <v>741</v>
      </c>
      <c r="F186" s="238"/>
      <c r="G186" s="238"/>
      <c r="H186" s="238" t="s">
        <v>126</v>
      </c>
      <c r="I186" s="238" t="s">
        <v>250</v>
      </c>
      <c r="J186" s="239">
        <v>47700</v>
      </c>
      <c r="K186" s="239">
        <v>58990</v>
      </c>
      <c r="L186" s="238" t="s">
        <v>614</v>
      </c>
      <c r="M186" s="237">
        <v>1</v>
      </c>
      <c r="N186" s="237"/>
      <c r="O186" s="238"/>
      <c r="P186" s="88" t="str">
        <f t="shared" si="2"/>
        <v>1</v>
      </c>
      <c r="Q186" s="88" t="str">
        <f>IFERROR(INDEX(Торг!$F:$F,MATCH($B186,Торг!$B:$B,0)),"Отсутствует")</f>
        <v>Y</v>
      </c>
      <c r="R186" s="36" t="str">
        <f>IFERROR(IF(AND(Q186="Отсутствует",VLOOKUP(A186,Торг!$A:$A,1,0)=A186),"Добавить","Есть"),"Новый")</f>
        <v>Есть</v>
      </c>
    </row>
    <row r="187" spans="1:18" ht="45" hidden="1">
      <c r="A187" s="238" t="s">
        <v>803</v>
      </c>
      <c r="B187" s="237">
        <v>132548</v>
      </c>
      <c r="C187" s="237">
        <v>165056</v>
      </c>
      <c r="D187" s="238" t="s">
        <v>979</v>
      </c>
      <c r="E187" s="238" t="s">
        <v>741</v>
      </c>
      <c r="F187" s="238"/>
      <c r="G187" s="238"/>
      <c r="H187" s="238" t="s">
        <v>126</v>
      </c>
      <c r="I187" s="238" t="s">
        <v>250</v>
      </c>
      <c r="J187" s="239">
        <v>46870</v>
      </c>
      <c r="K187" s="239">
        <v>57990</v>
      </c>
      <c r="L187" s="238" t="s">
        <v>614</v>
      </c>
      <c r="M187" s="237">
        <v>1</v>
      </c>
      <c r="N187" s="237"/>
      <c r="O187" s="238"/>
      <c r="P187" s="88" t="str">
        <f t="shared" si="2"/>
        <v>1</v>
      </c>
      <c r="Q187" s="88" t="str">
        <f>IFERROR(INDEX(Торг!$F:$F,MATCH($B187,Торг!$B:$B,0)),"Отсутствует")</f>
        <v>Y</v>
      </c>
      <c r="R187" s="36" t="str">
        <f>IFERROR(IF(AND(Q187="Отсутствует",VLOOKUP(A187,Торг!$A:$A,1,0)=A187),"Добавить","Есть"),"Новый")</f>
        <v>Есть</v>
      </c>
    </row>
    <row r="188" spans="1:18" ht="45" hidden="1">
      <c r="A188" s="238" t="s">
        <v>803</v>
      </c>
      <c r="B188" s="237">
        <v>341431</v>
      </c>
      <c r="C188" s="237">
        <v>341431</v>
      </c>
      <c r="D188" s="238" t="s">
        <v>980</v>
      </c>
      <c r="E188" s="238" t="s">
        <v>741</v>
      </c>
      <c r="F188" s="238"/>
      <c r="G188" s="238"/>
      <c r="H188" s="238" t="s">
        <v>126</v>
      </c>
      <c r="I188" s="238" t="s">
        <v>250</v>
      </c>
      <c r="J188" s="239">
        <v>47700</v>
      </c>
      <c r="K188" s="239">
        <v>58990</v>
      </c>
      <c r="L188" s="238" t="s">
        <v>614</v>
      </c>
      <c r="M188" s="237">
        <v>1</v>
      </c>
      <c r="N188" s="237"/>
      <c r="O188" s="238"/>
      <c r="P188" s="88" t="str">
        <f t="shared" si="2"/>
        <v>1</v>
      </c>
      <c r="Q188" s="88" t="str">
        <f>IFERROR(INDEX(Торг!$F:$F,MATCH($B188,Торг!$B:$B,0)),"Отсутствует")</f>
        <v>Y</v>
      </c>
      <c r="R188" s="36" t="str">
        <f>IFERROR(IF(AND(Q188="Отсутствует",VLOOKUP(A188,Торг!$A:$A,1,0)=A188),"Добавить","Есть"),"Новый")</f>
        <v>Есть</v>
      </c>
    </row>
    <row r="189" spans="1:18" ht="45" hidden="1">
      <c r="A189" s="238" t="s">
        <v>803</v>
      </c>
      <c r="B189" s="237">
        <v>132549</v>
      </c>
      <c r="C189" s="237">
        <v>165060</v>
      </c>
      <c r="D189" s="238" t="s">
        <v>981</v>
      </c>
      <c r="E189" s="238" t="s">
        <v>741</v>
      </c>
      <c r="F189" s="238"/>
      <c r="G189" s="238"/>
      <c r="H189" s="238" t="s">
        <v>126</v>
      </c>
      <c r="I189" s="238" t="s">
        <v>250</v>
      </c>
      <c r="J189" s="239">
        <v>46870</v>
      </c>
      <c r="K189" s="239">
        <v>57990</v>
      </c>
      <c r="L189" s="238" t="s">
        <v>614</v>
      </c>
      <c r="M189" s="237">
        <v>1</v>
      </c>
      <c r="N189" s="237"/>
      <c r="O189" s="238"/>
      <c r="P189" s="88" t="str">
        <f t="shared" si="2"/>
        <v>1</v>
      </c>
      <c r="Q189" s="88" t="str">
        <f>IFERROR(INDEX(Торг!$F:$F,MATCH($B189,Торг!$B:$B,0)),"Отсутствует")</f>
        <v>Y</v>
      </c>
      <c r="R189" s="36" t="str">
        <f>IFERROR(IF(AND(Q189="Отсутствует",VLOOKUP(A189,Торг!$A:$A,1,0)=A189),"Добавить","Есть"),"Новый")</f>
        <v>Есть</v>
      </c>
    </row>
    <row r="190" spans="1:18" ht="45" hidden="1">
      <c r="A190" s="238" t="s">
        <v>803</v>
      </c>
      <c r="B190" s="237">
        <v>341430</v>
      </c>
      <c r="C190" s="237">
        <v>341430</v>
      </c>
      <c r="D190" s="238" t="s">
        <v>982</v>
      </c>
      <c r="E190" s="238" t="s">
        <v>741</v>
      </c>
      <c r="F190" s="238"/>
      <c r="G190" s="238"/>
      <c r="H190" s="238" t="s">
        <v>126</v>
      </c>
      <c r="I190" s="238" t="s">
        <v>250</v>
      </c>
      <c r="J190" s="239">
        <v>47700</v>
      </c>
      <c r="K190" s="239">
        <v>58990</v>
      </c>
      <c r="L190" s="238" t="s">
        <v>614</v>
      </c>
      <c r="M190" s="237">
        <v>1</v>
      </c>
      <c r="N190" s="237"/>
      <c r="O190" s="238"/>
      <c r="P190" s="88" t="str">
        <f t="shared" si="2"/>
        <v>1</v>
      </c>
      <c r="Q190" s="88" t="str">
        <f>IFERROR(INDEX(Торг!$F:$F,MATCH($B190,Торг!$B:$B,0)),"Отсутствует")</f>
        <v>Y</v>
      </c>
      <c r="R190" s="36" t="str">
        <f>IFERROR(IF(AND(Q190="Отсутствует",VLOOKUP(A190,Торг!$A:$A,1,0)=A190),"Добавить","Есть"),"Новый")</f>
        <v>Есть</v>
      </c>
    </row>
    <row r="191" spans="1:18" ht="60" hidden="1">
      <c r="A191" s="238" t="s">
        <v>803</v>
      </c>
      <c r="B191" s="237">
        <v>132550</v>
      </c>
      <c r="C191" s="237">
        <v>165052</v>
      </c>
      <c r="D191" s="238" t="s">
        <v>983</v>
      </c>
      <c r="E191" s="238" t="s">
        <v>741</v>
      </c>
      <c r="F191" s="238"/>
      <c r="G191" s="238"/>
      <c r="H191" s="238" t="s">
        <v>126</v>
      </c>
      <c r="I191" s="238" t="s">
        <v>250</v>
      </c>
      <c r="J191" s="239">
        <v>46870</v>
      </c>
      <c r="K191" s="239">
        <v>57990</v>
      </c>
      <c r="L191" s="238" t="s">
        <v>614</v>
      </c>
      <c r="M191" s="237">
        <v>1</v>
      </c>
      <c r="N191" s="237"/>
      <c r="O191" s="238"/>
      <c r="P191" s="88" t="str">
        <f t="shared" si="2"/>
        <v>1</v>
      </c>
      <c r="Q191" s="88" t="str">
        <f>IFERROR(INDEX(Торг!$F:$F,MATCH($B191,Торг!$B:$B,0)),"Отсутствует")</f>
        <v>Y</v>
      </c>
      <c r="R191" s="36" t="str">
        <f>IFERROR(IF(AND(Q191="Отсутствует",VLOOKUP(A191,Торг!$A:$A,1,0)=A191),"Добавить","Есть"),"Новый")</f>
        <v>Есть</v>
      </c>
    </row>
    <row r="192" spans="1:18" ht="45" hidden="1">
      <c r="A192" s="238" t="s">
        <v>803</v>
      </c>
      <c r="B192" s="237">
        <v>341422</v>
      </c>
      <c r="C192" s="237">
        <v>341422</v>
      </c>
      <c r="D192" s="238" t="s">
        <v>984</v>
      </c>
      <c r="E192" s="238" t="s">
        <v>741</v>
      </c>
      <c r="F192" s="238"/>
      <c r="G192" s="238"/>
      <c r="H192" s="238" t="s">
        <v>126</v>
      </c>
      <c r="I192" s="238" t="s">
        <v>250</v>
      </c>
      <c r="J192" s="239">
        <v>47700</v>
      </c>
      <c r="K192" s="239">
        <v>58990</v>
      </c>
      <c r="L192" s="238" t="s">
        <v>614</v>
      </c>
      <c r="M192" s="237">
        <v>1</v>
      </c>
      <c r="N192" s="237"/>
      <c r="O192" s="238"/>
      <c r="P192" s="88" t="str">
        <f t="shared" si="2"/>
        <v>1</v>
      </c>
      <c r="Q192" s="88" t="str">
        <f>IFERROR(INDEX(Торг!$F:$F,MATCH($B192,Торг!$B:$B,0)),"Отсутствует")</f>
        <v>Y</v>
      </c>
      <c r="R192" s="36" t="str">
        <f>IFERROR(IF(AND(Q192="Отсутствует",VLOOKUP(A192,Торг!$A:$A,1,0)=A192),"Добавить","Есть"),"Новый")</f>
        <v>Есть</v>
      </c>
    </row>
    <row r="193" spans="1:18" ht="45" hidden="1">
      <c r="A193" s="238" t="s">
        <v>803</v>
      </c>
      <c r="B193" s="237">
        <v>132551</v>
      </c>
      <c r="C193" s="237">
        <v>165059</v>
      </c>
      <c r="D193" s="238" t="s">
        <v>985</v>
      </c>
      <c r="E193" s="238" t="s">
        <v>741</v>
      </c>
      <c r="F193" s="238"/>
      <c r="G193" s="238"/>
      <c r="H193" s="238" t="s">
        <v>126</v>
      </c>
      <c r="I193" s="238" t="s">
        <v>250</v>
      </c>
      <c r="J193" s="239">
        <v>46870</v>
      </c>
      <c r="K193" s="239">
        <v>57990</v>
      </c>
      <c r="L193" s="238" t="s">
        <v>614</v>
      </c>
      <c r="M193" s="237">
        <v>1</v>
      </c>
      <c r="N193" s="237"/>
      <c r="O193" s="238"/>
      <c r="P193" s="88" t="str">
        <f t="shared" si="2"/>
        <v>1</v>
      </c>
      <c r="Q193" s="88" t="str">
        <f>IFERROR(INDEX(Торг!$F:$F,MATCH($B193,Торг!$B:$B,0)),"Отсутствует")</f>
        <v>Y</v>
      </c>
      <c r="R193" s="36" t="str">
        <f>IFERROR(IF(AND(Q193="Отсутствует",VLOOKUP(A193,Торг!$A:$A,1,0)=A193),"Добавить","Есть"),"Новый")</f>
        <v>Есть</v>
      </c>
    </row>
    <row r="194" spans="1:18" ht="45" hidden="1">
      <c r="A194" s="238" t="s">
        <v>803</v>
      </c>
      <c r="B194" s="237">
        <v>341423</v>
      </c>
      <c r="C194" s="237">
        <v>341423</v>
      </c>
      <c r="D194" s="238" t="s">
        <v>986</v>
      </c>
      <c r="E194" s="238" t="s">
        <v>741</v>
      </c>
      <c r="F194" s="238"/>
      <c r="G194" s="238"/>
      <c r="H194" s="238" t="s">
        <v>126</v>
      </c>
      <c r="I194" s="238" t="s">
        <v>250</v>
      </c>
      <c r="J194" s="239">
        <v>47700</v>
      </c>
      <c r="K194" s="239">
        <v>58990</v>
      </c>
      <c r="L194" s="238" t="s">
        <v>614</v>
      </c>
      <c r="M194" s="237">
        <v>1</v>
      </c>
      <c r="N194" s="237"/>
      <c r="O194" s="238"/>
      <c r="P194" s="88" t="str">
        <f t="shared" si="2"/>
        <v>1</v>
      </c>
      <c r="Q194" s="88" t="str">
        <f>IFERROR(INDEX(Торг!$F:$F,MATCH($B194,Торг!$B:$B,0)),"Отсутствует")</f>
        <v>Y</v>
      </c>
      <c r="R194" s="36" t="str">
        <f>IFERROR(IF(AND(Q194="Отсутствует",VLOOKUP(A194,Торг!$A:$A,1,0)=A194),"Добавить","Есть"),"Новый")</f>
        <v>Есть</v>
      </c>
    </row>
    <row r="195" spans="1:18" ht="60" hidden="1">
      <c r="A195" s="238" t="s">
        <v>803</v>
      </c>
      <c r="B195" s="237">
        <v>132552</v>
      </c>
      <c r="C195" s="237">
        <v>165055</v>
      </c>
      <c r="D195" s="238" t="s">
        <v>987</v>
      </c>
      <c r="E195" s="238" t="s">
        <v>741</v>
      </c>
      <c r="F195" s="238"/>
      <c r="G195" s="238"/>
      <c r="H195" s="238" t="s">
        <v>126</v>
      </c>
      <c r="I195" s="238" t="s">
        <v>250</v>
      </c>
      <c r="J195" s="239">
        <v>46870</v>
      </c>
      <c r="K195" s="239">
        <v>57990</v>
      </c>
      <c r="L195" s="238" t="s">
        <v>614</v>
      </c>
      <c r="M195" s="237">
        <v>1</v>
      </c>
      <c r="N195" s="237"/>
      <c r="O195" s="238"/>
      <c r="P195" s="88" t="str">
        <f t="shared" ref="P195:P258" si="3">_xlfn.CONCAT(M195,IF(N195&lt;&gt;"",_xlfn.CONCAT("ск",N195),""))</f>
        <v>1</v>
      </c>
      <c r="Q195" s="88" t="str">
        <f>IFERROR(INDEX(Торг!$F:$F,MATCH($B195,Торг!$B:$B,0)),"Отсутствует")</f>
        <v>Y</v>
      </c>
      <c r="R195" s="36" t="str">
        <f>IFERROR(IF(AND(Q195="Отсутствует",VLOOKUP(A195,Торг!$A:$A,1,0)=A195),"Добавить","Есть"),"Новый")</f>
        <v>Есть</v>
      </c>
    </row>
    <row r="196" spans="1:18" ht="45" hidden="1">
      <c r="A196" s="238" t="s">
        <v>803</v>
      </c>
      <c r="B196" s="237">
        <v>341424</v>
      </c>
      <c r="C196" s="237">
        <v>341424</v>
      </c>
      <c r="D196" s="238" t="s">
        <v>988</v>
      </c>
      <c r="E196" s="238" t="s">
        <v>741</v>
      </c>
      <c r="F196" s="238"/>
      <c r="G196" s="238"/>
      <c r="H196" s="238" t="s">
        <v>126</v>
      </c>
      <c r="I196" s="238" t="s">
        <v>250</v>
      </c>
      <c r="J196" s="239">
        <v>47700</v>
      </c>
      <c r="K196" s="239">
        <v>58990</v>
      </c>
      <c r="L196" s="238" t="s">
        <v>614</v>
      </c>
      <c r="M196" s="237">
        <v>1</v>
      </c>
      <c r="N196" s="237"/>
      <c r="O196" s="238"/>
      <c r="P196" s="88" t="str">
        <f t="shared" si="3"/>
        <v>1</v>
      </c>
      <c r="Q196" s="88" t="str">
        <f>IFERROR(INDEX(Торг!$F:$F,MATCH($B196,Торг!$B:$B,0)),"Отсутствует")</f>
        <v>Y</v>
      </c>
      <c r="R196" s="36" t="str">
        <f>IFERROR(IF(AND(Q196="Отсутствует",VLOOKUP(A196,Торг!$A:$A,1,0)=A196),"Добавить","Есть"),"Новый")</f>
        <v>Есть</v>
      </c>
    </row>
    <row r="197" spans="1:18" ht="60" hidden="1">
      <c r="A197" s="238" t="s">
        <v>803</v>
      </c>
      <c r="B197" s="237">
        <v>132553</v>
      </c>
      <c r="C197" s="237">
        <v>165057</v>
      </c>
      <c r="D197" s="238" t="s">
        <v>989</v>
      </c>
      <c r="E197" s="238" t="s">
        <v>741</v>
      </c>
      <c r="F197" s="238"/>
      <c r="G197" s="238"/>
      <c r="H197" s="238" t="s">
        <v>126</v>
      </c>
      <c r="I197" s="238" t="s">
        <v>250</v>
      </c>
      <c r="J197" s="239">
        <v>46870</v>
      </c>
      <c r="K197" s="239">
        <v>57990</v>
      </c>
      <c r="L197" s="238" t="s">
        <v>614</v>
      </c>
      <c r="M197" s="237">
        <v>1</v>
      </c>
      <c r="N197" s="237"/>
      <c r="O197" s="238"/>
      <c r="P197" s="88" t="str">
        <f t="shared" si="3"/>
        <v>1</v>
      </c>
      <c r="Q197" s="88" t="str">
        <f>IFERROR(INDEX(Торг!$F:$F,MATCH($B197,Торг!$B:$B,0)),"Отсутствует")</f>
        <v>Y</v>
      </c>
      <c r="R197" s="36" t="str">
        <f>IFERROR(IF(AND(Q197="Отсутствует",VLOOKUP(A197,Торг!$A:$A,1,0)=A197),"Добавить","Есть"),"Новый")</f>
        <v>Есть</v>
      </c>
    </row>
    <row r="198" spans="1:18" ht="45" hidden="1">
      <c r="A198" s="238" t="s">
        <v>803</v>
      </c>
      <c r="B198" s="237">
        <v>341425</v>
      </c>
      <c r="C198" s="237">
        <v>341425</v>
      </c>
      <c r="D198" s="238" t="s">
        <v>990</v>
      </c>
      <c r="E198" s="238" t="s">
        <v>741</v>
      </c>
      <c r="F198" s="238"/>
      <c r="G198" s="238"/>
      <c r="H198" s="238" t="s">
        <v>126</v>
      </c>
      <c r="I198" s="238" t="s">
        <v>250</v>
      </c>
      <c r="J198" s="239">
        <v>47700</v>
      </c>
      <c r="K198" s="239">
        <v>58990</v>
      </c>
      <c r="L198" s="238" t="s">
        <v>614</v>
      </c>
      <c r="M198" s="237">
        <v>1</v>
      </c>
      <c r="N198" s="237"/>
      <c r="O198" s="238"/>
      <c r="P198" s="88" t="str">
        <f t="shared" si="3"/>
        <v>1</v>
      </c>
      <c r="Q198" s="88" t="str">
        <f>IFERROR(INDEX(Торг!$F:$F,MATCH($B198,Торг!$B:$B,0)),"Отсутствует")</f>
        <v>Y</v>
      </c>
      <c r="R198" s="36" t="str">
        <f>IFERROR(IF(AND(Q198="Отсутствует",VLOOKUP(A198,Торг!$A:$A,1,0)=A198),"Добавить","Есть"),"Новый")</f>
        <v>Есть</v>
      </c>
    </row>
    <row r="199" spans="1:18" ht="60" hidden="1">
      <c r="A199" s="238" t="s">
        <v>803</v>
      </c>
      <c r="B199" s="237">
        <v>132554</v>
      </c>
      <c r="C199" s="237">
        <v>165058</v>
      </c>
      <c r="D199" s="238" t="s">
        <v>991</v>
      </c>
      <c r="E199" s="238" t="s">
        <v>741</v>
      </c>
      <c r="F199" s="238"/>
      <c r="G199" s="238"/>
      <c r="H199" s="238" t="s">
        <v>126</v>
      </c>
      <c r="I199" s="238" t="s">
        <v>250</v>
      </c>
      <c r="J199" s="239">
        <v>46870</v>
      </c>
      <c r="K199" s="239">
        <v>57990</v>
      </c>
      <c r="L199" s="238" t="s">
        <v>614</v>
      </c>
      <c r="M199" s="237">
        <v>1</v>
      </c>
      <c r="N199" s="237"/>
      <c r="O199" s="238"/>
      <c r="P199" s="88" t="str">
        <f t="shared" si="3"/>
        <v>1</v>
      </c>
      <c r="Q199" s="88" t="str">
        <f>IFERROR(INDEX(Торг!$F:$F,MATCH($B199,Торг!$B:$B,0)),"Отсутствует")</f>
        <v>Y</v>
      </c>
      <c r="R199" s="36" t="str">
        <f>IFERROR(IF(AND(Q199="Отсутствует",VLOOKUP(A199,Торг!$A:$A,1,0)=A199),"Добавить","Есть"),"Новый")</f>
        <v>Есть</v>
      </c>
    </row>
    <row r="200" spans="1:18" ht="60" hidden="1">
      <c r="A200" s="238" t="s">
        <v>803</v>
      </c>
      <c r="B200" s="237">
        <v>341428</v>
      </c>
      <c r="C200" s="237">
        <v>341428</v>
      </c>
      <c r="D200" s="238" t="s">
        <v>992</v>
      </c>
      <c r="E200" s="238" t="s">
        <v>741</v>
      </c>
      <c r="F200" s="238"/>
      <c r="G200" s="238"/>
      <c r="H200" s="238" t="s">
        <v>126</v>
      </c>
      <c r="I200" s="238" t="s">
        <v>250</v>
      </c>
      <c r="J200" s="239">
        <v>47700</v>
      </c>
      <c r="K200" s="239">
        <v>58990</v>
      </c>
      <c r="L200" s="238" t="s">
        <v>614</v>
      </c>
      <c r="M200" s="237">
        <v>1</v>
      </c>
      <c r="N200" s="237"/>
      <c r="O200" s="238"/>
      <c r="P200" s="88" t="str">
        <f t="shared" si="3"/>
        <v>1</v>
      </c>
      <c r="Q200" s="88" t="str">
        <f>IFERROR(INDEX(Торг!$F:$F,MATCH($B200,Торг!$B:$B,0)),"Отсутствует")</f>
        <v>Y</v>
      </c>
      <c r="R200" s="36" t="str">
        <f>IFERROR(IF(AND(Q200="Отсутствует",VLOOKUP(A200,Торг!$A:$A,1,0)=A200),"Добавить","Есть"),"Новый")</f>
        <v>Есть</v>
      </c>
    </row>
    <row r="201" spans="1:18" ht="60" hidden="1">
      <c r="A201" s="238" t="s">
        <v>803</v>
      </c>
      <c r="B201" s="237">
        <v>132555</v>
      </c>
      <c r="C201" s="237">
        <v>165054</v>
      </c>
      <c r="D201" s="238" t="s">
        <v>993</v>
      </c>
      <c r="E201" s="238" t="s">
        <v>741</v>
      </c>
      <c r="F201" s="238"/>
      <c r="G201" s="238"/>
      <c r="H201" s="238" t="s">
        <v>126</v>
      </c>
      <c r="I201" s="238" t="s">
        <v>250</v>
      </c>
      <c r="J201" s="239">
        <v>46870</v>
      </c>
      <c r="K201" s="239">
        <v>57990</v>
      </c>
      <c r="L201" s="238" t="s">
        <v>614</v>
      </c>
      <c r="M201" s="237">
        <v>1</v>
      </c>
      <c r="N201" s="237"/>
      <c r="O201" s="238"/>
      <c r="P201" s="88" t="str">
        <f t="shared" si="3"/>
        <v>1</v>
      </c>
      <c r="Q201" s="88" t="str">
        <f>IFERROR(INDEX(Торг!$F:$F,MATCH($B201,Торг!$B:$B,0)),"Отсутствует")</f>
        <v>Y</v>
      </c>
      <c r="R201" s="36" t="str">
        <f>IFERROR(IF(AND(Q201="Отсутствует",VLOOKUP(A201,Торг!$A:$A,1,0)=A201),"Добавить","Есть"),"Новый")</f>
        <v>Есть</v>
      </c>
    </row>
    <row r="202" spans="1:18" ht="60" hidden="1">
      <c r="A202" s="238" t="s">
        <v>803</v>
      </c>
      <c r="B202" s="237">
        <v>341426</v>
      </c>
      <c r="C202" s="237">
        <v>341426</v>
      </c>
      <c r="D202" s="238" t="s">
        <v>994</v>
      </c>
      <c r="E202" s="238" t="s">
        <v>741</v>
      </c>
      <c r="F202" s="238"/>
      <c r="G202" s="238"/>
      <c r="H202" s="238" t="s">
        <v>126</v>
      </c>
      <c r="I202" s="238" t="s">
        <v>250</v>
      </c>
      <c r="J202" s="239">
        <v>47700</v>
      </c>
      <c r="K202" s="239">
        <v>58990</v>
      </c>
      <c r="L202" s="238" t="s">
        <v>614</v>
      </c>
      <c r="M202" s="237">
        <v>1</v>
      </c>
      <c r="N202" s="237"/>
      <c r="O202" s="238"/>
      <c r="P202" s="88" t="str">
        <f t="shared" si="3"/>
        <v>1</v>
      </c>
      <c r="Q202" s="88" t="str">
        <f>IFERROR(INDEX(Торг!$F:$F,MATCH($B202,Торг!$B:$B,0)),"Отсутствует")</f>
        <v>Y</v>
      </c>
      <c r="R202" s="36" t="str">
        <f>IFERROR(IF(AND(Q202="Отсутствует",VLOOKUP(A202,Торг!$A:$A,1,0)=A202),"Добавить","Есть"),"Новый")</f>
        <v>Есть</v>
      </c>
    </row>
    <row r="203" spans="1:18" ht="45" hidden="1">
      <c r="A203" s="238" t="s">
        <v>803</v>
      </c>
      <c r="B203" s="237">
        <v>132556</v>
      </c>
      <c r="C203" s="237">
        <v>165053</v>
      </c>
      <c r="D203" s="238" t="s">
        <v>995</v>
      </c>
      <c r="E203" s="238" t="s">
        <v>741</v>
      </c>
      <c r="F203" s="238"/>
      <c r="G203" s="238"/>
      <c r="H203" s="238" t="s">
        <v>126</v>
      </c>
      <c r="I203" s="238" t="s">
        <v>250</v>
      </c>
      <c r="J203" s="239">
        <v>46870</v>
      </c>
      <c r="K203" s="239">
        <v>57990</v>
      </c>
      <c r="L203" s="238" t="s">
        <v>614</v>
      </c>
      <c r="M203" s="237">
        <v>1</v>
      </c>
      <c r="N203" s="237"/>
      <c r="O203" s="238"/>
      <c r="P203" s="88" t="str">
        <f t="shared" si="3"/>
        <v>1</v>
      </c>
      <c r="Q203" s="88" t="str">
        <f>IFERROR(INDEX(Торг!$F:$F,MATCH($B203,Торг!$B:$B,0)),"Отсутствует")</f>
        <v>Y</v>
      </c>
      <c r="R203" s="36" t="str">
        <f>IFERROR(IF(AND(Q203="Отсутствует",VLOOKUP(A203,Торг!$A:$A,1,0)=A203),"Добавить","Есть"),"Новый")</f>
        <v>Есть</v>
      </c>
    </row>
    <row r="204" spans="1:18" ht="45" hidden="1">
      <c r="A204" s="238" t="s">
        <v>803</v>
      </c>
      <c r="B204" s="237">
        <v>341427</v>
      </c>
      <c r="C204" s="237">
        <v>341427</v>
      </c>
      <c r="D204" s="238" t="s">
        <v>996</v>
      </c>
      <c r="E204" s="238" t="s">
        <v>741</v>
      </c>
      <c r="F204" s="238"/>
      <c r="G204" s="238"/>
      <c r="H204" s="238" t="s">
        <v>126</v>
      </c>
      <c r="I204" s="238" t="s">
        <v>250</v>
      </c>
      <c r="J204" s="239">
        <v>47700</v>
      </c>
      <c r="K204" s="239">
        <v>58990</v>
      </c>
      <c r="L204" s="238" t="s">
        <v>614</v>
      </c>
      <c r="M204" s="237">
        <v>1</v>
      </c>
      <c r="N204" s="237"/>
      <c r="O204" s="238"/>
      <c r="P204" s="88" t="str">
        <f t="shared" si="3"/>
        <v>1</v>
      </c>
      <c r="Q204" s="88" t="str">
        <f>IFERROR(INDEX(Торг!$F:$F,MATCH($B204,Торг!$B:$B,0)),"Отсутствует")</f>
        <v>Y</v>
      </c>
      <c r="R204" s="36" t="str">
        <f>IFERROR(IF(AND(Q204="Отсутствует",VLOOKUP(A204,Торг!$A:$A,1,0)=A204),"Добавить","Есть"),"Новый")</f>
        <v>Есть</v>
      </c>
    </row>
    <row r="205" spans="1:18" ht="60" hidden="1">
      <c r="A205" s="238" t="s">
        <v>803</v>
      </c>
      <c r="B205" s="237">
        <v>132557</v>
      </c>
      <c r="C205" s="237">
        <v>165051</v>
      </c>
      <c r="D205" s="238" t="s">
        <v>997</v>
      </c>
      <c r="E205" s="238" t="s">
        <v>741</v>
      </c>
      <c r="F205" s="238"/>
      <c r="G205" s="238"/>
      <c r="H205" s="238" t="s">
        <v>126</v>
      </c>
      <c r="I205" s="238" t="s">
        <v>250</v>
      </c>
      <c r="J205" s="239">
        <v>46870</v>
      </c>
      <c r="K205" s="239">
        <v>57990</v>
      </c>
      <c r="L205" s="238" t="s">
        <v>614</v>
      </c>
      <c r="M205" s="237">
        <v>1</v>
      </c>
      <c r="N205" s="237"/>
      <c r="O205" s="238"/>
      <c r="P205" s="88" t="str">
        <f t="shared" si="3"/>
        <v>1</v>
      </c>
      <c r="Q205" s="88" t="str">
        <f>IFERROR(INDEX(Торг!$F:$F,MATCH($B205,Торг!$B:$B,0)),"Отсутствует")</f>
        <v>Y</v>
      </c>
      <c r="R205" s="36" t="str">
        <f>IFERROR(IF(AND(Q205="Отсутствует",VLOOKUP(A205,Торг!$A:$A,1,0)=A205),"Добавить","Есть"),"Новый")</f>
        <v>Есть</v>
      </c>
    </row>
    <row r="206" spans="1:18" ht="45" hidden="1">
      <c r="A206" s="238" t="s">
        <v>803</v>
      </c>
      <c r="B206" s="237">
        <v>341429</v>
      </c>
      <c r="C206" s="237">
        <v>341429</v>
      </c>
      <c r="D206" s="238" t="s">
        <v>998</v>
      </c>
      <c r="E206" s="238" t="s">
        <v>741</v>
      </c>
      <c r="F206" s="238"/>
      <c r="G206" s="238"/>
      <c r="H206" s="238" t="s">
        <v>126</v>
      </c>
      <c r="I206" s="238" t="s">
        <v>250</v>
      </c>
      <c r="J206" s="239">
        <v>47700</v>
      </c>
      <c r="K206" s="239">
        <v>58990</v>
      </c>
      <c r="L206" s="238" t="s">
        <v>614</v>
      </c>
      <c r="M206" s="237">
        <v>1</v>
      </c>
      <c r="N206" s="237"/>
      <c r="O206" s="238"/>
      <c r="P206" s="88" t="str">
        <f t="shared" si="3"/>
        <v>1</v>
      </c>
      <c r="Q206" s="88" t="str">
        <f>IFERROR(INDEX(Торг!$F:$F,MATCH($B206,Торг!$B:$B,0)),"Отсутствует")</f>
        <v>Y</v>
      </c>
      <c r="R206" s="36" t="str">
        <f>IFERROR(IF(AND(Q206="Отсутствует",VLOOKUP(A206,Торг!$A:$A,1,0)=A206),"Добавить","Есть"),"Новый")</f>
        <v>Есть</v>
      </c>
    </row>
    <row r="207" spans="1:18" ht="60" hidden="1">
      <c r="A207" s="238" t="s">
        <v>803</v>
      </c>
      <c r="B207" s="237">
        <v>132558</v>
      </c>
      <c r="C207" s="237">
        <v>165050</v>
      </c>
      <c r="D207" s="238" t="s">
        <v>999</v>
      </c>
      <c r="E207" s="238" t="s">
        <v>741</v>
      </c>
      <c r="F207" s="238"/>
      <c r="G207" s="238"/>
      <c r="H207" s="238" t="s">
        <v>126</v>
      </c>
      <c r="I207" s="238" t="s">
        <v>250</v>
      </c>
      <c r="J207" s="239">
        <v>46870</v>
      </c>
      <c r="K207" s="239">
        <v>57990</v>
      </c>
      <c r="L207" s="238" t="s">
        <v>614</v>
      </c>
      <c r="M207" s="237">
        <v>1</v>
      </c>
      <c r="N207" s="237"/>
      <c r="O207" s="238"/>
      <c r="P207" s="88" t="str">
        <f t="shared" si="3"/>
        <v>1</v>
      </c>
      <c r="Q207" s="88" t="str">
        <f>IFERROR(INDEX(Торг!$F:$F,MATCH($B207,Торг!$B:$B,0)),"Отсутствует")</f>
        <v>Y</v>
      </c>
      <c r="R207" s="36" t="str">
        <f>IFERROR(IF(AND(Q207="Отсутствует",VLOOKUP(A207,Торг!$A:$A,1,0)=A207),"Добавить","Есть"),"Новый")</f>
        <v>Есть</v>
      </c>
    </row>
    <row r="208" spans="1:18" ht="45" hidden="1">
      <c r="A208" s="238" t="s">
        <v>803</v>
      </c>
      <c r="B208" s="237">
        <v>341421</v>
      </c>
      <c r="C208" s="237">
        <v>341421</v>
      </c>
      <c r="D208" s="238" t="s">
        <v>1000</v>
      </c>
      <c r="E208" s="238" t="s">
        <v>741</v>
      </c>
      <c r="F208" s="238"/>
      <c r="G208" s="238"/>
      <c r="H208" s="238" t="s">
        <v>126</v>
      </c>
      <c r="I208" s="238" t="s">
        <v>250</v>
      </c>
      <c r="J208" s="239">
        <v>47700</v>
      </c>
      <c r="K208" s="239">
        <v>58990</v>
      </c>
      <c r="L208" s="238" t="s">
        <v>614</v>
      </c>
      <c r="M208" s="237">
        <v>1</v>
      </c>
      <c r="N208" s="237"/>
      <c r="O208" s="238"/>
      <c r="P208" s="88" t="str">
        <f t="shared" si="3"/>
        <v>1</v>
      </c>
      <c r="Q208" s="88" t="str">
        <f>IFERROR(INDEX(Торг!$F:$F,MATCH($B208,Торг!$B:$B,0)),"Отсутствует")</f>
        <v>Y</v>
      </c>
      <c r="R208" s="36" t="str">
        <f>IFERROR(IF(AND(Q208="Отсутствует",VLOOKUP(A208,Торг!$A:$A,1,0)=A208),"Добавить","Есть"),"Новый")</f>
        <v>Есть</v>
      </c>
    </row>
    <row r="209" spans="1:18" ht="45" hidden="1">
      <c r="A209" s="238" t="s">
        <v>803</v>
      </c>
      <c r="B209" s="237">
        <v>132559</v>
      </c>
      <c r="C209" s="237">
        <v>165049</v>
      </c>
      <c r="D209" s="238" t="s">
        <v>1001</v>
      </c>
      <c r="E209" s="238" t="s">
        <v>741</v>
      </c>
      <c r="F209" s="238"/>
      <c r="G209" s="238"/>
      <c r="H209" s="238" t="s">
        <v>126</v>
      </c>
      <c r="I209" s="238" t="s">
        <v>250</v>
      </c>
      <c r="J209" s="239">
        <v>46000</v>
      </c>
      <c r="K209" s="239">
        <v>56890</v>
      </c>
      <c r="L209" s="238" t="s">
        <v>614</v>
      </c>
      <c r="M209" s="237">
        <v>1</v>
      </c>
      <c r="N209" s="237"/>
      <c r="O209" s="238"/>
      <c r="P209" s="88" t="str">
        <f t="shared" si="3"/>
        <v>1</v>
      </c>
      <c r="Q209" s="88" t="str">
        <f>IFERROR(INDEX(Торг!$F:$F,MATCH($B209,Торг!$B:$B,0)),"Отсутствует")</f>
        <v>Y</v>
      </c>
      <c r="R209" s="36" t="str">
        <f>IFERROR(IF(AND(Q209="Отсутствует",VLOOKUP(A209,Торг!$A:$A,1,0)=A209),"Добавить","Есть"),"Новый")</f>
        <v>Есть</v>
      </c>
    </row>
    <row r="210" spans="1:18" ht="45" hidden="1">
      <c r="A210" s="238" t="s">
        <v>803</v>
      </c>
      <c r="B210" s="237">
        <v>341420</v>
      </c>
      <c r="C210" s="237">
        <v>341420</v>
      </c>
      <c r="D210" s="238" t="s">
        <v>1002</v>
      </c>
      <c r="E210" s="238" t="s">
        <v>741</v>
      </c>
      <c r="F210" s="238"/>
      <c r="G210" s="238"/>
      <c r="H210" s="238" t="s">
        <v>126</v>
      </c>
      <c r="I210" s="238" t="s">
        <v>250</v>
      </c>
      <c r="J210" s="239">
        <v>46830</v>
      </c>
      <c r="K210" s="239">
        <v>57990</v>
      </c>
      <c r="L210" s="238" t="s">
        <v>614</v>
      </c>
      <c r="M210" s="237">
        <v>1</v>
      </c>
      <c r="N210" s="237"/>
      <c r="O210" s="238"/>
      <c r="P210" s="88" t="str">
        <f t="shared" si="3"/>
        <v>1</v>
      </c>
      <c r="Q210" s="88" t="str">
        <f>IFERROR(INDEX(Торг!$F:$F,MATCH($B210,Торг!$B:$B,0)),"Отсутствует")</f>
        <v>Y</v>
      </c>
      <c r="R210" s="36" t="str">
        <f>IFERROR(IF(AND(Q210="Отсутствует",VLOOKUP(A210,Торг!$A:$A,1,0)=A210),"Добавить","Есть"),"Новый")</f>
        <v>Есть</v>
      </c>
    </row>
    <row r="211" spans="1:18" ht="60" hidden="1">
      <c r="A211" s="238" t="s">
        <v>804</v>
      </c>
      <c r="B211" s="237">
        <v>274815</v>
      </c>
      <c r="C211" s="237">
        <v>226588</v>
      </c>
      <c r="D211" s="238" t="s">
        <v>1003</v>
      </c>
      <c r="E211" s="238" t="s">
        <v>741</v>
      </c>
      <c r="F211" s="238"/>
      <c r="G211" s="238"/>
      <c r="H211" s="238" t="s">
        <v>117</v>
      </c>
      <c r="I211" s="238" t="s">
        <v>250</v>
      </c>
      <c r="J211" s="239">
        <v>41120</v>
      </c>
      <c r="K211" s="239">
        <v>50890</v>
      </c>
      <c r="L211" s="238" t="s">
        <v>623</v>
      </c>
      <c r="M211" s="237">
        <v>1</v>
      </c>
      <c r="N211" s="237"/>
      <c r="O211" s="238"/>
      <c r="P211" s="88" t="str">
        <f t="shared" si="3"/>
        <v>1</v>
      </c>
      <c r="Q211" s="88" t="str">
        <f>IFERROR(INDEX(Торг!$F:$F,MATCH($B211,Торг!$B:$B,0)),"Отсутствует")</f>
        <v>Y</v>
      </c>
      <c r="R211" s="36" t="str">
        <f>IFERROR(IF(AND(Q211="Отсутствует",VLOOKUP(A211,Торг!$A:$A,1,0)=A211),"Добавить","Есть"),"Новый")</f>
        <v>Есть</v>
      </c>
    </row>
    <row r="212" spans="1:18" ht="60" hidden="1">
      <c r="A212" s="238" t="s">
        <v>804</v>
      </c>
      <c r="B212" s="237">
        <v>274827</v>
      </c>
      <c r="C212" s="237">
        <v>226609</v>
      </c>
      <c r="D212" s="238" t="s">
        <v>1004</v>
      </c>
      <c r="E212" s="238" t="s">
        <v>741</v>
      </c>
      <c r="F212" s="238"/>
      <c r="G212" s="238"/>
      <c r="H212" s="238" t="s">
        <v>117</v>
      </c>
      <c r="I212" s="238" t="s">
        <v>250</v>
      </c>
      <c r="J212" s="239">
        <v>41950</v>
      </c>
      <c r="K212" s="239">
        <v>51890</v>
      </c>
      <c r="L212" s="238" t="s">
        <v>623</v>
      </c>
      <c r="M212" s="237">
        <v>1</v>
      </c>
      <c r="N212" s="237"/>
      <c r="O212" s="238"/>
      <c r="P212" s="88" t="str">
        <f t="shared" si="3"/>
        <v>1</v>
      </c>
      <c r="Q212" s="88" t="str">
        <f>IFERROR(INDEX(Торг!$F:$F,MATCH($B212,Торг!$B:$B,0)),"Отсутствует")</f>
        <v>Y</v>
      </c>
      <c r="R212" s="36" t="str">
        <f>IFERROR(IF(AND(Q212="Отсутствует",VLOOKUP(A212,Торг!$A:$A,1,0)=A212),"Добавить","Есть"),"Новый")</f>
        <v>Есть</v>
      </c>
    </row>
    <row r="213" spans="1:18" ht="60" hidden="1">
      <c r="A213" s="238" t="s">
        <v>804</v>
      </c>
      <c r="B213" s="237">
        <v>274826</v>
      </c>
      <c r="C213" s="237">
        <v>226583</v>
      </c>
      <c r="D213" s="238" t="s">
        <v>1005</v>
      </c>
      <c r="E213" s="238" t="s">
        <v>741</v>
      </c>
      <c r="F213" s="238"/>
      <c r="G213" s="238"/>
      <c r="H213" s="238" t="s">
        <v>117</v>
      </c>
      <c r="I213" s="238" t="s">
        <v>250</v>
      </c>
      <c r="J213" s="239">
        <v>41120</v>
      </c>
      <c r="K213" s="239">
        <v>50890</v>
      </c>
      <c r="L213" s="238" t="s">
        <v>623</v>
      </c>
      <c r="M213" s="237">
        <v>1</v>
      </c>
      <c r="N213" s="237"/>
      <c r="O213" s="238"/>
      <c r="P213" s="88" t="str">
        <f t="shared" si="3"/>
        <v>1</v>
      </c>
      <c r="Q213" s="88" t="str">
        <f>IFERROR(INDEX(Торг!$F:$F,MATCH($B213,Торг!$B:$B,0)),"Отсутствует")</f>
        <v>Y</v>
      </c>
      <c r="R213" s="36" t="str">
        <f>IFERROR(IF(AND(Q213="Отсутствует",VLOOKUP(A213,Торг!$A:$A,1,0)=A213),"Добавить","Есть"),"Новый")</f>
        <v>Есть</v>
      </c>
    </row>
    <row r="214" spans="1:18" ht="60" hidden="1">
      <c r="A214" s="238" t="s">
        <v>804</v>
      </c>
      <c r="B214" s="237">
        <v>274838</v>
      </c>
      <c r="C214" s="237">
        <v>226604</v>
      </c>
      <c r="D214" s="238" t="s">
        <v>1006</v>
      </c>
      <c r="E214" s="238" t="s">
        <v>741</v>
      </c>
      <c r="F214" s="238"/>
      <c r="G214" s="238"/>
      <c r="H214" s="238" t="s">
        <v>117</v>
      </c>
      <c r="I214" s="238" t="s">
        <v>250</v>
      </c>
      <c r="J214" s="239">
        <v>41950</v>
      </c>
      <c r="K214" s="239">
        <v>51890</v>
      </c>
      <c r="L214" s="238" t="s">
        <v>623</v>
      </c>
      <c r="M214" s="237">
        <v>1</v>
      </c>
      <c r="N214" s="237"/>
      <c r="O214" s="238"/>
      <c r="P214" s="88" t="str">
        <f t="shared" si="3"/>
        <v>1</v>
      </c>
      <c r="Q214" s="88" t="str">
        <f>IFERROR(INDEX(Торг!$F:$F,MATCH($B214,Торг!$B:$B,0)),"Отсутствует")</f>
        <v>Y</v>
      </c>
      <c r="R214" s="36" t="str">
        <f>IFERROR(IF(AND(Q214="Отсутствует",VLOOKUP(A214,Торг!$A:$A,1,0)=A214),"Добавить","Есть"),"Новый")</f>
        <v>Есть</v>
      </c>
    </row>
    <row r="215" spans="1:18" ht="60" hidden="1">
      <c r="A215" s="238" t="s">
        <v>804</v>
      </c>
      <c r="B215" s="237">
        <v>274825</v>
      </c>
      <c r="C215" s="237">
        <v>226587</v>
      </c>
      <c r="D215" s="238" t="s">
        <v>1007</v>
      </c>
      <c r="E215" s="238" t="s">
        <v>741</v>
      </c>
      <c r="F215" s="238"/>
      <c r="G215" s="238"/>
      <c r="H215" s="238" t="s">
        <v>117</v>
      </c>
      <c r="I215" s="238" t="s">
        <v>250</v>
      </c>
      <c r="J215" s="239">
        <v>41120</v>
      </c>
      <c r="K215" s="239">
        <v>50890</v>
      </c>
      <c r="L215" s="238" t="s">
        <v>623</v>
      </c>
      <c r="M215" s="237">
        <v>1</v>
      </c>
      <c r="N215" s="237"/>
      <c r="O215" s="238"/>
      <c r="P215" s="88" t="str">
        <f t="shared" si="3"/>
        <v>1</v>
      </c>
      <c r="Q215" s="88" t="str">
        <f>IFERROR(INDEX(Торг!$F:$F,MATCH($B215,Торг!$B:$B,0)),"Отсутствует")</f>
        <v>Y</v>
      </c>
      <c r="R215" s="36" t="str">
        <f>IFERROR(IF(AND(Q215="Отсутствует",VLOOKUP(A215,Торг!$A:$A,1,0)=A215),"Добавить","Есть"),"Новый")</f>
        <v>Есть</v>
      </c>
    </row>
    <row r="216" spans="1:18" ht="60" hidden="1">
      <c r="A216" s="238" t="s">
        <v>804</v>
      </c>
      <c r="B216" s="237">
        <v>274837</v>
      </c>
      <c r="C216" s="237">
        <v>226608</v>
      </c>
      <c r="D216" s="238" t="s">
        <v>1008</v>
      </c>
      <c r="E216" s="238" t="s">
        <v>741</v>
      </c>
      <c r="F216" s="238"/>
      <c r="G216" s="238"/>
      <c r="H216" s="238" t="s">
        <v>117</v>
      </c>
      <c r="I216" s="238" t="s">
        <v>250</v>
      </c>
      <c r="J216" s="239">
        <v>41950</v>
      </c>
      <c r="K216" s="239">
        <v>51890</v>
      </c>
      <c r="L216" s="238" t="s">
        <v>623</v>
      </c>
      <c r="M216" s="237">
        <v>1</v>
      </c>
      <c r="N216" s="237"/>
      <c r="O216" s="238"/>
      <c r="P216" s="88" t="str">
        <f t="shared" si="3"/>
        <v>1</v>
      </c>
      <c r="Q216" s="88" t="str">
        <f>IFERROR(INDEX(Торг!$F:$F,MATCH($B216,Торг!$B:$B,0)),"Отсутствует")</f>
        <v>Y</v>
      </c>
      <c r="R216" s="36" t="str">
        <f>IFERROR(IF(AND(Q216="Отсутствует",VLOOKUP(A216,Торг!$A:$A,1,0)=A216),"Добавить","Есть"),"Новый")</f>
        <v>Есть</v>
      </c>
    </row>
    <row r="217" spans="1:18" ht="60" hidden="1">
      <c r="A217" s="238" t="s">
        <v>804</v>
      </c>
      <c r="B217" s="237">
        <v>274817</v>
      </c>
      <c r="C217" s="237">
        <v>226578</v>
      </c>
      <c r="D217" s="238" t="s">
        <v>1009</v>
      </c>
      <c r="E217" s="238" t="s">
        <v>741</v>
      </c>
      <c r="F217" s="238"/>
      <c r="G217" s="238"/>
      <c r="H217" s="238" t="s">
        <v>117</v>
      </c>
      <c r="I217" s="238" t="s">
        <v>250</v>
      </c>
      <c r="J217" s="239">
        <v>41120</v>
      </c>
      <c r="K217" s="239">
        <v>50890</v>
      </c>
      <c r="L217" s="238" t="s">
        <v>623</v>
      </c>
      <c r="M217" s="237">
        <v>1</v>
      </c>
      <c r="N217" s="237"/>
      <c r="O217" s="238"/>
      <c r="P217" s="88" t="str">
        <f t="shared" si="3"/>
        <v>1</v>
      </c>
      <c r="Q217" s="88" t="str">
        <f>IFERROR(INDEX(Торг!$F:$F,MATCH($B217,Торг!$B:$B,0)),"Отсутствует")</f>
        <v>Y</v>
      </c>
      <c r="R217" s="36" t="str">
        <f>IFERROR(IF(AND(Q217="Отсутствует",VLOOKUP(A217,Торг!$A:$A,1,0)=A217),"Добавить","Есть"),"Новый")</f>
        <v>Есть</v>
      </c>
    </row>
    <row r="218" spans="1:18" ht="60" hidden="1">
      <c r="A218" s="238" t="s">
        <v>804</v>
      </c>
      <c r="B218" s="237">
        <v>274829</v>
      </c>
      <c r="C218" s="237">
        <v>226600</v>
      </c>
      <c r="D218" s="238" t="s">
        <v>1010</v>
      </c>
      <c r="E218" s="238" t="s">
        <v>741</v>
      </c>
      <c r="F218" s="238"/>
      <c r="G218" s="238"/>
      <c r="H218" s="238" t="s">
        <v>117</v>
      </c>
      <c r="I218" s="238" t="s">
        <v>250</v>
      </c>
      <c r="J218" s="239">
        <v>41950</v>
      </c>
      <c r="K218" s="239">
        <v>51890</v>
      </c>
      <c r="L218" s="238" t="s">
        <v>623</v>
      </c>
      <c r="M218" s="237">
        <v>1</v>
      </c>
      <c r="N218" s="237"/>
      <c r="O218" s="238"/>
      <c r="P218" s="88" t="str">
        <f t="shared" si="3"/>
        <v>1</v>
      </c>
      <c r="Q218" s="88" t="str">
        <f>IFERROR(INDEX(Торг!$F:$F,MATCH($B218,Торг!$B:$B,0)),"Отсутствует")</f>
        <v>Y</v>
      </c>
      <c r="R218" s="36" t="str">
        <f>IFERROR(IF(AND(Q218="Отсутствует",VLOOKUP(A218,Торг!$A:$A,1,0)=A218),"Добавить","Есть"),"Новый")</f>
        <v>Есть</v>
      </c>
    </row>
    <row r="219" spans="1:18" ht="60" hidden="1">
      <c r="A219" s="238" t="s">
        <v>804</v>
      </c>
      <c r="B219" s="237">
        <v>274818</v>
      </c>
      <c r="C219" s="237">
        <v>226586</v>
      </c>
      <c r="D219" s="238" t="s">
        <v>1011</v>
      </c>
      <c r="E219" s="238" t="s">
        <v>741</v>
      </c>
      <c r="F219" s="238"/>
      <c r="G219" s="238"/>
      <c r="H219" s="238" t="s">
        <v>117</v>
      </c>
      <c r="I219" s="238" t="s">
        <v>250</v>
      </c>
      <c r="J219" s="239">
        <v>41120</v>
      </c>
      <c r="K219" s="239">
        <v>50890</v>
      </c>
      <c r="L219" s="238" t="s">
        <v>623</v>
      </c>
      <c r="M219" s="237">
        <v>1</v>
      </c>
      <c r="N219" s="237"/>
      <c r="O219" s="238"/>
      <c r="P219" s="88" t="str">
        <f t="shared" si="3"/>
        <v>1</v>
      </c>
      <c r="Q219" s="88" t="str">
        <f>IFERROR(INDEX(Торг!$F:$F,MATCH($B219,Торг!$B:$B,0)),"Отсутствует")</f>
        <v>Y</v>
      </c>
      <c r="R219" s="36" t="str">
        <f>IFERROR(IF(AND(Q219="Отсутствует",VLOOKUP(A219,Торг!$A:$A,1,0)=A219),"Добавить","Есть"),"Новый")</f>
        <v>Есть</v>
      </c>
    </row>
    <row r="220" spans="1:18" ht="60" hidden="1">
      <c r="A220" s="238" t="s">
        <v>804</v>
      </c>
      <c r="B220" s="237">
        <v>274830</v>
      </c>
      <c r="C220" s="237">
        <v>226607</v>
      </c>
      <c r="D220" s="238" t="s">
        <v>1012</v>
      </c>
      <c r="E220" s="238" t="s">
        <v>741</v>
      </c>
      <c r="F220" s="238"/>
      <c r="G220" s="238"/>
      <c r="H220" s="238" t="s">
        <v>117</v>
      </c>
      <c r="I220" s="238" t="s">
        <v>250</v>
      </c>
      <c r="J220" s="239">
        <v>41950</v>
      </c>
      <c r="K220" s="239">
        <v>51890</v>
      </c>
      <c r="L220" s="238" t="s">
        <v>623</v>
      </c>
      <c r="M220" s="237">
        <v>1</v>
      </c>
      <c r="N220" s="237"/>
      <c r="O220" s="238"/>
      <c r="P220" s="88" t="str">
        <f t="shared" si="3"/>
        <v>1</v>
      </c>
      <c r="Q220" s="88" t="str">
        <f>IFERROR(INDEX(Торг!$F:$F,MATCH($B220,Торг!$B:$B,0)),"Отсутствует")</f>
        <v>Y</v>
      </c>
      <c r="R220" s="36" t="str">
        <f>IFERROR(IF(AND(Q220="Отсутствует",VLOOKUP(A220,Торг!$A:$A,1,0)=A220),"Добавить","Есть"),"Новый")</f>
        <v>Есть</v>
      </c>
    </row>
    <row r="221" spans="1:18" ht="60" hidden="1">
      <c r="A221" s="238" t="s">
        <v>804</v>
      </c>
      <c r="B221" s="237">
        <v>274819</v>
      </c>
      <c r="C221" s="237">
        <v>226581</v>
      </c>
      <c r="D221" s="238" t="s">
        <v>1013</v>
      </c>
      <c r="E221" s="238" t="s">
        <v>741</v>
      </c>
      <c r="F221" s="238"/>
      <c r="G221" s="238"/>
      <c r="H221" s="238" t="s">
        <v>117</v>
      </c>
      <c r="I221" s="238" t="s">
        <v>250</v>
      </c>
      <c r="J221" s="239">
        <v>41120</v>
      </c>
      <c r="K221" s="239">
        <v>50890</v>
      </c>
      <c r="L221" s="238" t="s">
        <v>623</v>
      </c>
      <c r="M221" s="237">
        <v>1</v>
      </c>
      <c r="N221" s="237"/>
      <c r="O221" s="238"/>
      <c r="P221" s="88" t="str">
        <f t="shared" si="3"/>
        <v>1</v>
      </c>
      <c r="Q221" s="88" t="str">
        <f>IFERROR(INDEX(Торг!$F:$F,MATCH($B221,Торг!$B:$B,0)),"Отсутствует")</f>
        <v>Y</v>
      </c>
      <c r="R221" s="36" t="str">
        <f>IFERROR(IF(AND(Q221="Отсутствует",VLOOKUP(A221,Торг!$A:$A,1,0)=A221),"Добавить","Есть"),"Новый")</f>
        <v>Есть</v>
      </c>
    </row>
    <row r="222" spans="1:18" ht="60" hidden="1">
      <c r="A222" s="238" t="s">
        <v>804</v>
      </c>
      <c r="B222" s="237">
        <v>274831</v>
      </c>
      <c r="C222" s="237">
        <v>226603</v>
      </c>
      <c r="D222" s="238" t="s">
        <v>1014</v>
      </c>
      <c r="E222" s="238" t="s">
        <v>741</v>
      </c>
      <c r="F222" s="238"/>
      <c r="G222" s="238"/>
      <c r="H222" s="238" t="s">
        <v>117</v>
      </c>
      <c r="I222" s="238" t="s">
        <v>250</v>
      </c>
      <c r="J222" s="239">
        <v>41950</v>
      </c>
      <c r="K222" s="239">
        <v>51890</v>
      </c>
      <c r="L222" s="238" t="s">
        <v>623</v>
      </c>
      <c r="M222" s="237">
        <v>1</v>
      </c>
      <c r="N222" s="237"/>
      <c r="O222" s="238"/>
      <c r="P222" s="88" t="str">
        <f t="shared" si="3"/>
        <v>1</v>
      </c>
      <c r="Q222" s="88" t="str">
        <f>IFERROR(INDEX(Торг!$F:$F,MATCH($B222,Торг!$B:$B,0)),"Отсутствует")</f>
        <v>Y</v>
      </c>
      <c r="R222" s="36" t="str">
        <f>IFERROR(IF(AND(Q222="Отсутствует",VLOOKUP(A222,Торг!$A:$A,1,0)=A222),"Добавить","Есть"),"Новый")</f>
        <v>Есть</v>
      </c>
    </row>
    <row r="223" spans="1:18" ht="60" hidden="1">
      <c r="A223" s="238" t="s">
        <v>804</v>
      </c>
      <c r="B223" s="237">
        <v>274820</v>
      </c>
      <c r="C223" s="237">
        <v>226584</v>
      </c>
      <c r="D223" s="238" t="s">
        <v>1015</v>
      </c>
      <c r="E223" s="238" t="s">
        <v>741</v>
      </c>
      <c r="F223" s="238"/>
      <c r="G223" s="238"/>
      <c r="H223" s="238" t="s">
        <v>117</v>
      </c>
      <c r="I223" s="238" t="s">
        <v>250</v>
      </c>
      <c r="J223" s="239">
        <v>41120</v>
      </c>
      <c r="K223" s="239">
        <v>50890</v>
      </c>
      <c r="L223" s="238" t="s">
        <v>623</v>
      </c>
      <c r="M223" s="237">
        <v>1</v>
      </c>
      <c r="N223" s="237"/>
      <c r="O223" s="238"/>
      <c r="P223" s="88" t="str">
        <f t="shared" si="3"/>
        <v>1</v>
      </c>
      <c r="Q223" s="88" t="str">
        <f>IFERROR(INDEX(Торг!$F:$F,MATCH($B223,Торг!$B:$B,0)),"Отсутствует")</f>
        <v>Y</v>
      </c>
      <c r="R223" s="36" t="str">
        <f>IFERROR(IF(AND(Q223="Отсутствует",VLOOKUP(A223,Торг!$A:$A,1,0)=A223),"Добавить","Есть"),"Новый")</f>
        <v>Есть</v>
      </c>
    </row>
    <row r="224" spans="1:18" ht="60" hidden="1">
      <c r="A224" s="238" t="s">
        <v>804</v>
      </c>
      <c r="B224" s="237">
        <v>274832</v>
      </c>
      <c r="C224" s="237">
        <v>226605</v>
      </c>
      <c r="D224" s="238" t="s">
        <v>1016</v>
      </c>
      <c r="E224" s="238" t="s">
        <v>741</v>
      </c>
      <c r="F224" s="238"/>
      <c r="G224" s="238"/>
      <c r="H224" s="238" t="s">
        <v>117</v>
      </c>
      <c r="I224" s="238" t="s">
        <v>250</v>
      </c>
      <c r="J224" s="239">
        <v>41950</v>
      </c>
      <c r="K224" s="239">
        <v>51890</v>
      </c>
      <c r="L224" s="238" t="s">
        <v>623</v>
      </c>
      <c r="M224" s="237">
        <v>1</v>
      </c>
      <c r="N224" s="237"/>
      <c r="O224" s="238"/>
      <c r="P224" s="88" t="str">
        <f t="shared" si="3"/>
        <v>1</v>
      </c>
      <c r="Q224" s="88" t="str">
        <f>IFERROR(INDEX(Торг!$F:$F,MATCH($B224,Торг!$B:$B,0)),"Отсутствует")</f>
        <v>Y</v>
      </c>
      <c r="R224" s="36" t="str">
        <f>IFERROR(IF(AND(Q224="Отсутствует",VLOOKUP(A224,Торг!$A:$A,1,0)=A224),"Добавить","Есть"),"Новый")</f>
        <v>Есть</v>
      </c>
    </row>
    <row r="225" spans="1:18" ht="60" hidden="1">
      <c r="A225" s="238" t="s">
        <v>804</v>
      </c>
      <c r="B225" s="237">
        <v>274823</v>
      </c>
      <c r="C225" s="237">
        <v>226585</v>
      </c>
      <c r="D225" s="238" t="s">
        <v>1017</v>
      </c>
      <c r="E225" s="238" t="s">
        <v>741</v>
      </c>
      <c r="F225" s="238"/>
      <c r="G225" s="238"/>
      <c r="H225" s="238" t="s">
        <v>117</v>
      </c>
      <c r="I225" s="238" t="s">
        <v>250</v>
      </c>
      <c r="J225" s="239">
        <v>41120</v>
      </c>
      <c r="K225" s="239">
        <v>50890</v>
      </c>
      <c r="L225" s="238" t="s">
        <v>623</v>
      </c>
      <c r="M225" s="237">
        <v>1</v>
      </c>
      <c r="N225" s="237"/>
      <c r="O225" s="238"/>
      <c r="P225" s="88" t="str">
        <f t="shared" si="3"/>
        <v>1</v>
      </c>
      <c r="Q225" s="88" t="str">
        <f>IFERROR(INDEX(Торг!$F:$F,MATCH($B225,Торг!$B:$B,0)),"Отсутствует")</f>
        <v>Y</v>
      </c>
      <c r="R225" s="36" t="str">
        <f>IFERROR(IF(AND(Q225="Отсутствует",VLOOKUP(A225,Торг!$A:$A,1,0)=A225),"Добавить","Есть"),"Новый")</f>
        <v>Есть</v>
      </c>
    </row>
    <row r="226" spans="1:18" ht="60" hidden="1">
      <c r="A226" s="238" t="s">
        <v>804</v>
      </c>
      <c r="B226" s="237">
        <v>274835</v>
      </c>
      <c r="C226" s="237">
        <v>226606</v>
      </c>
      <c r="D226" s="238" t="s">
        <v>1018</v>
      </c>
      <c r="E226" s="238" t="s">
        <v>741</v>
      </c>
      <c r="F226" s="238"/>
      <c r="G226" s="238"/>
      <c r="H226" s="238" t="s">
        <v>117</v>
      </c>
      <c r="I226" s="238" t="s">
        <v>250</v>
      </c>
      <c r="J226" s="239">
        <v>41950</v>
      </c>
      <c r="K226" s="239">
        <v>51890</v>
      </c>
      <c r="L226" s="238" t="s">
        <v>623</v>
      </c>
      <c r="M226" s="237">
        <v>1</v>
      </c>
      <c r="N226" s="237"/>
      <c r="O226" s="238"/>
      <c r="P226" s="88" t="str">
        <f t="shared" si="3"/>
        <v>1</v>
      </c>
      <c r="Q226" s="88" t="str">
        <f>IFERROR(INDEX(Торг!$F:$F,MATCH($B226,Торг!$B:$B,0)),"Отсутствует")</f>
        <v>Y</v>
      </c>
      <c r="R226" s="36" t="str">
        <f>IFERROR(IF(AND(Q226="Отсутствует",VLOOKUP(A226,Торг!$A:$A,1,0)=A226),"Добавить","Есть"),"Новый")</f>
        <v>Есть</v>
      </c>
    </row>
    <row r="227" spans="1:18" ht="60" hidden="1">
      <c r="A227" s="238" t="s">
        <v>804</v>
      </c>
      <c r="B227" s="237">
        <v>274821</v>
      </c>
      <c r="C227" s="237">
        <v>226580</v>
      </c>
      <c r="D227" s="238" t="s">
        <v>1019</v>
      </c>
      <c r="E227" s="238" t="s">
        <v>741</v>
      </c>
      <c r="F227" s="238"/>
      <c r="G227" s="238"/>
      <c r="H227" s="238" t="s">
        <v>117</v>
      </c>
      <c r="I227" s="238" t="s">
        <v>250</v>
      </c>
      <c r="J227" s="239">
        <v>41120</v>
      </c>
      <c r="K227" s="239">
        <v>50890</v>
      </c>
      <c r="L227" s="238" t="s">
        <v>623</v>
      </c>
      <c r="M227" s="237">
        <v>1</v>
      </c>
      <c r="N227" s="237"/>
      <c r="O227" s="238"/>
      <c r="P227" s="88" t="str">
        <f t="shared" si="3"/>
        <v>1</v>
      </c>
      <c r="Q227" s="88" t="str">
        <f>IFERROR(INDEX(Торг!$F:$F,MATCH($B227,Торг!$B:$B,0)),"Отсутствует")</f>
        <v>Y</v>
      </c>
      <c r="R227" s="36" t="str">
        <f>IFERROR(IF(AND(Q227="Отсутствует",VLOOKUP(A227,Торг!$A:$A,1,0)=A227),"Добавить","Есть"),"Новый")</f>
        <v>Есть</v>
      </c>
    </row>
    <row r="228" spans="1:18" ht="60" hidden="1">
      <c r="A228" s="238" t="s">
        <v>804</v>
      </c>
      <c r="B228" s="237">
        <v>274833</v>
      </c>
      <c r="C228" s="237">
        <v>226602</v>
      </c>
      <c r="D228" s="238" t="s">
        <v>1020</v>
      </c>
      <c r="E228" s="238" t="s">
        <v>741</v>
      </c>
      <c r="F228" s="238"/>
      <c r="G228" s="238"/>
      <c r="H228" s="238" t="s">
        <v>117</v>
      </c>
      <c r="I228" s="238" t="s">
        <v>250</v>
      </c>
      <c r="J228" s="239">
        <v>41950</v>
      </c>
      <c r="K228" s="239">
        <v>51890</v>
      </c>
      <c r="L228" s="238" t="s">
        <v>623</v>
      </c>
      <c r="M228" s="237">
        <v>1</v>
      </c>
      <c r="N228" s="237"/>
      <c r="O228" s="238"/>
      <c r="P228" s="88" t="str">
        <f t="shared" si="3"/>
        <v>1</v>
      </c>
      <c r="Q228" s="88" t="str">
        <f>IFERROR(INDEX(Торг!$F:$F,MATCH($B228,Торг!$B:$B,0)),"Отсутствует")</f>
        <v>Y</v>
      </c>
      <c r="R228" s="36" t="str">
        <f>IFERROR(IF(AND(Q228="Отсутствует",VLOOKUP(A228,Торг!$A:$A,1,0)=A228),"Добавить","Есть"),"Новый")</f>
        <v>Есть</v>
      </c>
    </row>
    <row r="229" spans="1:18" ht="60" hidden="1">
      <c r="A229" s="238" t="s">
        <v>804</v>
      </c>
      <c r="B229" s="237">
        <v>274822</v>
      </c>
      <c r="C229" s="237">
        <v>226579</v>
      </c>
      <c r="D229" s="238" t="s">
        <v>1021</v>
      </c>
      <c r="E229" s="238" t="s">
        <v>741</v>
      </c>
      <c r="F229" s="238"/>
      <c r="G229" s="238"/>
      <c r="H229" s="238" t="s">
        <v>117</v>
      </c>
      <c r="I229" s="238" t="s">
        <v>250</v>
      </c>
      <c r="J229" s="239">
        <v>41120</v>
      </c>
      <c r="K229" s="239">
        <v>50890</v>
      </c>
      <c r="L229" s="238" t="s">
        <v>623</v>
      </c>
      <c r="M229" s="237">
        <v>1</v>
      </c>
      <c r="N229" s="237"/>
      <c r="O229" s="238"/>
      <c r="P229" s="88" t="str">
        <f t="shared" si="3"/>
        <v>1</v>
      </c>
      <c r="Q229" s="88" t="str">
        <f>IFERROR(INDEX(Торг!$F:$F,MATCH($B229,Торг!$B:$B,0)),"Отсутствует")</f>
        <v>Y</v>
      </c>
      <c r="R229" s="36" t="str">
        <f>IFERROR(IF(AND(Q229="Отсутствует",VLOOKUP(A229,Торг!$A:$A,1,0)=A229),"Добавить","Есть"),"Новый")</f>
        <v>Есть</v>
      </c>
    </row>
    <row r="230" spans="1:18" ht="60" hidden="1">
      <c r="A230" s="238" t="s">
        <v>804</v>
      </c>
      <c r="B230" s="237">
        <v>274834</v>
      </c>
      <c r="C230" s="237">
        <v>226601</v>
      </c>
      <c r="D230" s="238" t="s">
        <v>1022</v>
      </c>
      <c r="E230" s="238" t="s">
        <v>741</v>
      </c>
      <c r="F230" s="238"/>
      <c r="G230" s="238"/>
      <c r="H230" s="238" t="s">
        <v>117</v>
      </c>
      <c r="I230" s="238" t="s">
        <v>250</v>
      </c>
      <c r="J230" s="239">
        <v>41950</v>
      </c>
      <c r="K230" s="239">
        <v>51890</v>
      </c>
      <c r="L230" s="238" t="s">
        <v>623</v>
      </c>
      <c r="M230" s="237">
        <v>1</v>
      </c>
      <c r="N230" s="237"/>
      <c r="O230" s="238"/>
      <c r="P230" s="88" t="str">
        <f t="shared" si="3"/>
        <v>1</v>
      </c>
      <c r="Q230" s="88" t="str">
        <f>IFERROR(INDEX(Торг!$F:$F,MATCH($B230,Торг!$B:$B,0)),"Отсутствует")</f>
        <v>Y</v>
      </c>
      <c r="R230" s="36" t="str">
        <f>IFERROR(IF(AND(Q230="Отсутствует",VLOOKUP(A230,Торг!$A:$A,1,0)=A230),"Добавить","Есть"),"Новый")</f>
        <v>Есть</v>
      </c>
    </row>
    <row r="231" spans="1:18" ht="60" hidden="1">
      <c r="A231" s="238" t="s">
        <v>804</v>
      </c>
      <c r="B231" s="237">
        <v>274824</v>
      </c>
      <c r="C231" s="237">
        <v>226577</v>
      </c>
      <c r="D231" s="238" t="s">
        <v>1023</v>
      </c>
      <c r="E231" s="238" t="s">
        <v>741</v>
      </c>
      <c r="F231" s="238"/>
      <c r="G231" s="238"/>
      <c r="H231" s="238" t="s">
        <v>117</v>
      </c>
      <c r="I231" s="238" t="s">
        <v>250</v>
      </c>
      <c r="J231" s="239">
        <v>41120</v>
      </c>
      <c r="K231" s="239">
        <v>50890</v>
      </c>
      <c r="L231" s="238" t="s">
        <v>623</v>
      </c>
      <c r="M231" s="237">
        <v>1</v>
      </c>
      <c r="N231" s="237"/>
      <c r="O231" s="238"/>
      <c r="P231" s="88" t="str">
        <f t="shared" si="3"/>
        <v>1</v>
      </c>
      <c r="Q231" s="88" t="str">
        <f>IFERROR(INDEX(Торг!$F:$F,MATCH($B231,Торг!$B:$B,0)),"Отсутствует")</f>
        <v>Y</v>
      </c>
      <c r="R231" s="36" t="str">
        <f>IFERROR(IF(AND(Q231="Отсутствует",VLOOKUP(A231,Торг!$A:$A,1,0)=A231),"Добавить","Есть"),"Новый")</f>
        <v>Есть</v>
      </c>
    </row>
    <row r="232" spans="1:18" ht="60" hidden="1">
      <c r="A232" s="238" t="s">
        <v>804</v>
      </c>
      <c r="B232" s="237">
        <v>274836</v>
      </c>
      <c r="C232" s="237">
        <v>226599</v>
      </c>
      <c r="D232" s="238" t="s">
        <v>1024</v>
      </c>
      <c r="E232" s="238" t="s">
        <v>741</v>
      </c>
      <c r="F232" s="238"/>
      <c r="G232" s="238"/>
      <c r="H232" s="238" t="s">
        <v>117</v>
      </c>
      <c r="I232" s="238" t="s">
        <v>250</v>
      </c>
      <c r="J232" s="239">
        <v>41950</v>
      </c>
      <c r="K232" s="239">
        <v>51890</v>
      </c>
      <c r="L232" s="238" t="s">
        <v>623</v>
      </c>
      <c r="M232" s="237">
        <v>1</v>
      </c>
      <c r="N232" s="237"/>
      <c r="O232" s="238"/>
      <c r="P232" s="88" t="str">
        <f t="shared" si="3"/>
        <v>1</v>
      </c>
      <c r="Q232" s="88" t="str">
        <f>IFERROR(INDEX(Торг!$F:$F,MATCH($B232,Торг!$B:$B,0)),"Отсутствует")</f>
        <v>Y</v>
      </c>
      <c r="R232" s="36" t="str">
        <f>IFERROR(IF(AND(Q232="Отсутствует",VLOOKUP(A232,Торг!$A:$A,1,0)=A232),"Добавить","Есть"),"Новый")</f>
        <v>Есть</v>
      </c>
    </row>
    <row r="233" spans="1:18" ht="60" hidden="1">
      <c r="A233" s="238" t="s">
        <v>804</v>
      </c>
      <c r="B233" s="237">
        <v>274816</v>
      </c>
      <c r="C233" s="237">
        <v>226576</v>
      </c>
      <c r="D233" s="238" t="s">
        <v>1025</v>
      </c>
      <c r="E233" s="238" t="s">
        <v>741</v>
      </c>
      <c r="F233" s="238"/>
      <c r="G233" s="238"/>
      <c r="H233" s="238" t="s">
        <v>117</v>
      </c>
      <c r="I233" s="238" t="s">
        <v>250</v>
      </c>
      <c r="J233" s="239">
        <v>41120</v>
      </c>
      <c r="K233" s="239">
        <v>50890</v>
      </c>
      <c r="L233" s="238" t="s">
        <v>623</v>
      </c>
      <c r="M233" s="237">
        <v>1</v>
      </c>
      <c r="N233" s="237"/>
      <c r="O233" s="238"/>
      <c r="P233" s="88" t="str">
        <f t="shared" si="3"/>
        <v>1</v>
      </c>
      <c r="Q233" s="88" t="str">
        <f>IFERROR(INDEX(Торг!$F:$F,MATCH($B233,Торг!$B:$B,0)),"Отсутствует")</f>
        <v>Y</v>
      </c>
      <c r="R233" s="36" t="str">
        <f>IFERROR(IF(AND(Q233="Отсутствует",VLOOKUP(A233,Торг!$A:$A,1,0)=A233),"Добавить","Есть"),"Новый")</f>
        <v>Есть</v>
      </c>
    </row>
    <row r="234" spans="1:18" ht="60" hidden="1">
      <c r="A234" s="238" t="s">
        <v>804</v>
      </c>
      <c r="B234" s="237">
        <v>274828</v>
      </c>
      <c r="C234" s="237">
        <v>226598</v>
      </c>
      <c r="D234" s="238" t="s">
        <v>1026</v>
      </c>
      <c r="E234" s="238" t="s">
        <v>741</v>
      </c>
      <c r="F234" s="238"/>
      <c r="G234" s="238"/>
      <c r="H234" s="238" t="s">
        <v>117</v>
      </c>
      <c r="I234" s="238" t="s">
        <v>250</v>
      </c>
      <c r="J234" s="239">
        <v>41950</v>
      </c>
      <c r="K234" s="239">
        <v>51890</v>
      </c>
      <c r="L234" s="238" t="s">
        <v>623</v>
      </c>
      <c r="M234" s="237">
        <v>1</v>
      </c>
      <c r="N234" s="237"/>
      <c r="O234" s="238"/>
      <c r="P234" s="88" t="str">
        <f t="shared" si="3"/>
        <v>1</v>
      </c>
      <c r="Q234" s="88" t="str">
        <f>IFERROR(INDEX(Торг!$F:$F,MATCH($B234,Торг!$B:$B,0)),"Отсутствует")</f>
        <v>Y</v>
      </c>
      <c r="R234" s="36" t="str">
        <f>IFERROR(IF(AND(Q234="Отсутствует",VLOOKUP(A234,Торг!$A:$A,1,0)=A234),"Добавить","Есть"),"Новый")</f>
        <v>Есть</v>
      </c>
    </row>
    <row r="235" spans="1:18" ht="60" hidden="1">
      <c r="A235" s="238" t="s">
        <v>804</v>
      </c>
      <c r="B235" s="237">
        <v>274813</v>
      </c>
      <c r="C235" s="237">
        <v>226573</v>
      </c>
      <c r="D235" s="238" t="s">
        <v>1027</v>
      </c>
      <c r="E235" s="238" t="s">
        <v>741</v>
      </c>
      <c r="F235" s="238"/>
      <c r="G235" s="238"/>
      <c r="H235" s="238" t="s">
        <v>117</v>
      </c>
      <c r="I235" s="238" t="s">
        <v>250</v>
      </c>
      <c r="J235" s="239">
        <v>40250</v>
      </c>
      <c r="K235" s="239">
        <v>49790</v>
      </c>
      <c r="L235" s="238" t="s">
        <v>623</v>
      </c>
      <c r="M235" s="237">
        <v>1</v>
      </c>
      <c r="N235" s="237"/>
      <c r="O235" s="238"/>
      <c r="P235" s="88" t="str">
        <f t="shared" si="3"/>
        <v>1</v>
      </c>
      <c r="Q235" s="88" t="str">
        <f>IFERROR(INDEX(Торг!$F:$F,MATCH($B235,Торг!$B:$B,0)),"Отсутствует")</f>
        <v>Y</v>
      </c>
      <c r="R235" s="36" t="str">
        <f>IFERROR(IF(AND(Q235="Отсутствует",VLOOKUP(A235,Торг!$A:$A,1,0)=A235),"Добавить","Есть"),"Новый")</f>
        <v>Есть</v>
      </c>
    </row>
    <row r="236" spans="1:18" ht="60" hidden="1">
      <c r="A236" s="238" t="s">
        <v>804</v>
      </c>
      <c r="B236" s="237">
        <v>274814</v>
      </c>
      <c r="C236" s="237">
        <v>226574</v>
      </c>
      <c r="D236" s="238" t="s">
        <v>1028</v>
      </c>
      <c r="E236" s="238" t="s">
        <v>741</v>
      </c>
      <c r="F236" s="238"/>
      <c r="G236" s="238"/>
      <c r="H236" s="238" t="s">
        <v>117</v>
      </c>
      <c r="I236" s="238" t="s">
        <v>250</v>
      </c>
      <c r="J236" s="239">
        <v>41080</v>
      </c>
      <c r="K236" s="239">
        <v>50790</v>
      </c>
      <c r="L236" s="238" t="s">
        <v>623</v>
      </c>
      <c r="M236" s="237">
        <v>1</v>
      </c>
      <c r="N236" s="237"/>
      <c r="O236" s="238"/>
      <c r="P236" s="88" t="str">
        <f t="shared" si="3"/>
        <v>1</v>
      </c>
      <c r="Q236" s="88" t="str">
        <f>IFERROR(INDEX(Торг!$F:$F,MATCH($B236,Торг!$B:$B,0)),"Отсутствует")</f>
        <v>Y</v>
      </c>
      <c r="R236" s="36" t="str">
        <f>IFERROR(IF(AND(Q236="Отсутствует",VLOOKUP(A236,Торг!$A:$A,1,0)=A236),"Добавить","Есть"),"Новый")</f>
        <v>Есть</v>
      </c>
    </row>
    <row r="237" spans="1:18" ht="60" hidden="1">
      <c r="A237" s="238" t="s">
        <v>805</v>
      </c>
      <c r="B237" s="237">
        <v>341440</v>
      </c>
      <c r="C237" s="237">
        <v>341440</v>
      </c>
      <c r="D237" s="238" t="s">
        <v>1029</v>
      </c>
      <c r="E237" s="238" t="s">
        <v>741</v>
      </c>
      <c r="F237" s="238"/>
      <c r="G237" s="238"/>
      <c r="H237" s="238" t="s">
        <v>135</v>
      </c>
      <c r="I237" s="238" t="s">
        <v>250</v>
      </c>
      <c r="J237" s="239">
        <v>50550</v>
      </c>
      <c r="K237" s="239">
        <v>62590</v>
      </c>
      <c r="L237" s="238" t="s">
        <v>623</v>
      </c>
      <c r="M237" s="237">
        <v>1</v>
      </c>
      <c r="N237" s="237"/>
      <c r="O237" s="238"/>
      <c r="P237" s="88" t="str">
        <f t="shared" si="3"/>
        <v>1</v>
      </c>
      <c r="Q237" s="88" t="str">
        <f>IFERROR(INDEX(Торг!$F:$F,MATCH($B237,Торг!$B:$B,0)),"Отсутствует")</f>
        <v>Y</v>
      </c>
      <c r="R237" s="36" t="str">
        <f>IFERROR(IF(AND(Q237="Отсутствует",VLOOKUP(A237,Торг!$A:$A,1,0)=A237),"Добавить","Есть"),"Новый")</f>
        <v>Есть</v>
      </c>
    </row>
    <row r="238" spans="1:18" ht="60" hidden="1">
      <c r="A238" s="238" t="s">
        <v>805</v>
      </c>
      <c r="B238" s="237">
        <v>341452</v>
      </c>
      <c r="C238" s="237">
        <v>341452</v>
      </c>
      <c r="D238" s="238" t="s">
        <v>1030</v>
      </c>
      <c r="E238" s="238" t="s">
        <v>741</v>
      </c>
      <c r="F238" s="238"/>
      <c r="G238" s="238"/>
      <c r="H238" s="238" t="s">
        <v>135</v>
      </c>
      <c r="I238" s="238" t="s">
        <v>250</v>
      </c>
      <c r="J238" s="239">
        <v>50550</v>
      </c>
      <c r="K238" s="239">
        <v>62590</v>
      </c>
      <c r="L238" s="238" t="s">
        <v>623</v>
      </c>
      <c r="M238" s="237">
        <v>1</v>
      </c>
      <c r="N238" s="237"/>
      <c r="O238" s="238"/>
      <c r="P238" s="88" t="str">
        <f t="shared" si="3"/>
        <v>1</v>
      </c>
      <c r="Q238" s="88" t="str">
        <f>IFERROR(INDEX(Торг!$F:$F,MATCH($B238,Торг!$B:$B,0)),"Отсутствует")</f>
        <v>Y</v>
      </c>
      <c r="R238" s="36" t="str">
        <f>IFERROR(IF(AND(Q238="Отсутствует",VLOOKUP(A238,Торг!$A:$A,1,0)=A238),"Добавить","Есть"),"Новый")</f>
        <v>Есть</v>
      </c>
    </row>
    <row r="239" spans="1:18" ht="60" hidden="1">
      <c r="A239" s="238" t="s">
        <v>805</v>
      </c>
      <c r="B239" s="237">
        <v>341451</v>
      </c>
      <c r="C239" s="237">
        <v>341451</v>
      </c>
      <c r="D239" s="238" t="s">
        <v>1031</v>
      </c>
      <c r="E239" s="238" t="s">
        <v>741</v>
      </c>
      <c r="F239" s="238"/>
      <c r="G239" s="238"/>
      <c r="H239" s="238" t="s">
        <v>135</v>
      </c>
      <c r="I239" s="238" t="s">
        <v>250</v>
      </c>
      <c r="J239" s="239">
        <v>50550</v>
      </c>
      <c r="K239" s="239">
        <v>62590</v>
      </c>
      <c r="L239" s="238" t="s">
        <v>623</v>
      </c>
      <c r="M239" s="237">
        <v>1</v>
      </c>
      <c r="N239" s="237"/>
      <c r="O239" s="238"/>
      <c r="P239" s="88" t="str">
        <f t="shared" si="3"/>
        <v>1</v>
      </c>
      <c r="Q239" s="88" t="str">
        <f>IFERROR(INDEX(Торг!$F:$F,MATCH($B239,Торг!$B:$B,0)),"Отсутствует")</f>
        <v>Y</v>
      </c>
      <c r="R239" s="36" t="str">
        <f>IFERROR(IF(AND(Q239="Отсутствует",VLOOKUP(A239,Торг!$A:$A,1,0)=A239),"Добавить","Есть"),"Новый")</f>
        <v>Есть</v>
      </c>
    </row>
    <row r="240" spans="1:18" ht="75" hidden="1">
      <c r="A240" s="238" t="s">
        <v>805</v>
      </c>
      <c r="B240" s="237">
        <v>341443</v>
      </c>
      <c r="C240" s="237">
        <v>341443</v>
      </c>
      <c r="D240" s="238" t="s">
        <v>1032</v>
      </c>
      <c r="E240" s="238" t="s">
        <v>741</v>
      </c>
      <c r="F240" s="238"/>
      <c r="G240" s="238"/>
      <c r="H240" s="238" t="s">
        <v>135</v>
      </c>
      <c r="I240" s="238" t="s">
        <v>250</v>
      </c>
      <c r="J240" s="239">
        <v>50550</v>
      </c>
      <c r="K240" s="239">
        <v>62590</v>
      </c>
      <c r="L240" s="238" t="s">
        <v>623</v>
      </c>
      <c r="M240" s="237">
        <v>1</v>
      </c>
      <c r="N240" s="237"/>
      <c r="O240" s="238"/>
      <c r="P240" s="88" t="str">
        <f t="shared" si="3"/>
        <v>1</v>
      </c>
      <c r="Q240" s="88" t="str">
        <f>IFERROR(INDEX(Торг!$F:$F,MATCH($B240,Торг!$B:$B,0)),"Отсутствует")</f>
        <v>Y</v>
      </c>
      <c r="R240" s="36" t="str">
        <f>IFERROR(IF(AND(Q240="Отсутствует",VLOOKUP(A240,Торг!$A:$A,1,0)=A240),"Добавить","Есть"),"Новый")</f>
        <v>Есть</v>
      </c>
    </row>
    <row r="241" spans="1:18" ht="60" hidden="1">
      <c r="A241" s="238" t="s">
        <v>805</v>
      </c>
      <c r="B241" s="237">
        <v>341444</v>
      </c>
      <c r="C241" s="237">
        <v>341444</v>
      </c>
      <c r="D241" s="238" t="s">
        <v>1033</v>
      </c>
      <c r="E241" s="238" t="s">
        <v>741</v>
      </c>
      <c r="F241" s="238"/>
      <c r="G241" s="238"/>
      <c r="H241" s="238" t="s">
        <v>135</v>
      </c>
      <c r="I241" s="238" t="s">
        <v>250</v>
      </c>
      <c r="J241" s="239">
        <v>50550</v>
      </c>
      <c r="K241" s="239">
        <v>62590</v>
      </c>
      <c r="L241" s="238" t="s">
        <v>623</v>
      </c>
      <c r="M241" s="237">
        <v>1</v>
      </c>
      <c r="N241" s="237"/>
      <c r="O241" s="238"/>
      <c r="P241" s="88" t="str">
        <f t="shared" si="3"/>
        <v>1</v>
      </c>
      <c r="Q241" s="88" t="str">
        <f>IFERROR(INDEX(Торг!$F:$F,MATCH($B241,Торг!$B:$B,0)),"Отсутствует")</f>
        <v>Y</v>
      </c>
      <c r="R241" s="36" t="str">
        <f>IFERROR(IF(AND(Q241="Отсутствует",VLOOKUP(A241,Торг!$A:$A,1,0)=A241),"Добавить","Есть"),"Новый")</f>
        <v>Есть</v>
      </c>
    </row>
    <row r="242" spans="1:18" ht="75" hidden="1">
      <c r="A242" s="238" t="s">
        <v>805</v>
      </c>
      <c r="B242" s="237">
        <v>341445</v>
      </c>
      <c r="C242" s="237">
        <v>341445</v>
      </c>
      <c r="D242" s="238" t="s">
        <v>1034</v>
      </c>
      <c r="E242" s="238" t="s">
        <v>741</v>
      </c>
      <c r="F242" s="238"/>
      <c r="G242" s="238"/>
      <c r="H242" s="238" t="s">
        <v>135</v>
      </c>
      <c r="I242" s="238" t="s">
        <v>250</v>
      </c>
      <c r="J242" s="239">
        <v>50550</v>
      </c>
      <c r="K242" s="239">
        <v>62590</v>
      </c>
      <c r="L242" s="238" t="s">
        <v>623</v>
      </c>
      <c r="M242" s="237">
        <v>1</v>
      </c>
      <c r="N242" s="237"/>
      <c r="O242" s="238"/>
      <c r="P242" s="88" t="str">
        <f t="shared" si="3"/>
        <v>1</v>
      </c>
      <c r="Q242" s="88" t="str">
        <f>IFERROR(INDEX(Торг!$F:$F,MATCH($B242,Торг!$B:$B,0)),"Отсутствует")</f>
        <v>Y</v>
      </c>
      <c r="R242" s="36" t="str">
        <f>IFERROR(IF(AND(Q242="Отсутствует",VLOOKUP(A242,Торг!$A:$A,1,0)=A242),"Добавить","Есть"),"Новый")</f>
        <v>Есть</v>
      </c>
    </row>
    <row r="243" spans="1:18" ht="75" hidden="1">
      <c r="A243" s="238" t="s">
        <v>805</v>
      </c>
      <c r="B243" s="237">
        <v>341446</v>
      </c>
      <c r="C243" s="237">
        <v>341446</v>
      </c>
      <c r="D243" s="238" t="s">
        <v>1035</v>
      </c>
      <c r="E243" s="238" t="s">
        <v>741</v>
      </c>
      <c r="F243" s="238"/>
      <c r="G243" s="238"/>
      <c r="H243" s="238" t="s">
        <v>135</v>
      </c>
      <c r="I243" s="238" t="s">
        <v>250</v>
      </c>
      <c r="J243" s="239">
        <v>50550</v>
      </c>
      <c r="K243" s="239">
        <v>62590</v>
      </c>
      <c r="L243" s="238" t="s">
        <v>623</v>
      </c>
      <c r="M243" s="237">
        <v>1</v>
      </c>
      <c r="N243" s="237"/>
      <c r="O243" s="238"/>
      <c r="P243" s="88" t="str">
        <f t="shared" si="3"/>
        <v>1</v>
      </c>
      <c r="Q243" s="88" t="str">
        <f>IFERROR(INDEX(Торг!$F:$F,MATCH($B243,Торг!$B:$B,0)),"Отсутствует")</f>
        <v>Y</v>
      </c>
      <c r="R243" s="36" t="str">
        <f>IFERROR(IF(AND(Q243="Отсутствует",VLOOKUP(A243,Торг!$A:$A,1,0)=A243),"Добавить","Есть"),"Новый")</f>
        <v>Есть</v>
      </c>
    </row>
    <row r="244" spans="1:18" ht="75" hidden="1">
      <c r="A244" s="238" t="s">
        <v>805</v>
      </c>
      <c r="B244" s="237">
        <v>341449</v>
      </c>
      <c r="C244" s="237">
        <v>341449</v>
      </c>
      <c r="D244" s="238" t="s">
        <v>1036</v>
      </c>
      <c r="E244" s="238" t="s">
        <v>741</v>
      </c>
      <c r="F244" s="238"/>
      <c r="G244" s="238"/>
      <c r="H244" s="238" t="s">
        <v>135</v>
      </c>
      <c r="I244" s="238" t="s">
        <v>250</v>
      </c>
      <c r="J244" s="239">
        <v>50550</v>
      </c>
      <c r="K244" s="239">
        <v>62590</v>
      </c>
      <c r="L244" s="238" t="s">
        <v>623</v>
      </c>
      <c r="M244" s="237">
        <v>1</v>
      </c>
      <c r="N244" s="237"/>
      <c r="O244" s="238"/>
      <c r="P244" s="88" t="str">
        <f t="shared" si="3"/>
        <v>1</v>
      </c>
      <c r="Q244" s="88" t="str">
        <f>IFERROR(INDEX(Торг!$F:$F,MATCH($B244,Торг!$B:$B,0)),"Отсутствует")</f>
        <v>Y</v>
      </c>
      <c r="R244" s="36" t="str">
        <f>IFERROR(IF(AND(Q244="Отсутствует",VLOOKUP(A244,Торг!$A:$A,1,0)=A244),"Добавить","Есть"),"Новый")</f>
        <v>Есть</v>
      </c>
    </row>
    <row r="245" spans="1:18" ht="75" hidden="1">
      <c r="A245" s="238" t="s">
        <v>805</v>
      </c>
      <c r="B245" s="237">
        <v>341447</v>
      </c>
      <c r="C245" s="237">
        <v>341447</v>
      </c>
      <c r="D245" s="238" t="s">
        <v>1037</v>
      </c>
      <c r="E245" s="238" t="s">
        <v>741</v>
      </c>
      <c r="F245" s="238"/>
      <c r="G245" s="238"/>
      <c r="H245" s="238" t="s">
        <v>135</v>
      </c>
      <c r="I245" s="238" t="s">
        <v>250</v>
      </c>
      <c r="J245" s="239">
        <v>50550</v>
      </c>
      <c r="K245" s="239">
        <v>62590</v>
      </c>
      <c r="L245" s="238" t="s">
        <v>623</v>
      </c>
      <c r="M245" s="237">
        <v>1</v>
      </c>
      <c r="N245" s="237"/>
      <c r="O245" s="238"/>
      <c r="P245" s="88" t="str">
        <f t="shared" si="3"/>
        <v>1</v>
      </c>
      <c r="Q245" s="88" t="str">
        <f>IFERROR(INDEX(Торг!$F:$F,MATCH($B245,Торг!$B:$B,0)),"Отсутствует")</f>
        <v>Y</v>
      </c>
      <c r="R245" s="36" t="str">
        <f>IFERROR(IF(AND(Q245="Отсутствует",VLOOKUP(A245,Торг!$A:$A,1,0)=A245),"Добавить","Есть"),"Новый")</f>
        <v>Есть</v>
      </c>
    </row>
    <row r="246" spans="1:18" ht="60" hidden="1">
      <c r="A246" s="238" t="s">
        <v>805</v>
      </c>
      <c r="B246" s="237">
        <v>341448</v>
      </c>
      <c r="C246" s="237">
        <v>341448</v>
      </c>
      <c r="D246" s="238" t="s">
        <v>1038</v>
      </c>
      <c r="E246" s="238" t="s">
        <v>741</v>
      </c>
      <c r="F246" s="238"/>
      <c r="G246" s="238"/>
      <c r="H246" s="238" t="s">
        <v>135</v>
      </c>
      <c r="I246" s="238" t="s">
        <v>250</v>
      </c>
      <c r="J246" s="239">
        <v>50550</v>
      </c>
      <c r="K246" s="239">
        <v>62590</v>
      </c>
      <c r="L246" s="238" t="s">
        <v>623</v>
      </c>
      <c r="M246" s="237">
        <v>1</v>
      </c>
      <c r="N246" s="237"/>
      <c r="O246" s="238"/>
      <c r="P246" s="88" t="str">
        <f t="shared" si="3"/>
        <v>1</v>
      </c>
      <c r="Q246" s="88" t="str">
        <f>IFERROR(INDEX(Торг!$F:$F,MATCH($B246,Торг!$B:$B,0)),"Отсутствует")</f>
        <v>Y</v>
      </c>
      <c r="R246" s="36" t="str">
        <f>IFERROR(IF(AND(Q246="Отсутствует",VLOOKUP(A246,Торг!$A:$A,1,0)=A246),"Добавить","Есть"),"Новый")</f>
        <v>Есть</v>
      </c>
    </row>
    <row r="247" spans="1:18" ht="75" hidden="1">
      <c r="A247" s="238" t="s">
        <v>805</v>
      </c>
      <c r="B247" s="237">
        <v>341450</v>
      </c>
      <c r="C247" s="237">
        <v>341450</v>
      </c>
      <c r="D247" s="238" t="s">
        <v>1039</v>
      </c>
      <c r="E247" s="238" t="s">
        <v>741</v>
      </c>
      <c r="F247" s="238"/>
      <c r="G247" s="238"/>
      <c r="H247" s="238" t="s">
        <v>135</v>
      </c>
      <c r="I247" s="238" t="s">
        <v>250</v>
      </c>
      <c r="J247" s="239">
        <v>50550</v>
      </c>
      <c r="K247" s="239">
        <v>62590</v>
      </c>
      <c r="L247" s="238" t="s">
        <v>623</v>
      </c>
      <c r="M247" s="237">
        <v>1</v>
      </c>
      <c r="N247" s="237"/>
      <c r="O247" s="238"/>
      <c r="P247" s="88" t="str">
        <f t="shared" si="3"/>
        <v>1</v>
      </c>
      <c r="Q247" s="88" t="str">
        <f>IFERROR(INDEX(Торг!$F:$F,MATCH($B247,Торг!$B:$B,0)),"Отсутствует")</f>
        <v>Y</v>
      </c>
      <c r="R247" s="36" t="str">
        <f>IFERROR(IF(AND(Q247="Отсутствует",VLOOKUP(A247,Торг!$A:$A,1,0)=A247),"Добавить","Есть"),"Новый")</f>
        <v>Есть</v>
      </c>
    </row>
    <row r="248" spans="1:18" ht="75" hidden="1">
      <c r="A248" s="238" t="s">
        <v>805</v>
      </c>
      <c r="B248" s="237">
        <v>341442</v>
      </c>
      <c r="C248" s="237">
        <v>341442</v>
      </c>
      <c r="D248" s="238" t="s">
        <v>1040</v>
      </c>
      <c r="E248" s="238" t="s">
        <v>741</v>
      </c>
      <c r="F248" s="238"/>
      <c r="G248" s="238"/>
      <c r="H248" s="238" t="s">
        <v>135</v>
      </c>
      <c r="I248" s="238" t="s">
        <v>250</v>
      </c>
      <c r="J248" s="239">
        <v>50550</v>
      </c>
      <c r="K248" s="239">
        <v>62590</v>
      </c>
      <c r="L248" s="238" t="s">
        <v>623</v>
      </c>
      <c r="M248" s="237">
        <v>1</v>
      </c>
      <c r="N248" s="237"/>
      <c r="O248" s="238"/>
      <c r="P248" s="88" t="str">
        <f t="shared" si="3"/>
        <v>1</v>
      </c>
      <c r="Q248" s="88" t="str">
        <f>IFERROR(INDEX(Торг!$F:$F,MATCH($B248,Торг!$B:$B,0)),"Отсутствует")</f>
        <v>Y</v>
      </c>
      <c r="R248" s="36" t="str">
        <f>IFERROR(IF(AND(Q248="Отсутствует",VLOOKUP(A248,Торг!$A:$A,1,0)=A248),"Добавить","Есть"),"Новый")</f>
        <v>Есть</v>
      </c>
    </row>
    <row r="249" spans="1:18" ht="60" hidden="1">
      <c r="A249" s="238" t="s">
        <v>805</v>
      </c>
      <c r="B249" s="237">
        <v>341441</v>
      </c>
      <c r="C249" s="237">
        <v>341441</v>
      </c>
      <c r="D249" s="238" t="s">
        <v>1041</v>
      </c>
      <c r="E249" s="238" t="s">
        <v>741</v>
      </c>
      <c r="F249" s="238"/>
      <c r="G249" s="238"/>
      <c r="H249" s="238" t="s">
        <v>135</v>
      </c>
      <c r="I249" s="238" t="s">
        <v>250</v>
      </c>
      <c r="J249" s="239">
        <v>49680</v>
      </c>
      <c r="K249" s="239">
        <v>61490</v>
      </c>
      <c r="L249" s="238" t="s">
        <v>623</v>
      </c>
      <c r="M249" s="237">
        <v>1</v>
      </c>
      <c r="N249" s="237"/>
      <c r="O249" s="238"/>
      <c r="P249" s="88" t="str">
        <f t="shared" si="3"/>
        <v>1</v>
      </c>
      <c r="Q249" s="88" t="str">
        <f>IFERROR(INDEX(Торг!$F:$F,MATCH($B249,Торг!$B:$B,0)),"Отсутствует")</f>
        <v>Y</v>
      </c>
      <c r="R249" s="36" t="str">
        <f>IFERROR(IF(AND(Q249="Отсутствует",VLOOKUP(A249,Торг!$A:$A,1,0)=A249),"Добавить","Есть"),"Новый")</f>
        <v>Есть</v>
      </c>
    </row>
    <row r="250" spans="1:18" ht="75" hidden="1">
      <c r="A250" s="238" t="s">
        <v>805</v>
      </c>
      <c r="B250" s="237">
        <v>132561</v>
      </c>
      <c r="C250" s="237">
        <v>166624</v>
      </c>
      <c r="D250" s="238" t="s">
        <v>1042</v>
      </c>
      <c r="E250" s="238" t="s">
        <v>741</v>
      </c>
      <c r="F250" s="238"/>
      <c r="G250" s="238"/>
      <c r="H250" s="238" t="s">
        <v>135</v>
      </c>
      <c r="I250" s="238" t="s">
        <v>250</v>
      </c>
      <c r="J250" s="239">
        <v>49720</v>
      </c>
      <c r="K250" s="239">
        <v>61490</v>
      </c>
      <c r="L250" s="238" t="s">
        <v>623</v>
      </c>
      <c r="M250" s="237">
        <v>1</v>
      </c>
      <c r="N250" s="237"/>
      <c r="O250" s="238"/>
      <c r="P250" s="88" t="str">
        <f t="shared" si="3"/>
        <v>1</v>
      </c>
      <c r="Q250" s="88" t="str">
        <f>IFERROR(INDEX(Торг!$F:$F,MATCH($B250,Торг!$B:$B,0)),"Отсутствует")</f>
        <v>Y</v>
      </c>
      <c r="R250" s="36" t="str">
        <f>IFERROR(IF(AND(Q250="Отсутствует",VLOOKUP(A250,Торг!$A:$A,1,0)=A250),"Добавить","Есть"),"Новый")</f>
        <v>Есть</v>
      </c>
    </row>
    <row r="251" spans="1:18" ht="75" hidden="1">
      <c r="A251" s="238" t="s">
        <v>805</v>
      </c>
      <c r="B251" s="237">
        <v>132562</v>
      </c>
      <c r="C251" s="237">
        <v>166619</v>
      </c>
      <c r="D251" s="238" t="s">
        <v>1043</v>
      </c>
      <c r="E251" s="238" t="s">
        <v>741</v>
      </c>
      <c r="F251" s="238"/>
      <c r="G251" s="238"/>
      <c r="H251" s="238" t="s">
        <v>135</v>
      </c>
      <c r="I251" s="238" t="s">
        <v>250</v>
      </c>
      <c r="J251" s="239">
        <v>49720</v>
      </c>
      <c r="K251" s="239">
        <v>61490</v>
      </c>
      <c r="L251" s="238" t="s">
        <v>623</v>
      </c>
      <c r="M251" s="237">
        <v>1</v>
      </c>
      <c r="N251" s="237"/>
      <c r="O251" s="238"/>
      <c r="P251" s="88" t="str">
        <f t="shared" si="3"/>
        <v>1</v>
      </c>
      <c r="Q251" s="88" t="str">
        <f>IFERROR(INDEX(Торг!$F:$F,MATCH($B251,Торг!$B:$B,0)),"Отсутствует")</f>
        <v>Y</v>
      </c>
      <c r="R251" s="36" t="str">
        <f>IFERROR(IF(AND(Q251="Отсутствует",VLOOKUP(A251,Торг!$A:$A,1,0)=A251),"Добавить","Есть"),"Новый")</f>
        <v>Есть</v>
      </c>
    </row>
    <row r="252" spans="1:18" ht="75" hidden="1">
      <c r="A252" s="238" t="s">
        <v>805</v>
      </c>
      <c r="B252" s="237">
        <v>132563</v>
      </c>
      <c r="C252" s="237">
        <v>166623</v>
      </c>
      <c r="D252" s="238" t="s">
        <v>1044</v>
      </c>
      <c r="E252" s="238" t="s">
        <v>741</v>
      </c>
      <c r="F252" s="238"/>
      <c r="G252" s="238"/>
      <c r="H252" s="238" t="s">
        <v>135</v>
      </c>
      <c r="I252" s="238" t="s">
        <v>250</v>
      </c>
      <c r="J252" s="239">
        <v>49720</v>
      </c>
      <c r="K252" s="239">
        <v>61490</v>
      </c>
      <c r="L252" s="238" t="s">
        <v>623</v>
      </c>
      <c r="M252" s="237">
        <v>1</v>
      </c>
      <c r="N252" s="237"/>
      <c r="O252" s="238"/>
      <c r="P252" s="88" t="str">
        <f t="shared" si="3"/>
        <v>1</v>
      </c>
      <c r="Q252" s="88" t="str">
        <f>IFERROR(INDEX(Торг!$F:$F,MATCH($B252,Торг!$B:$B,0)),"Отсутствует")</f>
        <v>Y</v>
      </c>
      <c r="R252" s="36" t="str">
        <f>IFERROR(IF(AND(Q252="Отсутствует",VLOOKUP(A252,Торг!$A:$A,1,0)=A252),"Добавить","Есть"),"Новый")</f>
        <v>Есть</v>
      </c>
    </row>
    <row r="253" spans="1:18" ht="75" hidden="1">
      <c r="A253" s="238" t="s">
        <v>805</v>
      </c>
      <c r="B253" s="237">
        <v>132564</v>
      </c>
      <c r="C253" s="237">
        <v>166615</v>
      </c>
      <c r="D253" s="238" t="s">
        <v>1045</v>
      </c>
      <c r="E253" s="238" t="s">
        <v>741</v>
      </c>
      <c r="F253" s="238"/>
      <c r="G253" s="238"/>
      <c r="H253" s="238" t="s">
        <v>135</v>
      </c>
      <c r="I253" s="238" t="s">
        <v>250</v>
      </c>
      <c r="J253" s="239">
        <v>49720</v>
      </c>
      <c r="K253" s="239">
        <v>61490</v>
      </c>
      <c r="L253" s="238" t="s">
        <v>623</v>
      </c>
      <c r="M253" s="237">
        <v>1</v>
      </c>
      <c r="N253" s="237"/>
      <c r="O253" s="238"/>
      <c r="P253" s="88" t="str">
        <f t="shared" si="3"/>
        <v>1</v>
      </c>
      <c r="Q253" s="88" t="str">
        <f>IFERROR(INDEX(Торг!$F:$F,MATCH($B253,Торг!$B:$B,0)),"Отсутствует")</f>
        <v>Y</v>
      </c>
      <c r="R253" s="36" t="str">
        <f>IFERROR(IF(AND(Q253="Отсутствует",VLOOKUP(A253,Торг!$A:$A,1,0)=A253),"Добавить","Есть"),"Новый")</f>
        <v>Есть</v>
      </c>
    </row>
    <row r="254" spans="1:18" ht="75" hidden="1">
      <c r="A254" s="238" t="s">
        <v>805</v>
      </c>
      <c r="B254" s="237">
        <v>132565</v>
      </c>
      <c r="C254" s="237">
        <v>166622</v>
      </c>
      <c r="D254" s="238" t="s">
        <v>1046</v>
      </c>
      <c r="E254" s="238" t="s">
        <v>741</v>
      </c>
      <c r="F254" s="238"/>
      <c r="G254" s="238"/>
      <c r="H254" s="238" t="s">
        <v>135</v>
      </c>
      <c r="I254" s="238" t="s">
        <v>250</v>
      </c>
      <c r="J254" s="239">
        <v>49720</v>
      </c>
      <c r="K254" s="239">
        <v>61490</v>
      </c>
      <c r="L254" s="238" t="s">
        <v>623</v>
      </c>
      <c r="M254" s="237">
        <v>1</v>
      </c>
      <c r="N254" s="237"/>
      <c r="O254" s="238"/>
      <c r="P254" s="88" t="str">
        <f t="shared" si="3"/>
        <v>1</v>
      </c>
      <c r="Q254" s="88" t="str">
        <f>IFERROR(INDEX(Торг!$F:$F,MATCH($B254,Торг!$B:$B,0)),"Отсутствует")</f>
        <v>Y</v>
      </c>
      <c r="R254" s="36" t="str">
        <f>IFERROR(IF(AND(Q254="Отсутствует",VLOOKUP(A254,Торг!$A:$A,1,0)=A254),"Добавить","Есть"),"Новый")</f>
        <v>Есть</v>
      </c>
    </row>
    <row r="255" spans="1:18" ht="75" hidden="1">
      <c r="A255" s="238" t="s">
        <v>805</v>
      </c>
      <c r="B255" s="237">
        <v>132566</v>
      </c>
      <c r="C255" s="237">
        <v>166618</v>
      </c>
      <c r="D255" s="238" t="s">
        <v>1047</v>
      </c>
      <c r="E255" s="238" t="s">
        <v>741</v>
      </c>
      <c r="F255" s="238"/>
      <c r="G255" s="238"/>
      <c r="H255" s="238" t="s">
        <v>135</v>
      </c>
      <c r="I255" s="238" t="s">
        <v>250</v>
      </c>
      <c r="J255" s="239">
        <v>49720</v>
      </c>
      <c r="K255" s="239">
        <v>61490</v>
      </c>
      <c r="L255" s="238" t="s">
        <v>623</v>
      </c>
      <c r="M255" s="237">
        <v>1</v>
      </c>
      <c r="N255" s="237"/>
      <c r="O255" s="238"/>
      <c r="P255" s="88" t="str">
        <f t="shared" si="3"/>
        <v>1</v>
      </c>
      <c r="Q255" s="88" t="str">
        <f>IFERROR(INDEX(Торг!$F:$F,MATCH($B255,Торг!$B:$B,0)),"Отсутствует")</f>
        <v>Y</v>
      </c>
      <c r="R255" s="36" t="str">
        <f>IFERROR(IF(AND(Q255="Отсутствует",VLOOKUP(A255,Торг!$A:$A,1,0)=A255),"Добавить","Есть"),"Новый")</f>
        <v>Есть</v>
      </c>
    </row>
    <row r="256" spans="1:18" ht="75" hidden="1">
      <c r="A256" s="238" t="s">
        <v>805</v>
      </c>
      <c r="B256" s="237">
        <v>132567</v>
      </c>
      <c r="C256" s="237">
        <v>166620</v>
      </c>
      <c r="D256" s="238" t="s">
        <v>1048</v>
      </c>
      <c r="E256" s="238" t="s">
        <v>741</v>
      </c>
      <c r="F256" s="238"/>
      <c r="G256" s="238"/>
      <c r="H256" s="238" t="s">
        <v>135</v>
      </c>
      <c r="I256" s="238" t="s">
        <v>250</v>
      </c>
      <c r="J256" s="239">
        <v>49720</v>
      </c>
      <c r="K256" s="239">
        <v>61490</v>
      </c>
      <c r="L256" s="238" t="s">
        <v>623</v>
      </c>
      <c r="M256" s="237">
        <v>1</v>
      </c>
      <c r="N256" s="237"/>
      <c r="O256" s="238"/>
      <c r="P256" s="88" t="str">
        <f t="shared" si="3"/>
        <v>1</v>
      </c>
      <c r="Q256" s="88" t="str">
        <f>IFERROR(INDEX(Торг!$F:$F,MATCH($B256,Торг!$B:$B,0)),"Отсутствует")</f>
        <v>Y</v>
      </c>
      <c r="R256" s="36" t="str">
        <f>IFERROR(IF(AND(Q256="Отсутствует",VLOOKUP(A256,Торг!$A:$A,1,0)=A256),"Добавить","Есть"),"Новый")</f>
        <v>Есть</v>
      </c>
    </row>
    <row r="257" spans="1:18" ht="75" hidden="1">
      <c r="A257" s="238" t="s">
        <v>805</v>
      </c>
      <c r="B257" s="237">
        <v>132568</v>
      </c>
      <c r="C257" s="237">
        <v>166621</v>
      </c>
      <c r="D257" s="238" t="s">
        <v>1049</v>
      </c>
      <c r="E257" s="238" t="s">
        <v>741</v>
      </c>
      <c r="F257" s="238"/>
      <c r="G257" s="238"/>
      <c r="H257" s="238" t="s">
        <v>135</v>
      </c>
      <c r="I257" s="238" t="s">
        <v>250</v>
      </c>
      <c r="J257" s="239">
        <v>49720</v>
      </c>
      <c r="K257" s="239">
        <v>61490</v>
      </c>
      <c r="L257" s="238" t="s">
        <v>623</v>
      </c>
      <c r="M257" s="237">
        <v>1</v>
      </c>
      <c r="N257" s="237"/>
      <c r="O257" s="238"/>
      <c r="P257" s="88" t="str">
        <f t="shared" si="3"/>
        <v>1</v>
      </c>
      <c r="Q257" s="88" t="str">
        <f>IFERROR(INDEX(Торг!$F:$F,MATCH($B257,Торг!$B:$B,0)),"Отсутствует")</f>
        <v>Y</v>
      </c>
      <c r="R257" s="36" t="str">
        <f>IFERROR(IF(AND(Q257="Отсутствует",VLOOKUP(A257,Торг!$A:$A,1,0)=A257),"Добавить","Есть"),"Новый")</f>
        <v>Есть</v>
      </c>
    </row>
    <row r="258" spans="1:18" ht="75" hidden="1">
      <c r="A258" s="238" t="s">
        <v>805</v>
      </c>
      <c r="B258" s="237">
        <v>132569</v>
      </c>
      <c r="C258" s="237">
        <v>166617</v>
      </c>
      <c r="D258" s="238" t="s">
        <v>1050</v>
      </c>
      <c r="E258" s="238" t="s">
        <v>741</v>
      </c>
      <c r="F258" s="238"/>
      <c r="G258" s="238"/>
      <c r="H258" s="238" t="s">
        <v>135</v>
      </c>
      <c r="I258" s="238" t="s">
        <v>250</v>
      </c>
      <c r="J258" s="239">
        <v>49720</v>
      </c>
      <c r="K258" s="239">
        <v>61490</v>
      </c>
      <c r="L258" s="238" t="s">
        <v>623</v>
      </c>
      <c r="M258" s="237">
        <v>1</v>
      </c>
      <c r="N258" s="237"/>
      <c r="O258" s="238"/>
      <c r="P258" s="88" t="str">
        <f t="shared" si="3"/>
        <v>1</v>
      </c>
      <c r="Q258" s="88" t="str">
        <f>IFERROR(INDEX(Торг!$F:$F,MATCH($B258,Торг!$B:$B,0)),"Отсутствует")</f>
        <v>Y</v>
      </c>
      <c r="R258" s="36" t="str">
        <f>IFERROR(IF(AND(Q258="Отсутствует",VLOOKUP(A258,Торг!$A:$A,1,0)=A258),"Добавить","Есть"),"Новый")</f>
        <v>Есть</v>
      </c>
    </row>
    <row r="259" spans="1:18" ht="75" hidden="1">
      <c r="A259" s="238" t="s">
        <v>805</v>
      </c>
      <c r="B259" s="237">
        <v>132570</v>
      </c>
      <c r="C259" s="237">
        <v>166616</v>
      </c>
      <c r="D259" s="238" t="s">
        <v>1051</v>
      </c>
      <c r="E259" s="238" t="s">
        <v>741</v>
      </c>
      <c r="F259" s="238"/>
      <c r="G259" s="238"/>
      <c r="H259" s="238" t="s">
        <v>135</v>
      </c>
      <c r="I259" s="238" t="s">
        <v>250</v>
      </c>
      <c r="J259" s="239">
        <v>49720</v>
      </c>
      <c r="K259" s="239">
        <v>61490</v>
      </c>
      <c r="L259" s="238" t="s">
        <v>623</v>
      </c>
      <c r="M259" s="237">
        <v>1</v>
      </c>
      <c r="N259" s="237"/>
      <c r="O259" s="238"/>
      <c r="P259" s="88" t="str">
        <f t="shared" ref="P259:P285" si="4">_xlfn.CONCAT(M259,IF(N259&lt;&gt;"",_xlfn.CONCAT("ск",N259),""))</f>
        <v>1</v>
      </c>
      <c r="Q259" s="88" t="str">
        <f>IFERROR(INDEX(Торг!$F:$F,MATCH($B259,Торг!$B:$B,0)),"Отсутствует")</f>
        <v>Y</v>
      </c>
      <c r="R259" s="36" t="str">
        <f>IFERROR(IF(AND(Q259="Отсутствует",VLOOKUP(A259,Торг!$A:$A,1,0)=A259),"Добавить","Есть"),"Новый")</f>
        <v>Есть</v>
      </c>
    </row>
    <row r="260" spans="1:18" ht="75" hidden="1">
      <c r="A260" s="238" t="s">
        <v>805</v>
      </c>
      <c r="B260" s="237">
        <v>132571</v>
      </c>
      <c r="C260" s="237">
        <v>166614</v>
      </c>
      <c r="D260" s="238" t="s">
        <v>1052</v>
      </c>
      <c r="E260" s="238" t="s">
        <v>741</v>
      </c>
      <c r="F260" s="238"/>
      <c r="G260" s="238"/>
      <c r="H260" s="238" t="s">
        <v>135</v>
      </c>
      <c r="I260" s="238" t="s">
        <v>250</v>
      </c>
      <c r="J260" s="239">
        <v>49720</v>
      </c>
      <c r="K260" s="239">
        <v>61490</v>
      </c>
      <c r="L260" s="238" t="s">
        <v>623</v>
      </c>
      <c r="M260" s="237">
        <v>1</v>
      </c>
      <c r="N260" s="237"/>
      <c r="O260" s="238"/>
      <c r="P260" s="88" t="str">
        <f t="shared" si="4"/>
        <v>1</v>
      </c>
      <c r="Q260" s="88" t="str">
        <f>IFERROR(INDEX(Торг!$F:$F,MATCH($B260,Торг!$B:$B,0)),"Отсутствует")</f>
        <v>Y</v>
      </c>
      <c r="R260" s="36" t="str">
        <f>IFERROR(IF(AND(Q260="Отсутствует",VLOOKUP(A260,Торг!$A:$A,1,0)=A260),"Добавить","Есть"),"Новый")</f>
        <v>Есть</v>
      </c>
    </row>
    <row r="261" spans="1:18" ht="75" hidden="1">
      <c r="A261" s="238" t="s">
        <v>805</v>
      </c>
      <c r="B261" s="237">
        <v>132573</v>
      </c>
      <c r="C261" s="237">
        <v>166613</v>
      </c>
      <c r="D261" s="238" t="s">
        <v>1053</v>
      </c>
      <c r="E261" s="238" t="s">
        <v>741</v>
      </c>
      <c r="F261" s="238"/>
      <c r="G261" s="238"/>
      <c r="H261" s="238" t="s">
        <v>135</v>
      </c>
      <c r="I261" s="238" t="s">
        <v>250</v>
      </c>
      <c r="J261" s="239">
        <v>49720</v>
      </c>
      <c r="K261" s="239">
        <v>61490</v>
      </c>
      <c r="L261" s="238" t="s">
        <v>623</v>
      </c>
      <c r="M261" s="237">
        <v>1</v>
      </c>
      <c r="N261" s="237"/>
      <c r="O261" s="238"/>
      <c r="P261" s="88" t="str">
        <f t="shared" si="4"/>
        <v>1</v>
      </c>
      <c r="Q261" s="88" t="str">
        <f>IFERROR(INDEX(Торг!$F:$F,MATCH($B261,Торг!$B:$B,0)),"Отсутствует")</f>
        <v>Y</v>
      </c>
      <c r="R261" s="36" t="str">
        <f>IFERROR(IF(AND(Q261="Отсутствует",VLOOKUP(A261,Торг!$A:$A,1,0)=A261),"Добавить","Есть"),"Новый")</f>
        <v>Есть</v>
      </c>
    </row>
    <row r="262" spans="1:18" ht="75" hidden="1">
      <c r="A262" s="238" t="s">
        <v>805</v>
      </c>
      <c r="B262" s="237">
        <v>132572</v>
      </c>
      <c r="C262" s="237">
        <v>166610</v>
      </c>
      <c r="D262" s="238" t="s">
        <v>1054</v>
      </c>
      <c r="E262" s="238" t="s">
        <v>741</v>
      </c>
      <c r="F262" s="238"/>
      <c r="G262" s="238"/>
      <c r="H262" s="238" t="s">
        <v>135</v>
      </c>
      <c r="I262" s="238" t="s">
        <v>250</v>
      </c>
      <c r="J262" s="239">
        <v>48850</v>
      </c>
      <c r="K262" s="239">
        <v>60490</v>
      </c>
      <c r="L262" s="238" t="s">
        <v>623</v>
      </c>
      <c r="M262" s="237">
        <v>1</v>
      </c>
      <c r="N262" s="237"/>
      <c r="O262" s="238"/>
      <c r="P262" s="88" t="str">
        <f t="shared" si="4"/>
        <v>1</v>
      </c>
      <c r="Q262" s="88" t="str">
        <f>IFERROR(INDEX(Торг!$F:$F,MATCH($B262,Торг!$B:$B,0)),"Отсутствует")</f>
        <v>Y</v>
      </c>
      <c r="R262" s="36" t="str">
        <f>IFERROR(IF(AND(Q262="Отсутствует",VLOOKUP(A262,Торг!$A:$A,1,0)=A262),"Добавить","Есть"),"Новый")</f>
        <v>Есть</v>
      </c>
    </row>
    <row r="263" spans="1:18" ht="60" hidden="1">
      <c r="A263" s="238" t="s">
        <v>806</v>
      </c>
      <c r="B263" s="237">
        <v>132575</v>
      </c>
      <c r="C263" s="237">
        <v>166653</v>
      </c>
      <c r="D263" s="238" t="s">
        <v>1055</v>
      </c>
      <c r="E263" s="238" t="s">
        <v>741</v>
      </c>
      <c r="F263" s="238"/>
      <c r="G263" s="238"/>
      <c r="H263" s="238" t="s">
        <v>131</v>
      </c>
      <c r="I263" s="238" t="s">
        <v>250</v>
      </c>
      <c r="J263" s="239">
        <v>48470</v>
      </c>
      <c r="K263" s="239">
        <v>59990</v>
      </c>
      <c r="L263" s="238" t="s">
        <v>624</v>
      </c>
      <c r="M263" s="237">
        <v>1</v>
      </c>
      <c r="N263" s="237"/>
      <c r="O263" s="238"/>
      <c r="P263" s="88" t="str">
        <f t="shared" si="4"/>
        <v>1</v>
      </c>
      <c r="Q263" s="88" t="str">
        <f>IFERROR(INDEX(Торг!$F:$F,MATCH($B263,Торг!$B:$B,0)),"Отсутствует")</f>
        <v>Y</v>
      </c>
      <c r="R263" s="36" t="str">
        <f>IFERROR(IF(AND(Q263="Отсутствует",VLOOKUP(A263,Торг!$A:$A,1,0)=A263),"Добавить","Есть"),"Новый")</f>
        <v>Есть</v>
      </c>
    </row>
    <row r="264" spans="1:18" ht="60" hidden="1">
      <c r="A264" s="238" t="s">
        <v>806</v>
      </c>
      <c r="B264" s="237">
        <v>341454</v>
      </c>
      <c r="C264" s="237">
        <v>341454</v>
      </c>
      <c r="D264" s="238" t="s">
        <v>1056</v>
      </c>
      <c r="E264" s="238" t="s">
        <v>741</v>
      </c>
      <c r="F264" s="238"/>
      <c r="G264" s="238"/>
      <c r="H264" s="238" t="s">
        <v>131</v>
      </c>
      <c r="I264" s="238" t="s">
        <v>250</v>
      </c>
      <c r="J264" s="239">
        <v>49300</v>
      </c>
      <c r="K264" s="239">
        <v>60990</v>
      </c>
      <c r="L264" s="238" t="s">
        <v>624</v>
      </c>
      <c r="M264" s="237">
        <v>1</v>
      </c>
      <c r="N264" s="237"/>
      <c r="O264" s="238"/>
      <c r="P264" s="88" t="str">
        <f t="shared" si="4"/>
        <v>1</v>
      </c>
      <c r="Q264" s="88" t="str">
        <f>IFERROR(INDEX(Торг!$F:$F,MATCH($B264,Торг!$B:$B,0)),"Отсутствует")</f>
        <v>Y</v>
      </c>
      <c r="R264" s="36" t="str">
        <f>IFERROR(IF(AND(Q264="Отсутствует",VLOOKUP(A264,Торг!$A:$A,1,0)=A264),"Добавить","Есть"),"Новый")</f>
        <v>Есть</v>
      </c>
    </row>
    <row r="265" spans="1:18" ht="60" hidden="1">
      <c r="A265" s="238" t="s">
        <v>806</v>
      </c>
      <c r="B265" s="237">
        <v>132576</v>
      </c>
      <c r="C265" s="237">
        <v>166648</v>
      </c>
      <c r="D265" s="238" t="s">
        <v>1057</v>
      </c>
      <c r="E265" s="238" t="s">
        <v>741</v>
      </c>
      <c r="F265" s="238"/>
      <c r="G265" s="238"/>
      <c r="H265" s="238" t="s">
        <v>131</v>
      </c>
      <c r="I265" s="238" t="s">
        <v>250</v>
      </c>
      <c r="J265" s="239">
        <v>48470</v>
      </c>
      <c r="K265" s="239">
        <v>59990</v>
      </c>
      <c r="L265" s="238" t="s">
        <v>624</v>
      </c>
      <c r="M265" s="237">
        <v>1</v>
      </c>
      <c r="N265" s="237"/>
      <c r="O265" s="238"/>
      <c r="P265" s="88" t="str">
        <f t="shared" si="4"/>
        <v>1</v>
      </c>
      <c r="Q265" s="88" t="str">
        <f>IFERROR(INDEX(Торг!$F:$F,MATCH($B265,Торг!$B:$B,0)),"Отсутствует")</f>
        <v>Y</v>
      </c>
      <c r="R265" s="36" t="str">
        <f>IFERROR(IF(AND(Q265="Отсутствует",VLOOKUP(A265,Торг!$A:$A,1,0)=A265),"Добавить","Есть"),"Новый")</f>
        <v>Есть</v>
      </c>
    </row>
    <row r="266" spans="1:18" ht="60" hidden="1">
      <c r="A266" s="238" t="s">
        <v>806</v>
      </c>
      <c r="B266" s="237">
        <v>341466</v>
      </c>
      <c r="C266" s="237">
        <v>341466</v>
      </c>
      <c r="D266" s="238" t="s">
        <v>1058</v>
      </c>
      <c r="E266" s="238" t="s">
        <v>741</v>
      </c>
      <c r="F266" s="238"/>
      <c r="G266" s="238"/>
      <c r="H266" s="238" t="s">
        <v>131</v>
      </c>
      <c r="I266" s="238" t="s">
        <v>250</v>
      </c>
      <c r="J266" s="239">
        <v>49300</v>
      </c>
      <c r="K266" s="239">
        <v>60990</v>
      </c>
      <c r="L266" s="238" t="s">
        <v>624</v>
      </c>
      <c r="M266" s="237">
        <v>1</v>
      </c>
      <c r="N266" s="237"/>
      <c r="O266" s="238"/>
      <c r="P266" s="88" t="str">
        <f t="shared" si="4"/>
        <v>1</v>
      </c>
      <c r="Q266" s="88" t="str">
        <f>IFERROR(INDEX(Торг!$F:$F,MATCH($B266,Торг!$B:$B,0)),"Отсутствует")</f>
        <v>Y</v>
      </c>
      <c r="R266" s="36" t="str">
        <f>IFERROR(IF(AND(Q266="Отсутствует",VLOOKUP(A266,Торг!$A:$A,1,0)=A266),"Добавить","Есть"),"Новый")</f>
        <v>Есть</v>
      </c>
    </row>
    <row r="267" spans="1:18" ht="60" hidden="1">
      <c r="A267" s="238" t="s">
        <v>806</v>
      </c>
      <c r="B267" s="237">
        <v>132577</v>
      </c>
      <c r="C267" s="237">
        <v>166652</v>
      </c>
      <c r="D267" s="238" t="s">
        <v>1059</v>
      </c>
      <c r="E267" s="238" t="s">
        <v>741</v>
      </c>
      <c r="F267" s="238"/>
      <c r="G267" s="238"/>
      <c r="H267" s="238" t="s">
        <v>131</v>
      </c>
      <c r="I267" s="238" t="s">
        <v>250</v>
      </c>
      <c r="J267" s="239">
        <v>48470</v>
      </c>
      <c r="K267" s="239">
        <v>59990</v>
      </c>
      <c r="L267" s="238" t="s">
        <v>624</v>
      </c>
      <c r="M267" s="237">
        <v>1</v>
      </c>
      <c r="N267" s="237"/>
      <c r="O267" s="238"/>
      <c r="P267" s="88" t="str">
        <f t="shared" si="4"/>
        <v>1</v>
      </c>
      <c r="Q267" s="88" t="str">
        <f>IFERROR(INDEX(Торг!$F:$F,MATCH($B267,Торг!$B:$B,0)),"Отсутствует")</f>
        <v>Y</v>
      </c>
      <c r="R267" s="36" t="str">
        <f>IFERROR(IF(AND(Q267="Отсутствует",VLOOKUP(A267,Торг!$A:$A,1,0)=A267),"Добавить","Есть"),"Новый")</f>
        <v>Есть</v>
      </c>
    </row>
    <row r="268" spans="1:18" ht="60" hidden="1">
      <c r="A268" s="238" t="s">
        <v>806</v>
      </c>
      <c r="B268" s="237">
        <v>341465</v>
      </c>
      <c r="C268" s="237">
        <v>341465</v>
      </c>
      <c r="D268" s="238" t="s">
        <v>1060</v>
      </c>
      <c r="E268" s="238" t="s">
        <v>741</v>
      </c>
      <c r="F268" s="238"/>
      <c r="G268" s="238"/>
      <c r="H268" s="238" t="s">
        <v>131</v>
      </c>
      <c r="I268" s="238" t="s">
        <v>250</v>
      </c>
      <c r="J268" s="239">
        <v>49300</v>
      </c>
      <c r="K268" s="239">
        <v>60990</v>
      </c>
      <c r="L268" s="238" t="s">
        <v>624</v>
      </c>
      <c r="M268" s="237">
        <v>1</v>
      </c>
      <c r="N268" s="237"/>
      <c r="O268" s="238"/>
      <c r="P268" s="88" t="str">
        <f t="shared" si="4"/>
        <v>1</v>
      </c>
      <c r="Q268" s="88" t="str">
        <f>IFERROR(INDEX(Торг!$F:$F,MATCH($B268,Торг!$B:$B,0)),"Отсутствует")</f>
        <v>Y</v>
      </c>
      <c r="R268" s="36" t="str">
        <f>IFERROR(IF(AND(Q268="Отсутствует",VLOOKUP(A268,Торг!$A:$A,1,0)=A268),"Добавить","Есть"),"Новый")</f>
        <v>Есть</v>
      </c>
    </row>
    <row r="269" spans="1:18" ht="60" hidden="1">
      <c r="A269" s="238" t="s">
        <v>806</v>
      </c>
      <c r="B269" s="237">
        <v>132578</v>
      </c>
      <c r="C269" s="237">
        <v>166644</v>
      </c>
      <c r="D269" s="238" t="s">
        <v>1061</v>
      </c>
      <c r="E269" s="238" t="s">
        <v>741</v>
      </c>
      <c r="F269" s="238"/>
      <c r="G269" s="238"/>
      <c r="H269" s="238" t="s">
        <v>131</v>
      </c>
      <c r="I269" s="238" t="s">
        <v>250</v>
      </c>
      <c r="J269" s="239">
        <v>48470</v>
      </c>
      <c r="K269" s="239">
        <v>59990</v>
      </c>
      <c r="L269" s="238" t="s">
        <v>624</v>
      </c>
      <c r="M269" s="237">
        <v>1</v>
      </c>
      <c r="N269" s="237"/>
      <c r="O269" s="238"/>
      <c r="P269" s="88" t="str">
        <f t="shared" si="4"/>
        <v>1</v>
      </c>
      <c r="Q269" s="88" t="str">
        <f>IFERROR(INDEX(Торг!$F:$F,MATCH($B269,Торг!$B:$B,0)),"Отсутствует")</f>
        <v>Y</v>
      </c>
      <c r="R269" s="36" t="str">
        <f>IFERROR(IF(AND(Q269="Отсутствует",VLOOKUP(A269,Торг!$A:$A,1,0)=A269),"Добавить","Есть"),"Новый")</f>
        <v>Есть</v>
      </c>
    </row>
    <row r="270" spans="1:18" ht="60" hidden="1">
      <c r="A270" s="238" t="s">
        <v>806</v>
      </c>
      <c r="B270" s="237">
        <v>341457</v>
      </c>
      <c r="C270" s="237">
        <v>341457</v>
      </c>
      <c r="D270" s="238" t="s">
        <v>1062</v>
      </c>
      <c r="E270" s="238" t="s">
        <v>741</v>
      </c>
      <c r="F270" s="238"/>
      <c r="G270" s="238"/>
      <c r="H270" s="238" t="s">
        <v>131</v>
      </c>
      <c r="I270" s="238" t="s">
        <v>250</v>
      </c>
      <c r="J270" s="239">
        <v>49300</v>
      </c>
      <c r="K270" s="239">
        <v>60990</v>
      </c>
      <c r="L270" s="238" t="s">
        <v>624</v>
      </c>
      <c r="M270" s="237">
        <v>1</v>
      </c>
      <c r="N270" s="237"/>
      <c r="O270" s="238"/>
      <c r="P270" s="88" t="str">
        <f t="shared" si="4"/>
        <v>1</v>
      </c>
      <c r="Q270" s="88" t="str">
        <f>IFERROR(INDEX(Торг!$F:$F,MATCH($B270,Торг!$B:$B,0)),"Отсутствует")</f>
        <v>Y</v>
      </c>
      <c r="R270" s="36" t="str">
        <f>IFERROR(IF(AND(Q270="Отсутствует",VLOOKUP(A270,Торг!$A:$A,1,0)=A270),"Добавить","Есть"),"Новый")</f>
        <v>Есть</v>
      </c>
    </row>
    <row r="271" spans="1:18" ht="60" hidden="1">
      <c r="A271" s="238" t="s">
        <v>806</v>
      </c>
      <c r="B271" s="237">
        <v>132579</v>
      </c>
      <c r="C271" s="237">
        <v>166651</v>
      </c>
      <c r="D271" s="238" t="s">
        <v>1063</v>
      </c>
      <c r="E271" s="238" t="s">
        <v>741</v>
      </c>
      <c r="F271" s="238"/>
      <c r="G271" s="238"/>
      <c r="H271" s="238" t="s">
        <v>131</v>
      </c>
      <c r="I271" s="238" t="s">
        <v>250</v>
      </c>
      <c r="J271" s="239">
        <v>48470</v>
      </c>
      <c r="K271" s="239">
        <v>59990</v>
      </c>
      <c r="L271" s="238" t="s">
        <v>624</v>
      </c>
      <c r="M271" s="237">
        <v>1</v>
      </c>
      <c r="N271" s="237"/>
      <c r="O271" s="238"/>
      <c r="P271" s="88" t="str">
        <f t="shared" si="4"/>
        <v>1</v>
      </c>
      <c r="Q271" s="88" t="str">
        <f>IFERROR(INDEX(Торг!$F:$F,MATCH($B271,Торг!$B:$B,0)),"Отсутствует")</f>
        <v>Y</v>
      </c>
      <c r="R271" s="36" t="str">
        <f>IFERROR(IF(AND(Q271="Отсутствует",VLOOKUP(A271,Торг!$A:$A,1,0)=A271),"Добавить","Есть"),"Новый")</f>
        <v>Есть</v>
      </c>
    </row>
    <row r="272" spans="1:18" ht="60" hidden="1">
      <c r="A272" s="238" t="s">
        <v>806</v>
      </c>
      <c r="B272" s="237">
        <v>341458</v>
      </c>
      <c r="C272" s="237">
        <v>341458</v>
      </c>
      <c r="D272" s="238" t="s">
        <v>1064</v>
      </c>
      <c r="E272" s="238" t="s">
        <v>741</v>
      </c>
      <c r="F272" s="238"/>
      <c r="G272" s="238"/>
      <c r="H272" s="238" t="s">
        <v>131</v>
      </c>
      <c r="I272" s="238" t="s">
        <v>250</v>
      </c>
      <c r="J272" s="239">
        <v>49300</v>
      </c>
      <c r="K272" s="239">
        <v>60990</v>
      </c>
      <c r="L272" s="238" t="s">
        <v>624</v>
      </c>
      <c r="M272" s="237">
        <v>1</v>
      </c>
      <c r="N272" s="237"/>
      <c r="O272" s="238"/>
      <c r="P272" s="88" t="str">
        <f t="shared" si="4"/>
        <v>1</v>
      </c>
      <c r="Q272" s="88" t="str">
        <f>IFERROR(INDEX(Торг!$F:$F,MATCH($B272,Торг!$B:$B,0)),"Отсутствует")</f>
        <v>Y</v>
      </c>
      <c r="R272" s="36" t="str">
        <f>IFERROR(IF(AND(Q272="Отсутствует",VLOOKUP(A272,Торг!$A:$A,1,0)=A272),"Добавить","Есть"),"Новый")</f>
        <v>Есть</v>
      </c>
    </row>
    <row r="273" spans="1:18" ht="60" hidden="1">
      <c r="A273" s="238" t="s">
        <v>806</v>
      </c>
      <c r="B273" s="237">
        <v>132580</v>
      </c>
      <c r="C273" s="237">
        <v>166647</v>
      </c>
      <c r="D273" s="238" t="s">
        <v>1065</v>
      </c>
      <c r="E273" s="238" t="s">
        <v>741</v>
      </c>
      <c r="F273" s="238"/>
      <c r="G273" s="238"/>
      <c r="H273" s="238" t="s">
        <v>131</v>
      </c>
      <c r="I273" s="238" t="s">
        <v>250</v>
      </c>
      <c r="J273" s="239">
        <v>48470</v>
      </c>
      <c r="K273" s="239">
        <v>59990</v>
      </c>
      <c r="L273" s="238" t="s">
        <v>624</v>
      </c>
      <c r="M273" s="237">
        <v>1</v>
      </c>
      <c r="N273" s="237"/>
      <c r="O273" s="238"/>
      <c r="P273" s="88" t="str">
        <f t="shared" si="4"/>
        <v>1</v>
      </c>
      <c r="Q273" s="88" t="str">
        <f>IFERROR(INDEX(Торг!$F:$F,MATCH($B273,Торг!$B:$B,0)),"Отсутствует")</f>
        <v>Y</v>
      </c>
      <c r="R273" s="36" t="str">
        <f>IFERROR(IF(AND(Q273="Отсутствует",VLOOKUP(A273,Торг!$A:$A,1,0)=A273),"Добавить","Есть"),"Новый")</f>
        <v>Есть</v>
      </c>
    </row>
    <row r="274" spans="1:18" ht="60" hidden="1">
      <c r="A274" s="238" t="s">
        <v>806</v>
      </c>
      <c r="B274" s="237">
        <v>341459</v>
      </c>
      <c r="C274" s="237">
        <v>341459</v>
      </c>
      <c r="D274" s="238" t="s">
        <v>1066</v>
      </c>
      <c r="E274" s="238" t="s">
        <v>741</v>
      </c>
      <c r="F274" s="238"/>
      <c r="G274" s="238"/>
      <c r="H274" s="238" t="s">
        <v>131</v>
      </c>
      <c r="I274" s="238" t="s">
        <v>250</v>
      </c>
      <c r="J274" s="239">
        <v>49300</v>
      </c>
      <c r="K274" s="239">
        <v>60990</v>
      </c>
      <c r="L274" s="238" t="s">
        <v>624</v>
      </c>
      <c r="M274" s="237">
        <v>1</v>
      </c>
      <c r="N274" s="237"/>
      <c r="O274" s="238"/>
      <c r="P274" s="88" t="str">
        <f t="shared" si="4"/>
        <v>1</v>
      </c>
      <c r="Q274" s="88" t="str">
        <f>IFERROR(INDEX(Торг!$F:$F,MATCH($B274,Торг!$B:$B,0)),"Отсутствует")</f>
        <v>Y</v>
      </c>
      <c r="R274" s="36" t="str">
        <f>IFERROR(IF(AND(Q274="Отсутствует",VLOOKUP(A274,Торг!$A:$A,1,0)=A274),"Добавить","Есть"),"Новый")</f>
        <v>Есть</v>
      </c>
    </row>
    <row r="275" spans="1:18" ht="60" hidden="1">
      <c r="A275" s="238" t="s">
        <v>806</v>
      </c>
      <c r="B275" s="237">
        <v>132581</v>
      </c>
      <c r="C275" s="237">
        <v>166649</v>
      </c>
      <c r="D275" s="238" t="s">
        <v>1067</v>
      </c>
      <c r="E275" s="238" t="s">
        <v>741</v>
      </c>
      <c r="F275" s="238"/>
      <c r="G275" s="238"/>
      <c r="H275" s="238" t="s">
        <v>131</v>
      </c>
      <c r="I275" s="238" t="s">
        <v>250</v>
      </c>
      <c r="J275" s="239">
        <v>48470</v>
      </c>
      <c r="K275" s="239">
        <v>59990</v>
      </c>
      <c r="L275" s="238" t="s">
        <v>624</v>
      </c>
      <c r="M275" s="237">
        <v>1</v>
      </c>
      <c r="N275" s="237"/>
      <c r="O275" s="238"/>
      <c r="P275" s="88" t="str">
        <f t="shared" si="4"/>
        <v>1</v>
      </c>
      <c r="Q275" s="88" t="str">
        <f>IFERROR(INDEX(Торг!$F:$F,MATCH($B275,Торг!$B:$B,0)),"Отсутствует")</f>
        <v>Y</v>
      </c>
      <c r="R275" s="36" t="str">
        <f>IFERROR(IF(AND(Q275="Отсутствует",VLOOKUP(A275,Торг!$A:$A,1,0)=A275),"Добавить","Есть"),"Новый")</f>
        <v>Есть</v>
      </c>
    </row>
    <row r="276" spans="1:18" ht="60" hidden="1">
      <c r="A276" s="238" t="s">
        <v>806</v>
      </c>
      <c r="B276" s="237">
        <v>341460</v>
      </c>
      <c r="C276" s="237">
        <v>341460</v>
      </c>
      <c r="D276" s="238" t="s">
        <v>1068</v>
      </c>
      <c r="E276" s="238" t="s">
        <v>741</v>
      </c>
      <c r="F276" s="238"/>
      <c r="G276" s="238"/>
      <c r="H276" s="238" t="s">
        <v>131</v>
      </c>
      <c r="I276" s="238" t="s">
        <v>250</v>
      </c>
      <c r="J276" s="239">
        <v>49300</v>
      </c>
      <c r="K276" s="239">
        <v>60990</v>
      </c>
      <c r="L276" s="238" t="s">
        <v>624</v>
      </c>
      <c r="M276" s="237">
        <v>1</v>
      </c>
      <c r="N276" s="237"/>
      <c r="O276" s="238"/>
      <c r="P276" s="88" t="str">
        <f t="shared" si="4"/>
        <v>1</v>
      </c>
      <c r="Q276" s="88" t="str">
        <f>IFERROR(INDEX(Торг!$F:$F,MATCH($B276,Торг!$B:$B,0)),"Отсутствует")</f>
        <v>Y</v>
      </c>
      <c r="R276" s="36" t="str">
        <f>IFERROR(IF(AND(Q276="Отсутствует",VLOOKUP(A276,Торг!$A:$A,1,0)=A276),"Добавить","Есть"),"Новый")</f>
        <v>Есть</v>
      </c>
    </row>
    <row r="277" spans="1:18" ht="60" hidden="1">
      <c r="A277" s="238" t="s">
        <v>806</v>
      </c>
      <c r="B277" s="237">
        <v>132582</v>
      </c>
      <c r="C277" s="237">
        <v>166650</v>
      </c>
      <c r="D277" s="238" t="s">
        <v>1069</v>
      </c>
      <c r="E277" s="238" t="s">
        <v>741</v>
      </c>
      <c r="F277" s="238"/>
      <c r="G277" s="238"/>
      <c r="H277" s="238" t="s">
        <v>131</v>
      </c>
      <c r="I277" s="238" t="s">
        <v>250</v>
      </c>
      <c r="J277" s="239">
        <v>48470</v>
      </c>
      <c r="K277" s="239">
        <v>59990</v>
      </c>
      <c r="L277" s="238" t="s">
        <v>624</v>
      </c>
      <c r="M277" s="237">
        <v>1</v>
      </c>
      <c r="N277" s="237"/>
      <c r="O277" s="238"/>
      <c r="P277" s="88" t="str">
        <f t="shared" si="4"/>
        <v>1</v>
      </c>
      <c r="Q277" s="88" t="str">
        <f>IFERROR(INDEX(Торг!$F:$F,MATCH($B277,Торг!$B:$B,0)),"Отсутствует")</f>
        <v>Y</v>
      </c>
      <c r="R277" s="36" t="str">
        <f>IFERROR(IF(AND(Q277="Отсутствует",VLOOKUP(A277,Торг!$A:$A,1,0)=A277),"Добавить","Есть"),"Новый")</f>
        <v>Есть</v>
      </c>
    </row>
    <row r="278" spans="1:18" ht="60" hidden="1">
      <c r="A278" s="238" t="s">
        <v>806</v>
      </c>
      <c r="B278" s="237">
        <v>341463</v>
      </c>
      <c r="C278" s="237">
        <v>341463</v>
      </c>
      <c r="D278" s="238" t="s">
        <v>1070</v>
      </c>
      <c r="E278" s="238" t="s">
        <v>741</v>
      </c>
      <c r="F278" s="238"/>
      <c r="G278" s="238"/>
      <c r="H278" s="238" t="s">
        <v>131</v>
      </c>
      <c r="I278" s="238" t="s">
        <v>250</v>
      </c>
      <c r="J278" s="239">
        <v>49300</v>
      </c>
      <c r="K278" s="239">
        <v>60990</v>
      </c>
      <c r="L278" s="238" t="s">
        <v>624</v>
      </c>
      <c r="M278" s="237">
        <v>1</v>
      </c>
      <c r="N278" s="237"/>
      <c r="O278" s="238"/>
      <c r="P278" s="88" t="str">
        <f t="shared" si="4"/>
        <v>1</v>
      </c>
      <c r="Q278" s="88" t="str">
        <f>IFERROR(INDEX(Торг!$F:$F,MATCH($B278,Торг!$B:$B,0)),"Отсутствует")</f>
        <v>Y</v>
      </c>
      <c r="R278" s="36" t="str">
        <f>IFERROR(IF(AND(Q278="Отсутствует",VLOOKUP(A278,Торг!$A:$A,1,0)=A278),"Добавить","Есть"),"Новый")</f>
        <v>Есть</v>
      </c>
    </row>
    <row r="279" spans="1:18" ht="60" hidden="1">
      <c r="A279" s="238" t="s">
        <v>806</v>
      </c>
      <c r="B279" s="237">
        <v>132583</v>
      </c>
      <c r="C279" s="237">
        <v>166646</v>
      </c>
      <c r="D279" s="238" t="s">
        <v>1071</v>
      </c>
      <c r="E279" s="238" t="s">
        <v>741</v>
      </c>
      <c r="F279" s="238"/>
      <c r="G279" s="238"/>
      <c r="H279" s="238" t="s">
        <v>131</v>
      </c>
      <c r="I279" s="238" t="s">
        <v>250</v>
      </c>
      <c r="J279" s="239">
        <v>48470</v>
      </c>
      <c r="K279" s="239">
        <v>59990</v>
      </c>
      <c r="L279" s="238" t="s">
        <v>624</v>
      </c>
      <c r="M279" s="237">
        <v>1</v>
      </c>
      <c r="N279" s="237"/>
      <c r="O279" s="238"/>
      <c r="P279" s="88" t="str">
        <f t="shared" si="4"/>
        <v>1</v>
      </c>
      <c r="Q279" s="88" t="str">
        <f>IFERROR(INDEX(Торг!$F:$F,MATCH($B279,Торг!$B:$B,0)),"Отсутствует")</f>
        <v>Y</v>
      </c>
      <c r="R279" s="36" t="str">
        <f>IFERROR(IF(AND(Q279="Отсутствует",VLOOKUP(A279,Торг!$A:$A,1,0)=A279),"Добавить","Есть"),"Новый")</f>
        <v>Есть</v>
      </c>
    </row>
    <row r="280" spans="1:18" ht="60" hidden="1">
      <c r="A280" s="238" t="s">
        <v>806</v>
      </c>
      <c r="B280" s="237">
        <v>341461</v>
      </c>
      <c r="C280" s="237">
        <v>341461</v>
      </c>
      <c r="D280" s="238" t="s">
        <v>1072</v>
      </c>
      <c r="E280" s="238" t="s">
        <v>741</v>
      </c>
      <c r="F280" s="238"/>
      <c r="G280" s="238"/>
      <c r="H280" s="238" t="s">
        <v>131</v>
      </c>
      <c r="I280" s="238" t="s">
        <v>250</v>
      </c>
      <c r="J280" s="239">
        <v>49300</v>
      </c>
      <c r="K280" s="239">
        <v>60990</v>
      </c>
      <c r="L280" s="238" t="s">
        <v>624</v>
      </c>
      <c r="M280" s="237">
        <v>1</v>
      </c>
      <c r="N280" s="237"/>
      <c r="O280" s="238"/>
      <c r="P280" s="88" t="str">
        <f t="shared" si="4"/>
        <v>1</v>
      </c>
      <c r="Q280" s="88" t="str">
        <f>IFERROR(INDEX(Торг!$F:$F,MATCH($B280,Торг!$B:$B,0)),"Отсутствует")</f>
        <v>Y</v>
      </c>
      <c r="R280" s="36" t="str">
        <f>IFERROR(IF(AND(Q280="Отсутствует",VLOOKUP(A280,Торг!$A:$A,1,0)=A280),"Добавить","Есть"),"Новый")</f>
        <v>Есть</v>
      </c>
    </row>
    <row r="281" spans="1:18" ht="60" hidden="1">
      <c r="A281" s="238" t="s">
        <v>806</v>
      </c>
      <c r="B281" s="237">
        <v>132584</v>
      </c>
      <c r="C281" s="237">
        <v>166645</v>
      </c>
      <c r="D281" s="238" t="s">
        <v>1073</v>
      </c>
      <c r="E281" s="238" t="s">
        <v>741</v>
      </c>
      <c r="F281" s="238"/>
      <c r="G281" s="238"/>
      <c r="H281" s="238" t="s">
        <v>131</v>
      </c>
      <c r="I281" s="238" t="s">
        <v>250</v>
      </c>
      <c r="J281" s="239">
        <v>48470</v>
      </c>
      <c r="K281" s="239">
        <v>59990</v>
      </c>
      <c r="L281" s="238" t="s">
        <v>624</v>
      </c>
      <c r="M281" s="237">
        <v>1</v>
      </c>
      <c r="N281" s="237"/>
      <c r="O281" s="238"/>
      <c r="P281" s="88" t="str">
        <f t="shared" si="4"/>
        <v>1</v>
      </c>
      <c r="Q281" s="88" t="str">
        <f>IFERROR(INDEX(Торг!$F:$F,MATCH($B281,Торг!$B:$B,0)),"Отсутствует")</f>
        <v>Y</v>
      </c>
      <c r="R281" s="36" t="str">
        <f>IFERROR(IF(AND(Q281="Отсутствует",VLOOKUP(A281,Торг!$A:$A,1,0)=A281),"Добавить","Есть"),"Новый")</f>
        <v>Есть</v>
      </c>
    </row>
    <row r="282" spans="1:18" ht="60" hidden="1">
      <c r="A282" s="238" t="s">
        <v>806</v>
      </c>
      <c r="B282" s="237">
        <v>341462</v>
      </c>
      <c r="C282" s="237">
        <v>341462</v>
      </c>
      <c r="D282" s="238" t="s">
        <v>1074</v>
      </c>
      <c r="E282" s="238" t="s">
        <v>741</v>
      </c>
      <c r="F282" s="238"/>
      <c r="G282" s="238"/>
      <c r="H282" s="238" t="s">
        <v>131</v>
      </c>
      <c r="I282" s="238" t="s">
        <v>250</v>
      </c>
      <c r="J282" s="239">
        <v>49300</v>
      </c>
      <c r="K282" s="239">
        <v>60990</v>
      </c>
      <c r="L282" s="238" t="s">
        <v>624</v>
      </c>
      <c r="M282" s="237">
        <v>1</v>
      </c>
      <c r="N282" s="237"/>
      <c r="O282" s="238"/>
      <c r="P282" s="88" t="str">
        <f t="shared" si="4"/>
        <v>1</v>
      </c>
      <c r="Q282" s="88" t="str">
        <f>IFERROR(INDEX(Торг!$F:$F,MATCH($B282,Торг!$B:$B,0)),"Отсутствует")</f>
        <v>Y</v>
      </c>
      <c r="R282" s="36" t="str">
        <f>IFERROR(IF(AND(Q282="Отсутствует",VLOOKUP(A282,Торг!$A:$A,1,0)=A282),"Добавить","Есть"),"Новый")</f>
        <v>Есть</v>
      </c>
    </row>
    <row r="283" spans="1:18" ht="60" hidden="1">
      <c r="A283" s="238" t="s">
        <v>806</v>
      </c>
      <c r="B283" s="237">
        <v>132585</v>
      </c>
      <c r="C283" s="237">
        <v>166643</v>
      </c>
      <c r="D283" s="238" t="s">
        <v>1075</v>
      </c>
      <c r="E283" s="238" t="s">
        <v>741</v>
      </c>
      <c r="F283" s="238"/>
      <c r="G283" s="238"/>
      <c r="H283" s="238" t="s">
        <v>131</v>
      </c>
      <c r="I283" s="238" t="s">
        <v>250</v>
      </c>
      <c r="J283" s="239">
        <v>48470</v>
      </c>
      <c r="K283" s="239">
        <v>59990</v>
      </c>
      <c r="L283" s="238" t="s">
        <v>624</v>
      </c>
      <c r="M283" s="237">
        <v>1</v>
      </c>
      <c r="N283" s="237"/>
      <c r="O283" s="238"/>
      <c r="P283" s="88" t="str">
        <f t="shared" si="4"/>
        <v>1</v>
      </c>
      <c r="Q283" s="88" t="str">
        <f>IFERROR(INDEX(Торг!$F:$F,MATCH($B283,Торг!$B:$B,0)),"Отсутствует")</f>
        <v>Y</v>
      </c>
      <c r="R283" s="36" t="str">
        <f>IFERROR(IF(AND(Q283="Отсутствует",VLOOKUP(A283,Торг!$A:$A,1,0)=A283),"Добавить","Есть"),"Новый")</f>
        <v>Есть</v>
      </c>
    </row>
    <row r="284" spans="1:18" ht="60" hidden="1">
      <c r="A284" s="238" t="s">
        <v>806</v>
      </c>
      <c r="B284" s="237">
        <v>341464</v>
      </c>
      <c r="C284" s="237">
        <v>341464</v>
      </c>
      <c r="D284" s="238" t="s">
        <v>1076</v>
      </c>
      <c r="E284" s="238" t="s">
        <v>741</v>
      </c>
      <c r="F284" s="238"/>
      <c r="G284" s="238"/>
      <c r="H284" s="238" t="s">
        <v>131</v>
      </c>
      <c r="I284" s="238" t="s">
        <v>250</v>
      </c>
      <c r="J284" s="239">
        <v>49300</v>
      </c>
      <c r="K284" s="239">
        <v>60990</v>
      </c>
      <c r="L284" s="238" t="s">
        <v>624</v>
      </c>
      <c r="M284" s="237">
        <v>1</v>
      </c>
      <c r="N284" s="237"/>
      <c r="O284" s="238"/>
      <c r="P284" s="88" t="str">
        <f t="shared" si="4"/>
        <v>1</v>
      </c>
      <c r="Q284" s="88" t="str">
        <f>IFERROR(INDEX(Торг!$F:$F,MATCH($B284,Торг!$B:$B,0)),"Отсутствует")</f>
        <v>Y</v>
      </c>
      <c r="R284" s="36" t="str">
        <f>IFERROR(IF(AND(Q284="Отсутствует",VLOOKUP(A284,Торг!$A:$A,1,0)=A284),"Добавить","Есть"),"Новый")</f>
        <v>Есть</v>
      </c>
    </row>
    <row r="285" spans="1:18" ht="60" hidden="1">
      <c r="A285" s="238" t="s">
        <v>806</v>
      </c>
      <c r="B285" s="237">
        <v>132586</v>
      </c>
      <c r="C285" s="237">
        <v>166642</v>
      </c>
      <c r="D285" s="238" t="s">
        <v>1077</v>
      </c>
      <c r="E285" s="238" t="s">
        <v>741</v>
      </c>
      <c r="F285" s="238"/>
      <c r="G285" s="238"/>
      <c r="H285" s="238" t="s">
        <v>131</v>
      </c>
      <c r="I285" s="238" t="s">
        <v>250</v>
      </c>
      <c r="J285" s="239">
        <v>48470</v>
      </c>
      <c r="K285" s="239">
        <v>59990</v>
      </c>
      <c r="L285" s="238" t="s">
        <v>624</v>
      </c>
      <c r="M285" s="237">
        <v>1</v>
      </c>
      <c r="N285" s="237"/>
      <c r="O285" s="238"/>
      <c r="P285" s="88" t="str">
        <f t="shared" si="4"/>
        <v>1</v>
      </c>
      <c r="Q285" s="88" t="str">
        <f>IFERROR(INDEX(Торг!$F:$F,MATCH($B285,Торг!$B:$B,0)),"Отсутствует")</f>
        <v>Y</v>
      </c>
      <c r="R285" s="36" t="str">
        <f>IFERROR(IF(AND(Q285="Отсутствует",VLOOKUP(A285,Торг!$A:$A,1,0)=A285),"Добавить","Есть"),"Новый")</f>
        <v>Есть</v>
      </c>
    </row>
    <row r="286" spans="1:18" ht="60" hidden="1">
      <c r="A286" s="238" t="s">
        <v>806</v>
      </c>
      <c r="B286" s="237">
        <v>341456</v>
      </c>
      <c r="C286" s="237">
        <v>341456</v>
      </c>
      <c r="D286" s="238" t="s">
        <v>1078</v>
      </c>
      <c r="E286" s="238" t="s">
        <v>741</v>
      </c>
      <c r="F286" s="238"/>
      <c r="G286" s="238"/>
      <c r="H286" s="238" t="s">
        <v>131</v>
      </c>
      <c r="I286" s="238" t="s">
        <v>250</v>
      </c>
      <c r="J286" s="239">
        <v>49300</v>
      </c>
      <c r="K286" s="239">
        <v>60990</v>
      </c>
      <c r="L286" s="238" t="s">
        <v>624</v>
      </c>
      <c r="M286" s="237">
        <v>1</v>
      </c>
      <c r="N286" s="237"/>
      <c r="O286" s="238"/>
      <c r="P286" s="88" t="str">
        <f t="shared" ref="P286:P349" si="5">_xlfn.CONCAT(M286,IF(N286&lt;&gt;"",_xlfn.CONCAT("ск",N286),""))</f>
        <v>1</v>
      </c>
      <c r="Q286" s="88" t="str">
        <f>IFERROR(INDEX(Торг!$F:$F,MATCH($B286,Торг!$B:$B,0)),"Отсутствует")</f>
        <v>Y</v>
      </c>
      <c r="R286" s="36" t="str">
        <f>IFERROR(IF(AND(Q286="Отсутствует",VLOOKUP(A286,Торг!$A:$A,1,0)=A286),"Добавить","Есть"),"Новый")</f>
        <v>Есть</v>
      </c>
    </row>
    <row r="287" spans="1:18" ht="60" hidden="1">
      <c r="A287" s="238" t="s">
        <v>806</v>
      </c>
      <c r="B287" s="237">
        <v>132587</v>
      </c>
      <c r="C287" s="237">
        <v>166639</v>
      </c>
      <c r="D287" s="238" t="s">
        <v>1079</v>
      </c>
      <c r="E287" s="238" t="s">
        <v>741</v>
      </c>
      <c r="F287" s="238"/>
      <c r="G287" s="238"/>
      <c r="H287" s="238" t="s">
        <v>131</v>
      </c>
      <c r="I287" s="238" t="s">
        <v>250</v>
      </c>
      <c r="J287" s="239">
        <v>47600</v>
      </c>
      <c r="K287" s="239">
        <v>58890</v>
      </c>
      <c r="L287" s="238" t="s">
        <v>624</v>
      </c>
      <c r="M287" s="237">
        <v>1</v>
      </c>
      <c r="N287" s="237">
        <v>5</v>
      </c>
      <c r="O287" s="238"/>
      <c r="P287" s="88" t="str">
        <f t="shared" si="5"/>
        <v>1ск5</v>
      </c>
      <c r="Q287" s="88" t="str">
        <f>IFERROR(INDEX(Торг!$F:$F,MATCH($B287,Торг!$B:$B,0)),"Отсутствует")</f>
        <v>Y</v>
      </c>
      <c r="R287" s="36" t="str">
        <f>IFERROR(IF(AND(Q287="Отсутствует",VLOOKUP(A287,Торг!$A:$A,1,0)=A287),"Добавить","Есть"),"Новый")</f>
        <v>Есть</v>
      </c>
    </row>
    <row r="288" spans="1:18" ht="60" hidden="1">
      <c r="A288" s="238" t="s">
        <v>806</v>
      </c>
      <c r="B288" s="237">
        <v>341455</v>
      </c>
      <c r="C288" s="237">
        <v>341455</v>
      </c>
      <c r="D288" s="238" t="s">
        <v>1080</v>
      </c>
      <c r="E288" s="238" t="s">
        <v>741</v>
      </c>
      <c r="F288" s="238"/>
      <c r="G288" s="238"/>
      <c r="H288" s="238" t="s">
        <v>131</v>
      </c>
      <c r="I288" s="238" t="s">
        <v>250</v>
      </c>
      <c r="J288" s="239">
        <v>48430</v>
      </c>
      <c r="K288" s="239">
        <v>59890</v>
      </c>
      <c r="L288" s="238" t="s">
        <v>624</v>
      </c>
      <c r="M288" s="237">
        <v>1</v>
      </c>
      <c r="N288" s="237"/>
      <c r="O288" s="238"/>
      <c r="P288" s="88" t="str">
        <f t="shared" si="5"/>
        <v>1</v>
      </c>
      <c r="Q288" s="88" t="str">
        <f>IFERROR(INDEX(Торг!$F:$F,MATCH($B288,Торг!$B:$B,0)),"Отсутствует")</f>
        <v>Y</v>
      </c>
      <c r="R288" s="36" t="str">
        <f>IFERROR(IF(AND(Q288="Отсутствует",VLOOKUP(A288,Торг!$A:$A,1,0)=A288),"Добавить","Есть"),"Новый")</f>
        <v>Есть</v>
      </c>
    </row>
    <row r="289" spans="1:18" ht="60" hidden="1">
      <c r="A289" s="238" t="s">
        <v>807</v>
      </c>
      <c r="B289" s="237">
        <v>341472</v>
      </c>
      <c r="C289" s="237">
        <v>341472</v>
      </c>
      <c r="D289" s="238" t="s">
        <v>1081</v>
      </c>
      <c r="E289" s="238" t="s">
        <v>741</v>
      </c>
      <c r="F289" s="238"/>
      <c r="G289" s="238"/>
      <c r="H289" s="238" t="s">
        <v>129</v>
      </c>
      <c r="I289" s="238" t="s">
        <v>250</v>
      </c>
      <c r="J289" s="239">
        <v>48100</v>
      </c>
      <c r="K289" s="239">
        <v>59490</v>
      </c>
      <c r="L289" s="238" t="s">
        <v>620</v>
      </c>
      <c r="M289" s="237">
        <v>1</v>
      </c>
      <c r="N289" s="237"/>
      <c r="O289" s="238"/>
      <c r="P289" s="88" t="str">
        <f t="shared" si="5"/>
        <v>1</v>
      </c>
      <c r="Q289" s="88" t="str">
        <f>IFERROR(INDEX(Торг!$F:$F,MATCH($B289,Торг!$B:$B,0)),"Отсутствует")</f>
        <v>Y</v>
      </c>
      <c r="R289" s="36" t="str">
        <f>IFERROR(IF(AND(Q289="Отсутствует",VLOOKUP(A289,Торг!$A:$A,1,0)=A289),"Добавить","Есть"),"Новый")</f>
        <v>Есть</v>
      </c>
    </row>
    <row r="290" spans="1:18" ht="60" hidden="1">
      <c r="A290" s="238" t="s">
        <v>807</v>
      </c>
      <c r="B290" s="237">
        <v>132591</v>
      </c>
      <c r="C290" s="237">
        <v>166693</v>
      </c>
      <c r="D290" s="238" t="s">
        <v>1082</v>
      </c>
      <c r="E290" s="238" t="s">
        <v>741</v>
      </c>
      <c r="F290" s="238"/>
      <c r="G290" s="238"/>
      <c r="H290" s="238" t="s">
        <v>129</v>
      </c>
      <c r="I290" s="238" t="s">
        <v>250</v>
      </c>
      <c r="J290" s="239">
        <v>47270</v>
      </c>
      <c r="K290" s="239">
        <v>58490</v>
      </c>
      <c r="L290" s="238" t="s">
        <v>620</v>
      </c>
      <c r="M290" s="237">
        <v>1</v>
      </c>
      <c r="N290" s="237"/>
      <c r="O290" s="238"/>
      <c r="P290" s="88" t="str">
        <f t="shared" si="5"/>
        <v>1</v>
      </c>
      <c r="Q290" s="88" t="str">
        <f>IFERROR(INDEX(Торг!$F:$F,MATCH($B290,Торг!$B:$B,0)),"Отсутствует")</f>
        <v>Y</v>
      </c>
      <c r="R290" s="36" t="str">
        <f>IFERROR(IF(AND(Q290="Отсутствует",VLOOKUP(A290,Торг!$A:$A,1,0)=A290),"Добавить","Есть"),"Новый")</f>
        <v>Есть</v>
      </c>
    </row>
    <row r="291" spans="1:18" ht="60" hidden="1">
      <c r="A291" s="238" t="s">
        <v>807</v>
      </c>
      <c r="B291" s="237">
        <v>341484</v>
      </c>
      <c r="C291" s="237">
        <v>341484</v>
      </c>
      <c r="D291" s="238" t="s">
        <v>1083</v>
      </c>
      <c r="E291" s="238" t="s">
        <v>741</v>
      </c>
      <c r="F291" s="238"/>
      <c r="G291" s="238"/>
      <c r="H291" s="238" t="s">
        <v>129</v>
      </c>
      <c r="I291" s="238" t="s">
        <v>250</v>
      </c>
      <c r="J291" s="239">
        <v>48100</v>
      </c>
      <c r="K291" s="239">
        <v>59490</v>
      </c>
      <c r="L291" s="238" t="s">
        <v>620</v>
      </c>
      <c r="M291" s="237">
        <v>1</v>
      </c>
      <c r="N291" s="237"/>
      <c r="O291" s="238"/>
      <c r="P291" s="88" t="str">
        <f t="shared" si="5"/>
        <v>1</v>
      </c>
      <c r="Q291" s="88" t="str">
        <f>IFERROR(INDEX(Торг!$F:$F,MATCH($B291,Торг!$B:$B,0)),"Отсутствует")</f>
        <v>Y</v>
      </c>
      <c r="R291" s="36" t="str">
        <f>IFERROR(IF(AND(Q291="Отсутствует",VLOOKUP(A291,Торг!$A:$A,1,0)=A291),"Добавить","Есть"),"Новый")</f>
        <v>Есть</v>
      </c>
    </row>
    <row r="292" spans="1:18" ht="60" hidden="1">
      <c r="A292" s="238" t="s">
        <v>807</v>
      </c>
      <c r="B292" s="237">
        <v>132592</v>
      </c>
      <c r="C292" s="237">
        <v>166697</v>
      </c>
      <c r="D292" s="238" t="s">
        <v>1084</v>
      </c>
      <c r="E292" s="238" t="s">
        <v>741</v>
      </c>
      <c r="F292" s="238"/>
      <c r="G292" s="238"/>
      <c r="H292" s="238" t="s">
        <v>129</v>
      </c>
      <c r="I292" s="238" t="s">
        <v>250</v>
      </c>
      <c r="J292" s="239">
        <v>47270</v>
      </c>
      <c r="K292" s="239">
        <v>58490</v>
      </c>
      <c r="L292" s="238" t="s">
        <v>620</v>
      </c>
      <c r="M292" s="237">
        <v>1</v>
      </c>
      <c r="N292" s="237"/>
      <c r="O292" s="238"/>
      <c r="P292" s="88" t="str">
        <f t="shared" si="5"/>
        <v>1</v>
      </c>
      <c r="Q292" s="88" t="str">
        <f>IFERROR(INDEX(Торг!$F:$F,MATCH($B292,Торг!$B:$B,0)),"Отсутствует")</f>
        <v>Y</v>
      </c>
      <c r="R292" s="36" t="str">
        <f>IFERROR(IF(AND(Q292="Отсутствует",VLOOKUP(A292,Торг!$A:$A,1,0)=A292),"Добавить","Есть"),"Новый")</f>
        <v>Есть</v>
      </c>
    </row>
    <row r="293" spans="1:18" ht="60" hidden="1">
      <c r="A293" s="238" t="s">
        <v>807</v>
      </c>
      <c r="B293" s="237">
        <v>341483</v>
      </c>
      <c r="C293" s="237">
        <v>341483</v>
      </c>
      <c r="D293" s="238" t="s">
        <v>1085</v>
      </c>
      <c r="E293" s="238" t="s">
        <v>741</v>
      </c>
      <c r="F293" s="238"/>
      <c r="G293" s="238"/>
      <c r="H293" s="238" t="s">
        <v>129</v>
      </c>
      <c r="I293" s="238" t="s">
        <v>250</v>
      </c>
      <c r="J293" s="239">
        <v>48100</v>
      </c>
      <c r="K293" s="239">
        <v>59490</v>
      </c>
      <c r="L293" s="238" t="s">
        <v>620</v>
      </c>
      <c r="M293" s="237">
        <v>1</v>
      </c>
      <c r="N293" s="237"/>
      <c r="O293" s="238"/>
      <c r="P293" s="88" t="str">
        <f t="shared" si="5"/>
        <v>1</v>
      </c>
      <c r="Q293" s="88" t="str">
        <f>IFERROR(INDEX(Торг!$F:$F,MATCH($B293,Торг!$B:$B,0)),"Отсутствует")</f>
        <v>Y</v>
      </c>
      <c r="R293" s="36" t="str">
        <f>IFERROR(IF(AND(Q293="Отсутствует",VLOOKUP(A293,Торг!$A:$A,1,0)=A293),"Добавить","Есть"),"Новый")</f>
        <v>Есть</v>
      </c>
    </row>
    <row r="294" spans="1:18" ht="60" hidden="1">
      <c r="A294" s="238" t="s">
        <v>807</v>
      </c>
      <c r="B294" s="237">
        <v>132593</v>
      </c>
      <c r="C294" s="237">
        <v>166689</v>
      </c>
      <c r="D294" s="238" t="s">
        <v>1086</v>
      </c>
      <c r="E294" s="238" t="s">
        <v>741</v>
      </c>
      <c r="F294" s="238"/>
      <c r="G294" s="238"/>
      <c r="H294" s="238" t="s">
        <v>129</v>
      </c>
      <c r="I294" s="238" t="s">
        <v>250</v>
      </c>
      <c r="J294" s="239">
        <v>47270</v>
      </c>
      <c r="K294" s="239">
        <v>58490</v>
      </c>
      <c r="L294" s="238" t="s">
        <v>620</v>
      </c>
      <c r="M294" s="237">
        <v>1</v>
      </c>
      <c r="N294" s="237"/>
      <c r="O294" s="238"/>
      <c r="P294" s="88" t="str">
        <f t="shared" si="5"/>
        <v>1</v>
      </c>
      <c r="Q294" s="88" t="str">
        <f>IFERROR(INDEX(Торг!$F:$F,MATCH($B294,Торг!$B:$B,0)),"Отсутствует")</f>
        <v>Y</v>
      </c>
      <c r="R294" s="36" t="str">
        <f>IFERROR(IF(AND(Q294="Отсутствует",VLOOKUP(A294,Торг!$A:$A,1,0)=A294),"Добавить","Есть"),"Новый")</f>
        <v>Есть</v>
      </c>
    </row>
    <row r="295" spans="1:18" ht="60" hidden="1">
      <c r="A295" s="238" t="s">
        <v>807</v>
      </c>
      <c r="B295" s="237">
        <v>341475</v>
      </c>
      <c r="C295" s="237">
        <v>341475</v>
      </c>
      <c r="D295" s="238" t="s">
        <v>1087</v>
      </c>
      <c r="E295" s="238" t="s">
        <v>741</v>
      </c>
      <c r="F295" s="238"/>
      <c r="G295" s="238"/>
      <c r="H295" s="238" t="s">
        <v>129</v>
      </c>
      <c r="I295" s="238" t="s">
        <v>250</v>
      </c>
      <c r="J295" s="239">
        <v>48100</v>
      </c>
      <c r="K295" s="239">
        <v>59490</v>
      </c>
      <c r="L295" s="238" t="s">
        <v>620</v>
      </c>
      <c r="M295" s="237">
        <v>1</v>
      </c>
      <c r="N295" s="237"/>
      <c r="O295" s="238"/>
      <c r="P295" s="88" t="str">
        <f t="shared" si="5"/>
        <v>1</v>
      </c>
      <c r="Q295" s="88" t="str">
        <f>IFERROR(INDEX(Торг!$F:$F,MATCH($B295,Торг!$B:$B,0)),"Отсутствует")</f>
        <v>Y</v>
      </c>
      <c r="R295" s="36" t="str">
        <f>IFERROR(IF(AND(Q295="Отсутствует",VLOOKUP(A295,Торг!$A:$A,1,0)=A295),"Добавить","Есть"),"Новый")</f>
        <v>Есть</v>
      </c>
    </row>
    <row r="296" spans="1:18" ht="60" hidden="1">
      <c r="A296" s="238" t="s">
        <v>807</v>
      </c>
      <c r="B296" s="237">
        <v>132594</v>
      </c>
      <c r="C296" s="237">
        <v>166696</v>
      </c>
      <c r="D296" s="238" t="s">
        <v>1088</v>
      </c>
      <c r="E296" s="238" t="s">
        <v>741</v>
      </c>
      <c r="F296" s="238"/>
      <c r="G296" s="238"/>
      <c r="H296" s="238" t="s">
        <v>129</v>
      </c>
      <c r="I296" s="238" t="s">
        <v>250</v>
      </c>
      <c r="J296" s="239">
        <v>47270</v>
      </c>
      <c r="K296" s="239">
        <v>58490</v>
      </c>
      <c r="L296" s="238" t="s">
        <v>620</v>
      </c>
      <c r="M296" s="237">
        <v>1</v>
      </c>
      <c r="N296" s="237"/>
      <c r="O296" s="238"/>
      <c r="P296" s="88" t="str">
        <f t="shared" si="5"/>
        <v>1</v>
      </c>
      <c r="Q296" s="88" t="str">
        <f>IFERROR(INDEX(Торг!$F:$F,MATCH($B296,Торг!$B:$B,0)),"Отсутствует")</f>
        <v>Y</v>
      </c>
      <c r="R296" s="36" t="str">
        <f>IFERROR(IF(AND(Q296="Отсутствует",VLOOKUP(A296,Торг!$A:$A,1,0)=A296),"Добавить","Есть"),"Новый")</f>
        <v>Есть</v>
      </c>
    </row>
    <row r="297" spans="1:18" ht="60" hidden="1">
      <c r="A297" s="238" t="s">
        <v>807</v>
      </c>
      <c r="B297" s="237">
        <v>341476</v>
      </c>
      <c r="C297" s="237">
        <v>341476</v>
      </c>
      <c r="D297" s="238" t="s">
        <v>1089</v>
      </c>
      <c r="E297" s="238" t="s">
        <v>741</v>
      </c>
      <c r="F297" s="238"/>
      <c r="G297" s="238"/>
      <c r="H297" s="238" t="s">
        <v>129</v>
      </c>
      <c r="I297" s="238" t="s">
        <v>250</v>
      </c>
      <c r="J297" s="239">
        <v>48100</v>
      </c>
      <c r="K297" s="239">
        <v>59490</v>
      </c>
      <c r="L297" s="238" t="s">
        <v>620</v>
      </c>
      <c r="M297" s="237">
        <v>1</v>
      </c>
      <c r="N297" s="237"/>
      <c r="O297" s="238"/>
      <c r="P297" s="88" t="str">
        <f t="shared" si="5"/>
        <v>1</v>
      </c>
      <c r="Q297" s="88" t="str">
        <f>IFERROR(INDEX(Торг!$F:$F,MATCH($B297,Торг!$B:$B,0)),"Отсутствует")</f>
        <v>Y</v>
      </c>
      <c r="R297" s="36" t="str">
        <f>IFERROR(IF(AND(Q297="Отсутствует",VLOOKUP(A297,Торг!$A:$A,1,0)=A297),"Добавить","Есть"),"Новый")</f>
        <v>Есть</v>
      </c>
    </row>
    <row r="298" spans="1:18" ht="60" hidden="1">
      <c r="A298" s="238" t="s">
        <v>807</v>
      </c>
      <c r="B298" s="237">
        <v>132595</v>
      </c>
      <c r="C298" s="237">
        <v>166692</v>
      </c>
      <c r="D298" s="238" t="s">
        <v>1090</v>
      </c>
      <c r="E298" s="238" t="s">
        <v>741</v>
      </c>
      <c r="F298" s="238"/>
      <c r="G298" s="238"/>
      <c r="H298" s="238" t="s">
        <v>129</v>
      </c>
      <c r="I298" s="238" t="s">
        <v>250</v>
      </c>
      <c r="J298" s="239">
        <v>47270</v>
      </c>
      <c r="K298" s="239">
        <v>58490</v>
      </c>
      <c r="L298" s="238" t="s">
        <v>620</v>
      </c>
      <c r="M298" s="237">
        <v>1</v>
      </c>
      <c r="N298" s="237"/>
      <c r="O298" s="238"/>
      <c r="P298" s="88" t="str">
        <f t="shared" si="5"/>
        <v>1</v>
      </c>
      <c r="Q298" s="88" t="str">
        <f>IFERROR(INDEX(Торг!$F:$F,MATCH($B298,Торг!$B:$B,0)),"Отсутствует")</f>
        <v>Y</v>
      </c>
      <c r="R298" s="36" t="str">
        <f>IFERROR(IF(AND(Q298="Отсутствует",VLOOKUP(A298,Торг!$A:$A,1,0)=A298),"Добавить","Есть"),"Новый")</f>
        <v>Есть</v>
      </c>
    </row>
    <row r="299" spans="1:18" ht="60" hidden="1">
      <c r="A299" s="238" t="s">
        <v>807</v>
      </c>
      <c r="B299" s="237">
        <v>341477</v>
      </c>
      <c r="C299" s="237">
        <v>341477</v>
      </c>
      <c r="D299" s="238" t="s">
        <v>1091</v>
      </c>
      <c r="E299" s="238" t="s">
        <v>741</v>
      </c>
      <c r="F299" s="238"/>
      <c r="G299" s="238"/>
      <c r="H299" s="238" t="s">
        <v>129</v>
      </c>
      <c r="I299" s="238" t="s">
        <v>250</v>
      </c>
      <c r="J299" s="239">
        <v>48100</v>
      </c>
      <c r="K299" s="239">
        <v>59490</v>
      </c>
      <c r="L299" s="238" t="s">
        <v>620</v>
      </c>
      <c r="M299" s="237">
        <v>1</v>
      </c>
      <c r="N299" s="237"/>
      <c r="O299" s="238"/>
      <c r="P299" s="88" t="str">
        <f t="shared" si="5"/>
        <v>1</v>
      </c>
      <c r="Q299" s="88" t="str">
        <f>IFERROR(INDEX(Торг!$F:$F,MATCH($B299,Торг!$B:$B,0)),"Отсутствует")</f>
        <v>Y</v>
      </c>
      <c r="R299" s="36" t="str">
        <f>IFERROR(IF(AND(Q299="Отсутствует",VLOOKUP(A299,Торг!$A:$A,1,0)=A299),"Добавить","Есть"),"Новый")</f>
        <v>Есть</v>
      </c>
    </row>
    <row r="300" spans="1:18" ht="60" hidden="1">
      <c r="A300" s="238" t="s">
        <v>807</v>
      </c>
      <c r="B300" s="237">
        <v>132596</v>
      </c>
      <c r="C300" s="237">
        <v>166694</v>
      </c>
      <c r="D300" s="238" t="s">
        <v>1092</v>
      </c>
      <c r="E300" s="238" t="s">
        <v>741</v>
      </c>
      <c r="F300" s="238"/>
      <c r="G300" s="238"/>
      <c r="H300" s="238" t="s">
        <v>129</v>
      </c>
      <c r="I300" s="238" t="s">
        <v>250</v>
      </c>
      <c r="J300" s="239">
        <v>47270</v>
      </c>
      <c r="K300" s="239">
        <v>58490</v>
      </c>
      <c r="L300" s="238" t="s">
        <v>620</v>
      </c>
      <c r="M300" s="237">
        <v>1</v>
      </c>
      <c r="N300" s="237"/>
      <c r="O300" s="238"/>
      <c r="P300" s="88" t="str">
        <f t="shared" si="5"/>
        <v>1</v>
      </c>
      <c r="Q300" s="88" t="str">
        <f>IFERROR(INDEX(Торг!$F:$F,MATCH($B300,Торг!$B:$B,0)),"Отсутствует")</f>
        <v>Y</v>
      </c>
      <c r="R300" s="36" t="str">
        <f>IFERROR(IF(AND(Q300="Отсутствует",VLOOKUP(A300,Торг!$A:$A,1,0)=A300),"Добавить","Есть"),"Новый")</f>
        <v>Есть</v>
      </c>
    </row>
    <row r="301" spans="1:18" ht="60" hidden="1">
      <c r="A301" s="238" t="s">
        <v>807</v>
      </c>
      <c r="B301" s="237">
        <v>341478</v>
      </c>
      <c r="C301" s="237">
        <v>341478</v>
      </c>
      <c r="D301" s="238" t="s">
        <v>1093</v>
      </c>
      <c r="E301" s="238" t="s">
        <v>741</v>
      </c>
      <c r="F301" s="238"/>
      <c r="G301" s="238"/>
      <c r="H301" s="238" t="s">
        <v>129</v>
      </c>
      <c r="I301" s="238" t="s">
        <v>250</v>
      </c>
      <c r="J301" s="239">
        <v>48100</v>
      </c>
      <c r="K301" s="239">
        <v>59490</v>
      </c>
      <c r="L301" s="238" t="s">
        <v>620</v>
      </c>
      <c r="M301" s="237">
        <v>1</v>
      </c>
      <c r="N301" s="237"/>
      <c r="O301" s="238"/>
      <c r="P301" s="88" t="str">
        <f t="shared" si="5"/>
        <v>1</v>
      </c>
      <c r="Q301" s="88" t="str">
        <f>IFERROR(INDEX(Торг!$F:$F,MATCH($B301,Торг!$B:$B,0)),"Отсутствует")</f>
        <v>Y</v>
      </c>
      <c r="R301" s="36" t="str">
        <f>IFERROR(IF(AND(Q301="Отсутствует",VLOOKUP(A301,Торг!$A:$A,1,0)=A301),"Добавить","Есть"),"Новый")</f>
        <v>Есть</v>
      </c>
    </row>
    <row r="302" spans="1:18" ht="60" hidden="1">
      <c r="A302" s="238" t="s">
        <v>807</v>
      </c>
      <c r="B302" s="237">
        <v>132597</v>
      </c>
      <c r="C302" s="237">
        <v>166695</v>
      </c>
      <c r="D302" s="238" t="s">
        <v>1094</v>
      </c>
      <c r="E302" s="238" t="s">
        <v>741</v>
      </c>
      <c r="F302" s="238"/>
      <c r="G302" s="238"/>
      <c r="H302" s="238" t="s">
        <v>129</v>
      </c>
      <c r="I302" s="238" t="s">
        <v>250</v>
      </c>
      <c r="J302" s="239">
        <v>47270</v>
      </c>
      <c r="K302" s="239">
        <v>58490</v>
      </c>
      <c r="L302" s="238" t="s">
        <v>620</v>
      </c>
      <c r="M302" s="237">
        <v>1</v>
      </c>
      <c r="N302" s="237"/>
      <c r="O302" s="238"/>
      <c r="P302" s="88" t="str">
        <f t="shared" si="5"/>
        <v>1</v>
      </c>
      <c r="Q302" s="88" t="str">
        <f>IFERROR(INDEX(Торг!$F:$F,MATCH($B302,Торг!$B:$B,0)),"Отсутствует")</f>
        <v>Y</v>
      </c>
      <c r="R302" s="36" t="str">
        <f>IFERROR(IF(AND(Q302="Отсутствует",VLOOKUP(A302,Торг!$A:$A,1,0)=A302),"Добавить","Есть"),"Новый")</f>
        <v>Есть</v>
      </c>
    </row>
    <row r="303" spans="1:18" ht="60" hidden="1">
      <c r="A303" s="238" t="s">
        <v>807</v>
      </c>
      <c r="B303" s="237">
        <v>341481</v>
      </c>
      <c r="C303" s="237">
        <v>341481</v>
      </c>
      <c r="D303" s="238" t="s">
        <v>1095</v>
      </c>
      <c r="E303" s="238" t="s">
        <v>741</v>
      </c>
      <c r="F303" s="238"/>
      <c r="G303" s="238"/>
      <c r="H303" s="238" t="s">
        <v>129</v>
      </c>
      <c r="I303" s="238" t="s">
        <v>250</v>
      </c>
      <c r="J303" s="239">
        <v>48100</v>
      </c>
      <c r="K303" s="239">
        <v>59490</v>
      </c>
      <c r="L303" s="238" t="s">
        <v>620</v>
      </c>
      <c r="M303" s="237">
        <v>1</v>
      </c>
      <c r="N303" s="237"/>
      <c r="O303" s="238"/>
      <c r="P303" s="88" t="str">
        <f t="shared" si="5"/>
        <v>1</v>
      </c>
      <c r="Q303" s="88" t="str">
        <f>IFERROR(INDEX(Торг!$F:$F,MATCH($B303,Торг!$B:$B,0)),"Отсутствует")</f>
        <v>Y</v>
      </c>
      <c r="R303" s="36" t="str">
        <f>IFERROR(IF(AND(Q303="Отсутствует",VLOOKUP(A303,Торг!$A:$A,1,0)=A303),"Добавить","Есть"),"Новый")</f>
        <v>Есть</v>
      </c>
    </row>
    <row r="304" spans="1:18" ht="60" hidden="1">
      <c r="A304" s="238" t="s">
        <v>807</v>
      </c>
      <c r="B304" s="237">
        <v>132598</v>
      </c>
      <c r="C304" s="237">
        <v>166691</v>
      </c>
      <c r="D304" s="238" t="s">
        <v>1096</v>
      </c>
      <c r="E304" s="238" t="s">
        <v>741</v>
      </c>
      <c r="F304" s="238"/>
      <c r="G304" s="238"/>
      <c r="H304" s="238" t="s">
        <v>129</v>
      </c>
      <c r="I304" s="238" t="s">
        <v>250</v>
      </c>
      <c r="J304" s="239">
        <v>47270</v>
      </c>
      <c r="K304" s="239">
        <v>58490</v>
      </c>
      <c r="L304" s="238" t="s">
        <v>620</v>
      </c>
      <c r="M304" s="237">
        <v>1</v>
      </c>
      <c r="N304" s="237"/>
      <c r="O304" s="238"/>
      <c r="P304" s="88" t="str">
        <f t="shared" si="5"/>
        <v>1</v>
      </c>
      <c r="Q304" s="88" t="str">
        <f>IFERROR(INDEX(Торг!$F:$F,MATCH($B304,Торг!$B:$B,0)),"Отсутствует")</f>
        <v>Y</v>
      </c>
      <c r="R304" s="36" t="str">
        <f>IFERROR(IF(AND(Q304="Отсутствует",VLOOKUP(A304,Торг!$A:$A,1,0)=A304),"Добавить","Есть"),"Новый")</f>
        <v>Есть</v>
      </c>
    </row>
    <row r="305" spans="1:18" ht="60" hidden="1">
      <c r="A305" s="238" t="s">
        <v>807</v>
      </c>
      <c r="B305" s="237">
        <v>341479</v>
      </c>
      <c r="C305" s="237">
        <v>341479</v>
      </c>
      <c r="D305" s="238" t="s">
        <v>1097</v>
      </c>
      <c r="E305" s="238" t="s">
        <v>741</v>
      </c>
      <c r="F305" s="238"/>
      <c r="G305" s="238"/>
      <c r="H305" s="238" t="s">
        <v>129</v>
      </c>
      <c r="I305" s="238" t="s">
        <v>250</v>
      </c>
      <c r="J305" s="239">
        <v>48100</v>
      </c>
      <c r="K305" s="239">
        <v>59490</v>
      </c>
      <c r="L305" s="238" t="s">
        <v>620</v>
      </c>
      <c r="M305" s="237">
        <v>1</v>
      </c>
      <c r="N305" s="237"/>
      <c r="O305" s="238"/>
      <c r="P305" s="88" t="str">
        <f t="shared" si="5"/>
        <v>1</v>
      </c>
      <c r="Q305" s="88" t="str">
        <f>IFERROR(INDEX(Торг!$F:$F,MATCH($B305,Торг!$B:$B,0)),"Отсутствует")</f>
        <v>Y</v>
      </c>
      <c r="R305" s="36" t="str">
        <f>IFERROR(IF(AND(Q305="Отсутствует",VLOOKUP(A305,Торг!$A:$A,1,0)=A305),"Добавить","Есть"),"Новый")</f>
        <v>Есть</v>
      </c>
    </row>
    <row r="306" spans="1:18" ht="60" hidden="1">
      <c r="A306" s="238" t="s">
        <v>807</v>
      </c>
      <c r="B306" s="237">
        <v>132599</v>
      </c>
      <c r="C306" s="237">
        <v>166690</v>
      </c>
      <c r="D306" s="238" t="s">
        <v>1098</v>
      </c>
      <c r="E306" s="238" t="s">
        <v>741</v>
      </c>
      <c r="F306" s="238"/>
      <c r="G306" s="238"/>
      <c r="H306" s="238" t="s">
        <v>129</v>
      </c>
      <c r="I306" s="238" t="s">
        <v>250</v>
      </c>
      <c r="J306" s="239">
        <v>47270</v>
      </c>
      <c r="K306" s="239">
        <v>58490</v>
      </c>
      <c r="L306" s="238" t="s">
        <v>620</v>
      </c>
      <c r="M306" s="237">
        <v>1</v>
      </c>
      <c r="N306" s="237"/>
      <c r="O306" s="238"/>
      <c r="P306" s="88" t="str">
        <f t="shared" si="5"/>
        <v>1</v>
      </c>
      <c r="Q306" s="88" t="str">
        <f>IFERROR(INDEX(Торг!$F:$F,MATCH($B306,Торг!$B:$B,0)),"Отсутствует")</f>
        <v>Y</v>
      </c>
      <c r="R306" s="36" t="str">
        <f>IFERROR(IF(AND(Q306="Отсутствует",VLOOKUP(A306,Торг!$A:$A,1,0)=A306),"Добавить","Есть"),"Новый")</f>
        <v>Есть</v>
      </c>
    </row>
    <row r="307" spans="1:18" ht="60" hidden="1">
      <c r="A307" s="238" t="s">
        <v>807</v>
      </c>
      <c r="B307" s="237">
        <v>341480</v>
      </c>
      <c r="C307" s="237">
        <v>341480</v>
      </c>
      <c r="D307" s="238" t="s">
        <v>1099</v>
      </c>
      <c r="E307" s="238" t="s">
        <v>741</v>
      </c>
      <c r="F307" s="238"/>
      <c r="G307" s="238"/>
      <c r="H307" s="238" t="s">
        <v>129</v>
      </c>
      <c r="I307" s="238" t="s">
        <v>250</v>
      </c>
      <c r="J307" s="239">
        <v>48100</v>
      </c>
      <c r="K307" s="239">
        <v>59490</v>
      </c>
      <c r="L307" s="238" t="s">
        <v>620</v>
      </c>
      <c r="M307" s="237">
        <v>1</v>
      </c>
      <c r="N307" s="237"/>
      <c r="O307" s="238"/>
      <c r="P307" s="88" t="str">
        <f t="shared" si="5"/>
        <v>1</v>
      </c>
      <c r="Q307" s="88" t="str">
        <f>IFERROR(INDEX(Торг!$F:$F,MATCH($B307,Торг!$B:$B,0)),"Отсутствует")</f>
        <v>Y</v>
      </c>
      <c r="R307" s="36" t="str">
        <f>IFERROR(IF(AND(Q307="Отсутствует",VLOOKUP(A307,Торг!$A:$A,1,0)=A307),"Добавить","Есть"),"Новый")</f>
        <v>Есть</v>
      </c>
    </row>
    <row r="308" spans="1:18" ht="60" hidden="1">
      <c r="A308" s="238" t="s">
        <v>807</v>
      </c>
      <c r="B308" s="237">
        <v>132600</v>
      </c>
      <c r="C308" s="237">
        <v>166688</v>
      </c>
      <c r="D308" s="238" t="s">
        <v>1100</v>
      </c>
      <c r="E308" s="238" t="s">
        <v>741</v>
      </c>
      <c r="F308" s="238"/>
      <c r="G308" s="238"/>
      <c r="H308" s="238" t="s">
        <v>129</v>
      </c>
      <c r="I308" s="238" t="s">
        <v>250</v>
      </c>
      <c r="J308" s="239">
        <v>47270</v>
      </c>
      <c r="K308" s="239">
        <v>58490</v>
      </c>
      <c r="L308" s="238" t="s">
        <v>620</v>
      </c>
      <c r="M308" s="237">
        <v>1</v>
      </c>
      <c r="N308" s="237"/>
      <c r="O308" s="238"/>
      <c r="P308" s="88" t="str">
        <f t="shared" si="5"/>
        <v>1</v>
      </c>
      <c r="Q308" s="88" t="str">
        <f>IFERROR(INDEX(Торг!$F:$F,MATCH($B308,Торг!$B:$B,0)),"Отсутствует")</f>
        <v>Y</v>
      </c>
      <c r="R308" s="36" t="str">
        <f>IFERROR(IF(AND(Q308="Отсутствует",VLOOKUP(A308,Торг!$A:$A,1,0)=A308),"Добавить","Есть"),"Новый")</f>
        <v>Есть</v>
      </c>
    </row>
    <row r="309" spans="1:18" ht="60" hidden="1">
      <c r="A309" s="238" t="s">
        <v>807</v>
      </c>
      <c r="B309" s="237">
        <v>341482</v>
      </c>
      <c r="C309" s="237">
        <v>341482</v>
      </c>
      <c r="D309" s="238" t="s">
        <v>1101</v>
      </c>
      <c r="E309" s="238" t="s">
        <v>741</v>
      </c>
      <c r="F309" s="238"/>
      <c r="G309" s="238"/>
      <c r="H309" s="238" t="s">
        <v>129</v>
      </c>
      <c r="I309" s="238" t="s">
        <v>250</v>
      </c>
      <c r="J309" s="239">
        <v>48100</v>
      </c>
      <c r="K309" s="239">
        <v>59490</v>
      </c>
      <c r="L309" s="238" t="s">
        <v>620</v>
      </c>
      <c r="M309" s="237">
        <v>1</v>
      </c>
      <c r="N309" s="237"/>
      <c r="O309" s="238"/>
      <c r="P309" s="88" t="str">
        <f t="shared" si="5"/>
        <v>1</v>
      </c>
      <c r="Q309" s="88" t="str">
        <f>IFERROR(INDEX(Торг!$F:$F,MATCH($B309,Торг!$B:$B,0)),"Отсутствует")</f>
        <v>Y</v>
      </c>
      <c r="R309" s="36" t="str">
        <f>IFERROR(IF(AND(Q309="Отсутствует",VLOOKUP(A309,Торг!$A:$A,1,0)=A309),"Добавить","Есть"),"Новый")</f>
        <v>Есть</v>
      </c>
    </row>
    <row r="310" spans="1:18" ht="60" hidden="1">
      <c r="A310" s="238" t="s">
        <v>807</v>
      </c>
      <c r="B310" s="237">
        <v>132601</v>
      </c>
      <c r="C310" s="237">
        <v>166687</v>
      </c>
      <c r="D310" s="238" t="s">
        <v>1102</v>
      </c>
      <c r="E310" s="238" t="s">
        <v>741</v>
      </c>
      <c r="F310" s="238"/>
      <c r="G310" s="238"/>
      <c r="H310" s="238" t="s">
        <v>129</v>
      </c>
      <c r="I310" s="238" t="s">
        <v>250</v>
      </c>
      <c r="J310" s="239">
        <v>47270</v>
      </c>
      <c r="K310" s="239">
        <v>58490</v>
      </c>
      <c r="L310" s="238" t="s">
        <v>620</v>
      </c>
      <c r="M310" s="237">
        <v>1</v>
      </c>
      <c r="N310" s="237"/>
      <c r="O310" s="238"/>
      <c r="P310" s="88" t="str">
        <f t="shared" si="5"/>
        <v>1</v>
      </c>
      <c r="Q310" s="88" t="str">
        <f>IFERROR(INDEX(Торг!$F:$F,MATCH($B310,Торг!$B:$B,0)),"Отсутствует")</f>
        <v>Y</v>
      </c>
      <c r="R310" s="36" t="str">
        <f>IFERROR(IF(AND(Q310="Отсутствует",VLOOKUP(A310,Торг!$A:$A,1,0)=A310),"Добавить","Есть"),"Новый")</f>
        <v>Есть</v>
      </c>
    </row>
    <row r="311" spans="1:18" ht="60" hidden="1">
      <c r="A311" s="238" t="s">
        <v>807</v>
      </c>
      <c r="B311" s="237">
        <v>341474</v>
      </c>
      <c r="C311" s="237">
        <v>341474</v>
      </c>
      <c r="D311" s="238" t="s">
        <v>1103</v>
      </c>
      <c r="E311" s="238" t="s">
        <v>741</v>
      </c>
      <c r="F311" s="238"/>
      <c r="G311" s="238"/>
      <c r="H311" s="238" t="s">
        <v>129</v>
      </c>
      <c r="I311" s="238" t="s">
        <v>250</v>
      </c>
      <c r="J311" s="239">
        <v>48100</v>
      </c>
      <c r="K311" s="239">
        <v>59490</v>
      </c>
      <c r="L311" s="238" t="s">
        <v>620</v>
      </c>
      <c r="M311" s="237">
        <v>1</v>
      </c>
      <c r="N311" s="237"/>
      <c r="O311" s="238"/>
      <c r="P311" s="88" t="str">
        <f t="shared" si="5"/>
        <v>1</v>
      </c>
      <c r="Q311" s="88" t="str">
        <f>IFERROR(INDEX(Торг!$F:$F,MATCH($B311,Торг!$B:$B,0)),"Отсутствует")</f>
        <v>Y</v>
      </c>
      <c r="R311" s="36" t="str">
        <f>IFERROR(IF(AND(Q311="Отсутствует",VLOOKUP(A311,Торг!$A:$A,1,0)=A311),"Добавить","Есть"),"Новый")</f>
        <v>Есть</v>
      </c>
    </row>
    <row r="312" spans="1:18" ht="60" hidden="1">
      <c r="A312" s="238" t="s">
        <v>807</v>
      </c>
      <c r="B312" s="237">
        <v>132602</v>
      </c>
      <c r="C312" s="237">
        <v>166685</v>
      </c>
      <c r="D312" s="238" t="s">
        <v>1104</v>
      </c>
      <c r="E312" s="238" t="s">
        <v>741</v>
      </c>
      <c r="F312" s="238"/>
      <c r="G312" s="238"/>
      <c r="H312" s="238" t="s">
        <v>129</v>
      </c>
      <c r="I312" s="238" t="s">
        <v>250</v>
      </c>
      <c r="J312" s="239">
        <v>46400</v>
      </c>
      <c r="K312" s="239">
        <v>57390</v>
      </c>
      <c r="L312" s="238" t="s">
        <v>620</v>
      </c>
      <c r="M312" s="237">
        <v>1</v>
      </c>
      <c r="N312" s="237"/>
      <c r="O312" s="238"/>
      <c r="P312" s="88" t="str">
        <f t="shared" si="5"/>
        <v>1</v>
      </c>
      <c r="Q312" s="88" t="str">
        <f>IFERROR(INDEX(Торг!$F:$F,MATCH($B312,Торг!$B:$B,0)),"Отсутствует")</f>
        <v>Y</v>
      </c>
      <c r="R312" s="36" t="str">
        <f>IFERROR(IF(AND(Q312="Отсутствует",VLOOKUP(A312,Торг!$A:$A,1,0)=A312),"Добавить","Есть"),"Новый")</f>
        <v>Есть</v>
      </c>
    </row>
    <row r="313" spans="1:18" ht="60" hidden="1">
      <c r="A313" s="238" t="s">
        <v>807</v>
      </c>
      <c r="B313" s="237">
        <v>341473</v>
      </c>
      <c r="C313" s="237">
        <v>341473</v>
      </c>
      <c r="D313" s="238" t="s">
        <v>1105</v>
      </c>
      <c r="E313" s="238" t="s">
        <v>741</v>
      </c>
      <c r="F313" s="238"/>
      <c r="G313" s="238"/>
      <c r="H313" s="238" t="s">
        <v>129</v>
      </c>
      <c r="I313" s="238" t="s">
        <v>250</v>
      </c>
      <c r="J313" s="239">
        <v>47230</v>
      </c>
      <c r="K313" s="239">
        <v>58490</v>
      </c>
      <c r="L313" s="238" t="s">
        <v>620</v>
      </c>
      <c r="M313" s="237">
        <v>1</v>
      </c>
      <c r="N313" s="237"/>
      <c r="O313" s="238"/>
      <c r="P313" s="88" t="str">
        <f t="shared" si="5"/>
        <v>1</v>
      </c>
      <c r="Q313" s="88" t="str">
        <f>IFERROR(INDEX(Торг!$F:$F,MATCH($B313,Торг!$B:$B,0)),"Отсутствует")</f>
        <v>Y</v>
      </c>
      <c r="R313" s="36" t="str">
        <f>IFERROR(IF(AND(Q313="Отсутствует",VLOOKUP(A313,Торг!$A:$A,1,0)=A313),"Добавить","Есть"),"Новый")</f>
        <v>Есть</v>
      </c>
    </row>
    <row r="314" spans="1:18" ht="60" hidden="1">
      <c r="A314" s="238" t="s">
        <v>807</v>
      </c>
      <c r="B314" s="237">
        <v>132590</v>
      </c>
      <c r="C314" s="237">
        <v>166698</v>
      </c>
      <c r="D314" s="238" t="s">
        <v>1106</v>
      </c>
      <c r="E314" s="238" t="s">
        <v>741</v>
      </c>
      <c r="F314" s="238"/>
      <c r="G314" s="238"/>
      <c r="H314" s="238" t="s">
        <v>129</v>
      </c>
      <c r="I314" s="238" t="s">
        <v>250</v>
      </c>
      <c r="J314" s="239">
        <v>47270</v>
      </c>
      <c r="K314" s="239">
        <v>58490</v>
      </c>
      <c r="L314" s="238" t="s">
        <v>620</v>
      </c>
      <c r="M314" s="237">
        <v>1</v>
      </c>
      <c r="N314" s="237"/>
      <c r="O314" s="238"/>
      <c r="P314" s="88" t="str">
        <f t="shared" si="5"/>
        <v>1</v>
      </c>
      <c r="Q314" s="88" t="str">
        <f>IFERROR(INDEX(Торг!$F:$F,MATCH($B314,Торг!$B:$B,0)),"Отсутствует")</f>
        <v>Y</v>
      </c>
      <c r="R314" s="36" t="str">
        <f>IFERROR(IF(AND(Q314="Отсутствует",VLOOKUP(A314,Торг!$A:$A,1,0)=A314),"Добавить","Есть"),"Новый")</f>
        <v>Есть</v>
      </c>
    </row>
    <row r="315" spans="1:18" ht="60" hidden="1">
      <c r="A315" s="238" t="s">
        <v>808</v>
      </c>
      <c r="B315" s="237">
        <v>274924</v>
      </c>
      <c r="C315" s="237">
        <v>226829</v>
      </c>
      <c r="D315" s="238" t="s">
        <v>1107</v>
      </c>
      <c r="E315" s="238" t="s">
        <v>741</v>
      </c>
      <c r="F315" s="238"/>
      <c r="G315" s="238"/>
      <c r="H315" s="238" t="s">
        <v>115</v>
      </c>
      <c r="I315" s="238" t="s">
        <v>250</v>
      </c>
      <c r="J315" s="239">
        <v>41120</v>
      </c>
      <c r="K315" s="239">
        <v>50890</v>
      </c>
      <c r="L315" s="238" t="s">
        <v>621</v>
      </c>
      <c r="M315" s="237">
        <v>1</v>
      </c>
      <c r="N315" s="237"/>
      <c r="O315" s="238"/>
      <c r="P315" s="88" t="str">
        <f t="shared" si="5"/>
        <v>1</v>
      </c>
      <c r="Q315" s="88" t="str">
        <f>IFERROR(INDEX(Торг!$F:$F,MATCH($B315,Торг!$B:$B,0)),"Отсутствует")</f>
        <v>Y</v>
      </c>
      <c r="R315" s="36" t="str">
        <f>IFERROR(IF(AND(Q315="Отсутствует",VLOOKUP(A315,Торг!$A:$A,1,0)=A315),"Добавить","Есть"),"Новый")</f>
        <v>Есть</v>
      </c>
    </row>
    <row r="316" spans="1:18" ht="60" hidden="1">
      <c r="A316" s="238" t="s">
        <v>808</v>
      </c>
      <c r="B316" s="237">
        <v>274936</v>
      </c>
      <c r="C316" s="237">
        <v>226841</v>
      </c>
      <c r="D316" s="238" t="s">
        <v>1108</v>
      </c>
      <c r="E316" s="238" t="s">
        <v>741</v>
      </c>
      <c r="F316" s="238"/>
      <c r="G316" s="238"/>
      <c r="H316" s="238" t="s">
        <v>115</v>
      </c>
      <c r="I316" s="238" t="s">
        <v>250</v>
      </c>
      <c r="J316" s="239">
        <v>41950</v>
      </c>
      <c r="K316" s="239">
        <v>51890</v>
      </c>
      <c r="L316" s="238" t="s">
        <v>621</v>
      </c>
      <c r="M316" s="237">
        <v>1</v>
      </c>
      <c r="N316" s="237"/>
      <c r="O316" s="238"/>
      <c r="P316" s="88" t="str">
        <f t="shared" si="5"/>
        <v>1</v>
      </c>
      <c r="Q316" s="88" t="str">
        <f>IFERROR(INDEX(Торг!$F:$F,MATCH($B316,Торг!$B:$B,0)),"Отсутствует")</f>
        <v>Y</v>
      </c>
      <c r="R316" s="36" t="str">
        <f>IFERROR(IF(AND(Q316="Отсутствует",VLOOKUP(A316,Торг!$A:$A,1,0)=A316),"Добавить","Есть"),"Новый")</f>
        <v>Есть</v>
      </c>
    </row>
    <row r="317" spans="1:18" ht="60" hidden="1">
      <c r="A317" s="238" t="s">
        <v>808</v>
      </c>
      <c r="B317" s="237">
        <v>274935</v>
      </c>
      <c r="C317" s="237">
        <v>226824</v>
      </c>
      <c r="D317" s="238" t="s">
        <v>1109</v>
      </c>
      <c r="E317" s="238" t="s">
        <v>741</v>
      </c>
      <c r="F317" s="238"/>
      <c r="G317" s="238"/>
      <c r="H317" s="238" t="s">
        <v>115</v>
      </c>
      <c r="I317" s="238" t="s">
        <v>250</v>
      </c>
      <c r="J317" s="239">
        <v>41120</v>
      </c>
      <c r="K317" s="239">
        <v>50890</v>
      </c>
      <c r="L317" s="238" t="s">
        <v>621</v>
      </c>
      <c r="M317" s="237">
        <v>1</v>
      </c>
      <c r="N317" s="237"/>
      <c r="O317" s="238"/>
      <c r="P317" s="88" t="str">
        <f t="shared" si="5"/>
        <v>1</v>
      </c>
      <c r="Q317" s="88" t="str">
        <f>IFERROR(INDEX(Торг!$F:$F,MATCH($B317,Торг!$B:$B,0)),"Отсутствует")</f>
        <v>Y</v>
      </c>
      <c r="R317" s="36" t="str">
        <f>IFERROR(IF(AND(Q317="Отсутствует",VLOOKUP(A317,Торг!$A:$A,1,0)=A317),"Добавить","Есть"),"Новый")</f>
        <v>Есть</v>
      </c>
    </row>
    <row r="318" spans="1:18" ht="60" hidden="1">
      <c r="A318" s="238" t="s">
        <v>808</v>
      </c>
      <c r="B318" s="237">
        <v>274947</v>
      </c>
      <c r="C318" s="237">
        <v>226836</v>
      </c>
      <c r="D318" s="238" t="s">
        <v>1110</v>
      </c>
      <c r="E318" s="238" t="s">
        <v>741</v>
      </c>
      <c r="F318" s="238"/>
      <c r="G318" s="238"/>
      <c r="H318" s="238" t="s">
        <v>115</v>
      </c>
      <c r="I318" s="238" t="s">
        <v>250</v>
      </c>
      <c r="J318" s="239">
        <v>41950</v>
      </c>
      <c r="K318" s="239">
        <v>51890</v>
      </c>
      <c r="L318" s="238" t="s">
        <v>621</v>
      </c>
      <c r="M318" s="237">
        <v>1</v>
      </c>
      <c r="N318" s="237"/>
      <c r="O318" s="238"/>
      <c r="P318" s="88" t="str">
        <f t="shared" si="5"/>
        <v>1</v>
      </c>
      <c r="Q318" s="88" t="str">
        <f>IFERROR(INDEX(Торг!$F:$F,MATCH($B318,Торг!$B:$B,0)),"Отсутствует")</f>
        <v>Y</v>
      </c>
      <c r="R318" s="36" t="str">
        <f>IFERROR(IF(AND(Q318="Отсутствует",VLOOKUP(A318,Торг!$A:$A,1,0)=A318),"Добавить","Есть"),"Новый")</f>
        <v>Есть</v>
      </c>
    </row>
    <row r="319" spans="1:18" ht="60" hidden="1">
      <c r="A319" s="238" t="s">
        <v>808</v>
      </c>
      <c r="B319" s="237">
        <v>274934</v>
      </c>
      <c r="C319" s="237">
        <v>226828</v>
      </c>
      <c r="D319" s="238" t="s">
        <v>1111</v>
      </c>
      <c r="E319" s="238" t="s">
        <v>741</v>
      </c>
      <c r="F319" s="238"/>
      <c r="G319" s="238"/>
      <c r="H319" s="238" t="s">
        <v>115</v>
      </c>
      <c r="I319" s="238" t="s">
        <v>250</v>
      </c>
      <c r="J319" s="239">
        <v>41120</v>
      </c>
      <c r="K319" s="239">
        <v>50890</v>
      </c>
      <c r="L319" s="238" t="s">
        <v>621</v>
      </c>
      <c r="M319" s="237">
        <v>1</v>
      </c>
      <c r="N319" s="237"/>
      <c r="O319" s="238"/>
      <c r="P319" s="88" t="str">
        <f t="shared" si="5"/>
        <v>1</v>
      </c>
      <c r="Q319" s="88" t="str">
        <f>IFERROR(INDEX(Торг!$F:$F,MATCH($B319,Торг!$B:$B,0)),"Отсутствует")</f>
        <v>Y</v>
      </c>
      <c r="R319" s="36" t="str">
        <f>IFERROR(IF(AND(Q319="Отсутствует",VLOOKUP(A319,Торг!$A:$A,1,0)=A319),"Добавить","Есть"),"Новый")</f>
        <v>Есть</v>
      </c>
    </row>
    <row r="320" spans="1:18" ht="60" hidden="1">
      <c r="A320" s="238" t="s">
        <v>808</v>
      </c>
      <c r="B320" s="237">
        <v>274946</v>
      </c>
      <c r="C320" s="237">
        <v>226840</v>
      </c>
      <c r="D320" s="238" t="s">
        <v>1112</v>
      </c>
      <c r="E320" s="238" t="s">
        <v>741</v>
      </c>
      <c r="F320" s="238"/>
      <c r="G320" s="238"/>
      <c r="H320" s="238" t="s">
        <v>115</v>
      </c>
      <c r="I320" s="238" t="s">
        <v>250</v>
      </c>
      <c r="J320" s="239">
        <v>41950</v>
      </c>
      <c r="K320" s="239">
        <v>51890</v>
      </c>
      <c r="L320" s="238" t="s">
        <v>621</v>
      </c>
      <c r="M320" s="237">
        <v>1</v>
      </c>
      <c r="N320" s="237"/>
      <c r="O320" s="238"/>
      <c r="P320" s="88" t="str">
        <f t="shared" si="5"/>
        <v>1</v>
      </c>
      <c r="Q320" s="88" t="str">
        <f>IFERROR(INDEX(Торг!$F:$F,MATCH($B320,Торг!$B:$B,0)),"Отсутствует")</f>
        <v>Y</v>
      </c>
      <c r="R320" s="36" t="str">
        <f>IFERROR(IF(AND(Q320="Отсутствует",VLOOKUP(A320,Торг!$A:$A,1,0)=A320),"Добавить","Есть"),"Новый")</f>
        <v>Есть</v>
      </c>
    </row>
    <row r="321" spans="1:18" ht="60" hidden="1">
      <c r="A321" s="238" t="s">
        <v>808</v>
      </c>
      <c r="B321" s="237">
        <v>274926</v>
      </c>
      <c r="C321" s="237">
        <v>226820</v>
      </c>
      <c r="D321" s="238" t="s">
        <v>1113</v>
      </c>
      <c r="E321" s="238" t="s">
        <v>741</v>
      </c>
      <c r="F321" s="238"/>
      <c r="G321" s="238"/>
      <c r="H321" s="238" t="s">
        <v>115</v>
      </c>
      <c r="I321" s="238" t="s">
        <v>250</v>
      </c>
      <c r="J321" s="239">
        <v>41120</v>
      </c>
      <c r="K321" s="239">
        <v>50890</v>
      </c>
      <c r="L321" s="238" t="s">
        <v>621</v>
      </c>
      <c r="M321" s="237">
        <v>1</v>
      </c>
      <c r="N321" s="237"/>
      <c r="O321" s="238"/>
      <c r="P321" s="88" t="str">
        <f t="shared" si="5"/>
        <v>1</v>
      </c>
      <c r="Q321" s="88" t="str">
        <f>IFERROR(INDEX(Торг!$F:$F,MATCH($B321,Торг!$B:$B,0)),"Отсутствует")</f>
        <v>Y</v>
      </c>
      <c r="R321" s="36" t="str">
        <f>IFERROR(IF(AND(Q321="Отсутствует",VLOOKUP(A321,Торг!$A:$A,1,0)=A321),"Добавить","Есть"),"Новый")</f>
        <v>Есть</v>
      </c>
    </row>
    <row r="322" spans="1:18" ht="60" hidden="1">
      <c r="A322" s="238" t="s">
        <v>808</v>
      </c>
      <c r="B322" s="237">
        <v>274938</v>
      </c>
      <c r="C322" s="237">
        <v>226832</v>
      </c>
      <c r="D322" s="238" t="s">
        <v>1114</v>
      </c>
      <c r="E322" s="238" t="s">
        <v>741</v>
      </c>
      <c r="F322" s="238"/>
      <c r="G322" s="238"/>
      <c r="H322" s="238" t="s">
        <v>115</v>
      </c>
      <c r="I322" s="238" t="s">
        <v>250</v>
      </c>
      <c r="J322" s="239">
        <v>41950</v>
      </c>
      <c r="K322" s="239">
        <v>51890</v>
      </c>
      <c r="L322" s="238" t="s">
        <v>621</v>
      </c>
      <c r="M322" s="237">
        <v>1</v>
      </c>
      <c r="N322" s="237"/>
      <c r="O322" s="238"/>
      <c r="P322" s="88" t="str">
        <f t="shared" si="5"/>
        <v>1</v>
      </c>
      <c r="Q322" s="88" t="str">
        <f>IFERROR(INDEX(Торг!$F:$F,MATCH($B322,Торг!$B:$B,0)),"Отсутствует")</f>
        <v>Y</v>
      </c>
      <c r="R322" s="36" t="str">
        <f>IFERROR(IF(AND(Q322="Отсутствует",VLOOKUP(A322,Торг!$A:$A,1,0)=A322),"Добавить","Есть"),"Новый")</f>
        <v>Есть</v>
      </c>
    </row>
    <row r="323" spans="1:18" ht="60" hidden="1">
      <c r="A323" s="238" t="s">
        <v>808</v>
      </c>
      <c r="B323" s="237">
        <v>274927</v>
      </c>
      <c r="C323" s="237">
        <v>226827</v>
      </c>
      <c r="D323" s="238" t="s">
        <v>1115</v>
      </c>
      <c r="E323" s="238" t="s">
        <v>741</v>
      </c>
      <c r="F323" s="238"/>
      <c r="G323" s="238"/>
      <c r="H323" s="238" t="s">
        <v>115</v>
      </c>
      <c r="I323" s="238" t="s">
        <v>250</v>
      </c>
      <c r="J323" s="239">
        <v>41120</v>
      </c>
      <c r="K323" s="239">
        <v>50890</v>
      </c>
      <c r="L323" s="238" t="s">
        <v>621</v>
      </c>
      <c r="M323" s="237">
        <v>1</v>
      </c>
      <c r="N323" s="237"/>
      <c r="O323" s="238"/>
      <c r="P323" s="88" t="str">
        <f t="shared" si="5"/>
        <v>1</v>
      </c>
      <c r="Q323" s="88" t="str">
        <f>IFERROR(INDEX(Торг!$F:$F,MATCH($B323,Торг!$B:$B,0)),"Отсутствует")</f>
        <v>Y</v>
      </c>
      <c r="R323" s="36" t="str">
        <f>IFERROR(IF(AND(Q323="Отсутствует",VLOOKUP(A323,Торг!$A:$A,1,0)=A323),"Добавить","Есть"),"Новый")</f>
        <v>Есть</v>
      </c>
    </row>
    <row r="324" spans="1:18" ht="60" hidden="1">
      <c r="A324" s="238" t="s">
        <v>808</v>
      </c>
      <c r="B324" s="237">
        <v>274939</v>
      </c>
      <c r="C324" s="237">
        <v>226839</v>
      </c>
      <c r="D324" s="238" t="s">
        <v>1116</v>
      </c>
      <c r="E324" s="238" t="s">
        <v>741</v>
      </c>
      <c r="F324" s="238"/>
      <c r="G324" s="238"/>
      <c r="H324" s="238" t="s">
        <v>115</v>
      </c>
      <c r="I324" s="238" t="s">
        <v>250</v>
      </c>
      <c r="J324" s="239">
        <v>41950</v>
      </c>
      <c r="K324" s="239">
        <v>51890</v>
      </c>
      <c r="L324" s="238" t="s">
        <v>621</v>
      </c>
      <c r="M324" s="237">
        <v>1</v>
      </c>
      <c r="N324" s="237"/>
      <c r="O324" s="238"/>
      <c r="P324" s="88" t="str">
        <f t="shared" si="5"/>
        <v>1</v>
      </c>
      <c r="Q324" s="88" t="str">
        <f>IFERROR(INDEX(Торг!$F:$F,MATCH($B324,Торг!$B:$B,0)),"Отсутствует")</f>
        <v>Y</v>
      </c>
      <c r="R324" s="36" t="str">
        <f>IFERROR(IF(AND(Q324="Отсутствует",VLOOKUP(A324,Торг!$A:$A,1,0)=A324),"Добавить","Есть"),"Новый")</f>
        <v>Есть</v>
      </c>
    </row>
    <row r="325" spans="1:18" ht="60" hidden="1">
      <c r="A325" s="238" t="s">
        <v>808</v>
      </c>
      <c r="B325" s="237">
        <v>274928</v>
      </c>
      <c r="C325" s="237">
        <v>226823</v>
      </c>
      <c r="D325" s="238" t="s">
        <v>1117</v>
      </c>
      <c r="E325" s="238" t="s">
        <v>741</v>
      </c>
      <c r="F325" s="238"/>
      <c r="G325" s="238"/>
      <c r="H325" s="238" t="s">
        <v>115</v>
      </c>
      <c r="I325" s="238" t="s">
        <v>250</v>
      </c>
      <c r="J325" s="239">
        <v>41120</v>
      </c>
      <c r="K325" s="239">
        <v>50890</v>
      </c>
      <c r="L325" s="238" t="s">
        <v>621</v>
      </c>
      <c r="M325" s="237">
        <v>1</v>
      </c>
      <c r="N325" s="237"/>
      <c r="O325" s="238"/>
      <c r="P325" s="88" t="str">
        <f t="shared" si="5"/>
        <v>1</v>
      </c>
      <c r="Q325" s="88" t="str">
        <f>IFERROR(INDEX(Торг!$F:$F,MATCH($B325,Торг!$B:$B,0)),"Отсутствует")</f>
        <v>Y</v>
      </c>
      <c r="R325" s="36" t="str">
        <f>IFERROR(IF(AND(Q325="Отсутствует",VLOOKUP(A325,Торг!$A:$A,1,0)=A325),"Добавить","Есть"),"Новый")</f>
        <v>Есть</v>
      </c>
    </row>
    <row r="326" spans="1:18" ht="60" hidden="1">
      <c r="A326" s="238" t="s">
        <v>808</v>
      </c>
      <c r="B326" s="237">
        <v>274940</v>
      </c>
      <c r="C326" s="237">
        <v>226835</v>
      </c>
      <c r="D326" s="238" t="s">
        <v>1118</v>
      </c>
      <c r="E326" s="238" t="s">
        <v>741</v>
      </c>
      <c r="F326" s="238"/>
      <c r="G326" s="238"/>
      <c r="H326" s="238" t="s">
        <v>115</v>
      </c>
      <c r="I326" s="238" t="s">
        <v>250</v>
      </c>
      <c r="J326" s="239">
        <v>41950</v>
      </c>
      <c r="K326" s="239">
        <v>51890</v>
      </c>
      <c r="L326" s="238" t="s">
        <v>621</v>
      </c>
      <c r="M326" s="237">
        <v>1</v>
      </c>
      <c r="N326" s="237"/>
      <c r="O326" s="238"/>
      <c r="P326" s="88" t="str">
        <f t="shared" si="5"/>
        <v>1</v>
      </c>
      <c r="Q326" s="88" t="str">
        <f>IFERROR(INDEX(Торг!$F:$F,MATCH($B326,Торг!$B:$B,0)),"Отсутствует")</f>
        <v>Y</v>
      </c>
      <c r="R326" s="36" t="str">
        <f>IFERROR(IF(AND(Q326="Отсутствует",VLOOKUP(A326,Торг!$A:$A,1,0)=A326),"Добавить","Есть"),"Новый")</f>
        <v>Есть</v>
      </c>
    </row>
    <row r="327" spans="1:18" ht="60" hidden="1">
      <c r="A327" s="238" t="s">
        <v>808</v>
      </c>
      <c r="B327" s="237">
        <v>274929</v>
      </c>
      <c r="C327" s="237">
        <v>226825</v>
      </c>
      <c r="D327" s="238" t="s">
        <v>1119</v>
      </c>
      <c r="E327" s="238" t="s">
        <v>741</v>
      </c>
      <c r="F327" s="238"/>
      <c r="G327" s="238"/>
      <c r="H327" s="238" t="s">
        <v>115</v>
      </c>
      <c r="I327" s="238" t="s">
        <v>250</v>
      </c>
      <c r="J327" s="239">
        <v>41120</v>
      </c>
      <c r="K327" s="239">
        <v>50890</v>
      </c>
      <c r="L327" s="238" t="s">
        <v>621</v>
      </c>
      <c r="M327" s="237">
        <v>1</v>
      </c>
      <c r="N327" s="237"/>
      <c r="O327" s="238"/>
      <c r="P327" s="88" t="str">
        <f t="shared" si="5"/>
        <v>1</v>
      </c>
      <c r="Q327" s="88" t="str">
        <f>IFERROR(INDEX(Торг!$F:$F,MATCH($B327,Торг!$B:$B,0)),"Отсутствует")</f>
        <v>Y</v>
      </c>
      <c r="R327" s="36" t="str">
        <f>IFERROR(IF(AND(Q327="Отсутствует",VLOOKUP(A327,Торг!$A:$A,1,0)=A327),"Добавить","Есть"),"Новый")</f>
        <v>Есть</v>
      </c>
    </row>
    <row r="328" spans="1:18" ht="60" hidden="1">
      <c r="A328" s="238" t="s">
        <v>808</v>
      </c>
      <c r="B328" s="237">
        <v>274941</v>
      </c>
      <c r="C328" s="237">
        <v>226837</v>
      </c>
      <c r="D328" s="238" t="s">
        <v>1120</v>
      </c>
      <c r="E328" s="238" t="s">
        <v>741</v>
      </c>
      <c r="F328" s="238"/>
      <c r="G328" s="238"/>
      <c r="H328" s="238" t="s">
        <v>115</v>
      </c>
      <c r="I328" s="238" t="s">
        <v>250</v>
      </c>
      <c r="J328" s="239">
        <v>41950</v>
      </c>
      <c r="K328" s="239">
        <v>51890</v>
      </c>
      <c r="L328" s="238" t="s">
        <v>621</v>
      </c>
      <c r="M328" s="237">
        <v>1</v>
      </c>
      <c r="N328" s="237"/>
      <c r="O328" s="238"/>
      <c r="P328" s="88" t="str">
        <f t="shared" si="5"/>
        <v>1</v>
      </c>
      <c r="Q328" s="88" t="str">
        <f>IFERROR(INDEX(Торг!$F:$F,MATCH($B328,Торг!$B:$B,0)),"Отсутствует")</f>
        <v>Y</v>
      </c>
      <c r="R328" s="36" t="str">
        <f>IFERROR(IF(AND(Q328="Отсутствует",VLOOKUP(A328,Торг!$A:$A,1,0)=A328),"Добавить","Есть"),"Новый")</f>
        <v>Есть</v>
      </c>
    </row>
    <row r="329" spans="1:18" ht="60" hidden="1">
      <c r="A329" s="238" t="s">
        <v>808</v>
      </c>
      <c r="B329" s="237">
        <v>274932</v>
      </c>
      <c r="C329" s="237">
        <v>226826</v>
      </c>
      <c r="D329" s="238" t="s">
        <v>1121</v>
      </c>
      <c r="E329" s="238" t="s">
        <v>741</v>
      </c>
      <c r="F329" s="238"/>
      <c r="G329" s="238"/>
      <c r="H329" s="238" t="s">
        <v>115</v>
      </c>
      <c r="I329" s="238" t="s">
        <v>250</v>
      </c>
      <c r="J329" s="239">
        <v>41120</v>
      </c>
      <c r="K329" s="239">
        <v>50890</v>
      </c>
      <c r="L329" s="238" t="s">
        <v>621</v>
      </c>
      <c r="M329" s="237">
        <v>1</v>
      </c>
      <c r="N329" s="237"/>
      <c r="O329" s="238"/>
      <c r="P329" s="88" t="str">
        <f t="shared" si="5"/>
        <v>1</v>
      </c>
      <c r="Q329" s="88" t="str">
        <f>IFERROR(INDEX(Торг!$F:$F,MATCH($B329,Торг!$B:$B,0)),"Отсутствует")</f>
        <v>Y</v>
      </c>
      <c r="R329" s="36" t="str">
        <f>IFERROR(IF(AND(Q329="Отсутствует",VLOOKUP(A329,Торг!$A:$A,1,0)=A329),"Добавить","Есть"),"Новый")</f>
        <v>Есть</v>
      </c>
    </row>
    <row r="330" spans="1:18" ht="60" hidden="1">
      <c r="A330" s="238" t="s">
        <v>808</v>
      </c>
      <c r="B330" s="237">
        <v>274944</v>
      </c>
      <c r="C330" s="237">
        <v>226838</v>
      </c>
      <c r="D330" s="238" t="s">
        <v>1122</v>
      </c>
      <c r="E330" s="238" t="s">
        <v>741</v>
      </c>
      <c r="F330" s="238"/>
      <c r="G330" s="238"/>
      <c r="H330" s="238" t="s">
        <v>115</v>
      </c>
      <c r="I330" s="238" t="s">
        <v>250</v>
      </c>
      <c r="J330" s="239">
        <v>41950</v>
      </c>
      <c r="K330" s="239">
        <v>51890</v>
      </c>
      <c r="L330" s="238" t="s">
        <v>621</v>
      </c>
      <c r="M330" s="237">
        <v>1</v>
      </c>
      <c r="N330" s="237"/>
      <c r="O330" s="238"/>
      <c r="P330" s="88" t="str">
        <f t="shared" si="5"/>
        <v>1</v>
      </c>
      <c r="Q330" s="88" t="str">
        <f>IFERROR(INDEX(Торг!$F:$F,MATCH($B330,Торг!$B:$B,0)),"Отсутствует")</f>
        <v>Y</v>
      </c>
      <c r="R330" s="36" t="str">
        <f>IFERROR(IF(AND(Q330="Отсутствует",VLOOKUP(A330,Торг!$A:$A,1,0)=A330),"Добавить","Есть"),"Новый")</f>
        <v>Есть</v>
      </c>
    </row>
    <row r="331" spans="1:18" ht="60" hidden="1">
      <c r="A331" s="238" t="s">
        <v>808</v>
      </c>
      <c r="B331" s="237">
        <v>274930</v>
      </c>
      <c r="C331" s="237">
        <v>226822</v>
      </c>
      <c r="D331" s="238" t="s">
        <v>1123</v>
      </c>
      <c r="E331" s="238" t="s">
        <v>741</v>
      </c>
      <c r="F331" s="238"/>
      <c r="G331" s="238"/>
      <c r="H331" s="238" t="s">
        <v>115</v>
      </c>
      <c r="I331" s="238" t="s">
        <v>250</v>
      </c>
      <c r="J331" s="239">
        <v>41120</v>
      </c>
      <c r="K331" s="239">
        <v>50890</v>
      </c>
      <c r="L331" s="238" t="s">
        <v>621</v>
      </c>
      <c r="M331" s="237">
        <v>1</v>
      </c>
      <c r="N331" s="237"/>
      <c r="O331" s="238"/>
      <c r="P331" s="88" t="str">
        <f t="shared" si="5"/>
        <v>1</v>
      </c>
      <c r="Q331" s="88" t="str">
        <f>IFERROR(INDEX(Торг!$F:$F,MATCH($B331,Торг!$B:$B,0)),"Отсутствует")</f>
        <v>Y</v>
      </c>
      <c r="R331" s="36" t="str">
        <f>IFERROR(IF(AND(Q331="Отсутствует",VLOOKUP(A331,Торг!$A:$A,1,0)=A331),"Добавить","Есть"),"Новый")</f>
        <v>Есть</v>
      </c>
    </row>
    <row r="332" spans="1:18" ht="60" hidden="1">
      <c r="A332" s="238" t="s">
        <v>808</v>
      </c>
      <c r="B332" s="237">
        <v>274942</v>
      </c>
      <c r="C332" s="237">
        <v>226834</v>
      </c>
      <c r="D332" s="238" t="s">
        <v>1124</v>
      </c>
      <c r="E332" s="238" t="s">
        <v>741</v>
      </c>
      <c r="F332" s="238"/>
      <c r="G332" s="238"/>
      <c r="H332" s="238" t="s">
        <v>115</v>
      </c>
      <c r="I332" s="238" t="s">
        <v>250</v>
      </c>
      <c r="J332" s="239">
        <v>41950</v>
      </c>
      <c r="K332" s="239">
        <v>51890</v>
      </c>
      <c r="L332" s="238" t="s">
        <v>621</v>
      </c>
      <c r="M332" s="237">
        <v>1</v>
      </c>
      <c r="N332" s="237"/>
      <c r="O332" s="238"/>
      <c r="P332" s="88" t="str">
        <f t="shared" si="5"/>
        <v>1</v>
      </c>
      <c r="Q332" s="88" t="str">
        <f>IFERROR(INDEX(Торг!$F:$F,MATCH($B332,Торг!$B:$B,0)),"Отсутствует")</f>
        <v>Y</v>
      </c>
      <c r="R332" s="36" t="str">
        <f>IFERROR(IF(AND(Q332="Отсутствует",VLOOKUP(A332,Торг!$A:$A,1,0)=A332),"Добавить","Есть"),"Новый")</f>
        <v>Есть</v>
      </c>
    </row>
    <row r="333" spans="1:18" ht="60" hidden="1">
      <c r="A333" s="238" t="s">
        <v>808</v>
      </c>
      <c r="B333" s="237">
        <v>274931</v>
      </c>
      <c r="C333" s="237">
        <v>226821</v>
      </c>
      <c r="D333" s="238" t="s">
        <v>1125</v>
      </c>
      <c r="E333" s="238" t="s">
        <v>741</v>
      </c>
      <c r="F333" s="238"/>
      <c r="G333" s="238"/>
      <c r="H333" s="238" t="s">
        <v>115</v>
      </c>
      <c r="I333" s="238" t="s">
        <v>250</v>
      </c>
      <c r="J333" s="239">
        <v>41120</v>
      </c>
      <c r="K333" s="239">
        <v>50890</v>
      </c>
      <c r="L333" s="238" t="s">
        <v>621</v>
      </c>
      <c r="M333" s="237">
        <v>1</v>
      </c>
      <c r="N333" s="237"/>
      <c r="O333" s="238"/>
      <c r="P333" s="88" t="str">
        <f t="shared" si="5"/>
        <v>1</v>
      </c>
      <c r="Q333" s="88" t="str">
        <f>IFERROR(INDEX(Торг!$F:$F,MATCH($B333,Торг!$B:$B,0)),"Отсутствует")</f>
        <v>Y</v>
      </c>
      <c r="R333" s="36" t="str">
        <f>IFERROR(IF(AND(Q333="Отсутствует",VLOOKUP(A333,Торг!$A:$A,1,0)=A333),"Добавить","Есть"),"Новый")</f>
        <v>Есть</v>
      </c>
    </row>
    <row r="334" spans="1:18" ht="60" hidden="1">
      <c r="A334" s="238" t="s">
        <v>808</v>
      </c>
      <c r="B334" s="237">
        <v>274943</v>
      </c>
      <c r="C334" s="237">
        <v>226833</v>
      </c>
      <c r="D334" s="238" t="s">
        <v>1126</v>
      </c>
      <c r="E334" s="238" t="s">
        <v>741</v>
      </c>
      <c r="F334" s="238"/>
      <c r="G334" s="238"/>
      <c r="H334" s="238" t="s">
        <v>115</v>
      </c>
      <c r="I334" s="238" t="s">
        <v>250</v>
      </c>
      <c r="J334" s="239">
        <v>41950</v>
      </c>
      <c r="K334" s="239">
        <v>51890</v>
      </c>
      <c r="L334" s="238" t="s">
        <v>621</v>
      </c>
      <c r="M334" s="237">
        <v>1</v>
      </c>
      <c r="N334" s="237"/>
      <c r="O334" s="238"/>
      <c r="P334" s="88" t="str">
        <f t="shared" si="5"/>
        <v>1</v>
      </c>
      <c r="Q334" s="88" t="str">
        <f>IFERROR(INDEX(Торг!$F:$F,MATCH($B334,Торг!$B:$B,0)),"Отсутствует")</f>
        <v>Y</v>
      </c>
      <c r="R334" s="36" t="str">
        <f>IFERROR(IF(AND(Q334="Отсутствует",VLOOKUP(A334,Торг!$A:$A,1,0)=A334),"Добавить","Есть"),"Новый")</f>
        <v>Есть</v>
      </c>
    </row>
    <row r="335" spans="1:18" ht="60" hidden="1">
      <c r="A335" s="238" t="s">
        <v>808</v>
      </c>
      <c r="B335" s="237">
        <v>274933</v>
      </c>
      <c r="C335" s="237">
        <v>226819</v>
      </c>
      <c r="D335" s="238" t="s">
        <v>1127</v>
      </c>
      <c r="E335" s="238" t="s">
        <v>741</v>
      </c>
      <c r="F335" s="238"/>
      <c r="G335" s="238"/>
      <c r="H335" s="238" t="s">
        <v>115</v>
      </c>
      <c r="I335" s="238" t="s">
        <v>250</v>
      </c>
      <c r="J335" s="239">
        <v>41120</v>
      </c>
      <c r="K335" s="239">
        <v>50890</v>
      </c>
      <c r="L335" s="238" t="s">
        <v>621</v>
      </c>
      <c r="M335" s="237">
        <v>1</v>
      </c>
      <c r="N335" s="237"/>
      <c r="O335" s="238"/>
      <c r="P335" s="88" t="str">
        <f t="shared" si="5"/>
        <v>1</v>
      </c>
      <c r="Q335" s="88" t="str">
        <f>IFERROR(INDEX(Торг!$F:$F,MATCH($B335,Торг!$B:$B,0)),"Отсутствует")</f>
        <v>Y</v>
      </c>
      <c r="R335" s="36" t="str">
        <f>IFERROR(IF(AND(Q335="Отсутствует",VLOOKUP(A335,Торг!$A:$A,1,0)=A335),"Добавить","Есть"),"Новый")</f>
        <v>Есть</v>
      </c>
    </row>
    <row r="336" spans="1:18" ht="60" hidden="1">
      <c r="A336" s="238" t="s">
        <v>808</v>
      </c>
      <c r="B336" s="237">
        <v>274945</v>
      </c>
      <c r="C336" s="237">
        <v>226831</v>
      </c>
      <c r="D336" s="238" t="s">
        <v>1128</v>
      </c>
      <c r="E336" s="238" t="s">
        <v>741</v>
      </c>
      <c r="F336" s="238"/>
      <c r="G336" s="238"/>
      <c r="H336" s="238" t="s">
        <v>115</v>
      </c>
      <c r="I336" s="238" t="s">
        <v>250</v>
      </c>
      <c r="J336" s="239">
        <v>41950</v>
      </c>
      <c r="K336" s="239">
        <v>51890</v>
      </c>
      <c r="L336" s="238" t="s">
        <v>621</v>
      </c>
      <c r="M336" s="237">
        <v>1</v>
      </c>
      <c r="N336" s="237"/>
      <c r="O336" s="238"/>
      <c r="P336" s="88" t="str">
        <f t="shared" si="5"/>
        <v>1</v>
      </c>
      <c r="Q336" s="88" t="str">
        <f>IFERROR(INDEX(Торг!$F:$F,MATCH($B336,Торг!$B:$B,0)),"Отсутствует")</f>
        <v>Y</v>
      </c>
      <c r="R336" s="36" t="str">
        <f>IFERROR(IF(AND(Q336="Отсутствует",VLOOKUP(A336,Торг!$A:$A,1,0)=A336),"Добавить","Есть"),"Новый")</f>
        <v>Есть</v>
      </c>
    </row>
    <row r="337" spans="1:18" ht="60" hidden="1">
      <c r="A337" s="238" t="s">
        <v>808</v>
      </c>
      <c r="B337" s="237">
        <v>274925</v>
      </c>
      <c r="C337" s="237">
        <v>226818</v>
      </c>
      <c r="D337" s="238" t="s">
        <v>1129</v>
      </c>
      <c r="E337" s="238" t="s">
        <v>741</v>
      </c>
      <c r="F337" s="238"/>
      <c r="G337" s="238"/>
      <c r="H337" s="238" t="s">
        <v>115</v>
      </c>
      <c r="I337" s="238" t="s">
        <v>250</v>
      </c>
      <c r="J337" s="239">
        <v>41120</v>
      </c>
      <c r="K337" s="239">
        <v>50890</v>
      </c>
      <c r="L337" s="238" t="s">
        <v>621</v>
      </c>
      <c r="M337" s="237">
        <v>1</v>
      </c>
      <c r="N337" s="237"/>
      <c r="O337" s="238"/>
      <c r="P337" s="88" t="str">
        <f t="shared" si="5"/>
        <v>1</v>
      </c>
      <c r="Q337" s="88" t="str">
        <f>IFERROR(INDEX(Торг!$F:$F,MATCH($B337,Торг!$B:$B,0)),"Отсутствует")</f>
        <v>Y</v>
      </c>
      <c r="R337" s="36" t="str">
        <f>IFERROR(IF(AND(Q337="Отсутствует",VLOOKUP(A337,Торг!$A:$A,1,0)=A337),"Добавить","Есть"),"Новый")</f>
        <v>Есть</v>
      </c>
    </row>
    <row r="338" spans="1:18" ht="60" hidden="1">
      <c r="A338" s="238" t="s">
        <v>808</v>
      </c>
      <c r="B338" s="237">
        <v>274937</v>
      </c>
      <c r="C338" s="237">
        <v>226830</v>
      </c>
      <c r="D338" s="238" t="s">
        <v>1130</v>
      </c>
      <c r="E338" s="238" t="s">
        <v>741</v>
      </c>
      <c r="F338" s="238"/>
      <c r="G338" s="238"/>
      <c r="H338" s="238" t="s">
        <v>115</v>
      </c>
      <c r="I338" s="238" t="s">
        <v>250</v>
      </c>
      <c r="J338" s="239">
        <v>41950</v>
      </c>
      <c r="K338" s="239">
        <v>51890</v>
      </c>
      <c r="L338" s="238" t="s">
        <v>621</v>
      </c>
      <c r="M338" s="237">
        <v>1</v>
      </c>
      <c r="N338" s="237"/>
      <c r="O338" s="238"/>
      <c r="P338" s="88" t="str">
        <f t="shared" si="5"/>
        <v>1</v>
      </c>
      <c r="Q338" s="88" t="str">
        <f>IFERROR(INDEX(Торг!$F:$F,MATCH($B338,Торг!$B:$B,0)),"Отсутствует")</f>
        <v>Y</v>
      </c>
      <c r="R338" s="36" t="str">
        <f>IFERROR(IF(AND(Q338="Отсутствует",VLOOKUP(A338,Торг!$A:$A,1,0)=A338),"Добавить","Есть"),"Новый")</f>
        <v>Есть</v>
      </c>
    </row>
    <row r="339" spans="1:18" ht="60" hidden="1">
      <c r="A339" s="238" t="s">
        <v>808</v>
      </c>
      <c r="B339" s="237">
        <v>274922</v>
      </c>
      <c r="C339" s="237">
        <v>226815</v>
      </c>
      <c r="D339" s="238" t="s">
        <v>1131</v>
      </c>
      <c r="E339" s="238" t="s">
        <v>741</v>
      </c>
      <c r="F339" s="238"/>
      <c r="G339" s="238"/>
      <c r="H339" s="238" t="s">
        <v>115</v>
      </c>
      <c r="I339" s="238" t="s">
        <v>250</v>
      </c>
      <c r="J339" s="239">
        <v>40250</v>
      </c>
      <c r="K339" s="239">
        <v>49790</v>
      </c>
      <c r="L339" s="238" t="s">
        <v>621</v>
      </c>
      <c r="M339" s="237">
        <v>1</v>
      </c>
      <c r="N339" s="237"/>
      <c r="O339" s="238"/>
      <c r="P339" s="88" t="str">
        <f t="shared" si="5"/>
        <v>1</v>
      </c>
      <c r="Q339" s="88" t="str">
        <f>IFERROR(INDEX(Торг!$F:$F,MATCH($B339,Торг!$B:$B,0)),"Отсутствует")</f>
        <v>Y</v>
      </c>
      <c r="R339" s="36" t="str">
        <f>IFERROR(IF(AND(Q339="Отсутствует",VLOOKUP(A339,Торг!$A:$A,1,0)=A339),"Добавить","Есть"),"Новый")</f>
        <v>Есть</v>
      </c>
    </row>
    <row r="340" spans="1:18" ht="60" hidden="1">
      <c r="A340" s="238" t="s">
        <v>808</v>
      </c>
      <c r="B340" s="237">
        <v>274923</v>
      </c>
      <c r="C340" s="237">
        <v>226816</v>
      </c>
      <c r="D340" s="238" t="s">
        <v>1132</v>
      </c>
      <c r="E340" s="238" t="s">
        <v>741</v>
      </c>
      <c r="F340" s="238"/>
      <c r="G340" s="238"/>
      <c r="H340" s="238" t="s">
        <v>115</v>
      </c>
      <c r="I340" s="238" t="s">
        <v>250</v>
      </c>
      <c r="J340" s="239">
        <v>41080</v>
      </c>
      <c r="K340" s="239">
        <v>50790</v>
      </c>
      <c r="L340" s="238" t="s">
        <v>621</v>
      </c>
      <c r="M340" s="237">
        <v>1</v>
      </c>
      <c r="N340" s="237"/>
      <c r="O340" s="238"/>
      <c r="P340" s="88" t="str">
        <f t="shared" si="5"/>
        <v>1</v>
      </c>
      <c r="Q340" s="88" t="str">
        <f>IFERROR(INDEX(Торг!$F:$F,MATCH($B340,Торг!$B:$B,0)),"Отсутствует")</f>
        <v>Y</v>
      </c>
      <c r="R340" s="36" t="str">
        <f>IFERROR(IF(AND(Q340="Отсутствует",VLOOKUP(A340,Торг!$A:$A,1,0)=A340),"Добавить","Есть"),"Новый")</f>
        <v>Есть</v>
      </c>
    </row>
    <row r="341" spans="1:18" ht="75" hidden="1">
      <c r="A341" s="238" t="s">
        <v>809</v>
      </c>
      <c r="B341" s="237">
        <v>132604</v>
      </c>
      <c r="C341" s="237">
        <v>166676</v>
      </c>
      <c r="D341" s="238" t="s">
        <v>1133</v>
      </c>
      <c r="E341" s="238" t="s">
        <v>741</v>
      </c>
      <c r="F341" s="238"/>
      <c r="G341" s="238"/>
      <c r="H341" s="238" t="s">
        <v>133</v>
      </c>
      <c r="I341" s="238" t="s">
        <v>250</v>
      </c>
      <c r="J341" s="239">
        <v>49720</v>
      </c>
      <c r="K341" s="239">
        <v>61490</v>
      </c>
      <c r="L341" s="238" t="s">
        <v>621</v>
      </c>
      <c r="M341" s="237">
        <v>1</v>
      </c>
      <c r="N341" s="237"/>
      <c r="O341" s="238"/>
      <c r="P341" s="88" t="str">
        <f t="shared" si="5"/>
        <v>1</v>
      </c>
      <c r="Q341" s="88" t="str">
        <f>IFERROR(INDEX(Торг!$F:$F,MATCH($B341,Торг!$B:$B,0)),"Отсутствует")</f>
        <v>Y</v>
      </c>
      <c r="R341" s="36" t="str">
        <f>IFERROR(IF(AND(Q341="Отсутствует",VLOOKUP(A341,Торг!$A:$A,1,0)=A341),"Добавить","Есть"),"Новый")</f>
        <v>Есть</v>
      </c>
    </row>
    <row r="342" spans="1:18" ht="60" hidden="1">
      <c r="A342" s="238" t="s">
        <v>809</v>
      </c>
      <c r="B342" s="237">
        <v>341494</v>
      </c>
      <c r="C342" s="237">
        <v>341494</v>
      </c>
      <c r="D342" s="238" t="s">
        <v>1134</v>
      </c>
      <c r="E342" s="238" t="s">
        <v>741</v>
      </c>
      <c r="F342" s="238"/>
      <c r="G342" s="238"/>
      <c r="H342" s="238" t="s">
        <v>133</v>
      </c>
      <c r="I342" s="238" t="s">
        <v>250</v>
      </c>
      <c r="J342" s="239">
        <v>50550</v>
      </c>
      <c r="K342" s="239">
        <v>62590</v>
      </c>
      <c r="L342" s="238" t="s">
        <v>621</v>
      </c>
      <c r="M342" s="237">
        <v>1</v>
      </c>
      <c r="N342" s="237"/>
      <c r="O342" s="238"/>
      <c r="P342" s="88" t="str">
        <f t="shared" si="5"/>
        <v>1</v>
      </c>
      <c r="Q342" s="88" t="str">
        <f>IFERROR(INDEX(Торг!$F:$F,MATCH($B342,Торг!$B:$B,0)),"Отсутствует")</f>
        <v>Y</v>
      </c>
      <c r="R342" s="36" t="str">
        <f>IFERROR(IF(AND(Q342="Отсутствует",VLOOKUP(A342,Торг!$A:$A,1,0)=A342),"Добавить","Есть"),"Новый")</f>
        <v>Есть</v>
      </c>
    </row>
    <row r="343" spans="1:18" ht="75" hidden="1">
      <c r="A343" s="238" t="s">
        <v>809</v>
      </c>
      <c r="B343" s="237">
        <v>132605</v>
      </c>
      <c r="C343" s="237">
        <v>166671</v>
      </c>
      <c r="D343" s="238" t="s">
        <v>1135</v>
      </c>
      <c r="E343" s="238" t="s">
        <v>741</v>
      </c>
      <c r="F343" s="238"/>
      <c r="G343" s="238"/>
      <c r="H343" s="238" t="s">
        <v>133</v>
      </c>
      <c r="I343" s="238" t="s">
        <v>250</v>
      </c>
      <c r="J343" s="239">
        <v>49720</v>
      </c>
      <c r="K343" s="239">
        <v>61490</v>
      </c>
      <c r="L343" s="238" t="s">
        <v>621</v>
      </c>
      <c r="M343" s="237">
        <v>1</v>
      </c>
      <c r="N343" s="237"/>
      <c r="O343" s="238"/>
      <c r="P343" s="88" t="str">
        <f t="shared" si="5"/>
        <v>1</v>
      </c>
      <c r="Q343" s="88" t="str">
        <f>IFERROR(INDEX(Торг!$F:$F,MATCH($B343,Торг!$B:$B,0)),"Отсутствует")</f>
        <v>Y</v>
      </c>
      <c r="R343" s="36" t="str">
        <f>IFERROR(IF(AND(Q343="Отсутствует",VLOOKUP(A343,Торг!$A:$A,1,0)=A343),"Добавить","Есть"),"Новый")</f>
        <v>Есть</v>
      </c>
    </row>
    <row r="344" spans="1:18" ht="75" hidden="1">
      <c r="A344" s="238" t="s">
        <v>809</v>
      </c>
      <c r="B344" s="237">
        <v>341506</v>
      </c>
      <c r="C344" s="237">
        <v>341506</v>
      </c>
      <c r="D344" s="238" t="s">
        <v>1136</v>
      </c>
      <c r="E344" s="238" t="s">
        <v>741</v>
      </c>
      <c r="F344" s="238"/>
      <c r="G344" s="238"/>
      <c r="H344" s="238" t="s">
        <v>133</v>
      </c>
      <c r="I344" s="238" t="s">
        <v>250</v>
      </c>
      <c r="J344" s="239">
        <v>50550</v>
      </c>
      <c r="K344" s="239">
        <v>62590</v>
      </c>
      <c r="L344" s="238" t="s">
        <v>621</v>
      </c>
      <c r="M344" s="237">
        <v>1</v>
      </c>
      <c r="N344" s="237"/>
      <c r="O344" s="238"/>
      <c r="P344" s="88" t="str">
        <f t="shared" si="5"/>
        <v>1</v>
      </c>
      <c r="Q344" s="88" t="str">
        <f>IFERROR(INDEX(Торг!$F:$F,MATCH($B344,Торг!$B:$B,0)),"Отсутствует")</f>
        <v>Y</v>
      </c>
      <c r="R344" s="36" t="str">
        <f>IFERROR(IF(AND(Q344="Отсутствует",VLOOKUP(A344,Торг!$A:$A,1,0)=A344),"Добавить","Есть"),"Новый")</f>
        <v>Есть</v>
      </c>
    </row>
    <row r="345" spans="1:18" ht="75" hidden="1">
      <c r="A345" s="238" t="s">
        <v>809</v>
      </c>
      <c r="B345" s="237">
        <v>132606</v>
      </c>
      <c r="C345" s="237">
        <v>166675</v>
      </c>
      <c r="D345" s="238" t="s">
        <v>1137</v>
      </c>
      <c r="E345" s="238" t="s">
        <v>741</v>
      </c>
      <c r="F345" s="238"/>
      <c r="G345" s="238"/>
      <c r="H345" s="238" t="s">
        <v>133</v>
      </c>
      <c r="I345" s="238" t="s">
        <v>250</v>
      </c>
      <c r="J345" s="239">
        <v>49720</v>
      </c>
      <c r="K345" s="239">
        <v>61490</v>
      </c>
      <c r="L345" s="238" t="s">
        <v>621</v>
      </c>
      <c r="M345" s="237">
        <v>1</v>
      </c>
      <c r="N345" s="237"/>
      <c r="O345" s="238"/>
      <c r="P345" s="88" t="str">
        <f t="shared" si="5"/>
        <v>1</v>
      </c>
      <c r="Q345" s="88" t="str">
        <f>IFERROR(INDEX(Торг!$F:$F,MATCH($B345,Торг!$B:$B,0)),"Отсутствует")</f>
        <v>Y</v>
      </c>
      <c r="R345" s="36" t="str">
        <f>IFERROR(IF(AND(Q345="Отсутствует",VLOOKUP(A345,Торг!$A:$A,1,0)=A345),"Добавить","Есть"),"Новый")</f>
        <v>Есть</v>
      </c>
    </row>
    <row r="346" spans="1:18" ht="75" hidden="1">
      <c r="A346" s="238" t="s">
        <v>809</v>
      </c>
      <c r="B346" s="237">
        <v>341505</v>
      </c>
      <c r="C346" s="237">
        <v>341505</v>
      </c>
      <c r="D346" s="238" t="s">
        <v>1138</v>
      </c>
      <c r="E346" s="238" t="s">
        <v>741</v>
      </c>
      <c r="F346" s="238"/>
      <c r="G346" s="238"/>
      <c r="H346" s="238" t="s">
        <v>133</v>
      </c>
      <c r="I346" s="238" t="s">
        <v>250</v>
      </c>
      <c r="J346" s="239">
        <v>50550</v>
      </c>
      <c r="K346" s="239">
        <v>62590</v>
      </c>
      <c r="L346" s="238" t="s">
        <v>621</v>
      </c>
      <c r="M346" s="237">
        <v>1</v>
      </c>
      <c r="N346" s="237"/>
      <c r="O346" s="238"/>
      <c r="P346" s="88" t="str">
        <f t="shared" si="5"/>
        <v>1</v>
      </c>
      <c r="Q346" s="88" t="str">
        <f>IFERROR(INDEX(Торг!$F:$F,MATCH($B346,Торг!$B:$B,0)),"Отсутствует")</f>
        <v>Y</v>
      </c>
      <c r="R346" s="36" t="str">
        <f>IFERROR(IF(AND(Q346="Отсутствует",VLOOKUP(A346,Торг!$A:$A,1,0)=A346),"Добавить","Есть"),"Новый")</f>
        <v>Есть</v>
      </c>
    </row>
    <row r="347" spans="1:18" ht="75" hidden="1">
      <c r="A347" s="238" t="s">
        <v>809</v>
      </c>
      <c r="B347" s="237">
        <v>132607</v>
      </c>
      <c r="C347" s="237">
        <v>166667</v>
      </c>
      <c r="D347" s="238" t="s">
        <v>1139</v>
      </c>
      <c r="E347" s="238" t="s">
        <v>741</v>
      </c>
      <c r="F347" s="238"/>
      <c r="G347" s="238"/>
      <c r="H347" s="238" t="s">
        <v>133</v>
      </c>
      <c r="I347" s="238" t="s">
        <v>250</v>
      </c>
      <c r="J347" s="239">
        <v>49720</v>
      </c>
      <c r="K347" s="239">
        <v>61490</v>
      </c>
      <c r="L347" s="238" t="s">
        <v>621</v>
      </c>
      <c r="M347" s="237">
        <v>1</v>
      </c>
      <c r="N347" s="237"/>
      <c r="O347" s="238"/>
      <c r="P347" s="88" t="str">
        <f t="shared" si="5"/>
        <v>1</v>
      </c>
      <c r="Q347" s="88" t="str">
        <f>IFERROR(INDEX(Торг!$F:$F,MATCH($B347,Торг!$B:$B,0)),"Отсутствует")</f>
        <v>Y</v>
      </c>
      <c r="R347" s="36" t="str">
        <f>IFERROR(IF(AND(Q347="Отсутствует",VLOOKUP(A347,Торг!$A:$A,1,0)=A347),"Добавить","Есть"),"Новый")</f>
        <v>Есть</v>
      </c>
    </row>
    <row r="348" spans="1:18" ht="75" hidden="1">
      <c r="A348" s="238" t="s">
        <v>809</v>
      </c>
      <c r="B348" s="237">
        <v>341497</v>
      </c>
      <c r="C348" s="237">
        <v>341497</v>
      </c>
      <c r="D348" s="238" t="s">
        <v>1140</v>
      </c>
      <c r="E348" s="238" t="s">
        <v>741</v>
      </c>
      <c r="F348" s="238"/>
      <c r="G348" s="238"/>
      <c r="H348" s="238" t="s">
        <v>133</v>
      </c>
      <c r="I348" s="238" t="s">
        <v>250</v>
      </c>
      <c r="J348" s="239">
        <v>50550</v>
      </c>
      <c r="K348" s="239">
        <v>62590</v>
      </c>
      <c r="L348" s="238" t="s">
        <v>621</v>
      </c>
      <c r="M348" s="237">
        <v>1</v>
      </c>
      <c r="N348" s="237"/>
      <c r="O348" s="238"/>
      <c r="P348" s="88" t="str">
        <f t="shared" si="5"/>
        <v>1</v>
      </c>
      <c r="Q348" s="88" t="str">
        <f>IFERROR(INDEX(Торг!$F:$F,MATCH($B348,Торг!$B:$B,0)),"Отсутствует")</f>
        <v>Y</v>
      </c>
      <c r="R348" s="36" t="str">
        <f>IFERROR(IF(AND(Q348="Отсутствует",VLOOKUP(A348,Торг!$A:$A,1,0)=A348),"Добавить","Есть"),"Новый")</f>
        <v>Есть</v>
      </c>
    </row>
    <row r="349" spans="1:18" ht="75" hidden="1">
      <c r="A349" s="238" t="s">
        <v>809</v>
      </c>
      <c r="B349" s="237">
        <v>132608</v>
      </c>
      <c r="C349" s="237">
        <v>166674</v>
      </c>
      <c r="D349" s="238" t="s">
        <v>1141</v>
      </c>
      <c r="E349" s="238" t="s">
        <v>741</v>
      </c>
      <c r="F349" s="238"/>
      <c r="G349" s="238"/>
      <c r="H349" s="238" t="s">
        <v>133</v>
      </c>
      <c r="I349" s="238" t="s">
        <v>250</v>
      </c>
      <c r="J349" s="239">
        <v>49720</v>
      </c>
      <c r="K349" s="239">
        <v>61490</v>
      </c>
      <c r="L349" s="238" t="s">
        <v>621</v>
      </c>
      <c r="M349" s="237">
        <v>1</v>
      </c>
      <c r="N349" s="237"/>
      <c r="O349" s="238"/>
      <c r="P349" s="88" t="str">
        <f t="shared" si="5"/>
        <v>1</v>
      </c>
      <c r="Q349" s="88" t="str">
        <f>IFERROR(INDEX(Торг!$F:$F,MATCH($B349,Торг!$B:$B,0)),"Отсутствует")</f>
        <v>Y</v>
      </c>
      <c r="R349" s="36" t="str">
        <f>IFERROR(IF(AND(Q349="Отсутствует",VLOOKUP(A349,Торг!$A:$A,1,0)=A349),"Добавить","Есть"),"Новый")</f>
        <v>Есть</v>
      </c>
    </row>
    <row r="350" spans="1:18" ht="75" hidden="1">
      <c r="A350" s="238" t="s">
        <v>809</v>
      </c>
      <c r="B350" s="237">
        <v>341498</v>
      </c>
      <c r="C350" s="237">
        <v>341498</v>
      </c>
      <c r="D350" s="238" t="s">
        <v>1142</v>
      </c>
      <c r="E350" s="238" t="s">
        <v>741</v>
      </c>
      <c r="F350" s="238"/>
      <c r="G350" s="238"/>
      <c r="H350" s="238" t="s">
        <v>133</v>
      </c>
      <c r="I350" s="238" t="s">
        <v>250</v>
      </c>
      <c r="J350" s="239">
        <v>50550</v>
      </c>
      <c r="K350" s="239">
        <v>62590</v>
      </c>
      <c r="L350" s="238" t="s">
        <v>621</v>
      </c>
      <c r="M350" s="237">
        <v>1</v>
      </c>
      <c r="N350" s="237"/>
      <c r="O350" s="238"/>
      <c r="P350" s="88" t="str">
        <f t="shared" ref="P350:P413" si="6">_xlfn.CONCAT(M350,IF(N350&lt;&gt;"",_xlfn.CONCAT("ск",N350),""))</f>
        <v>1</v>
      </c>
      <c r="Q350" s="88" t="str">
        <f>IFERROR(INDEX(Торг!$F:$F,MATCH($B350,Торг!$B:$B,0)),"Отсутствует")</f>
        <v>Y</v>
      </c>
      <c r="R350" s="36" t="str">
        <f>IFERROR(IF(AND(Q350="Отсутствует",VLOOKUP(A350,Торг!$A:$A,1,0)=A350),"Добавить","Есть"),"Новый")</f>
        <v>Есть</v>
      </c>
    </row>
    <row r="351" spans="1:18" ht="75" hidden="1">
      <c r="A351" s="238" t="s">
        <v>809</v>
      </c>
      <c r="B351" s="237">
        <v>132609</v>
      </c>
      <c r="C351" s="237">
        <v>166670</v>
      </c>
      <c r="D351" s="238" t="s">
        <v>1143</v>
      </c>
      <c r="E351" s="238" t="s">
        <v>741</v>
      </c>
      <c r="F351" s="238"/>
      <c r="G351" s="238"/>
      <c r="H351" s="238" t="s">
        <v>133</v>
      </c>
      <c r="I351" s="238" t="s">
        <v>250</v>
      </c>
      <c r="J351" s="239">
        <v>49720</v>
      </c>
      <c r="K351" s="239">
        <v>61490</v>
      </c>
      <c r="L351" s="238" t="s">
        <v>621</v>
      </c>
      <c r="M351" s="237">
        <v>1</v>
      </c>
      <c r="N351" s="237"/>
      <c r="O351" s="238"/>
      <c r="P351" s="88" t="str">
        <f t="shared" si="6"/>
        <v>1</v>
      </c>
      <c r="Q351" s="88" t="str">
        <f>IFERROR(INDEX(Торг!$F:$F,MATCH($B351,Торг!$B:$B,0)),"Отсутствует")</f>
        <v>Y</v>
      </c>
      <c r="R351" s="36" t="str">
        <f>IFERROR(IF(AND(Q351="Отсутствует",VLOOKUP(A351,Торг!$A:$A,1,0)=A351),"Добавить","Есть"),"Новый")</f>
        <v>Есть</v>
      </c>
    </row>
    <row r="352" spans="1:18" ht="75" hidden="1">
      <c r="A352" s="238" t="s">
        <v>809</v>
      </c>
      <c r="B352" s="237">
        <v>341499</v>
      </c>
      <c r="C352" s="237">
        <v>341499</v>
      </c>
      <c r="D352" s="238" t="s">
        <v>1144</v>
      </c>
      <c r="E352" s="238" t="s">
        <v>741</v>
      </c>
      <c r="F352" s="238"/>
      <c r="G352" s="238"/>
      <c r="H352" s="238" t="s">
        <v>133</v>
      </c>
      <c r="I352" s="238" t="s">
        <v>250</v>
      </c>
      <c r="J352" s="239">
        <v>50550</v>
      </c>
      <c r="K352" s="239">
        <v>62590</v>
      </c>
      <c r="L352" s="238" t="s">
        <v>621</v>
      </c>
      <c r="M352" s="237">
        <v>1</v>
      </c>
      <c r="N352" s="237"/>
      <c r="O352" s="238"/>
      <c r="P352" s="88" t="str">
        <f t="shared" si="6"/>
        <v>1</v>
      </c>
      <c r="Q352" s="88" t="str">
        <f>IFERROR(INDEX(Торг!$F:$F,MATCH($B352,Торг!$B:$B,0)),"Отсутствует")</f>
        <v>Y</v>
      </c>
      <c r="R352" s="36" t="str">
        <f>IFERROR(IF(AND(Q352="Отсутствует",VLOOKUP(A352,Торг!$A:$A,1,0)=A352),"Добавить","Есть"),"Новый")</f>
        <v>Есть</v>
      </c>
    </row>
    <row r="353" spans="1:18" ht="75" hidden="1">
      <c r="A353" s="238" t="s">
        <v>809</v>
      </c>
      <c r="B353" s="237">
        <v>132610</v>
      </c>
      <c r="C353" s="237">
        <v>166672</v>
      </c>
      <c r="D353" s="238" t="s">
        <v>1145</v>
      </c>
      <c r="E353" s="238" t="s">
        <v>741</v>
      </c>
      <c r="F353" s="238"/>
      <c r="G353" s="238"/>
      <c r="H353" s="238" t="s">
        <v>133</v>
      </c>
      <c r="I353" s="238" t="s">
        <v>250</v>
      </c>
      <c r="J353" s="239">
        <v>49720</v>
      </c>
      <c r="K353" s="239">
        <v>61490</v>
      </c>
      <c r="L353" s="238" t="s">
        <v>621</v>
      </c>
      <c r="M353" s="237">
        <v>1</v>
      </c>
      <c r="N353" s="237"/>
      <c r="O353" s="238"/>
      <c r="P353" s="88" t="str">
        <f t="shared" si="6"/>
        <v>1</v>
      </c>
      <c r="Q353" s="88" t="str">
        <f>IFERROR(INDEX(Торг!$F:$F,MATCH($B353,Торг!$B:$B,0)),"Отсутствует")</f>
        <v>Y</v>
      </c>
      <c r="R353" s="36" t="str">
        <f>IFERROR(IF(AND(Q353="Отсутствует",VLOOKUP(A353,Торг!$A:$A,1,0)=A353),"Добавить","Есть"),"Новый")</f>
        <v>Есть</v>
      </c>
    </row>
    <row r="354" spans="1:18" ht="75" hidden="1">
      <c r="A354" s="238" t="s">
        <v>809</v>
      </c>
      <c r="B354" s="237">
        <v>341500</v>
      </c>
      <c r="C354" s="237">
        <v>341500</v>
      </c>
      <c r="D354" s="238" t="s">
        <v>1146</v>
      </c>
      <c r="E354" s="238" t="s">
        <v>741</v>
      </c>
      <c r="F354" s="238"/>
      <c r="G354" s="238"/>
      <c r="H354" s="238" t="s">
        <v>133</v>
      </c>
      <c r="I354" s="238" t="s">
        <v>250</v>
      </c>
      <c r="J354" s="239">
        <v>50550</v>
      </c>
      <c r="K354" s="239">
        <v>62590</v>
      </c>
      <c r="L354" s="238" t="s">
        <v>621</v>
      </c>
      <c r="M354" s="237">
        <v>1</v>
      </c>
      <c r="N354" s="237"/>
      <c r="O354" s="238"/>
      <c r="P354" s="88" t="str">
        <f t="shared" si="6"/>
        <v>1</v>
      </c>
      <c r="Q354" s="88" t="str">
        <f>IFERROR(INDEX(Торг!$F:$F,MATCH($B354,Торг!$B:$B,0)),"Отсутствует")</f>
        <v>Y</v>
      </c>
      <c r="R354" s="36" t="str">
        <f>IFERROR(IF(AND(Q354="Отсутствует",VLOOKUP(A354,Торг!$A:$A,1,0)=A354),"Добавить","Есть"),"Новый")</f>
        <v>Есть</v>
      </c>
    </row>
    <row r="355" spans="1:18" ht="75" hidden="1">
      <c r="A355" s="238" t="s">
        <v>809</v>
      </c>
      <c r="B355" s="237">
        <v>132611</v>
      </c>
      <c r="C355" s="237">
        <v>166673</v>
      </c>
      <c r="D355" s="238" t="s">
        <v>1147</v>
      </c>
      <c r="E355" s="238" t="s">
        <v>741</v>
      </c>
      <c r="F355" s="238"/>
      <c r="G355" s="238"/>
      <c r="H355" s="238" t="s">
        <v>133</v>
      </c>
      <c r="I355" s="238" t="s">
        <v>250</v>
      </c>
      <c r="J355" s="239">
        <v>49720</v>
      </c>
      <c r="K355" s="239">
        <v>61490</v>
      </c>
      <c r="L355" s="238" t="s">
        <v>621</v>
      </c>
      <c r="M355" s="237">
        <v>1</v>
      </c>
      <c r="N355" s="237"/>
      <c r="O355" s="238"/>
      <c r="P355" s="88" t="str">
        <f t="shared" si="6"/>
        <v>1</v>
      </c>
      <c r="Q355" s="88" t="str">
        <f>IFERROR(INDEX(Торг!$F:$F,MATCH($B355,Торг!$B:$B,0)),"Отсутствует")</f>
        <v>Y</v>
      </c>
      <c r="R355" s="36" t="str">
        <f>IFERROR(IF(AND(Q355="Отсутствует",VLOOKUP(A355,Торг!$A:$A,1,0)=A355),"Добавить","Есть"),"Новый")</f>
        <v>Есть</v>
      </c>
    </row>
    <row r="356" spans="1:18" ht="75" hidden="1">
      <c r="A356" s="238" t="s">
        <v>809</v>
      </c>
      <c r="B356" s="237">
        <v>341503</v>
      </c>
      <c r="C356" s="237">
        <v>341503</v>
      </c>
      <c r="D356" s="238" t="s">
        <v>1148</v>
      </c>
      <c r="E356" s="238" t="s">
        <v>741</v>
      </c>
      <c r="F356" s="238"/>
      <c r="G356" s="238"/>
      <c r="H356" s="238" t="s">
        <v>133</v>
      </c>
      <c r="I356" s="238" t="s">
        <v>250</v>
      </c>
      <c r="J356" s="239">
        <v>50550</v>
      </c>
      <c r="K356" s="239">
        <v>62590</v>
      </c>
      <c r="L356" s="238" t="s">
        <v>621</v>
      </c>
      <c r="M356" s="237">
        <v>1</v>
      </c>
      <c r="N356" s="237"/>
      <c r="O356" s="238"/>
      <c r="P356" s="88" t="str">
        <f t="shared" si="6"/>
        <v>1</v>
      </c>
      <c r="Q356" s="88" t="str">
        <f>IFERROR(INDEX(Торг!$F:$F,MATCH($B356,Торг!$B:$B,0)),"Отсутствует")</f>
        <v>Y</v>
      </c>
      <c r="R356" s="36" t="str">
        <f>IFERROR(IF(AND(Q356="Отсутствует",VLOOKUP(A356,Торг!$A:$A,1,0)=A356),"Добавить","Есть"),"Новый")</f>
        <v>Есть</v>
      </c>
    </row>
    <row r="357" spans="1:18" ht="75" hidden="1">
      <c r="A357" s="238" t="s">
        <v>809</v>
      </c>
      <c r="B357" s="237">
        <v>132612</v>
      </c>
      <c r="C357" s="237">
        <v>166669</v>
      </c>
      <c r="D357" s="238" t="s">
        <v>1149</v>
      </c>
      <c r="E357" s="238" t="s">
        <v>741</v>
      </c>
      <c r="F357" s="238"/>
      <c r="G357" s="238"/>
      <c r="H357" s="238" t="s">
        <v>133</v>
      </c>
      <c r="I357" s="238" t="s">
        <v>250</v>
      </c>
      <c r="J357" s="239">
        <v>49720</v>
      </c>
      <c r="K357" s="239">
        <v>61490</v>
      </c>
      <c r="L357" s="238" t="s">
        <v>621</v>
      </c>
      <c r="M357" s="237">
        <v>1</v>
      </c>
      <c r="N357" s="237"/>
      <c r="O357" s="238"/>
      <c r="P357" s="88" t="str">
        <f t="shared" si="6"/>
        <v>1</v>
      </c>
      <c r="Q357" s="88" t="str">
        <f>IFERROR(INDEX(Торг!$F:$F,MATCH($B357,Торг!$B:$B,0)),"Отсутствует")</f>
        <v>Y</v>
      </c>
      <c r="R357" s="36" t="str">
        <f>IFERROR(IF(AND(Q357="Отсутствует",VLOOKUP(A357,Торг!$A:$A,1,0)=A357),"Добавить","Есть"),"Новый")</f>
        <v>Есть</v>
      </c>
    </row>
    <row r="358" spans="1:18" ht="75" hidden="1">
      <c r="A358" s="238" t="s">
        <v>809</v>
      </c>
      <c r="B358" s="237">
        <v>341501</v>
      </c>
      <c r="C358" s="237">
        <v>341501</v>
      </c>
      <c r="D358" s="238" t="s">
        <v>1150</v>
      </c>
      <c r="E358" s="238" t="s">
        <v>741</v>
      </c>
      <c r="F358" s="238"/>
      <c r="G358" s="238"/>
      <c r="H358" s="238" t="s">
        <v>133</v>
      </c>
      <c r="I358" s="238" t="s">
        <v>250</v>
      </c>
      <c r="J358" s="239">
        <v>50550</v>
      </c>
      <c r="K358" s="239">
        <v>62590</v>
      </c>
      <c r="L358" s="238" t="s">
        <v>621</v>
      </c>
      <c r="M358" s="237">
        <v>1</v>
      </c>
      <c r="N358" s="237"/>
      <c r="O358" s="238"/>
      <c r="P358" s="88" t="str">
        <f t="shared" si="6"/>
        <v>1</v>
      </c>
      <c r="Q358" s="88" t="str">
        <f>IFERROR(INDEX(Торг!$F:$F,MATCH($B358,Торг!$B:$B,0)),"Отсутствует")</f>
        <v>Y</v>
      </c>
      <c r="R358" s="36" t="str">
        <f>IFERROR(IF(AND(Q358="Отсутствует",VLOOKUP(A358,Торг!$A:$A,1,0)=A358),"Добавить","Есть"),"Новый")</f>
        <v>Есть</v>
      </c>
    </row>
    <row r="359" spans="1:18" ht="75" hidden="1">
      <c r="A359" s="238" t="s">
        <v>809</v>
      </c>
      <c r="B359" s="237">
        <v>132613</v>
      </c>
      <c r="C359" s="237">
        <v>166668</v>
      </c>
      <c r="D359" s="238" t="s">
        <v>1151</v>
      </c>
      <c r="E359" s="238" t="s">
        <v>741</v>
      </c>
      <c r="F359" s="238"/>
      <c r="G359" s="238"/>
      <c r="H359" s="238" t="s">
        <v>133</v>
      </c>
      <c r="I359" s="238" t="s">
        <v>250</v>
      </c>
      <c r="J359" s="239">
        <v>49720</v>
      </c>
      <c r="K359" s="239">
        <v>61490</v>
      </c>
      <c r="L359" s="238" t="s">
        <v>621</v>
      </c>
      <c r="M359" s="237">
        <v>1</v>
      </c>
      <c r="N359" s="237"/>
      <c r="O359" s="238"/>
      <c r="P359" s="88" t="str">
        <f t="shared" si="6"/>
        <v>1</v>
      </c>
      <c r="Q359" s="88" t="str">
        <f>IFERROR(INDEX(Торг!$F:$F,MATCH($B359,Торг!$B:$B,0)),"Отсутствует")</f>
        <v>Y</v>
      </c>
      <c r="R359" s="36" t="str">
        <f>IFERROR(IF(AND(Q359="Отсутствует",VLOOKUP(A359,Торг!$A:$A,1,0)=A359),"Добавить","Есть"),"Новый")</f>
        <v>Есть</v>
      </c>
    </row>
    <row r="360" spans="1:18" ht="60" hidden="1">
      <c r="A360" s="238" t="s">
        <v>809</v>
      </c>
      <c r="B360" s="237">
        <v>341502</v>
      </c>
      <c r="C360" s="237">
        <v>341502</v>
      </c>
      <c r="D360" s="238" t="s">
        <v>1152</v>
      </c>
      <c r="E360" s="238" t="s">
        <v>741</v>
      </c>
      <c r="F360" s="238"/>
      <c r="G360" s="238"/>
      <c r="H360" s="238" t="s">
        <v>133</v>
      </c>
      <c r="I360" s="238" t="s">
        <v>250</v>
      </c>
      <c r="J360" s="239">
        <v>50550</v>
      </c>
      <c r="K360" s="239">
        <v>62590</v>
      </c>
      <c r="L360" s="238" t="s">
        <v>621</v>
      </c>
      <c r="M360" s="237">
        <v>1</v>
      </c>
      <c r="N360" s="237"/>
      <c r="O360" s="238"/>
      <c r="P360" s="88" t="str">
        <f t="shared" si="6"/>
        <v>1</v>
      </c>
      <c r="Q360" s="88" t="str">
        <f>IFERROR(INDEX(Торг!$F:$F,MATCH($B360,Торг!$B:$B,0)),"Отсутствует")</f>
        <v>Y</v>
      </c>
      <c r="R360" s="36" t="str">
        <f>IFERROR(IF(AND(Q360="Отсутствует",VLOOKUP(A360,Торг!$A:$A,1,0)=A360),"Добавить","Есть"),"Новый")</f>
        <v>Есть</v>
      </c>
    </row>
    <row r="361" spans="1:18" ht="75" hidden="1">
      <c r="A361" s="238" t="s">
        <v>809</v>
      </c>
      <c r="B361" s="237">
        <v>132614</v>
      </c>
      <c r="C361" s="237">
        <v>166666</v>
      </c>
      <c r="D361" s="238" t="s">
        <v>1153</v>
      </c>
      <c r="E361" s="238" t="s">
        <v>741</v>
      </c>
      <c r="F361" s="238"/>
      <c r="G361" s="238"/>
      <c r="H361" s="238" t="s">
        <v>133</v>
      </c>
      <c r="I361" s="238" t="s">
        <v>250</v>
      </c>
      <c r="J361" s="239">
        <v>49720</v>
      </c>
      <c r="K361" s="239">
        <v>61490</v>
      </c>
      <c r="L361" s="238" t="s">
        <v>621</v>
      </c>
      <c r="M361" s="237">
        <v>1</v>
      </c>
      <c r="N361" s="237"/>
      <c r="O361" s="238"/>
      <c r="P361" s="88" t="str">
        <f t="shared" si="6"/>
        <v>1</v>
      </c>
      <c r="Q361" s="88" t="str">
        <f>IFERROR(INDEX(Торг!$F:$F,MATCH($B361,Торг!$B:$B,0)),"Отсутствует")</f>
        <v>Y</v>
      </c>
      <c r="R361" s="36" t="str">
        <f>IFERROR(IF(AND(Q361="Отсутствует",VLOOKUP(A361,Торг!$A:$A,1,0)=A361),"Добавить","Есть"),"Новый")</f>
        <v>Есть</v>
      </c>
    </row>
    <row r="362" spans="1:18" ht="75" hidden="1">
      <c r="A362" s="238" t="s">
        <v>809</v>
      </c>
      <c r="B362" s="237">
        <v>341504</v>
      </c>
      <c r="C362" s="237">
        <v>341504</v>
      </c>
      <c r="D362" s="238" t="s">
        <v>1154</v>
      </c>
      <c r="E362" s="238" t="s">
        <v>741</v>
      </c>
      <c r="F362" s="238"/>
      <c r="G362" s="238"/>
      <c r="H362" s="238" t="s">
        <v>133</v>
      </c>
      <c r="I362" s="238" t="s">
        <v>250</v>
      </c>
      <c r="J362" s="239">
        <v>50550</v>
      </c>
      <c r="K362" s="239">
        <v>62590</v>
      </c>
      <c r="L362" s="238" t="s">
        <v>621</v>
      </c>
      <c r="M362" s="237">
        <v>1</v>
      </c>
      <c r="N362" s="237"/>
      <c r="O362" s="238"/>
      <c r="P362" s="88" t="str">
        <f t="shared" si="6"/>
        <v>1</v>
      </c>
      <c r="Q362" s="88" t="str">
        <f>IFERROR(INDEX(Торг!$F:$F,MATCH($B362,Торг!$B:$B,0)),"Отсутствует")</f>
        <v>Y</v>
      </c>
      <c r="R362" s="36" t="str">
        <f>IFERROR(IF(AND(Q362="Отсутствует",VLOOKUP(A362,Торг!$A:$A,1,0)=A362),"Добавить","Есть"),"Новый")</f>
        <v>Есть</v>
      </c>
    </row>
    <row r="363" spans="1:18" ht="75" hidden="1">
      <c r="A363" s="238" t="s">
        <v>809</v>
      </c>
      <c r="B363" s="237">
        <v>132615</v>
      </c>
      <c r="C363" s="237">
        <v>166665</v>
      </c>
      <c r="D363" s="238" t="s">
        <v>1155</v>
      </c>
      <c r="E363" s="238" t="s">
        <v>741</v>
      </c>
      <c r="F363" s="238"/>
      <c r="G363" s="238"/>
      <c r="H363" s="238" t="s">
        <v>133</v>
      </c>
      <c r="I363" s="238" t="s">
        <v>250</v>
      </c>
      <c r="J363" s="239">
        <v>49720</v>
      </c>
      <c r="K363" s="239">
        <v>61490</v>
      </c>
      <c r="L363" s="238" t="s">
        <v>621</v>
      </c>
      <c r="M363" s="237">
        <v>1</v>
      </c>
      <c r="N363" s="237"/>
      <c r="O363" s="238"/>
      <c r="P363" s="88" t="str">
        <f t="shared" si="6"/>
        <v>1</v>
      </c>
      <c r="Q363" s="88" t="str">
        <f>IFERROR(INDEX(Торг!$F:$F,MATCH($B363,Торг!$B:$B,0)),"Отсутствует")</f>
        <v>Y</v>
      </c>
      <c r="R363" s="36" t="str">
        <f>IFERROR(IF(AND(Q363="Отсутствует",VLOOKUP(A363,Торг!$A:$A,1,0)=A363),"Добавить","Есть"),"Новый")</f>
        <v>Есть</v>
      </c>
    </row>
    <row r="364" spans="1:18" ht="75" hidden="1">
      <c r="A364" s="238" t="s">
        <v>809</v>
      </c>
      <c r="B364" s="237">
        <v>341496</v>
      </c>
      <c r="C364" s="237">
        <v>341496</v>
      </c>
      <c r="D364" s="238" t="s">
        <v>1156</v>
      </c>
      <c r="E364" s="238" t="s">
        <v>741</v>
      </c>
      <c r="F364" s="238"/>
      <c r="G364" s="238"/>
      <c r="H364" s="238" t="s">
        <v>133</v>
      </c>
      <c r="I364" s="238" t="s">
        <v>250</v>
      </c>
      <c r="J364" s="239">
        <v>50550</v>
      </c>
      <c r="K364" s="239">
        <v>62590</v>
      </c>
      <c r="L364" s="238" t="s">
        <v>621</v>
      </c>
      <c r="M364" s="237">
        <v>1</v>
      </c>
      <c r="N364" s="237"/>
      <c r="O364" s="238"/>
      <c r="P364" s="88" t="str">
        <f t="shared" si="6"/>
        <v>1</v>
      </c>
      <c r="Q364" s="88" t="str">
        <f>IFERROR(INDEX(Торг!$F:$F,MATCH($B364,Торг!$B:$B,0)),"Отсутствует")</f>
        <v>Y</v>
      </c>
      <c r="R364" s="36" t="str">
        <f>IFERROR(IF(AND(Q364="Отсутствует",VLOOKUP(A364,Торг!$A:$A,1,0)=A364),"Добавить","Есть"),"Новый")</f>
        <v>Есть</v>
      </c>
    </row>
    <row r="365" spans="1:18" ht="75" hidden="1">
      <c r="A365" s="238" t="s">
        <v>809</v>
      </c>
      <c r="B365" s="237">
        <v>132616</v>
      </c>
      <c r="C365" s="237">
        <v>166662</v>
      </c>
      <c r="D365" s="238" t="s">
        <v>1157</v>
      </c>
      <c r="E365" s="238" t="s">
        <v>741</v>
      </c>
      <c r="F365" s="238"/>
      <c r="G365" s="238"/>
      <c r="H365" s="238" t="s">
        <v>133</v>
      </c>
      <c r="I365" s="238" t="s">
        <v>250</v>
      </c>
      <c r="J365" s="239">
        <v>48850</v>
      </c>
      <c r="K365" s="239">
        <v>60490</v>
      </c>
      <c r="L365" s="238" t="s">
        <v>621</v>
      </c>
      <c r="M365" s="237">
        <v>1</v>
      </c>
      <c r="N365" s="237"/>
      <c r="O365" s="238"/>
      <c r="P365" s="88" t="str">
        <f t="shared" si="6"/>
        <v>1</v>
      </c>
      <c r="Q365" s="88" t="str">
        <f>IFERROR(INDEX(Торг!$F:$F,MATCH($B365,Торг!$B:$B,0)),"Отсутствует")</f>
        <v>Y</v>
      </c>
      <c r="R365" s="36" t="str">
        <f>IFERROR(IF(AND(Q365="Отсутствует",VLOOKUP(A365,Торг!$A:$A,1,0)=A365),"Добавить","Есть"),"Новый")</f>
        <v>Есть</v>
      </c>
    </row>
    <row r="366" spans="1:18" ht="75" hidden="1">
      <c r="A366" s="238" t="s">
        <v>809</v>
      </c>
      <c r="B366" s="237">
        <v>341495</v>
      </c>
      <c r="C366" s="237">
        <v>341495</v>
      </c>
      <c r="D366" s="238" t="s">
        <v>1158</v>
      </c>
      <c r="E366" s="238" t="s">
        <v>741</v>
      </c>
      <c r="F366" s="238"/>
      <c r="G366" s="238"/>
      <c r="H366" s="238" t="s">
        <v>133</v>
      </c>
      <c r="I366" s="238" t="s">
        <v>250</v>
      </c>
      <c r="J366" s="239">
        <v>49680</v>
      </c>
      <c r="K366" s="239">
        <v>61490</v>
      </c>
      <c r="L366" s="238" t="s">
        <v>621</v>
      </c>
      <c r="M366" s="237">
        <v>1</v>
      </c>
      <c r="N366" s="237"/>
      <c r="O366" s="238"/>
      <c r="P366" s="88" t="str">
        <f t="shared" si="6"/>
        <v>1</v>
      </c>
      <c r="Q366" s="88" t="str">
        <f>IFERROR(INDEX(Торг!$F:$F,MATCH($B366,Торг!$B:$B,0)),"Отсутствует")</f>
        <v>Y</v>
      </c>
      <c r="R366" s="36" t="str">
        <f>IFERROR(IF(AND(Q366="Отсутствует",VLOOKUP(A366,Торг!$A:$A,1,0)=A366),"Добавить","Есть"),"Новый")</f>
        <v>Есть</v>
      </c>
    </row>
    <row r="367" spans="1:18" ht="60" hidden="1">
      <c r="A367" s="238" t="s">
        <v>746</v>
      </c>
      <c r="B367" s="237">
        <v>341513</v>
      </c>
      <c r="C367" s="237">
        <v>341513</v>
      </c>
      <c r="D367" s="238" t="s">
        <v>1159</v>
      </c>
      <c r="E367" s="238" t="s">
        <v>741</v>
      </c>
      <c r="F367" s="238"/>
      <c r="G367" s="238"/>
      <c r="H367" s="238" t="s">
        <v>107</v>
      </c>
      <c r="I367" s="238" t="s">
        <v>250</v>
      </c>
      <c r="J367" s="239">
        <v>41120</v>
      </c>
      <c r="K367" s="239">
        <v>50890</v>
      </c>
      <c r="L367" s="238" t="s">
        <v>622</v>
      </c>
      <c r="M367" s="237">
        <v>1</v>
      </c>
      <c r="N367" s="237"/>
      <c r="O367" s="238"/>
      <c r="P367" s="88" t="str">
        <f t="shared" si="6"/>
        <v>1</v>
      </c>
      <c r="Q367" s="88" t="str">
        <f>IFERROR(INDEX(Торг!$F:$F,MATCH($B367,Торг!$B:$B,0)),"Отсутствует")</f>
        <v>Y</v>
      </c>
      <c r="R367" s="36" t="str">
        <f>IFERROR(IF(AND(Q367="Отсутствует",VLOOKUP(A367,Торг!$A:$A,1,0)=A367),"Добавить","Есть"),"Новый")</f>
        <v>Есть</v>
      </c>
    </row>
    <row r="368" spans="1:18" ht="60" hidden="1">
      <c r="A368" s="238" t="s">
        <v>746</v>
      </c>
      <c r="B368" s="237">
        <v>341526</v>
      </c>
      <c r="C368" s="237">
        <v>341526</v>
      </c>
      <c r="D368" s="238" t="s">
        <v>1160</v>
      </c>
      <c r="E368" s="238" t="s">
        <v>741</v>
      </c>
      <c r="F368" s="238"/>
      <c r="G368" s="238"/>
      <c r="H368" s="238" t="s">
        <v>107</v>
      </c>
      <c r="I368" s="238" t="s">
        <v>250</v>
      </c>
      <c r="J368" s="239">
        <v>41950</v>
      </c>
      <c r="K368" s="239">
        <v>51890</v>
      </c>
      <c r="L368" s="238" t="s">
        <v>622</v>
      </c>
      <c r="M368" s="237">
        <v>1</v>
      </c>
      <c r="N368" s="237"/>
      <c r="O368" s="238"/>
      <c r="P368" s="88" t="str">
        <f t="shared" si="6"/>
        <v>1</v>
      </c>
      <c r="Q368" s="88" t="str">
        <f>IFERROR(INDEX(Торг!$F:$F,MATCH($B368,Торг!$B:$B,0)),"Отсутствует")</f>
        <v>Y</v>
      </c>
      <c r="R368" s="36" t="str">
        <f>IFERROR(IF(AND(Q368="Отсутствует",VLOOKUP(A368,Торг!$A:$A,1,0)=A368),"Добавить","Есть"),"Новый")</f>
        <v>Есть</v>
      </c>
    </row>
    <row r="369" spans="1:18" ht="60" hidden="1">
      <c r="A369" s="238" t="s">
        <v>746</v>
      </c>
      <c r="B369" s="237">
        <v>341525</v>
      </c>
      <c r="C369" s="237">
        <v>341525</v>
      </c>
      <c r="D369" s="238" t="s">
        <v>1161</v>
      </c>
      <c r="E369" s="238" t="s">
        <v>741</v>
      </c>
      <c r="F369" s="238"/>
      <c r="G369" s="238"/>
      <c r="H369" s="238" t="s">
        <v>107</v>
      </c>
      <c r="I369" s="238" t="s">
        <v>250</v>
      </c>
      <c r="J369" s="239">
        <v>41120</v>
      </c>
      <c r="K369" s="239">
        <v>50890</v>
      </c>
      <c r="L369" s="238" t="s">
        <v>622</v>
      </c>
      <c r="M369" s="237">
        <v>1</v>
      </c>
      <c r="N369" s="237"/>
      <c r="O369" s="238"/>
      <c r="P369" s="88" t="str">
        <f t="shared" si="6"/>
        <v>1</v>
      </c>
      <c r="Q369" s="88" t="str">
        <f>IFERROR(INDEX(Торг!$F:$F,MATCH($B369,Торг!$B:$B,0)),"Отсутствует")</f>
        <v>Y</v>
      </c>
      <c r="R369" s="36" t="str">
        <f>IFERROR(IF(AND(Q369="Отсутствует",VLOOKUP(A369,Торг!$A:$A,1,0)=A369),"Добавить","Есть"),"Новый")</f>
        <v>Есть</v>
      </c>
    </row>
    <row r="370" spans="1:18" ht="60" hidden="1">
      <c r="A370" s="238" t="s">
        <v>746</v>
      </c>
      <c r="B370" s="237">
        <v>341538</v>
      </c>
      <c r="C370" s="237">
        <v>341538</v>
      </c>
      <c r="D370" s="238" t="s">
        <v>1162</v>
      </c>
      <c r="E370" s="238" t="s">
        <v>741</v>
      </c>
      <c r="F370" s="238"/>
      <c r="G370" s="238"/>
      <c r="H370" s="238" t="s">
        <v>107</v>
      </c>
      <c r="I370" s="238" t="s">
        <v>250</v>
      </c>
      <c r="J370" s="239">
        <v>41950</v>
      </c>
      <c r="K370" s="239">
        <v>51890</v>
      </c>
      <c r="L370" s="238" t="s">
        <v>622</v>
      </c>
      <c r="M370" s="237">
        <v>1</v>
      </c>
      <c r="N370" s="237"/>
      <c r="O370" s="238"/>
      <c r="P370" s="88" t="str">
        <f t="shared" si="6"/>
        <v>1</v>
      </c>
      <c r="Q370" s="88" t="str">
        <f>IFERROR(INDEX(Торг!$F:$F,MATCH($B370,Торг!$B:$B,0)),"Отсутствует")</f>
        <v>Y</v>
      </c>
      <c r="R370" s="36" t="str">
        <f>IFERROR(IF(AND(Q370="Отсутствует",VLOOKUP(A370,Торг!$A:$A,1,0)=A370),"Добавить","Есть"),"Новый")</f>
        <v>Есть</v>
      </c>
    </row>
    <row r="371" spans="1:18" ht="60" hidden="1">
      <c r="A371" s="238" t="s">
        <v>746</v>
      </c>
      <c r="B371" s="237">
        <v>341524</v>
      </c>
      <c r="C371" s="237">
        <v>341524</v>
      </c>
      <c r="D371" s="238" t="s">
        <v>1163</v>
      </c>
      <c r="E371" s="238" t="s">
        <v>741</v>
      </c>
      <c r="F371" s="238"/>
      <c r="G371" s="238"/>
      <c r="H371" s="238" t="s">
        <v>107</v>
      </c>
      <c r="I371" s="238" t="s">
        <v>250</v>
      </c>
      <c r="J371" s="239">
        <v>41120</v>
      </c>
      <c r="K371" s="239">
        <v>50890</v>
      </c>
      <c r="L371" s="238" t="s">
        <v>622</v>
      </c>
      <c r="M371" s="237">
        <v>1</v>
      </c>
      <c r="N371" s="237"/>
      <c r="O371" s="238"/>
      <c r="P371" s="88" t="str">
        <f t="shared" si="6"/>
        <v>1</v>
      </c>
      <c r="Q371" s="88" t="str">
        <f>IFERROR(INDEX(Торг!$F:$F,MATCH($B371,Торг!$B:$B,0)),"Отсутствует")</f>
        <v>Y</v>
      </c>
      <c r="R371" s="36" t="str">
        <f>IFERROR(IF(AND(Q371="Отсутствует",VLOOKUP(A371,Торг!$A:$A,1,0)=A371),"Добавить","Есть"),"Новый")</f>
        <v>Есть</v>
      </c>
    </row>
    <row r="372" spans="1:18" ht="60" hidden="1">
      <c r="A372" s="238" t="s">
        <v>746</v>
      </c>
      <c r="B372" s="237">
        <v>341537</v>
      </c>
      <c r="C372" s="237">
        <v>341537</v>
      </c>
      <c r="D372" s="238" t="s">
        <v>1164</v>
      </c>
      <c r="E372" s="238" t="s">
        <v>741</v>
      </c>
      <c r="F372" s="238"/>
      <c r="G372" s="238"/>
      <c r="H372" s="238" t="s">
        <v>107</v>
      </c>
      <c r="I372" s="238" t="s">
        <v>250</v>
      </c>
      <c r="J372" s="239">
        <v>41950</v>
      </c>
      <c r="K372" s="239">
        <v>51890</v>
      </c>
      <c r="L372" s="238" t="s">
        <v>622</v>
      </c>
      <c r="M372" s="237">
        <v>1</v>
      </c>
      <c r="N372" s="237"/>
      <c r="O372" s="238"/>
      <c r="P372" s="88" t="str">
        <f t="shared" si="6"/>
        <v>1</v>
      </c>
      <c r="Q372" s="88" t="str">
        <f>IFERROR(INDEX(Торг!$F:$F,MATCH($B372,Торг!$B:$B,0)),"Отсутствует")</f>
        <v>Y</v>
      </c>
      <c r="R372" s="36" t="str">
        <f>IFERROR(IF(AND(Q372="Отсутствует",VLOOKUP(A372,Торг!$A:$A,1,0)=A372),"Добавить","Есть"),"Новый")</f>
        <v>Есть</v>
      </c>
    </row>
    <row r="373" spans="1:18" ht="60" hidden="1">
      <c r="A373" s="238" t="s">
        <v>746</v>
      </c>
      <c r="B373" s="237">
        <v>341516</v>
      </c>
      <c r="C373" s="237">
        <v>341516</v>
      </c>
      <c r="D373" s="238" t="s">
        <v>1165</v>
      </c>
      <c r="E373" s="238" t="s">
        <v>741</v>
      </c>
      <c r="F373" s="238"/>
      <c r="G373" s="238"/>
      <c r="H373" s="238" t="s">
        <v>107</v>
      </c>
      <c r="I373" s="238" t="s">
        <v>250</v>
      </c>
      <c r="J373" s="239">
        <v>41120</v>
      </c>
      <c r="K373" s="239">
        <v>50890</v>
      </c>
      <c r="L373" s="238" t="s">
        <v>622</v>
      </c>
      <c r="M373" s="237">
        <v>1</v>
      </c>
      <c r="N373" s="237"/>
      <c r="O373" s="238"/>
      <c r="P373" s="88" t="str">
        <f t="shared" si="6"/>
        <v>1</v>
      </c>
      <c r="Q373" s="88" t="str">
        <f>IFERROR(INDEX(Торг!$F:$F,MATCH($B373,Торг!$B:$B,0)),"Отсутствует")</f>
        <v>Y</v>
      </c>
      <c r="R373" s="36" t="str">
        <f>IFERROR(IF(AND(Q373="Отсутствует",VLOOKUP(A373,Торг!$A:$A,1,0)=A373),"Добавить","Есть"),"Новый")</f>
        <v>Есть</v>
      </c>
    </row>
    <row r="374" spans="1:18" ht="60" hidden="1">
      <c r="A374" s="238" t="s">
        <v>746</v>
      </c>
      <c r="B374" s="237">
        <v>341529</v>
      </c>
      <c r="C374" s="237">
        <v>341529</v>
      </c>
      <c r="D374" s="238" t="s">
        <v>1166</v>
      </c>
      <c r="E374" s="238" t="s">
        <v>741</v>
      </c>
      <c r="F374" s="238"/>
      <c r="G374" s="238"/>
      <c r="H374" s="238" t="s">
        <v>107</v>
      </c>
      <c r="I374" s="238" t="s">
        <v>250</v>
      </c>
      <c r="J374" s="239">
        <v>41950</v>
      </c>
      <c r="K374" s="239">
        <v>51890</v>
      </c>
      <c r="L374" s="238" t="s">
        <v>622</v>
      </c>
      <c r="M374" s="237">
        <v>1</v>
      </c>
      <c r="N374" s="237"/>
      <c r="O374" s="238"/>
      <c r="P374" s="88" t="str">
        <f t="shared" si="6"/>
        <v>1</v>
      </c>
      <c r="Q374" s="88" t="str">
        <f>IFERROR(INDEX(Торг!$F:$F,MATCH($B374,Торг!$B:$B,0)),"Отсутствует")</f>
        <v>Y</v>
      </c>
      <c r="R374" s="36" t="str">
        <f>IFERROR(IF(AND(Q374="Отсутствует",VLOOKUP(A374,Торг!$A:$A,1,0)=A374),"Добавить","Есть"),"Новый")</f>
        <v>Есть</v>
      </c>
    </row>
    <row r="375" spans="1:18" ht="60" hidden="1">
      <c r="A375" s="238" t="s">
        <v>746</v>
      </c>
      <c r="B375" s="237">
        <v>341517</v>
      </c>
      <c r="C375" s="237">
        <v>341517</v>
      </c>
      <c r="D375" s="238" t="s">
        <v>1167</v>
      </c>
      <c r="E375" s="238" t="s">
        <v>741</v>
      </c>
      <c r="F375" s="238"/>
      <c r="G375" s="238"/>
      <c r="H375" s="238" t="s">
        <v>107</v>
      </c>
      <c r="I375" s="238" t="s">
        <v>250</v>
      </c>
      <c r="J375" s="239">
        <v>41120</v>
      </c>
      <c r="K375" s="239">
        <v>50890</v>
      </c>
      <c r="L375" s="238" t="s">
        <v>622</v>
      </c>
      <c r="M375" s="237">
        <v>1</v>
      </c>
      <c r="N375" s="237"/>
      <c r="O375" s="238"/>
      <c r="P375" s="88" t="str">
        <f t="shared" si="6"/>
        <v>1</v>
      </c>
      <c r="Q375" s="88" t="str">
        <f>IFERROR(INDEX(Торг!$F:$F,MATCH($B375,Торг!$B:$B,0)),"Отсутствует")</f>
        <v>Y</v>
      </c>
      <c r="R375" s="36" t="str">
        <f>IFERROR(IF(AND(Q375="Отсутствует",VLOOKUP(A375,Торг!$A:$A,1,0)=A375),"Добавить","Есть"),"Новый")</f>
        <v>Есть</v>
      </c>
    </row>
    <row r="376" spans="1:18" ht="60" hidden="1">
      <c r="A376" s="238" t="s">
        <v>746</v>
      </c>
      <c r="B376" s="237">
        <v>341530</v>
      </c>
      <c r="C376" s="237">
        <v>341530</v>
      </c>
      <c r="D376" s="238" t="s">
        <v>1168</v>
      </c>
      <c r="E376" s="238" t="s">
        <v>741</v>
      </c>
      <c r="F376" s="238"/>
      <c r="G376" s="238"/>
      <c r="H376" s="238" t="s">
        <v>107</v>
      </c>
      <c r="I376" s="238" t="s">
        <v>250</v>
      </c>
      <c r="J376" s="239">
        <v>41950</v>
      </c>
      <c r="K376" s="239">
        <v>51890</v>
      </c>
      <c r="L376" s="238" t="s">
        <v>622</v>
      </c>
      <c r="M376" s="237">
        <v>1</v>
      </c>
      <c r="N376" s="237"/>
      <c r="O376" s="238"/>
      <c r="P376" s="88" t="str">
        <f t="shared" si="6"/>
        <v>1</v>
      </c>
      <c r="Q376" s="88" t="str">
        <f>IFERROR(INDEX(Торг!$F:$F,MATCH($B376,Торг!$B:$B,0)),"Отсутствует")</f>
        <v>Y</v>
      </c>
      <c r="R376" s="36" t="str">
        <f>IFERROR(IF(AND(Q376="Отсутствует",VLOOKUP(A376,Торг!$A:$A,1,0)=A376),"Добавить","Есть"),"Новый")</f>
        <v>Есть</v>
      </c>
    </row>
    <row r="377" spans="1:18" ht="60" hidden="1">
      <c r="A377" s="238" t="s">
        <v>746</v>
      </c>
      <c r="B377" s="237">
        <v>341518</v>
      </c>
      <c r="C377" s="237">
        <v>341518</v>
      </c>
      <c r="D377" s="238" t="s">
        <v>1169</v>
      </c>
      <c r="E377" s="238" t="s">
        <v>741</v>
      </c>
      <c r="F377" s="238"/>
      <c r="G377" s="238"/>
      <c r="H377" s="238" t="s">
        <v>107</v>
      </c>
      <c r="I377" s="238" t="s">
        <v>250</v>
      </c>
      <c r="J377" s="239">
        <v>41120</v>
      </c>
      <c r="K377" s="239">
        <v>50890</v>
      </c>
      <c r="L377" s="238" t="s">
        <v>622</v>
      </c>
      <c r="M377" s="237">
        <v>1</v>
      </c>
      <c r="N377" s="237"/>
      <c r="O377" s="238"/>
      <c r="P377" s="88" t="str">
        <f t="shared" si="6"/>
        <v>1</v>
      </c>
      <c r="Q377" s="88" t="str">
        <f>IFERROR(INDEX(Торг!$F:$F,MATCH($B377,Торг!$B:$B,0)),"Отсутствует")</f>
        <v>Y</v>
      </c>
      <c r="R377" s="36" t="str">
        <f>IFERROR(IF(AND(Q377="Отсутствует",VLOOKUP(A377,Торг!$A:$A,1,0)=A377),"Добавить","Есть"),"Новый")</f>
        <v>Есть</v>
      </c>
    </row>
    <row r="378" spans="1:18" ht="60" hidden="1">
      <c r="A378" s="238" t="s">
        <v>746</v>
      </c>
      <c r="B378" s="237">
        <v>341531</v>
      </c>
      <c r="C378" s="237">
        <v>341531</v>
      </c>
      <c r="D378" s="238" t="s">
        <v>1170</v>
      </c>
      <c r="E378" s="238" t="s">
        <v>741</v>
      </c>
      <c r="F378" s="238"/>
      <c r="G378" s="238"/>
      <c r="H378" s="238" t="s">
        <v>107</v>
      </c>
      <c r="I378" s="238" t="s">
        <v>250</v>
      </c>
      <c r="J378" s="239">
        <v>41950</v>
      </c>
      <c r="K378" s="239">
        <v>51890</v>
      </c>
      <c r="L378" s="238" t="s">
        <v>622</v>
      </c>
      <c r="M378" s="237">
        <v>1</v>
      </c>
      <c r="N378" s="237"/>
      <c r="O378" s="238"/>
      <c r="P378" s="88" t="str">
        <f t="shared" si="6"/>
        <v>1</v>
      </c>
      <c r="Q378" s="88" t="str">
        <f>IFERROR(INDEX(Торг!$F:$F,MATCH($B378,Торг!$B:$B,0)),"Отсутствует")</f>
        <v>Y</v>
      </c>
      <c r="R378" s="36" t="str">
        <f>IFERROR(IF(AND(Q378="Отсутствует",VLOOKUP(A378,Торг!$A:$A,1,0)=A378),"Добавить","Есть"),"Новый")</f>
        <v>Есть</v>
      </c>
    </row>
    <row r="379" spans="1:18" ht="60" hidden="1">
      <c r="A379" s="238" t="s">
        <v>746</v>
      </c>
      <c r="B379" s="237">
        <v>341519</v>
      </c>
      <c r="C379" s="237">
        <v>341519</v>
      </c>
      <c r="D379" s="238" t="s">
        <v>1171</v>
      </c>
      <c r="E379" s="238" t="s">
        <v>741</v>
      </c>
      <c r="F379" s="238"/>
      <c r="G379" s="238"/>
      <c r="H379" s="238" t="s">
        <v>107</v>
      </c>
      <c r="I379" s="238" t="s">
        <v>250</v>
      </c>
      <c r="J379" s="239">
        <v>41120</v>
      </c>
      <c r="K379" s="239">
        <v>50890</v>
      </c>
      <c r="L379" s="238" t="s">
        <v>622</v>
      </c>
      <c r="M379" s="237">
        <v>1</v>
      </c>
      <c r="N379" s="237"/>
      <c r="O379" s="238"/>
      <c r="P379" s="88" t="str">
        <f t="shared" si="6"/>
        <v>1</v>
      </c>
      <c r="Q379" s="88" t="str">
        <f>IFERROR(INDEX(Торг!$F:$F,MATCH($B379,Торг!$B:$B,0)),"Отсутствует")</f>
        <v>Y</v>
      </c>
      <c r="R379" s="36" t="str">
        <f>IFERROR(IF(AND(Q379="Отсутствует",VLOOKUP(A379,Торг!$A:$A,1,0)=A379),"Добавить","Есть"),"Новый")</f>
        <v>Есть</v>
      </c>
    </row>
    <row r="380" spans="1:18" ht="60" hidden="1">
      <c r="A380" s="238" t="s">
        <v>746</v>
      </c>
      <c r="B380" s="237">
        <v>341532</v>
      </c>
      <c r="C380" s="237">
        <v>341532</v>
      </c>
      <c r="D380" s="238" t="s">
        <v>1172</v>
      </c>
      <c r="E380" s="238" t="s">
        <v>741</v>
      </c>
      <c r="F380" s="238"/>
      <c r="G380" s="238"/>
      <c r="H380" s="238" t="s">
        <v>107</v>
      </c>
      <c r="I380" s="238" t="s">
        <v>250</v>
      </c>
      <c r="J380" s="239">
        <v>41950</v>
      </c>
      <c r="K380" s="239">
        <v>51890</v>
      </c>
      <c r="L380" s="238" t="s">
        <v>622</v>
      </c>
      <c r="M380" s="237">
        <v>1</v>
      </c>
      <c r="N380" s="237"/>
      <c r="O380" s="238"/>
      <c r="P380" s="88" t="str">
        <f t="shared" si="6"/>
        <v>1</v>
      </c>
      <c r="Q380" s="88" t="str">
        <f>IFERROR(INDEX(Торг!$F:$F,MATCH($B380,Торг!$B:$B,0)),"Отсутствует")</f>
        <v>Y</v>
      </c>
      <c r="R380" s="36" t="str">
        <f>IFERROR(IF(AND(Q380="Отсутствует",VLOOKUP(A380,Торг!$A:$A,1,0)=A380),"Добавить","Есть"),"Новый")</f>
        <v>Есть</v>
      </c>
    </row>
    <row r="381" spans="1:18" ht="60" hidden="1">
      <c r="A381" s="238" t="s">
        <v>746</v>
      </c>
      <c r="B381" s="237">
        <v>341522</v>
      </c>
      <c r="C381" s="237">
        <v>341522</v>
      </c>
      <c r="D381" s="238" t="s">
        <v>1173</v>
      </c>
      <c r="E381" s="238" t="s">
        <v>741</v>
      </c>
      <c r="F381" s="238"/>
      <c r="G381" s="238"/>
      <c r="H381" s="238" t="s">
        <v>107</v>
      </c>
      <c r="I381" s="238" t="s">
        <v>250</v>
      </c>
      <c r="J381" s="239">
        <v>41120</v>
      </c>
      <c r="K381" s="239">
        <v>50890</v>
      </c>
      <c r="L381" s="238" t="s">
        <v>622</v>
      </c>
      <c r="M381" s="237">
        <v>1</v>
      </c>
      <c r="N381" s="237"/>
      <c r="O381" s="238"/>
      <c r="P381" s="88" t="str">
        <f t="shared" si="6"/>
        <v>1</v>
      </c>
      <c r="Q381" s="88" t="str">
        <f>IFERROR(INDEX(Торг!$F:$F,MATCH($B381,Торг!$B:$B,0)),"Отсутствует")</f>
        <v>Y</v>
      </c>
      <c r="R381" s="36" t="str">
        <f>IFERROR(IF(AND(Q381="Отсутствует",VLOOKUP(A381,Торг!$A:$A,1,0)=A381),"Добавить","Есть"),"Новый")</f>
        <v>Есть</v>
      </c>
    </row>
    <row r="382" spans="1:18" ht="60" hidden="1">
      <c r="A382" s="238" t="s">
        <v>746</v>
      </c>
      <c r="B382" s="237">
        <v>341535</v>
      </c>
      <c r="C382" s="237">
        <v>341535</v>
      </c>
      <c r="D382" s="238" t="s">
        <v>1174</v>
      </c>
      <c r="E382" s="238" t="s">
        <v>741</v>
      </c>
      <c r="F382" s="238"/>
      <c r="G382" s="238"/>
      <c r="H382" s="238" t="s">
        <v>107</v>
      </c>
      <c r="I382" s="238" t="s">
        <v>250</v>
      </c>
      <c r="J382" s="239">
        <v>41950</v>
      </c>
      <c r="K382" s="239">
        <v>51890</v>
      </c>
      <c r="L382" s="238" t="s">
        <v>622</v>
      </c>
      <c r="M382" s="237">
        <v>1</v>
      </c>
      <c r="N382" s="237"/>
      <c r="O382" s="238"/>
      <c r="P382" s="88" t="str">
        <f t="shared" si="6"/>
        <v>1</v>
      </c>
      <c r="Q382" s="88" t="str">
        <f>IFERROR(INDEX(Торг!$F:$F,MATCH($B382,Торг!$B:$B,0)),"Отсутствует")</f>
        <v>Y</v>
      </c>
      <c r="R382" s="36" t="str">
        <f>IFERROR(IF(AND(Q382="Отсутствует",VLOOKUP(A382,Торг!$A:$A,1,0)=A382),"Добавить","Есть"),"Новый")</f>
        <v>Есть</v>
      </c>
    </row>
    <row r="383" spans="1:18" ht="60" hidden="1">
      <c r="A383" s="238" t="s">
        <v>746</v>
      </c>
      <c r="B383" s="237">
        <v>341520</v>
      </c>
      <c r="C383" s="237">
        <v>341520</v>
      </c>
      <c r="D383" s="238" t="s">
        <v>1175</v>
      </c>
      <c r="E383" s="238" t="s">
        <v>741</v>
      </c>
      <c r="F383" s="238"/>
      <c r="G383" s="238"/>
      <c r="H383" s="238" t="s">
        <v>107</v>
      </c>
      <c r="I383" s="238" t="s">
        <v>250</v>
      </c>
      <c r="J383" s="239">
        <v>41120</v>
      </c>
      <c r="K383" s="239">
        <v>50890</v>
      </c>
      <c r="L383" s="238" t="s">
        <v>622</v>
      </c>
      <c r="M383" s="237">
        <v>1</v>
      </c>
      <c r="N383" s="237"/>
      <c r="O383" s="238"/>
      <c r="P383" s="88" t="str">
        <f t="shared" si="6"/>
        <v>1</v>
      </c>
      <c r="Q383" s="88" t="str">
        <f>IFERROR(INDEX(Торг!$F:$F,MATCH($B383,Торг!$B:$B,0)),"Отсутствует")</f>
        <v>Y</v>
      </c>
      <c r="R383" s="36" t="str">
        <f>IFERROR(IF(AND(Q383="Отсутствует",VLOOKUP(A383,Торг!$A:$A,1,0)=A383),"Добавить","Есть"),"Новый")</f>
        <v>Есть</v>
      </c>
    </row>
    <row r="384" spans="1:18" ht="60" hidden="1">
      <c r="A384" s="238" t="s">
        <v>746</v>
      </c>
      <c r="B384" s="237">
        <v>341533</v>
      </c>
      <c r="C384" s="237">
        <v>341533</v>
      </c>
      <c r="D384" s="238" t="s">
        <v>1176</v>
      </c>
      <c r="E384" s="238" t="s">
        <v>741</v>
      </c>
      <c r="F384" s="238"/>
      <c r="G384" s="238"/>
      <c r="H384" s="238" t="s">
        <v>107</v>
      </c>
      <c r="I384" s="238" t="s">
        <v>250</v>
      </c>
      <c r="J384" s="239">
        <v>41950</v>
      </c>
      <c r="K384" s="239">
        <v>51890</v>
      </c>
      <c r="L384" s="238" t="s">
        <v>622</v>
      </c>
      <c r="M384" s="237">
        <v>1</v>
      </c>
      <c r="N384" s="237"/>
      <c r="O384" s="238"/>
      <c r="P384" s="88" t="str">
        <f t="shared" si="6"/>
        <v>1</v>
      </c>
      <c r="Q384" s="88" t="str">
        <f>IFERROR(INDEX(Торг!$F:$F,MATCH($B384,Торг!$B:$B,0)),"Отсутствует")</f>
        <v>Y</v>
      </c>
      <c r="R384" s="36" t="str">
        <f>IFERROR(IF(AND(Q384="Отсутствует",VLOOKUP(A384,Торг!$A:$A,1,0)=A384),"Добавить","Есть"),"Новый")</f>
        <v>Есть</v>
      </c>
    </row>
    <row r="385" spans="1:18" ht="60" hidden="1">
      <c r="A385" s="238" t="s">
        <v>746</v>
      </c>
      <c r="B385" s="237">
        <v>341521</v>
      </c>
      <c r="C385" s="237">
        <v>341521</v>
      </c>
      <c r="D385" s="238" t="s">
        <v>1177</v>
      </c>
      <c r="E385" s="238" t="s">
        <v>741</v>
      </c>
      <c r="F385" s="238"/>
      <c r="G385" s="238"/>
      <c r="H385" s="238" t="s">
        <v>107</v>
      </c>
      <c r="I385" s="238" t="s">
        <v>250</v>
      </c>
      <c r="J385" s="239">
        <v>41120</v>
      </c>
      <c r="K385" s="239">
        <v>50890</v>
      </c>
      <c r="L385" s="238" t="s">
        <v>622</v>
      </c>
      <c r="M385" s="237">
        <v>1</v>
      </c>
      <c r="N385" s="237"/>
      <c r="O385" s="238"/>
      <c r="P385" s="88" t="str">
        <f t="shared" si="6"/>
        <v>1</v>
      </c>
      <c r="Q385" s="88" t="str">
        <f>IFERROR(INDEX(Торг!$F:$F,MATCH($B385,Торг!$B:$B,0)),"Отсутствует")</f>
        <v>Y</v>
      </c>
      <c r="R385" s="36" t="str">
        <f>IFERROR(IF(AND(Q385="Отсутствует",VLOOKUP(A385,Торг!$A:$A,1,0)=A385),"Добавить","Есть"),"Новый")</f>
        <v>Есть</v>
      </c>
    </row>
    <row r="386" spans="1:18" ht="60" hidden="1">
      <c r="A386" s="238" t="s">
        <v>746</v>
      </c>
      <c r="B386" s="237">
        <v>341534</v>
      </c>
      <c r="C386" s="237">
        <v>341534</v>
      </c>
      <c r="D386" s="238" t="s">
        <v>1178</v>
      </c>
      <c r="E386" s="238" t="s">
        <v>741</v>
      </c>
      <c r="F386" s="238"/>
      <c r="G386" s="238"/>
      <c r="H386" s="238" t="s">
        <v>107</v>
      </c>
      <c r="I386" s="238" t="s">
        <v>250</v>
      </c>
      <c r="J386" s="239">
        <v>41950</v>
      </c>
      <c r="K386" s="239">
        <v>51890</v>
      </c>
      <c r="L386" s="238" t="s">
        <v>622</v>
      </c>
      <c r="M386" s="237">
        <v>1</v>
      </c>
      <c r="N386" s="237"/>
      <c r="O386" s="238"/>
      <c r="P386" s="88" t="str">
        <f t="shared" si="6"/>
        <v>1</v>
      </c>
      <c r="Q386" s="88" t="str">
        <f>IFERROR(INDEX(Торг!$F:$F,MATCH($B386,Торг!$B:$B,0)),"Отсутствует")</f>
        <v>Y</v>
      </c>
      <c r="R386" s="36" t="str">
        <f>IFERROR(IF(AND(Q386="Отсутствует",VLOOKUP(A386,Торг!$A:$A,1,0)=A386),"Добавить","Есть"),"Новый")</f>
        <v>Есть</v>
      </c>
    </row>
    <row r="387" spans="1:18" ht="60" hidden="1">
      <c r="A387" s="238" t="s">
        <v>746</v>
      </c>
      <c r="B387" s="237">
        <v>341523</v>
      </c>
      <c r="C387" s="237">
        <v>341523</v>
      </c>
      <c r="D387" s="238" t="s">
        <v>1179</v>
      </c>
      <c r="E387" s="238" t="s">
        <v>741</v>
      </c>
      <c r="F387" s="238"/>
      <c r="G387" s="238"/>
      <c r="H387" s="238" t="s">
        <v>107</v>
      </c>
      <c r="I387" s="238" t="s">
        <v>250</v>
      </c>
      <c r="J387" s="239">
        <v>41120</v>
      </c>
      <c r="K387" s="239">
        <v>50890</v>
      </c>
      <c r="L387" s="238" t="s">
        <v>622</v>
      </c>
      <c r="M387" s="237">
        <v>1</v>
      </c>
      <c r="N387" s="237"/>
      <c r="O387" s="238"/>
      <c r="P387" s="88" t="str">
        <f t="shared" si="6"/>
        <v>1</v>
      </c>
      <c r="Q387" s="88" t="str">
        <f>IFERROR(INDEX(Торг!$F:$F,MATCH($B387,Торг!$B:$B,0)),"Отсутствует")</f>
        <v>Y</v>
      </c>
      <c r="R387" s="36" t="str">
        <f>IFERROR(IF(AND(Q387="Отсутствует",VLOOKUP(A387,Торг!$A:$A,1,0)=A387),"Добавить","Есть"),"Новый")</f>
        <v>Есть</v>
      </c>
    </row>
    <row r="388" spans="1:18" ht="60" hidden="1">
      <c r="A388" s="238" t="s">
        <v>746</v>
      </c>
      <c r="B388" s="237">
        <v>341536</v>
      </c>
      <c r="C388" s="237">
        <v>341536</v>
      </c>
      <c r="D388" s="238" t="s">
        <v>1180</v>
      </c>
      <c r="E388" s="238" t="s">
        <v>741</v>
      </c>
      <c r="F388" s="238"/>
      <c r="G388" s="238"/>
      <c r="H388" s="238" t="s">
        <v>107</v>
      </c>
      <c r="I388" s="238" t="s">
        <v>250</v>
      </c>
      <c r="J388" s="239">
        <v>41950</v>
      </c>
      <c r="K388" s="239">
        <v>51890</v>
      </c>
      <c r="L388" s="238" t="s">
        <v>622</v>
      </c>
      <c r="M388" s="237">
        <v>1</v>
      </c>
      <c r="N388" s="237"/>
      <c r="O388" s="238"/>
      <c r="P388" s="88" t="str">
        <f t="shared" si="6"/>
        <v>1</v>
      </c>
      <c r="Q388" s="88" t="str">
        <f>IFERROR(INDEX(Торг!$F:$F,MATCH($B388,Торг!$B:$B,0)),"Отсутствует")</f>
        <v>Y</v>
      </c>
      <c r="R388" s="36" t="str">
        <f>IFERROR(IF(AND(Q388="Отсутствует",VLOOKUP(A388,Торг!$A:$A,1,0)=A388),"Добавить","Есть"),"Новый")</f>
        <v>Есть</v>
      </c>
    </row>
    <row r="389" spans="1:18" ht="60" hidden="1">
      <c r="A389" s="238" t="s">
        <v>746</v>
      </c>
      <c r="B389" s="237">
        <v>341515</v>
      </c>
      <c r="C389" s="237">
        <v>341515</v>
      </c>
      <c r="D389" s="238" t="s">
        <v>1181</v>
      </c>
      <c r="E389" s="238" t="s">
        <v>741</v>
      </c>
      <c r="F389" s="238"/>
      <c r="G389" s="238"/>
      <c r="H389" s="238" t="s">
        <v>107</v>
      </c>
      <c r="I389" s="238" t="s">
        <v>250</v>
      </c>
      <c r="J389" s="239">
        <v>41120</v>
      </c>
      <c r="K389" s="239">
        <v>50890</v>
      </c>
      <c r="L389" s="238" t="s">
        <v>622</v>
      </c>
      <c r="M389" s="237">
        <v>1</v>
      </c>
      <c r="N389" s="237"/>
      <c r="O389" s="238"/>
      <c r="P389" s="88" t="str">
        <f t="shared" si="6"/>
        <v>1</v>
      </c>
      <c r="Q389" s="88" t="str">
        <f>IFERROR(INDEX(Торг!$F:$F,MATCH($B389,Торг!$B:$B,0)),"Отсутствует")</f>
        <v>Y</v>
      </c>
      <c r="R389" s="36" t="str">
        <f>IFERROR(IF(AND(Q389="Отсутствует",VLOOKUP(A389,Торг!$A:$A,1,0)=A389),"Добавить","Есть"),"Новый")</f>
        <v>Есть</v>
      </c>
    </row>
    <row r="390" spans="1:18" ht="60" hidden="1">
      <c r="A390" s="238" t="s">
        <v>746</v>
      </c>
      <c r="B390" s="237">
        <v>341528</v>
      </c>
      <c r="C390" s="237">
        <v>341528</v>
      </c>
      <c r="D390" s="238" t="s">
        <v>1182</v>
      </c>
      <c r="E390" s="238" t="s">
        <v>741</v>
      </c>
      <c r="F390" s="238"/>
      <c r="G390" s="238"/>
      <c r="H390" s="238" t="s">
        <v>107</v>
      </c>
      <c r="I390" s="238" t="s">
        <v>250</v>
      </c>
      <c r="J390" s="239">
        <v>41950</v>
      </c>
      <c r="K390" s="239">
        <v>51890</v>
      </c>
      <c r="L390" s="238" t="s">
        <v>622</v>
      </c>
      <c r="M390" s="237">
        <v>1</v>
      </c>
      <c r="N390" s="237"/>
      <c r="O390" s="238"/>
      <c r="P390" s="88" t="str">
        <f t="shared" si="6"/>
        <v>1</v>
      </c>
      <c r="Q390" s="88" t="str">
        <f>IFERROR(INDEX(Торг!$F:$F,MATCH($B390,Торг!$B:$B,0)),"Отсутствует")</f>
        <v>Y</v>
      </c>
      <c r="R390" s="36" t="str">
        <f>IFERROR(IF(AND(Q390="Отсутствует",VLOOKUP(A390,Торг!$A:$A,1,0)=A390),"Добавить","Есть"),"Новый")</f>
        <v>Есть</v>
      </c>
    </row>
    <row r="391" spans="1:18" ht="60" hidden="1">
      <c r="A391" s="238" t="s">
        <v>746</v>
      </c>
      <c r="B391" s="237">
        <v>341514</v>
      </c>
      <c r="C391" s="237">
        <v>341514</v>
      </c>
      <c r="D391" s="238" t="s">
        <v>1183</v>
      </c>
      <c r="E391" s="238" t="s">
        <v>741</v>
      </c>
      <c r="F391" s="238"/>
      <c r="G391" s="238"/>
      <c r="H391" s="238" t="s">
        <v>107</v>
      </c>
      <c r="I391" s="238" t="s">
        <v>250</v>
      </c>
      <c r="J391" s="239">
        <v>40250</v>
      </c>
      <c r="K391" s="239">
        <v>49790</v>
      </c>
      <c r="L391" s="238" t="s">
        <v>622</v>
      </c>
      <c r="M391" s="237">
        <v>1</v>
      </c>
      <c r="N391" s="237"/>
      <c r="O391" s="238"/>
      <c r="P391" s="88" t="str">
        <f t="shared" si="6"/>
        <v>1</v>
      </c>
      <c r="Q391" s="88" t="str">
        <f>IFERROR(INDEX(Торг!$F:$F,MATCH($B391,Торг!$B:$B,0)),"Отсутствует")</f>
        <v>Y</v>
      </c>
      <c r="R391" s="36" t="str">
        <f>IFERROR(IF(AND(Q391="Отсутствует",VLOOKUP(A391,Торг!$A:$A,1,0)=A391),"Добавить","Есть"),"Новый")</f>
        <v>Есть</v>
      </c>
    </row>
    <row r="392" spans="1:18" ht="60" hidden="1">
      <c r="A392" s="238" t="s">
        <v>746</v>
      </c>
      <c r="B392" s="237">
        <v>341527</v>
      </c>
      <c r="C392" s="237">
        <v>341527</v>
      </c>
      <c r="D392" s="238" t="s">
        <v>1184</v>
      </c>
      <c r="E392" s="238" t="s">
        <v>741</v>
      </c>
      <c r="F392" s="238"/>
      <c r="G392" s="238"/>
      <c r="H392" s="238" t="s">
        <v>107</v>
      </c>
      <c r="I392" s="238" t="s">
        <v>250</v>
      </c>
      <c r="J392" s="239">
        <v>41080</v>
      </c>
      <c r="K392" s="239">
        <v>50790</v>
      </c>
      <c r="L392" s="238" t="s">
        <v>622</v>
      </c>
      <c r="M392" s="237">
        <v>1</v>
      </c>
      <c r="N392" s="237"/>
      <c r="O392" s="238"/>
      <c r="P392" s="88" t="str">
        <f t="shared" si="6"/>
        <v>1</v>
      </c>
      <c r="Q392" s="88" t="str">
        <f>IFERROR(INDEX(Торг!$F:$F,MATCH($B392,Торг!$B:$B,0)),"Отсутствует")</f>
        <v>Y</v>
      </c>
      <c r="R392" s="36" t="str">
        <f>IFERROR(IF(AND(Q392="Отсутствует",VLOOKUP(A392,Торг!$A:$A,1,0)=A392),"Добавить","Есть"),"Новый")</f>
        <v>Есть</v>
      </c>
    </row>
    <row r="393" spans="1:18" ht="45" hidden="1">
      <c r="A393" s="238" t="s">
        <v>810</v>
      </c>
      <c r="B393" s="237">
        <v>275062</v>
      </c>
      <c r="C393" s="237">
        <v>226939</v>
      </c>
      <c r="D393" s="238" t="s">
        <v>1185</v>
      </c>
      <c r="E393" s="238" t="s">
        <v>741</v>
      </c>
      <c r="F393" s="238"/>
      <c r="G393" s="238"/>
      <c r="H393" s="238" t="s">
        <v>118</v>
      </c>
      <c r="I393" s="238" t="s">
        <v>250</v>
      </c>
      <c r="J393" s="239">
        <v>40470</v>
      </c>
      <c r="K393" s="239">
        <v>50090</v>
      </c>
      <c r="L393" s="238" t="s">
        <v>617</v>
      </c>
      <c r="M393" s="237">
        <v>1</v>
      </c>
      <c r="N393" s="237"/>
      <c r="O393" s="238"/>
      <c r="P393" s="88" t="str">
        <f t="shared" si="6"/>
        <v>1</v>
      </c>
      <c r="Q393" s="88" t="str">
        <f>IFERROR(INDEX(Торг!$F:$F,MATCH($B393,Торг!$B:$B,0)),"Отсутствует")</f>
        <v>Y</v>
      </c>
      <c r="R393" s="36" t="str">
        <f>IFERROR(IF(AND(Q393="Отсутствует",VLOOKUP(A393,Торг!$A:$A,1,0)=A393),"Добавить","Есть"),"Новый")</f>
        <v>Есть</v>
      </c>
    </row>
    <row r="394" spans="1:18" ht="45" hidden="1">
      <c r="A394" s="238" t="s">
        <v>810</v>
      </c>
      <c r="B394" s="237">
        <v>275074</v>
      </c>
      <c r="C394" s="237">
        <v>226952</v>
      </c>
      <c r="D394" s="238" t="s">
        <v>1186</v>
      </c>
      <c r="E394" s="238" t="s">
        <v>741</v>
      </c>
      <c r="F394" s="238"/>
      <c r="G394" s="238"/>
      <c r="H394" s="238" t="s">
        <v>118</v>
      </c>
      <c r="I394" s="238" t="s">
        <v>250</v>
      </c>
      <c r="J394" s="239">
        <v>41300</v>
      </c>
      <c r="K394" s="239">
        <v>51090</v>
      </c>
      <c r="L394" s="238" t="s">
        <v>617</v>
      </c>
      <c r="M394" s="237">
        <v>1</v>
      </c>
      <c r="N394" s="237"/>
      <c r="O394" s="238"/>
      <c r="P394" s="88" t="str">
        <f t="shared" si="6"/>
        <v>1</v>
      </c>
      <c r="Q394" s="88" t="str">
        <f>IFERROR(INDEX(Торг!$F:$F,MATCH($B394,Торг!$B:$B,0)),"Отсутствует")</f>
        <v>Y</v>
      </c>
      <c r="R394" s="36" t="str">
        <f>IFERROR(IF(AND(Q394="Отсутствует",VLOOKUP(A394,Торг!$A:$A,1,0)=A394),"Добавить","Есть"),"Новый")</f>
        <v>Есть</v>
      </c>
    </row>
    <row r="395" spans="1:18" ht="45" hidden="1">
      <c r="A395" s="238" t="s">
        <v>810</v>
      </c>
      <c r="B395" s="237">
        <v>275073</v>
      </c>
      <c r="C395" s="237">
        <v>226934</v>
      </c>
      <c r="D395" s="238" t="s">
        <v>1187</v>
      </c>
      <c r="E395" s="238" t="s">
        <v>741</v>
      </c>
      <c r="F395" s="238"/>
      <c r="G395" s="238"/>
      <c r="H395" s="238" t="s">
        <v>118</v>
      </c>
      <c r="I395" s="238" t="s">
        <v>250</v>
      </c>
      <c r="J395" s="239">
        <v>40470</v>
      </c>
      <c r="K395" s="239">
        <v>50090</v>
      </c>
      <c r="L395" s="238" t="s">
        <v>617</v>
      </c>
      <c r="M395" s="237">
        <v>1</v>
      </c>
      <c r="N395" s="237"/>
      <c r="O395" s="238"/>
      <c r="P395" s="88" t="str">
        <f t="shared" si="6"/>
        <v>1</v>
      </c>
      <c r="Q395" s="88" t="str">
        <f>IFERROR(INDEX(Торг!$F:$F,MATCH($B395,Торг!$B:$B,0)),"Отсутствует")</f>
        <v>Y</v>
      </c>
      <c r="R395" s="36" t="str">
        <f>IFERROR(IF(AND(Q395="Отсутствует",VLOOKUP(A395,Торг!$A:$A,1,0)=A395),"Добавить","Есть"),"Новый")</f>
        <v>Есть</v>
      </c>
    </row>
    <row r="396" spans="1:18" ht="45" hidden="1">
      <c r="A396" s="238" t="s">
        <v>810</v>
      </c>
      <c r="B396" s="237">
        <v>275085</v>
      </c>
      <c r="C396" s="237">
        <v>226947</v>
      </c>
      <c r="D396" s="238" t="s">
        <v>1188</v>
      </c>
      <c r="E396" s="238" t="s">
        <v>741</v>
      </c>
      <c r="F396" s="238"/>
      <c r="G396" s="238"/>
      <c r="H396" s="238" t="s">
        <v>118</v>
      </c>
      <c r="I396" s="238" t="s">
        <v>250</v>
      </c>
      <c r="J396" s="239">
        <v>41300</v>
      </c>
      <c r="K396" s="239">
        <v>51090</v>
      </c>
      <c r="L396" s="238" t="s">
        <v>617</v>
      </c>
      <c r="M396" s="237">
        <v>1</v>
      </c>
      <c r="N396" s="237"/>
      <c r="O396" s="238"/>
      <c r="P396" s="88" t="str">
        <f t="shared" si="6"/>
        <v>1</v>
      </c>
      <c r="Q396" s="88" t="str">
        <f>IFERROR(INDEX(Торг!$F:$F,MATCH($B396,Торг!$B:$B,0)),"Отсутствует")</f>
        <v>Y</v>
      </c>
      <c r="R396" s="36" t="str">
        <f>IFERROR(IF(AND(Q396="Отсутствует",VLOOKUP(A396,Торг!$A:$A,1,0)=A396),"Добавить","Есть"),"Новый")</f>
        <v>Есть</v>
      </c>
    </row>
    <row r="397" spans="1:18" ht="45" hidden="1">
      <c r="A397" s="238" t="s">
        <v>810</v>
      </c>
      <c r="B397" s="237">
        <v>275072</v>
      </c>
      <c r="C397" s="237">
        <v>226938</v>
      </c>
      <c r="D397" s="238" t="s">
        <v>1189</v>
      </c>
      <c r="E397" s="238" t="s">
        <v>741</v>
      </c>
      <c r="F397" s="238"/>
      <c r="G397" s="238"/>
      <c r="H397" s="238" t="s">
        <v>118</v>
      </c>
      <c r="I397" s="238" t="s">
        <v>250</v>
      </c>
      <c r="J397" s="239">
        <v>40470</v>
      </c>
      <c r="K397" s="239">
        <v>50090</v>
      </c>
      <c r="L397" s="238" t="s">
        <v>617</v>
      </c>
      <c r="M397" s="237">
        <v>1</v>
      </c>
      <c r="N397" s="237"/>
      <c r="O397" s="238"/>
      <c r="P397" s="88" t="str">
        <f t="shared" si="6"/>
        <v>1</v>
      </c>
      <c r="Q397" s="88" t="str">
        <f>IFERROR(INDEX(Торг!$F:$F,MATCH($B397,Торг!$B:$B,0)),"Отсутствует")</f>
        <v>Y</v>
      </c>
      <c r="R397" s="36" t="str">
        <f>IFERROR(IF(AND(Q397="Отсутствует",VLOOKUP(A397,Торг!$A:$A,1,0)=A397),"Добавить","Есть"),"Новый")</f>
        <v>Есть</v>
      </c>
    </row>
    <row r="398" spans="1:18" ht="45" hidden="1">
      <c r="A398" s="238" t="s">
        <v>810</v>
      </c>
      <c r="B398" s="237">
        <v>275084</v>
      </c>
      <c r="C398" s="237">
        <v>226951</v>
      </c>
      <c r="D398" s="238" t="s">
        <v>1190</v>
      </c>
      <c r="E398" s="238" t="s">
        <v>741</v>
      </c>
      <c r="F398" s="238"/>
      <c r="G398" s="238"/>
      <c r="H398" s="238" t="s">
        <v>118</v>
      </c>
      <c r="I398" s="238" t="s">
        <v>250</v>
      </c>
      <c r="J398" s="239">
        <v>41300</v>
      </c>
      <c r="K398" s="239">
        <v>51090</v>
      </c>
      <c r="L398" s="238" t="s">
        <v>617</v>
      </c>
      <c r="M398" s="237">
        <v>1</v>
      </c>
      <c r="N398" s="237"/>
      <c r="O398" s="238"/>
      <c r="P398" s="88" t="str">
        <f t="shared" si="6"/>
        <v>1</v>
      </c>
      <c r="Q398" s="88" t="str">
        <f>IFERROR(INDEX(Торг!$F:$F,MATCH($B398,Торг!$B:$B,0)),"Отсутствует")</f>
        <v>Y</v>
      </c>
      <c r="R398" s="36" t="str">
        <f>IFERROR(IF(AND(Q398="Отсутствует",VLOOKUP(A398,Торг!$A:$A,1,0)=A398),"Добавить","Есть"),"Новый")</f>
        <v>Есть</v>
      </c>
    </row>
    <row r="399" spans="1:18" ht="45" hidden="1">
      <c r="A399" s="238" t="s">
        <v>810</v>
      </c>
      <c r="B399" s="237">
        <v>275064</v>
      </c>
      <c r="C399" s="237">
        <v>226930</v>
      </c>
      <c r="D399" s="238" t="s">
        <v>1191</v>
      </c>
      <c r="E399" s="238" t="s">
        <v>741</v>
      </c>
      <c r="F399" s="238"/>
      <c r="G399" s="238"/>
      <c r="H399" s="238" t="s">
        <v>118</v>
      </c>
      <c r="I399" s="238" t="s">
        <v>250</v>
      </c>
      <c r="J399" s="239">
        <v>40470</v>
      </c>
      <c r="K399" s="239">
        <v>50090</v>
      </c>
      <c r="L399" s="238" t="s">
        <v>617</v>
      </c>
      <c r="M399" s="237">
        <v>1</v>
      </c>
      <c r="N399" s="237"/>
      <c r="O399" s="238"/>
      <c r="P399" s="88" t="str">
        <f t="shared" si="6"/>
        <v>1</v>
      </c>
      <c r="Q399" s="88" t="str">
        <f>IFERROR(INDEX(Торг!$F:$F,MATCH($B399,Торг!$B:$B,0)),"Отсутствует")</f>
        <v>Y</v>
      </c>
      <c r="R399" s="36" t="str">
        <f>IFERROR(IF(AND(Q399="Отсутствует",VLOOKUP(A399,Торг!$A:$A,1,0)=A399),"Добавить","Есть"),"Новый")</f>
        <v>Есть</v>
      </c>
    </row>
    <row r="400" spans="1:18" ht="45" hidden="1">
      <c r="A400" s="238" t="s">
        <v>810</v>
      </c>
      <c r="B400" s="237">
        <v>275076</v>
      </c>
      <c r="C400" s="237">
        <v>226942</v>
      </c>
      <c r="D400" s="238" t="s">
        <v>1192</v>
      </c>
      <c r="E400" s="238" t="s">
        <v>741</v>
      </c>
      <c r="F400" s="238"/>
      <c r="G400" s="238"/>
      <c r="H400" s="238" t="s">
        <v>118</v>
      </c>
      <c r="I400" s="238" t="s">
        <v>250</v>
      </c>
      <c r="J400" s="239">
        <v>41300</v>
      </c>
      <c r="K400" s="239">
        <v>51090</v>
      </c>
      <c r="L400" s="238" t="s">
        <v>617</v>
      </c>
      <c r="M400" s="237">
        <v>1</v>
      </c>
      <c r="N400" s="237"/>
      <c r="O400" s="238"/>
      <c r="P400" s="88" t="str">
        <f t="shared" si="6"/>
        <v>1</v>
      </c>
      <c r="Q400" s="88" t="str">
        <f>IFERROR(INDEX(Торг!$F:$F,MATCH($B400,Торг!$B:$B,0)),"Отсутствует")</f>
        <v>Y</v>
      </c>
      <c r="R400" s="36" t="str">
        <f>IFERROR(IF(AND(Q400="Отсутствует",VLOOKUP(A400,Торг!$A:$A,1,0)=A400),"Добавить","Есть"),"Новый")</f>
        <v>Есть</v>
      </c>
    </row>
    <row r="401" spans="1:18" ht="45" hidden="1">
      <c r="A401" s="238" t="s">
        <v>810</v>
      </c>
      <c r="B401" s="237">
        <v>275065</v>
      </c>
      <c r="C401" s="237">
        <v>226937</v>
      </c>
      <c r="D401" s="238" t="s">
        <v>1193</v>
      </c>
      <c r="E401" s="238" t="s">
        <v>741</v>
      </c>
      <c r="F401" s="238"/>
      <c r="G401" s="238"/>
      <c r="H401" s="238" t="s">
        <v>118</v>
      </c>
      <c r="I401" s="238" t="s">
        <v>250</v>
      </c>
      <c r="J401" s="239">
        <v>40470</v>
      </c>
      <c r="K401" s="239">
        <v>50090</v>
      </c>
      <c r="L401" s="238" t="s">
        <v>617</v>
      </c>
      <c r="M401" s="237">
        <v>1</v>
      </c>
      <c r="N401" s="237"/>
      <c r="O401" s="238"/>
      <c r="P401" s="88" t="str">
        <f t="shared" si="6"/>
        <v>1</v>
      </c>
      <c r="Q401" s="88" t="str">
        <f>IFERROR(INDEX(Торг!$F:$F,MATCH($B401,Торг!$B:$B,0)),"Отсутствует")</f>
        <v>Y</v>
      </c>
      <c r="R401" s="36" t="str">
        <f>IFERROR(IF(AND(Q401="Отсутствует",VLOOKUP(A401,Торг!$A:$A,1,0)=A401),"Добавить","Есть"),"Новый")</f>
        <v>Есть</v>
      </c>
    </row>
    <row r="402" spans="1:18" ht="45" hidden="1">
      <c r="A402" s="238" t="s">
        <v>810</v>
      </c>
      <c r="B402" s="237">
        <v>275077</v>
      </c>
      <c r="C402" s="237">
        <v>226950</v>
      </c>
      <c r="D402" s="238" t="s">
        <v>1194</v>
      </c>
      <c r="E402" s="238" t="s">
        <v>741</v>
      </c>
      <c r="F402" s="238"/>
      <c r="G402" s="238"/>
      <c r="H402" s="238" t="s">
        <v>118</v>
      </c>
      <c r="I402" s="238" t="s">
        <v>250</v>
      </c>
      <c r="J402" s="239">
        <v>41300</v>
      </c>
      <c r="K402" s="239">
        <v>51090</v>
      </c>
      <c r="L402" s="238" t="s">
        <v>617</v>
      </c>
      <c r="M402" s="237">
        <v>1</v>
      </c>
      <c r="N402" s="237"/>
      <c r="O402" s="238"/>
      <c r="P402" s="88" t="str">
        <f t="shared" si="6"/>
        <v>1</v>
      </c>
      <c r="Q402" s="88" t="str">
        <f>IFERROR(INDEX(Торг!$F:$F,MATCH($B402,Торг!$B:$B,0)),"Отсутствует")</f>
        <v>Y</v>
      </c>
      <c r="R402" s="36" t="str">
        <f>IFERROR(IF(AND(Q402="Отсутствует",VLOOKUP(A402,Торг!$A:$A,1,0)=A402),"Добавить","Есть"),"Новый")</f>
        <v>Есть</v>
      </c>
    </row>
    <row r="403" spans="1:18" ht="45" hidden="1">
      <c r="A403" s="238" t="s">
        <v>810</v>
      </c>
      <c r="B403" s="237">
        <v>275066</v>
      </c>
      <c r="C403" s="237">
        <v>226933</v>
      </c>
      <c r="D403" s="238" t="s">
        <v>1195</v>
      </c>
      <c r="E403" s="238" t="s">
        <v>741</v>
      </c>
      <c r="F403" s="238"/>
      <c r="G403" s="238"/>
      <c r="H403" s="238" t="s">
        <v>118</v>
      </c>
      <c r="I403" s="238" t="s">
        <v>250</v>
      </c>
      <c r="J403" s="239">
        <v>40470</v>
      </c>
      <c r="K403" s="239">
        <v>50090</v>
      </c>
      <c r="L403" s="238" t="s">
        <v>617</v>
      </c>
      <c r="M403" s="237">
        <v>1</v>
      </c>
      <c r="N403" s="237"/>
      <c r="O403" s="238"/>
      <c r="P403" s="88" t="str">
        <f t="shared" si="6"/>
        <v>1</v>
      </c>
      <c r="Q403" s="88" t="str">
        <f>IFERROR(INDEX(Торг!$F:$F,MATCH($B403,Торг!$B:$B,0)),"Отсутствует")</f>
        <v>Y</v>
      </c>
      <c r="R403" s="36" t="str">
        <f>IFERROR(IF(AND(Q403="Отсутствует",VLOOKUP(A403,Торг!$A:$A,1,0)=A403),"Добавить","Есть"),"Новый")</f>
        <v>Есть</v>
      </c>
    </row>
    <row r="404" spans="1:18" ht="45" hidden="1">
      <c r="A404" s="238" t="s">
        <v>810</v>
      </c>
      <c r="B404" s="237">
        <v>275078</v>
      </c>
      <c r="C404" s="237">
        <v>226946</v>
      </c>
      <c r="D404" s="238" t="s">
        <v>1196</v>
      </c>
      <c r="E404" s="238" t="s">
        <v>741</v>
      </c>
      <c r="F404" s="238"/>
      <c r="G404" s="238"/>
      <c r="H404" s="238" t="s">
        <v>118</v>
      </c>
      <c r="I404" s="238" t="s">
        <v>250</v>
      </c>
      <c r="J404" s="239">
        <v>41300</v>
      </c>
      <c r="K404" s="239">
        <v>51090</v>
      </c>
      <c r="L404" s="238" t="s">
        <v>617</v>
      </c>
      <c r="M404" s="237">
        <v>1</v>
      </c>
      <c r="N404" s="237"/>
      <c r="O404" s="238"/>
      <c r="P404" s="88" t="str">
        <f t="shared" si="6"/>
        <v>1</v>
      </c>
      <c r="Q404" s="88" t="str">
        <f>IFERROR(INDEX(Торг!$F:$F,MATCH($B404,Торг!$B:$B,0)),"Отсутствует")</f>
        <v>Y</v>
      </c>
      <c r="R404" s="36" t="str">
        <f>IFERROR(IF(AND(Q404="Отсутствует",VLOOKUP(A404,Торг!$A:$A,1,0)=A404),"Добавить","Есть"),"Новый")</f>
        <v>Есть</v>
      </c>
    </row>
    <row r="405" spans="1:18" ht="45" hidden="1">
      <c r="A405" s="238" t="s">
        <v>810</v>
      </c>
      <c r="B405" s="237">
        <v>275067</v>
      </c>
      <c r="C405" s="237">
        <v>226935</v>
      </c>
      <c r="D405" s="238" t="s">
        <v>1197</v>
      </c>
      <c r="E405" s="238" t="s">
        <v>741</v>
      </c>
      <c r="F405" s="238"/>
      <c r="G405" s="238"/>
      <c r="H405" s="238" t="s">
        <v>118</v>
      </c>
      <c r="I405" s="238" t="s">
        <v>250</v>
      </c>
      <c r="J405" s="239">
        <v>40470</v>
      </c>
      <c r="K405" s="239">
        <v>50090</v>
      </c>
      <c r="L405" s="238" t="s">
        <v>617</v>
      </c>
      <c r="M405" s="237">
        <v>1</v>
      </c>
      <c r="N405" s="237"/>
      <c r="O405" s="238"/>
      <c r="P405" s="88" t="str">
        <f t="shared" si="6"/>
        <v>1</v>
      </c>
      <c r="Q405" s="88" t="str">
        <f>IFERROR(INDEX(Торг!$F:$F,MATCH($B405,Торг!$B:$B,0)),"Отсутствует")</f>
        <v>Y</v>
      </c>
      <c r="R405" s="36" t="str">
        <f>IFERROR(IF(AND(Q405="Отсутствует",VLOOKUP(A405,Торг!$A:$A,1,0)=A405),"Добавить","Есть"),"Новый")</f>
        <v>Есть</v>
      </c>
    </row>
    <row r="406" spans="1:18" ht="45" hidden="1">
      <c r="A406" s="238" t="s">
        <v>810</v>
      </c>
      <c r="B406" s="237">
        <v>275079</v>
      </c>
      <c r="C406" s="237">
        <v>226948</v>
      </c>
      <c r="D406" s="238" t="s">
        <v>1198</v>
      </c>
      <c r="E406" s="238" t="s">
        <v>741</v>
      </c>
      <c r="F406" s="238"/>
      <c r="G406" s="238"/>
      <c r="H406" s="238" t="s">
        <v>118</v>
      </c>
      <c r="I406" s="238" t="s">
        <v>250</v>
      </c>
      <c r="J406" s="239">
        <v>41300</v>
      </c>
      <c r="K406" s="239">
        <v>51090</v>
      </c>
      <c r="L406" s="238" t="s">
        <v>617</v>
      </c>
      <c r="M406" s="237">
        <v>1</v>
      </c>
      <c r="N406" s="237"/>
      <c r="O406" s="238"/>
      <c r="P406" s="88" t="str">
        <f t="shared" si="6"/>
        <v>1</v>
      </c>
      <c r="Q406" s="88" t="str">
        <f>IFERROR(INDEX(Торг!$F:$F,MATCH($B406,Торг!$B:$B,0)),"Отсутствует")</f>
        <v>Y</v>
      </c>
      <c r="R406" s="36" t="str">
        <f>IFERROR(IF(AND(Q406="Отсутствует",VLOOKUP(A406,Торг!$A:$A,1,0)=A406),"Добавить","Есть"),"Новый")</f>
        <v>Есть</v>
      </c>
    </row>
    <row r="407" spans="1:18" ht="45" hidden="1">
      <c r="A407" s="238" t="s">
        <v>810</v>
      </c>
      <c r="B407" s="237">
        <v>275070</v>
      </c>
      <c r="C407" s="237">
        <v>226936</v>
      </c>
      <c r="D407" s="238" t="s">
        <v>1199</v>
      </c>
      <c r="E407" s="238" t="s">
        <v>741</v>
      </c>
      <c r="F407" s="238"/>
      <c r="G407" s="238"/>
      <c r="H407" s="238" t="s">
        <v>118</v>
      </c>
      <c r="I407" s="238" t="s">
        <v>250</v>
      </c>
      <c r="J407" s="239">
        <v>40470</v>
      </c>
      <c r="K407" s="239">
        <v>50090</v>
      </c>
      <c r="L407" s="238" t="s">
        <v>617</v>
      </c>
      <c r="M407" s="237">
        <v>1</v>
      </c>
      <c r="N407" s="237"/>
      <c r="O407" s="238"/>
      <c r="P407" s="88" t="str">
        <f t="shared" si="6"/>
        <v>1</v>
      </c>
      <c r="Q407" s="88" t="str">
        <f>IFERROR(INDEX(Торг!$F:$F,MATCH($B407,Торг!$B:$B,0)),"Отсутствует")</f>
        <v>Y</v>
      </c>
      <c r="R407" s="36" t="str">
        <f>IFERROR(IF(AND(Q407="Отсутствует",VLOOKUP(A407,Торг!$A:$A,1,0)=A407),"Добавить","Есть"),"Новый")</f>
        <v>Есть</v>
      </c>
    </row>
    <row r="408" spans="1:18" ht="45" hidden="1">
      <c r="A408" s="238" t="s">
        <v>810</v>
      </c>
      <c r="B408" s="237">
        <v>275082</v>
      </c>
      <c r="C408" s="237">
        <v>226949</v>
      </c>
      <c r="D408" s="238" t="s">
        <v>1200</v>
      </c>
      <c r="E408" s="238" t="s">
        <v>741</v>
      </c>
      <c r="F408" s="238"/>
      <c r="G408" s="238"/>
      <c r="H408" s="238" t="s">
        <v>118</v>
      </c>
      <c r="I408" s="238" t="s">
        <v>250</v>
      </c>
      <c r="J408" s="239">
        <v>41300</v>
      </c>
      <c r="K408" s="239">
        <v>51090</v>
      </c>
      <c r="L408" s="238" t="s">
        <v>617</v>
      </c>
      <c r="M408" s="237">
        <v>1</v>
      </c>
      <c r="N408" s="237"/>
      <c r="O408" s="238"/>
      <c r="P408" s="88" t="str">
        <f t="shared" si="6"/>
        <v>1</v>
      </c>
      <c r="Q408" s="88" t="str">
        <f>IFERROR(INDEX(Торг!$F:$F,MATCH($B408,Торг!$B:$B,0)),"Отсутствует")</f>
        <v>Y</v>
      </c>
      <c r="R408" s="36" t="str">
        <f>IFERROR(IF(AND(Q408="Отсутствует",VLOOKUP(A408,Торг!$A:$A,1,0)=A408),"Добавить","Есть"),"Новый")</f>
        <v>Есть</v>
      </c>
    </row>
    <row r="409" spans="1:18" ht="45" hidden="1">
      <c r="A409" s="238" t="s">
        <v>810</v>
      </c>
      <c r="B409" s="237">
        <v>275068</v>
      </c>
      <c r="C409" s="237">
        <v>226932</v>
      </c>
      <c r="D409" s="238" t="s">
        <v>1201</v>
      </c>
      <c r="E409" s="238" t="s">
        <v>741</v>
      </c>
      <c r="F409" s="238"/>
      <c r="G409" s="238"/>
      <c r="H409" s="238" t="s">
        <v>118</v>
      </c>
      <c r="I409" s="238" t="s">
        <v>250</v>
      </c>
      <c r="J409" s="239">
        <v>40470</v>
      </c>
      <c r="K409" s="239">
        <v>50090</v>
      </c>
      <c r="L409" s="238" t="s">
        <v>617</v>
      </c>
      <c r="M409" s="237">
        <v>1</v>
      </c>
      <c r="N409" s="237"/>
      <c r="O409" s="238"/>
      <c r="P409" s="88" t="str">
        <f t="shared" si="6"/>
        <v>1</v>
      </c>
      <c r="Q409" s="88" t="str">
        <f>IFERROR(INDEX(Торг!$F:$F,MATCH($B409,Торг!$B:$B,0)),"Отсутствует")</f>
        <v>Y</v>
      </c>
      <c r="R409" s="36" t="str">
        <f>IFERROR(IF(AND(Q409="Отсутствует",VLOOKUP(A409,Торг!$A:$A,1,0)=A409),"Добавить","Есть"),"Новый")</f>
        <v>Есть</v>
      </c>
    </row>
    <row r="410" spans="1:18" ht="45" hidden="1">
      <c r="A410" s="238" t="s">
        <v>810</v>
      </c>
      <c r="B410" s="237">
        <v>275080</v>
      </c>
      <c r="C410" s="237">
        <v>226945</v>
      </c>
      <c r="D410" s="238" t="s">
        <v>1202</v>
      </c>
      <c r="E410" s="238" t="s">
        <v>741</v>
      </c>
      <c r="F410" s="238"/>
      <c r="G410" s="238"/>
      <c r="H410" s="238" t="s">
        <v>118</v>
      </c>
      <c r="I410" s="238" t="s">
        <v>250</v>
      </c>
      <c r="J410" s="239">
        <v>41300</v>
      </c>
      <c r="K410" s="239">
        <v>51090</v>
      </c>
      <c r="L410" s="238" t="s">
        <v>617</v>
      </c>
      <c r="M410" s="237">
        <v>1</v>
      </c>
      <c r="N410" s="237"/>
      <c r="O410" s="238"/>
      <c r="P410" s="88" t="str">
        <f t="shared" si="6"/>
        <v>1</v>
      </c>
      <c r="Q410" s="88" t="str">
        <f>IFERROR(INDEX(Торг!$F:$F,MATCH($B410,Торг!$B:$B,0)),"Отсутствует")</f>
        <v>Y</v>
      </c>
      <c r="R410" s="36" t="str">
        <f>IFERROR(IF(AND(Q410="Отсутствует",VLOOKUP(A410,Торг!$A:$A,1,0)=A410),"Добавить","Есть"),"Новый")</f>
        <v>Есть</v>
      </c>
    </row>
    <row r="411" spans="1:18" ht="45" hidden="1">
      <c r="A411" s="238" t="s">
        <v>810</v>
      </c>
      <c r="B411" s="237">
        <v>275069</v>
      </c>
      <c r="C411" s="237">
        <v>226931</v>
      </c>
      <c r="D411" s="238" t="s">
        <v>1203</v>
      </c>
      <c r="E411" s="238" t="s">
        <v>741</v>
      </c>
      <c r="F411" s="238"/>
      <c r="G411" s="238"/>
      <c r="H411" s="238" t="s">
        <v>118</v>
      </c>
      <c r="I411" s="238" t="s">
        <v>250</v>
      </c>
      <c r="J411" s="239">
        <v>40470</v>
      </c>
      <c r="K411" s="239">
        <v>50090</v>
      </c>
      <c r="L411" s="238" t="s">
        <v>617</v>
      </c>
      <c r="M411" s="237">
        <v>1</v>
      </c>
      <c r="N411" s="237"/>
      <c r="O411" s="238"/>
      <c r="P411" s="88" t="str">
        <f t="shared" si="6"/>
        <v>1</v>
      </c>
      <c r="Q411" s="88" t="str">
        <f>IFERROR(INDEX(Торг!$F:$F,MATCH($B411,Торг!$B:$B,0)),"Отсутствует")</f>
        <v>Y</v>
      </c>
      <c r="R411" s="36" t="str">
        <f>IFERROR(IF(AND(Q411="Отсутствует",VLOOKUP(A411,Торг!$A:$A,1,0)=A411),"Добавить","Есть"),"Новый")</f>
        <v>Есть</v>
      </c>
    </row>
    <row r="412" spans="1:18" ht="45" hidden="1">
      <c r="A412" s="238" t="s">
        <v>810</v>
      </c>
      <c r="B412" s="237">
        <v>275081</v>
      </c>
      <c r="C412" s="237">
        <v>226944</v>
      </c>
      <c r="D412" s="238" t="s">
        <v>1204</v>
      </c>
      <c r="E412" s="238" t="s">
        <v>741</v>
      </c>
      <c r="F412" s="238"/>
      <c r="G412" s="238"/>
      <c r="H412" s="238" t="s">
        <v>118</v>
      </c>
      <c r="I412" s="238" t="s">
        <v>250</v>
      </c>
      <c r="J412" s="239">
        <v>41300</v>
      </c>
      <c r="K412" s="239">
        <v>51090</v>
      </c>
      <c r="L412" s="238" t="s">
        <v>617</v>
      </c>
      <c r="M412" s="237">
        <v>1</v>
      </c>
      <c r="N412" s="237"/>
      <c r="O412" s="238"/>
      <c r="P412" s="88" t="str">
        <f t="shared" si="6"/>
        <v>1</v>
      </c>
      <c r="Q412" s="88" t="str">
        <f>IFERROR(INDEX(Торг!$F:$F,MATCH($B412,Торг!$B:$B,0)),"Отсутствует")</f>
        <v>Y</v>
      </c>
      <c r="R412" s="36" t="str">
        <f>IFERROR(IF(AND(Q412="Отсутствует",VLOOKUP(A412,Торг!$A:$A,1,0)=A412),"Добавить","Есть"),"Новый")</f>
        <v>Есть</v>
      </c>
    </row>
    <row r="413" spans="1:18" ht="45" hidden="1">
      <c r="A413" s="238" t="s">
        <v>810</v>
      </c>
      <c r="B413" s="237">
        <v>275071</v>
      </c>
      <c r="C413" s="237">
        <v>226928</v>
      </c>
      <c r="D413" s="238" t="s">
        <v>1205</v>
      </c>
      <c r="E413" s="238" t="s">
        <v>741</v>
      </c>
      <c r="F413" s="238"/>
      <c r="G413" s="238"/>
      <c r="H413" s="238" t="s">
        <v>118</v>
      </c>
      <c r="I413" s="238" t="s">
        <v>250</v>
      </c>
      <c r="J413" s="239">
        <v>40470</v>
      </c>
      <c r="K413" s="239">
        <v>50090</v>
      </c>
      <c r="L413" s="238" t="s">
        <v>617</v>
      </c>
      <c r="M413" s="237">
        <v>1</v>
      </c>
      <c r="N413" s="237"/>
      <c r="O413" s="238"/>
      <c r="P413" s="88" t="str">
        <f t="shared" si="6"/>
        <v>1</v>
      </c>
      <c r="Q413" s="88" t="str">
        <f>IFERROR(INDEX(Торг!$F:$F,MATCH($B413,Торг!$B:$B,0)),"Отсутствует")</f>
        <v>Y</v>
      </c>
      <c r="R413" s="36" t="str">
        <f>IFERROR(IF(AND(Q413="Отсутствует",VLOOKUP(A413,Торг!$A:$A,1,0)=A413),"Добавить","Есть"),"Новый")</f>
        <v>Есть</v>
      </c>
    </row>
    <row r="414" spans="1:18" ht="45" hidden="1">
      <c r="A414" s="238" t="s">
        <v>810</v>
      </c>
      <c r="B414" s="237">
        <v>275083</v>
      </c>
      <c r="C414" s="237">
        <v>226941</v>
      </c>
      <c r="D414" s="238" t="s">
        <v>1206</v>
      </c>
      <c r="E414" s="238" t="s">
        <v>741</v>
      </c>
      <c r="F414" s="238"/>
      <c r="G414" s="238"/>
      <c r="H414" s="238" t="s">
        <v>118</v>
      </c>
      <c r="I414" s="238" t="s">
        <v>250</v>
      </c>
      <c r="J414" s="239">
        <v>41300</v>
      </c>
      <c r="K414" s="239">
        <v>51090</v>
      </c>
      <c r="L414" s="238" t="s">
        <v>617</v>
      </c>
      <c r="M414" s="237">
        <v>1</v>
      </c>
      <c r="N414" s="237"/>
      <c r="O414" s="238"/>
      <c r="P414" s="88" t="str">
        <f t="shared" ref="P414:P477" si="7">_xlfn.CONCAT(M414,IF(N414&lt;&gt;"",_xlfn.CONCAT("ск",N414),""))</f>
        <v>1</v>
      </c>
      <c r="Q414" s="88" t="str">
        <f>IFERROR(INDEX(Торг!$F:$F,MATCH($B414,Торг!$B:$B,0)),"Отсутствует")</f>
        <v>Y</v>
      </c>
      <c r="R414" s="36" t="str">
        <f>IFERROR(IF(AND(Q414="Отсутствует",VLOOKUP(A414,Торг!$A:$A,1,0)=A414),"Добавить","Есть"),"Новый")</f>
        <v>Есть</v>
      </c>
    </row>
    <row r="415" spans="1:18" ht="45" hidden="1">
      <c r="A415" s="238" t="s">
        <v>810</v>
      </c>
      <c r="B415" s="237">
        <v>275063</v>
      </c>
      <c r="C415" s="237">
        <v>226927</v>
      </c>
      <c r="D415" s="238" t="s">
        <v>1207</v>
      </c>
      <c r="E415" s="238" t="s">
        <v>741</v>
      </c>
      <c r="F415" s="238"/>
      <c r="G415" s="238"/>
      <c r="H415" s="238" t="s">
        <v>118</v>
      </c>
      <c r="I415" s="238" t="s">
        <v>250</v>
      </c>
      <c r="J415" s="239">
        <v>40470</v>
      </c>
      <c r="K415" s="239">
        <v>50090</v>
      </c>
      <c r="L415" s="238" t="s">
        <v>617</v>
      </c>
      <c r="M415" s="237">
        <v>1</v>
      </c>
      <c r="N415" s="237"/>
      <c r="O415" s="238"/>
      <c r="P415" s="88" t="str">
        <f t="shared" si="7"/>
        <v>1</v>
      </c>
      <c r="Q415" s="88" t="str">
        <f>IFERROR(INDEX(Торг!$F:$F,MATCH($B415,Торг!$B:$B,0)),"Отсутствует")</f>
        <v>Y</v>
      </c>
      <c r="R415" s="36" t="str">
        <f>IFERROR(IF(AND(Q415="Отсутствует",VLOOKUP(A415,Торг!$A:$A,1,0)=A415),"Добавить","Есть"),"Новый")</f>
        <v>Есть</v>
      </c>
    </row>
    <row r="416" spans="1:18" ht="45" hidden="1">
      <c r="A416" s="238" t="s">
        <v>810</v>
      </c>
      <c r="B416" s="237">
        <v>275075</v>
      </c>
      <c r="C416" s="237">
        <v>226940</v>
      </c>
      <c r="D416" s="238" t="s">
        <v>1208</v>
      </c>
      <c r="E416" s="238" t="s">
        <v>741</v>
      </c>
      <c r="F416" s="238"/>
      <c r="G416" s="238"/>
      <c r="H416" s="238" t="s">
        <v>118</v>
      </c>
      <c r="I416" s="238" t="s">
        <v>250</v>
      </c>
      <c r="J416" s="239">
        <v>41300</v>
      </c>
      <c r="K416" s="239">
        <v>51090</v>
      </c>
      <c r="L416" s="238" t="s">
        <v>617</v>
      </c>
      <c r="M416" s="237">
        <v>1</v>
      </c>
      <c r="N416" s="237"/>
      <c r="O416" s="238"/>
      <c r="P416" s="88" t="str">
        <f t="shared" si="7"/>
        <v>1</v>
      </c>
      <c r="Q416" s="88" t="str">
        <f>IFERROR(INDEX(Торг!$F:$F,MATCH($B416,Торг!$B:$B,0)),"Отсутствует")</f>
        <v>Y</v>
      </c>
      <c r="R416" s="36" t="str">
        <f>IFERROR(IF(AND(Q416="Отсутствует",VLOOKUP(A416,Торг!$A:$A,1,0)=A416),"Добавить","Есть"),"Новый")</f>
        <v>Есть</v>
      </c>
    </row>
    <row r="417" spans="1:18" ht="45" hidden="1">
      <c r="A417" s="238" t="s">
        <v>810</v>
      </c>
      <c r="B417" s="237">
        <v>275060</v>
      </c>
      <c r="C417" s="237">
        <v>226924</v>
      </c>
      <c r="D417" s="238" t="s">
        <v>1209</v>
      </c>
      <c r="E417" s="238" t="s">
        <v>741</v>
      </c>
      <c r="F417" s="238"/>
      <c r="G417" s="238"/>
      <c r="H417" s="238" t="s">
        <v>118</v>
      </c>
      <c r="I417" s="238" t="s">
        <v>250</v>
      </c>
      <c r="J417" s="239">
        <v>39600</v>
      </c>
      <c r="K417" s="239">
        <v>48990</v>
      </c>
      <c r="L417" s="238" t="s">
        <v>617</v>
      </c>
      <c r="M417" s="237">
        <v>1</v>
      </c>
      <c r="N417" s="237"/>
      <c r="O417" s="238"/>
      <c r="P417" s="88" t="str">
        <f t="shared" si="7"/>
        <v>1</v>
      </c>
      <c r="Q417" s="88" t="str">
        <f>IFERROR(INDEX(Торг!$F:$F,MATCH($B417,Торг!$B:$B,0)),"Отсутствует")</f>
        <v>Y</v>
      </c>
      <c r="R417" s="36" t="str">
        <f>IFERROR(IF(AND(Q417="Отсутствует",VLOOKUP(A417,Торг!$A:$A,1,0)=A417),"Добавить","Есть"),"Новый")</f>
        <v>Есть</v>
      </c>
    </row>
    <row r="418" spans="1:18" ht="45" hidden="1">
      <c r="A418" s="238" t="s">
        <v>810</v>
      </c>
      <c r="B418" s="237">
        <v>275061</v>
      </c>
      <c r="C418" s="237">
        <v>226925</v>
      </c>
      <c r="D418" s="238" t="s">
        <v>1210</v>
      </c>
      <c r="E418" s="238" t="s">
        <v>741</v>
      </c>
      <c r="F418" s="238"/>
      <c r="G418" s="238"/>
      <c r="H418" s="238" t="s">
        <v>118</v>
      </c>
      <c r="I418" s="238" t="s">
        <v>250</v>
      </c>
      <c r="J418" s="239">
        <v>40430</v>
      </c>
      <c r="K418" s="239">
        <v>49990</v>
      </c>
      <c r="L418" s="238" t="s">
        <v>617</v>
      </c>
      <c r="M418" s="237">
        <v>1</v>
      </c>
      <c r="N418" s="237"/>
      <c r="O418" s="238"/>
      <c r="P418" s="88" t="str">
        <f t="shared" si="7"/>
        <v>1</v>
      </c>
      <c r="Q418" s="88" t="str">
        <f>IFERROR(INDEX(Торг!$F:$F,MATCH($B418,Торг!$B:$B,0)),"Отсутствует")</f>
        <v>Y</v>
      </c>
      <c r="R418" s="36" t="str">
        <f>IFERROR(IF(AND(Q418="Отсутствует",VLOOKUP(A418,Торг!$A:$A,1,0)=A418),"Добавить","Есть"),"Новый")</f>
        <v>Есть</v>
      </c>
    </row>
    <row r="419" spans="1:18" ht="75" hidden="1">
      <c r="A419" s="238" t="s">
        <v>811</v>
      </c>
      <c r="B419" s="237">
        <v>132618</v>
      </c>
      <c r="C419" s="237">
        <v>166727</v>
      </c>
      <c r="D419" s="238" t="s">
        <v>1211</v>
      </c>
      <c r="E419" s="238" t="s">
        <v>741</v>
      </c>
      <c r="F419" s="238"/>
      <c r="G419" s="238"/>
      <c r="H419" s="238" t="s">
        <v>132</v>
      </c>
      <c r="I419" s="238" t="s">
        <v>250</v>
      </c>
      <c r="J419" s="239">
        <v>49720</v>
      </c>
      <c r="K419" s="239">
        <v>61490</v>
      </c>
      <c r="L419" s="238" t="s">
        <v>622</v>
      </c>
      <c r="M419" s="237">
        <v>1</v>
      </c>
      <c r="N419" s="237"/>
      <c r="O419" s="238"/>
      <c r="P419" s="88" t="str">
        <f t="shared" si="7"/>
        <v>1</v>
      </c>
      <c r="Q419" s="88" t="str">
        <f>IFERROR(INDEX(Торг!$F:$F,MATCH($B419,Торг!$B:$B,0)),"Отсутствует")</f>
        <v>Y</v>
      </c>
      <c r="R419" s="36" t="str">
        <f>IFERROR(IF(AND(Q419="Отсутствует",VLOOKUP(A419,Торг!$A:$A,1,0)=A419),"Добавить","Есть"),"Новый")</f>
        <v>Есть</v>
      </c>
    </row>
    <row r="420" spans="1:18" ht="60" hidden="1">
      <c r="A420" s="238" t="s">
        <v>811</v>
      </c>
      <c r="B420" s="237">
        <v>341549</v>
      </c>
      <c r="C420" s="237">
        <v>341549</v>
      </c>
      <c r="D420" s="238" t="s">
        <v>1212</v>
      </c>
      <c r="E420" s="238" t="s">
        <v>741</v>
      </c>
      <c r="F420" s="238"/>
      <c r="G420" s="238"/>
      <c r="H420" s="238" t="s">
        <v>132</v>
      </c>
      <c r="I420" s="238" t="s">
        <v>250</v>
      </c>
      <c r="J420" s="239">
        <v>50550</v>
      </c>
      <c r="K420" s="239">
        <v>62590</v>
      </c>
      <c r="L420" s="238" t="s">
        <v>622</v>
      </c>
      <c r="M420" s="237">
        <v>1</v>
      </c>
      <c r="N420" s="237"/>
      <c r="O420" s="238"/>
      <c r="P420" s="88" t="str">
        <f t="shared" si="7"/>
        <v>1</v>
      </c>
      <c r="Q420" s="88" t="str">
        <f>IFERROR(INDEX(Торг!$F:$F,MATCH($B420,Торг!$B:$B,0)),"Отсутствует")</f>
        <v>Y</v>
      </c>
      <c r="R420" s="36" t="str">
        <f>IFERROR(IF(AND(Q420="Отсутствует",VLOOKUP(A420,Торг!$A:$A,1,0)=A420),"Добавить","Есть"),"Новый")</f>
        <v>Есть</v>
      </c>
    </row>
    <row r="421" spans="1:18" ht="75" hidden="1">
      <c r="A421" s="238" t="s">
        <v>811</v>
      </c>
      <c r="B421" s="237">
        <v>132619</v>
      </c>
      <c r="C421" s="237">
        <v>166722</v>
      </c>
      <c r="D421" s="238" t="s">
        <v>1213</v>
      </c>
      <c r="E421" s="238" t="s">
        <v>741</v>
      </c>
      <c r="F421" s="238"/>
      <c r="G421" s="238"/>
      <c r="H421" s="238" t="s">
        <v>132</v>
      </c>
      <c r="I421" s="238" t="s">
        <v>250</v>
      </c>
      <c r="J421" s="239">
        <v>49720</v>
      </c>
      <c r="K421" s="239">
        <v>61490</v>
      </c>
      <c r="L421" s="238" t="s">
        <v>622</v>
      </c>
      <c r="M421" s="237">
        <v>1</v>
      </c>
      <c r="N421" s="237"/>
      <c r="O421" s="238"/>
      <c r="P421" s="88" t="str">
        <f t="shared" si="7"/>
        <v>1</v>
      </c>
      <c r="Q421" s="88" t="str">
        <f>IFERROR(INDEX(Торг!$F:$F,MATCH($B421,Торг!$B:$B,0)),"Отсутствует")</f>
        <v>Y</v>
      </c>
      <c r="R421" s="36" t="str">
        <f>IFERROR(IF(AND(Q421="Отсутствует",VLOOKUP(A421,Торг!$A:$A,1,0)=A421),"Добавить","Есть"),"Новый")</f>
        <v>Есть</v>
      </c>
    </row>
    <row r="422" spans="1:18" ht="75" hidden="1">
      <c r="A422" s="238" t="s">
        <v>811</v>
      </c>
      <c r="B422" s="237">
        <v>341561</v>
      </c>
      <c r="C422" s="237">
        <v>341561</v>
      </c>
      <c r="D422" s="238" t="s">
        <v>1214</v>
      </c>
      <c r="E422" s="238" t="s">
        <v>741</v>
      </c>
      <c r="F422" s="238"/>
      <c r="G422" s="238"/>
      <c r="H422" s="238" t="s">
        <v>132</v>
      </c>
      <c r="I422" s="238" t="s">
        <v>250</v>
      </c>
      <c r="J422" s="239">
        <v>50550</v>
      </c>
      <c r="K422" s="239">
        <v>62590</v>
      </c>
      <c r="L422" s="238" t="s">
        <v>622</v>
      </c>
      <c r="M422" s="237">
        <v>1</v>
      </c>
      <c r="N422" s="237"/>
      <c r="O422" s="238"/>
      <c r="P422" s="88" t="str">
        <f t="shared" si="7"/>
        <v>1</v>
      </c>
      <c r="Q422" s="88" t="str">
        <f>IFERROR(INDEX(Торг!$F:$F,MATCH($B422,Торг!$B:$B,0)),"Отсутствует")</f>
        <v>Y</v>
      </c>
      <c r="R422" s="36" t="str">
        <f>IFERROR(IF(AND(Q422="Отсутствует",VLOOKUP(A422,Торг!$A:$A,1,0)=A422),"Добавить","Есть"),"Новый")</f>
        <v>Есть</v>
      </c>
    </row>
    <row r="423" spans="1:18" ht="75" hidden="1">
      <c r="A423" s="238" t="s">
        <v>811</v>
      </c>
      <c r="B423" s="237">
        <v>132620</v>
      </c>
      <c r="C423" s="237">
        <v>166726</v>
      </c>
      <c r="D423" s="238" t="s">
        <v>1215</v>
      </c>
      <c r="E423" s="238" t="s">
        <v>741</v>
      </c>
      <c r="F423" s="238"/>
      <c r="G423" s="238"/>
      <c r="H423" s="238" t="s">
        <v>132</v>
      </c>
      <c r="I423" s="238" t="s">
        <v>250</v>
      </c>
      <c r="J423" s="239">
        <v>49720</v>
      </c>
      <c r="K423" s="239">
        <v>61490</v>
      </c>
      <c r="L423" s="238" t="s">
        <v>622</v>
      </c>
      <c r="M423" s="237">
        <v>1</v>
      </c>
      <c r="N423" s="237"/>
      <c r="O423" s="238"/>
      <c r="P423" s="88" t="str">
        <f t="shared" si="7"/>
        <v>1</v>
      </c>
      <c r="Q423" s="88" t="str">
        <f>IFERROR(INDEX(Торг!$F:$F,MATCH($B423,Торг!$B:$B,0)),"Отсутствует")</f>
        <v>Y</v>
      </c>
      <c r="R423" s="36" t="str">
        <f>IFERROR(IF(AND(Q423="Отсутствует",VLOOKUP(A423,Торг!$A:$A,1,0)=A423),"Добавить","Есть"),"Новый")</f>
        <v>Есть</v>
      </c>
    </row>
    <row r="424" spans="1:18" ht="75" hidden="1">
      <c r="A424" s="238" t="s">
        <v>811</v>
      </c>
      <c r="B424" s="237">
        <v>341560</v>
      </c>
      <c r="C424" s="237">
        <v>341560</v>
      </c>
      <c r="D424" s="238" t="s">
        <v>1216</v>
      </c>
      <c r="E424" s="238" t="s">
        <v>741</v>
      </c>
      <c r="F424" s="238"/>
      <c r="G424" s="238"/>
      <c r="H424" s="238" t="s">
        <v>132</v>
      </c>
      <c r="I424" s="238" t="s">
        <v>250</v>
      </c>
      <c r="J424" s="239">
        <v>50550</v>
      </c>
      <c r="K424" s="239">
        <v>62590</v>
      </c>
      <c r="L424" s="238" t="s">
        <v>622</v>
      </c>
      <c r="M424" s="237">
        <v>1</v>
      </c>
      <c r="N424" s="237"/>
      <c r="O424" s="238"/>
      <c r="P424" s="88" t="str">
        <f t="shared" si="7"/>
        <v>1</v>
      </c>
      <c r="Q424" s="88" t="str">
        <f>IFERROR(INDEX(Торг!$F:$F,MATCH($B424,Торг!$B:$B,0)),"Отсутствует")</f>
        <v>Y</v>
      </c>
      <c r="R424" s="36" t="str">
        <f>IFERROR(IF(AND(Q424="Отсутствует",VLOOKUP(A424,Торг!$A:$A,1,0)=A424),"Добавить","Есть"),"Новый")</f>
        <v>Есть</v>
      </c>
    </row>
    <row r="425" spans="1:18" ht="75" hidden="1">
      <c r="A425" s="238" t="s">
        <v>811</v>
      </c>
      <c r="B425" s="237">
        <v>132621</v>
      </c>
      <c r="C425" s="237">
        <v>166718</v>
      </c>
      <c r="D425" s="238" t="s">
        <v>1217</v>
      </c>
      <c r="E425" s="238" t="s">
        <v>741</v>
      </c>
      <c r="F425" s="238"/>
      <c r="G425" s="238"/>
      <c r="H425" s="238" t="s">
        <v>132</v>
      </c>
      <c r="I425" s="238" t="s">
        <v>250</v>
      </c>
      <c r="J425" s="239">
        <v>49720</v>
      </c>
      <c r="K425" s="239">
        <v>61490</v>
      </c>
      <c r="L425" s="238" t="s">
        <v>622</v>
      </c>
      <c r="M425" s="237">
        <v>1</v>
      </c>
      <c r="N425" s="237"/>
      <c r="O425" s="238"/>
      <c r="P425" s="88" t="str">
        <f t="shared" si="7"/>
        <v>1</v>
      </c>
      <c r="Q425" s="88" t="str">
        <f>IFERROR(INDEX(Торг!$F:$F,MATCH($B425,Торг!$B:$B,0)),"Отсутствует")</f>
        <v>Y</v>
      </c>
      <c r="R425" s="36" t="str">
        <f>IFERROR(IF(AND(Q425="Отсутствует",VLOOKUP(A425,Торг!$A:$A,1,0)=A425),"Добавить","Есть"),"Новый")</f>
        <v>Есть</v>
      </c>
    </row>
    <row r="426" spans="1:18" ht="75" hidden="1">
      <c r="A426" s="238" t="s">
        <v>811</v>
      </c>
      <c r="B426" s="237">
        <v>341552</v>
      </c>
      <c r="C426" s="237">
        <v>341552</v>
      </c>
      <c r="D426" s="238" t="s">
        <v>1218</v>
      </c>
      <c r="E426" s="238" t="s">
        <v>741</v>
      </c>
      <c r="F426" s="238"/>
      <c r="G426" s="238"/>
      <c r="H426" s="238" t="s">
        <v>132</v>
      </c>
      <c r="I426" s="238" t="s">
        <v>250</v>
      </c>
      <c r="J426" s="239">
        <v>50550</v>
      </c>
      <c r="K426" s="239">
        <v>62590</v>
      </c>
      <c r="L426" s="238" t="s">
        <v>622</v>
      </c>
      <c r="M426" s="237">
        <v>1</v>
      </c>
      <c r="N426" s="237"/>
      <c r="O426" s="238"/>
      <c r="P426" s="88" t="str">
        <f t="shared" si="7"/>
        <v>1</v>
      </c>
      <c r="Q426" s="88" t="str">
        <f>IFERROR(INDEX(Торг!$F:$F,MATCH($B426,Торг!$B:$B,0)),"Отсутствует")</f>
        <v>Y</v>
      </c>
      <c r="R426" s="36" t="str">
        <f>IFERROR(IF(AND(Q426="Отсутствует",VLOOKUP(A426,Торг!$A:$A,1,0)=A426),"Добавить","Есть"),"Новый")</f>
        <v>Есть</v>
      </c>
    </row>
    <row r="427" spans="1:18" ht="75" hidden="1">
      <c r="A427" s="238" t="s">
        <v>811</v>
      </c>
      <c r="B427" s="237">
        <v>132622</v>
      </c>
      <c r="C427" s="237">
        <v>166725</v>
      </c>
      <c r="D427" s="238" t="s">
        <v>1219</v>
      </c>
      <c r="E427" s="238" t="s">
        <v>741</v>
      </c>
      <c r="F427" s="238"/>
      <c r="G427" s="238"/>
      <c r="H427" s="238" t="s">
        <v>132</v>
      </c>
      <c r="I427" s="238" t="s">
        <v>250</v>
      </c>
      <c r="J427" s="239">
        <v>49720</v>
      </c>
      <c r="K427" s="239">
        <v>61490</v>
      </c>
      <c r="L427" s="238" t="s">
        <v>622</v>
      </c>
      <c r="M427" s="237">
        <v>1</v>
      </c>
      <c r="N427" s="237"/>
      <c r="O427" s="238"/>
      <c r="P427" s="88" t="str">
        <f t="shared" si="7"/>
        <v>1</v>
      </c>
      <c r="Q427" s="88" t="str">
        <f>IFERROR(INDEX(Торг!$F:$F,MATCH($B427,Торг!$B:$B,0)),"Отсутствует")</f>
        <v>Y</v>
      </c>
      <c r="R427" s="36" t="str">
        <f>IFERROR(IF(AND(Q427="Отсутствует",VLOOKUP(A427,Торг!$A:$A,1,0)=A427),"Добавить","Есть"),"Новый")</f>
        <v>Есть</v>
      </c>
    </row>
    <row r="428" spans="1:18" ht="75" hidden="1">
      <c r="A428" s="238" t="s">
        <v>811</v>
      </c>
      <c r="B428" s="237">
        <v>341553</v>
      </c>
      <c r="C428" s="237">
        <v>341553</v>
      </c>
      <c r="D428" s="238" t="s">
        <v>1220</v>
      </c>
      <c r="E428" s="238" t="s">
        <v>741</v>
      </c>
      <c r="F428" s="238"/>
      <c r="G428" s="238"/>
      <c r="H428" s="238" t="s">
        <v>132</v>
      </c>
      <c r="I428" s="238" t="s">
        <v>250</v>
      </c>
      <c r="J428" s="239">
        <v>50550</v>
      </c>
      <c r="K428" s="239">
        <v>62590</v>
      </c>
      <c r="L428" s="238" t="s">
        <v>622</v>
      </c>
      <c r="M428" s="237">
        <v>1</v>
      </c>
      <c r="N428" s="237"/>
      <c r="O428" s="238"/>
      <c r="P428" s="88" t="str">
        <f t="shared" si="7"/>
        <v>1</v>
      </c>
      <c r="Q428" s="88" t="str">
        <f>IFERROR(INDEX(Торг!$F:$F,MATCH($B428,Торг!$B:$B,0)),"Отсутствует")</f>
        <v>Y</v>
      </c>
      <c r="R428" s="36" t="str">
        <f>IFERROR(IF(AND(Q428="Отсутствует",VLOOKUP(A428,Торг!$A:$A,1,0)=A428),"Добавить","Есть"),"Новый")</f>
        <v>Есть</v>
      </c>
    </row>
    <row r="429" spans="1:18" ht="75" hidden="1">
      <c r="A429" s="238" t="s">
        <v>811</v>
      </c>
      <c r="B429" s="237">
        <v>132623</v>
      </c>
      <c r="C429" s="237">
        <v>166721</v>
      </c>
      <c r="D429" s="238" t="s">
        <v>1221</v>
      </c>
      <c r="E429" s="238" t="s">
        <v>741</v>
      </c>
      <c r="F429" s="238"/>
      <c r="G429" s="238"/>
      <c r="H429" s="238" t="s">
        <v>132</v>
      </c>
      <c r="I429" s="238" t="s">
        <v>250</v>
      </c>
      <c r="J429" s="239">
        <v>49720</v>
      </c>
      <c r="K429" s="239">
        <v>61490</v>
      </c>
      <c r="L429" s="238" t="s">
        <v>622</v>
      </c>
      <c r="M429" s="237">
        <v>1</v>
      </c>
      <c r="N429" s="237"/>
      <c r="O429" s="238"/>
      <c r="P429" s="88" t="str">
        <f t="shared" si="7"/>
        <v>1</v>
      </c>
      <c r="Q429" s="88" t="str">
        <f>IFERROR(INDEX(Торг!$F:$F,MATCH($B429,Торг!$B:$B,0)),"Отсутствует")</f>
        <v>Y</v>
      </c>
      <c r="R429" s="36" t="str">
        <f>IFERROR(IF(AND(Q429="Отсутствует",VLOOKUP(A429,Торг!$A:$A,1,0)=A429),"Добавить","Есть"),"Новый")</f>
        <v>Есть</v>
      </c>
    </row>
    <row r="430" spans="1:18" ht="75" hidden="1">
      <c r="A430" s="238" t="s">
        <v>811</v>
      </c>
      <c r="B430" s="237">
        <v>341554</v>
      </c>
      <c r="C430" s="237">
        <v>341554</v>
      </c>
      <c r="D430" s="238" t="s">
        <v>1222</v>
      </c>
      <c r="E430" s="238" t="s">
        <v>741</v>
      </c>
      <c r="F430" s="238"/>
      <c r="G430" s="238"/>
      <c r="H430" s="238" t="s">
        <v>132</v>
      </c>
      <c r="I430" s="238" t="s">
        <v>250</v>
      </c>
      <c r="J430" s="239">
        <v>50550</v>
      </c>
      <c r="K430" s="239">
        <v>62590</v>
      </c>
      <c r="L430" s="238" t="s">
        <v>622</v>
      </c>
      <c r="M430" s="237">
        <v>1</v>
      </c>
      <c r="N430" s="237"/>
      <c r="O430" s="238"/>
      <c r="P430" s="88" t="str">
        <f t="shared" si="7"/>
        <v>1</v>
      </c>
      <c r="Q430" s="88" t="str">
        <f>IFERROR(INDEX(Торг!$F:$F,MATCH($B430,Торг!$B:$B,0)),"Отсутствует")</f>
        <v>Y</v>
      </c>
      <c r="R430" s="36" t="str">
        <f>IFERROR(IF(AND(Q430="Отсутствует",VLOOKUP(A430,Торг!$A:$A,1,0)=A430),"Добавить","Есть"),"Новый")</f>
        <v>Есть</v>
      </c>
    </row>
    <row r="431" spans="1:18" ht="75" hidden="1">
      <c r="A431" s="238" t="s">
        <v>811</v>
      </c>
      <c r="B431" s="237">
        <v>132624</v>
      </c>
      <c r="C431" s="237">
        <v>166723</v>
      </c>
      <c r="D431" s="238" t="s">
        <v>1223</v>
      </c>
      <c r="E431" s="238" t="s">
        <v>741</v>
      </c>
      <c r="F431" s="238"/>
      <c r="G431" s="238"/>
      <c r="H431" s="238" t="s">
        <v>132</v>
      </c>
      <c r="I431" s="238" t="s">
        <v>250</v>
      </c>
      <c r="J431" s="239">
        <v>49720</v>
      </c>
      <c r="K431" s="239">
        <v>61490</v>
      </c>
      <c r="L431" s="238" t="s">
        <v>622</v>
      </c>
      <c r="M431" s="237">
        <v>1</v>
      </c>
      <c r="N431" s="237"/>
      <c r="O431" s="238"/>
      <c r="P431" s="88" t="str">
        <f t="shared" si="7"/>
        <v>1</v>
      </c>
      <c r="Q431" s="88" t="str">
        <f>IFERROR(INDEX(Торг!$F:$F,MATCH($B431,Торг!$B:$B,0)),"Отсутствует")</f>
        <v>Y</v>
      </c>
      <c r="R431" s="36" t="str">
        <f>IFERROR(IF(AND(Q431="Отсутствует",VLOOKUP(A431,Торг!$A:$A,1,0)=A431),"Добавить","Есть"),"Новый")</f>
        <v>Есть</v>
      </c>
    </row>
    <row r="432" spans="1:18" ht="75" hidden="1">
      <c r="A432" s="238" t="s">
        <v>811</v>
      </c>
      <c r="B432" s="237">
        <v>341555</v>
      </c>
      <c r="C432" s="237">
        <v>341555</v>
      </c>
      <c r="D432" s="238" t="s">
        <v>1224</v>
      </c>
      <c r="E432" s="238" t="s">
        <v>741</v>
      </c>
      <c r="F432" s="238"/>
      <c r="G432" s="238"/>
      <c r="H432" s="238" t="s">
        <v>132</v>
      </c>
      <c r="I432" s="238" t="s">
        <v>250</v>
      </c>
      <c r="J432" s="239">
        <v>50550</v>
      </c>
      <c r="K432" s="239">
        <v>62590</v>
      </c>
      <c r="L432" s="238" t="s">
        <v>622</v>
      </c>
      <c r="M432" s="237">
        <v>1</v>
      </c>
      <c r="N432" s="237"/>
      <c r="O432" s="238"/>
      <c r="P432" s="88" t="str">
        <f t="shared" si="7"/>
        <v>1</v>
      </c>
      <c r="Q432" s="88" t="str">
        <f>IFERROR(INDEX(Торг!$F:$F,MATCH($B432,Торг!$B:$B,0)),"Отсутствует")</f>
        <v>Y</v>
      </c>
      <c r="R432" s="36" t="str">
        <f>IFERROR(IF(AND(Q432="Отсутствует",VLOOKUP(A432,Торг!$A:$A,1,0)=A432),"Добавить","Есть"),"Новый")</f>
        <v>Есть</v>
      </c>
    </row>
    <row r="433" spans="1:18" ht="75" hidden="1">
      <c r="A433" s="238" t="s">
        <v>811</v>
      </c>
      <c r="B433" s="237">
        <v>132625</v>
      </c>
      <c r="C433" s="237">
        <v>166724</v>
      </c>
      <c r="D433" s="238" t="s">
        <v>1225</v>
      </c>
      <c r="E433" s="238" t="s">
        <v>741</v>
      </c>
      <c r="F433" s="238"/>
      <c r="G433" s="238"/>
      <c r="H433" s="238" t="s">
        <v>132</v>
      </c>
      <c r="I433" s="238" t="s">
        <v>250</v>
      </c>
      <c r="J433" s="239">
        <v>49720</v>
      </c>
      <c r="K433" s="239">
        <v>61490</v>
      </c>
      <c r="L433" s="238" t="s">
        <v>622</v>
      </c>
      <c r="M433" s="237">
        <v>1</v>
      </c>
      <c r="N433" s="237"/>
      <c r="O433" s="238"/>
      <c r="P433" s="88" t="str">
        <f t="shared" si="7"/>
        <v>1</v>
      </c>
      <c r="Q433" s="88" t="str">
        <f>IFERROR(INDEX(Торг!$F:$F,MATCH($B433,Торг!$B:$B,0)),"Отсутствует")</f>
        <v>Y</v>
      </c>
      <c r="R433" s="36" t="str">
        <f>IFERROR(IF(AND(Q433="Отсутствует",VLOOKUP(A433,Торг!$A:$A,1,0)=A433),"Добавить","Есть"),"Новый")</f>
        <v>Есть</v>
      </c>
    </row>
    <row r="434" spans="1:18" ht="75" hidden="1">
      <c r="A434" s="238" t="s">
        <v>811</v>
      </c>
      <c r="B434" s="237">
        <v>341558</v>
      </c>
      <c r="C434" s="237">
        <v>341558</v>
      </c>
      <c r="D434" s="238" t="s">
        <v>1226</v>
      </c>
      <c r="E434" s="238" t="s">
        <v>741</v>
      </c>
      <c r="F434" s="238"/>
      <c r="G434" s="238"/>
      <c r="H434" s="238" t="s">
        <v>132</v>
      </c>
      <c r="I434" s="238" t="s">
        <v>250</v>
      </c>
      <c r="J434" s="239">
        <v>50550</v>
      </c>
      <c r="K434" s="239">
        <v>62590</v>
      </c>
      <c r="L434" s="238" t="s">
        <v>622</v>
      </c>
      <c r="M434" s="237">
        <v>1</v>
      </c>
      <c r="N434" s="237"/>
      <c r="O434" s="238"/>
      <c r="P434" s="88" t="str">
        <f t="shared" si="7"/>
        <v>1</v>
      </c>
      <c r="Q434" s="88" t="str">
        <f>IFERROR(INDEX(Торг!$F:$F,MATCH($B434,Торг!$B:$B,0)),"Отсутствует")</f>
        <v>Y</v>
      </c>
      <c r="R434" s="36" t="str">
        <f>IFERROR(IF(AND(Q434="Отсутствует",VLOOKUP(A434,Торг!$A:$A,1,0)=A434),"Добавить","Есть"),"Новый")</f>
        <v>Есть</v>
      </c>
    </row>
    <row r="435" spans="1:18" ht="75" hidden="1">
      <c r="A435" s="238" t="s">
        <v>811</v>
      </c>
      <c r="B435" s="237">
        <v>132626</v>
      </c>
      <c r="C435" s="237">
        <v>166720</v>
      </c>
      <c r="D435" s="238" t="s">
        <v>1227</v>
      </c>
      <c r="E435" s="238" t="s">
        <v>741</v>
      </c>
      <c r="F435" s="238"/>
      <c r="G435" s="238"/>
      <c r="H435" s="238" t="s">
        <v>132</v>
      </c>
      <c r="I435" s="238" t="s">
        <v>250</v>
      </c>
      <c r="J435" s="239">
        <v>49720</v>
      </c>
      <c r="K435" s="239">
        <v>61490</v>
      </c>
      <c r="L435" s="238" t="s">
        <v>622</v>
      </c>
      <c r="M435" s="237">
        <v>1</v>
      </c>
      <c r="N435" s="237"/>
      <c r="O435" s="238"/>
      <c r="P435" s="88" t="str">
        <f t="shared" si="7"/>
        <v>1</v>
      </c>
      <c r="Q435" s="88" t="str">
        <f>IFERROR(INDEX(Торг!$F:$F,MATCH($B435,Торг!$B:$B,0)),"Отсутствует")</f>
        <v>Y</v>
      </c>
      <c r="R435" s="36" t="str">
        <f>IFERROR(IF(AND(Q435="Отсутствует",VLOOKUP(A435,Торг!$A:$A,1,0)=A435),"Добавить","Есть"),"Новый")</f>
        <v>Есть</v>
      </c>
    </row>
    <row r="436" spans="1:18" ht="75" hidden="1">
      <c r="A436" s="238" t="s">
        <v>811</v>
      </c>
      <c r="B436" s="237">
        <v>341556</v>
      </c>
      <c r="C436" s="237">
        <v>341556</v>
      </c>
      <c r="D436" s="238" t="s">
        <v>1228</v>
      </c>
      <c r="E436" s="238" t="s">
        <v>741</v>
      </c>
      <c r="F436" s="238"/>
      <c r="G436" s="238"/>
      <c r="H436" s="238" t="s">
        <v>132</v>
      </c>
      <c r="I436" s="238" t="s">
        <v>250</v>
      </c>
      <c r="J436" s="239">
        <v>50550</v>
      </c>
      <c r="K436" s="239">
        <v>62590</v>
      </c>
      <c r="L436" s="238" t="s">
        <v>622</v>
      </c>
      <c r="M436" s="237">
        <v>1</v>
      </c>
      <c r="N436" s="237"/>
      <c r="O436" s="238"/>
      <c r="P436" s="88" t="str">
        <f t="shared" si="7"/>
        <v>1</v>
      </c>
      <c r="Q436" s="88" t="str">
        <f>IFERROR(INDEX(Торг!$F:$F,MATCH($B436,Торг!$B:$B,0)),"Отсутствует")</f>
        <v>Y</v>
      </c>
      <c r="R436" s="36" t="str">
        <f>IFERROR(IF(AND(Q436="Отсутствует",VLOOKUP(A436,Торг!$A:$A,1,0)=A436),"Добавить","Есть"),"Новый")</f>
        <v>Есть</v>
      </c>
    </row>
    <row r="437" spans="1:18" ht="75" hidden="1">
      <c r="A437" s="238" t="s">
        <v>811</v>
      </c>
      <c r="B437" s="237">
        <v>132627</v>
      </c>
      <c r="C437" s="237">
        <v>166719</v>
      </c>
      <c r="D437" s="238" t="s">
        <v>1229</v>
      </c>
      <c r="E437" s="238" t="s">
        <v>741</v>
      </c>
      <c r="F437" s="238"/>
      <c r="G437" s="238"/>
      <c r="H437" s="238" t="s">
        <v>132</v>
      </c>
      <c r="I437" s="238" t="s">
        <v>250</v>
      </c>
      <c r="J437" s="239">
        <v>49720</v>
      </c>
      <c r="K437" s="239">
        <v>61490</v>
      </c>
      <c r="L437" s="238" t="s">
        <v>622</v>
      </c>
      <c r="M437" s="237">
        <v>1</v>
      </c>
      <c r="N437" s="237"/>
      <c r="O437" s="238"/>
      <c r="P437" s="88" t="str">
        <f t="shared" si="7"/>
        <v>1</v>
      </c>
      <c r="Q437" s="88" t="str">
        <f>IFERROR(INDEX(Торг!$F:$F,MATCH($B437,Торг!$B:$B,0)),"Отсутствует")</f>
        <v>Y</v>
      </c>
      <c r="R437" s="36" t="str">
        <f>IFERROR(IF(AND(Q437="Отсутствует",VLOOKUP(A437,Торг!$A:$A,1,0)=A437),"Добавить","Есть"),"Новый")</f>
        <v>Есть</v>
      </c>
    </row>
    <row r="438" spans="1:18" ht="60" hidden="1">
      <c r="A438" s="238" t="s">
        <v>811</v>
      </c>
      <c r="B438" s="237">
        <v>341557</v>
      </c>
      <c r="C438" s="237">
        <v>341557</v>
      </c>
      <c r="D438" s="238" t="s">
        <v>1230</v>
      </c>
      <c r="E438" s="238" t="s">
        <v>741</v>
      </c>
      <c r="F438" s="238"/>
      <c r="G438" s="238"/>
      <c r="H438" s="238" t="s">
        <v>132</v>
      </c>
      <c r="I438" s="238" t="s">
        <v>250</v>
      </c>
      <c r="J438" s="239">
        <v>50550</v>
      </c>
      <c r="K438" s="239">
        <v>62590</v>
      </c>
      <c r="L438" s="238" t="s">
        <v>622</v>
      </c>
      <c r="M438" s="237">
        <v>1</v>
      </c>
      <c r="N438" s="237"/>
      <c r="O438" s="238"/>
      <c r="P438" s="88" t="str">
        <f t="shared" si="7"/>
        <v>1</v>
      </c>
      <c r="Q438" s="88" t="str">
        <f>IFERROR(INDEX(Торг!$F:$F,MATCH($B438,Торг!$B:$B,0)),"Отсутствует")</f>
        <v>Y</v>
      </c>
      <c r="R438" s="36" t="str">
        <f>IFERROR(IF(AND(Q438="Отсутствует",VLOOKUP(A438,Торг!$A:$A,1,0)=A438),"Добавить","Есть"),"Новый")</f>
        <v>Есть</v>
      </c>
    </row>
    <row r="439" spans="1:18" ht="75" hidden="1">
      <c r="A439" s="238" t="s">
        <v>811</v>
      </c>
      <c r="B439" s="237">
        <v>132628</v>
      </c>
      <c r="C439" s="237">
        <v>166717</v>
      </c>
      <c r="D439" s="238" t="s">
        <v>1231</v>
      </c>
      <c r="E439" s="238" t="s">
        <v>741</v>
      </c>
      <c r="F439" s="238"/>
      <c r="G439" s="238"/>
      <c r="H439" s="238" t="s">
        <v>132</v>
      </c>
      <c r="I439" s="238" t="s">
        <v>250</v>
      </c>
      <c r="J439" s="239">
        <v>49720</v>
      </c>
      <c r="K439" s="239">
        <v>61490</v>
      </c>
      <c r="L439" s="238" t="s">
        <v>622</v>
      </c>
      <c r="M439" s="237">
        <v>1</v>
      </c>
      <c r="N439" s="237"/>
      <c r="O439" s="238"/>
      <c r="P439" s="88" t="str">
        <f t="shared" si="7"/>
        <v>1</v>
      </c>
      <c r="Q439" s="88" t="str">
        <f>IFERROR(INDEX(Торг!$F:$F,MATCH($B439,Торг!$B:$B,0)),"Отсутствует")</f>
        <v>Y</v>
      </c>
      <c r="R439" s="36" t="str">
        <f>IFERROR(IF(AND(Q439="Отсутствует",VLOOKUP(A439,Торг!$A:$A,1,0)=A439),"Добавить","Есть"),"Новый")</f>
        <v>Есть</v>
      </c>
    </row>
    <row r="440" spans="1:18" ht="75" hidden="1">
      <c r="A440" s="238" t="s">
        <v>811</v>
      </c>
      <c r="B440" s="237">
        <v>341559</v>
      </c>
      <c r="C440" s="237">
        <v>341559</v>
      </c>
      <c r="D440" s="238" t="s">
        <v>1232</v>
      </c>
      <c r="E440" s="238" t="s">
        <v>741</v>
      </c>
      <c r="F440" s="238"/>
      <c r="G440" s="238"/>
      <c r="H440" s="238" t="s">
        <v>132</v>
      </c>
      <c r="I440" s="238" t="s">
        <v>250</v>
      </c>
      <c r="J440" s="239">
        <v>50550</v>
      </c>
      <c r="K440" s="239">
        <v>62590</v>
      </c>
      <c r="L440" s="238" t="s">
        <v>622</v>
      </c>
      <c r="M440" s="237">
        <v>1</v>
      </c>
      <c r="N440" s="237"/>
      <c r="O440" s="238"/>
      <c r="P440" s="88" t="str">
        <f t="shared" si="7"/>
        <v>1</v>
      </c>
      <c r="Q440" s="88" t="str">
        <f>IFERROR(INDEX(Торг!$F:$F,MATCH($B440,Торг!$B:$B,0)),"Отсутствует")</f>
        <v>Y</v>
      </c>
      <c r="R440" s="36" t="str">
        <f>IFERROR(IF(AND(Q440="Отсутствует",VLOOKUP(A440,Торг!$A:$A,1,0)=A440),"Добавить","Есть"),"Новый")</f>
        <v>Есть</v>
      </c>
    </row>
    <row r="441" spans="1:18" ht="75" hidden="1">
      <c r="A441" s="238" t="s">
        <v>811</v>
      </c>
      <c r="B441" s="237">
        <v>132629</v>
      </c>
      <c r="C441" s="237">
        <v>166716</v>
      </c>
      <c r="D441" s="238" t="s">
        <v>1233</v>
      </c>
      <c r="E441" s="238" t="s">
        <v>741</v>
      </c>
      <c r="F441" s="238"/>
      <c r="G441" s="238"/>
      <c r="H441" s="238" t="s">
        <v>132</v>
      </c>
      <c r="I441" s="238" t="s">
        <v>250</v>
      </c>
      <c r="J441" s="239">
        <v>49720</v>
      </c>
      <c r="K441" s="239">
        <v>61490</v>
      </c>
      <c r="L441" s="238" t="s">
        <v>622</v>
      </c>
      <c r="M441" s="237">
        <v>1</v>
      </c>
      <c r="N441" s="237"/>
      <c r="O441" s="238"/>
      <c r="P441" s="88" t="str">
        <f t="shared" si="7"/>
        <v>1</v>
      </c>
      <c r="Q441" s="88" t="str">
        <f>IFERROR(INDEX(Торг!$F:$F,MATCH($B441,Торг!$B:$B,0)),"Отсутствует")</f>
        <v>Y</v>
      </c>
      <c r="R441" s="36" t="str">
        <f>IFERROR(IF(AND(Q441="Отсутствует",VLOOKUP(A441,Торг!$A:$A,1,0)=A441),"Добавить","Есть"),"Новый")</f>
        <v>Есть</v>
      </c>
    </row>
    <row r="442" spans="1:18" ht="75" hidden="1">
      <c r="A442" s="238" t="s">
        <v>811</v>
      </c>
      <c r="B442" s="237">
        <v>341551</v>
      </c>
      <c r="C442" s="237">
        <v>341551</v>
      </c>
      <c r="D442" s="238" t="s">
        <v>1234</v>
      </c>
      <c r="E442" s="238" t="s">
        <v>741</v>
      </c>
      <c r="F442" s="238"/>
      <c r="G442" s="238"/>
      <c r="H442" s="238" t="s">
        <v>132</v>
      </c>
      <c r="I442" s="238" t="s">
        <v>250</v>
      </c>
      <c r="J442" s="239">
        <v>50550</v>
      </c>
      <c r="K442" s="239">
        <v>62590</v>
      </c>
      <c r="L442" s="238" t="s">
        <v>622</v>
      </c>
      <c r="M442" s="237">
        <v>1</v>
      </c>
      <c r="N442" s="237"/>
      <c r="O442" s="238"/>
      <c r="P442" s="88" t="str">
        <f t="shared" si="7"/>
        <v>1</v>
      </c>
      <c r="Q442" s="88" t="str">
        <f>IFERROR(INDEX(Торг!$F:$F,MATCH($B442,Торг!$B:$B,0)),"Отсутствует")</f>
        <v>Y</v>
      </c>
      <c r="R442" s="36" t="str">
        <f>IFERROR(IF(AND(Q442="Отсутствует",VLOOKUP(A442,Торг!$A:$A,1,0)=A442),"Добавить","Есть"),"Новый")</f>
        <v>Есть</v>
      </c>
    </row>
    <row r="443" spans="1:18" ht="75" hidden="1">
      <c r="A443" s="238" t="s">
        <v>811</v>
      </c>
      <c r="B443" s="237">
        <v>132630</v>
      </c>
      <c r="C443" s="237">
        <v>166713</v>
      </c>
      <c r="D443" s="238" t="s">
        <v>1235</v>
      </c>
      <c r="E443" s="238" t="s">
        <v>741</v>
      </c>
      <c r="F443" s="238"/>
      <c r="G443" s="238"/>
      <c r="H443" s="238" t="s">
        <v>132</v>
      </c>
      <c r="I443" s="238" t="s">
        <v>250</v>
      </c>
      <c r="J443" s="239">
        <v>48850</v>
      </c>
      <c r="K443" s="239">
        <v>60490</v>
      </c>
      <c r="L443" s="238" t="s">
        <v>622</v>
      </c>
      <c r="M443" s="237">
        <v>1</v>
      </c>
      <c r="N443" s="237"/>
      <c r="O443" s="238"/>
      <c r="P443" s="88" t="str">
        <f t="shared" si="7"/>
        <v>1</v>
      </c>
      <c r="Q443" s="88" t="str">
        <f>IFERROR(INDEX(Торг!$F:$F,MATCH($B443,Торг!$B:$B,0)),"Отсутствует")</f>
        <v>Y</v>
      </c>
      <c r="R443" s="36" t="str">
        <f>IFERROR(IF(AND(Q443="Отсутствует",VLOOKUP(A443,Торг!$A:$A,1,0)=A443),"Добавить","Есть"),"Новый")</f>
        <v>Есть</v>
      </c>
    </row>
    <row r="444" spans="1:18" ht="75" hidden="1">
      <c r="A444" s="238" t="s">
        <v>811</v>
      </c>
      <c r="B444" s="237">
        <v>341550</v>
      </c>
      <c r="C444" s="237">
        <v>341550</v>
      </c>
      <c r="D444" s="238" t="s">
        <v>1236</v>
      </c>
      <c r="E444" s="238" t="s">
        <v>741</v>
      </c>
      <c r="F444" s="238"/>
      <c r="G444" s="238"/>
      <c r="H444" s="238" t="s">
        <v>132</v>
      </c>
      <c r="I444" s="238" t="s">
        <v>250</v>
      </c>
      <c r="J444" s="239">
        <v>49680</v>
      </c>
      <c r="K444" s="239">
        <v>61490</v>
      </c>
      <c r="L444" s="238" t="s">
        <v>622</v>
      </c>
      <c r="M444" s="237">
        <v>1</v>
      </c>
      <c r="N444" s="237"/>
      <c r="O444" s="238"/>
      <c r="P444" s="88" t="str">
        <f t="shared" si="7"/>
        <v>1</v>
      </c>
      <c r="Q444" s="88" t="str">
        <f>IFERROR(INDEX(Торг!$F:$F,MATCH($B444,Торг!$B:$B,0)),"Отсутствует")</f>
        <v>Y</v>
      </c>
      <c r="R444" s="36" t="str">
        <f>IFERROR(IF(AND(Q444="Отсутствует",VLOOKUP(A444,Торг!$A:$A,1,0)=A444),"Добавить","Есть"),"Новый")</f>
        <v>Есть</v>
      </c>
    </row>
    <row r="445" spans="1:18" ht="60" hidden="1">
      <c r="A445" s="238" t="s">
        <v>812</v>
      </c>
      <c r="B445" s="237">
        <v>132490</v>
      </c>
      <c r="C445" s="237">
        <v>166786</v>
      </c>
      <c r="D445" s="238" t="s">
        <v>1237</v>
      </c>
      <c r="E445" s="238" t="s">
        <v>741</v>
      </c>
      <c r="F445" s="238"/>
      <c r="G445" s="238"/>
      <c r="H445" s="238" t="s">
        <v>128</v>
      </c>
      <c r="I445" s="238" t="s">
        <v>250</v>
      </c>
      <c r="J445" s="239">
        <v>47270</v>
      </c>
      <c r="K445" s="239">
        <v>58490</v>
      </c>
      <c r="L445" s="238" t="s">
        <v>617</v>
      </c>
      <c r="M445" s="237">
        <v>1</v>
      </c>
      <c r="N445" s="237"/>
      <c r="O445" s="238"/>
      <c r="P445" s="88" t="str">
        <f t="shared" si="7"/>
        <v>1</v>
      </c>
      <c r="Q445" s="88" t="str">
        <f>IFERROR(INDEX(Торг!$F:$F,MATCH($B445,Торг!$B:$B,0)),"Отсутствует")</f>
        <v>Y</v>
      </c>
      <c r="R445" s="36" t="str">
        <f>IFERROR(IF(AND(Q445="Отсутствует",VLOOKUP(A445,Торг!$A:$A,1,0)=A445),"Добавить","Есть"),"Новый")</f>
        <v>Есть</v>
      </c>
    </row>
    <row r="446" spans="1:18" ht="45" hidden="1">
      <c r="A446" s="238" t="s">
        <v>812</v>
      </c>
      <c r="B446" s="237">
        <v>341562</v>
      </c>
      <c r="C446" s="237">
        <v>341562</v>
      </c>
      <c r="D446" s="238" t="s">
        <v>1238</v>
      </c>
      <c r="E446" s="238" t="s">
        <v>741</v>
      </c>
      <c r="F446" s="238"/>
      <c r="G446" s="238"/>
      <c r="H446" s="238" t="s">
        <v>128</v>
      </c>
      <c r="I446" s="238" t="s">
        <v>250</v>
      </c>
      <c r="J446" s="239">
        <v>48100</v>
      </c>
      <c r="K446" s="239">
        <v>59490</v>
      </c>
      <c r="L446" s="238" t="s">
        <v>617</v>
      </c>
      <c r="M446" s="237">
        <v>1</v>
      </c>
      <c r="N446" s="237"/>
      <c r="O446" s="238"/>
      <c r="P446" s="88" t="str">
        <f t="shared" si="7"/>
        <v>1</v>
      </c>
      <c r="Q446" s="88" t="str">
        <f>IFERROR(INDEX(Торг!$F:$F,MATCH($B446,Торг!$B:$B,0)),"Отсутствует")</f>
        <v>Y</v>
      </c>
      <c r="R446" s="36" t="str">
        <f>IFERROR(IF(AND(Q446="Отсутствует",VLOOKUP(A446,Торг!$A:$A,1,0)=A446),"Добавить","Есть"),"Новый")</f>
        <v>Есть</v>
      </c>
    </row>
    <row r="447" spans="1:18" ht="60" hidden="1">
      <c r="A447" s="238" t="s">
        <v>812</v>
      </c>
      <c r="B447" s="237">
        <v>132491</v>
      </c>
      <c r="C447" s="237">
        <v>166781</v>
      </c>
      <c r="D447" s="238" t="s">
        <v>1239</v>
      </c>
      <c r="E447" s="238" t="s">
        <v>741</v>
      </c>
      <c r="F447" s="238"/>
      <c r="G447" s="238"/>
      <c r="H447" s="238" t="s">
        <v>128</v>
      </c>
      <c r="I447" s="238" t="s">
        <v>250</v>
      </c>
      <c r="J447" s="239">
        <v>47270</v>
      </c>
      <c r="K447" s="239">
        <v>58490</v>
      </c>
      <c r="L447" s="238" t="s">
        <v>617</v>
      </c>
      <c r="M447" s="237">
        <v>1</v>
      </c>
      <c r="N447" s="237"/>
      <c r="O447" s="238"/>
      <c r="P447" s="88" t="str">
        <f t="shared" si="7"/>
        <v>1</v>
      </c>
      <c r="Q447" s="88" t="str">
        <f>IFERROR(INDEX(Торг!$F:$F,MATCH($B447,Торг!$B:$B,0)),"Отсутствует")</f>
        <v>Y</v>
      </c>
      <c r="R447" s="36" t="str">
        <f>IFERROR(IF(AND(Q447="Отсутствует",VLOOKUP(A447,Торг!$A:$A,1,0)=A447),"Добавить","Есть"),"Новый")</f>
        <v>Есть</v>
      </c>
    </row>
    <row r="448" spans="1:18" ht="60" hidden="1">
      <c r="A448" s="238" t="s">
        <v>812</v>
      </c>
      <c r="B448" s="237">
        <v>341574</v>
      </c>
      <c r="C448" s="237">
        <v>341574</v>
      </c>
      <c r="D448" s="238" t="s">
        <v>1240</v>
      </c>
      <c r="E448" s="238" t="s">
        <v>741</v>
      </c>
      <c r="F448" s="238"/>
      <c r="G448" s="238"/>
      <c r="H448" s="238" t="s">
        <v>128</v>
      </c>
      <c r="I448" s="238" t="s">
        <v>250</v>
      </c>
      <c r="J448" s="239">
        <v>48100</v>
      </c>
      <c r="K448" s="239">
        <v>59490</v>
      </c>
      <c r="L448" s="238" t="s">
        <v>617</v>
      </c>
      <c r="M448" s="237">
        <v>1</v>
      </c>
      <c r="N448" s="237"/>
      <c r="O448" s="238"/>
      <c r="P448" s="88" t="str">
        <f t="shared" si="7"/>
        <v>1</v>
      </c>
      <c r="Q448" s="88" t="str">
        <f>IFERROR(INDEX(Торг!$F:$F,MATCH($B448,Торг!$B:$B,0)),"Отсутствует")</f>
        <v>Y</v>
      </c>
      <c r="R448" s="36" t="str">
        <f>IFERROR(IF(AND(Q448="Отсутствует",VLOOKUP(A448,Торг!$A:$A,1,0)=A448),"Добавить","Есть"),"Новый")</f>
        <v>Есть</v>
      </c>
    </row>
    <row r="449" spans="1:18" ht="60" hidden="1">
      <c r="A449" s="238" t="s">
        <v>812</v>
      </c>
      <c r="B449" s="237">
        <v>132492</v>
      </c>
      <c r="C449" s="237">
        <v>166785</v>
      </c>
      <c r="D449" s="238" t="s">
        <v>1241</v>
      </c>
      <c r="E449" s="238" t="s">
        <v>741</v>
      </c>
      <c r="F449" s="238"/>
      <c r="G449" s="238"/>
      <c r="H449" s="238" t="s">
        <v>128</v>
      </c>
      <c r="I449" s="238" t="s">
        <v>250</v>
      </c>
      <c r="J449" s="239">
        <v>47270</v>
      </c>
      <c r="K449" s="239">
        <v>58490</v>
      </c>
      <c r="L449" s="238" t="s">
        <v>617</v>
      </c>
      <c r="M449" s="237">
        <v>1</v>
      </c>
      <c r="N449" s="237"/>
      <c r="O449" s="238"/>
      <c r="P449" s="88" t="str">
        <f t="shared" si="7"/>
        <v>1</v>
      </c>
      <c r="Q449" s="88" t="str">
        <f>IFERROR(INDEX(Торг!$F:$F,MATCH($B449,Торг!$B:$B,0)),"Отсутствует")</f>
        <v>Y</v>
      </c>
      <c r="R449" s="36" t="str">
        <f>IFERROR(IF(AND(Q449="Отсутствует",VLOOKUP(A449,Торг!$A:$A,1,0)=A449),"Добавить","Есть"),"Новый")</f>
        <v>Есть</v>
      </c>
    </row>
    <row r="450" spans="1:18" ht="60" hidden="1">
      <c r="A450" s="238" t="s">
        <v>812</v>
      </c>
      <c r="B450" s="237">
        <v>341573</v>
      </c>
      <c r="C450" s="237">
        <v>341573</v>
      </c>
      <c r="D450" s="238" t="s">
        <v>1242</v>
      </c>
      <c r="E450" s="238" t="s">
        <v>741</v>
      </c>
      <c r="F450" s="238"/>
      <c r="G450" s="238"/>
      <c r="H450" s="238" t="s">
        <v>128</v>
      </c>
      <c r="I450" s="238" t="s">
        <v>250</v>
      </c>
      <c r="J450" s="239">
        <v>48100</v>
      </c>
      <c r="K450" s="239">
        <v>59490</v>
      </c>
      <c r="L450" s="238" t="s">
        <v>617</v>
      </c>
      <c r="M450" s="237">
        <v>1</v>
      </c>
      <c r="N450" s="237"/>
      <c r="O450" s="238"/>
      <c r="P450" s="88" t="str">
        <f t="shared" si="7"/>
        <v>1</v>
      </c>
      <c r="Q450" s="88" t="str">
        <f>IFERROR(INDEX(Торг!$F:$F,MATCH($B450,Торг!$B:$B,0)),"Отсутствует")</f>
        <v>Y</v>
      </c>
      <c r="R450" s="36" t="str">
        <f>IFERROR(IF(AND(Q450="Отсутствует",VLOOKUP(A450,Торг!$A:$A,1,0)=A450),"Добавить","Есть"),"Новый")</f>
        <v>Есть</v>
      </c>
    </row>
    <row r="451" spans="1:18" ht="60" hidden="1">
      <c r="A451" s="238" t="s">
        <v>812</v>
      </c>
      <c r="B451" s="237">
        <v>132493</v>
      </c>
      <c r="C451" s="237">
        <v>166777</v>
      </c>
      <c r="D451" s="238" t="s">
        <v>1243</v>
      </c>
      <c r="E451" s="238" t="s">
        <v>741</v>
      </c>
      <c r="F451" s="238"/>
      <c r="G451" s="238"/>
      <c r="H451" s="238" t="s">
        <v>128</v>
      </c>
      <c r="I451" s="238" t="s">
        <v>250</v>
      </c>
      <c r="J451" s="239">
        <v>47270</v>
      </c>
      <c r="K451" s="239">
        <v>58490</v>
      </c>
      <c r="L451" s="238" t="s">
        <v>617</v>
      </c>
      <c r="M451" s="237">
        <v>1</v>
      </c>
      <c r="N451" s="237"/>
      <c r="O451" s="238"/>
      <c r="P451" s="88" t="str">
        <f t="shared" si="7"/>
        <v>1</v>
      </c>
      <c r="Q451" s="88" t="str">
        <f>IFERROR(INDEX(Торг!$F:$F,MATCH($B451,Торг!$B:$B,0)),"Отсутствует")</f>
        <v>Y</v>
      </c>
      <c r="R451" s="36" t="str">
        <f>IFERROR(IF(AND(Q451="Отсутствует",VLOOKUP(A451,Торг!$A:$A,1,0)=A451),"Добавить","Есть"),"Новый")</f>
        <v>Есть</v>
      </c>
    </row>
    <row r="452" spans="1:18" ht="60" hidden="1">
      <c r="A452" s="238" t="s">
        <v>812</v>
      </c>
      <c r="B452" s="237">
        <v>341565</v>
      </c>
      <c r="C452" s="237">
        <v>341565</v>
      </c>
      <c r="D452" s="238" t="s">
        <v>1244</v>
      </c>
      <c r="E452" s="238" t="s">
        <v>741</v>
      </c>
      <c r="F452" s="238"/>
      <c r="G452" s="238"/>
      <c r="H452" s="238" t="s">
        <v>128</v>
      </c>
      <c r="I452" s="238" t="s">
        <v>250</v>
      </c>
      <c r="J452" s="239">
        <v>48100</v>
      </c>
      <c r="K452" s="239">
        <v>59490</v>
      </c>
      <c r="L452" s="238" t="s">
        <v>617</v>
      </c>
      <c r="M452" s="237">
        <v>1</v>
      </c>
      <c r="N452" s="237"/>
      <c r="O452" s="238"/>
      <c r="P452" s="88" t="str">
        <f t="shared" si="7"/>
        <v>1</v>
      </c>
      <c r="Q452" s="88" t="str">
        <f>IFERROR(INDEX(Торг!$F:$F,MATCH($B452,Торг!$B:$B,0)),"Отсутствует")</f>
        <v>Y</v>
      </c>
      <c r="R452" s="36" t="str">
        <f>IFERROR(IF(AND(Q452="Отсутствует",VLOOKUP(A452,Торг!$A:$A,1,0)=A452),"Добавить","Есть"),"Новый")</f>
        <v>Есть</v>
      </c>
    </row>
    <row r="453" spans="1:18" ht="60" hidden="1">
      <c r="A453" s="238" t="s">
        <v>812</v>
      </c>
      <c r="B453" s="237">
        <v>132494</v>
      </c>
      <c r="C453" s="237">
        <v>166784</v>
      </c>
      <c r="D453" s="238" t="s">
        <v>1245</v>
      </c>
      <c r="E453" s="238" t="s">
        <v>741</v>
      </c>
      <c r="F453" s="238"/>
      <c r="G453" s="238"/>
      <c r="H453" s="238" t="s">
        <v>128</v>
      </c>
      <c r="I453" s="238" t="s">
        <v>250</v>
      </c>
      <c r="J453" s="239">
        <v>47270</v>
      </c>
      <c r="K453" s="239">
        <v>58490</v>
      </c>
      <c r="L453" s="238" t="s">
        <v>617</v>
      </c>
      <c r="M453" s="237">
        <v>1</v>
      </c>
      <c r="N453" s="237"/>
      <c r="O453" s="238"/>
      <c r="P453" s="88" t="str">
        <f t="shared" si="7"/>
        <v>1</v>
      </c>
      <c r="Q453" s="88" t="str">
        <f>IFERROR(INDEX(Торг!$F:$F,MATCH($B453,Торг!$B:$B,0)),"Отсутствует")</f>
        <v>Y</v>
      </c>
      <c r="R453" s="36" t="str">
        <f>IFERROR(IF(AND(Q453="Отсутствует",VLOOKUP(A453,Торг!$A:$A,1,0)=A453),"Добавить","Есть"),"Новый")</f>
        <v>Есть</v>
      </c>
    </row>
    <row r="454" spans="1:18" ht="60" hidden="1">
      <c r="A454" s="238" t="s">
        <v>812</v>
      </c>
      <c r="B454" s="237">
        <v>341566</v>
      </c>
      <c r="C454" s="237">
        <v>341566</v>
      </c>
      <c r="D454" s="238" t="s">
        <v>1246</v>
      </c>
      <c r="E454" s="238" t="s">
        <v>741</v>
      </c>
      <c r="F454" s="238"/>
      <c r="G454" s="238"/>
      <c r="H454" s="238" t="s">
        <v>128</v>
      </c>
      <c r="I454" s="238" t="s">
        <v>250</v>
      </c>
      <c r="J454" s="239">
        <v>48100</v>
      </c>
      <c r="K454" s="239">
        <v>59490</v>
      </c>
      <c r="L454" s="238" t="s">
        <v>617</v>
      </c>
      <c r="M454" s="237">
        <v>1</v>
      </c>
      <c r="N454" s="237"/>
      <c r="O454" s="238"/>
      <c r="P454" s="88" t="str">
        <f t="shared" si="7"/>
        <v>1</v>
      </c>
      <c r="Q454" s="88" t="str">
        <f>IFERROR(INDEX(Торг!$F:$F,MATCH($B454,Торг!$B:$B,0)),"Отсутствует")</f>
        <v>Y</v>
      </c>
      <c r="R454" s="36" t="str">
        <f>IFERROR(IF(AND(Q454="Отсутствует",VLOOKUP(A454,Торг!$A:$A,1,0)=A454),"Добавить","Есть"),"Новый")</f>
        <v>Есть</v>
      </c>
    </row>
    <row r="455" spans="1:18" ht="60" hidden="1">
      <c r="A455" s="238" t="s">
        <v>812</v>
      </c>
      <c r="B455" s="237">
        <v>132495</v>
      </c>
      <c r="C455" s="237">
        <v>166780</v>
      </c>
      <c r="D455" s="238" t="s">
        <v>1247</v>
      </c>
      <c r="E455" s="238" t="s">
        <v>741</v>
      </c>
      <c r="F455" s="238"/>
      <c r="G455" s="238"/>
      <c r="H455" s="238" t="s">
        <v>128</v>
      </c>
      <c r="I455" s="238" t="s">
        <v>250</v>
      </c>
      <c r="J455" s="239">
        <v>47270</v>
      </c>
      <c r="K455" s="239">
        <v>58490</v>
      </c>
      <c r="L455" s="238" t="s">
        <v>617</v>
      </c>
      <c r="M455" s="237">
        <v>1</v>
      </c>
      <c r="N455" s="237"/>
      <c r="O455" s="238"/>
      <c r="P455" s="88" t="str">
        <f t="shared" si="7"/>
        <v>1</v>
      </c>
      <c r="Q455" s="88" t="str">
        <f>IFERROR(INDEX(Торг!$F:$F,MATCH($B455,Торг!$B:$B,0)),"Отсутствует")</f>
        <v>Y</v>
      </c>
      <c r="R455" s="36" t="str">
        <f>IFERROR(IF(AND(Q455="Отсутствует",VLOOKUP(A455,Торг!$A:$A,1,0)=A455),"Добавить","Есть"),"Новый")</f>
        <v>Есть</v>
      </c>
    </row>
    <row r="456" spans="1:18" ht="60" hidden="1">
      <c r="A456" s="238" t="s">
        <v>812</v>
      </c>
      <c r="B456" s="237">
        <v>341567</v>
      </c>
      <c r="C456" s="237">
        <v>341567</v>
      </c>
      <c r="D456" s="238" t="s">
        <v>1248</v>
      </c>
      <c r="E456" s="238" t="s">
        <v>741</v>
      </c>
      <c r="F456" s="238"/>
      <c r="G456" s="238"/>
      <c r="H456" s="238" t="s">
        <v>128</v>
      </c>
      <c r="I456" s="238" t="s">
        <v>250</v>
      </c>
      <c r="J456" s="239">
        <v>48100</v>
      </c>
      <c r="K456" s="239">
        <v>59490</v>
      </c>
      <c r="L456" s="238" t="s">
        <v>617</v>
      </c>
      <c r="M456" s="237">
        <v>1</v>
      </c>
      <c r="N456" s="237"/>
      <c r="O456" s="238"/>
      <c r="P456" s="88" t="str">
        <f t="shared" si="7"/>
        <v>1</v>
      </c>
      <c r="Q456" s="88" t="str">
        <f>IFERROR(INDEX(Торг!$F:$F,MATCH($B456,Торг!$B:$B,0)),"Отсутствует")</f>
        <v>Y</v>
      </c>
      <c r="R456" s="36" t="str">
        <f>IFERROR(IF(AND(Q456="Отсутствует",VLOOKUP(A456,Торг!$A:$A,1,0)=A456),"Добавить","Есть"),"Новый")</f>
        <v>Есть</v>
      </c>
    </row>
    <row r="457" spans="1:18" ht="60" hidden="1">
      <c r="A457" s="238" t="s">
        <v>812</v>
      </c>
      <c r="B457" s="237">
        <v>132496</v>
      </c>
      <c r="C457" s="237">
        <v>166782</v>
      </c>
      <c r="D457" s="238" t="s">
        <v>1249</v>
      </c>
      <c r="E457" s="238" t="s">
        <v>741</v>
      </c>
      <c r="F457" s="238"/>
      <c r="G457" s="238"/>
      <c r="H457" s="238" t="s">
        <v>128</v>
      </c>
      <c r="I457" s="238" t="s">
        <v>250</v>
      </c>
      <c r="J457" s="239">
        <v>47270</v>
      </c>
      <c r="K457" s="239">
        <v>58490</v>
      </c>
      <c r="L457" s="238" t="s">
        <v>617</v>
      </c>
      <c r="M457" s="237">
        <v>1</v>
      </c>
      <c r="N457" s="237"/>
      <c r="O457" s="238"/>
      <c r="P457" s="88" t="str">
        <f t="shared" si="7"/>
        <v>1</v>
      </c>
      <c r="Q457" s="88" t="str">
        <f>IFERROR(INDEX(Торг!$F:$F,MATCH($B457,Торг!$B:$B,0)),"Отсутствует")</f>
        <v>Y</v>
      </c>
      <c r="R457" s="36" t="str">
        <f>IFERROR(IF(AND(Q457="Отсутствует",VLOOKUP(A457,Торг!$A:$A,1,0)=A457),"Добавить","Есть"),"Новый")</f>
        <v>Есть</v>
      </c>
    </row>
    <row r="458" spans="1:18" ht="60" hidden="1">
      <c r="A458" s="238" t="s">
        <v>812</v>
      </c>
      <c r="B458" s="237">
        <v>341568</v>
      </c>
      <c r="C458" s="237">
        <v>341568</v>
      </c>
      <c r="D458" s="238" t="s">
        <v>1250</v>
      </c>
      <c r="E458" s="238" t="s">
        <v>741</v>
      </c>
      <c r="F458" s="238"/>
      <c r="G458" s="238"/>
      <c r="H458" s="238" t="s">
        <v>128</v>
      </c>
      <c r="I458" s="238" t="s">
        <v>250</v>
      </c>
      <c r="J458" s="239">
        <v>48100</v>
      </c>
      <c r="K458" s="239">
        <v>59490</v>
      </c>
      <c r="L458" s="238" t="s">
        <v>617</v>
      </c>
      <c r="M458" s="237">
        <v>1</v>
      </c>
      <c r="N458" s="237"/>
      <c r="O458" s="238"/>
      <c r="P458" s="88" t="str">
        <f t="shared" si="7"/>
        <v>1</v>
      </c>
      <c r="Q458" s="88" t="str">
        <f>IFERROR(INDEX(Торг!$F:$F,MATCH($B458,Торг!$B:$B,0)),"Отсутствует")</f>
        <v>Y</v>
      </c>
      <c r="R458" s="36" t="str">
        <f>IFERROR(IF(AND(Q458="Отсутствует",VLOOKUP(A458,Торг!$A:$A,1,0)=A458),"Добавить","Есть"),"Новый")</f>
        <v>Есть</v>
      </c>
    </row>
    <row r="459" spans="1:18" ht="60" hidden="1">
      <c r="A459" s="238" t="s">
        <v>812</v>
      </c>
      <c r="B459" s="237">
        <v>132497</v>
      </c>
      <c r="C459" s="237">
        <v>166783</v>
      </c>
      <c r="D459" s="238" t="s">
        <v>1251</v>
      </c>
      <c r="E459" s="238" t="s">
        <v>741</v>
      </c>
      <c r="F459" s="238"/>
      <c r="G459" s="238"/>
      <c r="H459" s="238" t="s">
        <v>128</v>
      </c>
      <c r="I459" s="238" t="s">
        <v>250</v>
      </c>
      <c r="J459" s="239">
        <v>47270</v>
      </c>
      <c r="K459" s="239">
        <v>58490</v>
      </c>
      <c r="L459" s="238" t="s">
        <v>617</v>
      </c>
      <c r="M459" s="237">
        <v>1</v>
      </c>
      <c r="N459" s="237"/>
      <c r="O459" s="238"/>
      <c r="P459" s="88" t="str">
        <f t="shared" si="7"/>
        <v>1</v>
      </c>
      <c r="Q459" s="88" t="str">
        <f>IFERROR(INDEX(Торг!$F:$F,MATCH($B459,Торг!$B:$B,0)),"Отсутствует")</f>
        <v>Y</v>
      </c>
      <c r="R459" s="36" t="str">
        <f>IFERROR(IF(AND(Q459="Отсутствует",VLOOKUP(A459,Торг!$A:$A,1,0)=A459),"Добавить","Есть"),"Новый")</f>
        <v>Есть</v>
      </c>
    </row>
    <row r="460" spans="1:18" ht="60" hidden="1">
      <c r="A460" s="238" t="s">
        <v>812</v>
      </c>
      <c r="B460" s="237">
        <v>341571</v>
      </c>
      <c r="C460" s="237">
        <v>341571</v>
      </c>
      <c r="D460" s="238" t="s">
        <v>1252</v>
      </c>
      <c r="E460" s="238" t="s">
        <v>741</v>
      </c>
      <c r="F460" s="238"/>
      <c r="G460" s="238"/>
      <c r="H460" s="238" t="s">
        <v>128</v>
      </c>
      <c r="I460" s="238" t="s">
        <v>250</v>
      </c>
      <c r="J460" s="239">
        <v>48100</v>
      </c>
      <c r="K460" s="239">
        <v>59490</v>
      </c>
      <c r="L460" s="238" t="s">
        <v>617</v>
      </c>
      <c r="M460" s="237">
        <v>1</v>
      </c>
      <c r="N460" s="237"/>
      <c r="O460" s="238"/>
      <c r="P460" s="88" t="str">
        <f t="shared" si="7"/>
        <v>1</v>
      </c>
      <c r="Q460" s="88" t="str">
        <f>IFERROR(INDEX(Торг!$F:$F,MATCH($B460,Торг!$B:$B,0)),"Отсутствует")</f>
        <v>Y</v>
      </c>
      <c r="R460" s="36" t="str">
        <f>IFERROR(IF(AND(Q460="Отсутствует",VLOOKUP(A460,Торг!$A:$A,1,0)=A460),"Добавить","Есть"),"Новый")</f>
        <v>Есть</v>
      </c>
    </row>
    <row r="461" spans="1:18" ht="60" hidden="1">
      <c r="A461" s="238" t="s">
        <v>812</v>
      </c>
      <c r="B461" s="237">
        <v>132498</v>
      </c>
      <c r="C461" s="237">
        <v>166779</v>
      </c>
      <c r="D461" s="238" t="s">
        <v>1253</v>
      </c>
      <c r="E461" s="238" t="s">
        <v>741</v>
      </c>
      <c r="F461" s="238"/>
      <c r="G461" s="238"/>
      <c r="H461" s="238" t="s">
        <v>128</v>
      </c>
      <c r="I461" s="238" t="s">
        <v>250</v>
      </c>
      <c r="J461" s="239">
        <v>47270</v>
      </c>
      <c r="K461" s="239">
        <v>58490</v>
      </c>
      <c r="L461" s="238" t="s">
        <v>617</v>
      </c>
      <c r="M461" s="237">
        <v>1</v>
      </c>
      <c r="N461" s="237"/>
      <c r="O461" s="238"/>
      <c r="P461" s="88" t="str">
        <f t="shared" si="7"/>
        <v>1</v>
      </c>
      <c r="Q461" s="88" t="str">
        <f>IFERROR(INDEX(Торг!$F:$F,MATCH($B461,Торг!$B:$B,0)),"Отсутствует")</f>
        <v>Y</v>
      </c>
      <c r="R461" s="36" t="str">
        <f>IFERROR(IF(AND(Q461="Отсутствует",VLOOKUP(A461,Торг!$A:$A,1,0)=A461),"Добавить","Есть"),"Новый")</f>
        <v>Есть</v>
      </c>
    </row>
    <row r="462" spans="1:18" ht="60" hidden="1">
      <c r="A462" s="238" t="s">
        <v>812</v>
      </c>
      <c r="B462" s="237">
        <v>341569</v>
      </c>
      <c r="C462" s="237">
        <v>341569</v>
      </c>
      <c r="D462" s="238" t="s">
        <v>1254</v>
      </c>
      <c r="E462" s="238" t="s">
        <v>741</v>
      </c>
      <c r="F462" s="238"/>
      <c r="G462" s="238"/>
      <c r="H462" s="238" t="s">
        <v>128</v>
      </c>
      <c r="I462" s="238" t="s">
        <v>250</v>
      </c>
      <c r="J462" s="239">
        <v>48100</v>
      </c>
      <c r="K462" s="239">
        <v>59490</v>
      </c>
      <c r="L462" s="238" t="s">
        <v>617</v>
      </c>
      <c r="M462" s="237">
        <v>1</v>
      </c>
      <c r="N462" s="237"/>
      <c r="O462" s="238"/>
      <c r="P462" s="88" t="str">
        <f t="shared" si="7"/>
        <v>1</v>
      </c>
      <c r="Q462" s="88" t="str">
        <f>IFERROR(INDEX(Торг!$F:$F,MATCH($B462,Торг!$B:$B,0)),"Отсутствует")</f>
        <v>Y</v>
      </c>
      <c r="R462" s="36" t="str">
        <f>IFERROR(IF(AND(Q462="Отсутствует",VLOOKUP(A462,Торг!$A:$A,1,0)=A462),"Добавить","Есть"),"Новый")</f>
        <v>Есть</v>
      </c>
    </row>
    <row r="463" spans="1:18" ht="60" hidden="1">
      <c r="A463" s="238" t="s">
        <v>812</v>
      </c>
      <c r="B463" s="237">
        <v>132499</v>
      </c>
      <c r="C463" s="237">
        <v>166778</v>
      </c>
      <c r="D463" s="238" t="s">
        <v>1255</v>
      </c>
      <c r="E463" s="238" t="s">
        <v>741</v>
      </c>
      <c r="F463" s="238"/>
      <c r="G463" s="238"/>
      <c r="H463" s="238" t="s">
        <v>128</v>
      </c>
      <c r="I463" s="238" t="s">
        <v>250</v>
      </c>
      <c r="J463" s="239">
        <v>47270</v>
      </c>
      <c r="K463" s="239">
        <v>58490</v>
      </c>
      <c r="L463" s="238" t="s">
        <v>617</v>
      </c>
      <c r="M463" s="237">
        <v>1</v>
      </c>
      <c r="N463" s="237"/>
      <c r="O463" s="238"/>
      <c r="P463" s="88" t="str">
        <f t="shared" si="7"/>
        <v>1</v>
      </c>
      <c r="Q463" s="88" t="str">
        <f>IFERROR(INDEX(Торг!$F:$F,MATCH($B463,Торг!$B:$B,0)),"Отсутствует")</f>
        <v>Y</v>
      </c>
      <c r="R463" s="36" t="str">
        <f>IFERROR(IF(AND(Q463="Отсутствует",VLOOKUP(A463,Торг!$A:$A,1,0)=A463),"Добавить","Есть"),"Новый")</f>
        <v>Есть</v>
      </c>
    </row>
    <row r="464" spans="1:18" ht="45" hidden="1">
      <c r="A464" s="238" t="s">
        <v>812</v>
      </c>
      <c r="B464" s="237">
        <v>341570</v>
      </c>
      <c r="C464" s="237">
        <v>341570</v>
      </c>
      <c r="D464" s="238" t="s">
        <v>1256</v>
      </c>
      <c r="E464" s="238" t="s">
        <v>741</v>
      </c>
      <c r="F464" s="238"/>
      <c r="G464" s="238"/>
      <c r="H464" s="238" t="s">
        <v>128</v>
      </c>
      <c r="I464" s="238" t="s">
        <v>250</v>
      </c>
      <c r="J464" s="239">
        <v>48100</v>
      </c>
      <c r="K464" s="239">
        <v>59490</v>
      </c>
      <c r="L464" s="238" t="s">
        <v>617</v>
      </c>
      <c r="M464" s="237">
        <v>1</v>
      </c>
      <c r="N464" s="237"/>
      <c r="O464" s="238"/>
      <c r="P464" s="88" t="str">
        <f t="shared" si="7"/>
        <v>1</v>
      </c>
      <c r="Q464" s="88" t="str">
        <f>IFERROR(INDEX(Торг!$F:$F,MATCH($B464,Торг!$B:$B,0)),"Отсутствует")</f>
        <v>Y</v>
      </c>
      <c r="R464" s="36" t="str">
        <f>IFERROR(IF(AND(Q464="Отсутствует",VLOOKUP(A464,Торг!$A:$A,1,0)=A464),"Добавить","Есть"),"Новый")</f>
        <v>Есть</v>
      </c>
    </row>
    <row r="465" spans="1:18" ht="60" hidden="1">
      <c r="A465" s="238" t="s">
        <v>812</v>
      </c>
      <c r="B465" s="237">
        <v>132500</v>
      </c>
      <c r="C465" s="237">
        <v>166776</v>
      </c>
      <c r="D465" s="238" t="s">
        <v>1257</v>
      </c>
      <c r="E465" s="238" t="s">
        <v>741</v>
      </c>
      <c r="F465" s="238"/>
      <c r="G465" s="238"/>
      <c r="H465" s="238" t="s">
        <v>128</v>
      </c>
      <c r="I465" s="238" t="s">
        <v>250</v>
      </c>
      <c r="J465" s="239">
        <v>47270</v>
      </c>
      <c r="K465" s="239">
        <v>58490</v>
      </c>
      <c r="L465" s="238" t="s">
        <v>617</v>
      </c>
      <c r="M465" s="237">
        <v>1</v>
      </c>
      <c r="N465" s="237"/>
      <c r="O465" s="238"/>
      <c r="P465" s="88" t="str">
        <f t="shared" si="7"/>
        <v>1</v>
      </c>
      <c r="Q465" s="88" t="str">
        <f>IFERROR(INDEX(Торг!$F:$F,MATCH($B465,Торг!$B:$B,0)),"Отсутствует")</f>
        <v>Y</v>
      </c>
      <c r="R465" s="36" t="str">
        <f>IFERROR(IF(AND(Q465="Отсутствует",VLOOKUP(A465,Торг!$A:$A,1,0)=A465),"Добавить","Есть"),"Новый")</f>
        <v>Есть</v>
      </c>
    </row>
    <row r="466" spans="1:18" ht="60" hidden="1">
      <c r="A466" s="238" t="s">
        <v>812</v>
      </c>
      <c r="B466" s="237">
        <v>341572</v>
      </c>
      <c r="C466" s="237">
        <v>341572</v>
      </c>
      <c r="D466" s="238" t="s">
        <v>1258</v>
      </c>
      <c r="E466" s="238" t="s">
        <v>741</v>
      </c>
      <c r="F466" s="238"/>
      <c r="G466" s="238"/>
      <c r="H466" s="238" t="s">
        <v>128</v>
      </c>
      <c r="I466" s="238" t="s">
        <v>250</v>
      </c>
      <c r="J466" s="239">
        <v>48100</v>
      </c>
      <c r="K466" s="239">
        <v>59490</v>
      </c>
      <c r="L466" s="238" t="s">
        <v>617</v>
      </c>
      <c r="M466" s="237">
        <v>1</v>
      </c>
      <c r="N466" s="237"/>
      <c r="O466" s="238"/>
      <c r="P466" s="88" t="str">
        <f t="shared" si="7"/>
        <v>1</v>
      </c>
      <c r="Q466" s="88" t="str">
        <f>IFERROR(INDEX(Торг!$F:$F,MATCH($B466,Торг!$B:$B,0)),"Отсутствует")</f>
        <v>Y</v>
      </c>
      <c r="R466" s="36" t="str">
        <f>IFERROR(IF(AND(Q466="Отсутствует",VLOOKUP(A466,Торг!$A:$A,1,0)=A466),"Добавить","Есть"),"Новый")</f>
        <v>Есть</v>
      </c>
    </row>
    <row r="467" spans="1:18" ht="60" hidden="1">
      <c r="A467" s="238" t="s">
        <v>812</v>
      </c>
      <c r="B467" s="237">
        <v>132501</v>
      </c>
      <c r="C467" s="237">
        <v>166775</v>
      </c>
      <c r="D467" s="238" t="s">
        <v>1259</v>
      </c>
      <c r="E467" s="238" t="s">
        <v>741</v>
      </c>
      <c r="F467" s="238"/>
      <c r="G467" s="238"/>
      <c r="H467" s="238" t="s">
        <v>128</v>
      </c>
      <c r="I467" s="238" t="s">
        <v>250</v>
      </c>
      <c r="J467" s="239">
        <v>47270</v>
      </c>
      <c r="K467" s="239">
        <v>58490</v>
      </c>
      <c r="L467" s="238" t="s">
        <v>617</v>
      </c>
      <c r="M467" s="237">
        <v>1</v>
      </c>
      <c r="N467" s="237"/>
      <c r="O467" s="238"/>
      <c r="P467" s="88" t="str">
        <f t="shared" si="7"/>
        <v>1</v>
      </c>
      <c r="Q467" s="88" t="str">
        <f>IFERROR(INDEX(Торг!$F:$F,MATCH($B467,Торг!$B:$B,0)),"Отсутствует")</f>
        <v>Y</v>
      </c>
      <c r="R467" s="36" t="str">
        <f>IFERROR(IF(AND(Q467="Отсутствует",VLOOKUP(A467,Торг!$A:$A,1,0)=A467),"Добавить","Есть"),"Новый")</f>
        <v>Есть</v>
      </c>
    </row>
    <row r="468" spans="1:18" ht="60" hidden="1">
      <c r="A468" s="238" t="s">
        <v>812</v>
      </c>
      <c r="B468" s="237">
        <v>341564</v>
      </c>
      <c r="C468" s="237">
        <v>341564</v>
      </c>
      <c r="D468" s="238" t="s">
        <v>1260</v>
      </c>
      <c r="E468" s="238" t="s">
        <v>741</v>
      </c>
      <c r="F468" s="238"/>
      <c r="G468" s="238"/>
      <c r="H468" s="238" t="s">
        <v>128</v>
      </c>
      <c r="I468" s="238" t="s">
        <v>250</v>
      </c>
      <c r="J468" s="239">
        <v>48100</v>
      </c>
      <c r="K468" s="239">
        <v>59490</v>
      </c>
      <c r="L468" s="238" t="s">
        <v>617</v>
      </c>
      <c r="M468" s="237">
        <v>1</v>
      </c>
      <c r="N468" s="237"/>
      <c r="O468" s="238"/>
      <c r="P468" s="88" t="str">
        <f t="shared" si="7"/>
        <v>1</v>
      </c>
      <c r="Q468" s="88" t="str">
        <f>IFERROR(INDEX(Торг!$F:$F,MATCH($B468,Торг!$B:$B,0)),"Отсутствует")</f>
        <v>Y</v>
      </c>
      <c r="R468" s="36" t="str">
        <f>IFERROR(IF(AND(Q468="Отсутствует",VLOOKUP(A468,Торг!$A:$A,1,0)=A468),"Добавить","Есть"),"Новый")</f>
        <v>Есть</v>
      </c>
    </row>
    <row r="469" spans="1:18" ht="60" hidden="1">
      <c r="A469" s="238" t="s">
        <v>812</v>
      </c>
      <c r="B469" s="237">
        <v>132502</v>
      </c>
      <c r="C469" s="237">
        <v>166769</v>
      </c>
      <c r="D469" s="238" t="s">
        <v>1261</v>
      </c>
      <c r="E469" s="238" t="s">
        <v>741</v>
      </c>
      <c r="F469" s="238"/>
      <c r="G469" s="238"/>
      <c r="H469" s="238" t="s">
        <v>128</v>
      </c>
      <c r="I469" s="238" t="s">
        <v>250</v>
      </c>
      <c r="J469" s="239">
        <v>46400</v>
      </c>
      <c r="K469" s="239">
        <v>57390</v>
      </c>
      <c r="L469" s="238" t="s">
        <v>617</v>
      </c>
      <c r="M469" s="237">
        <v>1</v>
      </c>
      <c r="N469" s="237"/>
      <c r="O469" s="238"/>
      <c r="P469" s="88" t="str">
        <f t="shared" si="7"/>
        <v>1</v>
      </c>
      <c r="Q469" s="88" t="str">
        <f>IFERROR(INDEX(Торг!$F:$F,MATCH($B469,Торг!$B:$B,0)),"Отсутствует")</f>
        <v>Y</v>
      </c>
      <c r="R469" s="36" t="str">
        <f>IFERROR(IF(AND(Q469="Отсутствует",VLOOKUP(A469,Торг!$A:$A,1,0)=A469),"Добавить","Есть"),"Новый")</f>
        <v>Есть</v>
      </c>
    </row>
    <row r="470" spans="1:18" ht="60" hidden="1">
      <c r="A470" s="238" t="s">
        <v>812</v>
      </c>
      <c r="B470" s="237">
        <v>341563</v>
      </c>
      <c r="C470" s="237">
        <v>341563</v>
      </c>
      <c r="D470" s="238" t="s">
        <v>1262</v>
      </c>
      <c r="E470" s="238" t="s">
        <v>741</v>
      </c>
      <c r="F470" s="238"/>
      <c r="G470" s="238"/>
      <c r="H470" s="238" t="s">
        <v>128</v>
      </c>
      <c r="I470" s="238" t="s">
        <v>250</v>
      </c>
      <c r="J470" s="239">
        <v>47230</v>
      </c>
      <c r="K470" s="239">
        <v>58490</v>
      </c>
      <c r="L470" s="238" t="s">
        <v>617</v>
      </c>
      <c r="M470" s="237">
        <v>1</v>
      </c>
      <c r="N470" s="237"/>
      <c r="O470" s="238"/>
      <c r="P470" s="88" t="str">
        <f t="shared" si="7"/>
        <v>1</v>
      </c>
      <c r="Q470" s="88" t="str">
        <f>IFERROR(INDEX(Торг!$F:$F,MATCH($B470,Торг!$B:$B,0)),"Отсутствует")</f>
        <v>Y</v>
      </c>
      <c r="R470" s="36" t="str">
        <f>IFERROR(IF(AND(Q470="Отсутствует",VLOOKUP(A470,Торг!$A:$A,1,0)=A470),"Добавить","Есть"),"Новый")</f>
        <v>Есть</v>
      </c>
    </row>
    <row r="471" spans="1:18" ht="60" hidden="1">
      <c r="A471" s="238" t="s">
        <v>813</v>
      </c>
      <c r="B471" s="237">
        <v>341582</v>
      </c>
      <c r="C471" s="237">
        <v>341582</v>
      </c>
      <c r="D471" s="238" t="s">
        <v>1263</v>
      </c>
      <c r="E471" s="238" t="s">
        <v>741</v>
      </c>
      <c r="F471" s="238"/>
      <c r="G471" s="238"/>
      <c r="H471" s="238" t="s">
        <v>476</v>
      </c>
      <c r="I471" s="238" t="s">
        <v>250</v>
      </c>
      <c r="J471" s="239">
        <v>43200</v>
      </c>
      <c r="K471" s="239">
        <v>53490</v>
      </c>
      <c r="L471" s="238" t="s">
        <v>649</v>
      </c>
      <c r="M471" s="237">
        <v>1</v>
      </c>
      <c r="N471" s="237"/>
      <c r="O471" s="238"/>
      <c r="P471" s="88" t="str">
        <f t="shared" si="7"/>
        <v>1</v>
      </c>
      <c r="Q471" s="88" t="str">
        <f>IFERROR(INDEX(Торг!$F:$F,MATCH($B471,Торг!$B:$B,0)),"Отсутствует")</f>
        <v>Y</v>
      </c>
      <c r="R471" s="36" t="str">
        <f>IFERROR(IF(AND(Q471="Отсутствует",VLOOKUP(A471,Торг!$A:$A,1,0)=A471),"Добавить","Есть"),"Новый")</f>
        <v>Есть</v>
      </c>
    </row>
    <row r="472" spans="1:18" ht="60" hidden="1">
      <c r="A472" s="238" t="s">
        <v>813</v>
      </c>
      <c r="B472" s="237">
        <v>341594</v>
      </c>
      <c r="C472" s="237">
        <v>341594</v>
      </c>
      <c r="D472" s="238" t="s">
        <v>1264</v>
      </c>
      <c r="E472" s="238" t="s">
        <v>741</v>
      </c>
      <c r="F472" s="238"/>
      <c r="G472" s="238"/>
      <c r="H472" s="238" t="s">
        <v>476</v>
      </c>
      <c r="I472" s="238" t="s">
        <v>250</v>
      </c>
      <c r="J472" s="239">
        <v>43200</v>
      </c>
      <c r="K472" s="239">
        <v>53490</v>
      </c>
      <c r="L472" s="238" t="s">
        <v>649</v>
      </c>
      <c r="M472" s="237">
        <v>1</v>
      </c>
      <c r="N472" s="237"/>
      <c r="O472" s="238"/>
      <c r="P472" s="88" t="str">
        <f t="shared" si="7"/>
        <v>1</v>
      </c>
      <c r="Q472" s="88" t="str">
        <f>IFERROR(INDEX(Торг!$F:$F,MATCH($B472,Торг!$B:$B,0)),"Отсутствует")</f>
        <v>Y</v>
      </c>
      <c r="R472" s="36" t="str">
        <f>IFERROR(IF(AND(Q472="Отсутствует",VLOOKUP(A472,Торг!$A:$A,1,0)=A472),"Добавить","Есть"),"Новый")</f>
        <v>Есть</v>
      </c>
    </row>
    <row r="473" spans="1:18" ht="60" hidden="1">
      <c r="A473" s="238" t="s">
        <v>813</v>
      </c>
      <c r="B473" s="237">
        <v>341593</v>
      </c>
      <c r="C473" s="237">
        <v>341593</v>
      </c>
      <c r="D473" s="238" t="s">
        <v>1265</v>
      </c>
      <c r="E473" s="238" t="s">
        <v>741</v>
      </c>
      <c r="F473" s="238"/>
      <c r="G473" s="238"/>
      <c r="H473" s="238" t="s">
        <v>476</v>
      </c>
      <c r="I473" s="238" t="s">
        <v>250</v>
      </c>
      <c r="J473" s="239">
        <v>43200</v>
      </c>
      <c r="K473" s="239">
        <v>53490</v>
      </c>
      <c r="L473" s="238" t="s">
        <v>649</v>
      </c>
      <c r="M473" s="237">
        <v>1</v>
      </c>
      <c r="N473" s="237"/>
      <c r="O473" s="238"/>
      <c r="P473" s="88" t="str">
        <f t="shared" si="7"/>
        <v>1</v>
      </c>
      <c r="Q473" s="88" t="str">
        <f>IFERROR(INDEX(Торг!$F:$F,MATCH($B473,Торг!$B:$B,0)),"Отсутствует")</f>
        <v>Y</v>
      </c>
      <c r="R473" s="36" t="str">
        <f>IFERROR(IF(AND(Q473="Отсутствует",VLOOKUP(A473,Торг!$A:$A,1,0)=A473),"Добавить","Есть"),"Новый")</f>
        <v>Есть</v>
      </c>
    </row>
    <row r="474" spans="1:18" ht="60" hidden="1">
      <c r="A474" s="238" t="s">
        <v>813</v>
      </c>
      <c r="B474" s="237">
        <v>341585</v>
      </c>
      <c r="C474" s="237">
        <v>341585</v>
      </c>
      <c r="D474" s="238" t="s">
        <v>1266</v>
      </c>
      <c r="E474" s="238" t="s">
        <v>741</v>
      </c>
      <c r="F474" s="238"/>
      <c r="G474" s="238"/>
      <c r="H474" s="238" t="s">
        <v>476</v>
      </c>
      <c r="I474" s="238" t="s">
        <v>250</v>
      </c>
      <c r="J474" s="239">
        <v>43200</v>
      </c>
      <c r="K474" s="239">
        <v>53490</v>
      </c>
      <c r="L474" s="238" t="s">
        <v>649</v>
      </c>
      <c r="M474" s="237">
        <v>1</v>
      </c>
      <c r="N474" s="237"/>
      <c r="O474" s="238"/>
      <c r="P474" s="88" t="str">
        <f t="shared" si="7"/>
        <v>1</v>
      </c>
      <c r="Q474" s="88" t="str">
        <f>IFERROR(INDEX(Торг!$F:$F,MATCH($B474,Торг!$B:$B,0)),"Отсутствует")</f>
        <v>Y</v>
      </c>
      <c r="R474" s="36" t="str">
        <f>IFERROR(IF(AND(Q474="Отсутствует",VLOOKUP(A474,Торг!$A:$A,1,0)=A474),"Добавить","Есть"),"Новый")</f>
        <v>Есть</v>
      </c>
    </row>
    <row r="475" spans="1:18" ht="60" hidden="1">
      <c r="A475" s="238" t="s">
        <v>813</v>
      </c>
      <c r="B475" s="237">
        <v>341586</v>
      </c>
      <c r="C475" s="237">
        <v>341586</v>
      </c>
      <c r="D475" s="238" t="s">
        <v>1267</v>
      </c>
      <c r="E475" s="238" t="s">
        <v>741</v>
      </c>
      <c r="F475" s="238"/>
      <c r="G475" s="238"/>
      <c r="H475" s="238" t="s">
        <v>476</v>
      </c>
      <c r="I475" s="238" t="s">
        <v>250</v>
      </c>
      <c r="J475" s="239">
        <v>43200</v>
      </c>
      <c r="K475" s="239">
        <v>53490</v>
      </c>
      <c r="L475" s="238" t="s">
        <v>649</v>
      </c>
      <c r="M475" s="237">
        <v>1</v>
      </c>
      <c r="N475" s="237"/>
      <c r="O475" s="238"/>
      <c r="P475" s="88" t="str">
        <f t="shared" si="7"/>
        <v>1</v>
      </c>
      <c r="Q475" s="88" t="str">
        <f>IFERROR(INDEX(Торг!$F:$F,MATCH($B475,Торг!$B:$B,0)),"Отсутствует")</f>
        <v>Y</v>
      </c>
      <c r="R475" s="36" t="str">
        <f>IFERROR(IF(AND(Q475="Отсутствует",VLOOKUP(A475,Торг!$A:$A,1,0)=A475),"Добавить","Есть"),"Новый")</f>
        <v>Есть</v>
      </c>
    </row>
    <row r="476" spans="1:18" ht="60" hidden="1">
      <c r="A476" s="238" t="s">
        <v>813</v>
      </c>
      <c r="B476" s="237">
        <v>341587</v>
      </c>
      <c r="C476" s="237">
        <v>341587</v>
      </c>
      <c r="D476" s="238" t="s">
        <v>1268</v>
      </c>
      <c r="E476" s="238" t="s">
        <v>741</v>
      </c>
      <c r="F476" s="238"/>
      <c r="G476" s="238"/>
      <c r="H476" s="238" t="s">
        <v>476</v>
      </c>
      <c r="I476" s="238" t="s">
        <v>250</v>
      </c>
      <c r="J476" s="239">
        <v>43200</v>
      </c>
      <c r="K476" s="239">
        <v>53490</v>
      </c>
      <c r="L476" s="238" t="s">
        <v>649</v>
      </c>
      <c r="M476" s="237">
        <v>1</v>
      </c>
      <c r="N476" s="237"/>
      <c r="O476" s="238"/>
      <c r="P476" s="88" t="str">
        <f t="shared" si="7"/>
        <v>1</v>
      </c>
      <c r="Q476" s="88" t="str">
        <f>IFERROR(INDEX(Торг!$F:$F,MATCH($B476,Торг!$B:$B,0)),"Отсутствует")</f>
        <v>Y</v>
      </c>
      <c r="R476" s="36" t="str">
        <f>IFERROR(IF(AND(Q476="Отсутствует",VLOOKUP(A476,Торг!$A:$A,1,0)=A476),"Добавить","Есть"),"Новый")</f>
        <v>Есть</v>
      </c>
    </row>
    <row r="477" spans="1:18" ht="60" hidden="1">
      <c r="A477" s="238" t="s">
        <v>813</v>
      </c>
      <c r="B477" s="237">
        <v>341588</v>
      </c>
      <c r="C477" s="237">
        <v>341588</v>
      </c>
      <c r="D477" s="238" t="s">
        <v>1269</v>
      </c>
      <c r="E477" s="238" t="s">
        <v>741</v>
      </c>
      <c r="F477" s="238"/>
      <c r="G477" s="238"/>
      <c r="H477" s="238" t="s">
        <v>476</v>
      </c>
      <c r="I477" s="238" t="s">
        <v>250</v>
      </c>
      <c r="J477" s="239">
        <v>43200</v>
      </c>
      <c r="K477" s="239">
        <v>53490</v>
      </c>
      <c r="L477" s="238" t="s">
        <v>649</v>
      </c>
      <c r="M477" s="237">
        <v>1</v>
      </c>
      <c r="N477" s="237"/>
      <c r="O477" s="238"/>
      <c r="P477" s="88" t="str">
        <f t="shared" si="7"/>
        <v>1</v>
      </c>
      <c r="Q477" s="88" t="str">
        <f>IFERROR(INDEX(Торг!$F:$F,MATCH($B477,Торг!$B:$B,0)),"Отсутствует")</f>
        <v>Y</v>
      </c>
      <c r="R477" s="36" t="str">
        <f>IFERROR(IF(AND(Q477="Отсутствует",VLOOKUP(A477,Торг!$A:$A,1,0)=A477),"Добавить","Есть"),"Новый")</f>
        <v>Есть</v>
      </c>
    </row>
    <row r="478" spans="1:18" ht="60" hidden="1">
      <c r="A478" s="238" t="s">
        <v>813</v>
      </c>
      <c r="B478" s="237">
        <v>341591</v>
      </c>
      <c r="C478" s="237">
        <v>341591</v>
      </c>
      <c r="D478" s="238" t="s">
        <v>1270</v>
      </c>
      <c r="E478" s="238" t="s">
        <v>741</v>
      </c>
      <c r="F478" s="238"/>
      <c r="G478" s="238"/>
      <c r="H478" s="238" t="s">
        <v>476</v>
      </c>
      <c r="I478" s="238" t="s">
        <v>250</v>
      </c>
      <c r="J478" s="239">
        <v>43200</v>
      </c>
      <c r="K478" s="239">
        <v>53490</v>
      </c>
      <c r="L478" s="238" t="s">
        <v>649</v>
      </c>
      <c r="M478" s="237">
        <v>1</v>
      </c>
      <c r="N478" s="237"/>
      <c r="O478" s="238"/>
      <c r="P478" s="88" t="str">
        <f t="shared" ref="P478:P485" si="8">_xlfn.CONCAT(M478,IF(N478&lt;&gt;"",_xlfn.CONCAT("ск",N478),""))</f>
        <v>1</v>
      </c>
      <c r="Q478" s="88" t="str">
        <f>IFERROR(INDEX(Торг!$F:$F,MATCH($B478,Торг!$B:$B,0)),"Отсутствует")</f>
        <v>Y</v>
      </c>
      <c r="R478" s="36" t="str">
        <f>IFERROR(IF(AND(Q478="Отсутствует",VLOOKUP(A478,Торг!$A:$A,1,0)=A478),"Добавить","Есть"),"Новый")</f>
        <v>Есть</v>
      </c>
    </row>
    <row r="479" spans="1:18" ht="60" hidden="1">
      <c r="A479" s="238" t="s">
        <v>813</v>
      </c>
      <c r="B479" s="237">
        <v>341589</v>
      </c>
      <c r="C479" s="237">
        <v>341589</v>
      </c>
      <c r="D479" s="238" t="s">
        <v>1271</v>
      </c>
      <c r="E479" s="238" t="s">
        <v>741</v>
      </c>
      <c r="F479" s="238"/>
      <c r="G479" s="238"/>
      <c r="H479" s="238" t="s">
        <v>476</v>
      </c>
      <c r="I479" s="238" t="s">
        <v>250</v>
      </c>
      <c r="J479" s="239">
        <v>43200</v>
      </c>
      <c r="K479" s="239">
        <v>53490</v>
      </c>
      <c r="L479" s="238" t="s">
        <v>649</v>
      </c>
      <c r="M479" s="237">
        <v>1</v>
      </c>
      <c r="N479" s="237"/>
      <c r="O479" s="238"/>
      <c r="P479" s="88" t="str">
        <f t="shared" si="8"/>
        <v>1</v>
      </c>
      <c r="Q479" s="88" t="str">
        <f>IFERROR(INDEX(Торг!$F:$F,MATCH($B479,Торг!$B:$B,0)),"Отсутствует")</f>
        <v>Y</v>
      </c>
      <c r="R479" s="36" t="str">
        <f>IFERROR(IF(AND(Q479="Отсутствует",VLOOKUP(A479,Торг!$A:$A,1,0)=A479),"Добавить","Есть"),"Новый")</f>
        <v>Есть</v>
      </c>
    </row>
    <row r="480" spans="1:18" ht="60" hidden="1">
      <c r="A480" s="238" t="s">
        <v>813</v>
      </c>
      <c r="B480" s="237">
        <v>341590</v>
      </c>
      <c r="C480" s="237">
        <v>341590</v>
      </c>
      <c r="D480" s="238" t="s">
        <v>1272</v>
      </c>
      <c r="E480" s="238" t="s">
        <v>741</v>
      </c>
      <c r="F480" s="238"/>
      <c r="G480" s="238"/>
      <c r="H480" s="238" t="s">
        <v>476</v>
      </c>
      <c r="I480" s="238" t="s">
        <v>250</v>
      </c>
      <c r="J480" s="239">
        <v>43200</v>
      </c>
      <c r="K480" s="239">
        <v>53490</v>
      </c>
      <c r="L480" s="238" t="s">
        <v>649</v>
      </c>
      <c r="M480" s="237">
        <v>1</v>
      </c>
      <c r="N480" s="237"/>
      <c r="O480" s="238"/>
      <c r="P480" s="88" t="str">
        <f t="shared" si="8"/>
        <v>1</v>
      </c>
      <c r="Q480" s="88" t="str">
        <f>IFERROR(INDEX(Торг!$F:$F,MATCH($B480,Торг!$B:$B,0)),"Отсутствует")</f>
        <v>Y</v>
      </c>
      <c r="R480" s="36" t="str">
        <f>IFERROR(IF(AND(Q480="Отсутствует",VLOOKUP(A480,Торг!$A:$A,1,0)=A480),"Добавить","Есть"),"Новый")</f>
        <v>Есть</v>
      </c>
    </row>
    <row r="481" spans="1:18" ht="60" hidden="1">
      <c r="A481" s="238" t="s">
        <v>813</v>
      </c>
      <c r="B481" s="237">
        <v>341592</v>
      </c>
      <c r="C481" s="237">
        <v>341592</v>
      </c>
      <c r="D481" s="238" t="s">
        <v>1273</v>
      </c>
      <c r="E481" s="238" t="s">
        <v>741</v>
      </c>
      <c r="F481" s="238"/>
      <c r="G481" s="238"/>
      <c r="H481" s="238" t="s">
        <v>476</v>
      </c>
      <c r="I481" s="238" t="s">
        <v>250</v>
      </c>
      <c r="J481" s="239">
        <v>43200</v>
      </c>
      <c r="K481" s="239">
        <v>53490</v>
      </c>
      <c r="L481" s="238" t="s">
        <v>649</v>
      </c>
      <c r="M481" s="237">
        <v>1</v>
      </c>
      <c r="N481" s="237"/>
      <c r="O481" s="238"/>
      <c r="P481" s="88" t="str">
        <f t="shared" si="8"/>
        <v>1</v>
      </c>
      <c r="Q481" s="88" t="str">
        <f>IFERROR(INDEX(Торг!$F:$F,MATCH($B481,Торг!$B:$B,0)),"Отсутствует")</f>
        <v>Y</v>
      </c>
      <c r="R481" s="36" t="str">
        <f>IFERROR(IF(AND(Q481="Отсутствует",VLOOKUP(A481,Торг!$A:$A,1,0)=A481),"Добавить","Есть"),"Новый")</f>
        <v>Есть</v>
      </c>
    </row>
    <row r="482" spans="1:18" ht="60" hidden="1">
      <c r="A482" s="238" t="s">
        <v>813</v>
      </c>
      <c r="B482" s="237">
        <v>341584</v>
      </c>
      <c r="C482" s="237">
        <v>341584</v>
      </c>
      <c r="D482" s="238" t="s">
        <v>1274</v>
      </c>
      <c r="E482" s="238" t="s">
        <v>741</v>
      </c>
      <c r="F482" s="238"/>
      <c r="G482" s="238"/>
      <c r="H482" s="238" t="s">
        <v>476</v>
      </c>
      <c r="I482" s="238" t="s">
        <v>250</v>
      </c>
      <c r="J482" s="239">
        <v>43200</v>
      </c>
      <c r="K482" s="239">
        <v>53490</v>
      </c>
      <c r="L482" s="238" t="s">
        <v>649</v>
      </c>
      <c r="M482" s="237">
        <v>1</v>
      </c>
      <c r="N482" s="237"/>
      <c r="O482" s="238"/>
      <c r="P482" s="88" t="str">
        <f t="shared" si="8"/>
        <v>1</v>
      </c>
      <c r="Q482" s="88" t="str">
        <f>IFERROR(INDEX(Торг!$F:$F,MATCH($B482,Торг!$B:$B,0)),"Отсутствует")</f>
        <v>Y</v>
      </c>
      <c r="R482" s="36" t="str">
        <f>IFERROR(IF(AND(Q482="Отсутствует",VLOOKUP(A482,Торг!$A:$A,1,0)=A482),"Добавить","Есть"),"Новый")</f>
        <v>Есть</v>
      </c>
    </row>
    <row r="483" spans="1:18" ht="60" hidden="1">
      <c r="A483" s="238" t="s">
        <v>813</v>
      </c>
      <c r="B483" s="237">
        <v>341583</v>
      </c>
      <c r="C483" s="237">
        <v>341583</v>
      </c>
      <c r="D483" s="238" t="s">
        <v>1275</v>
      </c>
      <c r="E483" s="238" t="s">
        <v>741</v>
      </c>
      <c r="F483" s="238"/>
      <c r="G483" s="238"/>
      <c r="H483" s="238" t="s">
        <v>476</v>
      </c>
      <c r="I483" s="238" t="s">
        <v>250</v>
      </c>
      <c r="J483" s="239">
        <v>42330</v>
      </c>
      <c r="K483" s="239">
        <v>52390</v>
      </c>
      <c r="L483" s="238" t="s">
        <v>649</v>
      </c>
      <c r="M483" s="237">
        <v>1</v>
      </c>
      <c r="N483" s="237"/>
      <c r="O483" s="238"/>
      <c r="P483" s="88" t="str">
        <f t="shared" si="8"/>
        <v>1</v>
      </c>
      <c r="Q483" s="88" t="str">
        <f>IFERROR(INDEX(Торг!$F:$F,MATCH($B483,Торг!$B:$B,0)),"Отсутствует")</f>
        <v>Y</v>
      </c>
      <c r="R483" s="36" t="str">
        <f>IFERROR(IF(AND(Q483="Отсутствует",VLOOKUP(A483,Торг!$A:$A,1,0)=A483),"Добавить","Есть"),"Новый")</f>
        <v>Есть</v>
      </c>
    </row>
    <row r="484" spans="1:18" ht="75" hidden="1">
      <c r="A484" s="238" t="s">
        <v>813</v>
      </c>
      <c r="B484" s="237">
        <v>132645</v>
      </c>
      <c r="C484" s="237">
        <v>166816</v>
      </c>
      <c r="D484" s="238" t="s">
        <v>1276</v>
      </c>
      <c r="E484" s="238" t="s">
        <v>741</v>
      </c>
      <c r="F484" s="238"/>
      <c r="G484" s="238"/>
      <c r="H484" s="238" t="s">
        <v>476</v>
      </c>
      <c r="I484" s="238" t="s">
        <v>250</v>
      </c>
      <c r="J484" s="239">
        <v>42370</v>
      </c>
      <c r="K484" s="239">
        <v>52390</v>
      </c>
      <c r="L484" s="238" t="s">
        <v>649</v>
      </c>
      <c r="M484" s="237">
        <v>1</v>
      </c>
      <c r="N484" s="237"/>
      <c r="O484" s="238"/>
      <c r="P484" s="88" t="str">
        <f t="shared" si="8"/>
        <v>1</v>
      </c>
      <c r="Q484" s="88" t="str">
        <f>IFERROR(INDEX(Торг!$F:$F,MATCH($B484,Торг!$B:$B,0)),"Отсутствует")</f>
        <v>Y</v>
      </c>
      <c r="R484" s="36" t="str">
        <f>IFERROR(IF(AND(Q484="Отсутствует",VLOOKUP(A484,Торг!$A:$A,1,0)=A484),"Добавить","Есть"),"Новый")</f>
        <v>Есть</v>
      </c>
    </row>
    <row r="485" spans="1:18" ht="75" hidden="1">
      <c r="A485" s="238" t="s">
        <v>813</v>
      </c>
      <c r="B485" s="237">
        <v>132646</v>
      </c>
      <c r="C485" s="237">
        <v>166811</v>
      </c>
      <c r="D485" s="238" t="s">
        <v>1277</v>
      </c>
      <c r="E485" s="238" t="s">
        <v>741</v>
      </c>
      <c r="F485" s="238"/>
      <c r="G485" s="238"/>
      <c r="H485" s="238" t="s">
        <v>476</v>
      </c>
      <c r="I485" s="238" t="s">
        <v>250</v>
      </c>
      <c r="J485" s="239">
        <v>42370</v>
      </c>
      <c r="K485" s="239">
        <v>52390</v>
      </c>
      <c r="L485" s="238" t="s">
        <v>649</v>
      </c>
      <c r="M485" s="237">
        <v>1</v>
      </c>
      <c r="N485" s="237"/>
      <c r="O485" s="238"/>
      <c r="P485" s="88" t="str">
        <f t="shared" si="8"/>
        <v>1</v>
      </c>
      <c r="Q485" s="88" t="str">
        <f>IFERROR(INDEX(Торг!$F:$F,MATCH($B485,Торг!$B:$B,0)),"Отсутствует")</f>
        <v>Y</v>
      </c>
      <c r="R485" s="36" t="str">
        <f>IFERROR(IF(AND(Q485="Отсутствует",VLOOKUP(A485,Торг!$A:$A,1,0)=A485),"Добавить","Есть"),"Новый")</f>
        <v>Есть</v>
      </c>
    </row>
    <row r="486" spans="1:18" ht="75" hidden="1">
      <c r="A486" s="238" t="s">
        <v>813</v>
      </c>
      <c r="B486" s="237">
        <v>132647</v>
      </c>
      <c r="C486" s="237">
        <v>166815</v>
      </c>
      <c r="D486" s="238" t="s">
        <v>1278</v>
      </c>
      <c r="E486" s="238" t="s">
        <v>741</v>
      </c>
      <c r="F486" s="238"/>
      <c r="G486" s="238"/>
      <c r="H486" s="238" t="s">
        <v>476</v>
      </c>
      <c r="I486" s="238" t="s">
        <v>250</v>
      </c>
      <c r="J486" s="239">
        <v>42370</v>
      </c>
      <c r="K486" s="239">
        <v>52390</v>
      </c>
      <c r="L486" s="238" t="s">
        <v>649</v>
      </c>
      <c r="M486" s="237">
        <v>1</v>
      </c>
      <c r="N486" s="237"/>
      <c r="O486" s="238"/>
      <c r="P486" s="88" t="str">
        <f t="shared" ref="P486:P549" si="9">_xlfn.CONCAT(M486,IF(N486&lt;&gt;"",_xlfn.CONCAT("ск",N486),""))</f>
        <v>1</v>
      </c>
      <c r="Q486" s="88" t="str">
        <f>IFERROR(INDEX(Торг!$F:$F,MATCH($B486,Торг!$B:$B,0)),"Отсутствует")</f>
        <v>Y</v>
      </c>
      <c r="R486" s="36" t="str">
        <f>IFERROR(IF(AND(Q486="Отсутствует",VLOOKUP(A486,Торг!$A:$A,1,0)=A486),"Добавить","Есть"),"Новый")</f>
        <v>Есть</v>
      </c>
    </row>
    <row r="487" spans="1:18" ht="75" hidden="1">
      <c r="A487" s="238" t="s">
        <v>813</v>
      </c>
      <c r="B487" s="237">
        <v>132648</v>
      </c>
      <c r="C487" s="237">
        <v>166807</v>
      </c>
      <c r="D487" s="238" t="s">
        <v>1279</v>
      </c>
      <c r="E487" s="238" t="s">
        <v>741</v>
      </c>
      <c r="F487" s="238"/>
      <c r="G487" s="238"/>
      <c r="H487" s="238" t="s">
        <v>476</v>
      </c>
      <c r="I487" s="238" t="s">
        <v>250</v>
      </c>
      <c r="J487" s="239">
        <v>42370</v>
      </c>
      <c r="K487" s="239">
        <v>52390</v>
      </c>
      <c r="L487" s="238" t="s">
        <v>649</v>
      </c>
      <c r="M487" s="237">
        <v>1</v>
      </c>
      <c r="N487" s="237"/>
      <c r="O487" s="238"/>
      <c r="P487" s="88" t="str">
        <f t="shared" si="9"/>
        <v>1</v>
      </c>
      <c r="Q487" s="88" t="str">
        <f>IFERROR(INDEX(Торг!$F:$F,MATCH($B487,Торг!$B:$B,0)),"Отсутствует")</f>
        <v>Y</v>
      </c>
      <c r="R487" s="36" t="str">
        <f>IFERROR(IF(AND(Q487="Отсутствует",VLOOKUP(A487,Торг!$A:$A,1,0)=A487),"Добавить","Есть"),"Новый")</f>
        <v>Есть</v>
      </c>
    </row>
    <row r="488" spans="1:18" ht="75" hidden="1">
      <c r="A488" s="238" t="s">
        <v>813</v>
      </c>
      <c r="B488" s="237">
        <v>132649</v>
      </c>
      <c r="C488" s="237">
        <v>166814</v>
      </c>
      <c r="D488" s="238" t="s">
        <v>1280</v>
      </c>
      <c r="E488" s="238" t="s">
        <v>741</v>
      </c>
      <c r="F488" s="238"/>
      <c r="G488" s="238"/>
      <c r="H488" s="238" t="s">
        <v>476</v>
      </c>
      <c r="I488" s="238" t="s">
        <v>250</v>
      </c>
      <c r="J488" s="239">
        <v>42370</v>
      </c>
      <c r="K488" s="239">
        <v>52390</v>
      </c>
      <c r="L488" s="238" t="s">
        <v>649</v>
      </c>
      <c r="M488" s="237">
        <v>1</v>
      </c>
      <c r="N488" s="237"/>
      <c r="O488" s="238"/>
      <c r="P488" s="88" t="str">
        <f t="shared" si="9"/>
        <v>1</v>
      </c>
      <c r="Q488" s="88" t="str">
        <f>IFERROR(INDEX(Торг!$F:$F,MATCH($B488,Торг!$B:$B,0)),"Отсутствует")</f>
        <v>Y</v>
      </c>
      <c r="R488" s="36" t="str">
        <f>IFERROR(IF(AND(Q488="Отсутствует",VLOOKUP(A488,Торг!$A:$A,1,0)=A488),"Добавить","Есть"),"Новый")</f>
        <v>Есть</v>
      </c>
    </row>
    <row r="489" spans="1:18" ht="75" hidden="1">
      <c r="A489" s="238" t="s">
        <v>813</v>
      </c>
      <c r="B489" s="237">
        <v>132650</v>
      </c>
      <c r="C489" s="237">
        <v>166810</v>
      </c>
      <c r="D489" s="238" t="s">
        <v>1281</v>
      </c>
      <c r="E489" s="238" t="s">
        <v>741</v>
      </c>
      <c r="F489" s="238"/>
      <c r="G489" s="238"/>
      <c r="H489" s="238" t="s">
        <v>476</v>
      </c>
      <c r="I489" s="238" t="s">
        <v>250</v>
      </c>
      <c r="J489" s="239">
        <v>42370</v>
      </c>
      <c r="K489" s="239">
        <v>52390</v>
      </c>
      <c r="L489" s="238" t="s">
        <v>649</v>
      </c>
      <c r="M489" s="237">
        <v>1</v>
      </c>
      <c r="N489" s="237"/>
      <c r="O489" s="238"/>
      <c r="P489" s="88" t="str">
        <f t="shared" si="9"/>
        <v>1</v>
      </c>
      <c r="Q489" s="88" t="str">
        <f>IFERROR(INDEX(Торг!$F:$F,MATCH($B489,Торг!$B:$B,0)),"Отсутствует")</f>
        <v>Y</v>
      </c>
      <c r="R489" s="36" t="str">
        <f>IFERROR(IF(AND(Q489="Отсутствует",VLOOKUP(A489,Торг!$A:$A,1,0)=A489),"Добавить","Есть"),"Новый")</f>
        <v>Есть</v>
      </c>
    </row>
    <row r="490" spans="1:18" ht="75" hidden="1">
      <c r="A490" s="238" t="s">
        <v>813</v>
      </c>
      <c r="B490" s="237">
        <v>132651</v>
      </c>
      <c r="C490" s="237">
        <v>166812</v>
      </c>
      <c r="D490" s="238" t="s">
        <v>1282</v>
      </c>
      <c r="E490" s="238" t="s">
        <v>741</v>
      </c>
      <c r="F490" s="238"/>
      <c r="G490" s="238"/>
      <c r="H490" s="238" t="s">
        <v>476</v>
      </c>
      <c r="I490" s="238" t="s">
        <v>250</v>
      </c>
      <c r="J490" s="239">
        <v>42370</v>
      </c>
      <c r="K490" s="239">
        <v>52390</v>
      </c>
      <c r="L490" s="238" t="s">
        <v>649</v>
      </c>
      <c r="M490" s="237">
        <v>1</v>
      </c>
      <c r="N490" s="237"/>
      <c r="O490" s="238"/>
      <c r="P490" s="88" t="str">
        <f t="shared" si="9"/>
        <v>1</v>
      </c>
      <c r="Q490" s="88" t="str">
        <f>IFERROR(INDEX(Торг!$F:$F,MATCH($B490,Торг!$B:$B,0)),"Отсутствует")</f>
        <v>Y</v>
      </c>
      <c r="R490" s="36" t="str">
        <f>IFERROR(IF(AND(Q490="Отсутствует",VLOOKUP(A490,Торг!$A:$A,1,0)=A490),"Добавить","Есть"),"Новый")</f>
        <v>Есть</v>
      </c>
    </row>
    <row r="491" spans="1:18" ht="75" hidden="1">
      <c r="A491" s="238" t="s">
        <v>813</v>
      </c>
      <c r="B491" s="237">
        <v>132652</v>
      </c>
      <c r="C491" s="237">
        <v>166813</v>
      </c>
      <c r="D491" s="238" t="s">
        <v>1283</v>
      </c>
      <c r="E491" s="238" t="s">
        <v>741</v>
      </c>
      <c r="F491" s="238"/>
      <c r="G491" s="238"/>
      <c r="H491" s="238" t="s">
        <v>476</v>
      </c>
      <c r="I491" s="238" t="s">
        <v>250</v>
      </c>
      <c r="J491" s="239">
        <v>42370</v>
      </c>
      <c r="K491" s="239">
        <v>52390</v>
      </c>
      <c r="L491" s="238" t="s">
        <v>649</v>
      </c>
      <c r="M491" s="237">
        <v>1</v>
      </c>
      <c r="N491" s="237"/>
      <c r="O491" s="238"/>
      <c r="P491" s="88" t="str">
        <f t="shared" si="9"/>
        <v>1</v>
      </c>
      <c r="Q491" s="88" t="str">
        <f>IFERROR(INDEX(Торг!$F:$F,MATCH($B491,Торг!$B:$B,0)),"Отсутствует")</f>
        <v>Y</v>
      </c>
      <c r="R491" s="36" t="str">
        <f>IFERROR(IF(AND(Q491="Отсутствует",VLOOKUP(A491,Торг!$A:$A,1,0)=A491),"Добавить","Есть"),"Новый")</f>
        <v>Есть</v>
      </c>
    </row>
    <row r="492" spans="1:18" ht="75" hidden="1">
      <c r="A492" s="238" t="s">
        <v>813</v>
      </c>
      <c r="B492" s="237">
        <v>132653</v>
      </c>
      <c r="C492" s="237">
        <v>166809</v>
      </c>
      <c r="D492" s="238" t="s">
        <v>1284</v>
      </c>
      <c r="E492" s="238" t="s">
        <v>741</v>
      </c>
      <c r="F492" s="238"/>
      <c r="G492" s="238"/>
      <c r="H492" s="238" t="s">
        <v>476</v>
      </c>
      <c r="I492" s="238" t="s">
        <v>250</v>
      </c>
      <c r="J492" s="239">
        <v>42370</v>
      </c>
      <c r="K492" s="239">
        <v>52390</v>
      </c>
      <c r="L492" s="238" t="s">
        <v>649</v>
      </c>
      <c r="M492" s="237">
        <v>1</v>
      </c>
      <c r="N492" s="237"/>
      <c r="O492" s="238"/>
      <c r="P492" s="88" t="str">
        <f t="shared" si="9"/>
        <v>1</v>
      </c>
      <c r="Q492" s="88" t="str">
        <f>IFERROR(INDEX(Торг!$F:$F,MATCH($B492,Торг!$B:$B,0)),"Отсутствует")</f>
        <v>Y</v>
      </c>
      <c r="R492" s="36" t="str">
        <f>IFERROR(IF(AND(Q492="Отсутствует",VLOOKUP(A492,Торг!$A:$A,1,0)=A492),"Добавить","Есть"),"Новый")</f>
        <v>Есть</v>
      </c>
    </row>
    <row r="493" spans="1:18" ht="75" hidden="1">
      <c r="A493" s="238" t="s">
        <v>813</v>
      </c>
      <c r="B493" s="237">
        <v>132654</v>
      </c>
      <c r="C493" s="237">
        <v>166808</v>
      </c>
      <c r="D493" s="238" t="s">
        <v>1285</v>
      </c>
      <c r="E493" s="238" t="s">
        <v>741</v>
      </c>
      <c r="F493" s="238"/>
      <c r="G493" s="238"/>
      <c r="H493" s="238" t="s">
        <v>476</v>
      </c>
      <c r="I493" s="238" t="s">
        <v>250</v>
      </c>
      <c r="J493" s="239">
        <v>42370</v>
      </c>
      <c r="K493" s="239">
        <v>52390</v>
      </c>
      <c r="L493" s="238" t="s">
        <v>649</v>
      </c>
      <c r="M493" s="237">
        <v>1</v>
      </c>
      <c r="N493" s="237"/>
      <c r="O493" s="238"/>
      <c r="P493" s="88" t="str">
        <f t="shared" si="9"/>
        <v>1</v>
      </c>
      <c r="Q493" s="88" t="str">
        <f>IFERROR(INDEX(Торг!$F:$F,MATCH($B493,Торг!$B:$B,0)),"Отсутствует")</f>
        <v>Y</v>
      </c>
      <c r="R493" s="36" t="str">
        <f>IFERROR(IF(AND(Q493="Отсутствует",VLOOKUP(A493,Торг!$A:$A,1,0)=A493),"Добавить","Есть"),"Новый")</f>
        <v>Есть</v>
      </c>
    </row>
    <row r="494" spans="1:18" ht="75" hidden="1">
      <c r="A494" s="238" t="s">
        <v>813</v>
      </c>
      <c r="B494" s="237">
        <v>132655</v>
      </c>
      <c r="C494" s="237">
        <v>166806</v>
      </c>
      <c r="D494" s="238" t="s">
        <v>1286</v>
      </c>
      <c r="E494" s="238" t="s">
        <v>741</v>
      </c>
      <c r="F494" s="238"/>
      <c r="G494" s="238"/>
      <c r="H494" s="238" t="s">
        <v>476</v>
      </c>
      <c r="I494" s="238" t="s">
        <v>250</v>
      </c>
      <c r="J494" s="239">
        <v>42370</v>
      </c>
      <c r="K494" s="239">
        <v>52390</v>
      </c>
      <c r="L494" s="238" t="s">
        <v>649</v>
      </c>
      <c r="M494" s="237">
        <v>1</v>
      </c>
      <c r="N494" s="237"/>
      <c r="O494" s="238"/>
      <c r="P494" s="88" t="str">
        <f t="shared" si="9"/>
        <v>1</v>
      </c>
      <c r="Q494" s="88" t="str">
        <f>IFERROR(INDEX(Торг!$F:$F,MATCH($B494,Торг!$B:$B,0)),"Отсутствует")</f>
        <v>Y</v>
      </c>
      <c r="R494" s="36" t="str">
        <f>IFERROR(IF(AND(Q494="Отсутствует",VLOOKUP(A494,Торг!$A:$A,1,0)=A494),"Добавить","Есть"),"Новый")</f>
        <v>Есть</v>
      </c>
    </row>
    <row r="495" spans="1:18" ht="75" hidden="1">
      <c r="A495" s="238" t="s">
        <v>813</v>
      </c>
      <c r="B495" s="237">
        <v>132656</v>
      </c>
      <c r="C495" s="237">
        <v>166805</v>
      </c>
      <c r="D495" s="238" t="s">
        <v>1287</v>
      </c>
      <c r="E495" s="238" t="s">
        <v>741</v>
      </c>
      <c r="F495" s="238"/>
      <c r="G495" s="238"/>
      <c r="H495" s="238" t="s">
        <v>476</v>
      </c>
      <c r="I495" s="238" t="s">
        <v>250</v>
      </c>
      <c r="J495" s="239">
        <v>42370</v>
      </c>
      <c r="K495" s="239">
        <v>52390</v>
      </c>
      <c r="L495" s="238" t="s">
        <v>649</v>
      </c>
      <c r="M495" s="237">
        <v>1</v>
      </c>
      <c r="N495" s="237"/>
      <c r="O495" s="238"/>
      <c r="P495" s="88" t="str">
        <f t="shared" si="9"/>
        <v>1</v>
      </c>
      <c r="Q495" s="88" t="str">
        <f>IFERROR(INDEX(Торг!$F:$F,MATCH($B495,Торг!$B:$B,0)),"Отсутствует")</f>
        <v>Y</v>
      </c>
      <c r="R495" s="36" t="str">
        <f>IFERROR(IF(AND(Q495="Отсутствует",VLOOKUP(A495,Торг!$A:$A,1,0)=A495),"Добавить","Есть"),"Новый")</f>
        <v>Есть</v>
      </c>
    </row>
    <row r="496" spans="1:18" ht="75" hidden="1">
      <c r="A496" s="238" t="s">
        <v>813</v>
      </c>
      <c r="B496" s="237">
        <v>132657</v>
      </c>
      <c r="C496" s="237">
        <v>166803</v>
      </c>
      <c r="D496" s="238" t="s">
        <v>1288</v>
      </c>
      <c r="E496" s="238" t="s">
        <v>741</v>
      </c>
      <c r="F496" s="238"/>
      <c r="G496" s="238"/>
      <c r="H496" s="238" t="s">
        <v>476</v>
      </c>
      <c r="I496" s="238" t="s">
        <v>250</v>
      </c>
      <c r="J496" s="239">
        <v>41500</v>
      </c>
      <c r="K496" s="239">
        <v>51390</v>
      </c>
      <c r="L496" s="238" t="s">
        <v>649</v>
      </c>
      <c r="M496" s="237">
        <v>1</v>
      </c>
      <c r="N496" s="237"/>
      <c r="O496" s="238"/>
      <c r="P496" s="88" t="str">
        <f t="shared" si="9"/>
        <v>1</v>
      </c>
      <c r="Q496" s="88" t="str">
        <f>IFERROR(INDEX(Торг!$F:$F,MATCH($B496,Торг!$B:$B,0)),"Отсутствует")</f>
        <v>Y</v>
      </c>
      <c r="R496" s="36" t="str">
        <f>IFERROR(IF(AND(Q496="Отсутствует",VLOOKUP(A496,Торг!$A:$A,1,0)=A496),"Добавить","Есть"),"Новый")</f>
        <v>Есть</v>
      </c>
    </row>
    <row r="497" spans="1:18" ht="60" hidden="1">
      <c r="A497" s="238" t="s">
        <v>814</v>
      </c>
      <c r="B497" s="237">
        <v>341599</v>
      </c>
      <c r="C497" s="237">
        <v>341599</v>
      </c>
      <c r="D497" s="238" t="s">
        <v>1289</v>
      </c>
      <c r="E497" s="238" t="s">
        <v>741</v>
      </c>
      <c r="F497" s="238"/>
      <c r="G497" s="238"/>
      <c r="H497" s="238" t="s">
        <v>136</v>
      </c>
      <c r="I497" s="238" t="s">
        <v>250</v>
      </c>
      <c r="J497" s="239">
        <v>51600</v>
      </c>
      <c r="K497" s="239">
        <v>63890</v>
      </c>
      <c r="L497" s="238" t="s">
        <v>649</v>
      </c>
      <c r="M497" s="237">
        <v>1</v>
      </c>
      <c r="N497" s="237"/>
      <c r="O497" s="238"/>
      <c r="P497" s="88" t="str">
        <f t="shared" si="9"/>
        <v>1</v>
      </c>
      <c r="Q497" s="88" t="str">
        <f>IFERROR(INDEX(Торг!$F:$F,MATCH($B497,Торг!$B:$B,0)),"Отсутствует")</f>
        <v>Y</v>
      </c>
      <c r="R497" s="36" t="str">
        <f>IFERROR(IF(AND(Q497="Отсутствует",VLOOKUP(A497,Торг!$A:$A,1,0)=A497),"Добавить","Есть"),"Новый")</f>
        <v>Есть</v>
      </c>
    </row>
    <row r="498" spans="1:18" ht="75" hidden="1">
      <c r="A498" s="238" t="s">
        <v>814</v>
      </c>
      <c r="B498" s="237">
        <v>341611</v>
      </c>
      <c r="C498" s="237">
        <v>341611</v>
      </c>
      <c r="D498" s="238" t="s">
        <v>1290</v>
      </c>
      <c r="E498" s="238" t="s">
        <v>741</v>
      </c>
      <c r="F498" s="238"/>
      <c r="G498" s="238"/>
      <c r="H498" s="238" t="s">
        <v>136</v>
      </c>
      <c r="I498" s="238" t="s">
        <v>250</v>
      </c>
      <c r="J498" s="239">
        <v>51600</v>
      </c>
      <c r="K498" s="239">
        <v>63890</v>
      </c>
      <c r="L498" s="238" t="s">
        <v>649</v>
      </c>
      <c r="M498" s="237">
        <v>1</v>
      </c>
      <c r="N498" s="237"/>
      <c r="O498" s="238"/>
      <c r="P498" s="88" t="str">
        <f t="shared" si="9"/>
        <v>1</v>
      </c>
      <c r="Q498" s="88" t="str">
        <f>IFERROR(INDEX(Торг!$F:$F,MATCH($B498,Торг!$B:$B,0)),"Отсутствует")</f>
        <v>Y</v>
      </c>
      <c r="R498" s="36" t="str">
        <f>IFERROR(IF(AND(Q498="Отсутствует",VLOOKUP(A498,Торг!$A:$A,1,0)=A498),"Добавить","Есть"),"Новый")</f>
        <v>Есть</v>
      </c>
    </row>
    <row r="499" spans="1:18" ht="75" hidden="1">
      <c r="A499" s="238" t="s">
        <v>814</v>
      </c>
      <c r="B499" s="237">
        <v>341610</v>
      </c>
      <c r="C499" s="237">
        <v>341610</v>
      </c>
      <c r="D499" s="238" t="s">
        <v>1291</v>
      </c>
      <c r="E499" s="238" t="s">
        <v>741</v>
      </c>
      <c r="F499" s="238"/>
      <c r="G499" s="238"/>
      <c r="H499" s="238" t="s">
        <v>136</v>
      </c>
      <c r="I499" s="238" t="s">
        <v>250</v>
      </c>
      <c r="J499" s="239">
        <v>51600</v>
      </c>
      <c r="K499" s="239">
        <v>63890</v>
      </c>
      <c r="L499" s="238" t="s">
        <v>649</v>
      </c>
      <c r="M499" s="237">
        <v>1</v>
      </c>
      <c r="N499" s="237"/>
      <c r="O499" s="238"/>
      <c r="P499" s="88" t="str">
        <f t="shared" si="9"/>
        <v>1</v>
      </c>
      <c r="Q499" s="88" t="str">
        <f>IFERROR(INDEX(Торг!$F:$F,MATCH($B499,Торг!$B:$B,0)),"Отсутствует")</f>
        <v>Y</v>
      </c>
      <c r="R499" s="36" t="str">
        <f>IFERROR(IF(AND(Q499="Отсутствует",VLOOKUP(A499,Торг!$A:$A,1,0)=A499),"Добавить","Есть"),"Новый")</f>
        <v>Есть</v>
      </c>
    </row>
    <row r="500" spans="1:18" ht="75" hidden="1">
      <c r="A500" s="238" t="s">
        <v>814</v>
      </c>
      <c r="B500" s="237">
        <v>341602</v>
      </c>
      <c r="C500" s="237">
        <v>341602</v>
      </c>
      <c r="D500" s="238" t="s">
        <v>1292</v>
      </c>
      <c r="E500" s="238" t="s">
        <v>741</v>
      </c>
      <c r="F500" s="238"/>
      <c r="G500" s="238"/>
      <c r="H500" s="238" t="s">
        <v>136</v>
      </c>
      <c r="I500" s="238" t="s">
        <v>250</v>
      </c>
      <c r="J500" s="239">
        <v>51600</v>
      </c>
      <c r="K500" s="239">
        <v>63890</v>
      </c>
      <c r="L500" s="238" t="s">
        <v>649</v>
      </c>
      <c r="M500" s="237">
        <v>1</v>
      </c>
      <c r="N500" s="237"/>
      <c r="O500" s="238"/>
      <c r="P500" s="88" t="str">
        <f t="shared" si="9"/>
        <v>1</v>
      </c>
      <c r="Q500" s="88" t="str">
        <f>IFERROR(INDEX(Торг!$F:$F,MATCH($B500,Торг!$B:$B,0)),"Отсутствует")</f>
        <v>Y</v>
      </c>
      <c r="R500" s="36" t="str">
        <f>IFERROR(IF(AND(Q500="Отсутствует",VLOOKUP(A500,Торг!$A:$A,1,0)=A500),"Добавить","Есть"),"Новый")</f>
        <v>Есть</v>
      </c>
    </row>
    <row r="501" spans="1:18" ht="75" hidden="1">
      <c r="A501" s="238" t="s">
        <v>814</v>
      </c>
      <c r="B501" s="237">
        <v>341603</v>
      </c>
      <c r="C501" s="237">
        <v>341603</v>
      </c>
      <c r="D501" s="238" t="s">
        <v>1293</v>
      </c>
      <c r="E501" s="238" t="s">
        <v>741</v>
      </c>
      <c r="F501" s="238"/>
      <c r="G501" s="238"/>
      <c r="H501" s="238" t="s">
        <v>136</v>
      </c>
      <c r="I501" s="238" t="s">
        <v>250</v>
      </c>
      <c r="J501" s="239">
        <v>51600</v>
      </c>
      <c r="K501" s="239">
        <v>63890</v>
      </c>
      <c r="L501" s="238" t="s">
        <v>649</v>
      </c>
      <c r="M501" s="237">
        <v>1</v>
      </c>
      <c r="N501" s="237"/>
      <c r="O501" s="238"/>
      <c r="P501" s="88" t="str">
        <f t="shared" si="9"/>
        <v>1</v>
      </c>
      <c r="Q501" s="88" t="str">
        <f>IFERROR(INDEX(Торг!$F:$F,MATCH($B501,Торг!$B:$B,0)),"Отсутствует")</f>
        <v>Y</v>
      </c>
      <c r="R501" s="36" t="str">
        <f>IFERROR(IF(AND(Q501="Отсутствует",VLOOKUP(A501,Торг!$A:$A,1,0)=A501),"Добавить","Есть"),"Новый")</f>
        <v>Есть</v>
      </c>
    </row>
    <row r="502" spans="1:18" ht="75" hidden="1">
      <c r="A502" s="238" t="s">
        <v>814</v>
      </c>
      <c r="B502" s="237">
        <v>341604</v>
      </c>
      <c r="C502" s="237">
        <v>341604</v>
      </c>
      <c r="D502" s="238" t="s">
        <v>1294</v>
      </c>
      <c r="E502" s="238" t="s">
        <v>741</v>
      </c>
      <c r="F502" s="238"/>
      <c r="G502" s="238"/>
      <c r="H502" s="238" t="s">
        <v>136</v>
      </c>
      <c r="I502" s="238" t="s">
        <v>250</v>
      </c>
      <c r="J502" s="239">
        <v>51600</v>
      </c>
      <c r="K502" s="239">
        <v>63890</v>
      </c>
      <c r="L502" s="238" t="s">
        <v>649</v>
      </c>
      <c r="M502" s="237">
        <v>1</v>
      </c>
      <c r="N502" s="237"/>
      <c r="O502" s="238"/>
      <c r="P502" s="88" t="str">
        <f t="shared" si="9"/>
        <v>1</v>
      </c>
      <c r="Q502" s="88" t="str">
        <f>IFERROR(INDEX(Торг!$F:$F,MATCH($B502,Торг!$B:$B,0)),"Отсутствует")</f>
        <v>Y</v>
      </c>
      <c r="R502" s="36" t="str">
        <f>IFERROR(IF(AND(Q502="Отсутствует",VLOOKUP(A502,Торг!$A:$A,1,0)=A502),"Добавить","Есть"),"Новый")</f>
        <v>Есть</v>
      </c>
    </row>
    <row r="503" spans="1:18" ht="75" hidden="1">
      <c r="A503" s="238" t="s">
        <v>814</v>
      </c>
      <c r="B503" s="237">
        <v>341605</v>
      </c>
      <c r="C503" s="237">
        <v>341605</v>
      </c>
      <c r="D503" s="238" t="s">
        <v>1295</v>
      </c>
      <c r="E503" s="238" t="s">
        <v>741</v>
      </c>
      <c r="F503" s="238"/>
      <c r="G503" s="238"/>
      <c r="H503" s="238" t="s">
        <v>136</v>
      </c>
      <c r="I503" s="238" t="s">
        <v>250</v>
      </c>
      <c r="J503" s="239">
        <v>51600</v>
      </c>
      <c r="K503" s="239">
        <v>63890</v>
      </c>
      <c r="L503" s="238" t="s">
        <v>649</v>
      </c>
      <c r="M503" s="237">
        <v>1</v>
      </c>
      <c r="N503" s="237"/>
      <c r="O503" s="238"/>
      <c r="P503" s="88" t="str">
        <f t="shared" si="9"/>
        <v>1</v>
      </c>
      <c r="Q503" s="88" t="str">
        <f>IFERROR(INDEX(Торг!$F:$F,MATCH($B503,Торг!$B:$B,0)),"Отсутствует")</f>
        <v>Y</v>
      </c>
      <c r="R503" s="36" t="str">
        <f>IFERROR(IF(AND(Q503="Отсутствует",VLOOKUP(A503,Торг!$A:$A,1,0)=A503),"Добавить","Есть"),"Новый")</f>
        <v>Есть</v>
      </c>
    </row>
    <row r="504" spans="1:18" ht="75" hidden="1">
      <c r="A504" s="238" t="s">
        <v>814</v>
      </c>
      <c r="B504" s="237">
        <v>341608</v>
      </c>
      <c r="C504" s="237">
        <v>341608</v>
      </c>
      <c r="D504" s="238" t="s">
        <v>1296</v>
      </c>
      <c r="E504" s="238" t="s">
        <v>741</v>
      </c>
      <c r="F504" s="238"/>
      <c r="G504" s="238"/>
      <c r="H504" s="238" t="s">
        <v>136</v>
      </c>
      <c r="I504" s="238" t="s">
        <v>250</v>
      </c>
      <c r="J504" s="239">
        <v>51600</v>
      </c>
      <c r="K504" s="239">
        <v>63890</v>
      </c>
      <c r="L504" s="238" t="s">
        <v>649</v>
      </c>
      <c r="M504" s="237">
        <v>1</v>
      </c>
      <c r="N504" s="237"/>
      <c r="O504" s="238"/>
      <c r="P504" s="88" t="str">
        <f t="shared" si="9"/>
        <v>1</v>
      </c>
      <c r="Q504" s="88" t="str">
        <f>IFERROR(INDEX(Торг!$F:$F,MATCH($B504,Торг!$B:$B,0)),"Отсутствует")</f>
        <v>Y</v>
      </c>
      <c r="R504" s="36" t="str">
        <f>IFERROR(IF(AND(Q504="Отсутствует",VLOOKUP(A504,Торг!$A:$A,1,0)=A504),"Добавить","Есть"),"Новый")</f>
        <v>Есть</v>
      </c>
    </row>
    <row r="505" spans="1:18" ht="75" hidden="1">
      <c r="A505" s="238" t="s">
        <v>814</v>
      </c>
      <c r="B505" s="237">
        <v>341606</v>
      </c>
      <c r="C505" s="237">
        <v>341606</v>
      </c>
      <c r="D505" s="238" t="s">
        <v>1297</v>
      </c>
      <c r="E505" s="238" t="s">
        <v>741</v>
      </c>
      <c r="F505" s="238"/>
      <c r="G505" s="238"/>
      <c r="H505" s="238" t="s">
        <v>136</v>
      </c>
      <c r="I505" s="238" t="s">
        <v>250</v>
      </c>
      <c r="J505" s="239">
        <v>51600</v>
      </c>
      <c r="K505" s="239">
        <v>63890</v>
      </c>
      <c r="L505" s="238" t="s">
        <v>649</v>
      </c>
      <c r="M505" s="237">
        <v>1</v>
      </c>
      <c r="N505" s="237"/>
      <c r="O505" s="238"/>
      <c r="P505" s="88" t="str">
        <f t="shared" si="9"/>
        <v>1</v>
      </c>
      <c r="Q505" s="88" t="str">
        <f>IFERROR(INDEX(Торг!$F:$F,MATCH($B505,Торг!$B:$B,0)),"Отсутствует")</f>
        <v>Y</v>
      </c>
      <c r="R505" s="36" t="str">
        <f>IFERROR(IF(AND(Q505="Отсутствует",VLOOKUP(A505,Торг!$A:$A,1,0)=A505),"Добавить","Есть"),"Новый")</f>
        <v>Есть</v>
      </c>
    </row>
    <row r="506" spans="1:18" ht="60" hidden="1">
      <c r="A506" s="238" t="s">
        <v>814</v>
      </c>
      <c r="B506" s="237">
        <v>341607</v>
      </c>
      <c r="C506" s="237">
        <v>341607</v>
      </c>
      <c r="D506" s="238" t="s">
        <v>1298</v>
      </c>
      <c r="E506" s="238" t="s">
        <v>741</v>
      </c>
      <c r="F506" s="238"/>
      <c r="G506" s="238"/>
      <c r="H506" s="238" t="s">
        <v>136</v>
      </c>
      <c r="I506" s="238" t="s">
        <v>250</v>
      </c>
      <c r="J506" s="239">
        <v>51600</v>
      </c>
      <c r="K506" s="239">
        <v>63890</v>
      </c>
      <c r="L506" s="238" t="s">
        <v>649</v>
      </c>
      <c r="M506" s="237">
        <v>1</v>
      </c>
      <c r="N506" s="237"/>
      <c r="O506" s="238"/>
      <c r="P506" s="88" t="str">
        <f t="shared" si="9"/>
        <v>1</v>
      </c>
      <c r="Q506" s="88" t="str">
        <f>IFERROR(INDEX(Торг!$F:$F,MATCH($B506,Торг!$B:$B,0)),"Отсутствует")</f>
        <v>Y</v>
      </c>
      <c r="R506" s="36" t="str">
        <f>IFERROR(IF(AND(Q506="Отсутствует",VLOOKUP(A506,Торг!$A:$A,1,0)=A506),"Добавить","Есть"),"Новый")</f>
        <v>Есть</v>
      </c>
    </row>
    <row r="507" spans="1:18" ht="75" hidden="1">
      <c r="A507" s="238" t="s">
        <v>814</v>
      </c>
      <c r="B507" s="237">
        <v>341609</v>
      </c>
      <c r="C507" s="237">
        <v>341609</v>
      </c>
      <c r="D507" s="238" t="s">
        <v>1299</v>
      </c>
      <c r="E507" s="238" t="s">
        <v>741</v>
      </c>
      <c r="F507" s="238"/>
      <c r="G507" s="238"/>
      <c r="H507" s="238" t="s">
        <v>136</v>
      </c>
      <c r="I507" s="238" t="s">
        <v>250</v>
      </c>
      <c r="J507" s="239">
        <v>51600</v>
      </c>
      <c r="K507" s="239">
        <v>63890</v>
      </c>
      <c r="L507" s="238" t="s">
        <v>649</v>
      </c>
      <c r="M507" s="237">
        <v>1</v>
      </c>
      <c r="N507" s="237"/>
      <c r="O507" s="238"/>
      <c r="P507" s="88" t="str">
        <f t="shared" si="9"/>
        <v>1</v>
      </c>
      <c r="Q507" s="88" t="str">
        <f>IFERROR(INDEX(Торг!$F:$F,MATCH($B507,Торг!$B:$B,0)),"Отсутствует")</f>
        <v>Y</v>
      </c>
      <c r="R507" s="36" t="str">
        <f>IFERROR(IF(AND(Q507="Отсутствует",VLOOKUP(A507,Торг!$A:$A,1,0)=A507),"Добавить","Есть"),"Новый")</f>
        <v>Есть</v>
      </c>
    </row>
    <row r="508" spans="1:18" ht="75" hidden="1">
      <c r="A508" s="238" t="s">
        <v>814</v>
      </c>
      <c r="B508" s="237">
        <v>341601</v>
      </c>
      <c r="C508" s="237">
        <v>341601</v>
      </c>
      <c r="D508" s="238" t="s">
        <v>1300</v>
      </c>
      <c r="E508" s="238" t="s">
        <v>741</v>
      </c>
      <c r="F508" s="238"/>
      <c r="G508" s="238"/>
      <c r="H508" s="238" t="s">
        <v>136</v>
      </c>
      <c r="I508" s="238" t="s">
        <v>250</v>
      </c>
      <c r="J508" s="239">
        <v>51600</v>
      </c>
      <c r="K508" s="239">
        <v>63890</v>
      </c>
      <c r="L508" s="238" t="s">
        <v>649</v>
      </c>
      <c r="M508" s="237">
        <v>1</v>
      </c>
      <c r="N508" s="237"/>
      <c r="O508" s="238"/>
      <c r="P508" s="88" t="str">
        <f t="shared" si="9"/>
        <v>1</v>
      </c>
      <c r="Q508" s="88" t="str">
        <f>IFERROR(INDEX(Торг!$F:$F,MATCH($B508,Торг!$B:$B,0)),"Отсутствует")</f>
        <v>Y</v>
      </c>
      <c r="R508" s="36" t="str">
        <f>IFERROR(IF(AND(Q508="Отсутствует",VLOOKUP(A508,Торг!$A:$A,1,0)=A508),"Добавить","Есть"),"Новый")</f>
        <v>Есть</v>
      </c>
    </row>
    <row r="509" spans="1:18" ht="75" hidden="1">
      <c r="A509" s="238" t="s">
        <v>814</v>
      </c>
      <c r="B509" s="237">
        <v>341600</v>
      </c>
      <c r="C509" s="237">
        <v>341600</v>
      </c>
      <c r="D509" s="238" t="s">
        <v>1301</v>
      </c>
      <c r="E509" s="238" t="s">
        <v>741</v>
      </c>
      <c r="F509" s="238"/>
      <c r="G509" s="238"/>
      <c r="H509" s="238" t="s">
        <v>136</v>
      </c>
      <c r="I509" s="238" t="s">
        <v>250</v>
      </c>
      <c r="J509" s="239">
        <v>50730</v>
      </c>
      <c r="K509" s="239">
        <v>62790</v>
      </c>
      <c r="L509" s="238" t="s">
        <v>649</v>
      </c>
      <c r="M509" s="237">
        <v>1</v>
      </c>
      <c r="N509" s="237"/>
      <c r="O509" s="238"/>
      <c r="P509" s="88" t="str">
        <f t="shared" si="9"/>
        <v>1</v>
      </c>
      <c r="Q509" s="88" t="str">
        <f>IFERROR(INDEX(Торг!$F:$F,MATCH($B509,Торг!$B:$B,0)),"Отсутствует")</f>
        <v>Y</v>
      </c>
      <c r="R509" s="36" t="str">
        <f>IFERROR(IF(AND(Q509="Отсутствует",VLOOKUP(A509,Торг!$A:$A,1,0)=A509),"Добавить","Есть"),"Новый")</f>
        <v>Есть</v>
      </c>
    </row>
    <row r="510" spans="1:18" ht="75" hidden="1">
      <c r="A510" s="238" t="s">
        <v>814</v>
      </c>
      <c r="B510" s="237">
        <v>132659</v>
      </c>
      <c r="C510" s="237">
        <v>166945</v>
      </c>
      <c r="D510" s="238" t="s">
        <v>1302</v>
      </c>
      <c r="E510" s="238" t="s">
        <v>741</v>
      </c>
      <c r="F510" s="238"/>
      <c r="G510" s="238"/>
      <c r="H510" s="238" t="s">
        <v>136</v>
      </c>
      <c r="I510" s="238" t="s">
        <v>250</v>
      </c>
      <c r="J510" s="239">
        <v>50770</v>
      </c>
      <c r="K510" s="239">
        <v>62790</v>
      </c>
      <c r="L510" s="238" t="s">
        <v>649</v>
      </c>
      <c r="M510" s="237">
        <v>1</v>
      </c>
      <c r="N510" s="237"/>
      <c r="O510" s="238"/>
      <c r="P510" s="88" t="str">
        <f t="shared" si="9"/>
        <v>1</v>
      </c>
      <c r="Q510" s="88" t="str">
        <f>IFERROR(INDEX(Торг!$F:$F,MATCH($B510,Торг!$B:$B,0)),"Отсутствует")</f>
        <v>Y</v>
      </c>
      <c r="R510" s="36" t="str">
        <f>IFERROR(IF(AND(Q510="Отсутствует",VLOOKUP(A510,Торг!$A:$A,1,0)=A510),"Добавить","Есть"),"Новый")</f>
        <v>Есть</v>
      </c>
    </row>
    <row r="511" spans="1:18" ht="75" hidden="1">
      <c r="A511" s="238" t="s">
        <v>814</v>
      </c>
      <c r="B511" s="237">
        <v>132660</v>
      </c>
      <c r="C511" s="237">
        <v>166940</v>
      </c>
      <c r="D511" s="238" t="s">
        <v>1303</v>
      </c>
      <c r="E511" s="238" t="s">
        <v>741</v>
      </c>
      <c r="F511" s="238"/>
      <c r="G511" s="238"/>
      <c r="H511" s="238" t="s">
        <v>136</v>
      </c>
      <c r="I511" s="238" t="s">
        <v>250</v>
      </c>
      <c r="J511" s="239">
        <v>50770</v>
      </c>
      <c r="K511" s="239">
        <v>62790</v>
      </c>
      <c r="L511" s="238" t="s">
        <v>649</v>
      </c>
      <c r="M511" s="237">
        <v>1</v>
      </c>
      <c r="N511" s="237"/>
      <c r="O511" s="238"/>
      <c r="P511" s="88" t="str">
        <f t="shared" si="9"/>
        <v>1</v>
      </c>
      <c r="Q511" s="88" t="str">
        <f>IFERROR(INDEX(Торг!$F:$F,MATCH($B511,Торг!$B:$B,0)),"Отсутствует")</f>
        <v>Y</v>
      </c>
      <c r="R511" s="36" t="str">
        <f>IFERROR(IF(AND(Q511="Отсутствует",VLOOKUP(A511,Торг!$A:$A,1,0)=A511),"Добавить","Есть"),"Новый")</f>
        <v>Есть</v>
      </c>
    </row>
    <row r="512" spans="1:18" ht="75" hidden="1">
      <c r="A512" s="238" t="s">
        <v>814</v>
      </c>
      <c r="B512" s="237">
        <v>132661</v>
      </c>
      <c r="C512" s="237">
        <v>166944</v>
      </c>
      <c r="D512" s="238" t="s">
        <v>1304</v>
      </c>
      <c r="E512" s="238" t="s">
        <v>741</v>
      </c>
      <c r="F512" s="238"/>
      <c r="G512" s="238"/>
      <c r="H512" s="238" t="s">
        <v>136</v>
      </c>
      <c r="I512" s="238" t="s">
        <v>250</v>
      </c>
      <c r="J512" s="239">
        <v>50770</v>
      </c>
      <c r="K512" s="239">
        <v>62790</v>
      </c>
      <c r="L512" s="238" t="s">
        <v>649</v>
      </c>
      <c r="M512" s="237">
        <v>1</v>
      </c>
      <c r="N512" s="237"/>
      <c r="O512" s="238"/>
      <c r="P512" s="88" t="str">
        <f t="shared" si="9"/>
        <v>1</v>
      </c>
      <c r="Q512" s="88" t="str">
        <f>IFERROR(INDEX(Торг!$F:$F,MATCH($B512,Торг!$B:$B,0)),"Отсутствует")</f>
        <v>Y</v>
      </c>
      <c r="R512" s="36" t="str">
        <f>IFERROR(IF(AND(Q512="Отсутствует",VLOOKUP(A512,Торг!$A:$A,1,0)=A512),"Добавить","Есть"),"Новый")</f>
        <v>Есть</v>
      </c>
    </row>
    <row r="513" spans="1:18" ht="75" hidden="1">
      <c r="A513" s="238" t="s">
        <v>814</v>
      </c>
      <c r="B513" s="237">
        <v>132662</v>
      </c>
      <c r="C513" s="237">
        <v>166936</v>
      </c>
      <c r="D513" s="238" t="s">
        <v>1305</v>
      </c>
      <c r="E513" s="238" t="s">
        <v>741</v>
      </c>
      <c r="F513" s="238"/>
      <c r="G513" s="238"/>
      <c r="H513" s="238" t="s">
        <v>136</v>
      </c>
      <c r="I513" s="238" t="s">
        <v>250</v>
      </c>
      <c r="J513" s="239">
        <v>50770</v>
      </c>
      <c r="K513" s="239">
        <v>62790</v>
      </c>
      <c r="L513" s="238" t="s">
        <v>649</v>
      </c>
      <c r="M513" s="237">
        <v>1</v>
      </c>
      <c r="N513" s="237"/>
      <c r="O513" s="238"/>
      <c r="P513" s="88" t="str">
        <f t="shared" si="9"/>
        <v>1</v>
      </c>
      <c r="Q513" s="88" t="str">
        <f>IFERROR(INDEX(Торг!$F:$F,MATCH($B513,Торг!$B:$B,0)),"Отсутствует")</f>
        <v>Y</v>
      </c>
      <c r="R513" s="36" t="str">
        <f>IFERROR(IF(AND(Q513="Отсутствует",VLOOKUP(A513,Торг!$A:$A,1,0)=A513),"Добавить","Есть"),"Новый")</f>
        <v>Есть</v>
      </c>
    </row>
    <row r="514" spans="1:18" ht="75" hidden="1">
      <c r="A514" s="238" t="s">
        <v>814</v>
      </c>
      <c r="B514" s="237">
        <v>132663</v>
      </c>
      <c r="C514" s="237">
        <v>166943</v>
      </c>
      <c r="D514" s="238" t="s">
        <v>1306</v>
      </c>
      <c r="E514" s="238" t="s">
        <v>741</v>
      </c>
      <c r="F514" s="238"/>
      <c r="G514" s="238"/>
      <c r="H514" s="238" t="s">
        <v>136</v>
      </c>
      <c r="I514" s="238" t="s">
        <v>250</v>
      </c>
      <c r="J514" s="239">
        <v>50770</v>
      </c>
      <c r="K514" s="239">
        <v>62790</v>
      </c>
      <c r="L514" s="238" t="s">
        <v>649</v>
      </c>
      <c r="M514" s="237">
        <v>1</v>
      </c>
      <c r="N514" s="237"/>
      <c r="O514" s="238"/>
      <c r="P514" s="88" t="str">
        <f t="shared" si="9"/>
        <v>1</v>
      </c>
      <c r="Q514" s="88" t="str">
        <f>IFERROR(INDEX(Торг!$F:$F,MATCH($B514,Торг!$B:$B,0)),"Отсутствует")</f>
        <v>Y</v>
      </c>
      <c r="R514" s="36" t="str">
        <f>IFERROR(IF(AND(Q514="Отсутствует",VLOOKUP(A514,Торг!$A:$A,1,0)=A514),"Добавить","Есть"),"Новый")</f>
        <v>Есть</v>
      </c>
    </row>
    <row r="515" spans="1:18" ht="75" hidden="1">
      <c r="A515" s="238" t="s">
        <v>814</v>
      </c>
      <c r="B515" s="237">
        <v>132664</v>
      </c>
      <c r="C515" s="237">
        <v>166939</v>
      </c>
      <c r="D515" s="238" t="s">
        <v>1307</v>
      </c>
      <c r="E515" s="238" t="s">
        <v>741</v>
      </c>
      <c r="F515" s="238"/>
      <c r="G515" s="238"/>
      <c r="H515" s="238" t="s">
        <v>136</v>
      </c>
      <c r="I515" s="238" t="s">
        <v>250</v>
      </c>
      <c r="J515" s="239">
        <v>50770</v>
      </c>
      <c r="K515" s="239">
        <v>62790</v>
      </c>
      <c r="L515" s="238" t="s">
        <v>649</v>
      </c>
      <c r="M515" s="237">
        <v>1</v>
      </c>
      <c r="N515" s="237"/>
      <c r="O515" s="238"/>
      <c r="P515" s="88" t="str">
        <f t="shared" si="9"/>
        <v>1</v>
      </c>
      <c r="Q515" s="88" t="str">
        <f>IFERROR(INDEX(Торг!$F:$F,MATCH($B515,Торг!$B:$B,0)),"Отсутствует")</f>
        <v>Y</v>
      </c>
      <c r="R515" s="36" t="str">
        <f>IFERROR(IF(AND(Q515="Отсутствует",VLOOKUP(A515,Торг!$A:$A,1,0)=A515),"Добавить","Есть"),"Новый")</f>
        <v>Есть</v>
      </c>
    </row>
    <row r="516" spans="1:18" ht="75" hidden="1">
      <c r="A516" s="238" t="s">
        <v>814</v>
      </c>
      <c r="B516" s="237">
        <v>132665</v>
      </c>
      <c r="C516" s="237">
        <v>166941</v>
      </c>
      <c r="D516" s="238" t="s">
        <v>1308</v>
      </c>
      <c r="E516" s="238" t="s">
        <v>741</v>
      </c>
      <c r="F516" s="238"/>
      <c r="G516" s="238"/>
      <c r="H516" s="238" t="s">
        <v>136</v>
      </c>
      <c r="I516" s="238" t="s">
        <v>250</v>
      </c>
      <c r="J516" s="239">
        <v>50770</v>
      </c>
      <c r="K516" s="239">
        <v>62790</v>
      </c>
      <c r="L516" s="238" t="s">
        <v>649</v>
      </c>
      <c r="M516" s="237">
        <v>1</v>
      </c>
      <c r="N516" s="237"/>
      <c r="O516" s="238"/>
      <c r="P516" s="88" t="str">
        <f t="shared" si="9"/>
        <v>1</v>
      </c>
      <c r="Q516" s="88" t="str">
        <f>IFERROR(INDEX(Торг!$F:$F,MATCH($B516,Торг!$B:$B,0)),"Отсутствует")</f>
        <v>Y</v>
      </c>
      <c r="R516" s="36" t="str">
        <f>IFERROR(IF(AND(Q516="Отсутствует",VLOOKUP(A516,Торг!$A:$A,1,0)=A516),"Добавить","Есть"),"Новый")</f>
        <v>Есть</v>
      </c>
    </row>
    <row r="517" spans="1:18" ht="75" hidden="1">
      <c r="A517" s="238" t="s">
        <v>814</v>
      </c>
      <c r="B517" s="237">
        <v>132666</v>
      </c>
      <c r="C517" s="237">
        <v>166942</v>
      </c>
      <c r="D517" s="238" t="s">
        <v>1309</v>
      </c>
      <c r="E517" s="238" t="s">
        <v>741</v>
      </c>
      <c r="F517" s="238"/>
      <c r="G517" s="238"/>
      <c r="H517" s="238" t="s">
        <v>136</v>
      </c>
      <c r="I517" s="238" t="s">
        <v>250</v>
      </c>
      <c r="J517" s="239">
        <v>50770</v>
      </c>
      <c r="K517" s="239">
        <v>62790</v>
      </c>
      <c r="L517" s="238" t="s">
        <v>649</v>
      </c>
      <c r="M517" s="237">
        <v>1</v>
      </c>
      <c r="N517" s="237"/>
      <c r="O517" s="238"/>
      <c r="P517" s="88" t="str">
        <f t="shared" si="9"/>
        <v>1</v>
      </c>
      <c r="Q517" s="88" t="str">
        <f>IFERROR(INDEX(Торг!$F:$F,MATCH($B517,Торг!$B:$B,0)),"Отсутствует")</f>
        <v>Y</v>
      </c>
      <c r="R517" s="36" t="str">
        <f>IFERROR(IF(AND(Q517="Отсутствует",VLOOKUP(A517,Торг!$A:$A,1,0)=A517),"Добавить","Есть"),"Новый")</f>
        <v>Есть</v>
      </c>
    </row>
    <row r="518" spans="1:18" ht="75" hidden="1">
      <c r="A518" s="238" t="s">
        <v>814</v>
      </c>
      <c r="B518" s="237">
        <v>132667</v>
      </c>
      <c r="C518" s="237">
        <v>166938</v>
      </c>
      <c r="D518" s="238" t="s">
        <v>1310</v>
      </c>
      <c r="E518" s="238" t="s">
        <v>741</v>
      </c>
      <c r="F518" s="238"/>
      <c r="G518" s="238"/>
      <c r="H518" s="238" t="s">
        <v>136</v>
      </c>
      <c r="I518" s="238" t="s">
        <v>250</v>
      </c>
      <c r="J518" s="239">
        <v>50770</v>
      </c>
      <c r="K518" s="239">
        <v>62790</v>
      </c>
      <c r="L518" s="238" t="s">
        <v>649</v>
      </c>
      <c r="M518" s="237">
        <v>1</v>
      </c>
      <c r="N518" s="237"/>
      <c r="O518" s="238"/>
      <c r="P518" s="88" t="str">
        <f t="shared" si="9"/>
        <v>1</v>
      </c>
      <c r="Q518" s="88" t="str">
        <f>IFERROR(INDEX(Торг!$F:$F,MATCH($B518,Торг!$B:$B,0)),"Отсутствует")</f>
        <v>Y</v>
      </c>
      <c r="R518" s="36" t="str">
        <f>IFERROR(IF(AND(Q518="Отсутствует",VLOOKUP(A518,Торг!$A:$A,1,0)=A518),"Добавить","Есть"),"Новый")</f>
        <v>Есть</v>
      </c>
    </row>
    <row r="519" spans="1:18" ht="75" hidden="1">
      <c r="A519" s="238" t="s">
        <v>814</v>
      </c>
      <c r="B519" s="237">
        <v>132668</v>
      </c>
      <c r="C519" s="237">
        <v>166937</v>
      </c>
      <c r="D519" s="238" t="s">
        <v>1311</v>
      </c>
      <c r="E519" s="238" t="s">
        <v>741</v>
      </c>
      <c r="F519" s="238"/>
      <c r="G519" s="238"/>
      <c r="H519" s="238" t="s">
        <v>136</v>
      </c>
      <c r="I519" s="238" t="s">
        <v>250</v>
      </c>
      <c r="J519" s="239">
        <v>50770</v>
      </c>
      <c r="K519" s="239">
        <v>62790</v>
      </c>
      <c r="L519" s="238" t="s">
        <v>649</v>
      </c>
      <c r="M519" s="237">
        <v>1</v>
      </c>
      <c r="N519" s="237"/>
      <c r="O519" s="238"/>
      <c r="P519" s="88" t="str">
        <f t="shared" si="9"/>
        <v>1</v>
      </c>
      <c r="Q519" s="88" t="str">
        <f>IFERROR(INDEX(Торг!$F:$F,MATCH($B519,Торг!$B:$B,0)),"Отсутствует")</f>
        <v>Y</v>
      </c>
      <c r="R519" s="36" t="str">
        <f>IFERROR(IF(AND(Q519="Отсутствует",VLOOKUP(A519,Торг!$A:$A,1,0)=A519),"Добавить","Есть"),"Новый")</f>
        <v>Есть</v>
      </c>
    </row>
    <row r="520" spans="1:18" ht="75" hidden="1">
      <c r="A520" s="238" t="s">
        <v>814</v>
      </c>
      <c r="B520" s="237">
        <v>132669</v>
      </c>
      <c r="C520" s="237">
        <v>166935</v>
      </c>
      <c r="D520" s="238" t="s">
        <v>1312</v>
      </c>
      <c r="E520" s="238" t="s">
        <v>741</v>
      </c>
      <c r="F520" s="238"/>
      <c r="G520" s="238"/>
      <c r="H520" s="238" t="s">
        <v>136</v>
      </c>
      <c r="I520" s="238" t="s">
        <v>250</v>
      </c>
      <c r="J520" s="239">
        <v>50770</v>
      </c>
      <c r="K520" s="239">
        <v>62790</v>
      </c>
      <c r="L520" s="238" t="s">
        <v>649</v>
      </c>
      <c r="M520" s="237">
        <v>1</v>
      </c>
      <c r="N520" s="237"/>
      <c r="O520" s="238"/>
      <c r="P520" s="88" t="str">
        <f t="shared" si="9"/>
        <v>1</v>
      </c>
      <c r="Q520" s="88" t="str">
        <f>IFERROR(INDEX(Торг!$F:$F,MATCH($B520,Торг!$B:$B,0)),"Отсутствует")</f>
        <v>Y</v>
      </c>
      <c r="R520" s="36" t="str">
        <f>IFERROR(IF(AND(Q520="Отсутствует",VLOOKUP(A520,Торг!$A:$A,1,0)=A520),"Добавить","Есть"),"Новый")</f>
        <v>Есть</v>
      </c>
    </row>
    <row r="521" spans="1:18" ht="75" hidden="1">
      <c r="A521" s="238" t="s">
        <v>814</v>
      </c>
      <c r="B521" s="237">
        <v>132670</v>
      </c>
      <c r="C521" s="237">
        <v>166934</v>
      </c>
      <c r="D521" s="238" t="s">
        <v>1313</v>
      </c>
      <c r="E521" s="238" t="s">
        <v>741</v>
      </c>
      <c r="F521" s="238"/>
      <c r="G521" s="238"/>
      <c r="H521" s="238" t="s">
        <v>136</v>
      </c>
      <c r="I521" s="238" t="s">
        <v>250</v>
      </c>
      <c r="J521" s="239">
        <v>50770</v>
      </c>
      <c r="K521" s="239">
        <v>62790</v>
      </c>
      <c r="L521" s="238" t="s">
        <v>649</v>
      </c>
      <c r="M521" s="237">
        <v>1</v>
      </c>
      <c r="N521" s="237"/>
      <c r="O521" s="238"/>
      <c r="P521" s="88" t="str">
        <f t="shared" si="9"/>
        <v>1</v>
      </c>
      <c r="Q521" s="88" t="str">
        <f>IFERROR(INDEX(Торг!$F:$F,MATCH($B521,Торг!$B:$B,0)),"Отсутствует")</f>
        <v>Y</v>
      </c>
      <c r="R521" s="36" t="str">
        <f>IFERROR(IF(AND(Q521="Отсутствует",VLOOKUP(A521,Торг!$A:$A,1,0)=A521),"Добавить","Есть"),"Новый")</f>
        <v>Есть</v>
      </c>
    </row>
    <row r="522" spans="1:18" ht="75" hidden="1">
      <c r="A522" s="238" t="s">
        <v>814</v>
      </c>
      <c r="B522" s="237">
        <v>132671</v>
      </c>
      <c r="C522" s="237">
        <v>166825</v>
      </c>
      <c r="D522" s="238" t="s">
        <v>1314</v>
      </c>
      <c r="E522" s="238" t="s">
        <v>741</v>
      </c>
      <c r="F522" s="238"/>
      <c r="G522" s="238"/>
      <c r="H522" s="238" t="s">
        <v>136</v>
      </c>
      <c r="I522" s="238" t="s">
        <v>250</v>
      </c>
      <c r="J522" s="239">
        <v>49900</v>
      </c>
      <c r="K522" s="239">
        <v>61790</v>
      </c>
      <c r="L522" s="238" t="s">
        <v>649</v>
      </c>
      <c r="M522" s="237">
        <v>1</v>
      </c>
      <c r="N522" s="237"/>
      <c r="O522" s="238"/>
      <c r="P522" s="88" t="str">
        <f t="shared" si="9"/>
        <v>1</v>
      </c>
      <c r="Q522" s="88" t="str">
        <f>IFERROR(INDEX(Торг!$F:$F,MATCH($B522,Торг!$B:$B,0)),"Отсутствует")</f>
        <v>Y</v>
      </c>
      <c r="R522" s="36" t="str">
        <f>IFERROR(IF(AND(Q522="Отсутствует",VLOOKUP(A522,Торг!$A:$A,1,0)=A522),"Добавить","Есть"),"Новый")</f>
        <v>Есть</v>
      </c>
    </row>
    <row r="523" spans="1:18" ht="45" hidden="1">
      <c r="A523" s="238" t="s">
        <v>815</v>
      </c>
      <c r="B523" s="237">
        <v>132673</v>
      </c>
      <c r="C523" s="237">
        <v>166963</v>
      </c>
      <c r="D523" s="238" t="s">
        <v>1315</v>
      </c>
      <c r="E523" s="238" t="s">
        <v>741</v>
      </c>
      <c r="F523" s="238"/>
      <c r="G523" s="238"/>
      <c r="H523" s="238" t="s">
        <v>124</v>
      </c>
      <c r="I523" s="238" t="s">
        <v>250</v>
      </c>
      <c r="J523" s="239">
        <v>46070</v>
      </c>
      <c r="K523" s="239">
        <v>56990</v>
      </c>
      <c r="L523" s="238" t="s">
        <v>618</v>
      </c>
      <c r="M523" s="237">
        <v>1</v>
      </c>
      <c r="N523" s="237"/>
      <c r="O523" s="238"/>
      <c r="P523" s="88" t="str">
        <f t="shared" si="9"/>
        <v>1</v>
      </c>
      <c r="Q523" s="88" t="str">
        <f>IFERROR(INDEX(Торг!$F:$F,MATCH($B523,Торг!$B:$B,0)),"Отсутствует")</f>
        <v>Y</v>
      </c>
      <c r="R523" s="36" t="str">
        <f>IFERROR(IF(AND(Q523="Отсутствует",VLOOKUP(A523,Торг!$A:$A,1,0)=A523),"Добавить","Есть"),"Новый")</f>
        <v>Есть</v>
      </c>
    </row>
    <row r="524" spans="1:18" ht="45" hidden="1">
      <c r="A524" s="238" t="s">
        <v>815</v>
      </c>
      <c r="B524" s="237">
        <v>341618</v>
      </c>
      <c r="C524" s="237">
        <v>341618</v>
      </c>
      <c r="D524" s="238" t="s">
        <v>1316</v>
      </c>
      <c r="E524" s="238" t="s">
        <v>741</v>
      </c>
      <c r="F524" s="238"/>
      <c r="G524" s="238"/>
      <c r="H524" s="238" t="s">
        <v>124</v>
      </c>
      <c r="I524" s="238" t="s">
        <v>250</v>
      </c>
      <c r="J524" s="239">
        <v>46900</v>
      </c>
      <c r="K524" s="239">
        <v>57990</v>
      </c>
      <c r="L524" s="238" t="s">
        <v>618</v>
      </c>
      <c r="M524" s="237">
        <v>1</v>
      </c>
      <c r="N524" s="237"/>
      <c r="O524" s="238"/>
      <c r="P524" s="88" t="str">
        <f t="shared" si="9"/>
        <v>1</v>
      </c>
      <c r="Q524" s="88" t="str">
        <f>IFERROR(INDEX(Торг!$F:$F,MATCH($B524,Торг!$B:$B,0)),"Отсутствует")</f>
        <v>Y</v>
      </c>
      <c r="R524" s="36" t="str">
        <f>IFERROR(IF(AND(Q524="Отсутствует",VLOOKUP(A524,Торг!$A:$A,1,0)=A524),"Добавить","Есть"),"Новый")</f>
        <v>Есть</v>
      </c>
    </row>
    <row r="525" spans="1:18" ht="45" hidden="1">
      <c r="A525" s="238" t="s">
        <v>815</v>
      </c>
      <c r="B525" s="237">
        <v>132674</v>
      </c>
      <c r="C525" s="237">
        <v>166958</v>
      </c>
      <c r="D525" s="238" t="s">
        <v>1317</v>
      </c>
      <c r="E525" s="238" t="s">
        <v>741</v>
      </c>
      <c r="F525" s="238"/>
      <c r="G525" s="238"/>
      <c r="H525" s="238" t="s">
        <v>124</v>
      </c>
      <c r="I525" s="238" t="s">
        <v>250</v>
      </c>
      <c r="J525" s="239">
        <v>46070</v>
      </c>
      <c r="K525" s="239">
        <v>56990</v>
      </c>
      <c r="L525" s="238" t="s">
        <v>618</v>
      </c>
      <c r="M525" s="237">
        <v>1</v>
      </c>
      <c r="N525" s="237"/>
      <c r="O525" s="238"/>
      <c r="P525" s="88" t="str">
        <f t="shared" si="9"/>
        <v>1</v>
      </c>
      <c r="Q525" s="88" t="str">
        <f>IFERROR(INDEX(Торг!$F:$F,MATCH($B525,Торг!$B:$B,0)),"Отсутствует")</f>
        <v>Y</v>
      </c>
      <c r="R525" s="36" t="str">
        <f>IFERROR(IF(AND(Q525="Отсутствует",VLOOKUP(A525,Торг!$A:$A,1,0)=A525),"Добавить","Есть"),"Новый")</f>
        <v>Есть</v>
      </c>
    </row>
    <row r="526" spans="1:18" ht="45" hidden="1">
      <c r="A526" s="238" t="s">
        <v>815</v>
      </c>
      <c r="B526" s="237">
        <v>341630</v>
      </c>
      <c r="C526" s="237">
        <v>341630</v>
      </c>
      <c r="D526" s="238" t="s">
        <v>1318</v>
      </c>
      <c r="E526" s="238" t="s">
        <v>741</v>
      </c>
      <c r="F526" s="238"/>
      <c r="G526" s="238"/>
      <c r="H526" s="238" t="s">
        <v>124</v>
      </c>
      <c r="I526" s="238" t="s">
        <v>250</v>
      </c>
      <c r="J526" s="239">
        <v>46900</v>
      </c>
      <c r="K526" s="239">
        <v>57990</v>
      </c>
      <c r="L526" s="238" t="s">
        <v>618</v>
      </c>
      <c r="M526" s="237">
        <v>1</v>
      </c>
      <c r="N526" s="237"/>
      <c r="O526" s="238"/>
      <c r="P526" s="88" t="str">
        <f t="shared" si="9"/>
        <v>1</v>
      </c>
      <c r="Q526" s="88" t="str">
        <f>IFERROR(INDEX(Торг!$F:$F,MATCH($B526,Торг!$B:$B,0)),"Отсутствует")</f>
        <v>Y</v>
      </c>
      <c r="R526" s="36" t="str">
        <f>IFERROR(IF(AND(Q526="Отсутствует",VLOOKUP(A526,Торг!$A:$A,1,0)=A526),"Добавить","Есть"),"Новый")</f>
        <v>Есть</v>
      </c>
    </row>
    <row r="527" spans="1:18" ht="45" hidden="1">
      <c r="A527" s="238" t="s">
        <v>815</v>
      </c>
      <c r="B527" s="237">
        <v>132675</v>
      </c>
      <c r="C527" s="237">
        <v>166962</v>
      </c>
      <c r="D527" s="238" t="s">
        <v>1319</v>
      </c>
      <c r="E527" s="238" t="s">
        <v>741</v>
      </c>
      <c r="F527" s="238"/>
      <c r="G527" s="238"/>
      <c r="H527" s="238" t="s">
        <v>124</v>
      </c>
      <c r="I527" s="238" t="s">
        <v>250</v>
      </c>
      <c r="J527" s="239">
        <v>46070</v>
      </c>
      <c r="K527" s="239">
        <v>56990</v>
      </c>
      <c r="L527" s="238" t="s">
        <v>618</v>
      </c>
      <c r="M527" s="237">
        <v>1</v>
      </c>
      <c r="N527" s="237"/>
      <c r="O527" s="238"/>
      <c r="P527" s="88" t="str">
        <f t="shared" si="9"/>
        <v>1</v>
      </c>
      <c r="Q527" s="88" t="str">
        <f>IFERROR(INDEX(Торг!$F:$F,MATCH($B527,Торг!$B:$B,0)),"Отсутствует")</f>
        <v>Y</v>
      </c>
      <c r="R527" s="36" t="str">
        <f>IFERROR(IF(AND(Q527="Отсутствует",VLOOKUP(A527,Торг!$A:$A,1,0)=A527),"Добавить","Есть"),"Новый")</f>
        <v>Есть</v>
      </c>
    </row>
    <row r="528" spans="1:18" ht="45" hidden="1">
      <c r="A528" s="238" t="s">
        <v>815</v>
      </c>
      <c r="B528" s="237">
        <v>341629</v>
      </c>
      <c r="C528" s="237">
        <v>341629</v>
      </c>
      <c r="D528" s="238" t="s">
        <v>1320</v>
      </c>
      <c r="E528" s="238" t="s">
        <v>741</v>
      </c>
      <c r="F528" s="238"/>
      <c r="G528" s="238"/>
      <c r="H528" s="238" t="s">
        <v>124</v>
      </c>
      <c r="I528" s="238" t="s">
        <v>250</v>
      </c>
      <c r="J528" s="239">
        <v>46900</v>
      </c>
      <c r="K528" s="239">
        <v>57990</v>
      </c>
      <c r="L528" s="238" t="s">
        <v>618</v>
      </c>
      <c r="M528" s="237">
        <v>1</v>
      </c>
      <c r="N528" s="237"/>
      <c r="O528" s="238"/>
      <c r="P528" s="88" t="str">
        <f t="shared" si="9"/>
        <v>1</v>
      </c>
      <c r="Q528" s="88" t="str">
        <f>IFERROR(INDEX(Торг!$F:$F,MATCH($B528,Торг!$B:$B,0)),"Отсутствует")</f>
        <v>Y</v>
      </c>
      <c r="R528" s="36" t="str">
        <f>IFERROR(IF(AND(Q528="Отсутствует",VLOOKUP(A528,Торг!$A:$A,1,0)=A528),"Добавить","Есть"),"Новый")</f>
        <v>Есть</v>
      </c>
    </row>
    <row r="529" spans="1:18" ht="60" hidden="1">
      <c r="A529" s="238" t="s">
        <v>815</v>
      </c>
      <c r="B529" s="237">
        <v>132676</v>
      </c>
      <c r="C529" s="237">
        <v>166953</v>
      </c>
      <c r="D529" s="238" t="s">
        <v>1321</v>
      </c>
      <c r="E529" s="238" t="s">
        <v>741</v>
      </c>
      <c r="F529" s="238"/>
      <c r="G529" s="238"/>
      <c r="H529" s="238" t="s">
        <v>124</v>
      </c>
      <c r="I529" s="238" t="s">
        <v>250</v>
      </c>
      <c r="J529" s="239">
        <v>46070</v>
      </c>
      <c r="K529" s="239">
        <v>56990</v>
      </c>
      <c r="L529" s="238" t="s">
        <v>618</v>
      </c>
      <c r="M529" s="237">
        <v>1</v>
      </c>
      <c r="N529" s="237"/>
      <c r="O529" s="238"/>
      <c r="P529" s="88" t="str">
        <f t="shared" si="9"/>
        <v>1</v>
      </c>
      <c r="Q529" s="88" t="str">
        <f>IFERROR(INDEX(Торг!$F:$F,MATCH($B529,Торг!$B:$B,0)),"Отсутствует")</f>
        <v>Y</v>
      </c>
      <c r="R529" s="36" t="str">
        <f>IFERROR(IF(AND(Q529="Отсутствует",VLOOKUP(A529,Торг!$A:$A,1,0)=A529),"Добавить","Есть"),"Новый")</f>
        <v>Есть</v>
      </c>
    </row>
    <row r="530" spans="1:18" ht="45" hidden="1">
      <c r="A530" s="238" t="s">
        <v>815</v>
      </c>
      <c r="B530" s="237">
        <v>341621</v>
      </c>
      <c r="C530" s="237">
        <v>341621</v>
      </c>
      <c r="D530" s="238" t="s">
        <v>1322</v>
      </c>
      <c r="E530" s="238" t="s">
        <v>741</v>
      </c>
      <c r="F530" s="238"/>
      <c r="G530" s="238"/>
      <c r="H530" s="238" t="s">
        <v>124</v>
      </c>
      <c r="I530" s="238" t="s">
        <v>250</v>
      </c>
      <c r="J530" s="239">
        <v>46900</v>
      </c>
      <c r="K530" s="239">
        <v>57990</v>
      </c>
      <c r="L530" s="238" t="s">
        <v>618</v>
      </c>
      <c r="M530" s="237">
        <v>1</v>
      </c>
      <c r="N530" s="237"/>
      <c r="O530" s="238"/>
      <c r="P530" s="88" t="str">
        <f t="shared" si="9"/>
        <v>1</v>
      </c>
      <c r="Q530" s="88" t="str">
        <f>IFERROR(INDEX(Торг!$F:$F,MATCH($B530,Торг!$B:$B,0)),"Отсутствует")</f>
        <v>Y</v>
      </c>
      <c r="R530" s="36" t="str">
        <f>IFERROR(IF(AND(Q530="Отсутствует",VLOOKUP(A530,Торг!$A:$A,1,0)=A530),"Добавить","Есть"),"Новый")</f>
        <v>Есть</v>
      </c>
    </row>
    <row r="531" spans="1:18" ht="45" hidden="1">
      <c r="A531" s="238" t="s">
        <v>815</v>
      </c>
      <c r="B531" s="237">
        <v>132677</v>
      </c>
      <c r="C531" s="237">
        <v>166961</v>
      </c>
      <c r="D531" s="238" t="s">
        <v>1323</v>
      </c>
      <c r="E531" s="238" t="s">
        <v>741</v>
      </c>
      <c r="F531" s="238"/>
      <c r="G531" s="238"/>
      <c r="H531" s="238" t="s">
        <v>124</v>
      </c>
      <c r="I531" s="238" t="s">
        <v>250</v>
      </c>
      <c r="J531" s="239">
        <v>46070</v>
      </c>
      <c r="K531" s="239">
        <v>56990</v>
      </c>
      <c r="L531" s="238" t="s">
        <v>618</v>
      </c>
      <c r="M531" s="237">
        <v>1</v>
      </c>
      <c r="N531" s="237"/>
      <c r="O531" s="238"/>
      <c r="P531" s="88" t="str">
        <f t="shared" si="9"/>
        <v>1</v>
      </c>
      <c r="Q531" s="88" t="str">
        <f>IFERROR(INDEX(Торг!$F:$F,MATCH($B531,Торг!$B:$B,0)),"Отсутствует")</f>
        <v>Y</v>
      </c>
      <c r="R531" s="36" t="str">
        <f>IFERROR(IF(AND(Q531="Отсутствует",VLOOKUP(A531,Торг!$A:$A,1,0)=A531),"Добавить","Есть"),"Новый")</f>
        <v>Есть</v>
      </c>
    </row>
    <row r="532" spans="1:18" ht="45" hidden="1">
      <c r="A532" s="238" t="s">
        <v>815</v>
      </c>
      <c r="B532" s="237">
        <v>341622</v>
      </c>
      <c r="C532" s="237">
        <v>341622</v>
      </c>
      <c r="D532" s="238" t="s">
        <v>1324</v>
      </c>
      <c r="E532" s="238" t="s">
        <v>741</v>
      </c>
      <c r="F532" s="238"/>
      <c r="G532" s="238"/>
      <c r="H532" s="238" t="s">
        <v>124</v>
      </c>
      <c r="I532" s="238" t="s">
        <v>250</v>
      </c>
      <c r="J532" s="239">
        <v>46900</v>
      </c>
      <c r="K532" s="239">
        <v>57990</v>
      </c>
      <c r="L532" s="238" t="s">
        <v>618</v>
      </c>
      <c r="M532" s="237">
        <v>1</v>
      </c>
      <c r="N532" s="237"/>
      <c r="O532" s="238"/>
      <c r="P532" s="88" t="str">
        <f t="shared" si="9"/>
        <v>1</v>
      </c>
      <c r="Q532" s="88" t="str">
        <f>IFERROR(INDEX(Торг!$F:$F,MATCH($B532,Торг!$B:$B,0)),"Отсутствует")</f>
        <v>Y</v>
      </c>
      <c r="R532" s="36" t="str">
        <f>IFERROR(IF(AND(Q532="Отсутствует",VLOOKUP(A532,Торг!$A:$A,1,0)=A532),"Добавить","Есть"),"Новый")</f>
        <v>Есть</v>
      </c>
    </row>
    <row r="533" spans="1:18" ht="60" hidden="1">
      <c r="A533" s="238" t="s">
        <v>815</v>
      </c>
      <c r="B533" s="237">
        <v>132678</v>
      </c>
      <c r="C533" s="237">
        <v>166957</v>
      </c>
      <c r="D533" s="238" t="s">
        <v>1325</v>
      </c>
      <c r="E533" s="238" t="s">
        <v>741</v>
      </c>
      <c r="F533" s="238"/>
      <c r="G533" s="238"/>
      <c r="H533" s="238" t="s">
        <v>124</v>
      </c>
      <c r="I533" s="238" t="s">
        <v>250</v>
      </c>
      <c r="J533" s="239">
        <v>46070</v>
      </c>
      <c r="K533" s="239">
        <v>56990</v>
      </c>
      <c r="L533" s="238" t="s">
        <v>618</v>
      </c>
      <c r="M533" s="237">
        <v>1</v>
      </c>
      <c r="N533" s="237"/>
      <c r="O533" s="238"/>
      <c r="P533" s="88" t="str">
        <f t="shared" si="9"/>
        <v>1</v>
      </c>
      <c r="Q533" s="88" t="str">
        <f>IFERROR(INDEX(Торг!$F:$F,MATCH($B533,Торг!$B:$B,0)),"Отсутствует")</f>
        <v>Y</v>
      </c>
      <c r="R533" s="36" t="str">
        <f>IFERROR(IF(AND(Q533="Отсутствует",VLOOKUP(A533,Торг!$A:$A,1,0)=A533),"Добавить","Есть"),"Новый")</f>
        <v>Есть</v>
      </c>
    </row>
    <row r="534" spans="1:18" ht="45" hidden="1">
      <c r="A534" s="238" t="s">
        <v>815</v>
      </c>
      <c r="B534" s="237">
        <v>341623</v>
      </c>
      <c r="C534" s="237">
        <v>341623</v>
      </c>
      <c r="D534" s="238" t="s">
        <v>1326</v>
      </c>
      <c r="E534" s="238" t="s">
        <v>741</v>
      </c>
      <c r="F534" s="238"/>
      <c r="G534" s="238"/>
      <c r="H534" s="238" t="s">
        <v>124</v>
      </c>
      <c r="I534" s="238" t="s">
        <v>250</v>
      </c>
      <c r="J534" s="239">
        <v>46900</v>
      </c>
      <c r="K534" s="239">
        <v>57990</v>
      </c>
      <c r="L534" s="238" t="s">
        <v>618</v>
      </c>
      <c r="M534" s="237">
        <v>1</v>
      </c>
      <c r="N534" s="237"/>
      <c r="O534" s="238"/>
      <c r="P534" s="88" t="str">
        <f t="shared" si="9"/>
        <v>1</v>
      </c>
      <c r="Q534" s="88" t="str">
        <f>IFERROR(INDEX(Торг!$F:$F,MATCH($B534,Торг!$B:$B,0)),"Отсутствует")</f>
        <v>Y</v>
      </c>
      <c r="R534" s="36" t="str">
        <f>IFERROR(IF(AND(Q534="Отсутствует",VLOOKUP(A534,Торг!$A:$A,1,0)=A534),"Добавить","Есть"),"Новый")</f>
        <v>Есть</v>
      </c>
    </row>
    <row r="535" spans="1:18" ht="60" hidden="1">
      <c r="A535" s="238" t="s">
        <v>815</v>
      </c>
      <c r="B535" s="237">
        <v>132679</v>
      </c>
      <c r="C535" s="237">
        <v>166959</v>
      </c>
      <c r="D535" s="238" t="s">
        <v>1327</v>
      </c>
      <c r="E535" s="238" t="s">
        <v>741</v>
      </c>
      <c r="F535" s="238"/>
      <c r="G535" s="238"/>
      <c r="H535" s="238" t="s">
        <v>124</v>
      </c>
      <c r="I535" s="238" t="s">
        <v>250</v>
      </c>
      <c r="J535" s="239">
        <v>46070</v>
      </c>
      <c r="K535" s="239">
        <v>56990</v>
      </c>
      <c r="L535" s="238" t="s">
        <v>618</v>
      </c>
      <c r="M535" s="237">
        <v>1</v>
      </c>
      <c r="N535" s="237"/>
      <c r="O535" s="238"/>
      <c r="P535" s="88" t="str">
        <f t="shared" si="9"/>
        <v>1</v>
      </c>
      <c r="Q535" s="88" t="str">
        <f>IFERROR(INDEX(Торг!$F:$F,MATCH($B535,Торг!$B:$B,0)),"Отсутствует")</f>
        <v>Y</v>
      </c>
      <c r="R535" s="36" t="str">
        <f>IFERROR(IF(AND(Q535="Отсутствует",VLOOKUP(A535,Торг!$A:$A,1,0)=A535),"Добавить","Есть"),"Новый")</f>
        <v>Есть</v>
      </c>
    </row>
    <row r="536" spans="1:18" ht="45" hidden="1">
      <c r="A536" s="238" t="s">
        <v>815</v>
      </c>
      <c r="B536" s="237">
        <v>341624</v>
      </c>
      <c r="C536" s="237">
        <v>341624</v>
      </c>
      <c r="D536" s="238" t="s">
        <v>1328</v>
      </c>
      <c r="E536" s="238" t="s">
        <v>741</v>
      </c>
      <c r="F536" s="238"/>
      <c r="G536" s="238"/>
      <c r="H536" s="238" t="s">
        <v>124</v>
      </c>
      <c r="I536" s="238" t="s">
        <v>250</v>
      </c>
      <c r="J536" s="239">
        <v>46900</v>
      </c>
      <c r="K536" s="239">
        <v>57990</v>
      </c>
      <c r="L536" s="238" t="s">
        <v>618</v>
      </c>
      <c r="M536" s="237">
        <v>1</v>
      </c>
      <c r="N536" s="237"/>
      <c r="O536" s="238"/>
      <c r="P536" s="88" t="str">
        <f t="shared" si="9"/>
        <v>1</v>
      </c>
      <c r="Q536" s="88" t="str">
        <f>IFERROR(INDEX(Торг!$F:$F,MATCH($B536,Торг!$B:$B,0)),"Отсутствует")</f>
        <v>Y</v>
      </c>
      <c r="R536" s="36" t="str">
        <f>IFERROR(IF(AND(Q536="Отсутствует",VLOOKUP(A536,Торг!$A:$A,1,0)=A536),"Добавить","Есть"),"Новый")</f>
        <v>Есть</v>
      </c>
    </row>
    <row r="537" spans="1:18" ht="60" hidden="1">
      <c r="A537" s="238" t="s">
        <v>815</v>
      </c>
      <c r="B537" s="237">
        <v>132680</v>
      </c>
      <c r="C537" s="237">
        <v>166960</v>
      </c>
      <c r="D537" s="238" t="s">
        <v>1329</v>
      </c>
      <c r="E537" s="238" t="s">
        <v>741</v>
      </c>
      <c r="F537" s="238"/>
      <c r="G537" s="238"/>
      <c r="H537" s="238" t="s">
        <v>124</v>
      </c>
      <c r="I537" s="238" t="s">
        <v>250</v>
      </c>
      <c r="J537" s="239">
        <v>46070</v>
      </c>
      <c r="K537" s="239">
        <v>56990</v>
      </c>
      <c r="L537" s="238" t="s">
        <v>618</v>
      </c>
      <c r="M537" s="237">
        <v>1</v>
      </c>
      <c r="N537" s="237"/>
      <c r="O537" s="238"/>
      <c r="P537" s="88" t="str">
        <f t="shared" si="9"/>
        <v>1</v>
      </c>
      <c r="Q537" s="88" t="str">
        <f>IFERROR(INDEX(Торг!$F:$F,MATCH($B537,Торг!$B:$B,0)),"Отсутствует")</f>
        <v>Y</v>
      </c>
      <c r="R537" s="36" t="str">
        <f>IFERROR(IF(AND(Q537="Отсутствует",VLOOKUP(A537,Торг!$A:$A,1,0)=A537),"Добавить","Есть"),"Новый")</f>
        <v>Есть</v>
      </c>
    </row>
    <row r="538" spans="1:18" ht="60" hidden="1">
      <c r="A538" s="238" t="s">
        <v>815</v>
      </c>
      <c r="B538" s="237">
        <v>341627</v>
      </c>
      <c r="C538" s="237">
        <v>341627</v>
      </c>
      <c r="D538" s="238" t="s">
        <v>1330</v>
      </c>
      <c r="E538" s="238" t="s">
        <v>741</v>
      </c>
      <c r="F538" s="238"/>
      <c r="G538" s="238"/>
      <c r="H538" s="238" t="s">
        <v>124</v>
      </c>
      <c r="I538" s="238" t="s">
        <v>250</v>
      </c>
      <c r="J538" s="239">
        <v>46900</v>
      </c>
      <c r="K538" s="239">
        <v>57990</v>
      </c>
      <c r="L538" s="238" t="s">
        <v>618</v>
      </c>
      <c r="M538" s="237">
        <v>1</v>
      </c>
      <c r="N538" s="237"/>
      <c r="O538" s="238"/>
      <c r="P538" s="88" t="str">
        <f t="shared" si="9"/>
        <v>1</v>
      </c>
      <c r="Q538" s="88" t="str">
        <f>IFERROR(INDEX(Торг!$F:$F,MATCH($B538,Торг!$B:$B,0)),"Отсутствует")</f>
        <v>Y</v>
      </c>
      <c r="R538" s="36" t="str">
        <f>IFERROR(IF(AND(Q538="Отсутствует",VLOOKUP(A538,Торг!$A:$A,1,0)=A538),"Добавить","Есть"),"Новый")</f>
        <v>Есть</v>
      </c>
    </row>
    <row r="539" spans="1:18" ht="60" hidden="1">
      <c r="A539" s="238" t="s">
        <v>815</v>
      </c>
      <c r="B539" s="237">
        <v>132681</v>
      </c>
      <c r="C539" s="237">
        <v>166956</v>
      </c>
      <c r="D539" s="238" t="s">
        <v>1331</v>
      </c>
      <c r="E539" s="238" t="s">
        <v>741</v>
      </c>
      <c r="F539" s="238"/>
      <c r="G539" s="238"/>
      <c r="H539" s="238" t="s">
        <v>124</v>
      </c>
      <c r="I539" s="238" t="s">
        <v>250</v>
      </c>
      <c r="J539" s="239">
        <v>46070</v>
      </c>
      <c r="K539" s="239">
        <v>56990</v>
      </c>
      <c r="L539" s="238" t="s">
        <v>618</v>
      </c>
      <c r="M539" s="237">
        <v>1</v>
      </c>
      <c r="N539" s="237"/>
      <c r="O539" s="238"/>
      <c r="P539" s="88" t="str">
        <f t="shared" si="9"/>
        <v>1</v>
      </c>
      <c r="Q539" s="88" t="str">
        <f>IFERROR(INDEX(Торг!$F:$F,MATCH($B539,Торг!$B:$B,0)),"Отсутствует")</f>
        <v>Y</v>
      </c>
      <c r="R539" s="36" t="str">
        <f>IFERROR(IF(AND(Q539="Отсутствует",VLOOKUP(A539,Торг!$A:$A,1,0)=A539),"Добавить","Есть"),"Новый")</f>
        <v>Есть</v>
      </c>
    </row>
    <row r="540" spans="1:18" ht="60" hidden="1">
      <c r="A540" s="238" t="s">
        <v>815</v>
      </c>
      <c r="B540" s="237">
        <v>341625</v>
      </c>
      <c r="C540" s="237">
        <v>341625</v>
      </c>
      <c r="D540" s="238" t="s">
        <v>1332</v>
      </c>
      <c r="E540" s="238" t="s">
        <v>741</v>
      </c>
      <c r="F540" s="238"/>
      <c r="G540" s="238"/>
      <c r="H540" s="238" t="s">
        <v>124</v>
      </c>
      <c r="I540" s="238" t="s">
        <v>250</v>
      </c>
      <c r="J540" s="239">
        <v>46900</v>
      </c>
      <c r="K540" s="239">
        <v>57990</v>
      </c>
      <c r="L540" s="238" t="s">
        <v>618</v>
      </c>
      <c r="M540" s="237">
        <v>1</v>
      </c>
      <c r="N540" s="237"/>
      <c r="O540" s="238"/>
      <c r="P540" s="88" t="str">
        <f t="shared" si="9"/>
        <v>1</v>
      </c>
      <c r="Q540" s="88" t="str">
        <f>IFERROR(INDEX(Торг!$F:$F,MATCH($B540,Торг!$B:$B,0)),"Отсутствует")</f>
        <v>Y</v>
      </c>
      <c r="R540" s="36" t="str">
        <f>IFERROR(IF(AND(Q540="Отсутствует",VLOOKUP(A540,Торг!$A:$A,1,0)=A540),"Добавить","Есть"),"Новый")</f>
        <v>Есть</v>
      </c>
    </row>
    <row r="541" spans="1:18" ht="45" hidden="1">
      <c r="A541" s="238" t="s">
        <v>815</v>
      </c>
      <c r="B541" s="237">
        <v>132682</v>
      </c>
      <c r="C541" s="237">
        <v>166955</v>
      </c>
      <c r="D541" s="238" t="s">
        <v>1333</v>
      </c>
      <c r="E541" s="238" t="s">
        <v>741</v>
      </c>
      <c r="F541" s="238"/>
      <c r="G541" s="238"/>
      <c r="H541" s="238" t="s">
        <v>124</v>
      </c>
      <c r="I541" s="238" t="s">
        <v>250</v>
      </c>
      <c r="J541" s="239">
        <v>46070</v>
      </c>
      <c r="K541" s="239">
        <v>56990</v>
      </c>
      <c r="L541" s="238" t="s">
        <v>618</v>
      </c>
      <c r="M541" s="237">
        <v>1</v>
      </c>
      <c r="N541" s="237"/>
      <c r="O541" s="238"/>
      <c r="P541" s="88" t="str">
        <f t="shared" si="9"/>
        <v>1</v>
      </c>
      <c r="Q541" s="88" t="str">
        <f>IFERROR(INDEX(Торг!$F:$F,MATCH($B541,Торг!$B:$B,0)),"Отсутствует")</f>
        <v>Y</v>
      </c>
      <c r="R541" s="36" t="str">
        <f>IFERROR(IF(AND(Q541="Отсутствует",VLOOKUP(A541,Торг!$A:$A,1,0)=A541),"Добавить","Есть"),"Новый")</f>
        <v>Есть</v>
      </c>
    </row>
    <row r="542" spans="1:18" ht="45" hidden="1">
      <c r="A542" s="238" t="s">
        <v>815</v>
      </c>
      <c r="B542" s="237">
        <v>341626</v>
      </c>
      <c r="C542" s="237">
        <v>341626</v>
      </c>
      <c r="D542" s="238" t="s">
        <v>1334</v>
      </c>
      <c r="E542" s="238" t="s">
        <v>741</v>
      </c>
      <c r="F542" s="238"/>
      <c r="G542" s="238"/>
      <c r="H542" s="238" t="s">
        <v>124</v>
      </c>
      <c r="I542" s="238" t="s">
        <v>250</v>
      </c>
      <c r="J542" s="239">
        <v>46900</v>
      </c>
      <c r="K542" s="239">
        <v>57990</v>
      </c>
      <c r="L542" s="238" t="s">
        <v>618</v>
      </c>
      <c r="M542" s="237">
        <v>1</v>
      </c>
      <c r="N542" s="237"/>
      <c r="O542" s="238"/>
      <c r="P542" s="88" t="str">
        <f t="shared" si="9"/>
        <v>1</v>
      </c>
      <c r="Q542" s="88" t="str">
        <f>IFERROR(INDEX(Торг!$F:$F,MATCH($B542,Торг!$B:$B,0)),"Отсутствует")</f>
        <v>Y</v>
      </c>
      <c r="R542" s="36" t="str">
        <f>IFERROR(IF(AND(Q542="Отсутствует",VLOOKUP(A542,Торг!$A:$A,1,0)=A542),"Добавить","Есть"),"Новый")</f>
        <v>Есть</v>
      </c>
    </row>
    <row r="543" spans="1:18" ht="60" hidden="1">
      <c r="A543" s="238" t="s">
        <v>815</v>
      </c>
      <c r="B543" s="237">
        <v>132683</v>
      </c>
      <c r="C543" s="237">
        <v>166952</v>
      </c>
      <c r="D543" s="238" t="s">
        <v>1335</v>
      </c>
      <c r="E543" s="238" t="s">
        <v>741</v>
      </c>
      <c r="F543" s="238"/>
      <c r="G543" s="238"/>
      <c r="H543" s="238" t="s">
        <v>124</v>
      </c>
      <c r="I543" s="238" t="s">
        <v>250</v>
      </c>
      <c r="J543" s="239">
        <v>46070</v>
      </c>
      <c r="K543" s="239">
        <v>56990</v>
      </c>
      <c r="L543" s="238" t="s">
        <v>618</v>
      </c>
      <c r="M543" s="237">
        <v>1</v>
      </c>
      <c r="N543" s="237"/>
      <c r="O543" s="238"/>
      <c r="P543" s="88" t="str">
        <f t="shared" si="9"/>
        <v>1</v>
      </c>
      <c r="Q543" s="88" t="str">
        <f>IFERROR(INDEX(Торг!$F:$F,MATCH($B543,Торг!$B:$B,0)),"Отсутствует")</f>
        <v>Y</v>
      </c>
      <c r="R543" s="36" t="str">
        <f>IFERROR(IF(AND(Q543="Отсутствует",VLOOKUP(A543,Торг!$A:$A,1,0)=A543),"Добавить","Есть"),"Новый")</f>
        <v>Есть</v>
      </c>
    </row>
    <row r="544" spans="1:18" ht="45" hidden="1">
      <c r="A544" s="238" t="s">
        <v>815</v>
      </c>
      <c r="B544" s="237">
        <v>341628</v>
      </c>
      <c r="C544" s="237">
        <v>341628</v>
      </c>
      <c r="D544" s="238" t="s">
        <v>1336</v>
      </c>
      <c r="E544" s="238" t="s">
        <v>741</v>
      </c>
      <c r="F544" s="238"/>
      <c r="G544" s="238"/>
      <c r="H544" s="238" t="s">
        <v>124</v>
      </c>
      <c r="I544" s="238" t="s">
        <v>250</v>
      </c>
      <c r="J544" s="239">
        <v>46900</v>
      </c>
      <c r="K544" s="239">
        <v>57990</v>
      </c>
      <c r="L544" s="238" t="s">
        <v>618</v>
      </c>
      <c r="M544" s="237">
        <v>1</v>
      </c>
      <c r="N544" s="237"/>
      <c r="O544" s="238"/>
      <c r="P544" s="88" t="str">
        <f t="shared" si="9"/>
        <v>1</v>
      </c>
      <c r="Q544" s="88" t="str">
        <f>IFERROR(INDEX(Торг!$F:$F,MATCH($B544,Торг!$B:$B,0)),"Отсутствует")</f>
        <v>Y</v>
      </c>
      <c r="R544" s="36" t="str">
        <f>IFERROR(IF(AND(Q544="Отсутствует",VLOOKUP(A544,Торг!$A:$A,1,0)=A544),"Добавить","Есть"),"Новый")</f>
        <v>Есть</v>
      </c>
    </row>
    <row r="545" spans="1:18" ht="60" hidden="1">
      <c r="A545" s="238" t="s">
        <v>815</v>
      </c>
      <c r="B545" s="237">
        <v>132684</v>
      </c>
      <c r="C545" s="237">
        <v>166951</v>
      </c>
      <c r="D545" s="238" t="s">
        <v>1337</v>
      </c>
      <c r="E545" s="238" t="s">
        <v>741</v>
      </c>
      <c r="F545" s="238"/>
      <c r="G545" s="238"/>
      <c r="H545" s="238" t="s">
        <v>124</v>
      </c>
      <c r="I545" s="238" t="s">
        <v>250</v>
      </c>
      <c r="J545" s="239">
        <v>46070</v>
      </c>
      <c r="K545" s="239">
        <v>56990</v>
      </c>
      <c r="L545" s="238" t="s">
        <v>618</v>
      </c>
      <c r="M545" s="237">
        <v>1</v>
      </c>
      <c r="N545" s="237"/>
      <c r="O545" s="238"/>
      <c r="P545" s="88" t="str">
        <f t="shared" si="9"/>
        <v>1</v>
      </c>
      <c r="Q545" s="88" t="str">
        <f>IFERROR(INDEX(Торг!$F:$F,MATCH($B545,Торг!$B:$B,0)),"Отсутствует")</f>
        <v>Y</v>
      </c>
      <c r="R545" s="36" t="str">
        <f>IFERROR(IF(AND(Q545="Отсутствует",VLOOKUP(A545,Торг!$A:$A,1,0)=A545),"Добавить","Есть"),"Новый")</f>
        <v>Есть</v>
      </c>
    </row>
    <row r="546" spans="1:18" ht="45" hidden="1">
      <c r="A546" s="238" t="s">
        <v>815</v>
      </c>
      <c r="B546" s="237">
        <v>341620</v>
      </c>
      <c r="C546" s="237">
        <v>341620</v>
      </c>
      <c r="D546" s="238" t="s">
        <v>1338</v>
      </c>
      <c r="E546" s="238" t="s">
        <v>741</v>
      </c>
      <c r="F546" s="238"/>
      <c r="G546" s="238"/>
      <c r="H546" s="238" t="s">
        <v>124</v>
      </c>
      <c r="I546" s="238" t="s">
        <v>250</v>
      </c>
      <c r="J546" s="239">
        <v>46900</v>
      </c>
      <c r="K546" s="239">
        <v>57990</v>
      </c>
      <c r="L546" s="238" t="s">
        <v>618</v>
      </c>
      <c r="M546" s="237">
        <v>1</v>
      </c>
      <c r="N546" s="237"/>
      <c r="O546" s="238"/>
      <c r="P546" s="88" t="str">
        <f t="shared" si="9"/>
        <v>1</v>
      </c>
      <c r="Q546" s="88" t="str">
        <f>IFERROR(INDEX(Торг!$F:$F,MATCH($B546,Торг!$B:$B,0)),"Отсутствует")</f>
        <v>Y</v>
      </c>
      <c r="R546" s="36" t="str">
        <f>IFERROR(IF(AND(Q546="Отсутствует",VLOOKUP(A546,Торг!$A:$A,1,0)=A546),"Добавить","Есть"),"Новый")</f>
        <v>Есть</v>
      </c>
    </row>
    <row r="547" spans="1:18" ht="45" hidden="1">
      <c r="A547" s="238" t="s">
        <v>815</v>
      </c>
      <c r="B547" s="237">
        <v>132685</v>
      </c>
      <c r="C547" s="237">
        <v>166950</v>
      </c>
      <c r="D547" s="238" t="s">
        <v>1339</v>
      </c>
      <c r="E547" s="238" t="s">
        <v>741</v>
      </c>
      <c r="F547" s="238"/>
      <c r="G547" s="238"/>
      <c r="H547" s="238" t="s">
        <v>124</v>
      </c>
      <c r="I547" s="238" t="s">
        <v>250</v>
      </c>
      <c r="J547" s="239">
        <v>45200</v>
      </c>
      <c r="K547" s="239">
        <v>55890</v>
      </c>
      <c r="L547" s="238" t="s">
        <v>618</v>
      </c>
      <c r="M547" s="237">
        <v>1</v>
      </c>
      <c r="N547" s="237"/>
      <c r="O547" s="238"/>
      <c r="P547" s="88" t="str">
        <f t="shared" si="9"/>
        <v>1</v>
      </c>
      <c r="Q547" s="88" t="str">
        <f>IFERROR(INDEX(Торг!$F:$F,MATCH($B547,Торг!$B:$B,0)),"Отсутствует")</f>
        <v>Y</v>
      </c>
      <c r="R547" s="36" t="str">
        <f>IFERROR(IF(AND(Q547="Отсутствует",VLOOKUP(A547,Торг!$A:$A,1,0)=A547),"Добавить","Есть"),"Новый")</f>
        <v>Есть</v>
      </c>
    </row>
    <row r="548" spans="1:18" ht="45" hidden="1">
      <c r="A548" s="238" t="s">
        <v>815</v>
      </c>
      <c r="B548" s="237">
        <v>341619</v>
      </c>
      <c r="C548" s="237">
        <v>341619</v>
      </c>
      <c r="D548" s="238" t="s">
        <v>1340</v>
      </c>
      <c r="E548" s="238" t="s">
        <v>741</v>
      </c>
      <c r="F548" s="238"/>
      <c r="G548" s="238"/>
      <c r="H548" s="238" t="s">
        <v>124</v>
      </c>
      <c r="I548" s="238" t="s">
        <v>250</v>
      </c>
      <c r="J548" s="239">
        <v>46030</v>
      </c>
      <c r="K548" s="239">
        <v>56990</v>
      </c>
      <c r="L548" s="238" t="s">
        <v>618</v>
      </c>
      <c r="M548" s="237">
        <v>1</v>
      </c>
      <c r="N548" s="237"/>
      <c r="O548" s="238"/>
      <c r="P548" s="88" t="str">
        <f t="shared" si="9"/>
        <v>1</v>
      </c>
      <c r="Q548" s="88" t="str">
        <f>IFERROR(INDEX(Торг!$F:$F,MATCH($B548,Торг!$B:$B,0)),"Отсутствует")</f>
        <v>Y</v>
      </c>
      <c r="R548" s="36" t="str">
        <f>IFERROR(IF(AND(Q548="Отсутствует",VLOOKUP(A548,Торг!$A:$A,1,0)=A548),"Добавить","Есть"),"Новый")</f>
        <v>Есть</v>
      </c>
    </row>
    <row r="549" spans="1:18" ht="60" hidden="1">
      <c r="A549" s="238" t="s">
        <v>816</v>
      </c>
      <c r="B549" s="237">
        <v>132687</v>
      </c>
      <c r="C549" s="237">
        <v>166981</v>
      </c>
      <c r="D549" s="238" t="s">
        <v>1341</v>
      </c>
      <c r="E549" s="238" t="s">
        <v>741</v>
      </c>
      <c r="F549" s="238"/>
      <c r="G549" s="238"/>
      <c r="H549" s="238" t="s">
        <v>127</v>
      </c>
      <c r="I549" s="238" t="s">
        <v>250</v>
      </c>
      <c r="J549" s="239">
        <v>46870</v>
      </c>
      <c r="K549" s="239">
        <v>57990</v>
      </c>
      <c r="L549" s="238" t="s">
        <v>619</v>
      </c>
      <c r="M549" s="237">
        <v>1</v>
      </c>
      <c r="N549" s="237"/>
      <c r="O549" s="238"/>
      <c r="P549" s="88" t="str">
        <f t="shared" si="9"/>
        <v>1</v>
      </c>
      <c r="Q549" s="88" t="str">
        <f>IFERROR(INDEX(Торг!$F:$F,MATCH($B549,Торг!$B:$B,0)),"Отсутствует")</f>
        <v>Y</v>
      </c>
      <c r="R549" s="36" t="str">
        <f>IFERROR(IF(AND(Q549="Отсутствует",VLOOKUP(A549,Торг!$A:$A,1,0)=A549),"Добавить","Есть"),"Новый")</f>
        <v>Есть</v>
      </c>
    </row>
    <row r="550" spans="1:18" ht="60" hidden="1">
      <c r="A550" s="238" t="s">
        <v>816</v>
      </c>
      <c r="B550" s="237">
        <v>132688</v>
      </c>
      <c r="C550" s="237">
        <v>166976</v>
      </c>
      <c r="D550" s="238" t="s">
        <v>1342</v>
      </c>
      <c r="E550" s="238" t="s">
        <v>741</v>
      </c>
      <c r="F550" s="238"/>
      <c r="G550" s="238"/>
      <c r="H550" s="238" t="s">
        <v>127</v>
      </c>
      <c r="I550" s="238" t="s">
        <v>250</v>
      </c>
      <c r="J550" s="239">
        <v>46870</v>
      </c>
      <c r="K550" s="239">
        <v>57990</v>
      </c>
      <c r="L550" s="238" t="s">
        <v>619</v>
      </c>
      <c r="M550" s="237">
        <v>1</v>
      </c>
      <c r="N550" s="237"/>
      <c r="O550" s="238"/>
      <c r="P550" s="88" t="str">
        <f t="shared" ref="P550:P613" si="10">_xlfn.CONCAT(M550,IF(N550&lt;&gt;"",_xlfn.CONCAT("ск",N550),""))</f>
        <v>1</v>
      </c>
      <c r="Q550" s="88" t="str">
        <f>IFERROR(INDEX(Торг!$F:$F,MATCH($B550,Торг!$B:$B,0)),"Отсутствует")</f>
        <v>Y</v>
      </c>
      <c r="R550" s="36" t="str">
        <f>IFERROR(IF(AND(Q550="Отсутствует",VLOOKUP(A550,Торг!$A:$A,1,0)=A550),"Добавить","Есть"),"Новый")</f>
        <v>Есть</v>
      </c>
    </row>
    <row r="551" spans="1:18" ht="60" hidden="1">
      <c r="A551" s="238" t="s">
        <v>816</v>
      </c>
      <c r="B551" s="237">
        <v>132689</v>
      </c>
      <c r="C551" s="237">
        <v>166980</v>
      </c>
      <c r="D551" s="238" t="s">
        <v>1343</v>
      </c>
      <c r="E551" s="238" t="s">
        <v>741</v>
      </c>
      <c r="F551" s="238"/>
      <c r="G551" s="238"/>
      <c r="H551" s="238" t="s">
        <v>127</v>
      </c>
      <c r="I551" s="238" t="s">
        <v>250</v>
      </c>
      <c r="J551" s="239">
        <v>46870</v>
      </c>
      <c r="K551" s="239">
        <v>57990</v>
      </c>
      <c r="L551" s="238" t="s">
        <v>619</v>
      </c>
      <c r="M551" s="237">
        <v>1</v>
      </c>
      <c r="N551" s="237"/>
      <c r="O551" s="238"/>
      <c r="P551" s="88" t="str">
        <f t="shared" si="10"/>
        <v>1</v>
      </c>
      <c r="Q551" s="88" t="str">
        <f>IFERROR(INDEX(Торг!$F:$F,MATCH($B551,Торг!$B:$B,0)),"Отсутствует")</f>
        <v>Y</v>
      </c>
      <c r="R551" s="36" t="str">
        <f>IFERROR(IF(AND(Q551="Отсутствует",VLOOKUP(A551,Торг!$A:$A,1,0)=A551),"Добавить","Есть"),"Новый")</f>
        <v>Есть</v>
      </c>
    </row>
    <row r="552" spans="1:18" ht="60" hidden="1">
      <c r="A552" s="238" t="s">
        <v>816</v>
      </c>
      <c r="B552" s="237">
        <v>132690</v>
      </c>
      <c r="C552" s="237">
        <v>166972</v>
      </c>
      <c r="D552" s="238" t="s">
        <v>1344</v>
      </c>
      <c r="E552" s="238" t="s">
        <v>741</v>
      </c>
      <c r="F552" s="238"/>
      <c r="G552" s="238"/>
      <c r="H552" s="238" t="s">
        <v>127</v>
      </c>
      <c r="I552" s="238" t="s">
        <v>250</v>
      </c>
      <c r="J552" s="239">
        <v>46870</v>
      </c>
      <c r="K552" s="239">
        <v>57990</v>
      </c>
      <c r="L552" s="238" t="s">
        <v>619</v>
      </c>
      <c r="M552" s="237">
        <v>1</v>
      </c>
      <c r="N552" s="237"/>
      <c r="O552" s="238"/>
      <c r="P552" s="88" t="str">
        <f t="shared" si="10"/>
        <v>1</v>
      </c>
      <c r="Q552" s="88" t="str">
        <f>IFERROR(INDEX(Торг!$F:$F,MATCH($B552,Торг!$B:$B,0)),"Отсутствует")</f>
        <v>Y</v>
      </c>
      <c r="R552" s="36" t="str">
        <f>IFERROR(IF(AND(Q552="Отсутствует",VLOOKUP(A552,Торг!$A:$A,1,0)=A552),"Добавить","Есть"),"Новый")</f>
        <v>Есть</v>
      </c>
    </row>
    <row r="553" spans="1:18" ht="60" hidden="1">
      <c r="A553" s="238" t="s">
        <v>816</v>
      </c>
      <c r="B553" s="237">
        <v>132691</v>
      </c>
      <c r="C553" s="237">
        <v>166979</v>
      </c>
      <c r="D553" s="238" t="s">
        <v>1345</v>
      </c>
      <c r="E553" s="238" t="s">
        <v>741</v>
      </c>
      <c r="F553" s="238"/>
      <c r="G553" s="238"/>
      <c r="H553" s="238" t="s">
        <v>127</v>
      </c>
      <c r="I553" s="238" t="s">
        <v>250</v>
      </c>
      <c r="J553" s="239">
        <v>46870</v>
      </c>
      <c r="K553" s="239">
        <v>57990</v>
      </c>
      <c r="L553" s="238" t="s">
        <v>619</v>
      </c>
      <c r="M553" s="237">
        <v>1</v>
      </c>
      <c r="N553" s="237"/>
      <c r="O553" s="238"/>
      <c r="P553" s="88" t="str">
        <f t="shared" si="10"/>
        <v>1</v>
      </c>
      <c r="Q553" s="88" t="str">
        <f>IFERROR(INDEX(Торг!$F:$F,MATCH($B553,Торг!$B:$B,0)),"Отсутствует")</f>
        <v>Y</v>
      </c>
      <c r="R553" s="36" t="str">
        <f>IFERROR(IF(AND(Q553="Отсутствует",VLOOKUP(A553,Торг!$A:$A,1,0)=A553),"Добавить","Есть"),"Новый")</f>
        <v>Есть</v>
      </c>
    </row>
    <row r="554" spans="1:18" ht="60" hidden="1">
      <c r="A554" s="238" t="s">
        <v>816</v>
      </c>
      <c r="B554" s="237">
        <v>132692</v>
      </c>
      <c r="C554" s="237">
        <v>166975</v>
      </c>
      <c r="D554" s="238" t="s">
        <v>1346</v>
      </c>
      <c r="E554" s="238" t="s">
        <v>741</v>
      </c>
      <c r="F554" s="238"/>
      <c r="G554" s="238"/>
      <c r="H554" s="238" t="s">
        <v>127</v>
      </c>
      <c r="I554" s="238" t="s">
        <v>250</v>
      </c>
      <c r="J554" s="239">
        <v>46870</v>
      </c>
      <c r="K554" s="239">
        <v>57990</v>
      </c>
      <c r="L554" s="238" t="s">
        <v>619</v>
      </c>
      <c r="M554" s="237">
        <v>1</v>
      </c>
      <c r="N554" s="237"/>
      <c r="O554" s="238"/>
      <c r="P554" s="88" t="str">
        <f t="shared" si="10"/>
        <v>1</v>
      </c>
      <c r="Q554" s="88" t="str">
        <f>IFERROR(INDEX(Торг!$F:$F,MATCH($B554,Торг!$B:$B,0)),"Отсутствует")</f>
        <v>Y</v>
      </c>
      <c r="R554" s="36" t="str">
        <f>IFERROR(IF(AND(Q554="Отсутствует",VLOOKUP(A554,Торг!$A:$A,1,0)=A554),"Добавить","Есть"),"Новый")</f>
        <v>Есть</v>
      </c>
    </row>
    <row r="555" spans="1:18" ht="60" hidden="1">
      <c r="A555" s="238" t="s">
        <v>816</v>
      </c>
      <c r="B555" s="237">
        <v>341632</v>
      </c>
      <c r="C555" s="237">
        <v>341632</v>
      </c>
      <c r="D555" s="238" t="s">
        <v>1347</v>
      </c>
      <c r="E555" s="238" t="s">
        <v>741</v>
      </c>
      <c r="F555" s="238"/>
      <c r="G555" s="238"/>
      <c r="H555" s="238" t="s">
        <v>127</v>
      </c>
      <c r="I555" s="238" t="s">
        <v>250</v>
      </c>
      <c r="J555" s="239">
        <v>47700</v>
      </c>
      <c r="K555" s="239">
        <v>58990</v>
      </c>
      <c r="L555" s="238" t="s">
        <v>619</v>
      </c>
      <c r="M555" s="237">
        <v>1</v>
      </c>
      <c r="N555" s="237"/>
      <c r="O555" s="238"/>
      <c r="P555" s="88" t="str">
        <f t="shared" si="10"/>
        <v>1</v>
      </c>
      <c r="Q555" s="88" t="str">
        <f>IFERROR(INDEX(Торг!$F:$F,MATCH($B555,Торг!$B:$B,0)),"Отсутствует")</f>
        <v>Y</v>
      </c>
      <c r="R555" s="36" t="str">
        <f>IFERROR(IF(AND(Q555="Отсутствует",VLOOKUP(A555,Торг!$A:$A,1,0)=A555),"Добавить","Есть"),"Новый")</f>
        <v>Есть</v>
      </c>
    </row>
    <row r="556" spans="1:18" ht="60" hidden="1">
      <c r="A556" s="238" t="s">
        <v>816</v>
      </c>
      <c r="B556" s="237">
        <v>341644</v>
      </c>
      <c r="C556" s="237">
        <v>341644</v>
      </c>
      <c r="D556" s="238" t="s">
        <v>1348</v>
      </c>
      <c r="E556" s="238" t="s">
        <v>741</v>
      </c>
      <c r="F556" s="238"/>
      <c r="G556" s="238"/>
      <c r="H556" s="238" t="s">
        <v>127</v>
      </c>
      <c r="I556" s="238" t="s">
        <v>250</v>
      </c>
      <c r="J556" s="239">
        <v>47700</v>
      </c>
      <c r="K556" s="239">
        <v>58990</v>
      </c>
      <c r="L556" s="238" t="s">
        <v>619</v>
      </c>
      <c r="M556" s="237">
        <v>1</v>
      </c>
      <c r="N556" s="237"/>
      <c r="O556" s="238"/>
      <c r="P556" s="88" t="str">
        <f t="shared" si="10"/>
        <v>1</v>
      </c>
      <c r="Q556" s="88" t="str">
        <f>IFERROR(INDEX(Торг!$F:$F,MATCH($B556,Торг!$B:$B,0)),"Отсутствует")</f>
        <v>Y</v>
      </c>
      <c r="R556" s="36" t="str">
        <f>IFERROR(IF(AND(Q556="Отсутствует",VLOOKUP(A556,Торг!$A:$A,1,0)=A556),"Добавить","Есть"),"Новый")</f>
        <v>Есть</v>
      </c>
    </row>
    <row r="557" spans="1:18" ht="60" hidden="1">
      <c r="A557" s="238" t="s">
        <v>816</v>
      </c>
      <c r="B557" s="237">
        <v>341643</v>
      </c>
      <c r="C557" s="237">
        <v>341643</v>
      </c>
      <c r="D557" s="238" t="s">
        <v>1349</v>
      </c>
      <c r="E557" s="238" t="s">
        <v>741</v>
      </c>
      <c r="F557" s="238"/>
      <c r="G557" s="238"/>
      <c r="H557" s="238" t="s">
        <v>127</v>
      </c>
      <c r="I557" s="238" t="s">
        <v>250</v>
      </c>
      <c r="J557" s="239">
        <v>47700</v>
      </c>
      <c r="K557" s="239">
        <v>58990</v>
      </c>
      <c r="L557" s="238" t="s">
        <v>619</v>
      </c>
      <c r="M557" s="237">
        <v>1</v>
      </c>
      <c r="N557" s="237"/>
      <c r="O557" s="238"/>
      <c r="P557" s="88" t="str">
        <f t="shared" si="10"/>
        <v>1</v>
      </c>
      <c r="Q557" s="88" t="str">
        <f>IFERROR(INDEX(Торг!$F:$F,MATCH($B557,Торг!$B:$B,0)),"Отсутствует")</f>
        <v>Y</v>
      </c>
      <c r="R557" s="36" t="str">
        <f>IFERROR(IF(AND(Q557="Отсутствует",VLOOKUP(A557,Торг!$A:$A,1,0)=A557),"Добавить","Есть"),"Новый")</f>
        <v>Есть</v>
      </c>
    </row>
    <row r="558" spans="1:18" ht="60" hidden="1">
      <c r="A558" s="238" t="s">
        <v>816</v>
      </c>
      <c r="B558" s="237">
        <v>341635</v>
      </c>
      <c r="C558" s="237">
        <v>341635</v>
      </c>
      <c r="D558" s="238" t="s">
        <v>1350</v>
      </c>
      <c r="E558" s="238" t="s">
        <v>741</v>
      </c>
      <c r="F558" s="238"/>
      <c r="G558" s="238"/>
      <c r="H558" s="238" t="s">
        <v>127</v>
      </c>
      <c r="I558" s="238" t="s">
        <v>250</v>
      </c>
      <c r="J558" s="239">
        <v>47700</v>
      </c>
      <c r="K558" s="239">
        <v>58990</v>
      </c>
      <c r="L558" s="238" t="s">
        <v>619</v>
      </c>
      <c r="M558" s="237">
        <v>1</v>
      </c>
      <c r="N558" s="237"/>
      <c r="O558" s="238"/>
      <c r="P558" s="88" t="str">
        <f t="shared" si="10"/>
        <v>1</v>
      </c>
      <c r="Q558" s="88" t="str">
        <f>IFERROR(INDEX(Торг!$F:$F,MATCH($B558,Торг!$B:$B,0)),"Отсутствует")</f>
        <v>Y</v>
      </c>
      <c r="R558" s="36" t="str">
        <f>IFERROR(IF(AND(Q558="Отсутствует",VLOOKUP(A558,Торг!$A:$A,1,0)=A558),"Добавить","Есть"),"Новый")</f>
        <v>Есть</v>
      </c>
    </row>
    <row r="559" spans="1:18" ht="60" hidden="1">
      <c r="A559" s="238" t="s">
        <v>816</v>
      </c>
      <c r="B559" s="237">
        <v>341636</v>
      </c>
      <c r="C559" s="237">
        <v>341636</v>
      </c>
      <c r="D559" s="238" t="s">
        <v>1351</v>
      </c>
      <c r="E559" s="238" t="s">
        <v>741</v>
      </c>
      <c r="F559" s="238"/>
      <c r="G559" s="238"/>
      <c r="H559" s="238" t="s">
        <v>127</v>
      </c>
      <c r="I559" s="238" t="s">
        <v>250</v>
      </c>
      <c r="J559" s="239">
        <v>47700</v>
      </c>
      <c r="K559" s="239">
        <v>58990</v>
      </c>
      <c r="L559" s="238" t="s">
        <v>619</v>
      </c>
      <c r="M559" s="237">
        <v>1</v>
      </c>
      <c r="N559" s="237"/>
      <c r="O559" s="238"/>
      <c r="P559" s="88" t="str">
        <f t="shared" si="10"/>
        <v>1</v>
      </c>
      <c r="Q559" s="88" t="str">
        <f>IFERROR(INDEX(Торг!$F:$F,MATCH($B559,Торг!$B:$B,0)),"Отсутствует")</f>
        <v>Y</v>
      </c>
      <c r="R559" s="36" t="str">
        <f>IFERROR(IF(AND(Q559="Отсутствует",VLOOKUP(A559,Торг!$A:$A,1,0)=A559),"Добавить","Есть"),"Новый")</f>
        <v>Есть</v>
      </c>
    </row>
    <row r="560" spans="1:18" ht="60" hidden="1">
      <c r="A560" s="238" t="s">
        <v>816</v>
      </c>
      <c r="B560" s="237">
        <v>341637</v>
      </c>
      <c r="C560" s="237">
        <v>341637</v>
      </c>
      <c r="D560" s="238" t="s">
        <v>1352</v>
      </c>
      <c r="E560" s="238" t="s">
        <v>741</v>
      </c>
      <c r="F560" s="238"/>
      <c r="G560" s="238"/>
      <c r="H560" s="238" t="s">
        <v>127</v>
      </c>
      <c r="I560" s="238" t="s">
        <v>250</v>
      </c>
      <c r="J560" s="239">
        <v>47700</v>
      </c>
      <c r="K560" s="239">
        <v>58990</v>
      </c>
      <c r="L560" s="238" t="s">
        <v>619</v>
      </c>
      <c r="M560" s="237">
        <v>1</v>
      </c>
      <c r="N560" s="237"/>
      <c r="O560" s="238"/>
      <c r="P560" s="88" t="str">
        <f t="shared" si="10"/>
        <v>1</v>
      </c>
      <c r="Q560" s="88" t="str">
        <f>IFERROR(INDEX(Торг!$F:$F,MATCH($B560,Торг!$B:$B,0)),"Отсутствует")</f>
        <v>Y</v>
      </c>
      <c r="R560" s="36" t="str">
        <f>IFERROR(IF(AND(Q560="Отсутствует",VLOOKUP(A560,Торг!$A:$A,1,0)=A560),"Добавить","Есть"),"Новый")</f>
        <v>Есть</v>
      </c>
    </row>
    <row r="561" spans="1:18" ht="60" hidden="1">
      <c r="A561" s="238" t="s">
        <v>816</v>
      </c>
      <c r="B561" s="237">
        <v>132693</v>
      </c>
      <c r="C561" s="237">
        <v>166977</v>
      </c>
      <c r="D561" s="238" t="s">
        <v>1353</v>
      </c>
      <c r="E561" s="238" t="s">
        <v>741</v>
      </c>
      <c r="F561" s="238"/>
      <c r="G561" s="238"/>
      <c r="H561" s="238" t="s">
        <v>127</v>
      </c>
      <c r="I561" s="238" t="s">
        <v>250</v>
      </c>
      <c r="J561" s="239">
        <v>46870</v>
      </c>
      <c r="K561" s="239">
        <v>57990</v>
      </c>
      <c r="L561" s="238" t="s">
        <v>619</v>
      </c>
      <c r="M561" s="237">
        <v>1</v>
      </c>
      <c r="N561" s="237"/>
      <c r="O561" s="238"/>
      <c r="P561" s="88" t="str">
        <f t="shared" si="10"/>
        <v>1</v>
      </c>
      <c r="Q561" s="88" t="str">
        <f>IFERROR(INDEX(Торг!$F:$F,MATCH($B561,Торг!$B:$B,0)),"Отсутствует")</f>
        <v>Y</v>
      </c>
      <c r="R561" s="36" t="str">
        <f>IFERROR(IF(AND(Q561="Отсутствует",VLOOKUP(A561,Торг!$A:$A,1,0)=A561),"Добавить","Есть"),"Новый")</f>
        <v>Есть</v>
      </c>
    </row>
    <row r="562" spans="1:18" ht="60" hidden="1">
      <c r="A562" s="238" t="s">
        <v>816</v>
      </c>
      <c r="B562" s="237">
        <v>341638</v>
      </c>
      <c r="C562" s="237">
        <v>341638</v>
      </c>
      <c r="D562" s="238" t="s">
        <v>1354</v>
      </c>
      <c r="E562" s="238" t="s">
        <v>741</v>
      </c>
      <c r="F562" s="238"/>
      <c r="G562" s="238"/>
      <c r="H562" s="238" t="s">
        <v>127</v>
      </c>
      <c r="I562" s="238" t="s">
        <v>250</v>
      </c>
      <c r="J562" s="239">
        <v>47700</v>
      </c>
      <c r="K562" s="239">
        <v>58990</v>
      </c>
      <c r="L562" s="238" t="s">
        <v>619</v>
      </c>
      <c r="M562" s="237">
        <v>1</v>
      </c>
      <c r="N562" s="237"/>
      <c r="O562" s="238"/>
      <c r="P562" s="88" t="str">
        <f t="shared" si="10"/>
        <v>1</v>
      </c>
      <c r="Q562" s="88" t="str">
        <f>IFERROR(INDEX(Торг!$F:$F,MATCH($B562,Торг!$B:$B,0)),"Отсутствует")</f>
        <v>Y</v>
      </c>
      <c r="R562" s="36" t="str">
        <f>IFERROR(IF(AND(Q562="Отсутствует",VLOOKUP(A562,Торг!$A:$A,1,0)=A562),"Добавить","Есть"),"Новый")</f>
        <v>Есть</v>
      </c>
    </row>
    <row r="563" spans="1:18" ht="60" hidden="1">
      <c r="A563" s="238" t="s">
        <v>816</v>
      </c>
      <c r="B563" s="237">
        <v>132694</v>
      </c>
      <c r="C563" s="237">
        <v>166978</v>
      </c>
      <c r="D563" s="238" t="s">
        <v>1355</v>
      </c>
      <c r="E563" s="238" t="s">
        <v>741</v>
      </c>
      <c r="F563" s="238"/>
      <c r="G563" s="238"/>
      <c r="H563" s="238" t="s">
        <v>127</v>
      </c>
      <c r="I563" s="238" t="s">
        <v>250</v>
      </c>
      <c r="J563" s="239">
        <v>46870</v>
      </c>
      <c r="K563" s="239">
        <v>57990</v>
      </c>
      <c r="L563" s="238" t="s">
        <v>619</v>
      </c>
      <c r="M563" s="237">
        <v>1</v>
      </c>
      <c r="N563" s="237"/>
      <c r="O563" s="238"/>
      <c r="P563" s="88" t="str">
        <f t="shared" si="10"/>
        <v>1</v>
      </c>
      <c r="Q563" s="88" t="str">
        <f>IFERROR(INDEX(Торг!$F:$F,MATCH($B563,Торг!$B:$B,0)),"Отсутствует")</f>
        <v>Y</v>
      </c>
      <c r="R563" s="36" t="str">
        <f>IFERROR(IF(AND(Q563="Отсутствует",VLOOKUP(A563,Торг!$A:$A,1,0)=A563),"Добавить","Есть"),"Новый")</f>
        <v>Есть</v>
      </c>
    </row>
    <row r="564" spans="1:18" ht="60" hidden="1">
      <c r="A564" s="238" t="s">
        <v>816</v>
      </c>
      <c r="B564" s="237">
        <v>341641</v>
      </c>
      <c r="C564" s="237">
        <v>341641</v>
      </c>
      <c r="D564" s="238" t="s">
        <v>1356</v>
      </c>
      <c r="E564" s="238" t="s">
        <v>741</v>
      </c>
      <c r="F564" s="238"/>
      <c r="G564" s="238"/>
      <c r="H564" s="238" t="s">
        <v>127</v>
      </c>
      <c r="I564" s="238" t="s">
        <v>250</v>
      </c>
      <c r="J564" s="239">
        <v>47700</v>
      </c>
      <c r="K564" s="239">
        <v>58990</v>
      </c>
      <c r="L564" s="238" t="s">
        <v>619</v>
      </c>
      <c r="M564" s="237">
        <v>1</v>
      </c>
      <c r="N564" s="237"/>
      <c r="O564" s="238"/>
      <c r="P564" s="88" t="str">
        <f t="shared" si="10"/>
        <v>1</v>
      </c>
      <c r="Q564" s="88" t="str">
        <f>IFERROR(INDEX(Торг!$F:$F,MATCH($B564,Торг!$B:$B,0)),"Отсутствует")</f>
        <v>Y</v>
      </c>
      <c r="R564" s="36" t="str">
        <f>IFERROR(IF(AND(Q564="Отсутствует",VLOOKUP(A564,Торг!$A:$A,1,0)=A564),"Добавить","Есть"),"Новый")</f>
        <v>Есть</v>
      </c>
    </row>
    <row r="565" spans="1:18" ht="60" hidden="1">
      <c r="A565" s="238" t="s">
        <v>816</v>
      </c>
      <c r="B565" s="237">
        <v>132695</v>
      </c>
      <c r="C565" s="237">
        <v>166974</v>
      </c>
      <c r="D565" s="238" t="s">
        <v>1357</v>
      </c>
      <c r="E565" s="238" t="s">
        <v>741</v>
      </c>
      <c r="F565" s="238"/>
      <c r="G565" s="238"/>
      <c r="H565" s="238" t="s">
        <v>127</v>
      </c>
      <c r="I565" s="238" t="s">
        <v>250</v>
      </c>
      <c r="J565" s="239">
        <v>46870</v>
      </c>
      <c r="K565" s="239">
        <v>57990</v>
      </c>
      <c r="L565" s="238" t="s">
        <v>619</v>
      </c>
      <c r="M565" s="237">
        <v>1</v>
      </c>
      <c r="N565" s="237"/>
      <c r="O565" s="238"/>
      <c r="P565" s="88" t="str">
        <f t="shared" si="10"/>
        <v>1</v>
      </c>
      <c r="Q565" s="88" t="str">
        <f>IFERROR(INDEX(Торг!$F:$F,MATCH($B565,Торг!$B:$B,0)),"Отсутствует")</f>
        <v>Y</v>
      </c>
      <c r="R565" s="36" t="str">
        <f>IFERROR(IF(AND(Q565="Отсутствует",VLOOKUP(A565,Торг!$A:$A,1,0)=A565),"Добавить","Есть"),"Новый")</f>
        <v>Есть</v>
      </c>
    </row>
    <row r="566" spans="1:18" ht="60" hidden="1">
      <c r="A566" s="238" t="s">
        <v>816</v>
      </c>
      <c r="B566" s="237">
        <v>341639</v>
      </c>
      <c r="C566" s="237">
        <v>341639</v>
      </c>
      <c r="D566" s="238" t="s">
        <v>1358</v>
      </c>
      <c r="E566" s="238" t="s">
        <v>741</v>
      </c>
      <c r="F566" s="238"/>
      <c r="G566" s="238"/>
      <c r="H566" s="238" t="s">
        <v>127</v>
      </c>
      <c r="I566" s="238" t="s">
        <v>250</v>
      </c>
      <c r="J566" s="239">
        <v>47700</v>
      </c>
      <c r="K566" s="239">
        <v>58990</v>
      </c>
      <c r="L566" s="238" t="s">
        <v>619</v>
      </c>
      <c r="M566" s="237">
        <v>1</v>
      </c>
      <c r="N566" s="237"/>
      <c r="O566" s="238"/>
      <c r="P566" s="88" t="str">
        <f t="shared" si="10"/>
        <v>1</v>
      </c>
      <c r="Q566" s="88" t="str">
        <f>IFERROR(INDEX(Торг!$F:$F,MATCH($B566,Торг!$B:$B,0)),"Отсутствует")</f>
        <v>Y</v>
      </c>
      <c r="R566" s="36" t="str">
        <f>IFERROR(IF(AND(Q566="Отсутствует",VLOOKUP(A566,Торг!$A:$A,1,0)=A566),"Добавить","Есть"),"Новый")</f>
        <v>Есть</v>
      </c>
    </row>
    <row r="567" spans="1:18" ht="60" hidden="1">
      <c r="A567" s="238" t="s">
        <v>816</v>
      </c>
      <c r="B567" s="237">
        <v>132696</v>
      </c>
      <c r="C567" s="237">
        <v>166973</v>
      </c>
      <c r="D567" s="238" t="s">
        <v>1359</v>
      </c>
      <c r="E567" s="238" t="s">
        <v>741</v>
      </c>
      <c r="F567" s="238"/>
      <c r="G567" s="238"/>
      <c r="H567" s="238" t="s">
        <v>127</v>
      </c>
      <c r="I567" s="238" t="s">
        <v>250</v>
      </c>
      <c r="J567" s="239">
        <v>46870</v>
      </c>
      <c r="K567" s="239">
        <v>57990</v>
      </c>
      <c r="L567" s="238" t="s">
        <v>619</v>
      </c>
      <c r="M567" s="237">
        <v>1</v>
      </c>
      <c r="N567" s="237"/>
      <c r="O567" s="238"/>
      <c r="P567" s="88" t="str">
        <f t="shared" si="10"/>
        <v>1</v>
      </c>
      <c r="Q567" s="88" t="str">
        <f>IFERROR(INDEX(Торг!$F:$F,MATCH($B567,Торг!$B:$B,0)),"Отсутствует")</f>
        <v>Y</v>
      </c>
      <c r="R567" s="36" t="str">
        <f>IFERROR(IF(AND(Q567="Отсутствует",VLOOKUP(A567,Торг!$A:$A,1,0)=A567),"Добавить","Есть"),"Новый")</f>
        <v>Есть</v>
      </c>
    </row>
    <row r="568" spans="1:18" ht="60" hidden="1">
      <c r="A568" s="238" t="s">
        <v>816</v>
      </c>
      <c r="B568" s="237">
        <v>341640</v>
      </c>
      <c r="C568" s="237">
        <v>341640</v>
      </c>
      <c r="D568" s="238" t="s">
        <v>1360</v>
      </c>
      <c r="E568" s="238" t="s">
        <v>741</v>
      </c>
      <c r="F568" s="238"/>
      <c r="G568" s="238"/>
      <c r="H568" s="238" t="s">
        <v>127</v>
      </c>
      <c r="I568" s="238" t="s">
        <v>250</v>
      </c>
      <c r="J568" s="239">
        <v>47700</v>
      </c>
      <c r="K568" s="239">
        <v>58990</v>
      </c>
      <c r="L568" s="238" t="s">
        <v>619</v>
      </c>
      <c r="M568" s="237">
        <v>1</v>
      </c>
      <c r="N568" s="237"/>
      <c r="O568" s="238"/>
      <c r="P568" s="88" t="str">
        <f t="shared" si="10"/>
        <v>1</v>
      </c>
      <c r="Q568" s="88" t="str">
        <f>IFERROR(INDEX(Торг!$F:$F,MATCH($B568,Торг!$B:$B,0)),"Отсутствует")</f>
        <v>Y</v>
      </c>
      <c r="R568" s="36" t="str">
        <f>IFERROR(IF(AND(Q568="Отсутствует",VLOOKUP(A568,Торг!$A:$A,1,0)=A568),"Добавить","Есть"),"Новый")</f>
        <v>Есть</v>
      </c>
    </row>
    <row r="569" spans="1:18" ht="60" hidden="1">
      <c r="A569" s="238" t="s">
        <v>816</v>
      </c>
      <c r="B569" s="237">
        <v>132697</v>
      </c>
      <c r="C569" s="237">
        <v>166971</v>
      </c>
      <c r="D569" s="238" t="s">
        <v>1361</v>
      </c>
      <c r="E569" s="238" t="s">
        <v>741</v>
      </c>
      <c r="F569" s="238"/>
      <c r="G569" s="238"/>
      <c r="H569" s="238" t="s">
        <v>127</v>
      </c>
      <c r="I569" s="238" t="s">
        <v>250</v>
      </c>
      <c r="J569" s="239">
        <v>46870</v>
      </c>
      <c r="K569" s="239">
        <v>57990</v>
      </c>
      <c r="L569" s="238" t="s">
        <v>619</v>
      </c>
      <c r="M569" s="237">
        <v>1</v>
      </c>
      <c r="N569" s="237"/>
      <c r="O569" s="238"/>
      <c r="P569" s="88" t="str">
        <f t="shared" si="10"/>
        <v>1</v>
      </c>
      <c r="Q569" s="88" t="str">
        <f>IFERROR(INDEX(Торг!$F:$F,MATCH($B569,Торг!$B:$B,0)),"Отсутствует")</f>
        <v>Y</v>
      </c>
      <c r="R569" s="36" t="str">
        <f>IFERROR(IF(AND(Q569="Отсутствует",VLOOKUP(A569,Торг!$A:$A,1,0)=A569),"Добавить","Есть"),"Новый")</f>
        <v>Есть</v>
      </c>
    </row>
    <row r="570" spans="1:18" ht="60" hidden="1">
      <c r="A570" s="238" t="s">
        <v>816</v>
      </c>
      <c r="B570" s="237">
        <v>341642</v>
      </c>
      <c r="C570" s="237">
        <v>341642</v>
      </c>
      <c r="D570" s="238" t="s">
        <v>1362</v>
      </c>
      <c r="E570" s="238" t="s">
        <v>741</v>
      </c>
      <c r="F570" s="238"/>
      <c r="G570" s="238"/>
      <c r="H570" s="238" t="s">
        <v>127</v>
      </c>
      <c r="I570" s="238" t="s">
        <v>250</v>
      </c>
      <c r="J570" s="239">
        <v>47700</v>
      </c>
      <c r="K570" s="239">
        <v>58990</v>
      </c>
      <c r="L570" s="238" t="s">
        <v>619</v>
      </c>
      <c r="M570" s="237">
        <v>1</v>
      </c>
      <c r="N570" s="237"/>
      <c r="O570" s="238"/>
      <c r="P570" s="88" t="str">
        <f t="shared" si="10"/>
        <v>1</v>
      </c>
      <c r="Q570" s="88" t="str">
        <f>IFERROR(INDEX(Торг!$F:$F,MATCH($B570,Торг!$B:$B,0)),"Отсутствует")</f>
        <v>Y</v>
      </c>
      <c r="R570" s="36" t="str">
        <f>IFERROR(IF(AND(Q570="Отсутствует",VLOOKUP(A570,Торг!$A:$A,1,0)=A570),"Добавить","Есть"),"Новый")</f>
        <v>Есть</v>
      </c>
    </row>
    <row r="571" spans="1:18" ht="60" hidden="1">
      <c r="A571" s="238" t="s">
        <v>816</v>
      </c>
      <c r="B571" s="237">
        <v>132698</v>
      </c>
      <c r="C571" s="237">
        <v>166970</v>
      </c>
      <c r="D571" s="238" t="s">
        <v>1363</v>
      </c>
      <c r="E571" s="238" t="s">
        <v>741</v>
      </c>
      <c r="F571" s="238"/>
      <c r="G571" s="238"/>
      <c r="H571" s="238" t="s">
        <v>127</v>
      </c>
      <c r="I571" s="238" t="s">
        <v>250</v>
      </c>
      <c r="J571" s="239">
        <v>46870</v>
      </c>
      <c r="K571" s="239">
        <v>57990</v>
      </c>
      <c r="L571" s="238" t="s">
        <v>619</v>
      </c>
      <c r="M571" s="237">
        <v>1</v>
      </c>
      <c r="N571" s="237"/>
      <c r="O571" s="238"/>
      <c r="P571" s="88" t="str">
        <f t="shared" si="10"/>
        <v>1</v>
      </c>
      <c r="Q571" s="88" t="str">
        <f>IFERROR(INDEX(Торг!$F:$F,MATCH($B571,Торг!$B:$B,0)),"Отсутствует")</f>
        <v>Y</v>
      </c>
      <c r="R571" s="36" t="str">
        <f>IFERROR(IF(AND(Q571="Отсутствует",VLOOKUP(A571,Торг!$A:$A,1,0)=A571),"Добавить","Есть"),"Новый")</f>
        <v>Есть</v>
      </c>
    </row>
    <row r="572" spans="1:18" ht="60" hidden="1">
      <c r="A572" s="238" t="s">
        <v>816</v>
      </c>
      <c r="B572" s="237">
        <v>341634</v>
      </c>
      <c r="C572" s="237">
        <v>341634</v>
      </c>
      <c r="D572" s="238" t="s">
        <v>1364</v>
      </c>
      <c r="E572" s="238" t="s">
        <v>741</v>
      </c>
      <c r="F572" s="238"/>
      <c r="G572" s="238"/>
      <c r="H572" s="238" t="s">
        <v>127</v>
      </c>
      <c r="I572" s="238" t="s">
        <v>250</v>
      </c>
      <c r="J572" s="239">
        <v>47700</v>
      </c>
      <c r="K572" s="239">
        <v>58990</v>
      </c>
      <c r="L572" s="238" t="s">
        <v>619</v>
      </c>
      <c r="M572" s="237">
        <v>1</v>
      </c>
      <c r="N572" s="237"/>
      <c r="O572" s="238"/>
      <c r="P572" s="88" t="str">
        <f t="shared" si="10"/>
        <v>1</v>
      </c>
      <c r="Q572" s="88" t="str">
        <f>IFERROR(INDEX(Торг!$F:$F,MATCH($B572,Торг!$B:$B,0)),"Отсутствует")</f>
        <v>Y</v>
      </c>
      <c r="R572" s="36" t="str">
        <f>IFERROR(IF(AND(Q572="Отсутствует",VLOOKUP(A572,Торг!$A:$A,1,0)=A572),"Добавить","Есть"),"Новый")</f>
        <v>Есть</v>
      </c>
    </row>
    <row r="573" spans="1:18" ht="60" hidden="1">
      <c r="A573" s="238" t="s">
        <v>816</v>
      </c>
      <c r="B573" s="237">
        <v>132699</v>
      </c>
      <c r="C573" s="237">
        <v>166968</v>
      </c>
      <c r="D573" s="238" t="s">
        <v>1365</v>
      </c>
      <c r="E573" s="238" t="s">
        <v>741</v>
      </c>
      <c r="F573" s="238"/>
      <c r="G573" s="238"/>
      <c r="H573" s="238" t="s">
        <v>127</v>
      </c>
      <c r="I573" s="238" t="s">
        <v>250</v>
      </c>
      <c r="J573" s="239">
        <v>46000</v>
      </c>
      <c r="K573" s="239">
        <v>56890</v>
      </c>
      <c r="L573" s="238" t="s">
        <v>619</v>
      </c>
      <c r="M573" s="237">
        <v>1</v>
      </c>
      <c r="N573" s="237"/>
      <c r="O573" s="238"/>
      <c r="P573" s="88" t="str">
        <f t="shared" si="10"/>
        <v>1</v>
      </c>
      <c r="Q573" s="88" t="str">
        <f>IFERROR(INDEX(Торг!$F:$F,MATCH($B573,Торг!$B:$B,0)),"Отсутствует")</f>
        <v>Y</v>
      </c>
      <c r="R573" s="36" t="str">
        <f>IFERROR(IF(AND(Q573="Отсутствует",VLOOKUP(A573,Торг!$A:$A,1,0)=A573),"Добавить","Есть"),"Новый")</f>
        <v>Есть</v>
      </c>
    </row>
    <row r="574" spans="1:18" ht="60" hidden="1">
      <c r="A574" s="238" t="s">
        <v>816</v>
      </c>
      <c r="B574" s="237">
        <v>341633</v>
      </c>
      <c r="C574" s="237">
        <v>341633</v>
      </c>
      <c r="D574" s="238" t="s">
        <v>1366</v>
      </c>
      <c r="E574" s="238" t="s">
        <v>741</v>
      </c>
      <c r="F574" s="238"/>
      <c r="G574" s="238"/>
      <c r="H574" s="238" t="s">
        <v>127</v>
      </c>
      <c r="I574" s="238" t="s">
        <v>250</v>
      </c>
      <c r="J574" s="239">
        <v>46830</v>
      </c>
      <c r="K574" s="239">
        <v>57990</v>
      </c>
      <c r="L574" s="238" t="s">
        <v>619</v>
      </c>
      <c r="M574" s="237">
        <v>1</v>
      </c>
      <c r="N574" s="237"/>
      <c r="O574" s="238"/>
      <c r="P574" s="88" t="str">
        <f t="shared" si="10"/>
        <v>1</v>
      </c>
      <c r="Q574" s="88" t="str">
        <f>IFERROR(INDEX(Торг!$F:$F,MATCH($B574,Торг!$B:$B,0)),"Отсутствует")</f>
        <v>Y</v>
      </c>
      <c r="R574" s="36" t="str">
        <f>IFERROR(IF(AND(Q574="Отсутствует",VLOOKUP(A574,Торг!$A:$A,1,0)=A574),"Добавить","Есть"),"Новый")</f>
        <v>Есть</v>
      </c>
    </row>
    <row r="575" spans="1:18" ht="45" hidden="1">
      <c r="A575" s="238" t="s">
        <v>817</v>
      </c>
      <c r="B575" s="237">
        <v>132701</v>
      </c>
      <c r="C575" s="237">
        <v>167002</v>
      </c>
      <c r="D575" s="238" t="s">
        <v>1367</v>
      </c>
      <c r="E575" s="238" t="s">
        <v>741</v>
      </c>
      <c r="F575" s="238"/>
      <c r="G575" s="238"/>
      <c r="H575" s="238" t="s">
        <v>125</v>
      </c>
      <c r="I575" s="238" t="s">
        <v>250</v>
      </c>
      <c r="J575" s="239">
        <v>46870</v>
      </c>
      <c r="K575" s="239">
        <v>57990</v>
      </c>
      <c r="L575" s="238" t="s">
        <v>616</v>
      </c>
      <c r="M575" s="237">
        <v>1</v>
      </c>
      <c r="N575" s="237"/>
      <c r="O575" s="238"/>
      <c r="P575" s="88" t="str">
        <f t="shared" si="10"/>
        <v>1</v>
      </c>
      <c r="Q575" s="88" t="str">
        <f>IFERROR(INDEX(Торг!$F:$F,MATCH($B575,Торг!$B:$B,0)),"Отсутствует")</f>
        <v>Y</v>
      </c>
      <c r="R575" s="36" t="str">
        <f>IFERROR(IF(AND(Q575="Отсутствует",VLOOKUP(A575,Торг!$A:$A,1,0)=A575),"Добавить","Есть"),"Новый")</f>
        <v>Есть</v>
      </c>
    </row>
    <row r="576" spans="1:18" ht="45" hidden="1">
      <c r="A576" s="238" t="s">
        <v>817</v>
      </c>
      <c r="B576" s="237">
        <v>341650</v>
      </c>
      <c r="C576" s="237">
        <v>341650</v>
      </c>
      <c r="D576" s="238" t="s">
        <v>1368</v>
      </c>
      <c r="E576" s="238" t="s">
        <v>741</v>
      </c>
      <c r="F576" s="238"/>
      <c r="G576" s="238"/>
      <c r="H576" s="238" t="s">
        <v>125</v>
      </c>
      <c r="I576" s="238" t="s">
        <v>250</v>
      </c>
      <c r="J576" s="239">
        <v>47700</v>
      </c>
      <c r="K576" s="239">
        <v>58990</v>
      </c>
      <c r="L576" s="238" t="s">
        <v>616</v>
      </c>
      <c r="M576" s="237">
        <v>1</v>
      </c>
      <c r="N576" s="237"/>
      <c r="O576" s="238"/>
      <c r="P576" s="88" t="str">
        <f t="shared" si="10"/>
        <v>1</v>
      </c>
      <c r="Q576" s="88" t="str">
        <f>IFERROR(INDEX(Торг!$F:$F,MATCH($B576,Торг!$B:$B,0)),"Отсутствует")</f>
        <v>Y</v>
      </c>
      <c r="R576" s="36" t="str">
        <f>IFERROR(IF(AND(Q576="Отсутствует",VLOOKUP(A576,Торг!$A:$A,1,0)=A576),"Добавить","Есть"),"Новый")</f>
        <v>Есть</v>
      </c>
    </row>
    <row r="577" spans="1:18" ht="45" hidden="1">
      <c r="A577" s="238" t="s">
        <v>817</v>
      </c>
      <c r="B577" s="237">
        <v>132702</v>
      </c>
      <c r="C577" s="237">
        <v>166997</v>
      </c>
      <c r="D577" s="238" t="s">
        <v>1369</v>
      </c>
      <c r="E577" s="238" t="s">
        <v>741</v>
      </c>
      <c r="F577" s="238"/>
      <c r="G577" s="238"/>
      <c r="H577" s="238" t="s">
        <v>125</v>
      </c>
      <c r="I577" s="238" t="s">
        <v>250</v>
      </c>
      <c r="J577" s="239">
        <v>46870</v>
      </c>
      <c r="K577" s="239">
        <v>57990</v>
      </c>
      <c r="L577" s="238" t="s">
        <v>616</v>
      </c>
      <c r="M577" s="237">
        <v>1</v>
      </c>
      <c r="N577" s="237"/>
      <c r="O577" s="238"/>
      <c r="P577" s="88" t="str">
        <f t="shared" si="10"/>
        <v>1</v>
      </c>
      <c r="Q577" s="88" t="str">
        <f>IFERROR(INDEX(Торг!$F:$F,MATCH($B577,Торг!$B:$B,0)),"Отсутствует")</f>
        <v>Y</v>
      </c>
      <c r="R577" s="36" t="str">
        <f>IFERROR(IF(AND(Q577="Отсутствует",VLOOKUP(A577,Торг!$A:$A,1,0)=A577),"Добавить","Есть"),"Новый")</f>
        <v>Есть</v>
      </c>
    </row>
    <row r="578" spans="1:18" ht="45" hidden="1">
      <c r="A578" s="238" t="s">
        <v>817</v>
      </c>
      <c r="B578" s="237">
        <v>341662</v>
      </c>
      <c r="C578" s="237">
        <v>341662</v>
      </c>
      <c r="D578" s="238" t="s">
        <v>1370</v>
      </c>
      <c r="E578" s="238" t="s">
        <v>741</v>
      </c>
      <c r="F578" s="238"/>
      <c r="G578" s="238"/>
      <c r="H578" s="238" t="s">
        <v>125</v>
      </c>
      <c r="I578" s="238" t="s">
        <v>250</v>
      </c>
      <c r="J578" s="239">
        <v>47700</v>
      </c>
      <c r="K578" s="239">
        <v>58990</v>
      </c>
      <c r="L578" s="238" t="s">
        <v>616</v>
      </c>
      <c r="M578" s="237">
        <v>1</v>
      </c>
      <c r="N578" s="237"/>
      <c r="O578" s="238"/>
      <c r="P578" s="88" t="str">
        <f t="shared" si="10"/>
        <v>1</v>
      </c>
      <c r="Q578" s="88" t="str">
        <f>IFERROR(INDEX(Торг!$F:$F,MATCH($B578,Торг!$B:$B,0)),"Отсутствует")</f>
        <v>Y</v>
      </c>
      <c r="R578" s="36" t="str">
        <f>IFERROR(IF(AND(Q578="Отсутствует",VLOOKUP(A578,Торг!$A:$A,1,0)=A578),"Добавить","Есть"),"Новый")</f>
        <v>Есть</v>
      </c>
    </row>
    <row r="579" spans="1:18" ht="45" hidden="1">
      <c r="A579" s="238" t="s">
        <v>817</v>
      </c>
      <c r="B579" s="237">
        <v>132703</v>
      </c>
      <c r="C579" s="237">
        <v>167001</v>
      </c>
      <c r="D579" s="238" t="s">
        <v>1371</v>
      </c>
      <c r="E579" s="238" t="s">
        <v>741</v>
      </c>
      <c r="F579" s="238"/>
      <c r="G579" s="238"/>
      <c r="H579" s="238" t="s">
        <v>125</v>
      </c>
      <c r="I579" s="238" t="s">
        <v>250</v>
      </c>
      <c r="J579" s="239">
        <v>46870</v>
      </c>
      <c r="K579" s="239">
        <v>57990</v>
      </c>
      <c r="L579" s="238" t="s">
        <v>616</v>
      </c>
      <c r="M579" s="237">
        <v>1</v>
      </c>
      <c r="N579" s="237"/>
      <c r="O579" s="238"/>
      <c r="P579" s="88" t="str">
        <f t="shared" si="10"/>
        <v>1</v>
      </c>
      <c r="Q579" s="88" t="str">
        <f>IFERROR(INDEX(Торг!$F:$F,MATCH($B579,Торг!$B:$B,0)),"Отсутствует")</f>
        <v>Y</v>
      </c>
      <c r="R579" s="36" t="str">
        <f>IFERROR(IF(AND(Q579="Отсутствует",VLOOKUP(A579,Торг!$A:$A,1,0)=A579),"Добавить","Есть"),"Новый")</f>
        <v>Есть</v>
      </c>
    </row>
    <row r="580" spans="1:18" ht="45" hidden="1">
      <c r="A580" s="238" t="s">
        <v>817</v>
      </c>
      <c r="B580" s="237">
        <v>341661</v>
      </c>
      <c r="C580" s="237">
        <v>341661</v>
      </c>
      <c r="D580" s="238" t="s">
        <v>1372</v>
      </c>
      <c r="E580" s="238" t="s">
        <v>741</v>
      </c>
      <c r="F580" s="238"/>
      <c r="G580" s="238"/>
      <c r="H580" s="238" t="s">
        <v>125</v>
      </c>
      <c r="I580" s="238" t="s">
        <v>250</v>
      </c>
      <c r="J580" s="239">
        <v>47700</v>
      </c>
      <c r="K580" s="239">
        <v>58990</v>
      </c>
      <c r="L580" s="238" t="s">
        <v>616</v>
      </c>
      <c r="M580" s="237">
        <v>1</v>
      </c>
      <c r="N580" s="237"/>
      <c r="O580" s="238"/>
      <c r="P580" s="88" t="str">
        <f t="shared" si="10"/>
        <v>1</v>
      </c>
      <c r="Q580" s="88" t="str">
        <f>IFERROR(INDEX(Торг!$F:$F,MATCH($B580,Торг!$B:$B,0)),"Отсутствует")</f>
        <v>Y</v>
      </c>
      <c r="R580" s="36" t="str">
        <f>IFERROR(IF(AND(Q580="Отсутствует",VLOOKUP(A580,Торг!$A:$A,1,0)=A580),"Добавить","Есть"),"Новый")</f>
        <v>Есть</v>
      </c>
    </row>
    <row r="581" spans="1:18" ht="60" hidden="1">
      <c r="A581" s="238" t="s">
        <v>817</v>
      </c>
      <c r="B581" s="237">
        <v>132704</v>
      </c>
      <c r="C581" s="237">
        <v>166993</v>
      </c>
      <c r="D581" s="238" t="s">
        <v>1373</v>
      </c>
      <c r="E581" s="238" t="s">
        <v>741</v>
      </c>
      <c r="F581" s="238"/>
      <c r="G581" s="238"/>
      <c r="H581" s="238" t="s">
        <v>125</v>
      </c>
      <c r="I581" s="238" t="s">
        <v>250</v>
      </c>
      <c r="J581" s="239">
        <v>46870</v>
      </c>
      <c r="K581" s="239">
        <v>57990</v>
      </c>
      <c r="L581" s="238" t="s">
        <v>616</v>
      </c>
      <c r="M581" s="237">
        <v>1</v>
      </c>
      <c r="N581" s="237"/>
      <c r="O581" s="238"/>
      <c r="P581" s="88" t="str">
        <f t="shared" si="10"/>
        <v>1</v>
      </c>
      <c r="Q581" s="88" t="str">
        <f>IFERROR(INDEX(Торг!$F:$F,MATCH($B581,Торг!$B:$B,0)),"Отсутствует")</f>
        <v>Y</v>
      </c>
      <c r="R581" s="36" t="str">
        <f>IFERROR(IF(AND(Q581="Отсутствует",VLOOKUP(A581,Торг!$A:$A,1,0)=A581),"Добавить","Есть"),"Новый")</f>
        <v>Есть</v>
      </c>
    </row>
    <row r="582" spans="1:18" ht="45" hidden="1">
      <c r="A582" s="238" t="s">
        <v>817</v>
      </c>
      <c r="B582" s="237">
        <v>341653</v>
      </c>
      <c r="C582" s="237">
        <v>341653</v>
      </c>
      <c r="D582" s="238" t="s">
        <v>1374</v>
      </c>
      <c r="E582" s="238" t="s">
        <v>741</v>
      </c>
      <c r="F582" s="238"/>
      <c r="G582" s="238"/>
      <c r="H582" s="238" t="s">
        <v>125</v>
      </c>
      <c r="I582" s="238" t="s">
        <v>250</v>
      </c>
      <c r="J582" s="239">
        <v>47700</v>
      </c>
      <c r="K582" s="239">
        <v>58990</v>
      </c>
      <c r="L582" s="238" t="s">
        <v>616</v>
      </c>
      <c r="M582" s="237">
        <v>1</v>
      </c>
      <c r="N582" s="237"/>
      <c r="O582" s="238"/>
      <c r="P582" s="88" t="str">
        <f t="shared" si="10"/>
        <v>1</v>
      </c>
      <c r="Q582" s="88" t="str">
        <f>IFERROR(INDEX(Торг!$F:$F,MATCH($B582,Торг!$B:$B,0)),"Отсутствует")</f>
        <v>Y</v>
      </c>
      <c r="R582" s="36" t="str">
        <f>IFERROR(IF(AND(Q582="Отсутствует",VLOOKUP(A582,Торг!$A:$A,1,0)=A582),"Добавить","Есть"),"Новый")</f>
        <v>Есть</v>
      </c>
    </row>
    <row r="583" spans="1:18" ht="45" hidden="1">
      <c r="A583" s="238" t="s">
        <v>817</v>
      </c>
      <c r="B583" s="237">
        <v>132705</v>
      </c>
      <c r="C583" s="237">
        <v>167000</v>
      </c>
      <c r="D583" s="238" t="s">
        <v>1375</v>
      </c>
      <c r="E583" s="238" t="s">
        <v>741</v>
      </c>
      <c r="F583" s="238"/>
      <c r="G583" s="238"/>
      <c r="H583" s="238" t="s">
        <v>125</v>
      </c>
      <c r="I583" s="238" t="s">
        <v>250</v>
      </c>
      <c r="J583" s="239">
        <v>46870</v>
      </c>
      <c r="K583" s="239">
        <v>57990</v>
      </c>
      <c r="L583" s="238" t="s">
        <v>616</v>
      </c>
      <c r="M583" s="237">
        <v>1</v>
      </c>
      <c r="N583" s="237"/>
      <c r="O583" s="238"/>
      <c r="P583" s="88" t="str">
        <f t="shared" si="10"/>
        <v>1</v>
      </c>
      <c r="Q583" s="88" t="str">
        <f>IFERROR(INDEX(Торг!$F:$F,MATCH($B583,Торг!$B:$B,0)),"Отсутствует")</f>
        <v>Y</v>
      </c>
      <c r="R583" s="36" t="str">
        <f>IFERROR(IF(AND(Q583="Отсутствует",VLOOKUP(A583,Торг!$A:$A,1,0)=A583),"Добавить","Есть"),"Новый")</f>
        <v>Есть</v>
      </c>
    </row>
    <row r="584" spans="1:18" ht="45" hidden="1">
      <c r="A584" s="238" t="s">
        <v>817</v>
      </c>
      <c r="B584" s="237">
        <v>341654</v>
      </c>
      <c r="C584" s="237">
        <v>341654</v>
      </c>
      <c r="D584" s="238" t="s">
        <v>1376</v>
      </c>
      <c r="E584" s="238" t="s">
        <v>741</v>
      </c>
      <c r="F584" s="238"/>
      <c r="G584" s="238"/>
      <c r="H584" s="238" t="s">
        <v>125</v>
      </c>
      <c r="I584" s="238" t="s">
        <v>250</v>
      </c>
      <c r="J584" s="239">
        <v>47700</v>
      </c>
      <c r="K584" s="239">
        <v>58990</v>
      </c>
      <c r="L584" s="238" t="s">
        <v>616</v>
      </c>
      <c r="M584" s="237">
        <v>1</v>
      </c>
      <c r="N584" s="237"/>
      <c r="O584" s="238"/>
      <c r="P584" s="88" t="str">
        <f t="shared" si="10"/>
        <v>1</v>
      </c>
      <c r="Q584" s="88" t="str">
        <f>IFERROR(INDEX(Торг!$F:$F,MATCH($B584,Торг!$B:$B,0)),"Отсутствует")</f>
        <v>Y</v>
      </c>
      <c r="R584" s="36" t="str">
        <f>IFERROR(IF(AND(Q584="Отсутствует",VLOOKUP(A584,Торг!$A:$A,1,0)=A584),"Добавить","Есть"),"Новый")</f>
        <v>Есть</v>
      </c>
    </row>
    <row r="585" spans="1:18" ht="60" hidden="1">
      <c r="A585" s="238" t="s">
        <v>817</v>
      </c>
      <c r="B585" s="237">
        <v>132706</v>
      </c>
      <c r="C585" s="237">
        <v>166996</v>
      </c>
      <c r="D585" s="238" t="s">
        <v>1377</v>
      </c>
      <c r="E585" s="238" t="s">
        <v>741</v>
      </c>
      <c r="F585" s="238"/>
      <c r="G585" s="238"/>
      <c r="H585" s="238" t="s">
        <v>125</v>
      </c>
      <c r="I585" s="238" t="s">
        <v>250</v>
      </c>
      <c r="J585" s="239">
        <v>46870</v>
      </c>
      <c r="K585" s="239">
        <v>57990</v>
      </c>
      <c r="L585" s="238" t="s">
        <v>616</v>
      </c>
      <c r="M585" s="237">
        <v>1</v>
      </c>
      <c r="N585" s="237"/>
      <c r="O585" s="238"/>
      <c r="P585" s="88" t="str">
        <f t="shared" si="10"/>
        <v>1</v>
      </c>
      <c r="Q585" s="88" t="str">
        <f>IFERROR(INDEX(Торг!$F:$F,MATCH($B585,Торг!$B:$B,0)),"Отсутствует")</f>
        <v>Y</v>
      </c>
      <c r="R585" s="36" t="str">
        <f>IFERROR(IF(AND(Q585="Отсутствует",VLOOKUP(A585,Торг!$A:$A,1,0)=A585),"Добавить","Есть"),"Новый")</f>
        <v>Есть</v>
      </c>
    </row>
    <row r="586" spans="1:18" ht="45" hidden="1">
      <c r="A586" s="238" t="s">
        <v>817</v>
      </c>
      <c r="B586" s="237">
        <v>341655</v>
      </c>
      <c r="C586" s="237">
        <v>341655</v>
      </c>
      <c r="D586" s="238" t="s">
        <v>1378</v>
      </c>
      <c r="E586" s="238" t="s">
        <v>741</v>
      </c>
      <c r="F586" s="238"/>
      <c r="G586" s="238"/>
      <c r="H586" s="238" t="s">
        <v>125</v>
      </c>
      <c r="I586" s="238" t="s">
        <v>250</v>
      </c>
      <c r="J586" s="239">
        <v>47700</v>
      </c>
      <c r="K586" s="239">
        <v>58990</v>
      </c>
      <c r="L586" s="238" t="s">
        <v>616</v>
      </c>
      <c r="M586" s="237">
        <v>1</v>
      </c>
      <c r="N586" s="237"/>
      <c r="O586" s="238"/>
      <c r="P586" s="88" t="str">
        <f t="shared" si="10"/>
        <v>1</v>
      </c>
      <c r="Q586" s="88" t="str">
        <f>IFERROR(INDEX(Торг!$F:$F,MATCH($B586,Торг!$B:$B,0)),"Отсутствует")</f>
        <v>Y</v>
      </c>
      <c r="R586" s="36" t="str">
        <f>IFERROR(IF(AND(Q586="Отсутствует",VLOOKUP(A586,Торг!$A:$A,1,0)=A586),"Добавить","Есть"),"Новый")</f>
        <v>Есть</v>
      </c>
    </row>
    <row r="587" spans="1:18" ht="60" hidden="1">
      <c r="A587" s="238" t="s">
        <v>817</v>
      </c>
      <c r="B587" s="237">
        <v>132707</v>
      </c>
      <c r="C587" s="237">
        <v>166998</v>
      </c>
      <c r="D587" s="238" t="s">
        <v>1379</v>
      </c>
      <c r="E587" s="238" t="s">
        <v>741</v>
      </c>
      <c r="F587" s="238"/>
      <c r="G587" s="238"/>
      <c r="H587" s="238" t="s">
        <v>125</v>
      </c>
      <c r="I587" s="238" t="s">
        <v>250</v>
      </c>
      <c r="J587" s="239">
        <v>46870</v>
      </c>
      <c r="K587" s="239">
        <v>57990</v>
      </c>
      <c r="L587" s="238" t="s">
        <v>616</v>
      </c>
      <c r="M587" s="237">
        <v>1</v>
      </c>
      <c r="N587" s="237"/>
      <c r="O587" s="238"/>
      <c r="P587" s="88" t="str">
        <f t="shared" si="10"/>
        <v>1</v>
      </c>
      <c r="Q587" s="88" t="str">
        <f>IFERROR(INDEX(Торг!$F:$F,MATCH($B587,Торг!$B:$B,0)),"Отсутствует")</f>
        <v>Y</v>
      </c>
      <c r="R587" s="36" t="str">
        <f>IFERROR(IF(AND(Q587="Отсутствует",VLOOKUP(A587,Торг!$A:$A,1,0)=A587),"Добавить","Есть"),"Новый")</f>
        <v>Есть</v>
      </c>
    </row>
    <row r="588" spans="1:18" ht="45" hidden="1">
      <c r="A588" s="238" t="s">
        <v>817</v>
      </c>
      <c r="B588" s="237">
        <v>341656</v>
      </c>
      <c r="C588" s="237">
        <v>341656</v>
      </c>
      <c r="D588" s="238" t="s">
        <v>1380</v>
      </c>
      <c r="E588" s="238" t="s">
        <v>741</v>
      </c>
      <c r="F588" s="238"/>
      <c r="G588" s="238"/>
      <c r="H588" s="238" t="s">
        <v>125</v>
      </c>
      <c r="I588" s="238" t="s">
        <v>250</v>
      </c>
      <c r="J588" s="239">
        <v>47700</v>
      </c>
      <c r="K588" s="239">
        <v>58990</v>
      </c>
      <c r="L588" s="238" t="s">
        <v>616</v>
      </c>
      <c r="M588" s="237">
        <v>1</v>
      </c>
      <c r="N588" s="237"/>
      <c r="O588" s="238"/>
      <c r="P588" s="88" t="str">
        <f t="shared" si="10"/>
        <v>1</v>
      </c>
      <c r="Q588" s="88" t="str">
        <f>IFERROR(INDEX(Торг!$F:$F,MATCH($B588,Торг!$B:$B,0)),"Отсутствует")</f>
        <v>Y</v>
      </c>
      <c r="R588" s="36" t="str">
        <f>IFERROR(IF(AND(Q588="Отсутствует",VLOOKUP(A588,Торг!$A:$A,1,0)=A588),"Добавить","Есть"),"Новый")</f>
        <v>Есть</v>
      </c>
    </row>
    <row r="589" spans="1:18" ht="60" hidden="1">
      <c r="A589" s="238" t="s">
        <v>817</v>
      </c>
      <c r="B589" s="237">
        <v>132708</v>
      </c>
      <c r="C589" s="237">
        <v>166999</v>
      </c>
      <c r="D589" s="238" t="s">
        <v>1381</v>
      </c>
      <c r="E589" s="238" t="s">
        <v>741</v>
      </c>
      <c r="F589" s="238"/>
      <c r="G589" s="238"/>
      <c r="H589" s="238" t="s">
        <v>125</v>
      </c>
      <c r="I589" s="238" t="s">
        <v>250</v>
      </c>
      <c r="J589" s="239">
        <v>46870</v>
      </c>
      <c r="K589" s="239">
        <v>57990</v>
      </c>
      <c r="L589" s="238" t="s">
        <v>616</v>
      </c>
      <c r="M589" s="237">
        <v>1</v>
      </c>
      <c r="N589" s="237"/>
      <c r="O589" s="238"/>
      <c r="P589" s="88" t="str">
        <f t="shared" si="10"/>
        <v>1</v>
      </c>
      <c r="Q589" s="88" t="str">
        <f>IFERROR(INDEX(Торг!$F:$F,MATCH($B589,Торг!$B:$B,0)),"Отсутствует")</f>
        <v>Y</v>
      </c>
      <c r="R589" s="36" t="str">
        <f>IFERROR(IF(AND(Q589="Отсутствует",VLOOKUP(A589,Торг!$A:$A,1,0)=A589),"Добавить","Есть"),"Новый")</f>
        <v>Есть</v>
      </c>
    </row>
    <row r="590" spans="1:18" ht="60" hidden="1">
      <c r="A590" s="238" t="s">
        <v>817</v>
      </c>
      <c r="B590" s="237">
        <v>341659</v>
      </c>
      <c r="C590" s="237">
        <v>341659</v>
      </c>
      <c r="D590" s="238" t="s">
        <v>1382</v>
      </c>
      <c r="E590" s="238" t="s">
        <v>741</v>
      </c>
      <c r="F590" s="238"/>
      <c r="G590" s="238"/>
      <c r="H590" s="238" t="s">
        <v>125</v>
      </c>
      <c r="I590" s="238" t="s">
        <v>250</v>
      </c>
      <c r="J590" s="239">
        <v>47700</v>
      </c>
      <c r="K590" s="239">
        <v>58990</v>
      </c>
      <c r="L590" s="238" t="s">
        <v>616</v>
      </c>
      <c r="M590" s="237">
        <v>1</v>
      </c>
      <c r="N590" s="237"/>
      <c r="O590" s="238"/>
      <c r="P590" s="88" t="str">
        <f t="shared" si="10"/>
        <v>1</v>
      </c>
      <c r="Q590" s="88" t="str">
        <f>IFERROR(INDEX(Торг!$F:$F,MATCH($B590,Торг!$B:$B,0)),"Отсутствует")</f>
        <v>Y</v>
      </c>
      <c r="R590" s="36" t="str">
        <f>IFERROR(IF(AND(Q590="Отсутствует",VLOOKUP(A590,Торг!$A:$A,1,0)=A590),"Добавить","Есть"),"Новый")</f>
        <v>Есть</v>
      </c>
    </row>
    <row r="591" spans="1:18" ht="60" hidden="1">
      <c r="A591" s="238" t="s">
        <v>817</v>
      </c>
      <c r="B591" s="237">
        <v>132709</v>
      </c>
      <c r="C591" s="237">
        <v>166995</v>
      </c>
      <c r="D591" s="238" t="s">
        <v>1383</v>
      </c>
      <c r="E591" s="238" t="s">
        <v>741</v>
      </c>
      <c r="F591" s="238"/>
      <c r="G591" s="238"/>
      <c r="H591" s="238" t="s">
        <v>125</v>
      </c>
      <c r="I591" s="238" t="s">
        <v>250</v>
      </c>
      <c r="J591" s="239">
        <v>46870</v>
      </c>
      <c r="K591" s="239">
        <v>57990</v>
      </c>
      <c r="L591" s="238" t="s">
        <v>616</v>
      </c>
      <c r="M591" s="237">
        <v>1</v>
      </c>
      <c r="N591" s="237"/>
      <c r="O591" s="238"/>
      <c r="P591" s="88" t="str">
        <f t="shared" si="10"/>
        <v>1</v>
      </c>
      <c r="Q591" s="88" t="str">
        <f>IFERROR(INDEX(Торг!$F:$F,MATCH($B591,Торг!$B:$B,0)),"Отсутствует")</f>
        <v>Y</v>
      </c>
      <c r="R591" s="36" t="str">
        <f>IFERROR(IF(AND(Q591="Отсутствует",VLOOKUP(A591,Торг!$A:$A,1,0)=A591),"Добавить","Есть"),"Новый")</f>
        <v>Есть</v>
      </c>
    </row>
    <row r="592" spans="1:18" ht="60" hidden="1">
      <c r="A592" s="238" t="s">
        <v>817</v>
      </c>
      <c r="B592" s="237">
        <v>341657</v>
      </c>
      <c r="C592" s="237">
        <v>341657</v>
      </c>
      <c r="D592" s="238" t="s">
        <v>1384</v>
      </c>
      <c r="E592" s="238" t="s">
        <v>741</v>
      </c>
      <c r="F592" s="238"/>
      <c r="G592" s="238"/>
      <c r="H592" s="238" t="s">
        <v>125</v>
      </c>
      <c r="I592" s="238" t="s">
        <v>250</v>
      </c>
      <c r="J592" s="239">
        <v>47700</v>
      </c>
      <c r="K592" s="239">
        <v>58990</v>
      </c>
      <c r="L592" s="238" t="s">
        <v>616</v>
      </c>
      <c r="M592" s="237">
        <v>1</v>
      </c>
      <c r="N592" s="237"/>
      <c r="O592" s="238"/>
      <c r="P592" s="88" t="str">
        <f t="shared" si="10"/>
        <v>1</v>
      </c>
      <c r="Q592" s="88" t="str">
        <f>IFERROR(INDEX(Торг!$F:$F,MATCH($B592,Торг!$B:$B,0)),"Отсутствует")</f>
        <v>Y</v>
      </c>
      <c r="R592" s="36" t="str">
        <f>IFERROR(IF(AND(Q592="Отсутствует",VLOOKUP(A592,Торг!$A:$A,1,0)=A592),"Добавить","Есть"),"Новый")</f>
        <v>Есть</v>
      </c>
    </row>
    <row r="593" spans="1:18" ht="45" hidden="1">
      <c r="A593" s="238" t="s">
        <v>817</v>
      </c>
      <c r="B593" s="237">
        <v>132710</v>
      </c>
      <c r="C593" s="237">
        <v>166994</v>
      </c>
      <c r="D593" s="238" t="s">
        <v>1385</v>
      </c>
      <c r="E593" s="238" t="s">
        <v>741</v>
      </c>
      <c r="F593" s="238"/>
      <c r="G593" s="238"/>
      <c r="H593" s="238" t="s">
        <v>125</v>
      </c>
      <c r="I593" s="238" t="s">
        <v>250</v>
      </c>
      <c r="J593" s="239">
        <v>46870</v>
      </c>
      <c r="K593" s="239">
        <v>57990</v>
      </c>
      <c r="L593" s="238" t="s">
        <v>616</v>
      </c>
      <c r="M593" s="237">
        <v>1</v>
      </c>
      <c r="N593" s="237"/>
      <c r="O593" s="238"/>
      <c r="P593" s="88" t="str">
        <f t="shared" si="10"/>
        <v>1</v>
      </c>
      <c r="Q593" s="88" t="str">
        <f>IFERROR(INDEX(Торг!$F:$F,MATCH($B593,Торг!$B:$B,0)),"Отсутствует")</f>
        <v>Y</v>
      </c>
      <c r="R593" s="36" t="str">
        <f>IFERROR(IF(AND(Q593="Отсутствует",VLOOKUP(A593,Торг!$A:$A,1,0)=A593),"Добавить","Есть"),"Новый")</f>
        <v>Есть</v>
      </c>
    </row>
    <row r="594" spans="1:18" ht="45" hidden="1">
      <c r="A594" s="238" t="s">
        <v>817</v>
      </c>
      <c r="B594" s="237">
        <v>341658</v>
      </c>
      <c r="C594" s="237">
        <v>341658</v>
      </c>
      <c r="D594" s="238" t="s">
        <v>1386</v>
      </c>
      <c r="E594" s="238" t="s">
        <v>741</v>
      </c>
      <c r="F594" s="238"/>
      <c r="G594" s="238"/>
      <c r="H594" s="238" t="s">
        <v>125</v>
      </c>
      <c r="I594" s="238" t="s">
        <v>250</v>
      </c>
      <c r="J594" s="239">
        <v>47700</v>
      </c>
      <c r="K594" s="239">
        <v>58990</v>
      </c>
      <c r="L594" s="238" t="s">
        <v>616</v>
      </c>
      <c r="M594" s="237">
        <v>1</v>
      </c>
      <c r="N594" s="237"/>
      <c r="O594" s="238"/>
      <c r="P594" s="88" t="str">
        <f t="shared" si="10"/>
        <v>1</v>
      </c>
      <c r="Q594" s="88" t="str">
        <f>IFERROR(INDEX(Торг!$F:$F,MATCH($B594,Торг!$B:$B,0)),"Отсутствует")</f>
        <v>Y</v>
      </c>
      <c r="R594" s="36" t="str">
        <f>IFERROR(IF(AND(Q594="Отсутствует",VLOOKUP(A594,Торг!$A:$A,1,0)=A594),"Добавить","Есть"),"Новый")</f>
        <v>Есть</v>
      </c>
    </row>
    <row r="595" spans="1:18" ht="60" hidden="1">
      <c r="A595" s="238" t="s">
        <v>817</v>
      </c>
      <c r="B595" s="237">
        <v>132711</v>
      </c>
      <c r="C595" s="237">
        <v>166992</v>
      </c>
      <c r="D595" s="238" t="s">
        <v>1387</v>
      </c>
      <c r="E595" s="238" t="s">
        <v>741</v>
      </c>
      <c r="F595" s="238"/>
      <c r="G595" s="238"/>
      <c r="H595" s="238" t="s">
        <v>125</v>
      </c>
      <c r="I595" s="238" t="s">
        <v>250</v>
      </c>
      <c r="J595" s="239">
        <v>46870</v>
      </c>
      <c r="K595" s="239">
        <v>57990</v>
      </c>
      <c r="L595" s="238" t="s">
        <v>616</v>
      </c>
      <c r="M595" s="237">
        <v>1</v>
      </c>
      <c r="N595" s="237"/>
      <c r="O595" s="238"/>
      <c r="P595" s="88" t="str">
        <f t="shared" si="10"/>
        <v>1</v>
      </c>
      <c r="Q595" s="88" t="str">
        <f>IFERROR(INDEX(Торг!$F:$F,MATCH($B595,Торг!$B:$B,0)),"Отсутствует")</f>
        <v>Y</v>
      </c>
      <c r="R595" s="36" t="str">
        <f>IFERROR(IF(AND(Q595="Отсутствует",VLOOKUP(A595,Торг!$A:$A,1,0)=A595),"Добавить","Есть"),"Новый")</f>
        <v>Есть</v>
      </c>
    </row>
    <row r="596" spans="1:18" ht="45" hidden="1">
      <c r="A596" s="238" t="s">
        <v>817</v>
      </c>
      <c r="B596" s="237">
        <v>341660</v>
      </c>
      <c r="C596" s="237">
        <v>341660</v>
      </c>
      <c r="D596" s="238" t="s">
        <v>1388</v>
      </c>
      <c r="E596" s="238" t="s">
        <v>741</v>
      </c>
      <c r="F596" s="238"/>
      <c r="G596" s="238"/>
      <c r="H596" s="238" t="s">
        <v>125</v>
      </c>
      <c r="I596" s="238" t="s">
        <v>250</v>
      </c>
      <c r="J596" s="239">
        <v>47700</v>
      </c>
      <c r="K596" s="239">
        <v>58990</v>
      </c>
      <c r="L596" s="238" t="s">
        <v>616</v>
      </c>
      <c r="M596" s="237">
        <v>1</v>
      </c>
      <c r="N596" s="237"/>
      <c r="O596" s="238"/>
      <c r="P596" s="88" t="str">
        <f t="shared" si="10"/>
        <v>1</v>
      </c>
      <c r="Q596" s="88" t="str">
        <f>IFERROR(INDEX(Торг!$F:$F,MATCH($B596,Торг!$B:$B,0)),"Отсутствует")</f>
        <v>Y</v>
      </c>
      <c r="R596" s="36" t="str">
        <f>IFERROR(IF(AND(Q596="Отсутствует",VLOOKUP(A596,Торг!$A:$A,1,0)=A596),"Добавить","Есть"),"Новый")</f>
        <v>Есть</v>
      </c>
    </row>
    <row r="597" spans="1:18" ht="60" hidden="1">
      <c r="A597" s="238" t="s">
        <v>817</v>
      </c>
      <c r="B597" s="237">
        <v>132712</v>
      </c>
      <c r="C597" s="237">
        <v>166991</v>
      </c>
      <c r="D597" s="238" t="s">
        <v>1389</v>
      </c>
      <c r="E597" s="238" t="s">
        <v>741</v>
      </c>
      <c r="F597" s="238"/>
      <c r="G597" s="238"/>
      <c r="H597" s="238" t="s">
        <v>125</v>
      </c>
      <c r="I597" s="238" t="s">
        <v>250</v>
      </c>
      <c r="J597" s="239">
        <v>46870</v>
      </c>
      <c r="K597" s="239">
        <v>57990</v>
      </c>
      <c r="L597" s="238" t="s">
        <v>616</v>
      </c>
      <c r="M597" s="237">
        <v>1</v>
      </c>
      <c r="N597" s="237"/>
      <c r="O597" s="238"/>
      <c r="P597" s="88" t="str">
        <f t="shared" si="10"/>
        <v>1</v>
      </c>
      <c r="Q597" s="88" t="str">
        <f>IFERROR(INDEX(Торг!$F:$F,MATCH($B597,Торг!$B:$B,0)),"Отсутствует")</f>
        <v>Y</v>
      </c>
      <c r="R597" s="36" t="str">
        <f>IFERROR(IF(AND(Q597="Отсутствует",VLOOKUP(A597,Торг!$A:$A,1,0)=A597),"Добавить","Есть"),"Новый")</f>
        <v>Есть</v>
      </c>
    </row>
    <row r="598" spans="1:18" ht="45" hidden="1">
      <c r="A598" s="238" t="s">
        <v>817</v>
      </c>
      <c r="B598" s="237">
        <v>341652</v>
      </c>
      <c r="C598" s="237">
        <v>341652</v>
      </c>
      <c r="D598" s="238" t="s">
        <v>1390</v>
      </c>
      <c r="E598" s="238" t="s">
        <v>741</v>
      </c>
      <c r="F598" s="238"/>
      <c r="G598" s="238"/>
      <c r="H598" s="238" t="s">
        <v>125</v>
      </c>
      <c r="I598" s="238" t="s">
        <v>250</v>
      </c>
      <c r="J598" s="239">
        <v>47700</v>
      </c>
      <c r="K598" s="239">
        <v>58990</v>
      </c>
      <c r="L598" s="238" t="s">
        <v>616</v>
      </c>
      <c r="M598" s="237">
        <v>1</v>
      </c>
      <c r="N598" s="237"/>
      <c r="O598" s="238"/>
      <c r="P598" s="88" t="str">
        <f t="shared" si="10"/>
        <v>1</v>
      </c>
      <c r="Q598" s="88" t="str">
        <f>IFERROR(INDEX(Торг!$F:$F,MATCH($B598,Торг!$B:$B,0)),"Отсутствует")</f>
        <v>Y</v>
      </c>
      <c r="R598" s="36" t="str">
        <f>IFERROR(IF(AND(Q598="Отсутствует",VLOOKUP(A598,Торг!$A:$A,1,0)=A598),"Добавить","Есть"),"Новый")</f>
        <v>Есть</v>
      </c>
    </row>
    <row r="599" spans="1:18" ht="45" hidden="1">
      <c r="A599" s="238" t="s">
        <v>817</v>
      </c>
      <c r="B599" s="237">
        <v>132713</v>
      </c>
      <c r="C599" s="237">
        <v>166990</v>
      </c>
      <c r="D599" s="238" t="s">
        <v>1391</v>
      </c>
      <c r="E599" s="238" t="s">
        <v>741</v>
      </c>
      <c r="F599" s="238"/>
      <c r="G599" s="238"/>
      <c r="H599" s="238" t="s">
        <v>125</v>
      </c>
      <c r="I599" s="238" t="s">
        <v>250</v>
      </c>
      <c r="J599" s="239">
        <v>46000</v>
      </c>
      <c r="K599" s="239">
        <v>56890</v>
      </c>
      <c r="L599" s="238" t="s">
        <v>616</v>
      </c>
      <c r="M599" s="237">
        <v>1</v>
      </c>
      <c r="N599" s="237"/>
      <c r="O599" s="238"/>
      <c r="P599" s="88" t="str">
        <f t="shared" si="10"/>
        <v>1</v>
      </c>
      <c r="Q599" s="88" t="str">
        <f>IFERROR(INDEX(Торг!$F:$F,MATCH($B599,Торг!$B:$B,0)),"Отсутствует")</f>
        <v>Y</v>
      </c>
      <c r="R599" s="36" t="str">
        <f>IFERROR(IF(AND(Q599="Отсутствует",VLOOKUP(A599,Торг!$A:$A,1,0)=A599),"Добавить","Есть"),"Новый")</f>
        <v>Есть</v>
      </c>
    </row>
    <row r="600" spans="1:18" ht="45" hidden="1">
      <c r="A600" s="238" t="s">
        <v>817</v>
      </c>
      <c r="B600" s="237">
        <v>341651</v>
      </c>
      <c r="C600" s="237">
        <v>341651</v>
      </c>
      <c r="D600" s="238" t="s">
        <v>1392</v>
      </c>
      <c r="E600" s="238" t="s">
        <v>741</v>
      </c>
      <c r="F600" s="238"/>
      <c r="G600" s="238"/>
      <c r="H600" s="238" t="s">
        <v>125</v>
      </c>
      <c r="I600" s="238" t="s">
        <v>250</v>
      </c>
      <c r="J600" s="239">
        <v>46830</v>
      </c>
      <c r="K600" s="239">
        <v>57990</v>
      </c>
      <c r="L600" s="238" t="s">
        <v>616</v>
      </c>
      <c r="M600" s="237">
        <v>1</v>
      </c>
      <c r="N600" s="237"/>
      <c r="O600" s="238"/>
      <c r="P600" s="88" t="str">
        <f t="shared" si="10"/>
        <v>1</v>
      </c>
      <c r="Q600" s="88" t="str">
        <f>IFERROR(INDEX(Торг!$F:$F,MATCH($B600,Торг!$B:$B,0)),"Отсутствует")</f>
        <v>Y</v>
      </c>
      <c r="R600" s="36" t="str">
        <f>IFERROR(IF(AND(Q600="Отсутствует",VLOOKUP(A600,Торг!$A:$A,1,0)=A600),"Добавить","Есть"),"Новый")</f>
        <v>Есть</v>
      </c>
    </row>
    <row r="601" spans="1:18" ht="45" hidden="1">
      <c r="A601" s="238" t="s">
        <v>1393</v>
      </c>
      <c r="B601" s="237">
        <v>323224</v>
      </c>
      <c r="C601" s="237">
        <v>323224</v>
      </c>
      <c r="D601" s="238" t="s">
        <v>1394</v>
      </c>
      <c r="E601" s="238" t="s">
        <v>741</v>
      </c>
      <c r="F601" s="238"/>
      <c r="G601" s="238"/>
      <c r="H601" s="238" t="s">
        <v>148</v>
      </c>
      <c r="I601" s="238" t="s">
        <v>250</v>
      </c>
      <c r="J601" s="239">
        <v>40470</v>
      </c>
      <c r="K601" s="239">
        <v>50090</v>
      </c>
      <c r="L601" s="238" t="s">
        <v>615</v>
      </c>
      <c r="M601" s="237">
        <v>1</v>
      </c>
      <c r="N601" s="237"/>
      <c r="O601" s="238"/>
      <c r="P601" s="88" t="str">
        <f t="shared" si="10"/>
        <v>1</v>
      </c>
      <c r="Q601" s="88" t="str">
        <f>IFERROR(INDEX(Торг!$F:$F,MATCH($B601,Торг!$B:$B,0)),"Отсутствует")</f>
        <v>Y</v>
      </c>
      <c r="R601" s="36" t="str">
        <f>IFERROR(IF(AND(Q601="Отсутствует",VLOOKUP(A601,Торг!$A:$A,1,0)=A601),"Добавить","Есть"),"Новый")</f>
        <v>Есть</v>
      </c>
    </row>
    <row r="602" spans="1:18" ht="45" hidden="1">
      <c r="A602" s="238" t="s">
        <v>1393</v>
      </c>
      <c r="B602" s="237">
        <v>341663</v>
      </c>
      <c r="C602" s="237">
        <v>341663</v>
      </c>
      <c r="D602" s="238" t="s">
        <v>1395</v>
      </c>
      <c r="E602" s="238" t="s">
        <v>741</v>
      </c>
      <c r="F602" s="238"/>
      <c r="G602" s="238"/>
      <c r="H602" s="238" t="s">
        <v>148</v>
      </c>
      <c r="I602" s="238" t="s">
        <v>250</v>
      </c>
      <c r="J602" s="239">
        <v>41300</v>
      </c>
      <c r="K602" s="239">
        <v>51090</v>
      </c>
      <c r="L602" s="238" t="s">
        <v>615</v>
      </c>
      <c r="M602" s="237">
        <v>1</v>
      </c>
      <c r="N602" s="237"/>
      <c r="O602" s="238"/>
      <c r="P602" s="88" t="str">
        <f t="shared" si="10"/>
        <v>1</v>
      </c>
      <c r="Q602" s="88" t="str">
        <f>IFERROR(INDEX(Торг!$F:$F,MATCH($B602,Торг!$B:$B,0)),"Отсутствует")</f>
        <v>Y</v>
      </c>
      <c r="R602" s="36" t="str">
        <f>IFERROR(IF(AND(Q602="Отсутствует",VLOOKUP(A602,Торг!$A:$A,1,0)=A602),"Добавить","Есть"),"Новый")</f>
        <v>Есть</v>
      </c>
    </row>
    <row r="603" spans="1:18" ht="45" hidden="1">
      <c r="A603" s="238" t="s">
        <v>1393</v>
      </c>
      <c r="B603" s="237">
        <v>323235</v>
      </c>
      <c r="C603" s="237">
        <v>323235</v>
      </c>
      <c r="D603" s="238" t="s">
        <v>1396</v>
      </c>
      <c r="E603" s="238" t="s">
        <v>741</v>
      </c>
      <c r="F603" s="238"/>
      <c r="G603" s="238"/>
      <c r="H603" s="238" t="s">
        <v>148</v>
      </c>
      <c r="I603" s="238" t="s">
        <v>250</v>
      </c>
      <c r="J603" s="239">
        <v>40470</v>
      </c>
      <c r="K603" s="239">
        <v>50090</v>
      </c>
      <c r="L603" s="238" t="s">
        <v>615</v>
      </c>
      <c r="M603" s="237">
        <v>1</v>
      </c>
      <c r="N603" s="237"/>
      <c r="O603" s="238"/>
      <c r="P603" s="88" t="str">
        <f t="shared" si="10"/>
        <v>1</v>
      </c>
      <c r="Q603" s="88" t="str">
        <f>IFERROR(INDEX(Торг!$F:$F,MATCH($B603,Торг!$B:$B,0)),"Отсутствует")</f>
        <v>Y</v>
      </c>
      <c r="R603" s="36" t="str">
        <f>IFERROR(IF(AND(Q603="Отсутствует",VLOOKUP(A603,Торг!$A:$A,1,0)=A603),"Добавить","Есть"),"Новый")</f>
        <v>Есть</v>
      </c>
    </row>
    <row r="604" spans="1:18" ht="45" hidden="1">
      <c r="A604" s="238" t="s">
        <v>1393</v>
      </c>
      <c r="B604" s="237">
        <v>341675</v>
      </c>
      <c r="C604" s="237">
        <v>341675</v>
      </c>
      <c r="D604" s="238" t="s">
        <v>1397</v>
      </c>
      <c r="E604" s="238" t="s">
        <v>741</v>
      </c>
      <c r="F604" s="238"/>
      <c r="G604" s="238"/>
      <c r="H604" s="238" t="s">
        <v>148</v>
      </c>
      <c r="I604" s="238" t="s">
        <v>250</v>
      </c>
      <c r="J604" s="239">
        <v>41300</v>
      </c>
      <c r="K604" s="239">
        <v>51090</v>
      </c>
      <c r="L604" s="238" t="s">
        <v>615</v>
      </c>
      <c r="M604" s="237">
        <v>1</v>
      </c>
      <c r="N604" s="237"/>
      <c r="O604" s="238"/>
      <c r="P604" s="88" t="str">
        <f t="shared" si="10"/>
        <v>1</v>
      </c>
      <c r="Q604" s="88" t="str">
        <f>IFERROR(INDEX(Торг!$F:$F,MATCH($B604,Торг!$B:$B,0)),"Отсутствует")</f>
        <v>Y</v>
      </c>
      <c r="R604" s="36" t="str">
        <f>IFERROR(IF(AND(Q604="Отсутствует",VLOOKUP(A604,Торг!$A:$A,1,0)=A604),"Добавить","Есть"),"Новый")</f>
        <v>Есть</v>
      </c>
    </row>
    <row r="605" spans="1:18" ht="45" hidden="1">
      <c r="A605" s="238" t="s">
        <v>1393</v>
      </c>
      <c r="B605" s="237">
        <v>323234</v>
      </c>
      <c r="C605" s="237">
        <v>323234</v>
      </c>
      <c r="D605" s="238" t="s">
        <v>1398</v>
      </c>
      <c r="E605" s="238" t="s">
        <v>741</v>
      </c>
      <c r="F605" s="238"/>
      <c r="G605" s="238"/>
      <c r="H605" s="238" t="s">
        <v>148</v>
      </c>
      <c r="I605" s="238" t="s">
        <v>250</v>
      </c>
      <c r="J605" s="239">
        <v>40470</v>
      </c>
      <c r="K605" s="239">
        <v>50090</v>
      </c>
      <c r="L605" s="238" t="s">
        <v>615</v>
      </c>
      <c r="M605" s="237">
        <v>1</v>
      </c>
      <c r="N605" s="237"/>
      <c r="O605" s="238"/>
      <c r="P605" s="88" t="str">
        <f t="shared" si="10"/>
        <v>1</v>
      </c>
      <c r="Q605" s="88" t="str">
        <f>IFERROR(INDEX(Торг!$F:$F,MATCH($B605,Торг!$B:$B,0)),"Отсутствует")</f>
        <v>Y</v>
      </c>
      <c r="R605" s="36" t="str">
        <f>IFERROR(IF(AND(Q605="Отсутствует",VLOOKUP(A605,Торг!$A:$A,1,0)=A605),"Добавить","Есть"),"Новый")</f>
        <v>Есть</v>
      </c>
    </row>
    <row r="606" spans="1:18" ht="45" hidden="1">
      <c r="A606" s="238" t="s">
        <v>1393</v>
      </c>
      <c r="B606" s="237">
        <v>341674</v>
      </c>
      <c r="C606" s="237">
        <v>341674</v>
      </c>
      <c r="D606" s="238" t="s">
        <v>1399</v>
      </c>
      <c r="E606" s="238" t="s">
        <v>741</v>
      </c>
      <c r="F606" s="238"/>
      <c r="G606" s="238"/>
      <c r="H606" s="238" t="s">
        <v>148</v>
      </c>
      <c r="I606" s="238" t="s">
        <v>250</v>
      </c>
      <c r="J606" s="239">
        <v>41300</v>
      </c>
      <c r="K606" s="239">
        <v>51090</v>
      </c>
      <c r="L606" s="238" t="s">
        <v>615</v>
      </c>
      <c r="M606" s="237">
        <v>1</v>
      </c>
      <c r="N606" s="237"/>
      <c r="O606" s="238"/>
      <c r="P606" s="88" t="str">
        <f t="shared" si="10"/>
        <v>1</v>
      </c>
      <c r="Q606" s="88" t="str">
        <f>IFERROR(INDEX(Торг!$F:$F,MATCH($B606,Торг!$B:$B,0)),"Отсутствует")</f>
        <v>Y</v>
      </c>
      <c r="R606" s="36" t="str">
        <f>IFERROR(IF(AND(Q606="Отсутствует",VLOOKUP(A606,Торг!$A:$A,1,0)=A606),"Добавить","Есть"),"Новый")</f>
        <v>Есть</v>
      </c>
    </row>
    <row r="607" spans="1:18" ht="45" hidden="1">
      <c r="A607" s="238" t="s">
        <v>1393</v>
      </c>
      <c r="B607" s="237">
        <v>323226</v>
      </c>
      <c r="C607" s="237">
        <v>323226</v>
      </c>
      <c r="D607" s="238" t="s">
        <v>1400</v>
      </c>
      <c r="E607" s="238" t="s">
        <v>741</v>
      </c>
      <c r="F607" s="238"/>
      <c r="G607" s="238"/>
      <c r="H607" s="238" t="s">
        <v>148</v>
      </c>
      <c r="I607" s="238" t="s">
        <v>250</v>
      </c>
      <c r="J607" s="239">
        <v>40470</v>
      </c>
      <c r="K607" s="239">
        <v>50090</v>
      </c>
      <c r="L607" s="238" t="s">
        <v>615</v>
      </c>
      <c r="M607" s="237">
        <v>1</v>
      </c>
      <c r="N607" s="237"/>
      <c r="O607" s="238"/>
      <c r="P607" s="88" t="str">
        <f t="shared" si="10"/>
        <v>1</v>
      </c>
      <c r="Q607" s="88" t="str">
        <f>IFERROR(INDEX(Торг!$F:$F,MATCH($B607,Торг!$B:$B,0)),"Отсутствует")</f>
        <v>Y</v>
      </c>
      <c r="R607" s="36" t="str">
        <f>IFERROR(IF(AND(Q607="Отсутствует",VLOOKUP(A607,Торг!$A:$A,1,0)=A607),"Добавить","Есть"),"Новый")</f>
        <v>Есть</v>
      </c>
    </row>
    <row r="608" spans="1:18" ht="45" hidden="1">
      <c r="A608" s="238" t="s">
        <v>1393</v>
      </c>
      <c r="B608" s="237">
        <v>341666</v>
      </c>
      <c r="C608" s="237">
        <v>341666</v>
      </c>
      <c r="D608" s="238" t="s">
        <v>1401</v>
      </c>
      <c r="E608" s="238" t="s">
        <v>741</v>
      </c>
      <c r="F608" s="238"/>
      <c r="G608" s="238"/>
      <c r="H608" s="238" t="s">
        <v>148</v>
      </c>
      <c r="I608" s="238" t="s">
        <v>250</v>
      </c>
      <c r="J608" s="239">
        <v>41300</v>
      </c>
      <c r="K608" s="239">
        <v>51090</v>
      </c>
      <c r="L608" s="238" t="s">
        <v>615</v>
      </c>
      <c r="M608" s="237">
        <v>1</v>
      </c>
      <c r="N608" s="237"/>
      <c r="O608" s="238"/>
      <c r="P608" s="88" t="str">
        <f t="shared" si="10"/>
        <v>1</v>
      </c>
      <c r="Q608" s="88" t="str">
        <f>IFERROR(INDEX(Торг!$F:$F,MATCH($B608,Торг!$B:$B,0)),"Отсутствует")</f>
        <v>Y</v>
      </c>
      <c r="R608" s="36" t="str">
        <f>IFERROR(IF(AND(Q608="Отсутствует",VLOOKUP(A608,Торг!$A:$A,1,0)=A608),"Добавить","Есть"),"Новый")</f>
        <v>Есть</v>
      </c>
    </row>
    <row r="609" spans="1:18" ht="45" hidden="1">
      <c r="A609" s="238" t="s">
        <v>1393</v>
      </c>
      <c r="B609" s="237">
        <v>323227</v>
      </c>
      <c r="C609" s="237">
        <v>323227</v>
      </c>
      <c r="D609" s="238" t="s">
        <v>1402</v>
      </c>
      <c r="E609" s="238" t="s">
        <v>741</v>
      </c>
      <c r="F609" s="238"/>
      <c r="G609" s="238"/>
      <c r="H609" s="238" t="s">
        <v>148</v>
      </c>
      <c r="I609" s="238" t="s">
        <v>250</v>
      </c>
      <c r="J609" s="239">
        <v>40470</v>
      </c>
      <c r="K609" s="239">
        <v>50090</v>
      </c>
      <c r="L609" s="238" t="s">
        <v>615</v>
      </c>
      <c r="M609" s="237">
        <v>1</v>
      </c>
      <c r="N609" s="237"/>
      <c r="O609" s="238"/>
      <c r="P609" s="88" t="str">
        <f t="shared" si="10"/>
        <v>1</v>
      </c>
      <c r="Q609" s="88" t="str">
        <f>IFERROR(INDEX(Торг!$F:$F,MATCH($B609,Торг!$B:$B,0)),"Отсутствует")</f>
        <v>Y</v>
      </c>
      <c r="R609" s="36" t="str">
        <f>IFERROR(IF(AND(Q609="Отсутствует",VLOOKUP(A609,Торг!$A:$A,1,0)=A609),"Добавить","Есть"),"Новый")</f>
        <v>Есть</v>
      </c>
    </row>
    <row r="610" spans="1:18" ht="45" hidden="1">
      <c r="A610" s="238" t="s">
        <v>1393</v>
      </c>
      <c r="B610" s="237">
        <v>341667</v>
      </c>
      <c r="C610" s="237">
        <v>341667</v>
      </c>
      <c r="D610" s="238" t="s">
        <v>1403</v>
      </c>
      <c r="E610" s="238" t="s">
        <v>741</v>
      </c>
      <c r="F610" s="238"/>
      <c r="G610" s="238"/>
      <c r="H610" s="238" t="s">
        <v>148</v>
      </c>
      <c r="I610" s="238" t="s">
        <v>250</v>
      </c>
      <c r="J610" s="239">
        <v>41300</v>
      </c>
      <c r="K610" s="239">
        <v>51090</v>
      </c>
      <c r="L610" s="238" t="s">
        <v>615</v>
      </c>
      <c r="M610" s="237">
        <v>1</v>
      </c>
      <c r="N610" s="237"/>
      <c r="O610" s="238"/>
      <c r="P610" s="88" t="str">
        <f t="shared" si="10"/>
        <v>1</v>
      </c>
      <c r="Q610" s="88" t="str">
        <f>IFERROR(INDEX(Торг!$F:$F,MATCH($B610,Торг!$B:$B,0)),"Отсутствует")</f>
        <v>Y</v>
      </c>
      <c r="R610" s="36" t="str">
        <f>IFERROR(IF(AND(Q610="Отсутствует",VLOOKUP(A610,Торг!$A:$A,1,0)=A610),"Добавить","Есть"),"Новый")</f>
        <v>Есть</v>
      </c>
    </row>
    <row r="611" spans="1:18" ht="45" hidden="1">
      <c r="A611" s="238" t="s">
        <v>1393</v>
      </c>
      <c r="B611" s="237">
        <v>323228</v>
      </c>
      <c r="C611" s="237">
        <v>323228</v>
      </c>
      <c r="D611" s="238" t="s">
        <v>1404</v>
      </c>
      <c r="E611" s="238" t="s">
        <v>741</v>
      </c>
      <c r="F611" s="238"/>
      <c r="G611" s="238"/>
      <c r="H611" s="238" t="s">
        <v>148</v>
      </c>
      <c r="I611" s="238" t="s">
        <v>250</v>
      </c>
      <c r="J611" s="239">
        <v>40470</v>
      </c>
      <c r="K611" s="239">
        <v>50090</v>
      </c>
      <c r="L611" s="238" t="s">
        <v>615</v>
      </c>
      <c r="M611" s="237">
        <v>1</v>
      </c>
      <c r="N611" s="237"/>
      <c r="O611" s="238"/>
      <c r="P611" s="88" t="str">
        <f t="shared" si="10"/>
        <v>1</v>
      </c>
      <c r="Q611" s="88" t="str">
        <f>IFERROR(INDEX(Торг!$F:$F,MATCH($B611,Торг!$B:$B,0)),"Отсутствует")</f>
        <v>Y</v>
      </c>
      <c r="R611" s="36" t="str">
        <f>IFERROR(IF(AND(Q611="Отсутствует",VLOOKUP(A611,Торг!$A:$A,1,0)=A611),"Добавить","Есть"),"Новый")</f>
        <v>Есть</v>
      </c>
    </row>
    <row r="612" spans="1:18" ht="45" hidden="1">
      <c r="A612" s="238" t="s">
        <v>1393</v>
      </c>
      <c r="B612" s="237">
        <v>341668</v>
      </c>
      <c r="C612" s="237">
        <v>341668</v>
      </c>
      <c r="D612" s="238" t="s">
        <v>1405</v>
      </c>
      <c r="E612" s="238" t="s">
        <v>741</v>
      </c>
      <c r="F612" s="238"/>
      <c r="G612" s="238"/>
      <c r="H612" s="238" t="s">
        <v>148</v>
      </c>
      <c r="I612" s="238" t="s">
        <v>250</v>
      </c>
      <c r="J612" s="239">
        <v>41300</v>
      </c>
      <c r="K612" s="239">
        <v>51090</v>
      </c>
      <c r="L612" s="238" t="s">
        <v>615</v>
      </c>
      <c r="M612" s="237">
        <v>1</v>
      </c>
      <c r="N612" s="237"/>
      <c r="O612" s="238"/>
      <c r="P612" s="88" t="str">
        <f t="shared" si="10"/>
        <v>1</v>
      </c>
      <c r="Q612" s="88" t="str">
        <f>IFERROR(INDEX(Торг!$F:$F,MATCH($B612,Торг!$B:$B,0)),"Отсутствует")</f>
        <v>Y</v>
      </c>
      <c r="R612" s="36" t="str">
        <f>IFERROR(IF(AND(Q612="Отсутствует",VLOOKUP(A612,Торг!$A:$A,1,0)=A612),"Добавить","Есть"),"Новый")</f>
        <v>Есть</v>
      </c>
    </row>
    <row r="613" spans="1:18" ht="45" hidden="1">
      <c r="A613" s="238" t="s">
        <v>1393</v>
      </c>
      <c r="B613" s="237">
        <v>323229</v>
      </c>
      <c r="C613" s="237">
        <v>323229</v>
      </c>
      <c r="D613" s="238" t="s">
        <v>1406</v>
      </c>
      <c r="E613" s="238" t="s">
        <v>741</v>
      </c>
      <c r="F613" s="238"/>
      <c r="G613" s="238"/>
      <c r="H613" s="238" t="s">
        <v>148</v>
      </c>
      <c r="I613" s="238" t="s">
        <v>250</v>
      </c>
      <c r="J613" s="239">
        <v>40470</v>
      </c>
      <c r="K613" s="239">
        <v>50090</v>
      </c>
      <c r="L613" s="238" t="s">
        <v>615</v>
      </c>
      <c r="M613" s="237">
        <v>1</v>
      </c>
      <c r="N613" s="237"/>
      <c r="O613" s="238"/>
      <c r="P613" s="88" t="str">
        <f t="shared" si="10"/>
        <v>1</v>
      </c>
      <c r="Q613" s="88" t="str">
        <f>IFERROR(INDEX(Торг!$F:$F,MATCH($B613,Торг!$B:$B,0)),"Отсутствует")</f>
        <v>Y</v>
      </c>
      <c r="R613" s="36" t="str">
        <f>IFERROR(IF(AND(Q613="Отсутствует",VLOOKUP(A613,Торг!$A:$A,1,0)=A613),"Добавить","Есть"),"Новый")</f>
        <v>Есть</v>
      </c>
    </row>
    <row r="614" spans="1:18" ht="45" hidden="1">
      <c r="A614" s="238" t="s">
        <v>1393</v>
      </c>
      <c r="B614" s="237">
        <v>341669</v>
      </c>
      <c r="C614" s="237">
        <v>341669</v>
      </c>
      <c r="D614" s="238" t="s">
        <v>1407</v>
      </c>
      <c r="E614" s="238" t="s">
        <v>741</v>
      </c>
      <c r="F614" s="238"/>
      <c r="G614" s="238"/>
      <c r="H614" s="238" t="s">
        <v>148</v>
      </c>
      <c r="I614" s="238" t="s">
        <v>250</v>
      </c>
      <c r="J614" s="239">
        <v>41300</v>
      </c>
      <c r="K614" s="239">
        <v>51090</v>
      </c>
      <c r="L614" s="238" t="s">
        <v>615</v>
      </c>
      <c r="M614" s="237">
        <v>1</v>
      </c>
      <c r="N614" s="237"/>
      <c r="O614" s="238"/>
      <c r="P614" s="88" t="str">
        <f t="shared" ref="P614:P677" si="11">_xlfn.CONCAT(M614,IF(N614&lt;&gt;"",_xlfn.CONCAT("ск",N614),""))</f>
        <v>1</v>
      </c>
      <c r="Q614" s="88" t="str">
        <f>IFERROR(INDEX(Торг!$F:$F,MATCH($B614,Торг!$B:$B,0)),"Отсутствует")</f>
        <v>Y</v>
      </c>
      <c r="R614" s="36" t="str">
        <f>IFERROR(IF(AND(Q614="Отсутствует",VLOOKUP(A614,Торг!$A:$A,1,0)=A614),"Добавить","Есть"),"Новый")</f>
        <v>Есть</v>
      </c>
    </row>
    <row r="615" spans="1:18" ht="45" hidden="1">
      <c r="A615" s="238" t="s">
        <v>1393</v>
      </c>
      <c r="B615" s="237">
        <v>323232</v>
      </c>
      <c r="C615" s="237">
        <v>323232</v>
      </c>
      <c r="D615" s="238" t="s">
        <v>1408</v>
      </c>
      <c r="E615" s="238" t="s">
        <v>741</v>
      </c>
      <c r="F615" s="238"/>
      <c r="G615" s="238"/>
      <c r="H615" s="238" t="s">
        <v>148</v>
      </c>
      <c r="I615" s="238" t="s">
        <v>250</v>
      </c>
      <c r="J615" s="239">
        <v>40470</v>
      </c>
      <c r="K615" s="239">
        <v>50090</v>
      </c>
      <c r="L615" s="238" t="s">
        <v>615</v>
      </c>
      <c r="M615" s="237">
        <v>1</v>
      </c>
      <c r="N615" s="237"/>
      <c r="O615" s="238"/>
      <c r="P615" s="88" t="str">
        <f t="shared" si="11"/>
        <v>1</v>
      </c>
      <c r="Q615" s="88" t="str">
        <f>IFERROR(INDEX(Торг!$F:$F,MATCH($B615,Торг!$B:$B,0)),"Отсутствует")</f>
        <v>Y</v>
      </c>
      <c r="R615" s="36" t="str">
        <f>IFERROR(IF(AND(Q615="Отсутствует",VLOOKUP(A615,Торг!$A:$A,1,0)=A615),"Добавить","Есть"),"Новый")</f>
        <v>Есть</v>
      </c>
    </row>
    <row r="616" spans="1:18" ht="45" hidden="1">
      <c r="A616" s="238" t="s">
        <v>1393</v>
      </c>
      <c r="B616" s="237">
        <v>341672</v>
      </c>
      <c r="C616" s="237">
        <v>341672</v>
      </c>
      <c r="D616" s="238" t="s">
        <v>1409</v>
      </c>
      <c r="E616" s="238" t="s">
        <v>741</v>
      </c>
      <c r="F616" s="238"/>
      <c r="G616" s="238"/>
      <c r="H616" s="238" t="s">
        <v>148</v>
      </c>
      <c r="I616" s="238" t="s">
        <v>250</v>
      </c>
      <c r="J616" s="239">
        <v>41300</v>
      </c>
      <c r="K616" s="239">
        <v>51090</v>
      </c>
      <c r="L616" s="238" t="s">
        <v>615</v>
      </c>
      <c r="M616" s="237">
        <v>1</v>
      </c>
      <c r="N616" s="237"/>
      <c r="O616" s="238"/>
      <c r="P616" s="88" t="str">
        <f t="shared" si="11"/>
        <v>1</v>
      </c>
      <c r="Q616" s="88" t="str">
        <f>IFERROR(INDEX(Торг!$F:$F,MATCH($B616,Торг!$B:$B,0)),"Отсутствует")</f>
        <v>Y</v>
      </c>
      <c r="R616" s="36" t="str">
        <f>IFERROR(IF(AND(Q616="Отсутствует",VLOOKUP(A616,Торг!$A:$A,1,0)=A616),"Добавить","Есть"),"Новый")</f>
        <v>Есть</v>
      </c>
    </row>
    <row r="617" spans="1:18" ht="45" hidden="1">
      <c r="A617" s="238" t="s">
        <v>1393</v>
      </c>
      <c r="B617" s="237">
        <v>323230</v>
      </c>
      <c r="C617" s="237">
        <v>323230</v>
      </c>
      <c r="D617" s="238" t="s">
        <v>1410</v>
      </c>
      <c r="E617" s="238" t="s">
        <v>741</v>
      </c>
      <c r="F617" s="238"/>
      <c r="G617" s="238"/>
      <c r="H617" s="238" t="s">
        <v>148</v>
      </c>
      <c r="I617" s="238" t="s">
        <v>250</v>
      </c>
      <c r="J617" s="239">
        <v>40470</v>
      </c>
      <c r="K617" s="239">
        <v>50090</v>
      </c>
      <c r="L617" s="238" t="s">
        <v>615</v>
      </c>
      <c r="M617" s="237">
        <v>1</v>
      </c>
      <c r="N617" s="237"/>
      <c r="O617" s="238"/>
      <c r="P617" s="88" t="str">
        <f t="shared" si="11"/>
        <v>1</v>
      </c>
      <c r="Q617" s="88" t="str">
        <f>IFERROR(INDEX(Торг!$F:$F,MATCH($B617,Торг!$B:$B,0)),"Отсутствует")</f>
        <v>Y</v>
      </c>
      <c r="R617" s="36" t="str">
        <f>IFERROR(IF(AND(Q617="Отсутствует",VLOOKUP(A617,Торг!$A:$A,1,0)=A617),"Добавить","Есть"),"Новый")</f>
        <v>Есть</v>
      </c>
    </row>
    <row r="618" spans="1:18" ht="45" hidden="1">
      <c r="A618" s="238" t="s">
        <v>1393</v>
      </c>
      <c r="B618" s="237">
        <v>341670</v>
      </c>
      <c r="C618" s="237">
        <v>341670</v>
      </c>
      <c r="D618" s="238" t="s">
        <v>1411</v>
      </c>
      <c r="E618" s="238" t="s">
        <v>741</v>
      </c>
      <c r="F618" s="238"/>
      <c r="G618" s="238"/>
      <c r="H618" s="238" t="s">
        <v>148</v>
      </c>
      <c r="I618" s="238" t="s">
        <v>250</v>
      </c>
      <c r="J618" s="239">
        <v>41300</v>
      </c>
      <c r="K618" s="239">
        <v>51090</v>
      </c>
      <c r="L618" s="238" t="s">
        <v>615</v>
      </c>
      <c r="M618" s="237">
        <v>1</v>
      </c>
      <c r="N618" s="237"/>
      <c r="O618" s="238"/>
      <c r="P618" s="88" t="str">
        <f t="shared" si="11"/>
        <v>1</v>
      </c>
      <c r="Q618" s="88" t="str">
        <f>IFERROR(INDEX(Торг!$F:$F,MATCH($B618,Торг!$B:$B,0)),"Отсутствует")</f>
        <v>Y</v>
      </c>
      <c r="R618" s="36" t="str">
        <f>IFERROR(IF(AND(Q618="Отсутствует",VLOOKUP(A618,Торг!$A:$A,1,0)=A618),"Добавить","Есть"),"Новый")</f>
        <v>Есть</v>
      </c>
    </row>
    <row r="619" spans="1:18" ht="45" hidden="1">
      <c r="A619" s="238" t="s">
        <v>1393</v>
      </c>
      <c r="B619" s="237">
        <v>323231</v>
      </c>
      <c r="C619" s="237">
        <v>323231</v>
      </c>
      <c r="D619" s="238" t="s">
        <v>1412</v>
      </c>
      <c r="E619" s="238" t="s">
        <v>741</v>
      </c>
      <c r="F619" s="238"/>
      <c r="G619" s="238"/>
      <c r="H619" s="238" t="s">
        <v>148</v>
      </c>
      <c r="I619" s="238" t="s">
        <v>250</v>
      </c>
      <c r="J619" s="239">
        <v>40470</v>
      </c>
      <c r="K619" s="239">
        <v>50090</v>
      </c>
      <c r="L619" s="238" t="s">
        <v>615</v>
      </c>
      <c r="M619" s="237">
        <v>1</v>
      </c>
      <c r="N619" s="237"/>
      <c r="O619" s="238"/>
      <c r="P619" s="88" t="str">
        <f t="shared" si="11"/>
        <v>1</v>
      </c>
      <c r="Q619" s="88" t="str">
        <f>IFERROR(INDEX(Торг!$F:$F,MATCH($B619,Торг!$B:$B,0)),"Отсутствует")</f>
        <v>Y</v>
      </c>
      <c r="R619" s="36" t="str">
        <f>IFERROR(IF(AND(Q619="Отсутствует",VLOOKUP(A619,Торг!$A:$A,1,0)=A619),"Добавить","Есть"),"Новый")</f>
        <v>Есть</v>
      </c>
    </row>
    <row r="620" spans="1:18" ht="45" hidden="1">
      <c r="A620" s="238" t="s">
        <v>1393</v>
      </c>
      <c r="B620" s="237">
        <v>341671</v>
      </c>
      <c r="C620" s="237">
        <v>341671</v>
      </c>
      <c r="D620" s="238" t="s">
        <v>1413</v>
      </c>
      <c r="E620" s="238" t="s">
        <v>741</v>
      </c>
      <c r="F620" s="238"/>
      <c r="G620" s="238"/>
      <c r="H620" s="238" t="s">
        <v>148</v>
      </c>
      <c r="I620" s="238" t="s">
        <v>250</v>
      </c>
      <c r="J620" s="239">
        <v>41300</v>
      </c>
      <c r="K620" s="239">
        <v>51090</v>
      </c>
      <c r="L620" s="238" t="s">
        <v>615</v>
      </c>
      <c r="M620" s="237">
        <v>1</v>
      </c>
      <c r="N620" s="237"/>
      <c r="O620" s="238"/>
      <c r="P620" s="88" t="str">
        <f t="shared" si="11"/>
        <v>1</v>
      </c>
      <c r="Q620" s="88" t="str">
        <f>IFERROR(INDEX(Торг!$F:$F,MATCH($B620,Торг!$B:$B,0)),"Отсутствует")</f>
        <v>Y</v>
      </c>
      <c r="R620" s="36" t="str">
        <f>IFERROR(IF(AND(Q620="Отсутствует",VLOOKUP(A620,Торг!$A:$A,1,0)=A620),"Добавить","Есть"),"Новый")</f>
        <v>Есть</v>
      </c>
    </row>
    <row r="621" spans="1:18" ht="45" hidden="1">
      <c r="A621" s="238" t="s">
        <v>1393</v>
      </c>
      <c r="B621" s="237">
        <v>323233</v>
      </c>
      <c r="C621" s="237">
        <v>323233</v>
      </c>
      <c r="D621" s="238" t="s">
        <v>1414</v>
      </c>
      <c r="E621" s="238" t="s">
        <v>741</v>
      </c>
      <c r="F621" s="238"/>
      <c r="G621" s="238"/>
      <c r="H621" s="238" t="s">
        <v>148</v>
      </c>
      <c r="I621" s="238" t="s">
        <v>250</v>
      </c>
      <c r="J621" s="239">
        <v>40470</v>
      </c>
      <c r="K621" s="239">
        <v>50090</v>
      </c>
      <c r="L621" s="238" t="s">
        <v>615</v>
      </c>
      <c r="M621" s="237">
        <v>1</v>
      </c>
      <c r="N621" s="237"/>
      <c r="O621" s="238"/>
      <c r="P621" s="88" t="str">
        <f t="shared" si="11"/>
        <v>1</v>
      </c>
      <c r="Q621" s="88" t="str">
        <f>IFERROR(INDEX(Торг!$F:$F,MATCH($B621,Торг!$B:$B,0)),"Отсутствует")</f>
        <v>Y</v>
      </c>
      <c r="R621" s="36" t="str">
        <f>IFERROR(IF(AND(Q621="Отсутствует",VLOOKUP(A621,Торг!$A:$A,1,0)=A621),"Добавить","Есть"),"Новый")</f>
        <v>Есть</v>
      </c>
    </row>
    <row r="622" spans="1:18" ht="45" hidden="1">
      <c r="A622" s="238" t="s">
        <v>1393</v>
      </c>
      <c r="B622" s="237">
        <v>341673</v>
      </c>
      <c r="C622" s="237">
        <v>341673</v>
      </c>
      <c r="D622" s="238" t="s">
        <v>1415</v>
      </c>
      <c r="E622" s="238" t="s">
        <v>741</v>
      </c>
      <c r="F622" s="238"/>
      <c r="G622" s="238"/>
      <c r="H622" s="238" t="s">
        <v>148</v>
      </c>
      <c r="I622" s="238" t="s">
        <v>250</v>
      </c>
      <c r="J622" s="239">
        <v>41300</v>
      </c>
      <c r="K622" s="239">
        <v>51090</v>
      </c>
      <c r="L622" s="238" t="s">
        <v>615</v>
      </c>
      <c r="M622" s="237">
        <v>1</v>
      </c>
      <c r="N622" s="237"/>
      <c r="O622" s="238"/>
      <c r="P622" s="88" t="str">
        <f t="shared" si="11"/>
        <v>1</v>
      </c>
      <c r="Q622" s="88" t="str">
        <f>IFERROR(INDEX(Торг!$F:$F,MATCH($B622,Торг!$B:$B,0)),"Отсутствует")</f>
        <v>Y</v>
      </c>
      <c r="R622" s="36" t="str">
        <f>IFERROR(IF(AND(Q622="Отсутствует",VLOOKUP(A622,Торг!$A:$A,1,0)=A622),"Добавить","Есть"),"Новый")</f>
        <v>Есть</v>
      </c>
    </row>
    <row r="623" spans="1:18" ht="45" hidden="1">
      <c r="A623" s="238" t="s">
        <v>1393</v>
      </c>
      <c r="B623" s="237">
        <v>323225</v>
      </c>
      <c r="C623" s="237">
        <v>323225</v>
      </c>
      <c r="D623" s="238" t="s">
        <v>1416</v>
      </c>
      <c r="E623" s="238" t="s">
        <v>741</v>
      </c>
      <c r="F623" s="238"/>
      <c r="G623" s="238"/>
      <c r="H623" s="238" t="s">
        <v>148</v>
      </c>
      <c r="I623" s="238" t="s">
        <v>250</v>
      </c>
      <c r="J623" s="239">
        <v>40470</v>
      </c>
      <c r="K623" s="239">
        <v>50090</v>
      </c>
      <c r="L623" s="238" t="s">
        <v>615</v>
      </c>
      <c r="M623" s="237">
        <v>1</v>
      </c>
      <c r="N623" s="237"/>
      <c r="O623" s="238"/>
      <c r="P623" s="88" t="str">
        <f t="shared" si="11"/>
        <v>1</v>
      </c>
      <c r="Q623" s="88" t="str">
        <f>IFERROR(INDEX(Торг!$F:$F,MATCH($B623,Торг!$B:$B,0)),"Отсутствует")</f>
        <v>Y</v>
      </c>
      <c r="R623" s="36" t="str">
        <f>IFERROR(IF(AND(Q623="Отсутствует",VLOOKUP(A623,Торг!$A:$A,1,0)=A623),"Добавить","Есть"),"Новый")</f>
        <v>Есть</v>
      </c>
    </row>
    <row r="624" spans="1:18" ht="45" hidden="1">
      <c r="A624" s="238" t="s">
        <v>1393</v>
      </c>
      <c r="B624" s="237">
        <v>341665</v>
      </c>
      <c r="C624" s="237">
        <v>341665</v>
      </c>
      <c r="D624" s="238" t="s">
        <v>1417</v>
      </c>
      <c r="E624" s="238" t="s">
        <v>741</v>
      </c>
      <c r="F624" s="238"/>
      <c r="G624" s="238"/>
      <c r="H624" s="238" t="s">
        <v>148</v>
      </c>
      <c r="I624" s="238" t="s">
        <v>250</v>
      </c>
      <c r="J624" s="239">
        <v>41300</v>
      </c>
      <c r="K624" s="239">
        <v>51090</v>
      </c>
      <c r="L624" s="238" t="s">
        <v>615</v>
      </c>
      <c r="M624" s="237">
        <v>1</v>
      </c>
      <c r="N624" s="237"/>
      <c r="O624" s="238"/>
      <c r="P624" s="88" t="str">
        <f t="shared" si="11"/>
        <v>1</v>
      </c>
      <c r="Q624" s="88" t="str">
        <f>IFERROR(INDEX(Торг!$F:$F,MATCH($B624,Торг!$B:$B,0)),"Отсутствует")</f>
        <v>Y</v>
      </c>
      <c r="R624" s="36" t="str">
        <f>IFERROR(IF(AND(Q624="Отсутствует",VLOOKUP(A624,Торг!$A:$A,1,0)=A624),"Добавить","Есть"),"Новый")</f>
        <v>Есть</v>
      </c>
    </row>
    <row r="625" spans="1:18" ht="45" hidden="1">
      <c r="A625" s="238" t="s">
        <v>1393</v>
      </c>
      <c r="B625" s="237">
        <v>323222</v>
      </c>
      <c r="C625" s="237">
        <v>323222</v>
      </c>
      <c r="D625" s="238" t="s">
        <v>1418</v>
      </c>
      <c r="E625" s="238" t="s">
        <v>741</v>
      </c>
      <c r="F625" s="238"/>
      <c r="G625" s="238"/>
      <c r="H625" s="238" t="s">
        <v>148</v>
      </c>
      <c r="I625" s="238" t="s">
        <v>250</v>
      </c>
      <c r="J625" s="239">
        <v>39600</v>
      </c>
      <c r="K625" s="239">
        <v>48990</v>
      </c>
      <c r="L625" s="238" t="s">
        <v>615</v>
      </c>
      <c r="M625" s="237">
        <v>1</v>
      </c>
      <c r="N625" s="237"/>
      <c r="O625" s="238"/>
      <c r="P625" s="88" t="str">
        <f t="shared" si="11"/>
        <v>1</v>
      </c>
      <c r="Q625" s="88" t="str">
        <f>IFERROR(INDEX(Торг!$F:$F,MATCH($B625,Торг!$B:$B,0)),"Отсутствует")</f>
        <v>Y</v>
      </c>
      <c r="R625" s="36" t="str">
        <f>IFERROR(IF(AND(Q625="Отсутствует",VLOOKUP(A625,Торг!$A:$A,1,0)=A625),"Добавить","Есть"),"Новый")</f>
        <v>Есть</v>
      </c>
    </row>
    <row r="626" spans="1:18" ht="45" hidden="1">
      <c r="A626" s="238" t="s">
        <v>1393</v>
      </c>
      <c r="B626" s="237">
        <v>341664</v>
      </c>
      <c r="C626" s="237">
        <v>341664</v>
      </c>
      <c r="D626" s="238" t="s">
        <v>1419</v>
      </c>
      <c r="E626" s="238" t="s">
        <v>741</v>
      </c>
      <c r="F626" s="238"/>
      <c r="G626" s="238"/>
      <c r="H626" s="238" t="s">
        <v>148</v>
      </c>
      <c r="I626" s="238" t="s">
        <v>250</v>
      </c>
      <c r="J626" s="239">
        <v>40430</v>
      </c>
      <c r="K626" s="239">
        <v>49990</v>
      </c>
      <c r="L626" s="238" t="s">
        <v>615</v>
      </c>
      <c r="M626" s="237">
        <v>1</v>
      </c>
      <c r="N626" s="237"/>
      <c r="O626" s="238"/>
      <c r="P626" s="88" t="str">
        <f t="shared" si="11"/>
        <v>1</v>
      </c>
      <c r="Q626" s="88" t="str">
        <f>IFERROR(INDEX(Торг!$F:$F,MATCH($B626,Торг!$B:$B,0)),"Отсутствует")</f>
        <v>Y</v>
      </c>
      <c r="R626" s="36" t="str">
        <f>IFERROR(IF(AND(Q626="Отсутствует",VLOOKUP(A626,Торг!$A:$A,1,0)=A626),"Добавить","Есть"),"Новый")</f>
        <v>Есть</v>
      </c>
    </row>
    <row r="627" spans="1:18" ht="45" hidden="1">
      <c r="A627" s="238" t="s">
        <v>818</v>
      </c>
      <c r="B627" s="237">
        <v>322898</v>
      </c>
      <c r="C627" s="237">
        <v>322898</v>
      </c>
      <c r="D627" s="238" t="s">
        <v>1420</v>
      </c>
      <c r="E627" s="238" t="s">
        <v>741</v>
      </c>
      <c r="F627" s="238"/>
      <c r="G627" s="238"/>
      <c r="H627" s="238" t="s">
        <v>111</v>
      </c>
      <c r="I627" s="238" t="s">
        <v>250</v>
      </c>
      <c r="J627" s="239">
        <v>40070</v>
      </c>
      <c r="K627" s="239">
        <v>49590</v>
      </c>
      <c r="L627" s="238" t="s">
        <v>614</v>
      </c>
      <c r="M627" s="237">
        <v>1</v>
      </c>
      <c r="N627" s="237"/>
      <c r="O627" s="238"/>
      <c r="P627" s="88" t="str">
        <f t="shared" si="11"/>
        <v>1</v>
      </c>
      <c r="Q627" s="88" t="str">
        <f>IFERROR(INDEX(Торг!$F:$F,MATCH($B627,Торг!$B:$B,0)),"Отсутствует")</f>
        <v>Y</v>
      </c>
      <c r="R627" s="36" t="str">
        <f>IFERROR(IF(AND(Q627="Отсутствует",VLOOKUP(A627,Торг!$A:$A,1,0)=A627),"Добавить","Есть"),"Новый")</f>
        <v>Есть</v>
      </c>
    </row>
    <row r="628" spans="1:18" ht="45" hidden="1">
      <c r="A628" s="238" t="s">
        <v>818</v>
      </c>
      <c r="B628" s="237">
        <v>341938</v>
      </c>
      <c r="C628" s="237">
        <v>341938</v>
      </c>
      <c r="D628" s="238" t="s">
        <v>1421</v>
      </c>
      <c r="E628" s="238" t="s">
        <v>741</v>
      </c>
      <c r="F628" s="238"/>
      <c r="G628" s="238"/>
      <c r="H628" s="238" t="s">
        <v>111</v>
      </c>
      <c r="I628" s="238" t="s">
        <v>250</v>
      </c>
      <c r="J628" s="239">
        <v>40900</v>
      </c>
      <c r="K628" s="239">
        <v>50590</v>
      </c>
      <c r="L628" s="238" t="s">
        <v>614</v>
      </c>
      <c r="M628" s="237">
        <v>1</v>
      </c>
      <c r="N628" s="237"/>
      <c r="O628" s="238"/>
      <c r="P628" s="88" t="str">
        <f t="shared" si="11"/>
        <v>1</v>
      </c>
      <c r="Q628" s="88" t="str">
        <f>IFERROR(INDEX(Торг!$F:$F,MATCH($B628,Торг!$B:$B,0)),"Отсутствует")</f>
        <v>Y</v>
      </c>
      <c r="R628" s="36" t="str">
        <f>IFERROR(IF(AND(Q628="Отсутствует",VLOOKUP(A628,Торг!$A:$A,1,0)=A628),"Добавить","Есть"),"Новый")</f>
        <v>Есть</v>
      </c>
    </row>
    <row r="629" spans="1:18" ht="45" hidden="1">
      <c r="A629" s="238" t="s">
        <v>818</v>
      </c>
      <c r="B629" s="237">
        <v>322909</v>
      </c>
      <c r="C629" s="237">
        <v>322909</v>
      </c>
      <c r="D629" s="238" t="s">
        <v>1422</v>
      </c>
      <c r="E629" s="238" t="s">
        <v>741</v>
      </c>
      <c r="F629" s="238"/>
      <c r="G629" s="238"/>
      <c r="H629" s="238" t="s">
        <v>111</v>
      </c>
      <c r="I629" s="238" t="s">
        <v>250</v>
      </c>
      <c r="J629" s="239">
        <v>40070</v>
      </c>
      <c r="K629" s="239">
        <v>49590</v>
      </c>
      <c r="L629" s="238" t="s">
        <v>614</v>
      </c>
      <c r="M629" s="237">
        <v>1</v>
      </c>
      <c r="N629" s="237"/>
      <c r="O629" s="238"/>
      <c r="P629" s="88" t="str">
        <f t="shared" si="11"/>
        <v>1</v>
      </c>
      <c r="Q629" s="88" t="str">
        <f>IFERROR(INDEX(Торг!$F:$F,MATCH($B629,Торг!$B:$B,0)),"Отсутствует")</f>
        <v>Y</v>
      </c>
      <c r="R629" s="36" t="str">
        <f>IFERROR(IF(AND(Q629="Отсутствует",VLOOKUP(A629,Торг!$A:$A,1,0)=A629),"Добавить","Есть"),"Новый")</f>
        <v>Есть</v>
      </c>
    </row>
    <row r="630" spans="1:18" ht="45" hidden="1">
      <c r="A630" s="238" t="s">
        <v>818</v>
      </c>
      <c r="B630" s="237">
        <v>341950</v>
      </c>
      <c r="C630" s="237">
        <v>341950</v>
      </c>
      <c r="D630" s="238" t="s">
        <v>1423</v>
      </c>
      <c r="E630" s="238" t="s">
        <v>741</v>
      </c>
      <c r="F630" s="238"/>
      <c r="G630" s="238"/>
      <c r="H630" s="238" t="s">
        <v>111</v>
      </c>
      <c r="I630" s="238" t="s">
        <v>250</v>
      </c>
      <c r="J630" s="239">
        <v>40900</v>
      </c>
      <c r="K630" s="239">
        <v>50590</v>
      </c>
      <c r="L630" s="238" t="s">
        <v>614</v>
      </c>
      <c r="M630" s="237">
        <v>1</v>
      </c>
      <c r="N630" s="237"/>
      <c r="O630" s="238"/>
      <c r="P630" s="88" t="str">
        <f t="shared" si="11"/>
        <v>1</v>
      </c>
      <c r="Q630" s="88" t="str">
        <f>IFERROR(INDEX(Торг!$F:$F,MATCH($B630,Торг!$B:$B,0)),"Отсутствует")</f>
        <v>Y</v>
      </c>
      <c r="R630" s="36" t="str">
        <f>IFERROR(IF(AND(Q630="Отсутствует",VLOOKUP(A630,Торг!$A:$A,1,0)=A630),"Добавить","Есть"),"Новый")</f>
        <v>Есть</v>
      </c>
    </row>
    <row r="631" spans="1:18" ht="45" hidden="1">
      <c r="A631" s="238" t="s">
        <v>818</v>
      </c>
      <c r="B631" s="237">
        <v>322908</v>
      </c>
      <c r="C631" s="237">
        <v>322908</v>
      </c>
      <c r="D631" s="238" t="s">
        <v>1424</v>
      </c>
      <c r="E631" s="238" t="s">
        <v>741</v>
      </c>
      <c r="F631" s="238"/>
      <c r="G631" s="238"/>
      <c r="H631" s="238" t="s">
        <v>111</v>
      </c>
      <c r="I631" s="238" t="s">
        <v>250</v>
      </c>
      <c r="J631" s="239">
        <v>40070</v>
      </c>
      <c r="K631" s="239">
        <v>49590</v>
      </c>
      <c r="L631" s="238" t="s">
        <v>614</v>
      </c>
      <c r="M631" s="237">
        <v>1</v>
      </c>
      <c r="N631" s="237"/>
      <c r="O631" s="238"/>
      <c r="P631" s="88" t="str">
        <f t="shared" si="11"/>
        <v>1</v>
      </c>
      <c r="Q631" s="88" t="str">
        <f>IFERROR(INDEX(Торг!$F:$F,MATCH($B631,Торг!$B:$B,0)),"Отсутствует")</f>
        <v>Y</v>
      </c>
      <c r="R631" s="36" t="str">
        <f>IFERROR(IF(AND(Q631="Отсутствует",VLOOKUP(A631,Торг!$A:$A,1,0)=A631),"Добавить","Есть"),"Новый")</f>
        <v>Есть</v>
      </c>
    </row>
    <row r="632" spans="1:18" ht="45" hidden="1">
      <c r="A632" s="238" t="s">
        <v>818</v>
      </c>
      <c r="B632" s="237">
        <v>341949</v>
      </c>
      <c r="C632" s="237">
        <v>341949</v>
      </c>
      <c r="D632" s="238" t="s">
        <v>1425</v>
      </c>
      <c r="E632" s="238" t="s">
        <v>741</v>
      </c>
      <c r="F632" s="238"/>
      <c r="G632" s="238"/>
      <c r="H632" s="238" t="s">
        <v>111</v>
      </c>
      <c r="I632" s="238" t="s">
        <v>250</v>
      </c>
      <c r="J632" s="239">
        <v>40900</v>
      </c>
      <c r="K632" s="239">
        <v>50590</v>
      </c>
      <c r="L632" s="238" t="s">
        <v>614</v>
      </c>
      <c r="M632" s="237">
        <v>1</v>
      </c>
      <c r="N632" s="237"/>
      <c r="O632" s="238"/>
      <c r="P632" s="88" t="str">
        <f t="shared" si="11"/>
        <v>1</v>
      </c>
      <c r="Q632" s="88" t="str">
        <f>IFERROR(INDEX(Торг!$F:$F,MATCH($B632,Торг!$B:$B,0)),"Отсутствует")</f>
        <v>Y</v>
      </c>
      <c r="R632" s="36" t="str">
        <f>IFERROR(IF(AND(Q632="Отсутствует",VLOOKUP(A632,Торг!$A:$A,1,0)=A632),"Добавить","Есть"),"Новый")</f>
        <v>Есть</v>
      </c>
    </row>
    <row r="633" spans="1:18" ht="45" hidden="1">
      <c r="A633" s="238" t="s">
        <v>818</v>
      </c>
      <c r="B633" s="237">
        <v>322900</v>
      </c>
      <c r="C633" s="237">
        <v>322900</v>
      </c>
      <c r="D633" s="238" t="s">
        <v>1426</v>
      </c>
      <c r="E633" s="238" t="s">
        <v>741</v>
      </c>
      <c r="F633" s="238"/>
      <c r="G633" s="238"/>
      <c r="H633" s="238" t="s">
        <v>111</v>
      </c>
      <c r="I633" s="238" t="s">
        <v>250</v>
      </c>
      <c r="J633" s="239">
        <v>40070</v>
      </c>
      <c r="K633" s="239">
        <v>49590</v>
      </c>
      <c r="L633" s="238" t="s">
        <v>614</v>
      </c>
      <c r="M633" s="237">
        <v>1</v>
      </c>
      <c r="N633" s="237"/>
      <c r="O633" s="238"/>
      <c r="P633" s="88" t="str">
        <f t="shared" si="11"/>
        <v>1</v>
      </c>
      <c r="Q633" s="88" t="str">
        <f>IFERROR(INDEX(Торг!$F:$F,MATCH($B633,Торг!$B:$B,0)),"Отсутствует")</f>
        <v>Y</v>
      </c>
      <c r="R633" s="36" t="str">
        <f>IFERROR(IF(AND(Q633="Отсутствует",VLOOKUP(A633,Торг!$A:$A,1,0)=A633),"Добавить","Есть"),"Новый")</f>
        <v>Есть</v>
      </c>
    </row>
    <row r="634" spans="1:18" ht="45" hidden="1">
      <c r="A634" s="238" t="s">
        <v>818</v>
      </c>
      <c r="B634" s="237">
        <v>341941</v>
      </c>
      <c r="C634" s="237">
        <v>341941</v>
      </c>
      <c r="D634" s="238" t="s">
        <v>1427</v>
      </c>
      <c r="E634" s="238" t="s">
        <v>741</v>
      </c>
      <c r="F634" s="238"/>
      <c r="G634" s="238"/>
      <c r="H634" s="238" t="s">
        <v>111</v>
      </c>
      <c r="I634" s="238" t="s">
        <v>250</v>
      </c>
      <c r="J634" s="239">
        <v>40900</v>
      </c>
      <c r="K634" s="239">
        <v>50590</v>
      </c>
      <c r="L634" s="238" t="s">
        <v>614</v>
      </c>
      <c r="M634" s="237">
        <v>1</v>
      </c>
      <c r="N634" s="237"/>
      <c r="O634" s="238"/>
      <c r="P634" s="88" t="str">
        <f t="shared" si="11"/>
        <v>1</v>
      </c>
      <c r="Q634" s="88" t="str">
        <f>IFERROR(INDEX(Торг!$F:$F,MATCH($B634,Торг!$B:$B,0)),"Отсутствует")</f>
        <v>Y</v>
      </c>
      <c r="R634" s="36" t="str">
        <f>IFERROR(IF(AND(Q634="Отсутствует",VLOOKUP(A634,Торг!$A:$A,1,0)=A634),"Добавить","Есть"),"Новый")</f>
        <v>Есть</v>
      </c>
    </row>
    <row r="635" spans="1:18" ht="45" hidden="1">
      <c r="A635" s="238" t="s">
        <v>818</v>
      </c>
      <c r="B635" s="237">
        <v>322901</v>
      </c>
      <c r="C635" s="237">
        <v>322901</v>
      </c>
      <c r="D635" s="238" t="s">
        <v>1428</v>
      </c>
      <c r="E635" s="238" t="s">
        <v>741</v>
      </c>
      <c r="F635" s="238"/>
      <c r="G635" s="238"/>
      <c r="H635" s="238" t="s">
        <v>111</v>
      </c>
      <c r="I635" s="238" t="s">
        <v>250</v>
      </c>
      <c r="J635" s="239">
        <v>40070</v>
      </c>
      <c r="K635" s="239">
        <v>49590</v>
      </c>
      <c r="L635" s="238" t="s">
        <v>614</v>
      </c>
      <c r="M635" s="237">
        <v>1</v>
      </c>
      <c r="N635" s="237"/>
      <c r="O635" s="238"/>
      <c r="P635" s="88" t="str">
        <f t="shared" si="11"/>
        <v>1</v>
      </c>
      <c r="Q635" s="88" t="str">
        <f>IFERROR(INDEX(Торг!$F:$F,MATCH($B635,Торг!$B:$B,0)),"Отсутствует")</f>
        <v>Y</v>
      </c>
      <c r="R635" s="36" t="str">
        <f>IFERROR(IF(AND(Q635="Отсутствует",VLOOKUP(A635,Торг!$A:$A,1,0)=A635),"Добавить","Есть"),"Новый")</f>
        <v>Есть</v>
      </c>
    </row>
    <row r="636" spans="1:18" ht="45" hidden="1">
      <c r="A636" s="238" t="s">
        <v>818</v>
      </c>
      <c r="B636" s="237">
        <v>341942</v>
      </c>
      <c r="C636" s="237">
        <v>341942</v>
      </c>
      <c r="D636" s="238" t="s">
        <v>1429</v>
      </c>
      <c r="E636" s="238" t="s">
        <v>741</v>
      </c>
      <c r="F636" s="238"/>
      <c r="G636" s="238"/>
      <c r="H636" s="238" t="s">
        <v>111</v>
      </c>
      <c r="I636" s="238" t="s">
        <v>250</v>
      </c>
      <c r="J636" s="239">
        <v>40900</v>
      </c>
      <c r="K636" s="239">
        <v>50590</v>
      </c>
      <c r="L636" s="238" t="s">
        <v>614</v>
      </c>
      <c r="M636" s="237">
        <v>1</v>
      </c>
      <c r="N636" s="237"/>
      <c r="O636" s="238"/>
      <c r="P636" s="88" t="str">
        <f t="shared" si="11"/>
        <v>1</v>
      </c>
      <c r="Q636" s="88" t="str">
        <f>IFERROR(INDEX(Торг!$F:$F,MATCH($B636,Торг!$B:$B,0)),"Отсутствует")</f>
        <v>Y</v>
      </c>
      <c r="R636" s="36" t="str">
        <f>IFERROR(IF(AND(Q636="Отсутствует",VLOOKUP(A636,Торг!$A:$A,1,0)=A636),"Добавить","Есть"),"Новый")</f>
        <v>Есть</v>
      </c>
    </row>
    <row r="637" spans="1:18" ht="45" hidden="1">
      <c r="A637" s="238" t="s">
        <v>818</v>
      </c>
      <c r="B637" s="237">
        <v>322902</v>
      </c>
      <c r="C637" s="237">
        <v>322902</v>
      </c>
      <c r="D637" s="238" t="s">
        <v>1430</v>
      </c>
      <c r="E637" s="238" t="s">
        <v>741</v>
      </c>
      <c r="F637" s="238"/>
      <c r="G637" s="238"/>
      <c r="H637" s="238" t="s">
        <v>111</v>
      </c>
      <c r="I637" s="238" t="s">
        <v>250</v>
      </c>
      <c r="J637" s="239">
        <v>40070</v>
      </c>
      <c r="K637" s="239">
        <v>49590</v>
      </c>
      <c r="L637" s="238" t="s">
        <v>614</v>
      </c>
      <c r="M637" s="237">
        <v>1</v>
      </c>
      <c r="N637" s="237"/>
      <c r="O637" s="238"/>
      <c r="P637" s="88" t="str">
        <f t="shared" si="11"/>
        <v>1</v>
      </c>
      <c r="Q637" s="88" t="str">
        <f>IFERROR(INDEX(Торг!$F:$F,MATCH($B637,Торг!$B:$B,0)),"Отсутствует")</f>
        <v>Y</v>
      </c>
      <c r="R637" s="36" t="str">
        <f>IFERROR(IF(AND(Q637="Отсутствует",VLOOKUP(A637,Торг!$A:$A,1,0)=A637),"Добавить","Есть"),"Новый")</f>
        <v>Есть</v>
      </c>
    </row>
    <row r="638" spans="1:18" ht="45" hidden="1">
      <c r="A638" s="238" t="s">
        <v>818</v>
      </c>
      <c r="B638" s="237">
        <v>341943</v>
      </c>
      <c r="C638" s="237">
        <v>341943</v>
      </c>
      <c r="D638" s="238" t="s">
        <v>1431</v>
      </c>
      <c r="E638" s="238" t="s">
        <v>741</v>
      </c>
      <c r="F638" s="238"/>
      <c r="G638" s="238"/>
      <c r="H638" s="238" t="s">
        <v>111</v>
      </c>
      <c r="I638" s="238" t="s">
        <v>250</v>
      </c>
      <c r="J638" s="239">
        <v>40900</v>
      </c>
      <c r="K638" s="239">
        <v>50590</v>
      </c>
      <c r="L638" s="238" t="s">
        <v>614</v>
      </c>
      <c r="M638" s="237">
        <v>1</v>
      </c>
      <c r="N638" s="237"/>
      <c r="O638" s="238"/>
      <c r="P638" s="88" t="str">
        <f t="shared" si="11"/>
        <v>1</v>
      </c>
      <c r="Q638" s="88" t="str">
        <f>IFERROR(INDEX(Торг!$F:$F,MATCH($B638,Торг!$B:$B,0)),"Отсутствует")</f>
        <v>Y</v>
      </c>
      <c r="R638" s="36" t="str">
        <f>IFERROR(IF(AND(Q638="Отсутствует",VLOOKUP(A638,Торг!$A:$A,1,0)=A638),"Добавить","Есть"),"Новый")</f>
        <v>Есть</v>
      </c>
    </row>
    <row r="639" spans="1:18" ht="45" hidden="1">
      <c r="A639" s="238" t="s">
        <v>818</v>
      </c>
      <c r="B639" s="237">
        <v>322903</v>
      </c>
      <c r="C639" s="237">
        <v>322903</v>
      </c>
      <c r="D639" s="238" t="s">
        <v>1432</v>
      </c>
      <c r="E639" s="238" t="s">
        <v>741</v>
      </c>
      <c r="F639" s="238"/>
      <c r="G639" s="238"/>
      <c r="H639" s="238" t="s">
        <v>111</v>
      </c>
      <c r="I639" s="238" t="s">
        <v>250</v>
      </c>
      <c r="J639" s="239">
        <v>40070</v>
      </c>
      <c r="K639" s="239">
        <v>49590</v>
      </c>
      <c r="L639" s="238" t="s">
        <v>614</v>
      </c>
      <c r="M639" s="237">
        <v>1</v>
      </c>
      <c r="N639" s="237"/>
      <c r="O639" s="238"/>
      <c r="P639" s="88" t="str">
        <f t="shared" si="11"/>
        <v>1</v>
      </c>
      <c r="Q639" s="88" t="str">
        <f>IFERROR(INDEX(Торг!$F:$F,MATCH($B639,Торг!$B:$B,0)),"Отсутствует")</f>
        <v>Y</v>
      </c>
      <c r="R639" s="36" t="str">
        <f>IFERROR(IF(AND(Q639="Отсутствует",VLOOKUP(A639,Торг!$A:$A,1,0)=A639),"Добавить","Есть"),"Новый")</f>
        <v>Есть</v>
      </c>
    </row>
    <row r="640" spans="1:18" ht="45" hidden="1">
      <c r="A640" s="238" t="s">
        <v>818</v>
      </c>
      <c r="B640" s="237">
        <v>341944</v>
      </c>
      <c r="C640" s="237">
        <v>341944</v>
      </c>
      <c r="D640" s="238" t="s">
        <v>1433</v>
      </c>
      <c r="E640" s="238" t="s">
        <v>741</v>
      </c>
      <c r="F640" s="238"/>
      <c r="G640" s="238"/>
      <c r="H640" s="238" t="s">
        <v>111</v>
      </c>
      <c r="I640" s="238" t="s">
        <v>250</v>
      </c>
      <c r="J640" s="239">
        <v>40900</v>
      </c>
      <c r="K640" s="239">
        <v>50590</v>
      </c>
      <c r="L640" s="238" t="s">
        <v>614</v>
      </c>
      <c r="M640" s="237">
        <v>1</v>
      </c>
      <c r="N640" s="237"/>
      <c r="O640" s="238"/>
      <c r="P640" s="88" t="str">
        <f t="shared" si="11"/>
        <v>1</v>
      </c>
      <c r="Q640" s="88" t="str">
        <f>IFERROR(INDEX(Торг!$F:$F,MATCH($B640,Торг!$B:$B,0)),"Отсутствует")</f>
        <v>Y</v>
      </c>
      <c r="R640" s="36" t="str">
        <f>IFERROR(IF(AND(Q640="Отсутствует",VLOOKUP(A640,Торг!$A:$A,1,0)=A640),"Добавить","Есть"),"Новый")</f>
        <v>Есть</v>
      </c>
    </row>
    <row r="641" spans="1:18" ht="45" hidden="1">
      <c r="A641" s="238" t="s">
        <v>818</v>
      </c>
      <c r="B641" s="237">
        <v>322906</v>
      </c>
      <c r="C641" s="237">
        <v>322906</v>
      </c>
      <c r="D641" s="238" t="s">
        <v>1434</v>
      </c>
      <c r="E641" s="238" t="s">
        <v>741</v>
      </c>
      <c r="F641" s="238"/>
      <c r="G641" s="238"/>
      <c r="H641" s="238" t="s">
        <v>111</v>
      </c>
      <c r="I641" s="238" t="s">
        <v>250</v>
      </c>
      <c r="J641" s="239">
        <v>40070</v>
      </c>
      <c r="K641" s="239">
        <v>49590</v>
      </c>
      <c r="L641" s="238" t="s">
        <v>614</v>
      </c>
      <c r="M641" s="237">
        <v>1</v>
      </c>
      <c r="N641" s="237"/>
      <c r="O641" s="238"/>
      <c r="P641" s="88" t="str">
        <f t="shared" si="11"/>
        <v>1</v>
      </c>
      <c r="Q641" s="88" t="str">
        <f>IFERROR(INDEX(Торг!$F:$F,MATCH($B641,Торг!$B:$B,0)),"Отсутствует")</f>
        <v>Y</v>
      </c>
      <c r="R641" s="36" t="str">
        <f>IFERROR(IF(AND(Q641="Отсутствует",VLOOKUP(A641,Торг!$A:$A,1,0)=A641),"Добавить","Есть"),"Новый")</f>
        <v>Есть</v>
      </c>
    </row>
    <row r="642" spans="1:18" ht="45" hidden="1">
      <c r="A642" s="238" t="s">
        <v>818</v>
      </c>
      <c r="B642" s="237">
        <v>341947</v>
      </c>
      <c r="C642" s="237">
        <v>341947</v>
      </c>
      <c r="D642" s="238" t="s">
        <v>1435</v>
      </c>
      <c r="E642" s="238" t="s">
        <v>741</v>
      </c>
      <c r="F642" s="238"/>
      <c r="G642" s="238"/>
      <c r="H642" s="238" t="s">
        <v>111</v>
      </c>
      <c r="I642" s="238" t="s">
        <v>250</v>
      </c>
      <c r="J642" s="239">
        <v>40900</v>
      </c>
      <c r="K642" s="239">
        <v>50590</v>
      </c>
      <c r="L642" s="238" t="s">
        <v>614</v>
      </c>
      <c r="M642" s="237">
        <v>1</v>
      </c>
      <c r="N642" s="237"/>
      <c r="O642" s="238"/>
      <c r="P642" s="88" t="str">
        <f t="shared" si="11"/>
        <v>1</v>
      </c>
      <c r="Q642" s="88" t="str">
        <f>IFERROR(INDEX(Торг!$F:$F,MATCH($B642,Торг!$B:$B,0)),"Отсутствует")</f>
        <v>Y</v>
      </c>
      <c r="R642" s="36" t="str">
        <f>IFERROR(IF(AND(Q642="Отсутствует",VLOOKUP(A642,Торг!$A:$A,1,0)=A642),"Добавить","Есть"),"Новый")</f>
        <v>Есть</v>
      </c>
    </row>
    <row r="643" spans="1:18" ht="45" hidden="1">
      <c r="A643" s="238" t="s">
        <v>818</v>
      </c>
      <c r="B643" s="237">
        <v>322904</v>
      </c>
      <c r="C643" s="237">
        <v>322904</v>
      </c>
      <c r="D643" s="238" t="s">
        <v>1436</v>
      </c>
      <c r="E643" s="238" t="s">
        <v>741</v>
      </c>
      <c r="F643" s="238"/>
      <c r="G643" s="238"/>
      <c r="H643" s="238" t="s">
        <v>111</v>
      </c>
      <c r="I643" s="238" t="s">
        <v>250</v>
      </c>
      <c r="J643" s="239">
        <v>40070</v>
      </c>
      <c r="K643" s="239">
        <v>49590</v>
      </c>
      <c r="L643" s="238" t="s">
        <v>614</v>
      </c>
      <c r="M643" s="237">
        <v>1</v>
      </c>
      <c r="N643" s="237"/>
      <c r="O643" s="238"/>
      <c r="P643" s="88" t="str">
        <f t="shared" si="11"/>
        <v>1</v>
      </c>
      <c r="Q643" s="88" t="str">
        <f>IFERROR(INDEX(Торг!$F:$F,MATCH($B643,Торг!$B:$B,0)),"Отсутствует")</f>
        <v>Y</v>
      </c>
      <c r="R643" s="36" t="str">
        <f>IFERROR(IF(AND(Q643="Отсутствует",VLOOKUP(A643,Торг!$A:$A,1,0)=A643),"Добавить","Есть"),"Новый")</f>
        <v>Есть</v>
      </c>
    </row>
    <row r="644" spans="1:18" ht="45" hidden="1">
      <c r="A644" s="238" t="s">
        <v>818</v>
      </c>
      <c r="B644" s="237">
        <v>341945</v>
      </c>
      <c r="C644" s="237">
        <v>341945</v>
      </c>
      <c r="D644" s="238" t="s">
        <v>1437</v>
      </c>
      <c r="E644" s="238" t="s">
        <v>741</v>
      </c>
      <c r="F644" s="238"/>
      <c r="G644" s="238"/>
      <c r="H644" s="238" t="s">
        <v>111</v>
      </c>
      <c r="I644" s="238" t="s">
        <v>250</v>
      </c>
      <c r="J644" s="239">
        <v>40900</v>
      </c>
      <c r="K644" s="239">
        <v>50590</v>
      </c>
      <c r="L644" s="238" t="s">
        <v>614</v>
      </c>
      <c r="M644" s="237">
        <v>1</v>
      </c>
      <c r="N644" s="237"/>
      <c r="O644" s="238"/>
      <c r="P644" s="88" t="str">
        <f t="shared" si="11"/>
        <v>1</v>
      </c>
      <c r="Q644" s="88" t="str">
        <f>IFERROR(INDEX(Торг!$F:$F,MATCH($B644,Торг!$B:$B,0)),"Отсутствует")</f>
        <v>Y</v>
      </c>
      <c r="R644" s="36" t="str">
        <f>IFERROR(IF(AND(Q644="Отсутствует",VLOOKUP(A644,Торг!$A:$A,1,0)=A644),"Добавить","Есть"),"Новый")</f>
        <v>Есть</v>
      </c>
    </row>
    <row r="645" spans="1:18" ht="45" hidden="1">
      <c r="A645" s="238" t="s">
        <v>818</v>
      </c>
      <c r="B645" s="237">
        <v>322905</v>
      </c>
      <c r="C645" s="237">
        <v>322905</v>
      </c>
      <c r="D645" s="238" t="s">
        <v>1438</v>
      </c>
      <c r="E645" s="238" t="s">
        <v>741</v>
      </c>
      <c r="F645" s="238"/>
      <c r="G645" s="238"/>
      <c r="H645" s="238" t="s">
        <v>111</v>
      </c>
      <c r="I645" s="238" t="s">
        <v>250</v>
      </c>
      <c r="J645" s="239">
        <v>40070</v>
      </c>
      <c r="K645" s="239">
        <v>49590</v>
      </c>
      <c r="L645" s="238" t="s">
        <v>614</v>
      </c>
      <c r="M645" s="237">
        <v>1</v>
      </c>
      <c r="N645" s="237"/>
      <c r="O645" s="238"/>
      <c r="P645" s="88" t="str">
        <f t="shared" si="11"/>
        <v>1</v>
      </c>
      <c r="Q645" s="88" t="str">
        <f>IFERROR(INDEX(Торг!$F:$F,MATCH($B645,Торг!$B:$B,0)),"Отсутствует")</f>
        <v>Y</v>
      </c>
      <c r="R645" s="36" t="str">
        <f>IFERROR(IF(AND(Q645="Отсутствует",VLOOKUP(A645,Торг!$A:$A,1,0)=A645),"Добавить","Есть"),"Новый")</f>
        <v>Есть</v>
      </c>
    </row>
    <row r="646" spans="1:18" ht="45" hidden="1">
      <c r="A646" s="238" t="s">
        <v>818</v>
      </c>
      <c r="B646" s="237">
        <v>341946</v>
      </c>
      <c r="C646" s="237">
        <v>341946</v>
      </c>
      <c r="D646" s="238" t="s">
        <v>1439</v>
      </c>
      <c r="E646" s="238" t="s">
        <v>741</v>
      </c>
      <c r="F646" s="238"/>
      <c r="G646" s="238"/>
      <c r="H646" s="238" t="s">
        <v>111</v>
      </c>
      <c r="I646" s="238" t="s">
        <v>250</v>
      </c>
      <c r="J646" s="239">
        <v>40900</v>
      </c>
      <c r="K646" s="239">
        <v>50590</v>
      </c>
      <c r="L646" s="238" t="s">
        <v>614</v>
      </c>
      <c r="M646" s="237">
        <v>1</v>
      </c>
      <c r="N646" s="237"/>
      <c r="O646" s="238"/>
      <c r="P646" s="88" t="str">
        <f t="shared" si="11"/>
        <v>1</v>
      </c>
      <c r="Q646" s="88" t="str">
        <f>IFERROR(INDEX(Торг!$F:$F,MATCH($B646,Торг!$B:$B,0)),"Отсутствует")</f>
        <v>Y</v>
      </c>
      <c r="R646" s="36" t="str">
        <f>IFERROR(IF(AND(Q646="Отсутствует",VLOOKUP(A646,Торг!$A:$A,1,0)=A646),"Добавить","Есть"),"Новый")</f>
        <v>Есть</v>
      </c>
    </row>
    <row r="647" spans="1:18" ht="45" hidden="1">
      <c r="A647" s="238" t="s">
        <v>818</v>
      </c>
      <c r="B647" s="237">
        <v>322907</v>
      </c>
      <c r="C647" s="237">
        <v>322907</v>
      </c>
      <c r="D647" s="238" t="s">
        <v>1440</v>
      </c>
      <c r="E647" s="238" t="s">
        <v>741</v>
      </c>
      <c r="F647" s="238"/>
      <c r="G647" s="238"/>
      <c r="H647" s="238" t="s">
        <v>111</v>
      </c>
      <c r="I647" s="238" t="s">
        <v>250</v>
      </c>
      <c r="J647" s="239">
        <v>40070</v>
      </c>
      <c r="K647" s="239">
        <v>49590</v>
      </c>
      <c r="L647" s="238" t="s">
        <v>614</v>
      </c>
      <c r="M647" s="237">
        <v>1</v>
      </c>
      <c r="N647" s="237"/>
      <c r="O647" s="238"/>
      <c r="P647" s="88" t="str">
        <f t="shared" si="11"/>
        <v>1</v>
      </c>
      <c r="Q647" s="88" t="str">
        <f>IFERROR(INDEX(Торг!$F:$F,MATCH($B647,Торг!$B:$B,0)),"Отсутствует")</f>
        <v>Y</v>
      </c>
      <c r="R647" s="36" t="str">
        <f>IFERROR(IF(AND(Q647="Отсутствует",VLOOKUP(A647,Торг!$A:$A,1,0)=A647),"Добавить","Есть"),"Новый")</f>
        <v>Есть</v>
      </c>
    </row>
    <row r="648" spans="1:18" ht="45" hidden="1">
      <c r="A648" s="238" t="s">
        <v>818</v>
      </c>
      <c r="B648" s="237">
        <v>341948</v>
      </c>
      <c r="C648" s="237">
        <v>341948</v>
      </c>
      <c r="D648" s="238" t="s">
        <v>1441</v>
      </c>
      <c r="E648" s="238" t="s">
        <v>741</v>
      </c>
      <c r="F648" s="238"/>
      <c r="G648" s="238"/>
      <c r="H648" s="238" t="s">
        <v>111</v>
      </c>
      <c r="I648" s="238" t="s">
        <v>250</v>
      </c>
      <c r="J648" s="239">
        <v>40900</v>
      </c>
      <c r="K648" s="239">
        <v>50590</v>
      </c>
      <c r="L648" s="238" t="s">
        <v>614</v>
      </c>
      <c r="M648" s="237">
        <v>1</v>
      </c>
      <c r="N648" s="237"/>
      <c r="O648" s="238"/>
      <c r="P648" s="88" t="str">
        <f t="shared" si="11"/>
        <v>1</v>
      </c>
      <c r="Q648" s="88" t="str">
        <f>IFERROR(INDEX(Торг!$F:$F,MATCH($B648,Торг!$B:$B,0)),"Отсутствует")</f>
        <v>Y</v>
      </c>
      <c r="R648" s="36" t="str">
        <f>IFERROR(IF(AND(Q648="Отсутствует",VLOOKUP(A648,Торг!$A:$A,1,0)=A648),"Добавить","Есть"),"Новый")</f>
        <v>Есть</v>
      </c>
    </row>
    <row r="649" spans="1:18" ht="45" hidden="1">
      <c r="A649" s="238" t="s">
        <v>818</v>
      </c>
      <c r="B649" s="237">
        <v>322899</v>
      </c>
      <c r="C649" s="237">
        <v>322899</v>
      </c>
      <c r="D649" s="238" t="s">
        <v>1442</v>
      </c>
      <c r="E649" s="238" t="s">
        <v>741</v>
      </c>
      <c r="F649" s="238"/>
      <c r="G649" s="238"/>
      <c r="H649" s="238" t="s">
        <v>111</v>
      </c>
      <c r="I649" s="238" t="s">
        <v>250</v>
      </c>
      <c r="J649" s="239">
        <v>40070</v>
      </c>
      <c r="K649" s="239">
        <v>49590</v>
      </c>
      <c r="L649" s="238" t="s">
        <v>614</v>
      </c>
      <c r="M649" s="237">
        <v>1</v>
      </c>
      <c r="N649" s="237"/>
      <c r="O649" s="238"/>
      <c r="P649" s="88" t="str">
        <f t="shared" si="11"/>
        <v>1</v>
      </c>
      <c r="Q649" s="88" t="str">
        <f>IFERROR(INDEX(Торг!$F:$F,MATCH($B649,Торг!$B:$B,0)),"Отсутствует")</f>
        <v>Y</v>
      </c>
      <c r="R649" s="36" t="str">
        <f>IFERROR(IF(AND(Q649="Отсутствует",VLOOKUP(A649,Торг!$A:$A,1,0)=A649),"Добавить","Есть"),"Новый")</f>
        <v>Есть</v>
      </c>
    </row>
    <row r="650" spans="1:18" ht="45" hidden="1">
      <c r="A650" s="238" t="s">
        <v>818</v>
      </c>
      <c r="B650" s="237">
        <v>341940</v>
      </c>
      <c r="C650" s="237">
        <v>341940</v>
      </c>
      <c r="D650" s="238" t="s">
        <v>1443</v>
      </c>
      <c r="E650" s="238" t="s">
        <v>741</v>
      </c>
      <c r="F650" s="238"/>
      <c r="G650" s="238"/>
      <c r="H650" s="238" t="s">
        <v>111</v>
      </c>
      <c r="I650" s="238" t="s">
        <v>250</v>
      </c>
      <c r="J650" s="239">
        <v>40900</v>
      </c>
      <c r="K650" s="239">
        <v>50590</v>
      </c>
      <c r="L650" s="238" t="s">
        <v>614</v>
      </c>
      <c r="M650" s="237">
        <v>1</v>
      </c>
      <c r="N650" s="237"/>
      <c r="O650" s="238"/>
      <c r="P650" s="88" t="str">
        <f t="shared" si="11"/>
        <v>1</v>
      </c>
      <c r="Q650" s="88" t="str">
        <f>IFERROR(INDEX(Торг!$F:$F,MATCH($B650,Торг!$B:$B,0)),"Отсутствует")</f>
        <v>Y</v>
      </c>
      <c r="R650" s="36" t="str">
        <f>IFERROR(IF(AND(Q650="Отсутствует",VLOOKUP(A650,Торг!$A:$A,1,0)=A650),"Добавить","Есть"),"Новый")</f>
        <v>Есть</v>
      </c>
    </row>
    <row r="651" spans="1:18" ht="45" hidden="1">
      <c r="A651" s="238" t="s">
        <v>818</v>
      </c>
      <c r="B651" s="237">
        <v>322897</v>
      </c>
      <c r="C651" s="237">
        <v>322897</v>
      </c>
      <c r="D651" s="238" t="s">
        <v>1444</v>
      </c>
      <c r="E651" s="238" t="s">
        <v>741</v>
      </c>
      <c r="F651" s="238"/>
      <c r="G651" s="238"/>
      <c r="H651" s="238" t="s">
        <v>111</v>
      </c>
      <c r="I651" s="238" t="s">
        <v>250</v>
      </c>
      <c r="J651" s="239">
        <v>39200</v>
      </c>
      <c r="K651" s="239">
        <v>48490</v>
      </c>
      <c r="L651" s="238" t="s">
        <v>614</v>
      </c>
      <c r="M651" s="237">
        <v>1</v>
      </c>
      <c r="N651" s="237"/>
      <c r="O651" s="238"/>
      <c r="P651" s="88" t="str">
        <f t="shared" si="11"/>
        <v>1</v>
      </c>
      <c r="Q651" s="88" t="str">
        <f>IFERROR(INDEX(Торг!$F:$F,MATCH($B651,Торг!$B:$B,0)),"Отсутствует")</f>
        <v>Y</v>
      </c>
      <c r="R651" s="36" t="str">
        <f>IFERROR(IF(AND(Q651="Отсутствует",VLOOKUP(A651,Торг!$A:$A,1,0)=A651),"Добавить","Есть"),"Новый")</f>
        <v>Есть</v>
      </c>
    </row>
    <row r="652" spans="1:18" ht="45" hidden="1">
      <c r="A652" s="238" t="s">
        <v>818</v>
      </c>
      <c r="B652" s="237">
        <v>341939</v>
      </c>
      <c r="C652" s="237">
        <v>341939</v>
      </c>
      <c r="D652" s="238" t="s">
        <v>1445</v>
      </c>
      <c r="E652" s="238" t="s">
        <v>741</v>
      </c>
      <c r="F652" s="238"/>
      <c r="G652" s="238"/>
      <c r="H652" s="238" t="s">
        <v>111</v>
      </c>
      <c r="I652" s="238" t="s">
        <v>250</v>
      </c>
      <c r="J652" s="239">
        <v>40030</v>
      </c>
      <c r="K652" s="239">
        <v>49490</v>
      </c>
      <c r="L652" s="238" t="s">
        <v>614</v>
      </c>
      <c r="M652" s="237">
        <v>1</v>
      </c>
      <c r="N652" s="237"/>
      <c r="O652" s="238"/>
      <c r="P652" s="88" t="str">
        <f t="shared" si="11"/>
        <v>1</v>
      </c>
      <c r="Q652" s="88" t="str">
        <f>IFERROR(INDEX(Торг!$F:$F,MATCH($B652,Торг!$B:$B,0)),"Отсутствует")</f>
        <v>Y</v>
      </c>
      <c r="R652" s="36" t="str">
        <f>IFERROR(IF(AND(Q652="Отсутствует",VLOOKUP(A652,Торг!$A:$A,1,0)=A652),"Добавить","Есть"),"Новый")</f>
        <v>Есть</v>
      </c>
    </row>
    <row r="653" spans="1:18" ht="45" hidden="1">
      <c r="A653" s="238" t="s">
        <v>747</v>
      </c>
      <c r="B653" s="237">
        <v>341955</v>
      </c>
      <c r="C653" s="237">
        <v>341955</v>
      </c>
      <c r="D653" s="238" t="s">
        <v>1446</v>
      </c>
      <c r="E653" s="238" t="s">
        <v>741</v>
      </c>
      <c r="F653" s="238"/>
      <c r="G653" s="238"/>
      <c r="H653" s="238" t="s">
        <v>108</v>
      </c>
      <c r="I653" s="238" t="s">
        <v>250</v>
      </c>
      <c r="J653" s="239">
        <v>41120</v>
      </c>
      <c r="K653" s="239">
        <v>50890</v>
      </c>
      <c r="L653" s="238" t="s">
        <v>624</v>
      </c>
      <c r="M653" s="237">
        <v>1</v>
      </c>
      <c r="N653" s="237"/>
      <c r="O653" s="238"/>
      <c r="P653" s="88" t="str">
        <f t="shared" si="11"/>
        <v>1</v>
      </c>
      <c r="Q653" s="88" t="str">
        <f>IFERROR(INDEX(Торг!$F:$F,MATCH($B653,Торг!$B:$B,0)),"Отсутствует")</f>
        <v>Y</v>
      </c>
      <c r="R653" s="36" t="str">
        <f>IFERROR(IF(AND(Q653="Отсутствует",VLOOKUP(A653,Торг!$A:$A,1,0)=A653),"Добавить","Есть"),"Новый")</f>
        <v>Есть</v>
      </c>
    </row>
    <row r="654" spans="1:18" ht="45" hidden="1">
      <c r="A654" s="238" t="s">
        <v>747</v>
      </c>
      <c r="B654" s="237">
        <v>341968</v>
      </c>
      <c r="C654" s="237">
        <v>341968</v>
      </c>
      <c r="D654" s="238" t="s">
        <v>1447</v>
      </c>
      <c r="E654" s="238" t="s">
        <v>741</v>
      </c>
      <c r="F654" s="238"/>
      <c r="G654" s="238"/>
      <c r="H654" s="238" t="s">
        <v>108</v>
      </c>
      <c r="I654" s="238" t="s">
        <v>250</v>
      </c>
      <c r="J654" s="239">
        <v>41950</v>
      </c>
      <c r="K654" s="239">
        <v>51890</v>
      </c>
      <c r="L654" s="238" t="s">
        <v>624</v>
      </c>
      <c r="M654" s="237">
        <v>1</v>
      </c>
      <c r="N654" s="237"/>
      <c r="O654" s="238"/>
      <c r="P654" s="88" t="str">
        <f t="shared" si="11"/>
        <v>1</v>
      </c>
      <c r="Q654" s="88" t="str">
        <f>IFERROR(INDEX(Торг!$F:$F,MATCH($B654,Торг!$B:$B,0)),"Отсутствует")</f>
        <v>Y</v>
      </c>
      <c r="R654" s="36" t="str">
        <f>IFERROR(IF(AND(Q654="Отсутствует",VLOOKUP(A654,Торг!$A:$A,1,0)=A654),"Добавить","Есть"),"Новый")</f>
        <v>Есть</v>
      </c>
    </row>
    <row r="655" spans="1:18" ht="45" hidden="1">
      <c r="A655" s="238" t="s">
        <v>747</v>
      </c>
      <c r="B655" s="237">
        <v>341967</v>
      </c>
      <c r="C655" s="237">
        <v>341967</v>
      </c>
      <c r="D655" s="238" t="s">
        <v>1448</v>
      </c>
      <c r="E655" s="238" t="s">
        <v>741</v>
      </c>
      <c r="F655" s="238"/>
      <c r="G655" s="238"/>
      <c r="H655" s="238" t="s">
        <v>108</v>
      </c>
      <c r="I655" s="238" t="s">
        <v>250</v>
      </c>
      <c r="J655" s="239">
        <v>41120</v>
      </c>
      <c r="K655" s="239">
        <v>50890</v>
      </c>
      <c r="L655" s="238" t="s">
        <v>624</v>
      </c>
      <c r="M655" s="237">
        <v>1</v>
      </c>
      <c r="N655" s="237"/>
      <c r="O655" s="238"/>
      <c r="P655" s="88" t="str">
        <f t="shared" si="11"/>
        <v>1</v>
      </c>
      <c r="Q655" s="88" t="str">
        <f>IFERROR(INDEX(Торг!$F:$F,MATCH($B655,Торг!$B:$B,0)),"Отсутствует")</f>
        <v>Y</v>
      </c>
      <c r="R655" s="36" t="str">
        <f>IFERROR(IF(AND(Q655="Отсутствует",VLOOKUP(A655,Торг!$A:$A,1,0)=A655),"Добавить","Есть"),"Новый")</f>
        <v>Есть</v>
      </c>
    </row>
    <row r="656" spans="1:18" ht="45" hidden="1">
      <c r="A656" s="238" t="s">
        <v>747</v>
      </c>
      <c r="B656" s="237">
        <v>341980</v>
      </c>
      <c r="C656" s="237">
        <v>341980</v>
      </c>
      <c r="D656" s="238" t="s">
        <v>1449</v>
      </c>
      <c r="E656" s="238" t="s">
        <v>741</v>
      </c>
      <c r="F656" s="238"/>
      <c r="G656" s="238"/>
      <c r="H656" s="238" t="s">
        <v>108</v>
      </c>
      <c r="I656" s="238" t="s">
        <v>250</v>
      </c>
      <c r="J656" s="239">
        <v>41950</v>
      </c>
      <c r="K656" s="239">
        <v>51890</v>
      </c>
      <c r="L656" s="238" t="s">
        <v>624</v>
      </c>
      <c r="M656" s="237">
        <v>1</v>
      </c>
      <c r="N656" s="237"/>
      <c r="O656" s="238"/>
      <c r="P656" s="88" t="str">
        <f t="shared" si="11"/>
        <v>1</v>
      </c>
      <c r="Q656" s="88" t="str">
        <f>IFERROR(INDEX(Торг!$F:$F,MATCH($B656,Торг!$B:$B,0)),"Отсутствует")</f>
        <v>Y</v>
      </c>
      <c r="R656" s="36" t="str">
        <f>IFERROR(IF(AND(Q656="Отсутствует",VLOOKUP(A656,Торг!$A:$A,1,0)=A656),"Добавить","Есть"),"Новый")</f>
        <v>Есть</v>
      </c>
    </row>
    <row r="657" spans="1:18" ht="45" hidden="1">
      <c r="A657" s="238" t="s">
        <v>747</v>
      </c>
      <c r="B657" s="237">
        <v>341966</v>
      </c>
      <c r="C657" s="237">
        <v>341966</v>
      </c>
      <c r="D657" s="238" t="s">
        <v>1450</v>
      </c>
      <c r="E657" s="238" t="s">
        <v>741</v>
      </c>
      <c r="F657" s="238"/>
      <c r="G657" s="238"/>
      <c r="H657" s="238" t="s">
        <v>108</v>
      </c>
      <c r="I657" s="238" t="s">
        <v>250</v>
      </c>
      <c r="J657" s="239">
        <v>41120</v>
      </c>
      <c r="K657" s="239">
        <v>50890</v>
      </c>
      <c r="L657" s="238" t="s">
        <v>624</v>
      </c>
      <c r="M657" s="237">
        <v>1</v>
      </c>
      <c r="N657" s="237"/>
      <c r="O657" s="238"/>
      <c r="P657" s="88" t="str">
        <f t="shared" si="11"/>
        <v>1</v>
      </c>
      <c r="Q657" s="88" t="str">
        <f>IFERROR(INDEX(Торг!$F:$F,MATCH($B657,Торг!$B:$B,0)),"Отсутствует")</f>
        <v>Y</v>
      </c>
      <c r="R657" s="36" t="str">
        <f>IFERROR(IF(AND(Q657="Отсутствует",VLOOKUP(A657,Торг!$A:$A,1,0)=A657),"Добавить","Есть"),"Новый")</f>
        <v>Есть</v>
      </c>
    </row>
    <row r="658" spans="1:18" ht="45" hidden="1">
      <c r="A658" s="238" t="s">
        <v>747</v>
      </c>
      <c r="B658" s="237">
        <v>341979</v>
      </c>
      <c r="C658" s="237">
        <v>341979</v>
      </c>
      <c r="D658" s="238" t="s">
        <v>1451</v>
      </c>
      <c r="E658" s="238" t="s">
        <v>741</v>
      </c>
      <c r="F658" s="238"/>
      <c r="G658" s="238"/>
      <c r="H658" s="238" t="s">
        <v>108</v>
      </c>
      <c r="I658" s="238" t="s">
        <v>250</v>
      </c>
      <c r="J658" s="239">
        <v>41950</v>
      </c>
      <c r="K658" s="239">
        <v>51890</v>
      </c>
      <c r="L658" s="238" t="s">
        <v>624</v>
      </c>
      <c r="M658" s="237">
        <v>1</v>
      </c>
      <c r="N658" s="237"/>
      <c r="O658" s="238"/>
      <c r="P658" s="88" t="str">
        <f t="shared" si="11"/>
        <v>1</v>
      </c>
      <c r="Q658" s="88" t="str">
        <f>IFERROR(INDEX(Торг!$F:$F,MATCH($B658,Торг!$B:$B,0)),"Отсутствует")</f>
        <v>Y</v>
      </c>
      <c r="R658" s="36" t="str">
        <f>IFERROR(IF(AND(Q658="Отсутствует",VLOOKUP(A658,Торг!$A:$A,1,0)=A658),"Добавить","Есть"),"Новый")</f>
        <v>Есть</v>
      </c>
    </row>
    <row r="659" spans="1:18" ht="45" hidden="1">
      <c r="A659" s="238" t="s">
        <v>747</v>
      </c>
      <c r="B659" s="237">
        <v>341958</v>
      </c>
      <c r="C659" s="237">
        <v>341958</v>
      </c>
      <c r="D659" s="238" t="s">
        <v>1452</v>
      </c>
      <c r="E659" s="238" t="s">
        <v>741</v>
      </c>
      <c r="F659" s="238"/>
      <c r="G659" s="238"/>
      <c r="H659" s="238" t="s">
        <v>108</v>
      </c>
      <c r="I659" s="238" t="s">
        <v>250</v>
      </c>
      <c r="J659" s="239">
        <v>41120</v>
      </c>
      <c r="K659" s="239">
        <v>50890</v>
      </c>
      <c r="L659" s="238" t="s">
        <v>624</v>
      </c>
      <c r="M659" s="237">
        <v>1</v>
      </c>
      <c r="N659" s="237"/>
      <c r="O659" s="238"/>
      <c r="P659" s="88" t="str">
        <f t="shared" si="11"/>
        <v>1</v>
      </c>
      <c r="Q659" s="88" t="str">
        <f>IFERROR(INDEX(Торг!$F:$F,MATCH($B659,Торг!$B:$B,0)),"Отсутствует")</f>
        <v>Y</v>
      </c>
      <c r="R659" s="36" t="str">
        <f>IFERROR(IF(AND(Q659="Отсутствует",VLOOKUP(A659,Торг!$A:$A,1,0)=A659),"Добавить","Есть"),"Новый")</f>
        <v>Есть</v>
      </c>
    </row>
    <row r="660" spans="1:18" ht="45" hidden="1">
      <c r="A660" s="238" t="s">
        <v>747</v>
      </c>
      <c r="B660" s="237">
        <v>341971</v>
      </c>
      <c r="C660" s="237">
        <v>341971</v>
      </c>
      <c r="D660" s="238" t="s">
        <v>1453</v>
      </c>
      <c r="E660" s="238" t="s">
        <v>741</v>
      </c>
      <c r="F660" s="238"/>
      <c r="G660" s="238"/>
      <c r="H660" s="238" t="s">
        <v>108</v>
      </c>
      <c r="I660" s="238" t="s">
        <v>250</v>
      </c>
      <c r="J660" s="239">
        <v>41950</v>
      </c>
      <c r="K660" s="239">
        <v>51890</v>
      </c>
      <c r="L660" s="238" t="s">
        <v>624</v>
      </c>
      <c r="M660" s="237">
        <v>1</v>
      </c>
      <c r="N660" s="237"/>
      <c r="O660" s="238"/>
      <c r="P660" s="88" t="str">
        <f t="shared" si="11"/>
        <v>1</v>
      </c>
      <c r="Q660" s="88" t="str">
        <f>IFERROR(INDEX(Торг!$F:$F,MATCH($B660,Торг!$B:$B,0)),"Отсутствует")</f>
        <v>Y</v>
      </c>
      <c r="R660" s="36" t="str">
        <f>IFERROR(IF(AND(Q660="Отсутствует",VLOOKUP(A660,Торг!$A:$A,1,0)=A660),"Добавить","Есть"),"Новый")</f>
        <v>Есть</v>
      </c>
    </row>
    <row r="661" spans="1:18" ht="45" hidden="1">
      <c r="A661" s="238" t="s">
        <v>747</v>
      </c>
      <c r="B661" s="237">
        <v>341959</v>
      </c>
      <c r="C661" s="237">
        <v>341959</v>
      </c>
      <c r="D661" s="238" t="s">
        <v>1454</v>
      </c>
      <c r="E661" s="238" t="s">
        <v>741</v>
      </c>
      <c r="F661" s="238"/>
      <c r="G661" s="238"/>
      <c r="H661" s="238" t="s">
        <v>108</v>
      </c>
      <c r="I661" s="238" t="s">
        <v>250</v>
      </c>
      <c r="J661" s="239">
        <v>41120</v>
      </c>
      <c r="K661" s="239">
        <v>50890</v>
      </c>
      <c r="L661" s="238" t="s">
        <v>624</v>
      </c>
      <c r="M661" s="237">
        <v>1</v>
      </c>
      <c r="N661" s="237"/>
      <c r="O661" s="238"/>
      <c r="P661" s="88" t="str">
        <f t="shared" si="11"/>
        <v>1</v>
      </c>
      <c r="Q661" s="88" t="str">
        <f>IFERROR(INDEX(Торг!$F:$F,MATCH($B661,Торг!$B:$B,0)),"Отсутствует")</f>
        <v>Y</v>
      </c>
      <c r="R661" s="36" t="str">
        <f>IFERROR(IF(AND(Q661="Отсутствует",VLOOKUP(A661,Торг!$A:$A,1,0)=A661),"Добавить","Есть"),"Новый")</f>
        <v>Есть</v>
      </c>
    </row>
    <row r="662" spans="1:18" ht="45" hidden="1">
      <c r="A662" s="238" t="s">
        <v>747</v>
      </c>
      <c r="B662" s="237">
        <v>341972</v>
      </c>
      <c r="C662" s="237">
        <v>341972</v>
      </c>
      <c r="D662" s="238" t="s">
        <v>1455</v>
      </c>
      <c r="E662" s="238" t="s">
        <v>741</v>
      </c>
      <c r="F662" s="238"/>
      <c r="G662" s="238"/>
      <c r="H662" s="238" t="s">
        <v>108</v>
      </c>
      <c r="I662" s="238" t="s">
        <v>250</v>
      </c>
      <c r="J662" s="239">
        <v>41950</v>
      </c>
      <c r="K662" s="239">
        <v>51890</v>
      </c>
      <c r="L662" s="238" t="s">
        <v>624</v>
      </c>
      <c r="M662" s="237">
        <v>1</v>
      </c>
      <c r="N662" s="237"/>
      <c r="O662" s="238"/>
      <c r="P662" s="88" t="str">
        <f t="shared" si="11"/>
        <v>1</v>
      </c>
      <c r="Q662" s="88" t="str">
        <f>IFERROR(INDEX(Торг!$F:$F,MATCH($B662,Торг!$B:$B,0)),"Отсутствует")</f>
        <v>Y</v>
      </c>
      <c r="R662" s="36" t="str">
        <f>IFERROR(IF(AND(Q662="Отсутствует",VLOOKUP(A662,Торг!$A:$A,1,0)=A662),"Добавить","Есть"),"Новый")</f>
        <v>Есть</v>
      </c>
    </row>
    <row r="663" spans="1:18" ht="45" hidden="1">
      <c r="A663" s="238" t="s">
        <v>747</v>
      </c>
      <c r="B663" s="237">
        <v>341960</v>
      </c>
      <c r="C663" s="237">
        <v>341960</v>
      </c>
      <c r="D663" s="238" t="s">
        <v>1456</v>
      </c>
      <c r="E663" s="238" t="s">
        <v>741</v>
      </c>
      <c r="F663" s="238"/>
      <c r="G663" s="238"/>
      <c r="H663" s="238" t="s">
        <v>108</v>
      </c>
      <c r="I663" s="238" t="s">
        <v>250</v>
      </c>
      <c r="J663" s="239">
        <v>41120</v>
      </c>
      <c r="K663" s="239">
        <v>50890</v>
      </c>
      <c r="L663" s="238" t="s">
        <v>624</v>
      </c>
      <c r="M663" s="237">
        <v>1</v>
      </c>
      <c r="N663" s="237"/>
      <c r="O663" s="238"/>
      <c r="P663" s="88" t="str">
        <f t="shared" si="11"/>
        <v>1</v>
      </c>
      <c r="Q663" s="88" t="str">
        <f>IFERROR(INDEX(Торг!$F:$F,MATCH($B663,Торг!$B:$B,0)),"Отсутствует")</f>
        <v>Y</v>
      </c>
      <c r="R663" s="36" t="str">
        <f>IFERROR(IF(AND(Q663="Отсутствует",VLOOKUP(A663,Торг!$A:$A,1,0)=A663),"Добавить","Есть"),"Новый")</f>
        <v>Есть</v>
      </c>
    </row>
    <row r="664" spans="1:18" ht="45" hidden="1">
      <c r="A664" s="238" t="s">
        <v>747</v>
      </c>
      <c r="B664" s="237">
        <v>341973</v>
      </c>
      <c r="C664" s="237">
        <v>341973</v>
      </c>
      <c r="D664" s="238" t="s">
        <v>1457</v>
      </c>
      <c r="E664" s="238" t="s">
        <v>741</v>
      </c>
      <c r="F664" s="238"/>
      <c r="G664" s="238"/>
      <c r="H664" s="238" t="s">
        <v>108</v>
      </c>
      <c r="I664" s="238" t="s">
        <v>250</v>
      </c>
      <c r="J664" s="239">
        <v>41950</v>
      </c>
      <c r="K664" s="239">
        <v>51890</v>
      </c>
      <c r="L664" s="238" t="s">
        <v>624</v>
      </c>
      <c r="M664" s="237">
        <v>1</v>
      </c>
      <c r="N664" s="237"/>
      <c r="O664" s="238"/>
      <c r="P664" s="88" t="str">
        <f t="shared" si="11"/>
        <v>1</v>
      </c>
      <c r="Q664" s="88" t="str">
        <f>IFERROR(INDEX(Торг!$F:$F,MATCH($B664,Торг!$B:$B,0)),"Отсутствует")</f>
        <v>Y</v>
      </c>
      <c r="R664" s="36" t="str">
        <f>IFERROR(IF(AND(Q664="Отсутствует",VLOOKUP(A664,Торг!$A:$A,1,0)=A664),"Добавить","Есть"),"Новый")</f>
        <v>Есть</v>
      </c>
    </row>
    <row r="665" spans="1:18" ht="45" hidden="1">
      <c r="A665" s="238" t="s">
        <v>747</v>
      </c>
      <c r="B665" s="237">
        <v>341961</v>
      </c>
      <c r="C665" s="237">
        <v>341961</v>
      </c>
      <c r="D665" s="238" t="s">
        <v>1458</v>
      </c>
      <c r="E665" s="238" t="s">
        <v>741</v>
      </c>
      <c r="F665" s="238"/>
      <c r="G665" s="238"/>
      <c r="H665" s="238" t="s">
        <v>108</v>
      </c>
      <c r="I665" s="238" t="s">
        <v>250</v>
      </c>
      <c r="J665" s="239">
        <v>41120</v>
      </c>
      <c r="K665" s="239">
        <v>50890</v>
      </c>
      <c r="L665" s="238" t="s">
        <v>624</v>
      </c>
      <c r="M665" s="237">
        <v>1</v>
      </c>
      <c r="N665" s="237"/>
      <c r="O665" s="238"/>
      <c r="P665" s="88" t="str">
        <f t="shared" si="11"/>
        <v>1</v>
      </c>
      <c r="Q665" s="88" t="str">
        <f>IFERROR(INDEX(Торг!$F:$F,MATCH($B665,Торг!$B:$B,0)),"Отсутствует")</f>
        <v>Y</v>
      </c>
      <c r="R665" s="36" t="str">
        <f>IFERROR(IF(AND(Q665="Отсутствует",VLOOKUP(A665,Торг!$A:$A,1,0)=A665),"Добавить","Есть"),"Новый")</f>
        <v>Есть</v>
      </c>
    </row>
    <row r="666" spans="1:18" ht="45" hidden="1">
      <c r="A666" s="238" t="s">
        <v>747</v>
      </c>
      <c r="B666" s="237">
        <v>341974</v>
      </c>
      <c r="C666" s="237">
        <v>341974</v>
      </c>
      <c r="D666" s="238" t="s">
        <v>1459</v>
      </c>
      <c r="E666" s="238" t="s">
        <v>741</v>
      </c>
      <c r="F666" s="238"/>
      <c r="G666" s="238"/>
      <c r="H666" s="238" t="s">
        <v>108</v>
      </c>
      <c r="I666" s="238" t="s">
        <v>250</v>
      </c>
      <c r="J666" s="239">
        <v>41950</v>
      </c>
      <c r="K666" s="239">
        <v>51890</v>
      </c>
      <c r="L666" s="238" t="s">
        <v>624</v>
      </c>
      <c r="M666" s="237">
        <v>1</v>
      </c>
      <c r="N666" s="237"/>
      <c r="O666" s="238"/>
      <c r="P666" s="88" t="str">
        <f t="shared" si="11"/>
        <v>1</v>
      </c>
      <c r="Q666" s="88" t="str">
        <f>IFERROR(INDEX(Торг!$F:$F,MATCH($B666,Торг!$B:$B,0)),"Отсутствует")</f>
        <v>Y</v>
      </c>
      <c r="R666" s="36" t="str">
        <f>IFERROR(IF(AND(Q666="Отсутствует",VLOOKUP(A666,Торг!$A:$A,1,0)=A666),"Добавить","Есть"),"Новый")</f>
        <v>Есть</v>
      </c>
    </row>
    <row r="667" spans="1:18" ht="45" hidden="1">
      <c r="A667" s="238" t="s">
        <v>747</v>
      </c>
      <c r="B667" s="237">
        <v>341964</v>
      </c>
      <c r="C667" s="237">
        <v>341964</v>
      </c>
      <c r="D667" s="238" t="s">
        <v>1460</v>
      </c>
      <c r="E667" s="238" t="s">
        <v>741</v>
      </c>
      <c r="F667" s="238"/>
      <c r="G667" s="238"/>
      <c r="H667" s="238" t="s">
        <v>108</v>
      </c>
      <c r="I667" s="238" t="s">
        <v>250</v>
      </c>
      <c r="J667" s="239">
        <v>41120</v>
      </c>
      <c r="K667" s="239">
        <v>50890</v>
      </c>
      <c r="L667" s="238" t="s">
        <v>624</v>
      </c>
      <c r="M667" s="237">
        <v>1</v>
      </c>
      <c r="N667" s="237"/>
      <c r="O667" s="238"/>
      <c r="P667" s="88" t="str">
        <f t="shared" si="11"/>
        <v>1</v>
      </c>
      <c r="Q667" s="88" t="str">
        <f>IFERROR(INDEX(Торг!$F:$F,MATCH($B667,Торг!$B:$B,0)),"Отсутствует")</f>
        <v>Y</v>
      </c>
      <c r="R667" s="36" t="str">
        <f>IFERROR(IF(AND(Q667="Отсутствует",VLOOKUP(A667,Торг!$A:$A,1,0)=A667),"Добавить","Есть"),"Новый")</f>
        <v>Есть</v>
      </c>
    </row>
    <row r="668" spans="1:18" ht="45" hidden="1">
      <c r="A668" s="238" t="s">
        <v>747</v>
      </c>
      <c r="B668" s="237">
        <v>341977</v>
      </c>
      <c r="C668" s="237">
        <v>341977</v>
      </c>
      <c r="D668" s="238" t="s">
        <v>1461</v>
      </c>
      <c r="E668" s="238" t="s">
        <v>741</v>
      </c>
      <c r="F668" s="238"/>
      <c r="G668" s="238"/>
      <c r="H668" s="238" t="s">
        <v>108</v>
      </c>
      <c r="I668" s="238" t="s">
        <v>250</v>
      </c>
      <c r="J668" s="239">
        <v>41950</v>
      </c>
      <c r="K668" s="239">
        <v>51890</v>
      </c>
      <c r="L668" s="238" t="s">
        <v>624</v>
      </c>
      <c r="M668" s="237">
        <v>1</v>
      </c>
      <c r="N668" s="237"/>
      <c r="O668" s="238"/>
      <c r="P668" s="88" t="str">
        <f t="shared" si="11"/>
        <v>1</v>
      </c>
      <c r="Q668" s="88" t="str">
        <f>IFERROR(INDEX(Торг!$F:$F,MATCH($B668,Торг!$B:$B,0)),"Отсутствует")</f>
        <v>Y</v>
      </c>
      <c r="R668" s="36" t="str">
        <f>IFERROR(IF(AND(Q668="Отсутствует",VLOOKUP(A668,Торг!$A:$A,1,0)=A668),"Добавить","Есть"),"Новый")</f>
        <v>Есть</v>
      </c>
    </row>
    <row r="669" spans="1:18" ht="45" hidden="1">
      <c r="A669" s="238" t="s">
        <v>747</v>
      </c>
      <c r="B669" s="237">
        <v>341962</v>
      </c>
      <c r="C669" s="237">
        <v>341962</v>
      </c>
      <c r="D669" s="238" t="s">
        <v>1462</v>
      </c>
      <c r="E669" s="238" t="s">
        <v>741</v>
      </c>
      <c r="F669" s="238"/>
      <c r="G669" s="238"/>
      <c r="H669" s="238" t="s">
        <v>108</v>
      </c>
      <c r="I669" s="238" t="s">
        <v>250</v>
      </c>
      <c r="J669" s="239">
        <v>41120</v>
      </c>
      <c r="K669" s="239">
        <v>50890</v>
      </c>
      <c r="L669" s="238" t="s">
        <v>624</v>
      </c>
      <c r="M669" s="237">
        <v>1</v>
      </c>
      <c r="N669" s="237"/>
      <c r="O669" s="238"/>
      <c r="P669" s="88" t="str">
        <f t="shared" si="11"/>
        <v>1</v>
      </c>
      <c r="Q669" s="88" t="str">
        <f>IFERROR(INDEX(Торг!$F:$F,MATCH($B669,Торг!$B:$B,0)),"Отсутствует")</f>
        <v>Y</v>
      </c>
      <c r="R669" s="36" t="str">
        <f>IFERROR(IF(AND(Q669="Отсутствует",VLOOKUP(A669,Торг!$A:$A,1,0)=A669),"Добавить","Есть"),"Новый")</f>
        <v>Есть</v>
      </c>
    </row>
    <row r="670" spans="1:18" ht="45" hidden="1">
      <c r="A670" s="238" t="s">
        <v>747</v>
      </c>
      <c r="B670" s="237">
        <v>341975</v>
      </c>
      <c r="C670" s="237">
        <v>341975</v>
      </c>
      <c r="D670" s="238" t="s">
        <v>1463</v>
      </c>
      <c r="E670" s="238" t="s">
        <v>741</v>
      </c>
      <c r="F670" s="238"/>
      <c r="G670" s="238"/>
      <c r="H670" s="238" t="s">
        <v>108</v>
      </c>
      <c r="I670" s="238" t="s">
        <v>250</v>
      </c>
      <c r="J670" s="239">
        <v>41950</v>
      </c>
      <c r="K670" s="239">
        <v>51890</v>
      </c>
      <c r="L670" s="238" t="s">
        <v>624</v>
      </c>
      <c r="M670" s="237">
        <v>1</v>
      </c>
      <c r="N670" s="237"/>
      <c r="O670" s="238"/>
      <c r="P670" s="88" t="str">
        <f t="shared" si="11"/>
        <v>1</v>
      </c>
      <c r="Q670" s="88" t="str">
        <f>IFERROR(INDEX(Торг!$F:$F,MATCH($B670,Торг!$B:$B,0)),"Отсутствует")</f>
        <v>Y</v>
      </c>
      <c r="R670" s="36" t="str">
        <f>IFERROR(IF(AND(Q670="Отсутствует",VLOOKUP(A670,Торг!$A:$A,1,0)=A670),"Добавить","Есть"),"Новый")</f>
        <v>Есть</v>
      </c>
    </row>
    <row r="671" spans="1:18" ht="45" hidden="1">
      <c r="A671" s="238" t="s">
        <v>747</v>
      </c>
      <c r="B671" s="237">
        <v>341963</v>
      </c>
      <c r="C671" s="237">
        <v>341963</v>
      </c>
      <c r="D671" s="238" t="s">
        <v>1464</v>
      </c>
      <c r="E671" s="238" t="s">
        <v>741</v>
      </c>
      <c r="F671" s="238"/>
      <c r="G671" s="238"/>
      <c r="H671" s="238" t="s">
        <v>108</v>
      </c>
      <c r="I671" s="238" t="s">
        <v>250</v>
      </c>
      <c r="J671" s="239">
        <v>41120</v>
      </c>
      <c r="K671" s="239">
        <v>50890</v>
      </c>
      <c r="L671" s="238" t="s">
        <v>624</v>
      </c>
      <c r="M671" s="237">
        <v>1</v>
      </c>
      <c r="N671" s="237"/>
      <c r="O671" s="238"/>
      <c r="P671" s="88" t="str">
        <f t="shared" si="11"/>
        <v>1</v>
      </c>
      <c r="Q671" s="88" t="str">
        <f>IFERROR(INDEX(Торг!$F:$F,MATCH($B671,Торг!$B:$B,0)),"Отсутствует")</f>
        <v>Y</v>
      </c>
      <c r="R671" s="36" t="str">
        <f>IFERROR(IF(AND(Q671="Отсутствует",VLOOKUP(A671,Торг!$A:$A,1,0)=A671),"Добавить","Есть"),"Новый")</f>
        <v>Есть</v>
      </c>
    </row>
    <row r="672" spans="1:18" ht="45" hidden="1">
      <c r="A672" s="238" t="s">
        <v>747</v>
      </c>
      <c r="B672" s="237">
        <v>341976</v>
      </c>
      <c r="C672" s="237">
        <v>341976</v>
      </c>
      <c r="D672" s="238" t="s">
        <v>1465</v>
      </c>
      <c r="E672" s="238" t="s">
        <v>741</v>
      </c>
      <c r="F672" s="238"/>
      <c r="G672" s="238"/>
      <c r="H672" s="238" t="s">
        <v>108</v>
      </c>
      <c r="I672" s="238" t="s">
        <v>250</v>
      </c>
      <c r="J672" s="239">
        <v>41950</v>
      </c>
      <c r="K672" s="239">
        <v>51890</v>
      </c>
      <c r="L672" s="238" t="s">
        <v>624</v>
      </c>
      <c r="M672" s="237">
        <v>1</v>
      </c>
      <c r="N672" s="237"/>
      <c r="O672" s="238"/>
      <c r="P672" s="88" t="str">
        <f t="shared" si="11"/>
        <v>1</v>
      </c>
      <c r="Q672" s="88" t="str">
        <f>IFERROR(INDEX(Торг!$F:$F,MATCH($B672,Торг!$B:$B,0)),"Отсутствует")</f>
        <v>Y</v>
      </c>
      <c r="R672" s="36" t="str">
        <f>IFERROR(IF(AND(Q672="Отсутствует",VLOOKUP(A672,Торг!$A:$A,1,0)=A672),"Добавить","Есть"),"Новый")</f>
        <v>Есть</v>
      </c>
    </row>
    <row r="673" spans="1:18" ht="45" hidden="1">
      <c r="A673" s="238" t="s">
        <v>747</v>
      </c>
      <c r="B673" s="237">
        <v>341965</v>
      </c>
      <c r="C673" s="237">
        <v>341965</v>
      </c>
      <c r="D673" s="238" t="s">
        <v>1466</v>
      </c>
      <c r="E673" s="238" t="s">
        <v>741</v>
      </c>
      <c r="F673" s="238"/>
      <c r="G673" s="238"/>
      <c r="H673" s="238" t="s">
        <v>108</v>
      </c>
      <c r="I673" s="238" t="s">
        <v>250</v>
      </c>
      <c r="J673" s="239">
        <v>41120</v>
      </c>
      <c r="K673" s="239">
        <v>50890</v>
      </c>
      <c r="L673" s="238" t="s">
        <v>624</v>
      </c>
      <c r="M673" s="237">
        <v>1</v>
      </c>
      <c r="N673" s="237"/>
      <c r="O673" s="238"/>
      <c r="P673" s="88" t="str">
        <f t="shared" si="11"/>
        <v>1</v>
      </c>
      <c r="Q673" s="88" t="str">
        <f>IFERROR(INDEX(Торг!$F:$F,MATCH($B673,Торг!$B:$B,0)),"Отсутствует")</f>
        <v>Y</v>
      </c>
      <c r="R673" s="36" t="str">
        <f>IFERROR(IF(AND(Q673="Отсутствует",VLOOKUP(A673,Торг!$A:$A,1,0)=A673),"Добавить","Есть"),"Новый")</f>
        <v>Есть</v>
      </c>
    </row>
    <row r="674" spans="1:18" ht="45" hidden="1">
      <c r="A674" s="238" t="s">
        <v>747</v>
      </c>
      <c r="B674" s="237">
        <v>341978</v>
      </c>
      <c r="C674" s="237">
        <v>341978</v>
      </c>
      <c r="D674" s="238" t="s">
        <v>1467</v>
      </c>
      <c r="E674" s="238" t="s">
        <v>741</v>
      </c>
      <c r="F674" s="238"/>
      <c r="G674" s="238"/>
      <c r="H674" s="238" t="s">
        <v>108</v>
      </c>
      <c r="I674" s="238" t="s">
        <v>250</v>
      </c>
      <c r="J674" s="239">
        <v>41950</v>
      </c>
      <c r="K674" s="239">
        <v>51890</v>
      </c>
      <c r="L674" s="238" t="s">
        <v>624</v>
      </c>
      <c r="M674" s="237">
        <v>1</v>
      </c>
      <c r="N674" s="237"/>
      <c r="O674" s="238"/>
      <c r="P674" s="88" t="str">
        <f t="shared" si="11"/>
        <v>1</v>
      </c>
      <c r="Q674" s="88" t="str">
        <f>IFERROR(INDEX(Торг!$F:$F,MATCH($B674,Торг!$B:$B,0)),"Отсутствует")</f>
        <v>Y</v>
      </c>
      <c r="R674" s="36" t="str">
        <f>IFERROR(IF(AND(Q674="Отсутствует",VLOOKUP(A674,Торг!$A:$A,1,0)=A674),"Добавить","Есть"),"Новый")</f>
        <v>Есть</v>
      </c>
    </row>
    <row r="675" spans="1:18" ht="45" hidden="1">
      <c r="A675" s="238" t="s">
        <v>747</v>
      </c>
      <c r="B675" s="237">
        <v>341957</v>
      </c>
      <c r="C675" s="237">
        <v>341957</v>
      </c>
      <c r="D675" s="238" t="s">
        <v>1468</v>
      </c>
      <c r="E675" s="238" t="s">
        <v>741</v>
      </c>
      <c r="F675" s="238"/>
      <c r="G675" s="238"/>
      <c r="H675" s="238" t="s">
        <v>108</v>
      </c>
      <c r="I675" s="238" t="s">
        <v>250</v>
      </c>
      <c r="J675" s="239">
        <v>41120</v>
      </c>
      <c r="K675" s="239">
        <v>50890</v>
      </c>
      <c r="L675" s="238" t="s">
        <v>624</v>
      </c>
      <c r="M675" s="237">
        <v>1</v>
      </c>
      <c r="N675" s="237"/>
      <c r="O675" s="238"/>
      <c r="P675" s="88" t="str">
        <f t="shared" si="11"/>
        <v>1</v>
      </c>
      <c r="Q675" s="88" t="str">
        <f>IFERROR(INDEX(Торг!$F:$F,MATCH($B675,Торг!$B:$B,0)),"Отсутствует")</f>
        <v>Y</v>
      </c>
      <c r="R675" s="36" t="str">
        <f>IFERROR(IF(AND(Q675="Отсутствует",VLOOKUP(A675,Торг!$A:$A,1,0)=A675),"Добавить","Есть"),"Новый")</f>
        <v>Есть</v>
      </c>
    </row>
    <row r="676" spans="1:18" ht="45" hidden="1">
      <c r="A676" s="238" t="s">
        <v>747</v>
      </c>
      <c r="B676" s="237">
        <v>341970</v>
      </c>
      <c r="C676" s="237">
        <v>341970</v>
      </c>
      <c r="D676" s="238" t="s">
        <v>1469</v>
      </c>
      <c r="E676" s="238" t="s">
        <v>741</v>
      </c>
      <c r="F676" s="238"/>
      <c r="G676" s="238"/>
      <c r="H676" s="238" t="s">
        <v>108</v>
      </c>
      <c r="I676" s="238" t="s">
        <v>250</v>
      </c>
      <c r="J676" s="239">
        <v>41950</v>
      </c>
      <c r="K676" s="239">
        <v>51890</v>
      </c>
      <c r="L676" s="238" t="s">
        <v>624</v>
      </c>
      <c r="M676" s="237">
        <v>1</v>
      </c>
      <c r="N676" s="237"/>
      <c r="O676" s="238"/>
      <c r="P676" s="88" t="str">
        <f t="shared" si="11"/>
        <v>1</v>
      </c>
      <c r="Q676" s="88" t="str">
        <f>IFERROR(INDEX(Торг!$F:$F,MATCH($B676,Торг!$B:$B,0)),"Отсутствует")</f>
        <v>Y</v>
      </c>
      <c r="R676" s="36" t="str">
        <f>IFERROR(IF(AND(Q676="Отсутствует",VLOOKUP(A676,Торг!$A:$A,1,0)=A676),"Добавить","Есть"),"Новый")</f>
        <v>Есть</v>
      </c>
    </row>
    <row r="677" spans="1:18" ht="45" hidden="1">
      <c r="A677" s="238" t="s">
        <v>747</v>
      </c>
      <c r="B677" s="237">
        <v>341956</v>
      </c>
      <c r="C677" s="237">
        <v>341956</v>
      </c>
      <c r="D677" s="238" t="s">
        <v>1470</v>
      </c>
      <c r="E677" s="238" t="s">
        <v>741</v>
      </c>
      <c r="F677" s="238"/>
      <c r="G677" s="238"/>
      <c r="H677" s="238" t="s">
        <v>108</v>
      </c>
      <c r="I677" s="238" t="s">
        <v>250</v>
      </c>
      <c r="J677" s="239">
        <v>40250</v>
      </c>
      <c r="K677" s="239">
        <v>49790</v>
      </c>
      <c r="L677" s="238" t="s">
        <v>624</v>
      </c>
      <c r="M677" s="237">
        <v>1</v>
      </c>
      <c r="N677" s="237"/>
      <c r="O677" s="238"/>
      <c r="P677" s="88" t="str">
        <f t="shared" si="11"/>
        <v>1</v>
      </c>
      <c r="Q677" s="88" t="str">
        <f>IFERROR(INDEX(Торг!$F:$F,MATCH($B677,Торг!$B:$B,0)),"Отсутствует")</f>
        <v>Y</v>
      </c>
      <c r="R677" s="36" t="str">
        <f>IFERROR(IF(AND(Q677="Отсутствует",VLOOKUP(A677,Торг!$A:$A,1,0)=A677),"Добавить","Есть"),"Новый")</f>
        <v>Есть</v>
      </c>
    </row>
    <row r="678" spans="1:18" ht="45" hidden="1">
      <c r="A678" s="238" t="s">
        <v>747</v>
      </c>
      <c r="B678" s="237">
        <v>341969</v>
      </c>
      <c r="C678" s="237">
        <v>341969</v>
      </c>
      <c r="D678" s="238" t="s">
        <v>1471</v>
      </c>
      <c r="E678" s="238" t="s">
        <v>741</v>
      </c>
      <c r="F678" s="238"/>
      <c r="G678" s="238"/>
      <c r="H678" s="238" t="s">
        <v>108</v>
      </c>
      <c r="I678" s="238" t="s">
        <v>250</v>
      </c>
      <c r="J678" s="239">
        <v>41080</v>
      </c>
      <c r="K678" s="239">
        <v>50790</v>
      </c>
      <c r="L678" s="238" t="s">
        <v>624</v>
      </c>
      <c r="M678" s="237">
        <v>1</v>
      </c>
      <c r="N678" s="237"/>
      <c r="O678" s="238"/>
      <c r="P678" s="88" t="str">
        <f t="shared" ref="P678:P741" si="12">_xlfn.CONCAT(M678,IF(N678&lt;&gt;"",_xlfn.CONCAT("ск",N678),""))</f>
        <v>1</v>
      </c>
      <c r="Q678" s="88" t="str">
        <f>IFERROR(INDEX(Торг!$F:$F,MATCH($B678,Торг!$B:$B,0)),"Отсутствует")</f>
        <v>Y</v>
      </c>
      <c r="R678" s="36" t="str">
        <f>IFERROR(IF(AND(Q678="Отсутствует",VLOOKUP(A678,Торг!$A:$A,1,0)=A678),"Добавить","Есть"),"Новый")</f>
        <v>Есть</v>
      </c>
    </row>
    <row r="679" spans="1:18" ht="45" hidden="1">
      <c r="A679" s="238" t="s">
        <v>748</v>
      </c>
      <c r="B679" s="237">
        <v>341989</v>
      </c>
      <c r="C679" s="237">
        <v>341989</v>
      </c>
      <c r="D679" s="238" t="s">
        <v>1472</v>
      </c>
      <c r="E679" s="238" t="s">
        <v>741</v>
      </c>
      <c r="F679" s="238"/>
      <c r="G679" s="238"/>
      <c r="H679" s="238" t="s">
        <v>109</v>
      </c>
      <c r="I679" s="238" t="s">
        <v>250</v>
      </c>
      <c r="J679" s="239">
        <v>40470</v>
      </c>
      <c r="K679" s="239">
        <v>50090</v>
      </c>
      <c r="L679" s="238" t="s">
        <v>620</v>
      </c>
      <c r="M679" s="237">
        <v>1</v>
      </c>
      <c r="N679" s="237"/>
      <c r="O679" s="238"/>
      <c r="P679" s="88" t="str">
        <f t="shared" si="12"/>
        <v>1</v>
      </c>
      <c r="Q679" s="88" t="str">
        <f>IFERROR(INDEX(Торг!$F:$F,MATCH($B679,Торг!$B:$B,0)),"Отсутствует")</f>
        <v>Y</v>
      </c>
      <c r="R679" s="36" t="str">
        <f>IFERROR(IF(AND(Q679="Отсутствует",VLOOKUP(A679,Торг!$A:$A,1,0)=A679),"Добавить","Есть"),"Новый")</f>
        <v>Есть</v>
      </c>
    </row>
    <row r="680" spans="1:18" ht="45" hidden="1">
      <c r="A680" s="238" t="s">
        <v>748</v>
      </c>
      <c r="B680" s="237">
        <v>342002</v>
      </c>
      <c r="C680" s="237">
        <v>342002</v>
      </c>
      <c r="D680" s="238" t="s">
        <v>1473</v>
      </c>
      <c r="E680" s="238" t="s">
        <v>741</v>
      </c>
      <c r="F680" s="238"/>
      <c r="G680" s="238"/>
      <c r="H680" s="238" t="s">
        <v>109</v>
      </c>
      <c r="I680" s="238" t="s">
        <v>250</v>
      </c>
      <c r="J680" s="239">
        <v>41300</v>
      </c>
      <c r="K680" s="239">
        <v>51090</v>
      </c>
      <c r="L680" s="238" t="s">
        <v>620</v>
      </c>
      <c r="M680" s="237">
        <v>1</v>
      </c>
      <c r="N680" s="237"/>
      <c r="O680" s="238"/>
      <c r="P680" s="88" t="str">
        <f t="shared" si="12"/>
        <v>1</v>
      </c>
      <c r="Q680" s="88" t="str">
        <f>IFERROR(INDEX(Торг!$F:$F,MATCH($B680,Торг!$B:$B,0)),"Отсутствует")</f>
        <v>Y</v>
      </c>
      <c r="R680" s="36" t="str">
        <f>IFERROR(IF(AND(Q680="Отсутствует",VLOOKUP(A680,Торг!$A:$A,1,0)=A680),"Добавить","Есть"),"Новый")</f>
        <v>Есть</v>
      </c>
    </row>
    <row r="681" spans="1:18" ht="45" hidden="1">
      <c r="A681" s="238" t="s">
        <v>748</v>
      </c>
      <c r="B681" s="237">
        <v>342001</v>
      </c>
      <c r="C681" s="237">
        <v>342001</v>
      </c>
      <c r="D681" s="238" t="s">
        <v>1474</v>
      </c>
      <c r="E681" s="238" t="s">
        <v>741</v>
      </c>
      <c r="F681" s="238"/>
      <c r="G681" s="238"/>
      <c r="H681" s="238" t="s">
        <v>109</v>
      </c>
      <c r="I681" s="238" t="s">
        <v>250</v>
      </c>
      <c r="J681" s="239">
        <v>40470</v>
      </c>
      <c r="K681" s="239">
        <v>50090</v>
      </c>
      <c r="L681" s="238" t="s">
        <v>620</v>
      </c>
      <c r="M681" s="237">
        <v>1</v>
      </c>
      <c r="N681" s="237"/>
      <c r="O681" s="238"/>
      <c r="P681" s="88" t="str">
        <f t="shared" si="12"/>
        <v>1</v>
      </c>
      <c r="Q681" s="88" t="str">
        <f>IFERROR(INDEX(Торг!$F:$F,MATCH($B681,Торг!$B:$B,0)),"Отсутствует")</f>
        <v>Y</v>
      </c>
      <c r="R681" s="36" t="str">
        <f>IFERROR(IF(AND(Q681="Отсутствует",VLOOKUP(A681,Торг!$A:$A,1,0)=A681),"Добавить","Есть"),"Новый")</f>
        <v>Есть</v>
      </c>
    </row>
    <row r="682" spans="1:18" ht="45" hidden="1">
      <c r="A682" s="238" t="s">
        <v>748</v>
      </c>
      <c r="B682" s="237">
        <v>342014</v>
      </c>
      <c r="C682" s="237">
        <v>342014</v>
      </c>
      <c r="D682" s="238" t="s">
        <v>1475</v>
      </c>
      <c r="E682" s="238" t="s">
        <v>741</v>
      </c>
      <c r="F682" s="238"/>
      <c r="G682" s="238"/>
      <c r="H682" s="238" t="s">
        <v>109</v>
      </c>
      <c r="I682" s="238" t="s">
        <v>250</v>
      </c>
      <c r="J682" s="239">
        <v>41300</v>
      </c>
      <c r="K682" s="239">
        <v>51090</v>
      </c>
      <c r="L682" s="238" t="s">
        <v>620</v>
      </c>
      <c r="M682" s="237">
        <v>1</v>
      </c>
      <c r="N682" s="237"/>
      <c r="O682" s="238"/>
      <c r="P682" s="88" t="str">
        <f t="shared" si="12"/>
        <v>1</v>
      </c>
      <c r="Q682" s="88" t="str">
        <f>IFERROR(INDEX(Торг!$F:$F,MATCH($B682,Торг!$B:$B,0)),"Отсутствует")</f>
        <v>Y</v>
      </c>
      <c r="R682" s="36" t="str">
        <f>IFERROR(IF(AND(Q682="Отсутствует",VLOOKUP(A682,Торг!$A:$A,1,0)=A682),"Добавить","Есть"),"Новый")</f>
        <v>Есть</v>
      </c>
    </row>
    <row r="683" spans="1:18" ht="45" hidden="1">
      <c r="A683" s="238" t="s">
        <v>748</v>
      </c>
      <c r="B683" s="237">
        <v>342000</v>
      </c>
      <c r="C683" s="237">
        <v>342000</v>
      </c>
      <c r="D683" s="238" t="s">
        <v>1476</v>
      </c>
      <c r="E683" s="238" t="s">
        <v>741</v>
      </c>
      <c r="F683" s="238"/>
      <c r="G683" s="238"/>
      <c r="H683" s="238" t="s">
        <v>109</v>
      </c>
      <c r="I683" s="238" t="s">
        <v>250</v>
      </c>
      <c r="J683" s="239">
        <v>40470</v>
      </c>
      <c r="K683" s="239">
        <v>50090</v>
      </c>
      <c r="L683" s="238" t="s">
        <v>620</v>
      </c>
      <c r="M683" s="237">
        <v>1</v>
      </c>
      <c r="N683" s="237"/>
      <c r="O683" s="238"/>
      <c r="P683" s="88" t="str">
        <f t="shared" si="12"/>
        <v>1</v>
      </c>
      <c r="Q683" s="88" t="str">
        <f>IFERROR(INDEX(Торг!$F:$F,MATCH($B683,Торг!$B:$B,0)),"Отсутствует")</f>
        <v>Y</v>
      </c>
      <c r="R683" s="36" t="str">
        <f>IFERROR(IF(AND(Q683="Отсутствует",VLOOKUP(A683,Торг!$A:$A,1,0)=A683),"Добавить","Есть"),"Новый")</f>
        <v>Есть</v>
      </c>
    </row>
    <row r="684" spans="1:18" ht="45" hidden="1">
      <c r="A684" s="238" t="s">
        <v>748</v>
      </c>
      <c r="B684" s="237">
        <v>342013</v>
      </c>
      <c r="C684" s="237">
        <v>342013</v>
      </c>
      <c r="D684" s="238" t="s">
        <v>1477</v>
      </c>
      <c r="E684" s="238" t="s">
        <v>741</v>
      </c>
      <c r="F684" s="238"/>
      <c r="G684" s="238"/>
      <c r="H684" s="238" t="s">
        <v>109</v>
      </c>
      <c r="I684" s="238" t="s">
        <v>250</v>
      </c>
      <c r="J684" s="239">
        <v>41300</v>
      </c>
      <c r="K684" s="239">
        <v>51090</v>
      </c>
      <c r="L684" s="238" t="s">
        <v>620</v>
      </c>
      <c r="M684" s="237">
        <v>1</v>
      </c>
      <c r="N684" s="237"/>
      <c r="O684" s="238"/>
      <c r="P684" s="88" t="str">
        <f t="shared" si="12"/>
        <v>1</v>
      </c>
      <c r="Q684" s="88" t="str">
        <f>IFERROR(INDEX(Торг!$F:$F,MATCH($B684,Торг!$B:$B,0)),"Отсутствует")</f>
        <v>Y</v>
      </c>
      <c r="R684" s="36" t="str">
        <f>IFERROR(IF(AND(Q684="Отсутствует",VLOOKUP(A684,Торг!$A:$A,1,0)=A684),"Добавить","Есть"),"Новый")</f>
        <v>Есть</v>
      </c>
    </row>
    <row r="685" spans="1:18" ht="45" hidden="1">
      <c r="A685" s="238" t="s">
        <v>748</v>
      </c>
      <c r="B685" s="237">
        <v>341992</v>
      </c>
      <c r="C685" s="237">
        <v>341992</v>
      </c>
      <c r="D685" s="238" t="s">
        <v>1478</v>
      </c>
      <c r="E685" s="238" t="s">
        <v>741</v>
      </c>
      <c r="F685" s="238"/>
      <c r="G685" s="238"/>
      <c r="H685" s="238" t="s">
        <v>109</v>
      </c>
      <c r="I685" s="238" t="s">
        <v>250</v>
      </c>
      <c r="J685" s="239">
        <v>40470</v>
      </c>
      <c r="K685" s="239">
        <v>50090</v>
      </c>
      <c r="L685" s="238" t="s">
        <v>620</v>
      </c>
      <c r="M685" s="237">
        <v>1</v>
      </c>
      <c r="N685" s="237"/>
      <c r="O685" s="238"/>
      <c r="P685" s="88" t="str">
        <f t="shared" si="12"/>
        <v>1</v>
      </c>
      <c r="Q685" s="88" t="str">
        <f>IFERROR(INDEX(Торг!$F:$F,MATCH($B685,Торг!$B:$B,0)),"Отсутствует")</f>
        <v>Y</v>
      </c>
      <c r="R685" s="36" t="str">
        <f>IFERROR(IF(AND(Q685="Отсутствует",VLOOKUP(A685,Торг!$A:$A,1,0)=A685),"Добавить","Есть"),"Новый")</f>
        <v>Есть</v>
      </c>
    </row>
    <row r="686" spans="1:18" ht="45" hidden="1">
      <c r="A686" s="238" t="s">
        <v>748</v>
      </c>
      <c r="B686" s="237">
        <v>342005</v>
      </c>
      <c r="C686" s="237">
        <v>342005</v>
      </c>
      <c r="D686" s="238" t="s">
        <v>1479</v>
      </c>
      <c r="E686" s="238" t="s">
        <v>741</v>
      </c>
      <c r="F686" s="238"/>
      <c r="G686" s="238"/>
      <c r="H686" s="238" t="s">
        <v>109</v>
      </c>
      <c r="I686" s="238" t="s">
        <v>250</v>
      </c>
      <c r="J686" s="239">
        <v>41300</v>
      </c>
      <c r="K686" s="239">
        <v>51090</v>
      </c>
      <c r="L686" s="238" t="s">
        <v>620</v>
      </c>
      <c r="M686" s="237">
        <v>1</v>
      </c>
      <c r="N686" s="237"/>
      <c r="O686" s="238"/>
      <c r="P686" s="88" t="str">
        <f t="shared" si="12"/>
        <v>1</v>
      </c>
      <c r="Q686" s="88" t="str">
        <f>IFERROR(INDEX(Торг!$F:$F,MATCH($B686,Торг!$B:$B,0)),"Отсутствует")</f>
        <v>Y</v>
      </c>
      <c r="R686" s="36" t="str">
        <f>IFERROR(IF(AND(Q686="Отсутствует",VLOOKUP(A686,Торг!$A:$A,1,0)=A686),"Добавить","Есть"),"Новый")</f>
        <v>Есть</v>
      </c>
    </row>
    <row r="687" spans="1:18" ht="45" hidden="1">
      <c r="A687" s="238" t="s">
        <v>748</v>
      </c>
      <c r="B687" s="237">
        <v>341993</v>
      </c>
      <c r="C687" s="237">
        <v>341993</v>
      </c>
      <c r="D687" s="238" t="s">
        <v>1480</v>
      </c>
      <c r="E687" s="238" t="s">
        <v>741</v>
      </c>
      <c r="F687" s="238"/>
      <c r="G687" s="238"/>
      <c r="H687" s="238" t="s">
        <v>109</v>
      </c>
      <c r="I687" s="238" t="s">
        <v>250</v>
      </c>
      <c r="J687" s="239">
        <v>40470</v>
      </c>
      <c r="K687" s="239">
        <v>50090</v>
      </c>
      <c r="L687" s="238" t="s">
        <v>620</v>
      </c>
      <c r="M687" s="237">
        <v>1</v>
      </c>
      <c r="N687" s="237"/>
      <c r="O687" s="238"/>
      <c r="P687" s="88" t="str">
        <f t="shared" si="12"/>
        <v>1</v>
      </c>
      <c r="Q687" s="88" t="str">
        <f>IFERROR(INDEX(Торг!$F:$F,MATCH($B687,Торг!$B:$B,0)),"Отсутствует")</f>
        <v>Y</v>
      </c>
      <c r="R687" s="36" t="str">
        <f>IFERROR(IF(AND(Q687="Отсутствует",VLOOKUP(A687,Торг!$A:$A,1,0)=A687),"Добавить","Есть"),"Новый")</f>
        <v>Есть</v>
      </c>
    </row>
    <row r="688" spans="1:18" ht="45" hidden="1">
      <c r="A688" s="238" t="s">
        <v>748</v>
      </c>
      <c r="B688" s="237">
        <v>342006</v>
      </c>
      <c r="C688" s="237">
        <v>342006</v>
      </c>
      <c r="D688" s="238" t="s">
        <v>1481</v>
      </c>
      <c r="E688" s="238" t="s">
        <v>741</v>
      </c>
      <c r="F688" s="238"/>
      <c r="G688" s="238"/>
      <c r="H688" s="238" t="s">
        <v>109</v>
      </c>
      <c r="I688" s="238" t="s">
        <v>250</v>
      </c>
      <c r="J688" s="239">
        <v>41300</v>
      </c>
      <c r="K688" s="239">
        <v>51090</v>
      </c>
      <c r="L688" s="238" t="s">
        <v>620</v>
      </c>
      <c r="M688" s="237">
        <v>1</v>
      </c>
      <c r="N688" s="237"/>
      <c r="O688" s="238"/>
      <c r="P688" s="88" t="str">
        <f t="shared" si="12"/>
        <v>1</v>
      </c>
      <c r="Q688" s="88" t="str">
        <f>IFERROR(INDEX(Торг!$F:$F,MATCH($B688,Торг!$B:$B,0)),"Отсутствует")</f>
        <v>Y</v>
      </c>
      <c r="R688" s="36" t="str">
        <f>IFERROR(IF(AND(Q688="Отсутствует",VLOOKUP(A688,Торг!$A:$A,1,0)=A688),"Добавить","Есть"),"Новый")</f>
        <v>Есть</v>
      </c>
    </row>
    <row r="689" spans="1:18" ht="45" hidden="1">
      <c r="A689" s="238" t="s">
        <v>748</v>
      </c>
      <c r="B689" s="237">
        <v>341994</v>
      </c>
      <c r="C689" s="237">
        <v>341994</v>
      </c>
      <c r="D689" s="238" t="s">
        <v>1482</v>
      </c>
      <c r="E689" s="238" t="s">
        <v>741</v>
      </c>
      <c r="F689" s="238"/>
      <c r="G689" s="238"/>
      <c r="H689" s="238" t="s">
        <v>109</v>
      </c>
      <c r="I689" s="238" t="s">
        <v>250</v>
      </c>
      <c r="J689" s="239">
        <v>40470</v>
      </c>
      <c r="K689" s="239">
        <v>50090</v>
      </c>
      <c r="L689" s="238" t="s">
        <v>620</v>
      </c>
      <c r="M689" s="237">
        <v>1</v>
      </c>
      <c r="N689" s="237"/>
      <c r="O689" s="238"/>
      <c r="P689" s="88" t="str">
        <f t="shared" si="12"/>
        <v>1</v>
      </c>
      <c r="Q689" s="88" t="str">
        <f>IFERROR(INDEX(Торг!$F:$F,MATCH($B689,Торг!$B:$B,0)),"Отсутствует")</f>
        <v>Y</v>
      </c>
      <c r="R689" s="36" t="str">
        <f>IFERROR(IF(AND(Q689="Отсутствует",VLOOKUP(A689,Торг!$A:$A,1,0)=A689),"Добавить","Есть"),"Новый")</f>
        <v>Есть</v>
      </c>
    </row>
    <row r="690" spans="1:18" ht="45" hidden="1">
      <c r="A690" s="238" t="s">
        <v>748</v>
      </c>
      <c r="B690" s="237">
        <v>342007</v>
      </c>
      <c r="C690" s="237">
        <v>342007</v>
      </c>
      <c r="D690" s="238" t="s">
        <v>1483</v>
      </c>
      <c r="E690" s="238" t="s">
        <v>741</v>
      </c>
      <c r="F690" s="238"/>
      <c r="G690" s="238"/>
      <c r="H690" s="238" t="s">
        <v>109</v>
      </c>
      <c r="I690" s="238" t="s">
        <v>250</v>
      </c>
      <c r="J690" s="239">
        <v>41300</v>
      </c>
      <c r="K690" s="239">
        <v>51090</v>
      </c>
      <c r="L690" s="238" t="s">
        <v>620</v>
      </c>
      <c r="M690" s="237">
        <v>1</v>
      </c>
      <c r="N690" s="237"/>
      <c r="O690" s="238"/>
      <c r="P690" s="88" t="str">
        <f t="shared" si="12"/>
        <v>1</v>
      </c>
      <c r="Q690" s="88" t="str">
        <f>IFERROR(INDEX(Торг!$F:$F,MATCH($B690,Торг!$B:$B,0)),"Отсутствует")</f>
        <v>Y</v>
      </c>
      <c r="R690" s="36" t="str">
        <f>IFERROR(IF(AND(Q690="Отсутствует",VLOOKUP(A690,Торг!$A:$A,1,0)=A690),"Добавить","Есть"),"Новый")</f>
        <v>Есть</v>
      </c>
    </row>
    <row r="691" spans="1:18" ht="45" hidden="1">
      <c r="A691" s="238" t="s">
        <v>748</v>
      </c>
      <c r="B691" s="237">
        <v>341995</v>
      </c>
      <c r="C691" s="237">
        <v>341995</v>
      </c>
      <c r="D691" s="238" t="s">
        <v>1484</v>
      </c>
      <c r="E691" s="238" t="s">
        <v>741</v>
      </c>
      <c r="F691" s="238"/>
      <c r="G691" s="238"/>
      <c r="H691" s="238" t="s">
        <v>109</v>
      </c>
      <c r="I691" s="238" t="s">
        <v>250</v>
      </c>
      <c r="J691" s="239">
        <v>40470</v>
      </c>
      <c r="K691" s="239">
        <v>50090</v>
      </c>
      <c r="L691" s="238" t="s">
        <v>620</v>
      </c>
      <c r="M691" s="237">
        <v>1</v>
      </c>
      <c r="N691" s="237"/>
      <c r="O691" s="238"/>
      <c r="P691" s="88" t="str">
        <f t="shared" si="12"/>
        <v>1</v>
      </c>
      <c r="Q691" s="88" t="str">
        <f>IFERROR(INDEX(Торг!$F:$F,MATCH($B691,Торг!$B:$B,0)),"Отсутствует")</f>
        <v>Y</v>
      </c>
      <c r="R691" s="36" t="str">
        <f>IFERROR(IF(AND(Q691="Отсутствует",VLOOKUP(A691,Торг!$A:$A,1,0)=A691),"Добавить","Есть"),"Новый")</f>
        <v>Есть</v>
      </c>
    </row>
    <row r="692" spans="1:18" ht="45" hidden="1">
      <c r="A692" s="238" t="s">
        <v>748</v>
      </c>
      <c r="B692" s="237">
        <v>342008</v>
      </c>
      <c r="C692" s="237">
        <v>342008</v>
      </c>
      <c r="D692" s="238" t="s">
        <v>1485</v>
      </c>
      <c r="E692" s="238" t="s">
        <v>741</v>
      </c>
      <c r="F692" s="238"/>
      <c r="G692" s="238"/>
      <c r="H692" s="238" t="s">
        <v>109</v>
      </c>
      <c r="I692" s="238" t="s">
        <v>250</v>
      </c>
      <c r="J692" s="239">
        <v>41300</v>
      </c>
      <c r="K692" s="239">
        <v>51090</v>
      </c>
      <c r="L692" s="238" t="s">
        <v>620</v>
      </c>
      <c r="M692" s="237">
        <v>1</v>
      </c>
      <c r="N692" s="237"/>
      <c r="O692" s="238"/>
      <c r="P692" s="88" t="str">
        <f t="shared" si="12"/>
        <v>1</v>
      </c>
      <c r="Q692" s="88" t="str">
        <f>IFERROR(INDEX(Торг!$F:$F,MATCH($B692,Торг!$B:$B,0)),"Отсутствует")</f>
        <v>Y</v>
      </c>
      <c r="R692" s="36" t="str">
        <f>IFERROR(IF(AND(Q692="Отсутствует",VLOOKUP(A692,Торг!$A:$A,1,0)=A692),"Добавить","Есть"),"Новый")</f>
        <v>Есть</v>
      </c>
    </row>
    <row r="693" spans="1:18" ht="45" hidden="1">
      <c r="A693" s="238" t="s">
        <v>748</v>
      </c>
      <c r="B693" s="237">
        <v>341998</v>
      </c>
      <c r="C693" s="237">
        <v>341998</v>
      </c>
      <c r="D693" s="238" t="s">
        <v>1486</v>
      </c>
      <c r="E693" s="238" t="s">
        <v>741</v>
      </c>
      <c r="F693" s="238"/>
      <c r="G693" s="238"/>
      <c r="H693" s="238" t="s">
        <v>109</v>
      </c>
      <c r="I693" s="238" t="s">
        <v>250</v>
      </c>
      <c r="J693" s="239">
        <v>40470</v>
      </c>
      <c r="K693" s="239">
        <v>50090</v>
      </c>
      <c r="L693" s="238" t="s">
        <v>620</v>
      </c>
      <c r="M693" s="237">
        <v>1</v>
      </c>
      <c r="N693" s="237"/>
      <c r="O693" s="238"/>
      <c r="P693" s="88" t="str">
        <f t="shared" si="12"/>
        <v>1</v>
      </c>
      <c r="Q693" s="88" t="str">
        <f>IFERROR(INDEX(Торг!$F:$F,MATCH($B693,Торг!$B:$B,0)),"Отсутствует")</f>
        <v>Y</v>
      </c>
      <c r="R693" s="36" t="str">
        <f>IFERROR(IF(AND(Q693="Отсутствует",VLOOKUP(A693,Торг!$A:$A,1,0)=A693),"Добавить","Есть"),"Новый")</f>
        <v>Есть</v>
      </c>
    </row>
    <row r="694" spans="1:18" ht="45" hidden="1">
      <c r="A694" s="238" t="s">
        <v>748</v>
      </c>
      <c r="B694" s="237">
        <v>342011</v>
      </c>
      <c r="C694" s="237">
        <v>342011</v>
      </c>
      <c r="D694" s="238" t="s">
        <v>1487</v>
      </c>
      <c r="E694" s="238" t="s">
        <v>741</v>
      </c>
      <c r="F694" s="238"/>
      <c r="G694" s="238"/>
      <c r="H694" s="238" t="s">
        <v>109</v>
      </c>
      <c r="I694" s="238" t="s">
        <v>250</v>
      </c>
      <c r="J694" s="239">
        <v>41300</v>
      </c>
      <c r="K694" s="239">
        <v>51090</v>
      </c>
      <c r="L694" s="238" t="s">
        <v>620</v>
      </c>
      <c r="M694" s="237">
        <v>1</v>
      </c>
      <c r="N694" s="237"/>
      <c r="O694" s="238"/>
      <c r="P694" s="88" t="str">
        <f t="shared" si="12"/>
        <v>1</v>
      </c>
      <c r="Q694" s="88" t="str">
        <f>IFERROR(INDEX(Торг!$F:$F,MATCH($B694,Торг!$B:$B,0)),"Отсутствует")</f>
        <v>Y</v>
      </c>
      <c r="R694" s="36" t="str">
        <f>IFERROR(IF(AND(Q694="Отсутствует",VLOOKUP(A694,Торг!$A:$A,1,0)=A694),"Добавить","Есть"),"Новый")</f>
        <v>Есть</v>
      </c>
    </row>
    <row r="695" spans="1:18" ht="45" hidden="1">
      <c r="A695" s="238" t="s">
        <v>748</v>
      </c>
      <c r="B695" s="237">
        <v>341996</v>
      </c>
      <c r="C695" s="237">
        <v>341996</v>
      </c>
      <c r="D695" s="238" t="s">
        <v>1488</v>
      </c>
      <c r="E695" s="238" t="s">
        <v>741</v>
      </c>
      <c r="F695" s="238"/>
      <c r="G695" s="238"/>
      <c r="H695" s="238" t="s">
        <v>109</v>
      </c>
      <c r="I695" s="238" t="s">
        <v>250</v>
      </c>
      <c r="J695" s="239">
        <v>40470</v>
      </c>
      <c r="K695" s="239">
        <v>50090</v>
      </c>
      <c r="L695" s="238" t="s">
        <v>620</v>
      </c>
      <c r="M695" s="237">
        <v>1</v>
      </c>
      <c r="N695" s="237"/>
      <c r="O695" s="238"/>
      <c r="P695" s="88" t="str">
        <f t="shared" si="12"/>
        <v>1</v>
      </c>
      <c r="Q695" s="88" t="str">
        <f>IFERROR(INDEX(Торг!$F:$F,MATCH($B695,Торг!$B:$B,0)),"Отсутствует")</f>
        <v>Y</v>
      </c>
      <c r="R695" s="36" t="str">
        <f>IFERROR(IF(AND(Q695="Отсутствует",VLOOKUP(A695,Торг!$A:$A,1,0)=A695),"Добавить","Есть"),"Новый")</f>
        <v>Есть</v>
      </c>
    </row>
    <row r="696" spans="1:18" ht="45" hidden="1">
      <c r="A696" s="238" t="s">
        <v>748</v>
      </c>
      <c r="B696" s="237">
        <v>342009</v>
      </c>
      <c r="C696" s="237">
        <v>342009</v>
      </c>
      <c r="D696" s="238" t="s">
        <v>1489</v>
      </c>
      <c r="E696" s="238" t="s">
        <v>741</v>
      </c>
      <c r="F696" s="238"/>
      <c r="G696" s="238"/>
      <c r="H696" s="238" t="s">
        <v>109</v>
      </c>
      <c r="I696" s="238" t="s">
        <v>250</v>
      </c>
      <c r="J696" s="239">
        <v>41300</v>
      </c>
      <c r="K696" s="239">
        <v>51090</v>
      </c>
      <c r="L696" s="238" t="s">
        <v>620</v>
      </c>
      <c r="M696" s="237">
        <v>1</v>
      </c>
      <c r="N696" s="237"/>
      <c r="O696" s="238"/>
      <c r="P696" s="88" t="str">
        <f t="shared" si="12"/>
        <v>1</v>
      </c>
      <c r="Q696" s="88" t="str">
        <f>IFERROR(INDEX(Торг!$F:$F,MATCH($B696,Торг!$B:$B,0)),"Отсутствует")</f>
        <v>Y</v>
      </c>
      <c r="R696" s="36" t="str">
        <f>IFERROR(IF(AND(Q696="Отсутствует",VLOOKUP(A696,Торг!$A:$A,1,0)=A696),"Добавить","Есть"),"Новый")</f>
        <v>Есть</v>
      </c>
    </row>
    <row r="697" spans="1:18" ht="45" hidden="1">
      <c r="A697" s="238" t="s">
        <v>748</v>
      </c>
      <c r="B697" s="237">
        <v>341997</v>
      </c>
      <c r="C697" s="237">
        <v>341997</v>
      </c>
      <c r="D697" s="238" t="s">
        <v>1490</v>
      </c>
      <c r="E697" s="238" t="s">
        <v>741</v>
      </c>
      <c r="F697" s="238"/>
      <c r="G697" s="238"/>
      <c r="H697" s="238" t="s">
        <v>109</v>
      </c>
      <c r="I697" s="238" t="s">
        <v>250</v>
      </c>
      <c r="J697" s="239">
        <v>40470</v>
      </c>
      <c r="K697" s="239">
        <v>50090</v>
      </c>
      <c r="L697" s="238" t="s">
        <v>620</v>
      </c>
      <c r="M697" s="237">
        <v>1</v>
      </c>
      <c r="N697" s="237"/>
      <c r="O697" s="238"/>
      <c r="P697" s="88" t="str">
        <f t="shared" si="12"/>
        <v>1</v>
      </c>
      <c r="Q697" s="88" t="str">
        <f>IFERROR(INDEX(Торг!$F:$F,MATCH($B697,Торг!$B:$B,0)),"Отсутствует")</f>
        <v>Y</v>
      </c>
      <c r="R697" s="36" t="str">
        <f>IFERROR(IF(AND(Q697="Отсутствует",VLOOKUP(A697,Торг!$A:$A,1,0)=A697),"Добавить","Есть"),"Новый")</f>
        <v>Есть</v>
      </c>
    </row>
    <row r="698" spans="1:18" ht="45" hidden="1">
      <c r="A698" s="238" t="s">
        <v>748</v>
      </c>
      <c r="B698" s="237">
        <v>342010</v>
      </c>
      <c r="C698" s="237">
        <v>342010</v>
      </c>
      <c r="D698" s="238" t="s">
        <v>1491</v>
      </c>
      <c r="E698" s="238" t="s">
        <v>741</v>
      </c>
      <c r="F698" s="238"/>
      <c r="G698" s="238"/>
      <c r="H698" s="238" t="s">
        <v>109</v>
      </c>
      <c r="I698" s="238" t="s">
        <v>250</v>
      </c>
      <c r="J698" s="239">
        <v>41300</v>
      </c>
      <c r="K698" s="239">
        <v>51090</v>
      </c>
      <c r="L698" s="238" t="s">
        <v>620</v>
      </c>
      <c r="M698" s="237">
        <v>1</v>
      </c>
      <c r="N698" s="237"/>
      <c r="O698" s="238"/>
      <c r="P698" s="88" t="str">
        <f t="shared" si="12"/>
        <v>1</v>
      </c>
      <c r="Q698" s="88" t="str">
        <f>IFERROR(INDEX(Торг!$F:$F,MATCH($B698,Торг!$B:$B,0)),"Отсутствует")</f>
        <v>Y</v>
      </c>
      <c r="R698" s="36" t="str">
        <f>IFERROR(IF(AND(Q698="Отсутствует",VLOOKUP(A698,Торг!$A:$A,1,0)=A698),"Добавить","Есть"),"Новый")</f>
        <v>Есть</v>
      </c>
    </row>
    <row r="699" spans="1:18" ht="45" hidden="1">
      <c r="A699" s="238" t="s">
        <v>748</v>
      </c>
      <c r="B699" s="237">
        <v>341999</v>
      </c>
      <c r="C699" s="237">
        <v>341999</v>
      </c>
      <c r="D699" s="238" t="s">
        <v>1492</v>
      </c>
      <c r="E699" s="238" t="s">
        <v>741</v>
      </c>
      <c r="F699" s="238"/>
      <c r="G699" s="238"/>
      <c r="H699" s="238" t="s">
        <v>109</v>
      </c>
      <c r="I699" s="238" t="s">
        <v>250</v>
      </c>
      <c r="J699" s="239">
        <v>40470</v>
      </c>
      <c r="K699" s="239">
        <v>50090</v>
      </c>
      <c r="L699" s="238" t="s">
        <v>620</v>
      </c>
      <c r="M699" s="237">
        <v>1</v>
      </c>
      <c r="N699" s="237"/>
      <c r="O699" s="238"/>
      <c r="P699" s="88" t="str">
        <f t="shared" si="12"/>
        <v>1</v>
      </c>
      <c r="Q699" s="88" t="str">
        <f>IFERROR(INDEX(Торг!$F:$F,MATCH($B699,Торг!$B:$B,0)),"Отсутствует")</f>
        <v>Y</v>
      </c>
      <c r="R699" s="36" t="str">
        <f>IFERROR(IF(AND(Q699="Отсутствует",VLOOKUP(A699,Торг!$A:$A,1,0)=A699),"Добавить","Есть"),"Новый")</f>
        <v>Есть</v>
      </c>
    </row>
    <row r="700" spans="1:18" ht="45" hidden="1">
      <c r="A700" s="238" t="s">
        <v>748</v>
      </c>
      <c r="B700" s="237">
        <v>342012</v>
      </c>
      <c r="C700" s="237">
        <v>342012</v>
      </c>
      <c r="D700" s="238" t="s">
        <v>1493</v>
      </c>
      <c r="E700" s="238" t="s">
        <v>741</v>
      </c>
      <c r="F700" s="238"/>
      <c r="G700" s="238"/>
      <c r="H700" s="238" t="s">
        <v>109</v>
      </c>
      <c r="I700" s="238" t="s">
        <v>250</v>
      </c>
      <c r="J700" s="239">
        <v>41300</v>
      </c>
      <c r="K700" s="239">
        <v>51090</v>
      </c>
      <c r="L700" s="238" t="s">
        <v>620</v>
      </c>
      <c r="M700" s="237">
        <v>1</v>
      </c>
      <c r="N700" s="237"/>
      <c r="O700" s="238"/>
      <c r="P700" s="88" t="str">
        <f t="shared" si="12"/>
        <v>1</v>
      </c>
      <c r="Q700" s="88" t="str">
        <f>IFERROR(INDEX(Торг!$F:$F,MATCH($B700,Торг!$B:$B,0)),"Отсутствует")</f>
        <v>Y</v>
      </c>
      <c r="R700" s="36" t="str">
        <f>IFERROR(IF(AND(Q700="Отсутствует",VLOOKUP(A700,Торг!$A:$A,1,0)=A700),"Добавить","Есть"),"Новый")</f>
        <v>Есть</v>
      </c>
    </row>
    <row r="701" spans="1:18" ht="45" hidden="1">
      <c r="A701" s="238" t="s">
        <v>748</v>
      </c>
      <c r="B701" s="237">
        <v>341991</v>
      </c>
      <c r="C701" s="237">
        <v>341991</v>
      </c>
      <c r="D701" s="238" t="s">
        <v>1494</v>
      </c>
      <c r="E701" s="238" t="s">
        <v>741</v>
      </c>
      <c r="F701" s="238"/>
      <c r="G701" s="238"/>
      <c r="H701" s="238" t="s">
        <v>109</v>
      </c>
      <c r="I701" s="238" t="s">
        <v>250</v>
      </c>
      <c r="J701" s="239">
        <v>40470</v>
      </c>
      <c r="K701" s="239">
        <v>50090</v>
      </c>
      <c r="L701" s="238" t="s">
        <v>620</v>
      </c>
      <c r="M701" s="237">
        <v>1</v>
      </c>
      <c r="N701" s="237"/>
      <c r="O701" s="238"/>
      <c r="P701" s="88" t="str">
        <f t="shared" si="12"/>
        <v>1</v>
      </c>
      <c r="Q701" s="88" t="str">
        <f>IFERROR(INDEX(Торг!$F:$F,MATCH($B701,Торг!$B:$B,0)),"Отсутствует")</f>
        <v>Y</v>
      </c>
      <c r="R701" s="36" t="str">
        <f>IFERROR(IF(AND(Q701="Отсутствует",VLOOKUP(A701,Торг!$A:$A,1,0)=A701),"Добавить","Есть"),"Новый")</f>
        <v>Есть</v>
      </c>
    </row>
    <row r="702" spans="1:18" ht="45" hidden="1">
      <c r="A702" s="238" t="s">
        <v>748</v>
      </c>
      <c r="B702" s="237">
        <v>342004</v>
      </c>
      <c r="C702" s="237">
        <v>342004</v>
      </c>
      <c r="D702" s="238" t="s">
        <v>1495</v>
      </c>
      <c r="E702" s="238" t="s">
        <v>741</v>
      </c>
      <c r="F702" s="238"/>
      <c r="G702" s="238"/>
      <c r="H702" s="238" t="s">
        <v>109</v>
      </c>
      <c r="I702" s="238" t="s">
        <v>250</v>
      </c>
      <c r="J702" s="239">
        <v>41300</v>
      </c>
      <c r="K702" s="239">
        <v>51090</v>
      </c>
      <c r="L702" s="238" t="s">
        <v>620</v>
      </c>
      <c r="M702" s="237">
        <v>1</v>
      </c>
      <c r="N702" s="237"/>
      <c r="O702" s="238"/>
      <c r="P702" s="88" t="str">
        <f t="shared" si="12"/>
        <v>1</v>
      </c>
      <c r="Q702" s="88" t="str">
        <f>IFERROR(INDEX(Торг!$F:$F,MATCH($B702,Торг!$B:$B,0)),"Отсутствует")</f>
        <v>Y</v>
      </c>
      <c r="R702" s="36" t="str">
        <f>IFERROR(IF(AND(Q702="Отсутствует",VLOOKUP(A702,Торг!$A:$A,1,0)=A702),"Добавить","Есть"),"Новый")</f>
        <v>Есть</v>
      </c>
    </row>
    <row r="703" spans="1:18" ht="45" hidden="1">
      <c r="A703" s="238" t="s">
        <v>748</v>
      </c>
      <c r="B703" s="237">
        <v>341990</v>
      </c>
      <c r="C703" s="237">
        <v>341990</v>
      </c>
      <c r="D703" s="238" t="s">
        <v>1496</v>
      </c>
      <c r="E703" s="238" t="s">
        <v>741</v>
      </c>
      <c r="F703" s="238"/>
      <c r="G703" s="238"/>
      <c r="H703" s="238" t="s">
        <v>109</v>
      </c>
      <c r="I703" s="238" t="s">
        <v>250</v>
      </c>
      <c r="J703" s="239">
        <v>39600</v>
      </c>
      <c r="K703" s="239">
        <v>48990</v>
      </c>
      <c r="L703" s="238" t="s">
        <v>620</v>
      </c>
      <c r="M703" s="237">
        <v>1</v>
      </c>
      <c r="N703" s="237"/>
      <c r="O703" s="238"/>
      <c r="P703" s="88" t="str">
        <f t="shared" si="12"/>
        <v>1</v>
      </c>
      <c r="Q703" s="88" t="str">
        <f>IFERROR(INDEX(Торг!$F:$F,MATCH($B703,Торг!$B:$B,0)),"Отсутствует")</f>
        <v>Y</v>
      </c>
      <c r="R703" s="36" t="str">
        <f>IFERROR(IF(AND(Q703="Отсутствует",VLOOKUP(A703,Торг!$A:$A,1,0)=A703),"Добавить","Есть"),"Новый")</f>
        <v>Есть</v>
      </c>
    </row>
    <row r="704" spans="1:18" ht="45" hidden="1">
      <c r="A704" s="238" t="s">
        <v>748</v>
      </c>
      <c r="B704" s="237">
        <v>342003</v>
      </c>
      <c r="C704" s="237">
        <v>342003</v>
      </c>
      <c r="D704" s="238" t="s">
        <v>1497</v>
      </c>
      <c r="E704" s="238" t="s">
        <v>741</v>
      </c>
      <c r="F704" s="238"/>
      <c r="G704" s="238"/>
      <c r="H704" s="238" t="s">
        <v>109</v>
      </c>
      <c r="I704" s="238" t="s">
        <v>250</v>
      </c>
      <c r="J704" s="239">
        <v>40430</v>
      </c>
      <c r="K704" s="239">
        <v>49990</v>
      </c>
      <c r="L704" s="238" t="s">
        <v>620</v>
      </c>
      <c r="M704" s="237">
        <v>1</v>
      </c>
      <c r="N704" s="237"/>
      <c r="O704" s="238"/>
      <c r="P704" s="88" t="str">
        <f t="shared" si="12"/>
        <v>1</v>
      </c>
      <c r="Q704" s="88" t="str">
        <f>IFERROR(INDEX(Торг!$F:$F,MATCH($B704,Торг!$B:$B,0)),"Отсутствует")</f>
        <v>Y</v>
      </c>
      <c r="R704" s="36" t="str">
        <f>IFERROR(IF(AND(Q704="Отсутствует",VLOOKUP(A704,Торг!$A:$A,1,0)=A704),"Добавить","Есть"),"Новый")</f>
        <v>Есть</v>
      </c>
    </row>
    <row r="705" spans="1:18" ht="45" hidden="1">
      <c r="A705" s="238" t="s">
        <v>749</v>
      </c>
      <c r="B705" s="237">
        <v>342018</v>
      </c>
      <c r="C705" s="237">
        <v>342018</v>
      </c>
      <c r="D705" s="238" t="s">
        <v>1498</v>
      </c>
      <c r="E705" s="238" t="s">
        <v>741</v>
      </c>
      <c r="F705" s="238"/>
      <c r="G705" s="238"/>
      <c r="H705" s="238" t="s">
        <v>149</v>
      </c>
      <c r="I705" s="238" t="s">
        <v>250</v>
      </c>
      <c r="J705" s="239">
        <v>40670</v>
      </c>
      <c r="K705" s="239">
        <v>50290</v>
      </c>
      <c r="L705" s="238" t="s">
        <v>618</v>
      </c>
      <c r="M705" s="237">
        <v>1</v>
      </c>
      <c r="N705" s="237"/>
      <c r="O705" s="238"/>
      <c r="P705" s="88" t="str">
        <f t="shared" si="12"/>
        <v>1</v>
      </c>
      <c r="Q705" s="88" t="str">
        <f>IFERROR(INDEX(Торг!$F:$F,MATCH($B705,Торг!$B:$B,0)),"Отсутствует")</f>
        <v>Y</v>
      </c>
      <c r="R705" s="36" t="str">
        <f>IFERROR(IF(AND(Q705="Отсутствует",VLOOKUP(A705,Торг!$A:$A,1,0)=A705),"Добавить","Есть"),"Новый")</f>
        <v>Есть</v>
      </c>
    </row>
    <row r="706" spans="1:18" ht="45" hidden="1">
      <c r="A706" s="238" t="s">
        <v>749</v>
      </c>
      <c r="B706" s="237">
        <v>342031</v>
      </c>
      <c r="C706" s="237">
        <v>342031</v>
      </c>
      <c r="D706" s="238" t="s">
        <v>1499</v>
      </c>
      <c r="E706" s="238" t="s">
        <v>741</v>
      </c>
      <c r="F706" s="238"/>
      <c r="G706" s="238"/>
      <c r="H706" s="238" t="s">
        <v>149</v>
      </c>
      <c r="I706" s="238" t="s">
        <v>250</v>
      </c>
      <c r="J706" s="239">
        <v>41500</v>
      </c>
      <c r="K706" s="239">
        <v>51390</v>
      </c>
      <c r="L706" s="238" t="s">
        <v>618</v>
      </c>
      <c r="M706" s="237">
        <v>1</v>
      </c>
      <c r="N706" s="237"/>
      <c r="O706" s="238"/>
      <c r="P706" s="88" t="str">
        <f t="shared" si="12"/>
        <v>1</v>
      </c>
      <c r="Q706" s="88" t="str">
        <f>IFERROR(INDEX(Торг!$F:$F,MATCH($B706,Торг!$B:$B,0)),"Отсутствует")</f>
        <v>Y</v>
      </c>
      <c r="R706" s="36" t="str">
        <f>IFERROR(IF(AND(Q706="Отсутствует",VLOOKUP(A706,Торг!$A:$A,1,0)=A706),"Добавить","Есть"),"Новый")</f>
        <v>Есть</v>
      </c>
    </row>
    <row r="707" spans="1:18" ht="45" hidden="1">
      <c r="A707" s="238" t="s">
        <v>749</v>
      </c>
      <c r="B707" s="237">
        <v>342030</v>
      </c>
      <c r="C707" s="237">
        <v>342030</v>
      </c>
      <c r="D707" s="238" t="s">
        <v>1500</v>
      </c>
      <c r="E707" s="238" t="s">
        <v>741</v>
      </c>
      <c r="F707" s="238"/>
      <c r="G707" s="238"/>
      <c r="H707" s="238" t="s">
        <v>149</v>
      </c>
      <c r="I707" s="238" t="s">
        <v>250</v>
      </c>
      <c r="J707" s="239">
        <v>40670</v>
      </c>
      <c r="K707" s="239">
        <v>50290</v>
      </c>
      <c r="L707" s="238" t="s">
        <v>618</v>
      </c>
      <c r="M707" s="237">
        <v>1</v>
      </c>
      <c r="N707" s="237"/>
      <c r="O707" s="238"/>
      <c r="P707" s="88" t="str">
        <f t="shared" si="12"/>
        <v>1</v>
      </c>
      <c r="Q707" s="88" t="str">
        <f>IFERROR(INDEX(Торг!$F:$F,MATCH($B707,Торг!$B:$B,0)),"Отсутствует")</f>
        <v>Y</v>
      </c>
      <c r="R707" s="36" t="str">
        <f>IFERROR(IF(AND(Q707="Отсутствует",VLOOKUP(A707,Торг!$A:$A,1,0)=A707),"Добавить","Есть"),"Новый")</f>
        <v>Есть</v>
      </c>
    </row>
    <row r="708" spans="1:18" ht="45" hidden="1">
      <c r="A708" s="238" t="s">
        <v>749</v>
      </c>
      <c r="B708" s="237">
        <v>342043</v>
      </c>
      <c r="C708" s="237">
        <v>342043</v>
      </c>
      <c r="D708" s="238" t="s">
        <v>1501</v>
      </c>
      <c r="E708" s="238" t="s">
        <v>741</v>
      </c>
      <c r="F708" s="238"/>
      <c r="G708" s="238"/>
      <c r="H708" s="238" t="s">
        <v>149</v>
      </c>
      <c r="I708" s="238" t="s">
        <v>250</v>
      </c>
      <c r="J708" s="239">
        <v>41500</v>
      </c>
      <c r="K708" s="239">
        <v>51390</v>
      </c>
      <c r="L708" s="238" t="s">
        <v>618</v>
      </c>
      <c r="M708" s="237">
        <v>1</v>
      </c>
      <c r="N708" s="237"/>
      <c r="O708" s="238"/>
      <c r="P708" s="88" t="str">
        <f t="shared" si="12"/>
        <v>1</v>
      </c>
      <c r="Q708" s="88" t="str">
        <f>IFERROR(INDEX(Торг!$F:$F,MATCH($B708,Торг!$B:$B,0)),"Отсутствует")</f>
        <v>Y</v>
      </c>
      <c r="R708" s="36" t="str">
        <f>IFERROR(IF(AND(Q708="Отсутствует",VLOOKUP(A708,Торг!$A:$A,1,0)=A708),"Добавить","Есть"),"Новый")</f>
        <v>Есть</v>
      </c>
    </row>
    <row r="709" spans="1:18" ht="45" hidden="1">
      <c r="A709" s="238" t="s">
        <v>749</v>
      </c>
      <c r="B709" s="237">
        <v>342029</v>
      </c>
      <c r="C709" s="237">
        <v>342029</v>
      </c>
      <c r="D709" s="238" t="s">
        <v>1502</v>
      </c>
      <c r="E709" s="238" t="s">
        <v>741</v>
      </c>
      <c r="F709" s="238"/>
      <c r="G709" s="238"/>
      <c r="H709" s="238" t="s">
        <v>149</v>
      </c>
      <c r="I709" s="238" t="s">
        <v>250</v>
      </c>
      <c r="J709" s="239">
        <v>40670</v>
      </c>
      <c r="K709" s="239">
        <v>50290</v>
      </c>
      <c r="L709" s="238" t="s">
        <v>618</v>
      </c>
      <c r="M709" s="237">
        <v>1</v>
      </c>
      <c r="N709" s="237"/>
      <c r="O709" s="238"/>
      <c r="P709" s="88" t="str">
        <f t="shared" si="12"/>
        <v>1</v>
      </c>
      <c r="Q709" s="88" t="str">
        <f>IFERROR(INDEX(Торг!$F:$F,MATCH($B709,Торг!$B:$B,0)),"Отсутствует")</f>
        <v>Y</v>
      </c>
      <c r="R709" s="36" t="str">
        <f>IFERROR(IF(AND(Q709="Отсутствует",VLOOKUP(A709,Торг!$A:$A,1,0)=A709),"Добавить","Есть"),"Новый")</f>
        <v>Есть</v>
      </c>
    </row>
    <row r="710" spans="1:18" ht="45" hidden="1">
      <c r="A710" s="238" t="s">
        <v>749</v>
      </c>
      <c r="B710" s="237">
        <v>342042</v>
      </c>
      <c r="C710" s="237">
        <v>342042</v>
      </c>
      <c r="D710" s="238" t="s">
        <v>1503</v>
      </c>
      <c r="E710" s="238" t="s">
        <v>741</v>
      </c>
      <c r="F710" s="238"/>
      <c r="G710" s="238"/>
      <c r="H710" s="238" t="s">
        <v>149</v>
      </c>
      <c r="I710" s="238" t="s">
        <v>250</v>
      </c>
      <c r="J710" s="239">
        <v>41500</v>
      </c>
      <c r="K710" s="239">
        <v>51390</v>
      </c>
      <c r="L710" s="238" t="s">
        <v>618</v>
      </c>
      <c r="M710" s="237">
        <v>1</v>
      </c>
      <c r="N710" s="237"/>
      <c r="O710" s="238"/>
      <c r="P710" s="88" t="str">
        <f t="shared" si="12"/>
        <v>1</v>
      </c>
      <c r="Q710" s="88" t="str">
        <f>IFERROR(INDEX(Торг!$F:$F,MATCH($B710,Торг!$B:$B,0)),"Отсутствует")</f>
        <v>Y</v>
      </c>
      <c r="R710" s="36" t="str">
        <f>IFERROR(IF(AND(Q710="Отсутствует",VLOOKUP(A710,Торг!$A:$A,1,0)=A710),"Добавить","Есть"),"Новый")</f>
        <v>Есть</v>
      </c>
    </row>
    <row r="711" spans="1:18" ht="45" hidden="1">
      <c r="A711" s="238" t="s">
        <v>749</v>
      </c>
      <c r="B711" s="237">
        <v>342021</v>
      </c>
      <c r="C711" s="237">
        <v>342021</v>
      </c>
      <c r="D711" s="238" t="s">
        <v>1504</v>
      </c>
      <c r="E711" s="238" t="s">
        <v>741</v>
      </c>
      <c r="F711" s="238"/>
      <c r="G711" s="238"/>
      <c r="H711" s="238" t="s">
        <v>149</v>
      </c>
      <c r="I711" s="238" t="s">
        <v>250</v>
      </c>
      <c r="J711" s="239">
        <v>40670</v>
      </c>
      <c r="K711" s="239">
        <v>50290</v>
      </c>
      <c r="L711" s="238" t="s">
        <v>618</v>
      </c>
      <c r="M711" s="237">
        <v>1</v>
      </c>
      <c r="N711" s="237"/>
      <c r="O711" s="238"/>
      <c r="P711" s="88" t="str">
        <f t="shared" si="12"/>
        <v>1</v>
      </c>
      <c r="Q711" s="88" t="str">
        <f>IFERROR(INDEX(Торг!$F:$F,MATCH($B711,Торг!$B:$B,0)),"Отсутствует")</f>
        <v>Y</v>
      </c>
      <c r="R711" s="36" t="str">
        <f>IFERROR(IF(AND(Q711="Отсутствует",VLOOKUP(A711,Торг!$A:$A,1,0)=A711),"Добавить","Есть"),"Новый")</f>
        <v>Есть</v>
      </c>
    </row>
    <row r="712" spans="1:18" ht="45" hidden="1">
      <c r="A712" s="238" t="s">
        <v>749</v>
      </c>
      <c r="B712" s="237">
        <v>342034</v>
      </c>
      <c r="C712" s="237">
        <v>342034</v>
      </c>
      <c r="D712" s="238" t="s">
        <v>1505</v>
      </c>
      <c r="E712" s="238" t="s">
        <v>741</v>
      </c>
      <c r="F712" s="238"/>
      <c r="G712" s="238"/>
      <c r="H712" s="238" t="s">
        <v>149</v>
      </c>
      <c r="I712" s="238" t="s">
        <v>250</v>
      </c>
      <c r="J712" s="239">
        <v>41500</v>
      </c>
      <c r="K712" s="239">
        <v>51390</v>
      </c>
      <c r="L712" s="238" t="s">
        <v>618</v>
      </c>
      <c r="M712" s="237">
        <v>1</v>
      </c>
      <c r="N712" s="237"/>
      <c r="O712" s="238"/>
      <c r="P712" s="88" t="str">
        <f t="shared" si="12"/>
        <v>1</v>
      </c>
      <c r="Q712" s="88" t="str">
        <f>IFERROR(INDEX(Торг!$F:$F,MATCH($B712,Торг!$B:$B,0)),"Отсутствует")</f>
        <v>Y</v>
      </c>
      <c r="R712" s="36" t="str">
        <f>IFERROR(IF(AND(Q712="Отсутствует",VLOOKUP(A712,Торг!$A:$A,1,0)=A712),"Добавить","Есть"),"Новый")</f>
        <v>Есть</v>
      </c>
    </row>
    <row r="713" spans="1:18" ht="45" hidden="1">
      <c r="A713" s="238" t="s">
        <v>749</v>
      </c>
      <c r="B713" s="237">
        <v>342022</v>
      </c>
      <c r="C713" s="237">
        <v>342022</v>
      </c>
      <c r="D713" s="238" t="s">
        <v>1506</v>
      </c>
      <c r="E713" s="238" t="s">
        <v>741</v>
      </c>
      <c r="F713" s="238"/>
      <c r="G713" s="238"/>
      <c r="H713" s="238" t="s">
        <v>149</v>
      </c>
      <c r="I713" s="238" t="s">
        <v>250</v>
      </c>
      <c r="J713" s="239">
        <v>40670</v>
      </c>
      <c r="K713" s="239">
        <v>50290</v>
      </c>
      <c r="L713" s="238" t="s">
        <v>618</v>
      </c>
      <c r="M713" s="237">
        <v>1</v>
      </c>
      <c r="N713" s="237"/>
      <c r="O713" s="238"/>
      <c r="P713" s="88" t="str">
        <f t="shared" si="12"/>
        <v>1</v>
      </c>
      <c r="Q713" s="88" t="str">
        <f>IFERROR(INDEX(Торг!$F:$F,MATCH($B713,Торг!$B:$B,0)),"Отсутствует")</f>
        <v>Y</v>
      </c>
      <c r="R713" s="36" t="str">
        <f>IFERROR(IF(AND(Q713="Отсутствует",VLOOKUP(A713,Торг!$A:$A,1,0)=A713),"Добавить","Есть"),"Новый")</f>
        <v>Есть</v>
      </c>
    </row>
    <row r="714" spans="1:18" ht="45" hidden="1">
      <c r="A714" s="238" t="s">
        <v>749</v>
      </c>
      <c r="B714" s="237">
        <v>342035</v>
      </c>
      <c r="C714" s="237">
        <v>342035</v>
      </c>
      <c r="D714" s="238" t="s">
        <v>1507</v>
      </c>
      <c r="E714" s="238" t="s">
        <v>741</v>
      </c>
      <c r="F714" s="238"/>
      <c r="G714" s="238"/>
      <c r="H714" s="238" t="s">
        <v>149</v>
      </c>
      <c r="I714" s="238" t="s">
        <v>250</v>
      </c>
      <c r="J714" s="239">
        <v>41500</v>
      </c>
      <c r="K714" s="239">
        <v>51390</v>
      </c>
      <c r="L714" s="238" t="s">
        <v>618</v>
      </c>
      <c r="M714" s="237">
        <v>1</v>
      </c>
      <c r="N714" s="237"/>
      <c r="O714" s="238"/>
      <c r="P714" s="88" t="str">
        <f t="shared" si="12"/>
        <v>1</v>
      </c>
      <c r="Q714" s="88" t="str">
        <f>IFERROR(INDEX(Торг!$F:$F,MATCH($B714,Торг!$B:$B,0)),"Отсутствует")</f>
        <v>Y</v>
      </c>
      <c r="R714" s="36" t="str">
        <f>IFERROR(IF(AND(Q714="Отсутствует",VLOOKUP(A714,Торг!$A:$A,1,0)=A714),"Добавить","Есть"),"Новый")</f>
        <v>Есть</v>
      </c>
    </row>
    <row r="715" spans="1:18" ht="45" hidden="1">
      <c r="A715" s="238" t="s">
        <v>749</v>
      </c>
      <c r="B715" s="237">
        <v>342023</v>
      </c>
      <c r="C715" s="237">
        <v>342023</v>
      </c>
      <c r="D715" s="238" t="s">
        <v>1508</v>
      </c>
      <c r="E715" s="238" t="s">
        <v>741</v>
      </c>
      <c r="F715" s="238"/>
      <c r="G715" s="238"/>
      <c r="H715" s="238" t="s">
        <v>149</v>
      </c>
      <c r="I715" s="238" t="s">
        <v>250</v>
      </c>
      <c r="J715" s="239">
        <v>40670</v>
      </c>
      <c r="K715" s="239">
        <v>50290</v>
      </c>
      <c r="L715" s="238" t="s">
        <v>618</v>
      </c>
      <c r="M715" s="237">
        <v>1</v>
      </c>
      <c r="N715" s="237"/>
      <c r="O715" s="238"/>
      <c r="P715" s="88" t="str">
        <f t="shared" si="12"/>
        <v>1</v>
      </c>
      <c r="Q715" s="88" t="str">
        <f>IFERROR(INDEX(Торг!$F:$F,MATCH($B715,Торг!$B:$B,0)),"Отсутствует")</f>
        <v>Y</v>
      </c>
      <c r="R715" s="36" t="str">
        <f>IFERROR(IF(AND(Q715="Отсутствует",VLOOKUP(A715,Торг!$A:$A,1,0)=A715),"Добавить","Есть"),"Новый")</f>
        <v>Есть</v>
      </c>
    </row>
    <row r="716" spans="1:18" ht="45" hidden="1">
      <c r="A716" s="238" t="s">
        <v>749</v>
      </c>
      <c r="B716" s="237">
        <v>342036</v>
      </c>
      <c r="C716" s="237">
        <v>342036</v>
      </c>
      <c r="D716" s="238" t="s">
        <v>1509</v>
      </c>
      <c r="E716" s="238" t="s">
        <v>741</v>
      </c>
      <c r="F716" s="238"/>
      <c r="G716" s="238"/>
      <c r="H716" s="238" t="s">
        <v>149</v>
      </c>
      <c r="I716" s="238" t="s">
        <v>250</v>
      </c>
      <c r="J716" s="239">
        <v>41500</v>
      </c>
      <c r="K716" s="239">
        <v>51390</v>
      </c>
      <c r="L716" s="238" t="s">
        <v>618</v>
      </c>
      <c r="M716" s="237">
        <v>1</v>
      </c>
      <c r="N716" s="237"/>
      <c r="O716" s="238"/>
      <c r="P716" s="88" t="str">
        <f t="shared" si="12"/>
        <v>1</v>
      </c>
      <c r="Q716" s="88" t="str">
        <f>IFERROR(INDEX(Торг!$F:$F,MATCH($B716,Торг!$B:$B,0)),"Отсутствует")</f>
        <v>Y</v>
      </c>
      <c r="R716" s="36" t="str">
        <f>IFERROR(IF(AND(Q716="Отсутствует",VLOOKUP(A716,Торг!$A:$A,1,0)=A716),"Добавить","Есть"),"Новый")</f>
        <v>Есть</v>
      </c>
    </row>
    <row r="717" spans="1:18" ht="45" hidden="1">
      <c r="A717" s="238" t="s">
        <v>749</v>
      </c>
      <c r="B717" s="237">
        <v>342024</v>
      </c>
      <c r="C717" s="237">
        <v>342024</v>
      </c>
      <c r="D717" s="238" t="s">
        <v>1510</v>
      </c>
      <c r="E717" s="238" t="s">
        <v>741</v>
      </c>
      <c r="F717" s="238"/>
      <c r="G717" s="238"/>
      <c r="H717" s="238" t="s">
        <v>149</v>
      </c>
      <c r="I717" s="238" t="s">
        <v>250</v>
      </c>
      <c r="J717" s="239">
        <v>40670</v>
      </c>
      <c r="K717" s="239">
        <v>50290</v>
      </c>
      <c r="L717" s="238" t="s">
        <v>618</v>
      </c>
      <c r="M717" s="237">
        <v>1</v>
      </c>
      <c r="N717" s="237"/>
      <c r="O717" s="238"/>
      <c r="P717" s="88" t="str">
        <f t="shared" si="12"/>
        <v>1</v>
      </c>
      <c r="Q717" s="88" t="str">
        <f>IFERROR(INDEX(Торг!$F:$F,MATCH($B717,Торг!$B:$B,0)),"Отсутствует")</f>
        <v>Y</v>
      </c>
      <c r="R717" s="36" t="str">
        <f>IFERROR(IF(AND(Q717="Отсутствует",VLOOKUP(A717,Торг!$A:$A,1,0)=A717),"Добавить","Есть"),"Новый")</f>
        <v>Есть</v>
      </c>
    </row>
    <row r="718" spans="1:18" ht="45" hidden="1">
      <c r="A718" s="238" t="s">
        <v>749</v>
      </c>
      <c r="B718" s="237">
        <v>342037</v>
      </c>
      <c r="C718" s="237">
        <v>342037</v>
      </c>
      <c r="D718" s="238" t="s">
        <v>1511</v>
      </c>
      <c r="E718" s="238" t="s">
        <v>741</v>
      </c>
      <c r="F718" s="238"/>
      <c r="G718" s="238"/>
      <c r="H718" s="238" t="s">
        <v>149</v>
      </c>
      <c r="I718" s="238" t="s">
        <v>250</v>
      </c>
      <c r="J718" s="239">
        <v>41500</v>
      </c>
      <c r="K718" s="239">
        <v>51390</v>
      </c>
      <c r="L718" s="238" t="s">
        <v>618</v>
      </c>
      <c r="M718" s="237">
        <v>1</v>
      </c>
      <c r="N718" s="237"/>
      <c r="O718" s="238"/>
      <c r="P718" s="88" t="str">
        <f t="shared" si="12"/>
        <v>1</v>
      </c>
      <c r="Q718" s="88" t="str">
        <f>IFERROR(INDEX(Торг!$F:$F,MATCH($B718,Торг!$B:$B,0)),"Отсутствует")</f>
        <v>Y</v>
      </c>
      <c r="R718" s="36" t="str">
        <f>IFERROR(IF(AND(Q718="Отсутствует",VLOOKUP(A718,Торг!$A:$A,1,0)=A718),"Добавить","Есть"),"Новый")</f>
        <v>Есть</v>
      </c>
    </row>
    <row r="719" spans="1:18" ht="45" hidden="1">
      <c r="A719" s="238" t="s">
        <v>749</v>
      </c>
      <c r="B719" s="237">
        <v>342027</v>
      </c>
      <c r="C719" s="237">
        <v>342027</v>
      </c>
      <c r="D719" s="238" t="s">
        <v>1512</v>
      </c>
      <c r="E719" s="238" t="s">
        <v>741</v>
      </c>
      <c r="F719" s="238"/>
      <c r="G719" s="238"/>
      <c r="H719" s="238" t="s">
        <v>149</v>
      </c>
      <c r="I719" s="238" t="s">
        <v>250</v>
      </c>
      <c r="J719" s="239">
        <v>40670</v>
      </c>
      <c r="K719" s="239">
        <v>50290</v>
      </c>
      <c r="L719" s="238" t="s">
        <v>618</v>
      </c>
      <c r="M719" s="237">
        <v>1</v>
      </c>
      <c r="N719" s="237"/>
      <c r="O719" s="238"/>
      <c r="P719" s="88" t="str">
        <f t="shared" si="12"/>
        <v>1</v>
      </c>
      <c r="Q719" s="88" t="str">
        <f>IFERROR(INDEX(Торг!$F:$F,MATCH($B719,Торг!$B:$B,0)),"Отсутствует")</f>
        <v>Y</v>
      </c>
      <c r="R719" s="36" t="str">
        <f>IFERROR(IF(AND(Q719="Отсутствует",VLOOKUP(A719,Торг!$A:$A,1,0)=A719),"Добавить","Есть"),"Новый")</f>
        <v>Есть</v>
      </c>
    </row>
    <row r="720" spans="1:18" ht="45" hidden="1">
      <c r="A720" s="238" t="s">
        <v>749</v>
      </c>
      <c r="B720" s="237">
        <v>342040</v>
      </c>
      <c r="C720" s="237">
        <v>342040</v>
      </c>
      <c r="D720" s="238" t="s">
        <v>1513</v>
      </c>
      <c r="E720" s="238" t="s">
        <v>741</v>
      </c>
      <c r="F720" s="238"/>
      <c r="G720" s="238"/>
      <c r="H720" s="238" t="s">
        <v>149</v>
      </c>
      <c r="I720" s="238" t="s">
        <v>250</v>
      </c>
      <c r="J720" s="239">
        <v>41500</v>
      </c>
      <c r="K720" s="239">
        <v>51390</v>
      </c>
      <c r="L720" s="238" t="s">
        <v>618</v>
      </c>
      <c r="M720" s="237">
        <v>1</v>
      </c>
      <c r="N720" s="237"/>
      <c r="O720" s="238"/>
      <c r="P720" s="88" t="str">
        <f t="shared" si="12"/>
        <v>1</v>
      </c>
      <c r="Q720" s="88" t="str">
        <f>IFERROR(INDEX(Торг!$F:$F,MATCH($B720,Торг!$B:$B,0)),"Отсутствует")</f>
        <v>Y</v>
      </c>
      <c r="R720" s="36" t="str">
        <f>IFERROR(IF(AND(Q720="Отсутствует",VLOOKUP(A720,Торг!$A:$A,1,0)=A720),"Добавить","Есть"),"Новый")</f>
        <v>Есть</v>
      </c>
    </row>
    <row r="721" spans="1:18" ht="45" hidden="1">
      <c r="A721" s="238" t="s">
        <v>749</v>
      </c>
      <c r="B721" s="237">
        <v>342025</v>
      </c>
      <c r="C721" s="237">
        <v>342025</v>
      </c>
      <c r="D721" s="238" t="s">
        <v>1514</v>
      </c>
      <c r="E721" s="238" t="s">
        <v>741</v>
      </c>
      <c r="F721" s="238"/>
      <c r="G721" s="238"/>
      <c r="H721" s="238" t="s">
        <v>149</v>
      </c>
      <c r="I721" s="238" t="s">
        <v>250</v>
      </c>
      <c r="J721" s="239">
        <v>40670</v>
      </c>
      <c r="K721" s="239">
        <v>50290</v>
      </c>
      <c r="L721" s="238" t="s">
        <v>618</v>
      </c>
      <c r="M721" s="237">
        <v>1</v>
      </c>
      <c r="N721" s="237"/>
      <c r="O721" s="238"/>
      <c r="P721" s="88" t="str">
        <f t="shared" si="12"/>
        <v>1</v>
      </c>
      <c r="Q721" s="88" t="str">
        <f>IFERROR(INDEX(Торг!$F:$F,MATCH($B721,Торг!$B:$B,0)),"Отсутствует")</f>
        <v>Y</v>
      </c>
      <c r="R721" s="36" t="str">
        <f>IFERROR(IF(AND(Q721="Отсутствует",VLOOKUP(A721,Торг!$A:$A,1,0)=A721),"Добавить","Есть"),"Новый")</f>
        <v>Есть</v>
      </c>
    </row>
    <row r="722" spans="1:18" ht="45" hidden="1">
      <c r="A722" s="238" t="s">
        <v>749</v>
      </c>
      <c r="B722" s="237">
        <v>342038</v>
      </c>
      <c r="C722" s="237">
        <v>342038</v>
      </c>
      <c r="D722" s="238" t="s">
        <v>1515</v>
      </c>
      <c r="E722" s="238" t="s">
        <v>741</v>
      </c>
      <c r="F722" s="238"/>
      <c r="G722" s="238"/>
      <c r="H722" s="238" t="s">
        <v>149</v>
      </c>
      <c r="I722" s="238" t="s">
        <v>250</v>
      </c>
      <c r="J722" s="239">
        <v>41500</v>
      </c>
      <c r="K722" s="239">
        <v>51390</v>
      </c>
      <c r="L722" s="238" t="s">
        <v>618</v>
      </c>
      <c r="M722" s="237">
        <v>1</v>
      </c>
      <c r="N722" s="237"/>
      <c r="O722" s="238"/>
      <c r="P722" s="88" t="str">
        <f t="shared" si="12"/>
        <v>1</v>
      </c>
      <c r="Q722" s="88" t="str">
        <f>IFERROR(INDEX(Торг!$F:$F,MATCH($B722,Торг!$B:$B,0)),"Отсутствует")</f>
        <v>Y</v>
      </c>
      <c r="R722" s="36" t="str">
        <f>IFERROR(IF(AND(Q722="Отсутствует",VLOOKUP(A722,Торг!$A:$A,1,0)=A722),"Добавить","Есть"),"Новый")</f>
        <v>Есть</v>
      </c>
    </row>
    <row r="723" spans="1:18" ht="45" hidden="1">
      <c r="A723" s="238" t="s">
        <v>749</v>
      </c>
      <c r="B723" s="237">
        <v>342026</v>
      </c>
      <c r="C723" s="237">
        <v>342026</v>
      </c>
      <c r="D723" s="238" t="s">
        <v>1516</v>
      </c>
      <c r="E723" s="238" t="s">
        <v>741</v>
      </c>
      <c r="F723" s="238"/>
      <c r="G723" s="238"/>
      <c r="H723" s="238" t="s">
        <v>149</v>
      </c>
      <c r="I723" s="238" t="s">
        <v>250</v>
      </c>
      <c r="J723" s="239">
        <v>40670</v>
      </c>
      <c r="K723" s="239">
        <v>50290</v>
      </c>
      <c r="L723" s="238" t="s">
        <v>618</v>
      </c>
      <c r="M723" s="237">
        <v>1</v>
      </c>
      <c r="N723" s="237"/>
      <c r="O723" s="238"/>
      <c r="P723" s="88" t="str">
        <f t="shared" si="12"/>
        <v>1</v>
      </c>
      <c r="Q723" s="88" t="str">
        <f>IFERROR(INDEX(Торг!$F:$F,MATCH($B723,Торг!$B:$B,0)),"Отсутствует")</f>
        <v>Y</v>
      </c>
      <c r="R723" s="36" t="str">
        <f>IFERROR(IF(AND(Q723="Отсутствует",VLOOKUP(A723,Торг!$A:$A,1,0)=A723),"Добавить","Есть"),"Новый")</f>
        <v>Есть</v>
      </c>
    </row>
    <row r="724" spans="1:18" ht="45" hidden="1">
      <c r="A724" s="238" t="s">
        <v>749</v>
      </c>
      <c r="B724" s="237">
        <v>342039</v>
      </c>
      <c r="C724" s="237">
        <v>342039</v>
      </c>
      <c r="D724" s="238" t="s">
        <v>1517</v>
      </c>
      <c r="E724" s="238" t="s">
        <v>741</v>
      </c>
      <c r="F724" s="238"/>
      <c r="G724" s="238"/>
      <c r="H724" s="238" t="s">
        <v>149</v>
      </c>
      <c r="I724" s="238" t="s">
        <v>250</v>
      </c>
      <c r="J724" s="239">
        <v>41500</v>
      </c>
      <c r="K724" s="239">
        <v>51390</v>
      </c>
      <c r="L724" s="238" t="s">
        <v>618</v>
      </c>
      <c r="M724" s="237">
        <v>1</v>
      </c>
      <c r="N724" s="237"/>
      <c r="O724" s="238"/>
      <c r="P724" s="88" t="str">
        <f t="shared" si="12"/>
        <v>1</v>
      </c>
      <c r="Q724" s="88" t="str">
        <f>IFERROR(INDEX(Торг!$F:$F,MATCH($B724,Торг!$B:$B,0)),"Отсутствует")</f>
        <v>Y</v>
      </c>
      <c r="R724" s="36" t="str">
        <f>IFERROR(IF(AND(Q724="Отсутствует",VLOOKUP(A724,Торг!$A:$A,1,0)=A724),"Добавить","Есть"),"Новый")</f>
        <v>Есть</v>
      </c>
    </row>
    <row r="725" spans="1:18" ht="45" hidden="1">
      <c r="A725" s="238" t="s">
        <v>749</v>
      </c>
      <c r="B725" s="237">
        <v>342028</v>
      </c>
      <c r="C725" s="237">
        <v>342028</v>
      </c>
      <c r="D725" s="238" t="s">
        <v>1518</v>
      </c>
      <c r="E725" s="238" t="s">
        <v>741</v>
      </c>
      <c r="F725" s="238"/>
      <c r="G725" s="238"/>
      <c r="H725" s="238" t="s">
        <v>149</v>
      </c>
      <c r="I725" s="238" t="s">
        <v>250</v>
      </c>
      <c r="J725" s="239">
        <v>40670</v>
      </c>
      <c r="K725" s="239">
        <v>50290</v>
      </c>
      <c r="L725" s="238" t="s">
        <v>618</v>
      </c>
      <c r="M725" s="237">
        <v>1</v>
      </c>
      <c r="N725" s="237"/>
      <c r="O725" s="238"/>
      <c r="P725" s="88" t="str">
        <f t="shared" si="12"/>
        <v>1</v>
      </c>
      <c r="Q725" s="88" t="str">
        <f>IFERROR(INDEX(Торг!$F:$F,MATCH($B725,Торг!$B:$B,0)),"Отсутствует")</f>
        <v>Y</v>
      </c>
      <c r="R725" s="36" t="str">
        <f>IFERROR(IF(AND(Q725="Отсутствует",VLOOKUP(A725,Торг!$A:$A,1,0)=A725),"Добавить","Есть"),"Новый")</f>
        <v>Есть</v>
      </c>
    </row>
    <row r="726" spans="1:18" ht="45" hidden="1">
      <c r="A726" s="238" t="s">
        <v>749</v>
      </c>
      <c r="B726" s="237">
        <v>342041</v>
      </c>
      <c r="C726" s="237">
        <v>342041</v>
      </c>
      <c r="D726" s="238" t="s">
        <v>1519</v>
      </c>
      <c r="E726" s="238" t="s">
        <v>741</v>
      </c>
      <c r="F726" s="238"/>
      <c r="G726" s="238"/>
      <c r="H726" s="238" t="s">
        <v>149</v>
      </c>
      <c r="I726" s="238" t="s">
        <v>250</v>
      </c>
      <c r="J726" s="239">
        <v>41500</v>
      </c>
      <c r="K726" s="239">
        <v>51390</v>
      </c>
      <c r="L726" s="238" t="s">
        <v>618</v>
      </c>
      <c r="M726" s="237">
        <v>1</v>
      </c>
      <c r="N726" s="237"/>
      <c r="O726" s="238"/>
      <c r="P726" s="88" t="str">
        <f t="shared" si="12"/>
        <v>1</v>
      </c>
      <c r="Q726" s="88" t="str">
        <f>IFERROR(INDEX(Торг!$F:$F,MATCH($B726,Торг!$B:$B,0)),"Отсутствует")</f>
        <v>Y</v>
      </c>
      <c r="R726" s="36" t="str">
        <f>IFERROR(IF(AND(Q726="Отсутствует",VLOOKUP(A726,Торг!$A:$A,1,0)=A726),"Добавить","Есть"),"Новый")</f>
        <v>Есть</v>
      </c>
    </row>
    <row r="727" spans="1:18" ht="45" hidden="1">
      <c r="A727" s="238" t="s">
        <v>749</v>
      </c>
      <c r="B727" s="237">
        <v>342020</v>
      </c>
      <c r="C727" s="237">
        <v>342020</v>
      </c>
      <c r="D727" s="238" t="s">
        <v>1520</v>
      </c>
      <c r="E727" s="238" t="s">
        <v>741</v>
      </c>
      <c r="F727" s="238"/>
      <c r="G727" s="238"/>
      <c r="H727" s="238" t="s">
        <v>149</v>
      </c>
      <c r="I727" s="238" t="s">
        <v>250</v>
      </c>
      <c r="J727" s="239">
        <v>40670</v>
      </c>
      <c r="K727" s="239">
        <v>50290</v>
      </c>
      <c r="L727" s="238" t="s">
        <v>618</v>
      </c>
      <c r="M727" s="237">
        <v>1</v>
      </c>
      <c r="N727" s="237"/>
      <c r="O727" s="238"/>
      <c r="P727" s="88" t="str">
        <f t="shared" si="12"/>
        <v>1</v>
      </c>
      <c r="Q727" s="88" t="str">
        <f>IFERROR(INDEX(Торг!$F:$F,MATCH($B727,Торг!$B:$B,0)),"Отсутствует")</f>
        <v>Y</v>
      </c>
      <c r="R727" s="36" t="str">
        <f>IFERROR(IF(AND(Q727="Отсутствует",VLOOKUP(A727,Торг!$A:$A,1,0)=A727),"Добавить","Есть"),"Новый")</f>
        <v>Есть</v>
      </c>
    </row>
    <row r="728" spans="1:18" ht="45" hidden="1">
      <c r="A728" s="238" t="s">
        <v>749</v>
      </c>
      <c r="B728" s="237">
        <v>342033</v>
      </c>
      <c r="C728" s="237">
        <v>342033</v>
      </c>
      <c r="D728" s="238" t="s">
        <v>1521</v>
      </c>
      <c r="E728" s="238" t="s">
        <v>741</v>
      </c>
      <c r="F728" s="238"/>
      <c r="G728" s="238"/>
      <c r="H728" s="238" t="s">
        <v>149</v>
      </c>
      <c r="I728" s="238" t="s">
        <v>250</v>
      </c>
      <c r="J728" s="239">
        <v>41500</v>
      </c>
      <c r="K728" s="239">
        <v>51390</v>
      </c>
      <c r="L728" s="238" t="s">
        <v>618</v>
      </c>
      <c r="M728" s="237">
        <v>1</v>
      </c>
      <c r="N728" s="237"/>
      <c r="O728" s="238"/>
      <c r="P728" s="88" t="str">
        <f t="shared" si="12"/>
        <v>1</v>
      </c>
      <c r="Q728" s="88" t="str">
        <f>IFERROR(INDEX(Торг!$F:$F,MATCH($B728,Торг!$B:$B,0)),"Отсутствует")</f>
        <v>Y</v>
      </c>
      <c r="R728" s="36" t="str">
        <f>IFERROR(IF(AND(Q728="Отсутствует",VLOOKUP(A728,Торг!$A:$A,1,0)=A728),"Добавить","Есть"),"Новый")</f>
        <v>Есть</v>
      </c>
    </row>
    <row r="729" spans="1:18" ht="45" hidden="1">
      <c r="A729" s="238" t="s">
        <v>749</v>
      </c>
      <c r="B729" s="237">
        <v>342019</v>
      </c>
      <c r="C729" s="237">
        <v>342019</v>
      </c>
      <c r="D729" s="238" t="s">
        <v>1522</v>
      </c>
      <c r="E729" s="238" t="s">
        <v>741</v>
      </c>
      <c r="F729" s="238"/>
      <c r="G729" s="238"/>
      <c r="H729" s="238" t="s">
        <v>149</v>
      </c>
      <c r="I729" s="238" t="s">
        <v>250</v>
      </c>
      <c r="J729" s="239">
        <v>39800</v>
      </c>
      <c r="K729" s="239">
        <v>49290</v>
      </c>
      <c r="L729" s="238" t="s">
        <v>618</v>
      </c>
      <c r="M729" s="237">
        <v>1</v>
      </c>
      <c r="N729" s="237"/>
      <c r="O729" s="238"/>
      <c r="P729" s="88" t="str">
        <f t="shared" si="12"/>
        <v>1</v>
      </c>
      <c r="Q729" s="88" t="str">
        <f>IFERROR(INDEX(Торг!$F:$F,MATCH($B729,Торг!$B:$B,0)),"Отсутствует")</f>
        <v>Y</v>
      </c>
      <c r="R729" s="36" t="str">
        <f>IFERROR(IF(AND(Q729="Отсутствует",VLOOKUP(A729,Торг!$A:$A,1,0)=A729),"Добавить","Есть"),"Новый")</f>
        <v>Есть</v>
      </c>
    </row>
    <row r="730" spans="1:18" ht="45" hidden="1">
      <c r="A730" s="238" t="s">
        <v>749</v>
      </c>
      <c r="B730" s="237">
        <v>342032</v>
      </c>
      <c r="C730" s="237">
        <v>342032</v>
      </c>
      <c r="D730" s="238" t="s">
        <v>1523</v>
      </c>
      <c r="E730" s="238" t="s">
        <v>741</v>
      </c>
      <c r="F730" s="238"/>
      <c r="G730" s="238"/>
      <c r="H730" s="238" t="s">
        <v>149</v>
      </c>
      <c r="I730" s="238" t="s">
        <v>250</v>
      </c>
      <c r="J730" s="239">
        <v>40630</v>
      </c>
      <c r="K730" s="239">
        <v>50290</v>
      </c>
      <c r="L730" s="238" t="s">
        <v>618</v>
      </c>
      <c r="M730" s="237">
        <v>1</v>
      </c>
      <c r="N730" s="237"/>
      <c r="O730" s="238"/>
      <c r="P730" s="88" t="str">
        <f t="shared" si="12"/>
        <v>1</v>
      </c>
      <c r="Q730" s="88" t="str">
        <f>IFERROR(INDEX(Торг!$F:$F,MATCH($B730,Торг!$B:$B,0)),"Отсутствует")</f>
        <v>Y</v>
      </c>
      <c r="R730" s="36" t="str">
        <f>IFERROR(IF(AND(Q730="Отсутствует",VLOOKUP(A730,Торг!$A:$A,1,0)=A730),"Добавить","Есть"),"Новый")</f>
        <v>Есть</v>
      </c>
    </row>
    <row r="731" spans="1:18" ht="45" hidden="1">
      <c r="A731" s="238" t="s">
        <v>1524</v>
      </c>
      <c r="B731" s="237">
        <v>322916</v>
      </c>
      <c r="C731" s="237">
        <v>322916</v>
      </c>
      <c r="D731" s="238" t="s">
        <v>1525</v>
      </c>
      <c r="E731" s="238" t="s">
        <v>741</v>
      </c>
      <c r="F731" s="238"/>
      <c r="G731" s="238"/>
      <c r="H731" s="238" t="s">
        <v>110</v>
      </c>
      <c r="I731" s="238" t="s">
        <v>250</v>
      </c>
      <c r="J731" s="239">
        <v>40170</v>
      </c>
      <c r="K731" s="239">
        <v>49690</v>
      </c>
      <c r="L731" s="238" t="s">
        <v>619</v>
      </c>
      <c r="M731" s="237">
        <v>0</v>
      </c>
      <c r="N731" s="237"/>
      <c r="O731" s="238"/>
      <c r="P731" s="88" t="str">
        <f t="shared" si="12"/>
        <v>0</v>
      </c>
      <c r="Q731" s="88" t="str">
        <f>IFERROR(INDEX(Торг!$F:$F,MATCH($B731,Торг!$B:$B,0)),"Отсутствует")</f>
        <v>Y</v>
      </c>
      <c r="R731" s="36" t="str">
        <f>IFERROR(IF(AND(Q731="Отсутствует",VLOOKUP(A731,Торг!$A:$A,1,0)=A731),"Добавить","Есть"),"Новый")</f>
        <v>Есть</v>
      </c>
    </row>
    <row r="732" spans="1:18" ht="45" hidden="1">
      <c r="A732" s="238" t="s">
        <v>1524</v>
      </c>
      <c r="B732" s="237">
        <v>322927</v>
      </c>
      <c r="C732" s="237">
        <v>322927</v>
      </c>
      <c r="D732" s="238" t="s">
        <v>1526</v>
      </c>
      <c r="E732" s="238" t="s">
        <v>741</v>
      </c>
      <c r="F732" s="238"/>
      <c r="G732" s="238"/>
      <c r="H732" s="238" t="s">
        <v>110</v>
      </c>
      <c r="I732" s="238" t="s">
        <v>250</v>
      </c>
      <c r="J732" s="239">
        <v>40170</v>
      </c>
      <c r="K732" s="239">
        <v>49690</v>
      </c>
      <c r="L732" s="238" t="s">
        <v>619</v>
      </c>
      <c r="M732" s="237">
        <v>0</v>
      </c>
      <c r="N732" s="237"/>
      <c r="O732" s="238"/>
      <c r="P732" s="88" t="str">
        <f t="shared" si="12"/>
        <v>0</v>
      </c>
      <c r="Q732" s="88" t="str">
        <f>IFERROR(INDEX(Торг!$F:$F,MATCH($B732,Торг!$B:$B,0)),"Отсутствует")</f>
        <v>Y</v>
      </c>
      <c r="R732" s="36" t="str">
        <f>IFERROR(IF(AND(Q732="Отсутствует",VLOOKUP(A732,Торг!$A:$A,1,0)=A732),"Добавить","Есть"),"Новый")</f>
        <v>Есть</v>
      </c>
    </row>
    <row r="733" spans="1:18" ht="45" hidden="1">
      <c r="A733" s="238" t="s">
        <v>1524</v>
      </c>
      <c r="B733" s="237">
        <v>322926</v>
      </c>
      <c r="C733" s="237">
        <v>322926</v>
      </c>
      <c r="D733" s="238" t="s">
        <v>1527</v>
      </c>
      <c r="E733" s="238" t="s">
        <v>741</v>
      </c>
      <c r="F733" s="238"/>
      <c r="G733" s="238"/>
      <c r="H733" s="238" t="s">
        <v>110</v>
      </c>
      <c r="I733" s="238" t="s">
        <v>250</v>
      </c>
      <c r="J733" s="239">
        <v>40170</v>
      </c>
      <c r="K733" s="239">
        <v>49690</v>
      </c>
      <c r="L733" s="238" t="s">
        <v>619</v>
      </c>
      <c r="M733" s="237">
        <v>0</v>
      </c>
      <c r="N733" s="237"/>
      <c r="O733" s="238"/>
      <c r="P733" s="88" t="str">
        <f t="shared" si="12"/>
        <v>0</v>
      </c>
      <c r="Q733" s="88" t="str">
        <f>IFERROR(INDEX(Торг!$F:$F,MATCH($B733,Торг!$B:$B,0)),"Отсутствует")</f>
        <v>Y</v>
      </c>
      <c r="R733" s="36" t="str">
        <f>IFERROR(IF(AND(Q733="Отсутствует",VLOOKUP(A733,Торг!$A:$A,1,0)=A733),"Добавить","Есть"),"Новый")</f>
        <v>Есть</v>
      </c>
    </row>
    <row r="734" spans="1:18" ht="45" hidden="1">
      <c r="A734" s="238" t="s">
        <v>1524</v>
      </c>
      <c r="B734" s="237">
        <v>322918</v>
      </c>
      <c r="C734" s="237">
        <v>322918</v>
      </c>
      <c r="D734" s="238" t="s">
        <v>1528</v>
      </c>
      <c r="E734" s="238" t="s">
        <v>741</v>
      </c>
      <c r="F734" s="238"/>
      <c r="G734" s="238"/>
      <c r="H734" s="238" t="s">
        <v>110</v>
      </c>
      <c r="I734" s="238" t="s">
        <v>250</v>
      </c>
      <c r="J734" s="239">
        <v>40170</v>
      </c>
      <c r="K734" s="239">
        <v>49690</v>
      </c>
      <c r="L734" s="238" t="s">
        <v>619</v>
      </c>
      <c r="M734" s="237">
        <v>0</v>
      </c>
      <c r="N734" s="237"/>
      <c r="O734" s="238"/>
      <c r="P734" s="88" t="str">
        <f t="shared" si="12"/>
        <v>0</v>
      </c>
      <c r="Q734" s="88" t="str">
        <f>IFERROR(INDEX(Торг!$F:$F,MATCH($B734,Торг!$B:$B,0)),"Отсутствует")</f>
        <v>Y</v>
      </c>
      <c r="R734" s="36" t="str">
        <f>IFERROR(IF(AND(Q734="Отсутствует",VLOOKUP(A734,Торг!$A:$A,1,0)=A734),"Добавить","Есть"),"Новый")</f>
        <v>Есть</v>
      </c>
    </row>
    <row r="735" spans="1:18" ht="45" hidden="1">
      <c r="A735" s="238" t="s">
        <v>1524</v>
      </c>
      <c r="B735" s="237">
        <v>322919</v>
      </c>
      <c r="C735" s="237">
        <v>322919</v>
      </c>
      <c r="D735" s="238" t="s">
        <v>1529</v>
      </c>
      <c r="E735" s="238" t="s">
        <v>741</v>
      </c>
      <c r="F735" s="238"/>
      <c r="G735" s="238"/>
      <c r="H735" s="238" t="s">
        <v>110</v>
      </c>
      <c r="I735" s="238" t="s">
        <v>250</v>
      </c>
      <c r="J735" s="239">
        <v>40170</v>
      </c>
      <c r="K735" s="239">
        <v>49690</v>
      </c>
      <c r="L735" s="238" t="s">
        <v>619</v>
      </c>
      <c r="M735" s="237">
        <v>0</v>
      </c>
      <c r="N735" s="237"/>
      <c r="O735" s="238"/>
      <c r="P735" s="88" t="str">
        <f t="shared" si="12"/>
        <v>0</v>
      </c>
      <c r="Q735" s="88" t="str">
        <f>IFERROR(INDEX(Торг!$F:$F,MATCH($B735,Торг!$B:$B,0)),"Отсутствует")</f>
        <v>Y</v>
      </c>
      <c r="R735" s="36" t="str">
        <f>IFERROR(IF(AND(Q735="Отсутствует",VLOOKUP(A735,Торг!$A:$A,1,0)=A735),"Добавить","Есть"),"Новый")</f>
        <v>Есть</v>
      </c>
    </row>
    <row r="736" spans="1:18" ht="45" hidden="1">
      <c r="A736" s="238" t="s">
        <v>1524</v>
      </c>
      <c r="B736" s="237">
        <v>322920</v>
      </c>
      <c r="C736" s="237">
        <v>322920</v>
      </c>
      <c r="D736" s="238" t="s">
        <v>1530</v>
      </c>
      <c r="E736" s="238" t="s">
        <v>741</v>
      </c>
      <c r="F736" s="238"/>
      <c r="G736" s="238"/>
      <c r="H736" s="238" t="s">
        <v>110</v>
      </c>
      <c r="I736" s="238" t="s">
        <v>250</v>
      </c>
      <c r="J736" s="239">
        <v>40170</v>
      </c>
      <c r="K736" s="239">
        <v>49690</v>
      </c>
      <c r="L736" s="238" t="s">
        <v>619</v>
      </c>
      <c r="M736" s="237">
        <v>0</v>
      </c>
      <c r="N736" s="237"/>
      <c r="O736" s="238"/>
      <c r="P736" s="88" t="str">
        <f t="shared" si="12"/>
        <v>0</v>
      </c>
      <c r="Q736" s="88" t="str">
        <f>IFERROR(INDEX(Торг!$F:$F,MATCH($B736,Торг!$B:$B,0)),"Отсутствует")</f>
        <v>Y</v>
      </c>
      <c r="R736" s="36" t="str">
        <f>IFERROR(IF(AND(Q736="Отсутствует",VLOOKUP(A736,Торг!$A:$A,1,0)=A736),"Добавить","Есть"),"Новый")</f>
        <v>Есть</v>
      </c>
    </row>
    <row r="737" spans="1:18" ht="45" hidden="1">
      <c r="A737" s="238" t="s">
        <v>1524</v>
      </c>
      <c r="B737" s="237">
        <v>322921</v>
      </c>
      <c r="C737" s="237">
        <v>322921</v>
      </c>
      <c r="D737" s="238" t="s">
        <v>1531</v>
      </c>
      <c r="E737" s="238" t="s">
        <v>741</v>
      </c>
      <c r="F737" s="238"/>
      <c r="G737" s="238"/>
      <c r="H737" s="238" t="s">
        <v>110</v>
      </c>
      <c r="I737" s="238" t="s">
        <v>250</v>
      </c>
      <c r="J737" s="239">
        <v>40170</v>
      </c>
      <c r="K737" s="239">
        <v>49690</v>
      </c>
      <c r="L737" s="238" t="s">
        <v>619</v>
      </c>
      <c r="M737" s="237">
        <v>0</v>
      </c>
      <c r="N737" s="237"/>
      <c r="O737" s="238"/>
      <c r="P737" s="88" t="str">
        <f t="shared" si="12"/>
        <v>0</v>
      </c>
      <c r="Q737" s="88" t="str">
        <f>IFERROR(INDEX(Торг!$F:$F,MATCH($B737,Торг!$B:$B,0)),"Отсутствует")</f>
        <v>Y</v>
      </c>
      <c r="R737" s="36" t="str">
        <f>IFERROR(IF(AND(Q737="Отсутствует",VLOOKUP(A737,Торг!$A:$A,1,0)=A737),"Добавить","Есть"),"Новый")</f>
        <v>Есть</v>
      </c>
    </row>
    <row r="738" spans="1:18" ht="45" hidden="1">
      <c r="A738" s="238" t="s">
        <v>1524</v>
      </c>
      <c r="B738" s="237">
        <v>322924</v>
      </c>
      <c r="C738" s="237">
        <v>322924</v>
      </c>
      <c r="D738" s="238" t="s">
        <v>1532</v>
      </c>
      <c r="E738" s="238" t="s">
        <v>741</v>
      </c>
      <c r="F738" s="238"/>
      <c r="G738" s="238"/>
      <c r="H738" s="238" t="s">
        <v>110</v>
      </c>
      <c r="I738" s="238" t="s">
        <v>250</v>
      </c>
      <c r="J738" s="239">
        <v>40170</v>
      </c>
      <c r="K738" s="239">
        <v>49690</v>
      </c>
      <c r="L738" s="238" t="s">
        <v>619</v>
      </c>
      <c r="M738" s="237">
        <v>0</v>
      </c>
      <c r="N738" s="237"/>
      <c r="O738" s="238"/>
      <c r="P738" s="88" t="str">
        <f t="shared" si="12"/>
        <v>0</v>
      </c>
      <c r="Q738" s="88" t="str">
        <f>IFERROR(INDEX(Торг!$F:$F,MATCH($B738,Торг!$B:$B,0)),"Отсутствует")</f>
        <v>Y</v>
      </c>
      <c r="R738" s="36" t="str">
        <f>IFERROR(IF(AND(Q738="Отсутствует",VLOOKUP(A738,Торг!$A:$A,1,0)=A738),"Добавить","Есть"),"Новый")</f>
        <v>Есть</v>
      </c>
    </row>
    <row r="739" spans="1:18" ht="45" hidden="1">
      <c r="A739" s="238" t="s">
        <v>1524</v>
      </c>
      <c r="B739" s="237">
        <v>322922</v>
      </c>
      <c r="C739" s="237">
        <v>322922</v>
      </c>
      <c r="D739" s="238" t="s">
        <v>1533</v>
      </c>
      <c r="E739" s="238" t="s">
        <v>741</v>
      </c>
      <c r="F739" s="238"/>
      <c r="G739" s="238"/>
      <c r="H739" s="238" t="s">
        <v>110</v>
      </c>
      <c r="I739" s="238" t="s">
        <v>250</v>
      </c>
      <c r="J739" s="239">
        <v>40170</v>
      </c>
      <c r="K739" s="239">
        <v>49690</v>
      </c>
      <c r="L739" s="238" t="s">
        <v>619</v>
      </c>
      <c r="M739" s="237">
        <v>0</v>
      </c>
      <c r="N739" s="237"/>
      <c r="O739" s="238"/>
      <c r="P739" s="88" t="str">
        <f t="shared" si="12"/>
        <v>0</v>
      </c>
      <c r="Q739" s="88" t="str">
        <f>IFERROR(INDEX(Торг!$F:$F,MATCH($B739,Торг!$B:$B,0)),"Отсутствует")</f>
        <v>Y</v>
      </c>
      <c r="R739" s="36" t="str">
        <f>IFERROR(IF(AND(Q739="Отсутствует",VLOOKUP(A739,Торг!$A:$A,1,0)=A739),"Добавить","Есть"),"Новый")</f>
        <v>Есть</v>
      </c>
    </row>
    <row r="740" spans="1:18" ht="45" hidden="1">
      <c r="A740" s="238" t="s">
        <v>1524</v>
      </c>
      <c r="B740" s="237">
        <v>322923</v>
      </c>
      <c r="C740" s="237">
        <v>322923</v>
      </c>
      <c r="D740" s="238" t="s">
        <v>1534</v>
      </c>
      <c r="E740" s="238" t="s">
        <v>741</v>
      </c>
      <c r="F740" s="238"/>
      <c r="G740" s="238"/>
      <c r="H740" s="238" t="s">
        <v>110</v>
      </c>
      <c r="I740" s="238" t="s">
        <v>250</v>
      </c>
      <c r="J740" s="239">
        <v>40170</v>
      </c>
      <c r="K740" s="239">
        <v>49690</v>
      </c>
      <c r="L740" s="238" t="s">
        <v>619</v>
      </c>
      <c r="M740" s="237">
        <v>0</v>
      </c>
      <c r="N740" s="237"/>
      <c r="O740" s="238"/>
      <c r="P740" s="88" t="str">
        <f t="shared" si="12"/>
        <v>0</v>
      </c>
      <c r="Q740" s="88" t="str">
        <f>IFERROR(INDEX(Торг!$F:$F,MATCH($B740,Торг!$B:$B,0)),"Отсутствует")</f>
        <v>Y</v>
      </c>
      <c r="R740" s="36" t="str">
        <f>IFERROR(IF(AND(Q740="Отсутствует",VLOOKUP(A740,Торг!$A:$A,1,0)=A740),"Добавить","Есть"),"Новый")</f>
        <v>Есть</v>
      </c>
    </row>
    <row r="741" spans="1:18" ht="45" hidden="1">
      <c r="A741" s="238" t="s">
        <v>1524</v>
      </c>
      <c r="B741" s="237">
        <v>322925</v>
      </c>
      <c r="C741" s="237">
        <v>322925</v>
      </c>
      <c r="D741" s="238" t="s">
        <v>1535</v>
      </c>
      <c r="E741" s="238" t="s">
        <v>741</v>
      </c>
      <c r="F741" s="238"/>
      <c r="G741" s="238"/>
      <c r="H741" s="238" t="s">
        <v>110</v>
      </c>
      <c r="I741" s="238" t="s">
        <v>250</v>
      </c>
      <c r="J741" s="239">
        <v>40170</v>
      </c>
      <c r="K741" s="239">
        <v>49690</v>
      </c>
      <c r="L741" s="238" t="s">
        <v>619</v>
      </c>
      <c r="M741" s="237">
        <v>0</v>
      </c>
      <c r="N741" s="237"/>
      <c r="O741" s="238"/>
      <c r="P741" s="88" t="str">
        <f t="shared" si="12"/>
        <v>0</v>
      </c>
      <c r="Q741" s="88" t="str">
        <f>IFERROR(INDEX(Торг!$F:$F,MATCH($B741,Торг!$B:$B,0)),"Отсутствует")</f>
        <v>Y</v>
      </c>
      <c r="R741" s="36" t="str">
        <f>IFERROR(IF(AND(Q741="Отсутствует",VLOOKUP(A741,Торг!$A:$A,1,0)=A741),"Добавить","Есть"),"Новый")</f>
        <v>Есть</v>
      </c>
    </row>
    <row r="742" spans="1:18" ht="45" hidden="1">
      <c r="A742" s="238" t="s">
        <v>1524</v>
      </c>
      <c r="B742" s="237">
        <v>322917</v>
      </c>
      <c r="C742" s="237">
        <v>322917</v>
      </c>
      <c r="D742" s="238" t="s">
        <v>1536</v>
      </c>
      <c r="E742" s="238" t="s">
        <v>741</v>
      </c>
      <c r="F742" s="238"/>
      <c r="G742" s="238"/>
      <c r="H742" s="238" t="s">
        <v>110</v>
      </c>
      <c r="I742" s="238" t="s">
        <v>250</v>
      </c>
      <c r="J742" s="239">
        <v>40170</v>
      </c>
      <c r="K742" s="239">
        <v>49690</v>
      </c>
      <c r="L742" s="238" t="s">
        <v>619</v>
      </c>
      <c r="M742" s="237">
        <v>0</v>
      </c>
      <c r="N742" s="237"/>
      <c r="O742" s="238"/>
      <c r="P742" s="88" t="str">
        <f t="shared" ref="P742:P805" si="13">_xlfn.CONCAT(M742,IF(N742&lt;&gt;"",_xlfn.CONCAT("ск",N742),""))</f>
        <v>0</v>
      </c>
      <c r="Q742" s="88" t="str">
        <f>IFERROR(INDEX(Торг!$F:$F,MATCH($B742,Торг!$B:$B,0)),"Отсутствует")</f>
        <v>Y</v>
      </c>
      <c r="R742" s="36" t="str">
        <f>IFERROR(IF(AND(Q742="Отсутствует",VLOOKUP(A742,Торг!$A:$A,1,0)=A742),"Добавить","Есть"),"Новый")</f>
        <v>Есть</v>
      </c>
    </row>
    <row r="743" spans="1:18" ht="45" hidden="1">
      <c r="A743" s="238" t="s">
        <v>1524</v>
      </c>
      <c r="B743" s="237">
        <v>322913</v>
      </c>
      <c r="C743" s="237">
        <v>322913</v>
      </c>
      <c r="D743" s="238" t="s">
        <v>1537</v>
      </c>
      <c r="E743" s="238" t="s">
        <v>741</v>
      </c>
      <c r="F743" s="238"/>
      <c r="G743" s="238"/>
      <c r="H743" s="238" t="s">
        <v>110</v>
      </c>
      <c r="I743" s="238" t="s">
        <v>250</v>
      </c>
      <c r="J743" s="239">
        <v>39300</v>
      </c>
      <c r="K743" s="239">
        <v>48590</v>
      </c>
      <c r="L743" s="238" t="s">
        <v>619</v>
      </c>
      <c r="M743" s="237">
        <v>1</v>
      </c>
      <c r="N743" s="237"/>
      <c r="O743" s="238"/>
      <c r="P743" s="88" t="str">
        <f t="shared" si="13"/>
        <v>1</v>
      </c>
      <c r="Q743" s="88" t="str">
        <f>IFERROR(INDEX(Торг!$F:$F,MATCH($B743,Торг!$B:$B,0)),"Отсутствует")</f>
        <v>Y</v>
      </c>
      <c r="R743" s="36" t="str">
        <f>IFERROR(IF(AND(Q743="Отсутствует",VLOOKUP(A743,Торг!$A:$A,1,0)=A743),"Добавить","Есть"),"Новый")</f>
        <v>Есть</v>
      </c>
    </row>
    <row r="744" spans="1:18" ht="45" hidden="1">
      <c r="A744" s="238" t="s">
        <v>1524</v>
      </c>
      <c r="B744" s="237">
        <v>342047</v>
      </c>
      <c r="C744" s="237">
        <v>342047</v>
      </c>
      <c r="D744" s="238" t="s">
        <v>1538</v>
      </c>
      <c r="E744" s="238" t="s">
        <v>741</v>
      </c>
      <c r="F744" s="238"/>
      <c r="G744" s="238"/>
      <c r="H744" s="238" t="s">
        <v>110</v>
      </c>
      <c r="I744" s="238" t="s">
        <v>250</v>
      </c>
      <c r="J744" s="239">
        <v>41000</v>
      </c>
      <c r="K744" s="239">
        <v>50690</v>
      </c>
      <c r="L744" s="238" t="s">
        <v>619</v>
      </c>
      <c r="M744" s="237">
        <v>1</v>
      </c>
      <c r="N744" s="237"/>
      <c r="O744" s="238"/>
      <c r="P744" s="88" t="str">
        <f t="shared" si="13"/>
        <v>1</v>
      </c>
      <c r="Q744" s="88" t="str">
        <f>IFERROR(INDEX(Торг!$F:$F,MATCH($B744,Торг!$B:$B,0)),"Отсутствует")</f>
        <v>Y</v>
      </c>
      <c r="R744" s="36" t="str">
        <f>IFERROR(IF(AND(Q744="Отсутствует",VLOOKUP(A744,Торг!$A:$A,1,0)=A744),"Добавить","Есть"),"Новый")</f>
        <v>Есть</v>
      </c>
    </row>
    <row r="745" spans="1:18" ht="45" hidden="1">
      <c r="A745" s="238" t="s">
        <v>1524</v>
      </c>
      <c r="B745" s="237">
        <v>342059</v>
      </c>
      <c r="C745" s="237">
        <v>342059</v>
      </c>
      <c r="D745" s="238" t="s">
        <v>1539</v>
      </c>
      <c r="E745" s="238" t="s">
        <v>741</v>
      </c>
      <c r="F745" s="238"/>
      <c r="G745" s="238"/>
      <c r="H745" s="238" t="s">
        <v>110</v>
      </c>
      <c r="I745" s="238" t="s">
        <v>250</v>
      </c>
      <c r="J745" s="239">
        <v>41000</v>
      </c>
      <c r="K745" s="239">
        <v>50690</v>
      </c>
      <c r="L745" s="238" t="s">
        <v>619</v>
      </c>
      <c r="M745" s="237">
        <v>1</v>
      </c>
      <c r="N745" s="237"/>
      <c r="O745" s="238"/>
      <c r="P745" s="88" t="str">
        <f t="shared" si="13"/>
        <v>1</v>
      </c>
      <c r="Q745" s="88" t="str">
        <f>IFERROR(INDEX(Торг!$F:$F,MATCH($B745,Торг!$B:$B,0)),"Отсутствует")</f>
        <v>Y</v>
      </c>
      <c r="R745" s="36" t="str">
        <f>IFERROR(IF(AND(Q745="Отсутствует",VLOOKUP(A745,Торг!$A:$A,1,0)=A745),"Добавить","Есть"),"Новый")</f>
        <v>Есть</v>
      </c>
    </row>
    <row r="746" spans="1:18" ht="45" hidden="1">
      <c r="A746" s="238" t="s">
        <v>1524</v>
      </c>
      <c r="B746" s="237">
        <v>342058</v>
      </c>
      <c r="C746" s="237">
        <v>342058</v>
      </c>
      <c r="D746" s="238" t="s">
        <v>1540</v>
      </c>
      <c r="E746" s="238" t="s">
        <v>741</v>
      </c>
      <c r="F746" s="238"/>
      <c r="G746" s="238"/>
      <c r="H746" s="238" t="s">
        <v>110</v>
      </c>
      <c r="I746" s="238" t="s">
        <v>250</v>
      </c>
      <c r="J746" s="239">
        <v>41000</v>
      </c>
      <c r="K746" s="239">
        <v>50690</v>
      </c>
      <c r="L746" s="238" t="s">
        <v>619</v>
      </c>
      <c r="M746" s="237">
        <v>1</v>
      </c>
      <c r="N746" s="237"/>
      <c r="O746" s="238"/>
      <c r="P746" s="88" t="str">
        <f t="shared" si="13"/>
        <v>1</v>
      </c>
      <c r="Q746" s="88" t="str">
        <f>IFERROR(INDEX(Торг!$F:$F,MATCH($B746,Торг!$B:$B,0)),"Отсутствует")</f>
        <v>Y</v>
      </c>
      <c r="R746" s="36" t="str">
        <f>IFERROR(IF(AND(Q746="Отсутствует",VLOOKUP(A746,Торг!$A:$A,1,0)=A746),"Добавить","Есть"),"Новый")</f>
        <v>Есть</v>
      </c>
    </row>
    <row r="747" spans="1:18" ht="45" hidden="1">
      <c r="A747" s="238" t="s">
        <v>1524</v>
      </c>
      <c r="B747" s="237">
        <v>342050</v>
      </c>
      <c r="C747" s="237">
        <v>342050</v>
      </c>
      <c r="D747" s="238" t="s">
        <v>1541</v>
      </c>
      <c r="E747" s="238" t="s">
        <v>741</v>
      </c>
      <c r="F747" s="238"/>
      <c r="G747" s="238"/>
      <c r="H747" s="238" t="s">
        <v>110</v>
      </c>
      <c r="I747" s="238" t="s">
        <v>250</v>
      </c>
      <c r="J747" s="239">
        <v>41000</v>
      </c>
      <c r="K747" s="239">
        <v>50690</v>
      </c>
      <c r="L747" s="238" t="s">
        <v>619</v>
      </c>
      <c r="M747" s="237">
        <v>1</v>
      </c>
      <c r="N747" s="237"/>
      <c r="O747" s="238"/>
      <c r="P747" s="88" t="str">
        <f t="shared" si="13"/>
        <v>1</v>
      </c>
      <c r="Q747" s="88" t="str">
        <f>IFERROR(INDEX(Торг!$F:$F,MATCH($B747,Торг!$B:$B,0)),"Отсутствует")</f>
        <v>Y</v>
      </c>
      <c r="R747" s="36" t="str">
        <f>IFERROR(IF(AND(Q747="Отсутствует",VLOOKUP(A747,Торг!$A:$A,1,0)=A747),"Добавить","Есть"),"Новый")</f>
        <v>Есть</v>
      </c>
    </row>
    <row r="748" spans="1:18" ht="45" hidden="1">
      <c r="A748" s="238" t="s">
        <v>1524</v>
      </c>
      <c r="B748" s="237">
        <v>342051</v>
      </c>
      <c r="C748" s="237">
        <v>342051</v>
      </c>
      <c r="D748" s="238" t="s">
        <v>1542</v>
      </c>
      <c r="E748" s="238" t="s">
        <v>741</v>
      </c>
      <c r="F748" s="238"/>
      <c r="G748" s="238"/>
      <c r="H748" s="238" t="s">
        <v>110</v>
      </c>
      <c r="I748" s="238" t="s">
        <v>250</v>
      </c>
      <c r="J748" s="239">
        <v>41000</v>
      </c>
      <c r="K748" s="239">
        <v>50690</v>
      </c>
      <c r="L748" s="238" t="s">
        <v>619</v>
      </c>
      <c r="M748" s="237">
        <v>1</v>
      </c>
      <c r="N748" s="237"/>
      <c r="O748" s="238"/>
      <c r="P748" s="88" t="str">
        <f t="shared" si="13"/>
        <v>1</v>
      </c>
      <c r="Q748" s="88" t="str">
        <f>IFERROR(INDEX(Торг!$F:$F,MATCH($B748,Торг!$B:$B,0)),"Отсутствует")</f>
        <v>Y</v>
      </c>
      <c r="R748" s="36" t="str">
        <f>IFERROR(IF(AND(Q748="Отсутствует",VLOOKUP(A748,Торг!$A:$A,1,0)=A748),"Добавить","Есть"),"Новый")</f>
        <v>Есть</v>
      </c>
    </row>
    <row r="749" spans="1:18" ht="45" hidden="1">
      <c r="A749" s="238" t="s">
        <v>1524</v>
      </c>
      <c r="B749" s="237">
        <v>342052</v>
      </c>
      <c r="C749" s="237">
        <v>342052</v>
      </c>
      <c r="D749" s="238" t="s">
        <v>1543</v>
      </c>
      <c r="E749" s="238" t="s">
        <v>741</v>
      </c>
      <c r="F749" s="238"/>
      <c r="G749" s="238"/>
      <c r="H749" s="238" t="s">
        <v>110</v>
      </c>
      <c r="I749" s="238" t="s">
        <v>250</v>
      </c>
      <c r="J749" s="239">
        <v>41000</v>
      </c>
      <c r="K749" s="239">
        <v>50690</v>
      </c>
      <c r="L749" s="238" t="s">
        <v>619</v>
      </c>
      <c r="M749" s="237">
        <v>1</v>
      </c>
      <c r="N749" s="237"/>
      <c r="O749" s="238"/>
      <c r="P749" s="88" t="str">
        <f t="shared" si="13"/>
        <v>1</v>
      </c>
      <c r="Q749" s="88" t="str">
        <f>IFERROR(INDEX(Торг!$F:$F,MATCH($B749,Торг!$B:$B,0)),"Отсутствует")</f>
        <v>Y</v>
      </c>
      <c r="R749" s="36" t="str">
        <f>IFERROR(IF(AND(Q749="Отсутствует",VLOOKUP(A749,Торг!$A:$A,1,0)=A749),"Добавить","Есть"),"Новый")</f>
        <v>Есть</v>
      </c>
    </row>
    <row r="750" spans="1:18" ht="45" hidden="1">
      <c r="A750" s="238" t="s">
        <v>1524</v>
      </c>
      <c r="B750" s="237">
        <v>342053</v>
      </c>
      <c r="C750" s="237">
        <v>342053</v>
      </c>
      <c r="D750" s="238" t="s">
        <v>1544</v>
      </c>
      <c r="E750" s="238" t="s">
        <v>741</v>
      </c>
      <c r="F750" s="238"/>
      <c r="G750" s="238"/>
      <c r="H750" s="238" t="s">
        <v>110</v>
      </c>
      <c r="I750" s="238" t="s">
        <v>250</v>
      </c>
      <c r="J750" s="239">
        <v>41000</v>
      </c>
      <c r="K750" s="239">
        <v>50690</v>
      </c>
      <c r="L750" s="238" t="s">
        <v>619</v>
      </c>
      <c r="M750" s="237">
        <v>1</v>
      </c>
      <c r="N750" s="237"/>
      <c r="O750" s="238"/>
      <c r="P750" s="88" t="str">
        <f t="shared" si="13"/>
        <v>1</v>
      </c>
      <c r="Q750" s="88" t="str">
        <f>IFERROR(INDEX(Торг!$F:$F,MATCH($B750,Торг!$B:$B,0)),"Отсутствует")</f>
        <v>Y</v>
      </c>
      <c r="R750" s="36" t="str">
        <f>IFERROR(IF(AND(Q750="Отсутствует",VLOOKUP(A750,Торг!$A:$A,1,0)=A750),"Добавить","Есть"),"Новый")</f>
        <v>Есть</v>
      </c>
    </row>
    <row r="751" spans="1:18" ht="45" hidden="1">
      <c r="A751" s="238" t="s">
        <v>1524</v>
      </c>
      <c r="B751" s="237">
        <v>342056</v>
      </c>
      <c r="C751" s="237">
        <v>342056</v>
      </c>
      <c r="D751" s="238" t="s">
        <v>1545</v>
      </c>
      <c r="E751" s="238" t="s">
        <v>741</v>
      </c>
      <c r="F751" s="238"/>
      <c r="G751" s="238"/>
      <c r="H751" s="238" t="s">
        <v>110</v>
      </c>
      <c r="I751" s="238" t="s">
        <v>250</v>
      </c>
      <c r="J751" s="239">
        <v>41000</v>
      </c>
      <c r="K751" s="239">
        <v>50690</v>
      </c>
      <c r="L751" s="238" t="s">
        <v>619</v>
      </c>
      <c r="M751" s="237">
        <v>1</v>
      </c>
      <c r="N751" s="237"/>
      <c r="O751" s="238"/>
      <c r="P751" s="88" t="str">
        <f t="shared" si="13"/>
        <v>1</v>
      </c>
      <c r="Q751" s="88" t="str">
        <f>IFERROR(INDEX(Торг!$F:$F,MATCH($B751,Торг!$B:$B,0)),"Отсутствует")</f>
        <v>Y</v>
      </c>
      <c r="R751" s="36" t="str">
        <f>IFERROR(IF(AND(Q751="Отсутствует",VLOOKUP(A751,Торг!$A:$A,1,0)=A751),"Добавить","Есть"),"Новый")</f>
        <v>Есть</v>
      </c>
    </row>
    <row r="752" spans="1:18" ht="45" hidden="1">
      <c r="A752" s="238" t="s">
        <v>1524</v>
      </c>
      <c r="B752" s="237">
        <v>342054</v>
      </c>
      <c r="C752" s="237">
        <v>342054</v>
      </c>
      <c r="D752" s="238" t="s">
        <v>1546</v>
      </c>
      <c r="E752" s="238" t="s">
        <v>741</v>
      </c>
      <c r="F752" s="238"/>
      <c r="G752" s="238"/>
      <c r="H752" s="238" t="s">
        <v>110</v>
      </c>
      <c r="I752" s="238" t="s">
        <v>250</v>
      </c>
      <c r="J752" s="239">
        <v>41000</v>
      </c>
      <c r="K752" s="239">
        <v>50690</v>
      </c>
      <c r="L752" s="238" t="s">
        <v>619</v>
      </c>
      <c r="M752" s="237">
        <v>1</v>
      </c>
      <c r="N752" s="237"/>
      <c r="O752" s="238"/>
      <c r="P752" s="88" t="str">
        <f t="shared" si="13"/>
        <v>1</v>
      </c>
      <c r="Q752" s="88" t="str">
        <f>IFERROR(INDEX(Торг!$F:$F,MATCH($B752,Торг!$B:$B,0)),"Отсутствует")</f>
        <v>Y</v>
      </c>
      <c r="R752" s="36" t="str">
        <f>IFERROR(IF(AND(Q752="Отсутствует",VLOOKUP(A752,Торг!$A:$A,1,0)=A752),"Добавить","Есть"),"Новый")</f>
        <v>Есть</v>
      </c>
    </row>
    <row r="753" spans="1:18" ht="45" hidden="1">
      <c r="A753" s="238" t="s">
        <v>1524</v>
      </c>
      <c r="B753" s="237">
        <v>342055</v>
      </c>
      <c r="C753" s="237">
        <v>342055</v>
      </c>
      <c r="D753" s="238" t="s">
        <v>1547</v>
      </c>
      <c r="E753" s="238" t="s">
        <v>741</v>
      </c>
      <c r="F753" s="238"/>
      <c r="G753" s="238"/>
      <c r="H753" s="238" t="s">
        <v>110</v>
      </c>
      <c r="I753" s="238" t="s">
        <v>250</v>
      </c>
      <c r="J753" s="239">
        <v>41000</v>
      </c>
      <c r="K753" s="239">
        <v>50690</v>
      </c>
      <c r="L753" s="238" t="s">
        <v>619</v>
      </c>
      <c r="M753" s="237">
        <v>1</v>
      </c>
      <c r="N753" s="237"/>
      <c r="O753" s="238"/>
      <c r="P753" s="88" t="str">
        <f t="shared" si="13"/>
        <v>1</v>
      </c>
      <c r="Q753" s="88" t="str">
        <f>IFERROR(INDEX(Торг!$F:$F,MATCH($B753,Торг!$B:$B,0)),"Отсутствует")</f>
        <v>Y</v>
      </c>
      <c r="R753" s="36" t="str">
        <f>IFERROR(IF(AND(Q753="Отсутствует",VLOOKUP(A753,Торг!$A:$A,1,0)=A753),"Добавить","Есть"),"Новый")</f>
        <v>Есть</v>
      </c>
    </row>
    <row r="754" spans="1:18" ht="45" hidden="1">
      <c r="A754" s="238" t="s">
        <v>1524</v>
      </c>
      <c r="B754" s="237">
        <v>342057</v>
      </c>
      <c r="C754" s="237">
        <v>342057</v>
      </c>
      <c r="D754" s="238" t="s">
        <v>1548</v>
      </c>
      <c r="E754" s="238" t="s">
        <v>741</v>
      </c>
      <c r="F754" s="238"/>
      <c r="G754" s="238"/>
      <c r="H754" s="238" t="s">
        <v>110</v>
      </c>
      <c r="I754" s="238" t="s">
        <v>250</v>
      </c>
      <c r="J754" s="239">
        <v>41000</v>
      </c>
      <c r="K754" s="239">
        <v>50690</v>
      </c>
      <c r="L754" s="238" t="s">
        <v>619</v>
      </c>
      <c r="M754" s="237">
        <v>1</v>
      </c>
      <c r="N754" s="237"/>
      <c r="O754" s="238"/>
      <c r="P754" s="88" t="str">
        <f t="shared" si="13"/>
        <v>1</v>
      </c>
      <c r="Q754" s="88" t="str">
        <f>IFERROR(INDEX(Торг!$F:$F,MATCH($B754,Торг!$B:$B,0)),"Отсутствует")</f>
        <v>Y</v>
      </c>
      <c r="R754" s="36" t="str">
        <f>IFERROR(IF(AND(Q754="Отсутствует",VLOOKUP(A754,Торг!$A:$A,1,0)=A754),"Добавить","Есть"),"Новый")</f>
        <v>Есть</v>
      </c>
    </row>
    <row r="755" spans="1:18" ht="45" hidden="1">
      <c r="A755" s="238" t="s">
        <v>1524</v>
      </c>
      <c r="B755" s="237">
        <v>342049</v>
      </c>
      <c r="C755" s="237">
        <v>342049</v>
      </c>
      <c r="D755" s="238" t="s">
        <v>1549</v>
      </c>
      <c r="E755" s="238" t="s">
        <v>741</v>
      </c>
      <c r="F755" s="238"/>
      <c r="G755" s="238"/>
      <c r="H755" s="238" t="s">
        <v>110</v>
      </c>
      <c r="I755" s="238" t="s">
        <v>250</v>
      </c>
      <c r="J755" s="239">
        <v>41000</v>
      </c>
      <c r="K755" s="239">
        <v>50690</v>
      </c>
      <c r="L755" s="238" t="s">
        <v>619</v>
      </c>
      <c r="M755" s="237">
        <v>1</v>
      </c>
      <c r="N755" s="237"/>
      <c r="O755" s="238"/>
      <c r="P755" s="88" t="str">
        <f t="shared" si="13"/>
        <v>1</v>
      </c>
      <c r="Q755" s="88" t="str">
        <f>IFERROR(INDEX(Торг!$F:$F,MATCH($B755,Торг!$B:$B,0)),"Отсутствует")</f>
        <v>Y</v>
      </c>
      <c r="R755" s="36" t="str">
        <f>IFERROR(IF(AND(Q755="Отсутствует",VLOOKUP(A755,Торг!$A:$A,1,0)=A755),"Добавить","Есть"),"Новый")</f>
        <v>Есть</v>
      </c>
    </row>
    <row r="756" spans="1:18" ht="45" hidden="1">
      <c r="A756" s="238" t="s">
        <v>1524</v>
      </c>
      <c r="B756" s="237">
        <v>342048</v>
      </c>
      <c r="C756" s="237">
        <v>342048</v>
      </c>
      <c r="D756" s="238" t="s">
        <v>1550</v>
      </c>
      <c r="E756" s="238" t="s">
        <v>741</v>
      </c>
      <c r="F756" s="238"/>
      <c r="G756" s="238"/>
      <c r="H756" s="238" t="s">
        <v>110</v>
      </c>
      <c r="I756" s="238" t="s">
        <v>250</v>
      </c>
      <c r="J756" s="239">
        <v>40130</v>
      </c>
      <c r="K756" s="239">
        <v>49690</v>
      </c>
      <c r="L756" s="238" t="s">
        <v>619</v>
      </c>
      <c r="M756" s="237">
        <v>1</v>
      </c>
      <c r="N756" s="237"/>
      <c r="O756" s="238"/>
      <c r="P756" s="88" t="str">
        <f t="shared" si="13"/>
        <v>1</v>
      </c>
      <c r="Q756" s="88" t="str">
        <f>IFERROR(INDEX(Торг!$F:$F,MATCH($B756,Торг!$B:$B,0)),"Отсутствует")</f>
        <v>Y</v>
      </c>
      <c r="R756" s="36" t="str">
        <f>IFERROR(IF(AND(Q756="Отсутствует",VLOOKUP(A756,Торг!$A:$A,1,0)=A756),"Добавить","Есть"),"Новый")</f>
        <v>Есть</v>
      </c>
    </row>
    <row r="757" spans="1:18" ht="45" hidden="1">
      <c r="A757" s="238" t="s">
        <v>1551</v>
      </c>
      <c r="B757" s="237">
        <v>322929</v>
      </c>
      <c r="C757" s="237">
        <v>322929</v>
      </c>
      <c r="D757" s="238" t="s">
        <v>1525</v>
      </c>
      <c r="E757" s="238" t="s">
        <v>741</v>
      </c>
      <c r="F757" s="238"/>
      <c r="G757" s="238"/>
      <c r="H757" s="238" t="s">
        <v>112</v>
      </c>
      <c r="I757" s="238" t="s">
        <v>250</v>
      </c>
      <c r="J757" s="239">
        <v>40070</v>
      </c>
      <c r="K757" s="239">
        <v>49590</v>
      </c>
      <c r="L757" s="238" t="s">
        <v>616</v>
      </c>
      <c r="M757" s="237">
        <v>1</v>
      </c>
      <c r="N757" s="237"/>
      <c r="O757" s="238"/>
      <c r="P757" s="88" t="str">
        <f t="shared" si="13"/>
        <v>1</v>
      </c>
      <c r="Q757" s="88" t="str">
        <f>IFERROR(INDEX(Торг!$F:$F,MATCH($B757,Торг!$B:$B,0)),"Отсутствует")</f>
        <v>Y</v>
      </c>
      <c r="R757" s="36" t="str">
        <f>IFERROR(IF(AND(Q757="Отсутствует",VLOOKUP(A757,Торг!$A:$A,1,0)=A757),"Добавить","Есть"),"Новый")</f>
        <v>Есть</v>
      </c>
    </row>
    <row r="758" spans="1:18" ht="45" hidden="1">
      <c r="A758" s="238" t="s">
        <v>1551</v>
      </c>
      <c r="B758" s="237">
        <v>322940</v>
      </c>
      <c r="C758" s="237">
        <v>322940</v>
      </c>
      <c r="D758" s="238" t="s">
        <v>1526</v>
      </c>
      <c r="E758" s="238" t="s">
        <v>741</v>
      </c>
      <c r="F758" s="238"/>
      <c r="G758" s="238"/>
      <c r="H758" s="238" t="s">
        <v>112</v>
      </c>
      <c r="I758" s="238" t="s">
        <v>250</v>
      </c>
      <c r="J758" s="239">
        <v>40070</v>
      </c>
      <c r="K758" s="239">
        <v>49590</v>
      </c>
      <c r="L758" s="238" t="s">
        <v>616</v>
      </c>
      <c r="M758" s="237">
        <v>1</v>
      </c>
      <c r="N758" s="237"/>
      <c r="O758" s="238"/>
      <c r="P758" s="88" t="str">
        <f t="shared" si="13"/>
        <v>1</v>
      </c>
      <c r="Q758" s="88" t="str">
        <f>IFERROR(INDEX(Торг!$F:$F,MATCH($B758,Торг!$B:$B,0)),"Отсутствует")</f>
        <v>Y</v>
      </c>
      <c r="R758" s="36" t="str">
        <f>IFERROR(IF(AND(Q758="Отсутствует",VLOOKUP(A758,Торг!$A:$A,1,0)=A758),"Добавить","Есть"),"Новый")</f>
        <v>Есть</v>
      </c>
    </row>
    <row r="759" spans="1:18" ht="45" hidden="1">
      <c r="A759" s="238" t="s">
        <v>1551</v>
      </c>
      <c r="B759" s="237">
        <v>322939</v>
      </c>
      <c r="C759" s="237">
        <v>322939</v>
      </c>
      <c r="D759" s="238" t="s">
        <v>1527</v>
      </c>
      <c r="E759" s="238" t="s">
        <v>741</v>
      </c>
      <c r="F759" s="238"/>
      <c r="G759" s="238"/>
      <c r="H759" s="238" t="s">
        <v>112</v>
      </c>
      <c r="I759" s="238" t="s">
        <v>250</v>
      </c>
      <c r="J759" s="239">
        <v>40070</v>
      </c>
      <c r="K759" s="239">
        <v>49590</v>
      </c>
      <c r="L759" s="238" t="s">
        <v>616</v>
      </c>
      <c r="M759" s="237">
        <v>1</v>
      </c>
      <c r="N759" s="237"/>
      <c r="O759" s="238"/>
      <c r="P759" s="88" t="str">
        <f t="shared" si="13"/>
        <v>1</v>
      </c>
      <c r="Q759" s="88" t="str">
        <f>IFERROR(INDEX(Торг!$F:$F,MATCH($B759,Торг!$B:$B,0)),"Отсутствует")</f>
        <v>Y</v>
      </c>
      <c r="R759" s="36" t="str">
        <f>IFERROR(IF(AND(Q759="Отсутствует",VLOOKUP(A759,Торг!$A:$A,1,0)=A759),"Добавить","Есть"),"Новый")</f>
        <v>Есть</v>
      </c>
    </row>
    <row r="760" spans="1:18" ht="45" hidden="1">
      <c r="A760" s="238" t="s">
        <v>1551</v>
      </c>
      <c r="B760" s="237">
        <v>322931</v>
      </c>
      <c r="C760" s="237">
        <v>322931</v>
      </c>
      <c r="D760" s="238" t="s">
        <v>1528</v>
      </c>
      <c r="E760" s="238" t="s">
        <v>741</v>
      </c>
      <c r="F760" s="238"/>
      <c r="G760" s="238"/>
      <c r="H760" s="238" t="s">
        <v>112</v>
      </c>
      <c r="I760" s="238" t="s">
        <v>250</v>
      </c>
      <c r="J760" s="239">
        <v>40070</v>
      </c>
      <c r="K760" s="239">
        <v>49590</v>
      </c>
      <c r="L760" s="238" t="s">
        <v>616</v>
      </c>
      <c r="M760" s="237">
        <v>1</v>
      </c>
      <c r="N760" s="237"/>
      <c r="O760" s="238"/>
      <c r="P760" s="88" t="str">
        <f t="shared" si="13"/>
        <v>1</v>
      </c>
      <c r="Q760" s="88" t="str">
        <f>IFERROR(INDEX(Торг!$F:$F,MATCH($B760,Торг!$B:$B,0)),"Отсутствует")</f>
        <v>Y</v>
      </c>
      <c r="R760" s="36" t="str">
        <f>IFERROR(IF(AND(Q760="Отсутствует",VLOOKUP(A760,Торг!$A:$A,1,0)=A760),"Добавить","Есть"),"Новый")</f>
        <v>Есть</v>
      </c>
    </row>
    <row r="761" spans="1:18" ht="45" hidden="1">
      <c r="A761" s="238" t="s">
        <v>1551</v>
      </c>
      <c r="B761" s="237">
        <v>322932</v>
      </c>
      <c r="C761" s="237">
        <v>322932</v>
      </c>
      <c r="D761" s="238" t="s">
        <v>1529</v>
      </c>
      <c r="E761" s="238" t="s">
        <v>741</v>
      </c>
      <c r="F761" s="238"/>
      <c r="G761" s="238"/>
      <c r="H761" s="238" t="s">
        <v>112</v>
      </c>
      <c r="I761" s="238" t="s">
        <v>250</v>
      </c>
      <c r="J761" s="239">
        <v>40070</v>
      </c>
      <c r="K761" s="239">
        <v>49590</v>
      </c>
      <c r="L761" s="238" t="s">
        <v>616</v>
      </c>
      <c r="M761" s="237">
        <v>1</v>
      </c>
      <c r="N761" s="237"/>
      <c r="O761" s="238"/>
      <c r="P761" s="88" t="str">
        <f t="shared" si="13"/>
        <v>1</v>
      </c>
      <c r="Q761" s="88" t="str">
        <f>IFERROR(INDEX(Торг!$F:$F,MATCH($B761,Торг!$B:$B,0)),"Отсутствует")</f>
        <v>Y</v>
      </c>
      <c r="R761" s="36" t="str">
        <f>IFERROR(IF(AND(Q761="Отсутствует",VLOOKUP(A761,Торг!$A:$A,1,0)=A761),"Добавить","Есть"),"Новый")</f>
        <v>Есть</v>
      </c>
    </row>
    <row r="762" spans="1:18" ht="45" hidden="1">
      <c r="A762" s="238" t="s">
        <v>1551</v>
      </c>
      <c r="B762" s="237">
        <v>322933</v>
      </c>
      <c r="C762" s="237">
        <v>322933</v>
      </c>
      <c r="D762" s="238" t="s">
        <v>1530</v>
      </c>
      <c r="E762" s="238" t="s">
        <v>741</v>
      </c>
      <c r="F762" s="238"/>
      <c r="G762" s="238"/>
      <c r="H762" s="238" t="s">
        <v>112</v>
      </c>
      <c r="I762" s="238" t="s">
        <v>250</v>
      </c>
      <c r="J762" s="239">
        <v>40070</v>
      </c>
      <c r="K762" s="239">
        <v>49590</v>
      </c>
      <c r="L762" s="238" t="s">
        <v>616</v>
      </c>
      <c r="M762" s="237">
        <v>1</v>
      </c>
      <c r="N762" s="237"/>
      <c r="O762" s="238"/>
      <c r="P762" s="88" t="str">
        <f t="shared" si="13"/>
        <v>1</v>
      </c>
      <c r="Q762" s="88" t="str">
        <f>IFERROR(INDEX(Торг!$F:$F,MATCH($B762,Торг!$B:$B,0)),"Отсутствует")</f>
        <v>Y</v>
      </c>
      <c r="R762" s="36" t="str">
        <f>IFERROR(IF(AND(Q762="Отсутствует",VLOOKUP(A762,Торг!$A:$A,1,0)=A762),"Добавить","Есть"),"Новый")</f>
        <v>Есть</v>
      </c>
    </row>
    <row r="763" spans="1:18" ht="45" hidden="1">
      <c r="A763" s="238" t="s">
        <v>1551</v>
      </c>
      <c r="B763" s="237">
        <v>322934</v>
      </c>
      <c r="C763" s="237">
        <v>322934</v>
      </c>
      <c r="D763" s="238" t="s">
        <v>1531</v>
      </c>
      <c r="E763" s="238" t="s">
        <v>741</v>
      </c>
      <c r="F763" s="238"/>
      <c r="G763" s="238"/>
      <c r="H763" s="238" t="s">
        <v>112</v>
      </c>
      <c r="I763" s="238" t="s">
        <v>250</v>
      </c>
      <c r="J763" s="239">
        <v>40070</v>
      </c>
      <c r="K763" s="239">
        <v>49590</v>
      </c>
      <c r="L763" s="238" t="s">
        <v>616</v>
      </c>
      <c r="M763" s="237">
        <v>1</v>
      </c>
      <c r="N763" s="237"/>
      <c r="O763" s="238"/>
      <c r="P763" s="88" t="str">
        <f t="shared" si="13"/>
        <v>1</v>
      </c>
      <c r="Q763" s="88" t="str">
        <f>IFERROR(INDEX(Торг!$F:$F,MATCH($B763,Торг!$B:$B,0)),"Отсутствует")</f>
        <v>Y</v>
      </c>
      <c r="R763" s="36" t="str">
        <f>IFERROR(IF(AND(Q763="Отсутствует",VLOOKUP(A763,Торг!$A:$A,1,0)=A763),"Добавить","Есть"),"Новый")</f>
        <v>Есть</v>
      </c>
    </row>
    <row r="764" spans="1:18" ht="45" hidden="1">
      <c r="A764" s="238" t="s">
        <v>1551</v>
      </c>
      <c r="B764" s="237">
        <v>322937</v>
      </c>
      <c r="C764" s="237">
        <v>322937</v>
      </c>
      <c r="D764" s="238" t="s">
        <v>1532</v>
      </c>
      <c r="E764" s="238" t="s">
        <v>741</v>
      </c>
      <c r="F764" s="238"/>
      <c r="G764" s="238"/>
      <c r="H764" s="238" t="s">
        <v>112</v>
      </c>
      <c r="I764" s="238" t="s">
        <v>250</v>
      </c>
      <c r="J764" s="239">
        <v>40070</v>
      </c>
      <c r="K764" s="239">
        <v>49590</v>
      </c>
      <c r="L764" s="238" t="s">
        <v>616</v>
      </c>
      <c r="M764" s="237">
        <v>1</v>
      </c>
      <c r="N764" s="237"/>
      <c r="O764" s="238"/>
      <c r="P764" s="88" t="str">
        <f t="shared" si="13"/>
        <v>1</v>
      </c>
      <c r="Q764" s="88" t="str">
        <f>IFERROR(INDEX(Торг!$F:$F,MATCH($B764,Торг!$B:$B,0)),"Отсутствует")</f>
        <v>Y</v>
      </c>
      <c r="R764" s="36" t="str">
        <f>IFERROR(IF(AND(Q764="Отсутствует",VLOOKUP(A764,Торг!$A:$A,1,0)=A764),"Добавить","Есть"),"Новый")</f>
        <v>Есть</v>
      </c>
    </row>
    <row r="765" spans="1:18" ht="45" hidden="1">
      <c r="A765" s="238" t="s">
        <v>1551</v>
      </c>
      <c r="B765" s="237">
        <v>322935</v>
      </c>
      <c r="C765" s="237">
        <v>322935</v>
      </c>
      <c r="D765" s="238" t="s">
        <v>1533</v>
      </c>
      <c r="E765" s="238" t="s">
        <v>741</v>
      </c>
      <c r="F765" s="238"/>
      <c r="G765" s="238"/>
      <c r="H765" s="238" t="s">
        <v>112</v>
      </c>
      <c r="I765" s="238" t="s">
        <v>250</v>
      </c>
      <c r="J765" s="239">
        <v>40070</v>
      </c>
      <c r="K765" s="239">
        <v>49590</v>
      </c>
      <c r="L765" s="238" t="s">
        <v>616</v>
      </c>
      <c r="M765" s="237">
        <v>1</v>
      </c>
      <c r="N765" s="237"/>
      <c r="O765" s="238"/>
      <c r="P765" s="88" t="str">
        <f t="shared" si="13"/>
        <v>1</v>
      </c>
      <c r="Q765" s="88" t="str">
        <f>IFERROR(INDEX(Торг!$F:$F,MATCH($B765,Торг!$B:$B,0)),"Отсутствует")</f>
        <v>Y</v>
      </c>
      <c r="R765" s="36" t="str">
        <f>IFERROR(IF(AND(Q765="Отсутствует",VLOOKUP(A765,Торг!$A:$A,1,0)=A765),"Добавить","Есть"),"Новый")</f>
        <v>Есть</v>
      </c>
    </row>
    <row r="766" spans="1:18" ht="45" hidden="1">
      <c r="A766" s="238" t="s">
        <v>1551</v>
      </c>
      <c r="B766" s="237">
        <v>322936</v>
      </c>
      <c r="C766" s="237">
        <v>322936</v>
      </c>
      <c r="D766" s="238" t="s">
        <v>1534</v>
      </c>
      <c r="E766" s="238" t="s">
        <v>741</v>
      </c>
      <c r="F766" s="238"/>
      <c r="G766" s="238"/>
      <c r="H766" s="238" t="s">
        <v>112</v>
      </c>
      <c r="I766" s="238" t="s">
        <v>250</v>
      </c>
      <c r="J766" s="239">
        <v>40070</v>
      </c>
      <c r="K766" s="239">
        <v>49590</v>
      </c>
      <c r="L766" s="238" t="s">
        <v>616</v>
      </c>
      <c r="M766" s="237">
        <v>1</v>
      </c>
      <c r="N766" s="237"/>
      <c r="O766" s="238"/>
      <c r="P766" s="88" t="str">
        <f t="shared" si="13"/>
        <v>1</v>
      </c>
      <c r="Q766" s="88" t="str">
        <f>IFERROR(INDEX(Торг!$F:$F,MATCH($B766,Торг!$B:$B,0)),"Отсутствует")</f>
        <v>Y</v>
      </c>
      <c r="R766" s="36" t="str">
        <f>IFERROR(IF(AND(Q766="Отсутствует",VLOOKUP(A766,Торг!$A:$A,1,0)=A766),"Добавить","Есть"),"Новый")</f>
        <v>Есть</v>
      </c>
    </row>
    <row r="767" spans="1:18" ht="45" hidden="1">
      <c r="A767" s="238" t="s">
        <v>1551</v>
      </c>
      <c r="B767" s="237">
        <v>322938</v>
      </c>
      <c r="C767" s="237">
        <v>322938</v>
      </c>
      <c r="D767" s="238" t="s">
        <v>1535</v>
      </c>
      <c r="E767" s="238" t="s">
        <v>741</v>
      </c>
      <c r="F767" s="238"/>
      <c r="G767" s="238"/>
      <c r="H767" s="238" t="s">
        <v>112</v>
      </c>
      <c r="I767" s="238" t="s">
        <v>250</v>
      </c>
      <c r="J767" s="239">
        <v>40070</v>
      </c>
      <c r="K767" s="239">
        <v>49590</v>
      </c>
      <c r="L767" s="238" t="s">
        <v>616</v>
      </c>
      <c r="M767" s="237">
        <v>1</v>
      </c>
      <c r="N767" s="237"/>
      <c r="O767" s="238"/>
      <c r="P767" s="88" t="str">
        <f t="shared" si="13"/>
        <v>1</v>
      </c>
      <c r="Q767" s="88" t="str">
        <f>IFERROR(INDEX(Торг!$F:$F,MATCH($B767,Торг!$B:$B,0)),"Отсутствует")</f>
        <v>Y</v>
      </c>
      <c r="R767" s="36" t="str">
        <f>IFERROR(IF(AND(Q767="Отсутствует",VLOOKUP(A767,Торг!$A:$A,1,0)=A767),"Добавить","Есть"),"Новый")</f>
        <v>Есть</v>
      </c>
    </row>
    <row r="768" spans="1:18" ht="45" hidden="1">
      <c r="A768" s="238" t="s">
        <v>1551</v>
      </c>
      <c r="B768" s="237">
        <v>322930</v>
      </c>
      <c r="C768" s="237">
        <v>322930</v>
      </c>
      <c r="D768" s="238" t="s">
        <v>1536</v>
      </c>
      <c r="E768" s="238" t="s">
        <v>741</v>
      </c>
      <c r="F768" s="238"/>
      <c r="G768" s="238"/>
      <c r="H768" s="238" t="s">
        <v>112</v>
      </c>
      <c r="I768" s="238" t="s">
        <v>250</v>
      </c>
      <c r="J768" s="239">
        <v>40070</v>
      </c>
      <c r="K768" s="239">
        <v>49590</v>
      </c>
      <c r="L768" s="238" t="s">
        <v>616</v>
      </c>
      <c r="M768" s="237">
        <v>1</v>
      </c>
      <c r="N768" s="237"/>
      <c r="O768" s="238"/>
      <c r="P768" s="88" t="str">
        <f t="shared" si="13"/>
        <v>1</v>
      </c>
      <c r="Q768" s="88" t="str">
        <f>IFERROR(INDEX(Торг!$F:$F,MATCH($B768,Торг!$B:$B,0)),"Отсутствует")</f>
        <v>Y</v>
      </c>
      <c r="R768" s="36" t="str">
        <f>IFERROR(IF(AND(Q768="Отсутствует",VLOOKUP(A768,Торг!$A:$A,1,0)=A768),"Добавить","Есть"),"Новый")</f>
        <v>Есть</v>
      </c>
    </row>
    <row r="769" spans="1:18" ht="45" hidden="1">
      <c r="A769" s="238" t="s">
        <v>1551</v>
      </c>
      <c r="B769" s="237">
        <v>322928</v>
      </c>
      <c r="C769" s="237">
        <v>322928</v>
      </c>
      <c r="D769" s="238" t="s">
        <v>1537</v>
      </c>
      <c r="E769" s="238" t="s">
        <v>741</v>
      </c>
      <c r="F769" s="238"/>
      <c r="G769" s="238"/>
      <c r="H769" s="238" t="s">
        <v>112</v>
      </c>
      <c r="I769" s="238" t="s">
        <v>250</v>
      </c>
      <c r="J769" s="239">
        <v>39200</v>
      </c>
      <c r="K769" s="239">
        <v>48490</v>
      </c>
      <c r="L769" s="238" t="s">
        <v>616</v>
      </c>
      <c r="M769" s="237">
        <v>1</v>
      </c>
      <c r="N769" s="237"/>
      <c r="O769" s="238"/>
      <c r="P769" s="88" t="str">
        <f t="shared" si="13"/>
        <v>1</v>
      </c>
      <c r="Q769" s="88" t="str">
        <f>IFERROR(INDEX(Торг!$F:$F,MATCH($B769,Торг!$B:$B,0)),"Отсутствует")</f>
        <v>Y</v>
      </c>
      <c r="R769" s="36" t="str">
        <f>IFERROR(IF(AND(Q769="Отсутствует",VLOOKUP(A769,Торг!$A:$A,1,0)=A769),"Добавить","Есть"),"Новый")</f>
        <v>Есть</v>
      </c>
    </row>
    <row r="770" spans="1:18" ht="45" hidden="1">
      <c r="A770" s="238" t="s">
        <v>1551</v>
      </c>
      <c r="B770" s="237">
        <v>342070</v>
      </c>
      <c r="C770" s="237">
        <v>342070</v>
      </c>
      <c r="D770" s="238" t="s">
        <v>1552</v>
      </c>
      <c r="E770" s="238" t="s">
        <v>741</v>
      </c>
      <c r="F770" s="238"/>
      <c r="G770" s="238"/>
      <c r="H770" s="238" t="s">
        <v>112</v>
      </c>
      <c r="I770" s="238" t="s">
        <v>250</v>
      </c>
      <c r="J770" s="239">
        <v>40900</v>
      </c>
      <c r="K770" s="239">
        <v>50590</v>
      </c>
      <c r="L770" s="238" t="s">
        <v>616</v>
      </c>
      <c r="M770" s="237">
        <v>1</v>
      </c>
      <c r="N770" s="237"/>
      <c r="O770" s="238"/>
      <c r="P770" s="88" t="str">
        <f t="shared" si="13"/>
        <v>1</v>
      </c>
      <c r="Q770" s="88" t="str">
        <f>IFERROR(INDEX(Торг!$F:$F,MATCH($B770,Торг!$B:$B,0)),"Отсутствует")</f>
        <v>Y</v>
      </c>
      <c r="R770" s="36" t="str">
        <f>IFERROR(IF(AND(Q770="Отсутствует",VLOOKUP(A770,Торг!$A:$A,1,0)=A770),"Добавить","Есть"),"Новый")</f>
        <v>Есть</v>
      </c>
    </row>
    <row r="771" spans="1:18" ht="45" hidden="1">
      <c r="A771" s="238" t="s">
        <v>1551</v>
      </c>
      <c r="B771" s="237">
        <v>342082</v>
      </c>
      <c r="C771" s="237">
        <v>342082</v>
      </c>
      <c r="D771" s="238" t="s">
        <v>1553</v>
      </c>
      <c r="E771" s="238" t="s">
        <v>741</v>
      </c>
      <c r="F771" s="238"/>
      <c r="G771" s="238"/>
      <c r="H771" s="238" t="s">
        <v>112</v>
      </c>
      <c r="I771" s="238" t="s">
        <v>250</v>
      </c>
      <c r="J771" s="239">
        <v>40900</v>
      </c>
      <c r="K771" s="239">
        <v>50590</v>
      </c>
      <c r="L771" s="238" t="s">
        <v>616</v>
      </c>
      <c r="M771" s="237">
        <v>1</v>
      </c>
      <c r="N771" s="237"/>
      <c r="O771" s="238"/>
      <c r="P771" s="88" t="str">
        <f t="shared" si="13"/>
        <v>1</v>
      </c>
      <c r="Q771" s="88" t="str">
        <f>IFERROR(INDEX(Торг!$F:$F,MATCH($B771,Торг!$B:$B,0)),"Отсутствует")</f>
        <v>Y</v>
      </c>
      <c r="R771" s="36" t="str">
        <f>IFERROR(IF(AND(Q771="Отсутствует",VLOOKUP(A771,Торг!$A:$A,1,0)=A771),"Добавить","Есть"),"Новый")</f>
        <v>Есть</v>
      </c>
    </row>
    <row r="772" spans="1:18" ht="45" hidden="1">
      <c r="A772" s="238" t="s">
        <v>1551</v>
      </c>
      <c r="B772" s="237">
        <v>342081</v>
      </c>
      <c r="C772" s="237">
        <v>342081</v>
      </c>
      <c r="D772" s="238" t="s">
        <v>1554</v>
      </c>
      <c r="E772" s="238" t="s">
        <v>741</v>
      </c>
      <c r="F772" s="238"/>
      <c r="G772" s="238"/>
      <c r="H772" s="238" t="s">
        <v>112</v>
      </c>
      <c r="I772" s="238" t="s">
        <v>250</v>
      </c>
      <c r="J772" s="239">
        <v>40900</v>
      </c>
      <c r="K772" s="239">
        <v>50590</v>
      </c>
      <c r="L772" s="238" t="s">
        <v>616</v>
      </c>
      <c r="M772" s="237">
        <v>1</v>
      </c>
      <c r="N772" s="237"/>
      <c r="O772" s="238"/>
      <c r="P772" s="88" t="str">
        <f t="shared" si="13"/>
        <v>1</v>
      </c>
      <c r="Q772" s="88" t="str">
        <f>IFERROR(INDEX(Торг!$F:$F,MATCH($B772,Торг!$B:$B,0)),"Отсутствует")</f>
        <v>Y</v>
      </c>
      <c r="R772" s="36" t="str">
        <f>IFERROR(IF(AND(Q772="Отсутствует",VLOOKUP(A772,Торг!$A:$A,1,0)=A772),"Добавить","Есть"),"Новый")</f>
        <v>Есть</v>
      </c>
    </row>
    <row r="773" spans="1:18" ht="45" hidden="1">
      <c r="A773" s="238" t="s">
        <v>1551</v>
      </c>
      <c r="B773" s="237">
        <v>342073</v>
      </c>
      <c r="C773" s="237">
        <v>342073</v>
      </c>
      <c r="D773" s="238" t="s">
        <v>1555</v>
      </c>
      <c r="E773" s="238" t="s">
        <v>741</v>
      </c>
      <c r="F773" s="238"/>
      <c r="G773" s="238"/>
      <c r="H773" s="238" t="s">
        <v>112</v>
      </c>
      <c r="I773" s="238" t="s">
        <v>250</v>
      </c>
      <c r="J773" s="239">
        <v>40900</v>
      </c>
      <c r="K773" s="239">
        <v>50590</v>
      </c>
      <c r="L773" s="238" t="s">
        <v>616</v>
      </c>
      <c r="M773" s="237">
        <v>1</v>
      </c>
      <c r="N773" s="237"/>
      <c r="O773" s="238"/>
      <c r="P773" s="88" t="str">
        <f t="shared" si="13"/>
        <v>1</v>
      </c>
      <c r="Q773" s="88" t="str">
        <f>IFERROR(INDEX(Торг!$F:$F,MATCH($B773,Торг!$B:$B,0)),"Отсутствует")</f>
        <v>Y</v>
      </c>
      <c r="R773" s="36" t="str">
        <f>IFERROR(IF(AND(Q773="Отсутствует",VLOOKUP(A773,Торг!$A:$A,1,0)=A773),"Добавить","Есть"),"Новый")</f>
        <v>Есть</v>
      </c>
    </row>
    <row r="774" spans="1:18" ht="45" hidden="1">
      <c r="A774" s="238" t="s">
        <v>1551</v>
      </c>
      <c r="B774" s="237">
        <v>342074</v>
      </c>
      <c r="C774" s="237">
        <v>342074</v>
      </c>
      <c r="D774" s="238" t="s">
        <v>1556</v>
      </c>
      <c r="E774" s="238" t="s">
        <v>741</v>
      </c>
      <c r="F774" s="238"/>
      <c r="G774" s="238"/>
      <c r="H774" s="238" t="s">
        <v>112</v>
      </c>
      <c r="I774" s="238" t="s">
        <v>250</v>
      </c>
      <c r="J774" s="239">
        <v>40900</v>
      </c>
      <c r="K774" s="239">
        <v>50590</v>
      </c>
      <c r="L774" s="238" t="s">
        <v>616</v>
      </c>
      <c r="M774" s="237">
        <v>1</v>
      </c>
      <c r="N774" s="237"/>
      <c r="O774" s="238"/>
      <c r="P774" s="88" t="str">
        <f t="shared" si="13"/>
        <v>1</v>
      </c>
      <c r="Q774" s="88" t="str">
        <f>IFERROR(INDEX(Торг!$F:$F,MATCH($B774,Торг!$B:$B,0)),"Отсутствует")</f>
        <v>Y</v>
      </c>
      <c r="R774" s="36" t="str">
        <f>IFERROR(IF(AND(Q774="Отсутствует",VLOOKUP(A774,Торг!$A:$A,1,0)=A774),"Добавить","Есть"),"Новый")</f>
        <v>Есть</v>
      </c>
    </row>
    <row r="775" spans="1:18" ht="45" hidden="1">
      <c r="A775" s="238" t="s">
        <v>1551</v>
      </c>
      <c r="B775" s="237">
        <v>342075</v>
      </c>
      <c r="C775" s="237">
        <v>342075</v>
      </c>
      <c r="D775" s="238" t="s">
        <v>1557</v>
      </c>
      <c r="E775" s="238" t="s">
        <v>741</v>
      </c>
      <c r="F775" s="238"/>
      <c r="G775" s="238"/>
      <c r="H775" s="238" t="s">
        <v>112</v>
      </c>
      <c r="I775" s="238" t="s">
        <v>250</v>
      </c>
      <c r="J775" s="239">
        <v>40900</v>
      </c>
      <c r="K775" s="239">
        <v>50590</v>
      </c>
      <c r="L775" s="238" t="s">
        <v>616</v>
      </c>
      <c r="M775" s="237">
        <v>1</v>
      </c>
      <c r="N775" s="237"/>
      <c r="O775" s="238"/>
      <c r="P775" s="88" t="str">
        <f t="shared" si="13"/>
        <v>1</v>
      </c>
      <c r="Q775" s="88" t="str">
        <f>IFERROR(INDEX(Торг!$F:$F,MATCH($B775,Торг!$B:$B,0)),"Отсутствует")</f>
        <v>Y</v>
      </c>
      <c r="R775" s="36" t="str">
        <f>IFERROR(IF(AND(Q775="Отсутствует",VLOOKUP(A775,Торг!$A:$A,1,0)=A775),"Добавить","Есть"),"Новый")</f>
        <v>Есть</v>
      </c>
    </row>
    <row r="776" spans="1:18" ht="45" hidden="1">
      <c r="A776" s="238" t="s">
        <v>1551</v>
      </c>
      <c r="B776" s="237">
        <v>342076</v>
      </c>
      <c r="C776" s="237">
        <v>342076</v>
      </c>
      <c r="D776" s="238" t="s">
        <v>1558</v>
      </c>
      <c r="E776" s="238" t="s">
        <v>741</v>
      </c>
      <c r="F776" s="238"/>
      <c r="G776" s="238"/>
      <c r="H776" s="238" t="s">
        <v>112</v>
      </c>
      <c r="I776" s="238" t="s">
        <v>250</v>
      </c>
      <c r="J776" s="239">
        <v>40900</v>
      </c>
      <c r="K776" s="239">
        <v>50590</v>
      </c>
      <c r="L776" s="238" t="s">
        <v>616</v>
      </c>
      <c r="M776" s="237">
        <v>1</v>
      </c>
      <c r="N776" s="237"/>
      <c r="O776" s="238"/>
      <c r="P776" s="88" t="str">
        <f t="shared" si="13"/>
        <v>1</v>
      </c>
      <c r="Q776" s="88" t="str">
        <f>IFERROR(INDEX(Торг!$F:$F,MATCH($B776,Торг!$B:$B,0)),"Отсутствует")</f>
        <v>Y</v>
      </c>
      <c r="R776" s="36" t="str">
        <f>IFERROR(IF(AND(Q776="Отсутствует",VLOOKUP(A776,Торг!$A:$A,1,0)=A776),"Добавить","Есть"),"Новый")</f>
        <v>Есть</v>
      </c>
    </row>
    <row r="777" spans="1:18" ht="45" hidden="1">
      <c r="A777" s="238" t="s">
        <v>1551</v>
      </c>
      <c r="B777" s="237">
        <v>342079</v>
      </c>
      <c r="C777" s="237">
        <v>342079</v>
      </c>
      <c r="D777" s="238" t="s">
        <v>1559</v>
      </c>
      <c r="E777" s="238" t="s">
        <v>741</v>
      </c>
      <c r="F777" s="238"/>
      <c r="G777" s="238"/>
      <c r="H777" s="238" t="s">
        <v>112</v>
      </c>
      <c r="I777" s="238" t="s">
        <v>250</v>
      </c>
      <c r="J777" s="239">
        <v>40900</v>
      </c>
      <c r="K777" s="239">
        <v>50590</v>
      </c>
      <c r="L777" s="238" t="s">
        <v>616</v>
      </c>
      <c r="M777" s="237">
        <v>1</v>
      </c>
      <c r="N777" s="237"/>
      <c r="O777" s="238"/>
      <c r="P777" s="88" t="str">
        <f t="shared" si="13"/>
        <v>1</v>
      </c>
      <c r="Q777" s="88" t="str">
        <f>IFERROR(INDEX(Торг!$F:$F,MATCH($B777,Торг!$B:$B,0)),"Отсутствует")</f>
        <v>Y</v>
      </c>
      <c r="R777" s="36" t="str">
        <f>IFERROR(IF(AND(Q777="Отсутствует",VLOOKUP(A777,Торг!$A:$A,1,0)=A777),"Добавить","Есть"),"Новый")</f>
        <v>Есть</v>
      </c>
    </row>
    <row r="778" spans="1:18" ht="45" hidden="1">
      <c r="A778" s="238" t="s">
        <v>1551</v>
      </c>
      <c r="B778" s="237">
        <v>342077</v>
      </c>
      <c r="C778" s="237">
        <v>342077</v>
      </c>
      <c r="D778" s="238" t="s">
        <v>1560</v>
      </c>
      <c r="E778" s="238" t="s">
        <v>741</v>
      </c>
      <c r="F778" s="238"/>
      <c r="G778" s="238"/>
      <c r="H778" s="238" t="s">
        <v>112</v>
      </c>
      <c r="I778" s="238" t="s">
        <v>250</v>
      </c>
      <c r="J778" s="239">
        <v>40900</v>
      </c>
      <c r="K778" s="239">
        <v>50590</v>
      </c>
      <c r="L778" s="238" t="s">
        <v>616</v>
      </c>
      <c r="M778" s="237">
        <v>1</v>
      </c>
      <c r="N778" s="237"/>
      <c r="O778" s="238"/>
      <c r="P778" s="88" t="str">
        <f t="shared" si="13"/>
        <v>1</v>
      </c>
      <c r="Q778" s="88" t="str">
        <f>IFERROR(INDEX(Торг!$F:$F,MATCH($B778,Торг!$B:$B,0)),"Отсутствует")</f>
        <v>Y</v>
      </c>
      <c r="R778" s="36" t="str">
        <f>IFERROR(IF(AND(Q778="Отсутствует",VLOOKUP(A778,Торг!$A:$A,1,0)=A778),"Добавить","Есть"),"Новый")</f>
        <v>Есть</v>
      </c>
    </row>
    <row r="779" spans="1:18" ht="45" hidden="1">
      <c r="A779" s="238" t="s">
        <v>1551</v>
      </c>
      <c r="B779" s="237">
        <v>342078</v>
      </c>
      <c r="C779" s="237">
        <v>342078</v>
      </c>
      <c r="D779" s="238" t="s">
        <v>1561</v>
      </c>
      <c r="E779" s="238" t="s">
        <v>741</v>
      </c>
      <c r="F779" s="238"/>
      <c r="G779" s="238"/>
      <c r="H779" s="238" t="s">
        <v>112</v>
      </c>
      <c r="I779" s="238" t="s">
        <v>250</v>
      </c>
      <c r="J779" s="239">
        <v>40900</v>
      </c>
      <c r="K779" s="239">
        <v>50590</v>
      </c>
      <c r="L779" s="238" t="s">
        <v>616</v>
      </c>
      <c r="M779" s="237">
        <v>1</v>
      </c>
      <c r="N779" s="237"/>
      <c r="O779" s="238"/>
      <c r="P779" s="88" t="str">
        <f t="shared" si="13"/>
        <v>1</v>
      </c>
      <c r="Q779" s="88" t="str">
        <f>IFERROR(INDEX(Торг!$F:$F,MATCH($B779,Торг!$B:$B,0)),"Отсутствует")</f>
        <v>Y</v>
      </c>
      <c r="R779" s="36" t="str">
        <f>IFERROR(IF(AND(Q779="Отсутствует",VLOOKUP(A779,Торг!$A:$A,1,0)=A779),"Добавить","Есть"),"Новый")</f>
        <v>Есть</v>
      </c>
    </row>
    <row r="780" spans="1:18" ht="45" hidden="1">
      <c r="A780" s="238" t="s">
        <v>1551</v>
      </c>
      <c r="B780" s="237">
        <v>342080</v>
      </c>
      <c r="C780" s="237">
        <v>342080</v>
      </c>
      <c r="D780" s="238" t="s">
        <v>1562</v>
      </c>
      <c r="E780" s="238" t="s">
        <v>741</v>
      </c>
      <c r="F780" s="238"/>
      <c r="G780" s="238"/>
      <c r="H780" s="238" t="s">
        <v>112</v>
      </c>
      <c r="I780" s="238" t="s">
        <v>250</v>
      </c>
      <c r="J780" s="239">
        <v>40900</v>
      </c>
      <c r="K780" s="239">
        <v>50590</v>
      </c>
      <c r="L780" s="238" t="s">
        <v>616</v>
      </c>
      <c r="M780" s="237">
        <v>1</v>
      </c>
      <c r="N780" s="237"/>
      <c r="O780" s="238"/>
      <c r="P780" s="88" t="str">
        <f t="shared" si="13"/>
        <v>1</v>
      </c>
      <c r="Q780" s="88" t="str">
        <f>IFERROR(INDEX(Торг!$F:$F,MATCH($B780,Торг!$B:$B,0)),"Отсутствует")</f>
        <v>Y</v>
      </c>
      <c r="R780" s="36" t="str">
        <f>IFERROR(IF(AND(Q780="Отсутствует",VLOOKUP(A780,Торг!$A:$A,1,0)=A780),"Добавить","Есть"),"Новый")</f>
        <v>Есть</v>
      </c>
    </row>
    <row r="781" spans="1:18" ht="45" hidden="1">
      <c r="A781" s="238" t="s">
        <v>1551</v>
      </c>
      <c r="B781" s="237">
        <v>342072</v>
      </c>
      <c r="C781" s="237">
        <v>342072</v>
      </c>
      <c r="D781" s="238" t="s">
        <v>1563</v>
      </c>
      <c r="E781" s="238" t="s">
        <v>741</v>
      </c>
      <c r="F781" s="238"/>
      <c r="G781" s="238"/>
      <c r="H781" s="238" t="s">
        <v>112</v>
      </c>
      <c r="I781" s="238" t="s">
        <v>250</v>
      </c>
      <c r="J781" s="239">
        <v>40900</v>
      </c>
      <c r="K781" s="239">
        <v>50590</v>
      </c>
      <c r="L781" s="238" t="s">
        <v>616</v>
      </c>
      <c r="M781" s="237">
        <v>1</v>
      </c>
      <c r="N781" s="237"/>
      <c r="O781" s="238"/>
      <c r="P781" s="88" t="str">
        <f t="shared" si="13"/>
        <v>1</v>
      </c>
      <c r="Q781" s="88" t="str">
        <f>IFERROR(INDEX(Торг!$F:$F,MATCH($B781,Торг!$B:$B,0)),"Отсутствует")</f>
        <v>Y</v>
      </c>
      <c r="R781" s="36" t="str">
        <f>IFERROR(IF(AND(Q781="Отсутствует",VLOOKUP(A781,Торг!$A:$A,1,0)=A781),"Добавить","Есть"),"Новый")</f>
        <v>Есть</v>
      </c>
    </row>
    <row r="782" spans="1:18" ht="45" hidden="1">
      <c r="A782" s="238" t="s">
        <v>1551</v>
      </c>
      <c r="B782" s="237">
        <v>342071</v>
      </c>
      <c r="C782" s="237">
        <v>342071</v>
      </c>
      <c r="D782" s="238" t="s">
        <v>1564</v>
      </c>
      <c r="E782" s="238" t="s">
        <v>741</v>
      </c>
      <c r="F782" s="238"/>
      <c r="G782" s="238"/>
      <c r="H782" s="238" t="s">
        <v>112</v>
      </c>
      <c r="I782" s="238" t="s">
        <v>250</v>
      </c>
      <c r="J782" s="239">
        <v>40030</v>
      </c>
      <c r="K782" s="239">
        <v>49490</v>
      </c>
      <c r="L782" s="238" t="s">
        <v>616</v>
      </c>
      <c r="M782" s="237">
        <v>1</v>
      </c>
      <c r="N782" s="237"/>
      <c r="O782" s="238"/>
      <c r="P782" s="88" t="str">
        <f t="shared" si="13"/>
        <v>1</v>
      </c>
      <c r="Q782" s="88" t="str">
        <f>IFERROR(INDEX(Торг!$F:$F,MATCH($B782,Торг!$B:$B,0)),"Отсутствует")</f>
        <v>Y</v>
      </c>
      <c r="R782" s="36" t="str">
        <f>IFERROR(IF(AND(Q782="Отсутствует",VLOOKUP(A782,Торг!$A:$A,1,0)=A782),"Добавить","Есть"),"Новый")</f>
        <v>Есть</v>
      </c>
    </row>
    <row r="783" spans="1:18" ht="45" hidden="1">
      <c r="A783" s="238" t="s">
        <v>255</v>
      </c>
      <c r="B783" s="237">
        <v>364640</v>
      </c>
      <c r="C783" s="237">
        <v>364640</v>
      </c>
      <c r="D783" s="238" t="s">
        <v>1618</v>
      </c>
      <c r="E783" s="238" t="s">
        <v>741</v>
      </c>
      <c r="F783" s="238"/>
      <c r="G783" s="238"/>
      <c r="H783" s="238" t="s">
        <v>242</v>
      </c>
      <c r="I783" s="238" t="s">
        <v>250</v>
      </c>
      <c r="J783" s="239">
        <v>9400</v>
      </c>
      <c r="K783" s="239">
        <v>11690</v>
      </c>
      <c r="L783" s="238" t="s">
        <v>627</v>
      </c>
      <c r="M783" s="237">
        <v>1</v>
      </c>
      <c r="N783" s="237"/>
      <c r="O783" s="238"/>
      <c r="P783" s="88" t="str">
        <f t="shared" si="13"/>
        <v>1</v>
      </c>
      <c r="Q783" s="88" t="str">
        <f>IFERROR(INDEX(Торг!$F:$F,MATCH($B783,Торг!$B:$B,0)),"Отсутствует")</f>
        <v>Y</v>
      </c>
      <c r="R783" s="36" t="str">
        <f>IFERROR(IF(AND(Q783="Отсутствует",VLOOKUP(A783,Торг!$A:$A,1,0)=A783),"Добавить","Есть"),"Новый")</f>
        <v>Есть</v>
      </c>
    </row>
    <row r="784" spans="1:18" ht="45" hidden="1">
      <c r="A784" s="238" t="s">
        <v>255</v>
      </c>
      <c r="B784" s="237">
        <v>364641</v>
      </c>
      <c r="C784" s="237">
        <v>364641</v>
      </c>
      <c r="D784" s="238" t="s">
        <v>1619</v>
      </c>
      <c r="E784" s="238" t="s">
        <v>741</v>
      </c>
      <c r="F784" s="238"/>
      <c r="G784" s="238"/>
      <c r="H784" s="238" t="s">
        <v>242</v>
      </c>
      <c r="I784" s="238" t="s">
        <v>250</v>
      </c>
      <c r="J784" s="239">
        <v>9400</v>
      </c>
      <c r="K784" s="239">
        <v>11690</v>
      </c>
      <c r="L784" s="238" t="s">
        <v>627</v>
      </c>
      <c r="M784" s="237">
        <v>1</v>
      </c>
      <c r="N784" s="237"/>
      <c r="O784" s="238"/>
      <c r="P784" s="88" t="str">
        <f t="shared" si="13"/>
        <v>1</v>
      </c>
      <c r="Q784" s="88" t="str">
        <f>IFERROR(INDEX(Торг!$F:$F,MATCH($B784,Торг!$B:$B,0)),"Отсутствует")</f>
        <v>Y</v>
      </c>
      <c r="R784" s="36" t="str">
        <f>IFERROR(IF(AND(Q784="Отсутствует",VLOOKUP(A784,Торг!$A:$A,1,0)=A784),"Добавить","Есть"),"Новый")</f>
        <v>Есть</v>
      </c>
    </row>
    <row r="785" spans="1:18" ht="45" hidden="1">
      <c r="A785" s="238" t="s">
        <v>255</v>
      </c>
      <c r="B785" s="237">
        <v>364639</v>
      </c>
      <c r="C785" s="237">
        <v>364639</v>
      </c>
      <c r="D785" s="238" t="s">
        <v>1620</v>
      </c>
      <c r="E785" s="238" t="s">
        <v>741</v>
      </c>
      <c r="F785" s="238"/>
      <c r="G785" s="238"/>
      <c r="H785" s="238" t="s">
        <v>242</v>
      </c>
      <c r="I785" s="238" t="s">
        <v>250</v>
      </c>
      <c r="J785" s="239">
        <v>9400</v>
      </c>
      <c r="K785" s="239">
        <v>11690</v>
      </c>
      <c r="L785" s="238" t="s">
        <v>627</v>
      </c>
      <c r="M785" s="237">
        <v>1</v>
      </c>
      <c r="N785" s="237"/>
      <c r="O785" s="238"/>
      <c r="P785" s="88" t="str">
        <f t="shared" si="13"/>
        <v>1</v>
      </c>
      <c r="Q785" s="88" t="str">
        <f>IFERROR(INDEX(Торг!$F:$F,MATCH($B785,Торг!$B:$B,0)),"Отсутствует")</f>
        <v>Y</v>
      </c>
      <c r="R785" s="36" t="str">
        <f>IFERROR(IF(AND(Q785="Отсутствует",VLOOKUP(A785,Торг!$A:$A,1,0)=A785),"Добавить","Есть"),"Новый")</f>
        <v>Есть</v>
      </c>
    </row>
    <row r="786" spans="1:18" ht="45" hidden="1">
      <c r="A786" s="238" t="s">
        <v>255</v>
      </c>
      <c r="B786" s="237">
        <v>364642</v>
      </c>
      <c r="C786" s="237">
        <v>364642</v>
      </c>
      <c r="D786" s="238" t="s">
        <v>1621</v>
      </c>
      <c r="E786" s="238" t="s">
        <v>741</v>
      </c>
      <c r="F786" s="238"/>
      <c r="G786" s="238"/>
      <c r="H786" s="238" t="s">
        <v>242</v>
      </c>
      <c r="I786" s="238" t="s">
        <v>250</v>
      </c>
      <c r="J786" s="239">
        <v>9400</v>
      </c>
      <c r="K786" s="239">
        <v>11690</v>
      </c>
      <c r="L786" s="238" t="s">
        <v>627</v>
      </c>
      <c r="M786" s="237">
        <v>1</v>
      </c>
      <c r="N786" s="237"/>
      <c r="O786" s="238"/>
      <c r="P786" s="88" t="str">
        <f t="shared" si="13"/>
        <v>1</v>
      </c>
      <c r="Q786" s="88" t="str">
        <f>IFERROR(INDEX(Торг!$F:$F,MATCH($B786,Торг!$B:$B,0)),"Отсутствует")</f>
        <v>Y</v>
      </c>
      <c r="R786" s="36" t="str">
        <f>IFERROR(IF(AND(Q786="Отсутствует",VLOOKUP(A786,Торг!$A:$A,1,0)=A786),"Добавить","Есть"),"Новый")</f>
        <v>Есть</v>
      </c>
    </row>
    <row r="787" spans="1:18" ht="60" hidden="1">
      <c r="A787" s="238" t="s">
        <v>495</v>
      </c>
      <c r="B787" s="237">
        <v>212272</v>
      </c>
      <c r="C787" s="237">
        <v>167012</v>
      </c>
      <c r="D787" s="238" t="s">
        <v>468</v>
      </c>
      <c r="E787" s="238" t="s">
        <v>741</v>
      </c>
      <c r="F787" s="238"/>
      <c r="G787" s="238"/>
      <c r="H787" s="238" t="s">
        <v>164</v>
      </c>
      <c r="I787" s="238" t="s">
        <v>250</v>
      </c>
      <c r="J787" s="239">
        <v>7250</v>
      </c>
      <c r="K787" s="239">
        <v>9490</v>
      </c>
      <c r="L787" s="238" t="s">
        <v>874</v>
      </c>
      <c r="M787" s="237">
        <v>1</v>
      </c>
      <c r="N787" s="237"/>
      <c r="O787" s="238"/>
      <c r="P787" s="88" t="str">
        <f t="shared" si="13"/>
        <v>1</v>
      </c>
      <c r="Q787" s="88" t="str">
        <f>IFERROR(INDEX(Торг!$F:$F,MATCH($B787,Торг!$B:$B,0)),"Отсутствует")</f>
        <v>Y</v>
      </c>
      <c r="R787" s="36" t="str">
        <f>IFERROR(IF(AND(Q787="Отсутствует",VLOOKUP(A787,Торг!$A:$A,1,0)=A787),"Добавить","Есть"),"Новый")</f>
        <v>Есть</v>
      </c>
    </row>
    <row r="788" spans="1:18" ht="60" hidden="1">
      <c r="A788" s="238" t="s">
        <v>495</v>
      </c>
      <c r="B788" s="237">
        <v>212273</v>
      </c>
      <c r="C788" s="237">
        <v>167013</v>
      </c>
      <c r="D788" s="238" t="s">
        <v>469</v>
      </c>
      <c r="E788" s="238" t="s">
        <v>741</v>
      </c>
      <c r="F788" s="238"/>
      <c r="G788" s="238"/>
      <c r="H788" s="238" t="s">
        <v>164</v>
      </c>
      <c r="I788" s="238" t="s">
        <v>250</v>
      </c>
      <c r="J788" s="239">
        <v>7250</v>
      </c>
      <c r="K788" s="239">
        <v>9490</v>
      </c>
      <c r="L788" s="238" t="s">
        <v>874</v>
      </c>
      <c r="M788" s="237">
        <v>1</v>
      </c>
      <c r="N788" s="237"/>
      <c r="O788" s="238"/>
      <c r="P788" s="88" t="str">
        <f t="shared" si="13"/>
        <v>1</v>
      </c>
      <c r="Q788" s="88" t="str">
        <f>IFERROR(INDEX(Торг!$F:$F,MATCH($B788,Торг!$B:$B,0)),"Отсутствует")</f>
        <v>Y</v>
      </c>
      <c r="R788" s="36" t="str">
        <f>IFERROR(IF(AND(Q788="Отсутствует",VLOOKUP(A788,Торг!$A:$A,1,0)=A788),"Добавить","Есть"),"Новый")</f>
        <v>Есть</v>
      </c>
    </row>
    <row r="789" spans="1:18" ht="60" hidden="1">
      <c r="A789" s="238" t="s">
        <v>466</v>
      </c>
      <c r="B789" s="237">
        <v>322867</v>
      </c>
      <c r="C789" s="237">
        <v>322867</v>
      </c>
      <c r="D789" s="238" t="s">
        <v>1565</v>
      </c>
      <c r="E789" s="238" t="s">
        <v>741</v>
      </c>
      <c r="F789" s="238"/>
      <c r="G789" s="238"/>
      <c r="H789" s="238" t="s">
        <v>214</v>
      </c>
      <c r="I789" s="238" t="s">
        <v>250</v>
      </c>
      <c r="J789" s="239">
        <v>2100</v>
      </c>
      <c r="K789" s="239">
        <v>2790</v>
      </c>
      <c r="L789" s="238" t="s">
        <v>514</v>
      </c>
      <c r="M789" s="237">
        <v>1</v>
      </c>
      <c r="N789" s="237"/>
      <c r="O789" s="238"/>
      <c r="P789" s="88" t="str">
        <f t="shared" si="13"/>
        <v>1</v>
      </c>
      <c r="Q789" s="88" t="str">
        <f>IFERROR(INDEX(Торг!$F:$F,MATCH($B789,Торг!$B:$B,0)),"Отсутствует")</f>
        <v>Y</v>
      </c>
      <c r="R789" s="36" t="str">
        <f>IFERROR(IF(AND(Q789="Отсутствует",VLOOKUP(A789,Торг!$A:$A,1,0)=A789),"Добавить","Есть"),"Новый")</f>
        <v>Есть</v>
      </c>
    </row>
    <row r="790" spans="1:18" ht="60" hidden="1">
      <c r="A790" s="238" t="s">
        <v>466</v>
      </c>
      <c r="B790" s="237">
        <v>322868</v>
      </c>
      <c r="C790" s="237">
        <v>322868</v>
      </c>
      <c r="D790" s="238" t="s">
        <v>1566</v>
      </c>
      <c r="E790" s="238" t="s">
        <v>741</v>
      </c>
      <c r="F790" s="238"/>
      <c r="G790" s="238"/>
      <c r="H790" s="238" t="s">
        <v>214</v>
      </c>
      <c r="I790" s="238" t="s">
        <v>250</v>
      </c>
      <c r="J790" s="239">
        <v>2100</v>
      </c>
      <c r="K790" s="239">
        <v>2790</v>
      </c>
      <c r="L790" s="238" t="s">
        <v>514</v>
      </c>
      <c r="M790" s="237">
        <v>1</v>
      </c>
      <c r="N790" s="237"/>
      <c r="O790" s="238"/>
      <c r="P790" s="88" t="str">
        <f t="shared" si="13"/>
        <v>1</v>
      </c>
      <c r="Q790" s="88" t="str">
        <f>IFERROR(INDEX(Торг!$F:$F,MATCH($B790,Торг!$B:$B,0)),"Отсутствует")</f>
        <v>Y</v>
      </c>
      <c r="R790" s="36" t="str">
        <f>IFERROR(IF(AND(Q790="Отсутствует",VLOOKUP(A790,Торг!$A:$A,1,0)=A790),"Добавить","Есть"),"Новый")</f>
        <v>Есть</v>
      </c>
    </row>
    <row r="791" spans="1:18" ht="60" hidden="1">
      <c r="A791" s="238" t="s">
        <v>819</v>
      </c>
      <c r="B791" s="237">
        <v>322855</v>
      </c>
      <c r="C791" s="237">
        <v>212888</v>
      </c>
      <c r="D791" s="238" t="s">
        <v>820</v>
      </c>
      <c r="E791" s="238" t="s">
        <v>741</v>
      </c>
      <c r="F791" s="238"/>
      <c r="G791" s="238"/>
      <c r="H791" s="238" t="s">
        <v>212</v>
      </c>
      <c r="I791" s="238" t="s">
        <v>250</v>
      </c>
      <c r="J791" s="239">
        <v>2100</v>
      </c>
      <c r="K791" s="239">
        <v>2790</v>
      </c>
      <c r="L791" s="238" t="s">
        <v>513</v>
      </c>
      <c r="M791" s="237">
        <v>1</v>
      </c>
      <c r="N791" s="237"/>
      <c r="O791" s="238"/>
      <c r="P791" s="88" t="str">
        <f t="shared" si="13"/>
        <v>1</v>
      </c>
      <c r="Q791" s="88" t="str">
        <f>IFERROR(INDEX(Торг!$F:$F,MATCH($B791,Торг!$B:$B,0)),"Отсутствует")</f>
        <v>Y</v>
      </c>
      <c r="R791" s="36" t="str">
        <f>IFERROR(IF(AND(Q791="Отсутствует",VLOOKUP(A791,Торг!$A:$A,1,0)=A791),"Добавить","Есть"),"Новый")</f>
        <v>Есть</v>
      </c>
    </row>
    <row r="792" spans="1:18" ht="60" hidden="1">
      <c r="A792" s="238" t="s">
        <v>819</v>
      </c>
      <c r="B792" s="237">
        <v>322856</v>
      </c>
      <c r="C792" s="237">
        <v>212889</v>
      </c>
      <c r="D792" s="238" t="s">
        <v>821</v>
      </c>
      <c r="E792" s="238" t="s">
        <v>741</v>
      </c>
      <c r="F792" s="238"/>
      <c r="G792" s="238"/>
      <c r="H792" s="238" t="s">
        <v>212</v>
      </c>
      <c r="I792" s="238" t="s">
        <v>250</v>
      </c>
      <c r="J792" s="239">
        <v>2100</v>
      </c>
      <c r="K792" s="239">
        <v>2790</v>
      </c>
      <c r="L792" s="238" t="s">
        <v>511</v>
      </c>
      <c r="M792" s="237">
        <v>1</v>
      </c>
      <c r="N792" s="237">
        <v>6</v>
      </c>
      <c r="O792" s="238"/>
      <c r="P792" s="88" t="str">
        <f t="shared" si="13"/>
        <v>1ск6</v>
      </c>
      <c r="Q792" s="88" t="str">
        <f>IFERROR(INDEX(Торг!$F:$F,MATCH($B792,Торг!$B:$B,0)),"Отсутствует")</f>
        <v>Y</v>
      </c>
      <c r="R792" s="36" t="str">
        <f>IFERROR(IF(AND(Q792="Отсутствует",VLOOKUP(A792,Торг!$A:$A,1,0)=A792),"Добавить","Есть"),"Новый")</f>
        <v>Есть</v>
      </c>
    </row>
    <row r="793" spans="1:18" ht="45" hidden="1">
      <c r="A793" s="238" t="s">
        <v>819</v>
      </c>
      <c r="B793" s="237">
        <v>322857</v>
      </c>
      <c r="C793" s="237">
        <v>212890</v>
      </c>
      <c r="D793" s="238" t="s">
        <v>822</v>
      </c>
      <c r="E793" s="238" t="s">
        <v>741</v>
      </c>
      <c r="F793" s="238"/>
      <c r="G793" s="238"/>
      <c r="H793" s="238" t="s">
        <v>212</v>
      </c>
      <c r="I793" s="238" t="s">
        <v>250</v>
      </c>
      <c r="J793" s="239">
        <v>2100</v>
      </c>
      <c r="K793" s="239">
        <v>2790</v>
      </c>
      <c r="L793" s="238" t="s">
        <v>512</v>
      </c>
      <c r="M793" s="237">
        <v>1</v>
      </c>
      <c r="N793" s="237"/>
      <c r="O793" s="238"/>
      <c r="P793" s="88" t="str">
        <f t="shared" si="13"/>
        <v>1</v>
      </c>
      <c r="Q793" s="88" t="str">
        <f>IFERROR(INDEX(Торг!$F:$F,MATCH($B793,Торг!$B:$B,0)),"Отсутствует")</f>
        <v>Y</v>
      </c>
      <c r="R793" s="36" t="str">
        <f>IFERROR(IF(AND(Q793="Отсутствует",VLOOKUP(A793,Торг!$A:$A,1,0)=A793),"Добавить","Есть"),"Новый")</f>
        <v>Есть</v>
      </c>
    </row>
    <row r="794" spans="1:18" ht="60" hidden="1">
      <c r="A794" s="238" t="s">
        <v>496</v>
      </c>
      <c r="B794" s="237">
        <v>226782</v>
      </c>
      <c r="C794" s="237">
        <v>131328</v>
      </c>
      <c r="D794" s="238" t="s">
        <v>460</v>
      </c>
      <c r="E794" s="238" t="s">
        <v>741</v>
      </c>
      <c r="F794" s="238"/>
      <c r="G794" s="238"/>
      <c r="H794" s="238" t="s">
        <v>113</v>
      </c>
      <c r="I794" s="238" t="s">
        <v>250</v>
      </c>
      <c r="J794" s="239">
        <v>5000</v>
      </c>
      <c r="K794" s="239">
        <v>6490</v>
      </c>
      <c r="L794" s="238" t="s">
        <v>872</v>
      </c>
      <c r="M794" s="237">
        <v>1</v>
      </c>
      <c r="N794" s="237"/>
      <c r="O794" s="238"/>
      <c r="P794" s="88" t="str">
        <f t="shared" si="13"/>
        <v>1</v>
      </c>
      <c r="Q794" s="88" t="str">
        <f>IFERROR(INDEX(Торг!$F:$F,MATCH($B794,Торг!$B:$B,0)),"Отсутствует")</f>
        <v>Y</v>
      </c>
      <c r="R794" s="36" t="str">
        <f>IFERROR(IF(AND(Q794="Отсутствует",VLOOKUP(A794,Торг!$A:$A,1,0)=A794),"Добавить","Есть"),"Новый")</f>
        <v>Есть</v>
      </c>
    </row>
    <row r="795" spans="1:18" ht="60" hidden="1">
      <c r="A795" s="238" t="s">
        <v>496</v>
      </c>
      <c r="B795" s="237">
        <v>226783</v>
      </c>
      <c r="C795" s="237">
        <v>131325</v>
      </c>
      <c r="D795" s="238" t="s">
        <v>461</v>
      </c>
      <c r="E795" s="238" t="s">
        <v>741</v>
      </c>
      <c r="F795" s="238"/>
      <c r="G795" s="238"/>
      <c r="H795" s="238" t="s">
        <v>113</v>
      </c>
      <c r="I795" s="238" t="s">
        <v>250</v>
      </c>
      <c r="J795" s="239">
        <v>5000</v>
      </c>
      <c r="K795" s="239">
        <v>6490</v>
      </c>
      <c r="L795" s="238" t="s">
        <v>871</v>
      </c>
      <c r="M795" s="237">
        <v>1</v>
      </c>
      <c r="N795" s="237"/>
      <c r="O795" s="238"/>
      <c r="P795" s="88" t="str">
        <f t="shared" si="13"/>
        <v>1</v>
      </c>
      <c r="Q795" s="88" t="str">
        <f>IFERROR(INDEX(Торг!$F:$F,MATCH($B795,Торг!$B:$B,0)),"Отсутствует")</f>
        <v>Y</v>
      </c>
      <c r="R795" s="36" t="str">
        <f>IFERROR(IF(AND(Q795="Отсутствует",VLOOKUP(A795,Торг!$A:$A,1,0)=A795),"Добавить","Есть"),"Новый")</f>
        <v>Есть</v>
      </c>
    </row>
    <row r="796" spans="1:18" ht="60" hidden="1">
      <c r="A796" s="238" t="s">
        <v>496</v>
      </c>
      <c r="B796" s="237">
        <v>226784</v>
      </c>
      <c r="C796" s="237">
        <v>131327</v>
      </c>
      <c r="D796" s="238" t="s">
        <v>462</v>
      </c>
      <c r="E796" s="238" t="s">
        <v>741</v>
      </c>
      <c r="F796" s="238"/>
      <c r="G796" s="238"/>
      <c r="H796" s="238" t="s">
        <v>113</v>
      </c>
      <c r="I796" s="238" t="s">
        <v>250</v>
      </c>
      <c r="J796" s="239">
        <v>5000</v>
      </c>
      <c r="K796" s="239">
        <v>6490</v>
      </c>
      <c r="L796" s="238" t="s">
        <v>871</v>
      </c>
      <c r="M796" s="237">
        <v>1</v>
      </c>
      <c r="N796" s="237"/>
      <c r="O796" s="238"/>
      <c r="P796" s="88" t="str">
        <f t="shared" si="13"/>
        <v>1</v>
      </c>
      <c r="Q796" s="88" t="str">
        <f>IFERROR(INDEX(Торг!$F:$F,MATCH($B796,Торг!$B:$B,0)),"Отсутствует")</f>
        <v>Y</v>
      </c>
      <c r="R796" s="36" t="str">
        <f>IFERROR(IF(AND(Q796="Отсутствует",VLOOKUP(A796,Торг!$A:$A,1,0)=A796),"Добавить","Есть"),"Новый")</f>
        <v>Есть</v>
      </c>
    </row>
    <row r="797" spans="1:18" ht="60" hidden="1">
      <c r="A797" s="238" t="s">
        <v>496</v>
      </c>
      <c r="B797" s="237">
        <v>226785</v>
      </c>
      <c r="C797" s="237">
        <v>131326</v>
      </c>
      <c r="D797" s="238" t="s">
        <v>463</v>
      </c>
      <c r="E797" s="238" t="s">
        <v>741</v>
      </c>
      <c r="F797" s="238"/>
      <c r="G797" s="238"/>
      <c r="H797" s="238" t="s">
        <v>113</v>
      </c>
      <c r="I797" s="238" t="s">
        <v>250</v>
      </c>
      <c r="J797" s="239">
        <v>5000</v>
      </c>
      <c r="K797" s="239">
        <v>6490</v>
      </c>
      <c r="L797" s="238" t="s">
        <v>871</v>
      </c>
      <c r="M797" s="237">
        <v>1</v>
      </c>
      <c r="N797" s="237"/>
      <c r="O797" s="238"/>
      <c r="P797" s="88" t="str">
        <f t="shared" si="13"/>
        <v>1</v>
      </c>
      <c r="Q797" s="88" t="str">
        <f>IFERROR(INDEX(Торг!$F:$F,MATCH($B797,Торг!$B:$B,0)),"Отсутствует")</f>
        <v>Y</v>
      </c>
      <c r="R797" s="36" t="str">
        <f>IFERROR(IF(AND(Q797="Отсутствует",VLOOKUP(A797,Торг!$A:$A,1,0)=A797),"Добавить","Есть"),"Новый")</f>
        <v>Есть</v>
      </c>
    </row>
    <row r="798" spans="1:18" ht="60" hidden="1">
      <c r="A798" s="238" t="s">
        <v>17</v>
      </c>
      <c r="B798" s="237">
        <v>364030</v>
      </c>
      <c r="C798" s="237">
        <v>364030</v>
      </c>
      <c r="D798" s="238" t="s">
        <v>1580</v>
      </c>
      <c r="E798" s="238" t="s">
        <v>741</v>
      </c>
      <c r="F798" s="238"/>
      <c r="G798" s="238"/>
      <c r="H798" s="238" t="s">
        <v>175</v>
      </c>
      <c r="I798" s="238" t="s">
        <v>250</v>
      </c>
      <c r="J798" s="239">
        <v>54834</v>
      </c>
      <c r="K798" s="239">
        <v>67890</v>
      </c>
      <c r="L798" s="238" t="s">
        <v>545</v>
      </c>
      <c r="M798" s="237">
        <v>1</v>
      </c>
      <c r="N798" s="237"/>
      <c r="O798" s="238"/>
      <c r="P798" s="88" t="str">
        <f t="shared" si="13"/>
        <v>1</v>
      </c>
      <c r="Q798" s="88" t="str">
        <f>IFERROR(INDEX(Торг!$F:$F,MATCH($B798,Торг!$B:$B,0)),"Отсутствует")</f>
        <v>Y</v>
      </c>
      <c r="R798" s="36" t="str">
        <f>IFERROR(IF(AND(Q798="Отсутствует",VLOOKUP(A798,Торг!$A:$A,1,0)=A798),"Добавить","Есть"),"Новый")</f>
        <v>Есть</v>
      </c>
    </row>
    <row r="799" spans="1:18" ht="60" hidden="1">
      <c r="A799" s="238" t="s">
        <v>17</v>
      </c>
      <c r="B799" s="237">
        <v>364031</v>
      </c>
      <c r="C799" s="237">
        <v>364031</v>
      </c>
      <c r="D799" s="238" t="s">
        <v>1581</v>
      </c>
      <c r="E799" s="238" t="s">
        <v>741</v>
      </c>
      <c r="F799" s="238"/>
      <c r="G799" s="238"/>
      <c r="H799" s="238" t="s">
        <v>174</v>
      </c>
      <c r="I799" s="238" t="s">
        <v>250</v>
      </c>
      <c r="J799" s="239">
        <v>54834</v>
      </c>
      <c r="K799" s="239">
        <v>67890</v>
      </c>
      <c r="L799" s="238" t="s">
        <v>549</v>
      </c>
      <c r="M799" s="237">
        <v>1</v>
      </c>
      <c r="N799" s="237"/>
      <c r="O799" s="238"/>
      <c r="P799" s="88" t="str">
        <f t="shared" si="13"/>
        <v>1</v>
      </c>
      <c r="Q799" s="88" t="str">
        <f>IFERROR(INDEX(Торг!$F:$F,MATCH($B799,Торг!$B:$B,0)),"Отсутствует")</f>
        <v>Y</v>
      </c>
      <c r="R799" s="36" t="str">
        <f>IFERROR(IF(AND(Q799="Отсутствует",VLOOKUP(A799,Торг!$A:$A,1,0)=A799),"Добавить","Есть"),"Новый")</f>
        <v>Есть</v>
      </c>
    </row>
    <row r="800" spans="1:18" ht="60" hidden="1">
      <c r="A800" s="238" t="s">
        <v>497</v>
      </c>
      <c r="B800" s="237">
        <v>256868</v>
      </c>
      <c r="C800" s="237">
        <v>174663</v>
      </c>
      <c r="D800" s="238" t="s">
        <v>470</v>
      </c>
      <c r="E800" s="238" t="s">
        <v>741</v>
      </c>
      <c r="F800" s="238"/>
      <c r="G800" s="238"/>
      <c r="H800" s="238" t="s">
        <v>184</v>
      </c>
      <c r="I800" s="238" t="s">
        <v>250</v>
      </c>
      <c r="J800" s="239">
        <v>75701</v>
      </c>
      <c r="K800" s="239">
        <v>93690</v>
      </c>
      <c r="L800" s="238" t="s">
        <v>873</v>
      </c>
      <c r="M800" s="237">
        <v>1</v>
      </c>
      <c r="N800" s="237"/>
      <c r="O800" s="238"/>
      <c r="P800" s="88" t="str">
        <f t="shared" si="13"/>
        <v>1</v>
      </c>
      <c r="Q800" s="88" t="str">
        <f>IFERROR(INDEX(Торг!$F:$F,MATCH($B800,Торг!$B:$B,0)),"Отсутствует")</f>
        <v>Y</v>
      </c>
      <c r="R800" s="36" t="str">
        <f>IFERROR(IF(AND(Q800="Отсутствует",VLOOKUP(A800,Торг!$A:$A,1,0)=A800),"Добавить","Есть"),"Новый")</f>
        <v>Есть</v>
      </c>
    </row>
    <row r="801" spans="1:18" ht="60" hidden="1">
      <c r="A801" s="238" t="s">
        <v>497</v>
      </c>
      <c r="B801" s="237">
        <v>256869</v>
      </c>
      <c r="C801" s="237">
        <v>174661</v>
      </c>
      <c r="D801" s="238" t="s">
        <v>471</v>
      </c>
      <c r="E801" s="238" t="s">
        <v>741</v>
      </c>
      <c r="F801" s="238"/>
      <c r="G801" s="238"/>
      <c r="H801" s="238" t="s">
        <v>184</v>
      </c>
      <c r="I801" s="238" t="s">
        <v>250</v>
      </c>
      <c r="J801" s="239">
        <v>75701</v>
      </c>
      <c r="K801" s="239">
        <v>93690</v>
      </c>
      <c r="L801" s="238" t="s">
        <v>873</v>
      </c>
      <c r="M801" s="237">
        <v>1</v>
      </c>
      <c r="N801" s="237"/>
      <c r="O801" s="238"/>
      <c r="P801" s="88" t="str">
        <f t="shared" si="13"/>
        <v>1</v>
      </c>
      <c r="Q801" s="88" t="str">
        <f>IFERROR(INDEX(Торг!$F:$F,MATCH($B801,Торг!$B:$B,0)),"Отсутствует")</f>
        <v>Y</v>
      </c>
      <c r="R801" s="36" t="str">
        <f>IFERROR(IF(AND(Q801="Отсутствует",VLOOKUP(A801,Торг!$A:$A,1,0)=A801),"Добавить","Есть"),"Новый")</f>
        <v>Есть</v>
      </c>
    </row>
    <row r="802" spans="1:18" ht="60" hidden="1">
      <c r="A802" s="238" t="s">
        <v>497</v>
      </c>
      <c r="B802" s="237">
        <v>256870</v>
      </c>
      <c r="C802" s="237">
        <v>174662</v>
      </c>
      <c r="D802" s="238" t="s">
        <v>472</v>
      </c>
      <c r="E802" s="238" t="s">
        <v>741</v>
      </c>
      <c r="F802" s="238"/>
      <c r="G802" s="238"/>
      <c r="H802" s="238" t="s">
        <v>184</v>
      </c>
      <c r="I802" s="238" t="s">
        <v>250</v>
      </c>
      <c r="J802" s="239">
        <v>75701</v>
      </c>
      <c r="K802" s="239">
        <v>93690</v>
      </c>
      <c r="L802" s="238" t="s">
        <v>873</v>
      </c>
      <c r="M802" s="237">
        <v>1</v>
      </c>
      <c r="N802" s="237"/>
      <c r="O802" s="238"/>
      <c r="P802" s="88" t="str">
        <f t="shared" si="13"/>
        <v>1</v>
      </c>
      <c r="Q802" s="88" t="str">
        <f>IFERROR(INDEX(Торг!$F:$F,MATCH($B802,Торг!$B:$B,0)),"Отсутствует")</f>
        <v>Y</v>
      </c>
      <c r="R802" s="36" t="str">
        <f>IFERROR(IF(AND(Q802="Отсутствует",VLOOKUP(A802,Торг!$A:$A,1,0)=A802),"Добавить","Есть"),"Новый")</f>
        <v>Есть</v>
      </c>
    </row>
    <row r="803" spans="1:18" ht="60" hidden="1">
      <c r="A803" s="238" t="s">
        <v>26</v>
      </c>
      <c r="B803" s="237">
        <v>364045</v>
      </c>
      <c r="C803" s="237">
        <v>364045</v>
      </c>
      <c r="D803" s="238" t="s">
        <v>1582</v>
      </c>
      <c r="E803" s="238" t="s">
        <v>741</v>
      </c>
      <c r="F803" s="238"/>
      <c r="G803" s="238"/>
      <c r="H803" s="238" t="s">
        <v>464</v>
      </c>
      <c r="I803" s="238" t="s">
        <v>250</v>
      </c>
      <c r="J803" s="239">
        <v>74700</v>
      </c>
      <c r="K803" s="239">
        <v>92390</v>
      </c>
      <c r="L803" s="238" t="s">
        <v>581</v>
      </c>
      <c r="M803" s="237">
        <v>1</v>
      </c>
      <c r="N803" s="237"/>
      <c r="O803" s="238"/>
      <c r="P803" s="88" t="str">
        <f t="shared" si="13"/>
        <v>1</v>
      </c>
      <c r="Q803" s="88" t="str">
        <f>IFERROR(INDEX(Торг!$F:$F,MATCH($B803,Торг!$B:$B,0)),"Отсутствует")</f>
        <v>Y</v>
      </c>
      <c r="R803" s="36" t="str">
        <f>IFERROR(IF(AND(Q803="Отсутствует",VLOOKUP(A803,Торг!$A:$A,1,0)=A803),"Добавить","Есть"),"Новый")</f>
        <v>Есть</v>
      </c>
    </row>
    <row r="804" spans="1:18" ht="60" hidden="1">
      <c r="A804" s="238" t="s">
        <v>26</v>
      </c>
      <c r="B804" s="237">
        <v>364047</v>
      </c>
      <c r="C804" s="237">
        <v>364047</v>
      </c>
      <c r="D804" s="238" t="s">
        <v>1583</v>
      </c>
      <c r="E804" s="238" t="s">
        <v>741</v>
      </c>
      <c r="F804" s="238"/>
      <c r="G804" s="238"/>
      <c r="H804" s="238" t="s">
        <v>464</v>
      </c>
      <c r="I804" s="238" t="s">
        <v>250</v>
      </c>
      <c r="J804" s="239">
        <v>74700</v>
      </c>
      <c r="K804" s="239">
        <v>92390</v>
      </c>
      <c r="L804" s="238" t="s">
        <v>559</v>
      </c>
      <c r="M804" s="237">
        <v>1</v>
      </c>
      <c r="N804" s="237"/>
      <c r="O804" s="238"/>
      <c r="P804" s="88" t="str">
        <f t="shared" si="13"/>
        <v>1</v>
      </c>
      <c r="Q804" s="88" t="str">
        <f>IFERROR(INDEX(Торг!$F:$F,MATCH($B804,Торг!$B:$B,0)),"Отсутствует")</f>
        <v>Y</v>
      </c>
      <c r="R804" s="36" t="str">
        <f>IFERROR(IF(AND(Q804="Отсутствует",VLOOKUP(A804,Торг!$A:$A,1,0)=A804),"Добавить","Есть"),"Новый")</f>
        <v>Есть</v>
      </c>
    </row>
    <row r="805" spans="1:18" ht="60" hidden="1">
      <c r="A805" s="238" t="s">
        <v>26</v>
      </c>
      <c r="B805" s="237">
        <v>364044</v>
      </c>
      <c r="C805" s="237">
        <v>364044</v>
      </c>
      <c r="D805" s="238" t="s">
        <v>1584</v>
      </c>
      <c r="E805" s="238" t="s">
        <v>741</v>
      </c>
      <c r="F805" s="238"/>
      <c r="G805" s="238"/>
      <c r="H805" s="238" t="s">
        <v>464</v>
      </c>
      <c r="I805" s="238" t="s">
        <v>250</v>
      </c>
      <c r="J805" s="239">
        <v>74700</v>
      </c>
      <c r="K805" s="239">
        <v>92390</v>
      </c>
      <c r="L805" s="238" t="s">
        <v>581</v>
      </c>
      <c r="M805" s="237">
        <v>1</v>
      </c>
      <c r="N805" s="237"/>
      <c r="O805" s="238"/>
      <c r="P805" s="88" t="str">
        <f t="shared" si="13"/>
        <v>1</v>
      </c>
      <c r="Q805" s="88" t="str">
        <f>IFERROR(INDEX(Торг!$F:$F,MATCH($B805,Торг!$B:$B,0)),"Отсутствует")</f>
        <v>Y</v>
      </c>
      <c r="R805" s="36" t="str">
        <f>IFERROR(IF(AND(Q805="Отсутствует",VLOOKUP(A805,Торг!$A:$A,1,0)=A805),"Добавить","Есть"),"Новый")</f>
        <v>Есть</v>
      </c>
    </row>
    <row r="806" spans="1:18" ht="60" hidden="1">
      <c r="A806" s="238" t="s">
        <v>26</v>
      </c>
      <c r="B806" s="237">
        <v>364046</v>
      </c>
      <c r="C806" s="237">
        <v>364046</v>
      </c>
      <c r="D806" s="238" t="s">
        <v>1585</v>
      </c>
      <c r="E806" s="238" t="s">
        <v>741</v>
      </c>
      <c r="F806" s="238"/>
      <c r="G806" s="238"/>
      <c r="H806" s="238" t="s">
        <v>464</v>
      </c>
      <c r="I806" s="238" t="s">
        <v>250</v>
      </c>
      <c r="J806" s="239">
        <v>74700</v>
      </c>
      <c r="K806" s="239">
        <v>92390</v>
      </c>
      <c r="L806" s="238" t="s">
        <v>559</v>
      </c>
      <c r="M806" s="237">
        <v>1</v>
      </c>
      <c r="N806" s="237"/>
      <c r="O806" s="238"/>
      <c r="P806" s="88" t="str">
        <f t="shared" ref="P806:P835" si="14">_xlfn.CONCAT(M806,IF(N806&lt;&gt;"",_xlfn.CONCAT("ск",N806),""))</f>
        <v>1</v>
      </c>
      <c r="Q806" s="88" t="str">
        <f>IFERROR(INDEX(Торг!$F:$F,MATCH($B806,Торг!$B:$B,0)),"Отсутствует")</f>
        <v>Y</v>
      </c>
      <c r="R806" s="36" t="str">
        <f>IFERROR(IF(AND(Q806="Отсутствует",VLOOKUP(A806,Торг!$A:$A,1,0)=A806),"Добавить","Есть"),"Новый")</f>
        <v>Есть</v>
      </c>
    </row>
    <row r="807" spans="1:18" ht="60" hidden="1">
      <c r="A807" s="238" t="s">
        <v>35</v>
      </c>
      <c r="B807" s="237">
        <v>364052</v>
      </c>
      <c r="C807" s="237">
        <v>364052</v>
      </c>
      <c r="D807" s="238" t="s">
        <v>1586</v>
      </c>
      <c r="E807" s="238" t="s">
        <v>741</v>
      </c>
      <c r="F807" s="238"/>
      <c r="G807" s="238"/>
      <c r="H807" s="238" t="s">
        <v>464</v>
      </c>
      <c r="I807" s="238" t="s">
        <v>250</v>
      </c>
      <c r="J807" s="239">
        <v>74700</v>
      </c>
      <c r="K807" s="239">
        <v>92390</v>
      </c>
      <c r="L807" s="238" t="s">
        <v>585</v>
      </c>
      <c r="M807" s="237">
        <v>1</v>
      </c>
      <c r="N807" s="237"/>
      <c r="O807" s="238"/>
      <c r="P807" s="88" t="str">
        <f t="shared" si="14"/>
        <v>1</v>
      </c>
      <c r="Q807" s="88" t="str">
        <f>IFERROR(INDEX(Торг!$F:$F,MATCH($B807,Торг!$B:$B,0)),"Отсутствует")</f>
        <v>Y</v>
      </c>
      <c r="R807" s="36" t="str">
        <f>IFERROR(IF(AND(Q807="Отсутствует",VLOOKUP(A807,Торг!$A:$A,1,0)=A807),"Добавить","Есть"),"Новый")</f>
        <v>Есть</v>
      </c>
    </row>
    <row r="808" spans="1:18" ht="60" hidden="1">
      <c r="A808" s="238" t="s">
        <v>35</v>
      </c>
      <c r="B808" s="237">
        <v>364054</v>
      </c>
      <c r="C808" s="237">
        <v>364054</v>
      </c>
      <c r="D808" s="238" t="s">
        <v>1587</v>
      </c>
      <c r="E808" s="238" t="s">
        <v>741</v>
      </c>
      <c r="F808" s="238"/>
      <c r="G808" s="238"/>
      <c r="H808" s="238" t="s">
        <v>464</v>
      </c>
      <c r="I808" s="238" t="s">
        <v>250</v>
      </c>
      <c r="J808" s="239">
        <v>74700</v>
      </c>
      <c r="K808" s="239">
        <v>92390</v>
      </c>
      <c r="L808" s="238" t="s">
        <v>580</v>
      </c>
      <c r="M808" s="237">
        <v>1</v>
      </c>
      <c r="N808" s="237"/>
      <c r="O808" s="238"/>
      <c r="P808" s="88" t="str">
        <f t="shared" si="14"/>
        <v>1</v>
      </c>
      <c r="Q808" s="88" t="str">
        <f>IFERROR(INDEX(Торг!$F:$F,MATCH($B808,Торг!$B:$B,0)),"Отсутствует")</f>
        <v>Y</v>
      </c>
      <c r="R808" s="36" t="str">
        <f>IFERROR(IF(AND(Q808="Отсутствует",VLOOKUP(A808,Торг!$A:$A,1,0)=A808),"Добавить","Есть"),"Новый")</f>
        <v>Есть</v>
      </c>
    </row>
    <row r="809" spans="1:18" ht="60" hidden="1">
      <c r="A809" s="238" t="s">
        <v>35</v>
      </c>
      <c r="B809" s="237">
        <v>364051</v>
      </c>
      <c r="C809" s="237">
        <v>364051</v>
      </c>
      <c r="D809" s="238" t="s">
        <v>1588</v>
      </c>
      <c r="E809" s="238" t="s">
        <v>741</v>
      </c>
      <c r="F809" s="238"/>
      <c r="G809" s="238"/>
      <c r="H809" s="238" t="s">
        <v>464</v>
      </c>
      <c r="I809" s="238" t="s">
        <v>250</v>
      </c>
      <c r="J809" s="239">
        <v>74700</v>
      </c>
      <c r="K809" s="239">
        <v>92390</v>
      </c>
      <c r="L809" s="238" t="s">
        <v>585</v>
      </c>
      <c r="M809" s="237">
        <v>1</v>
      </c>
      <c r="N809" s="237"/>
      <c r="O809" s="238"/>
      <c r="P809" s="88" t="str">
        <f t="shared" si="14"/>
        <v>1</v>
      </c>
      <c r="Q809" s="88" t="str">
        <f>IFERROR(INDEX(Торг!$F:$F,MATCH($B809,Торг!$B:$B,0)),"Отсутствует")</f>
        <v>Y</v>
      </c>
      <c r="R809" s="36" t="str">
        <f>IFERROR(IF(AND(Q809="Отсутствует",VLOOKUP(A809,Торг!$A:$A,1,0)=A809),"Добавить","Есть"),"Новый")</f>
        <v>Есть</v>
      </c>
    </row>
    <row r="810" spans="1:18" ht="60" hidden="1">
      <c r="A810" s="238" t="s">
        <v>35</v>
      </c>
      <c r="B810" s="237">
        <v>364053</v>
      </c>
      <c r="C810" s="237">
        <v>364053</v>
      </c>
      <c r="D810" s="238" t="s">
        <v>1589</v>
      </c>
      <c r="E810" s="238" t="s">
        <v>741</v>
      </c>
      <c r="F810" s="238"/>
      <c r="G810" s="238"/>
      <c r="H810" s="238" t="s">
        <v>464</v>
      </c>
      <c r="I810" s="238" t="s">
        <v>250</v>
      </c>
      <c r="J810" s="239">
        <v>74700</v>
      </c>
      <c r="K810" s="239">
        <v>92390</v>
      </c>
      <c r="L810" s="238" t="s">
        <v>580</v>
      </c>
      <c r="M810" s="237">
        <v>1</v>
      </c>
      <c r="N810" s="237"/>
      <c r="O810" s="238"/>
      <c r="P810" s="88" t="str">
        <f t="shared" si="14"/>
        <v>1</v>
      </c>
      <c r="Q810" s="88" t="str">
        <f>IFERROR(INDEX(Торг!$F:$F,MATCH($B810,Торг!$B:$B,0)),"Отсутствует")</f>
        <v>Y</v>
      </c>
      <c r="R810" s="36" t="str">
        <f>IFERROR(IF(AND(Q810="Отсутствует",VLOOKUP(A810,Торг!$A:$A,1,0)=A810),"Добавить","Есть"),"Новый")</f>
        <v>Есть</v>
      </c>
    </row>
    <row r="811" spans="1:18" ht="60" hidden="1">
      <c r="A811" s="238" t="s">
        <v>31</v>
      </c>
      <c r="B811" s="237">
        <v>364061</v>
      </c>
      <c r="C811" s="237">
        <v>364061</v>
      </c>
      <c r="D811" s="238" t="s">
        <v>1590</v>
      </c>
      <c r="E811" s="238" t="s">
        <v>741</v>
      </c>
      <c r="F811" s="238"/>
      <c r="G811" s="238"/>
      <c r="H811" s="238" t="s">
        <v>464</v>
      </c>
      <c r="I811" s="238" t="s">
        <v>250</v>
      </c>
      <c r="J811" s="239">
        <v>74700</v>
      </c>
      <c r="K811" s="239">
        <v>92390</v>
      </c>
      <c r="L811" s="238" t="s">
        <v>584</v>
      </c>
      <c r="M811" s="237">
        <v>1</v>
      </c>
      <c r="N811" s="237"/>
      <c r="O811" s="238"/>
      <c r="P811" s="88" t="str">
        <f t="shared" si="14"/>
        <v>1</v>
      </c>
      <c r="Q811" s="88" t="str">
        <f>IFERROR(INDEX(Торг!$F:$F,MATCH($B811,Торг!$B:$B,0)),"Отсутствует")</f>
        <v>Y</v>
      </c>
      <c r="R811" s="36" t="str">
        <f>IFERROR(IF(AND(Q811="Отсутствует",VLOOKUP(A811,Торг!$A:$A,1,0)=A811),"Добавить","Есть"),"Новый")</f>
        <v>Есть</v>
      </c>
    </row>
    <row r="812" spans="1:18" ht="60" hidden="1">
      <c r="A812" s="238" t="s">
        <v>31</v>
      </c>
      <c r="B812" s="237">
        <v>364063</v>
      </c>
      <c r="C812" s="237">
        <v>364063</v>
      </c>
      <c r="D812" s="238" t="s">
        <v>1591</v>
      </c>
      <c r="E812" s="238" t="s">
        <v>741</v>
      </c>
      <c r="F812" s="238"/>
      <c r="G812" s="238"/>
      <c r="H812" s="238" t="s">
        <v>464</v>
      </c>
      <c r="I812" s="238" t="s">
        <v>250</v>
      </c>
      <c r="J812" s="239">
        <v>74700</v>
      </c>
      <c r="K812" s="239">
        <v>92390</v>
      </c>
      <c r="L812" s="238" t="s">
        <v>582</v>
      </c>
      <c r="M812" s="237">
        <v>1</v>
      </c>
      <c r="N812" s="237"/>
      <c r="O812" s="238"/>
      <c r="P812" s="88" t="str">
        <f t="shared" si="14"/>
        <v>1</v>
      </c>
      <c r="Q812" s="88" t="str">
        <f>IFERROR(INDEX(Торг!$F:$F,MATCH($B812,Торг!$B:$B,0)),"Отсутствует")</f>
        <v>Y</v>
      </c>
      <c r="R812" s="36" t="str">
        <f>IFERROR(IF(AND(Q812="Отсутствует",VLOOKUP(A812,Торг!$A:$A,1,0)=A812),"Добавить","Есть"),"Новый")</f>
        <v>Есть</v>
      </c>
    </row>
    <row r="813" spans="1:18" ht="60" hidden="1">
      <c r="A813" s="238" t="s">
        <v>31</v>
      </c>
      <c r="B813" s="237">
        <v>364060</v>
      </c>
      <c r="C813" s="237">
        <v>364060</v>
      </c>
      <c r="D813" s="238" t="s">
        <v>1592</v>
      </c>
      <c r="E813" s="238" t="s">
        <v>741</v>
      </c>
      <c r="F813" s="238"/>
      <c r="G813" s="238"/>
      <c r="H813" s="238" t="s">
        <v>464</v>
      </c>
      <c r="I813" s="238" t="s">
        <v>250</v>
      </c>
      <c r="J813" s="239">
        <v>74700</v>
      </c>
      <c r="K813" s="239">
        <v>92390</v>
      </c>
      <c r="L813" s="238" t="s">
        <v>584</v>
      </c>
      <c r="M813" s="237">
        <v>1</v>
      </c>
      <c r="N813" s="237"/>
      <c r="O813" s="238"/>
      <c r="P813" s="88" t="str">
        <f t="shared" si="14"/>
        <v>1</v>
      </c>
      <c r="Q813" s="88" t="str">
        <f>IFERROR(INDEX(Торг!$F:$F,MATCH($B813,Торг!$B:$B,0)),"Отсутствует")</f>
        <v>Y</v>
      </c>
      <c r="R813" s="36" t="str">
        <f>IFERROR(IF(AND(Q813="Отсутствует",VLOOKUP(A813,Торг!$A:$A,1,0)=A813),"Добавить","Есть"),"Новый")</f>
        <v>Есть</v>
      </c>
    </row>
    <row r="814" spans="1:18" ht="60" hidden="1">
      <c r="A814" s="238" t="s">
        <v>31</v>
      </c>
      <c r="B814" s="237">
        <v>364062</v>
      </c>
      <c r="C814" s="237">
        <v>364062</v>
      </c>
      <c r="D814" s="238" t="s">
        <v>1593</v>
      </c>
      <c r="E814" s="238" t="s">
        <v>741</v>
      </c>
      <c r="F814" s="238"/>
      <c r="G814" s="238"/>
      <c r="H814" s="238" t="s">
        <v>464</v>
      </c>
      <c r="I814" s="238" t="s">
        <v>250</v>
      </c>
      <c r="J814" s="239">
        <v>74700</v>
      </c>
      <c r="K814" s="239">
        <v>92390</v>
      </c>
      <c r="L814" s="238" t="s">
        <v>582</v>
      </c>
      <c r="M814" s="237">
        <v>1</v>
      </c>
      <c r="N814" s="237"/>
      <c r="O814" s="238"/>
      <c r="P814" s="88" t="str">
        <f t="shared" si="14"/>
        <v>1</v>
      </c>
      <c r="Q814" s="88" t="str">
        <f>IFERROR(INDEX(Торг!$F:$F,MATCH($B814,Торг!$B:$B,0)),"Отсутствует")</f>
        <v>Y</v>
      </c>
      <c r="R814" s="36" t="str">
        <f>IFERROR(IF(AND(Q814="Отсутствует",VLOOKUP(A814,Торг!$A:$A,1,0)=A814),"Добавить","Есть"),"Новый")</f>
        <v>Есть</v>
      </c>
    </row>
    <row r="815" spans="1:18" ht="90" hidden="1">
      <c r="A815" s="238" t="s">
        <v>253</v>
      </c>
      <c r="B815" s="237">
        <v>319796</v>
      </c>
      <c r="C815" s="237">
        <v>319796</v>
      </c>
      <c r="D815" s="238" t="s">
        <v>824</v>
      </c>
      <c r="E815" s="238" t="s">
        <v>741</v>
      </c>
      <c r="F815" s="238"/>
      <c r="G815" s="238"/>
      <c r="H815" s="238" t="s">
        <v>204</v>
      </c>
      <c r="I815" s="238" t="s">
        <v>250</v>
      </c>
      <c r="J815" s="239">
        <v>75899</v>
      </c>
      <c r="K815" s="239">
        <v>93890</v>
      </c>
      <c r="L815" s="238" t="s">
        <v>643</v>
      </c>
      <c r="M815" s="237">
        <v>1</v>
      </c>
      <c r="N815" s="237"/>
      <c r="O815" s="238"/>
      <c r="P815" s="88" t="str">
        <f t="shared" si="14"/>
        <v>1</v>
      </c>
      <c r="Q815" s="88" t="str">
        <f>IFERROR(INDEX(Торг!$F:$F,MATCH($B815,Торг!$B:$B,0)),"Отсутствует")</f>
        <v>Y</v>
      </c>
      <c r="R815" s="36" t="str">
        <f>IFERROR(IF(AND(Q815="Отсутствует",VLOOKUP(A815,Торг!$A:$A,1,0)=A815),"Добавить","Есть"),"Новый")</f>
        <v>Есть</v>
      </c>
    </row>
    <row r="816" spans="1:18" ht="90" hidden="1">
      <c r="A816" s="238" t="s">
        <v>253</v>
      </c>
      <c r="B816" s="237">
        <v>319795</v>
      </c>
      <c r="C816" s="237">
        <v>319795</v>
      </c>
      <c r="D816" s="238" t="s">
        <v>825</v>
      </c>
      <c r="E816" s="238" t="s">
        <v>741</v>
      </c>
      <c r="F816" s="238"/>
      <c r="G816" s="238"/>
      <c r="H816" s="238" t="s">
        <v>204</v>
      </c>
      <c r="I816" s="238" t="s">
        <v>250</v>
      </c>
      <c r="J816" s="239">
        <v>75899</v>
      </c>
      <c r="K816" s="239">
        <v>93890</v>
      </c>
      <c r="L816" s="238" t="s">
        <v>643</v>
      </c>
      <c r="M816" s="237">
        <v>1</v>
      </c>
      <c r="N816" s="237"/>
      <c r="O816" s="238"/>
      <c r="P816" s="88" t="str">
        <f t="shared" si="14"/>
        <v>1</v>
      </c>
      <c r="Q816" s="88" t="str">
        <f>IFERROR(INDEX(Торг!$F:$F,MATCH($B816,Торг!$B:$B,0)),"Отсутствует")</f>
        <v>Y</v>
      </c>
      <c r="R816" s="36" t="str">
        <f>IFERROR(IF(AND(Q816="Отсутствует",VLOOKUP(A816,Торг!$A:$A,1,0)=A816),"Добавить","Есть"),"Новый")</f>
        <v>Есть</v>
      </c>
    </row>
    <row r="817" spans="1:18" ht="90" hidden="1">
      <c r="A817" s="238" t="s">
        <v>253</v>
      </c>
      <c r="B817" s="237">
        <v>319794</v>
      </c>
      <c r="C817" s="237">
        <v>319794</v>
      </c>
      <c r="D817" s="238" t="s">
        <v>826</v>
      </c>
      <c r="E817" s="238" t="s">
        <v>741</v>
      </c>
      <c r="F817" s="238"/>
      <c r="G817" s="238"/>
      <c r="H817" s="238" t="s">
        <v>204</v>
      </c>
      <c r="I817" s="238" t="s">
        <v>250</v>
      </c>
      <c r="J817" s="239">
        <v>75899</v>
      </c>
      <c r="K817" s="239">
        <v>93890</v>
      </c>
      <c r="L817" s="238" t="s">
        <v>643</v>
      </c>
      <c r="M817" s="237">
        <v>1</v>
      </c>
      <c r="N817" s="237"/>
      <c r="O817" s="238"/>
      <c r="P817" s="88" t="str">
        <f t="shared" si="14"/>
        <v>1</v>
      </c>
      <c r="Q817" s="88" t="str">
        <f>IFERROR(INDEX(Торг!$F:$F,MATCH($B817,Торг!$B:$B,0)),"Отсутствует")</f>
        <v>Y</v>
      </c>
      <c r="R817" s="36" t="str">
        <f>IFERROR(IF(AND(Q817="Отсутствует",VLOOKUP(A817,Торг!$A:$A,1,0)=A817),"Добавить","Есть"),"Новый")</f>
        <v>Есть</v>
      </c>
    </row>
    <row r="818" spans="1:18" ht="90" hidden="1">
      <c r="A818" s="238" t="s">
        <v>253</v>
      </c>
      <c r="B818" s="237">
        <v>319793</v>
      </c>
      <c r="C818" s="237">
        <v>319793</v>
      </c>
      <c r="D818" s="238" t="s">
        <v>827</v>
      </c>
      <c r="E818" s="238" t="s">
        <v>741</v>
      </c>
      <c r="F818" s="238"/>
      <c r="G818" s="238"/>
      <c r="H818" s="238" t="s">
        <v>204</v>
      </c>
      <c r="I818" s="238" t="s">
        <v>250</v>
      </c>
      <c r="J818" s="239">
        <v>75899</v>
      </c>
      <c r="K818" s="239">
        <v>93890</v>
      </c>
      <c r="L818" s="238" t="s">
        <v>643</v>
      </c>
      <c r="M818" s="237">
        <v>1</v>
      </c>
      <c r="N818" s="237"/>
      <c r="O818" s="238"/>
      <c r="P818" s="88" t="str">
        <f t="shared" si="14"/>
        <v>1</v>
      </c>
      <c r="Q818" s="88" t="str">
        <f>IFERROR(INDEX(Торг!$F:$F,MATCH($B818,Торг!$B:$B,0)),"Отсутствует")</f>
        <v>Y</v>
      </c>
      <c r="R818" s="36" t="str">
        <f>IFERROR(IF(AND(Q818="Отсутствует",VLOOKUP(A818,Торг!$A:$A,1,0)=A818),"Добавить","Есть"),"Новый")</f>
        <v>Есть</v>
      </c>
    </row>
    <row r="819" spans="1:18" ht="90" hidden="1">
      <c r="A819" s="238" t="s">
        <v>252</v>
      </c>
      <c r="B819" s="237">
        <v>319807</v>
      </c>
      <c r="C819" s="237">
        <v>319807</v>
      </c>
      <c r="D819" s="238" t="s">
        <v>828</v>
      </c>
      <c r="E819" s="238" t="s">
        <v>741</v>
      </c>
      <c r="F819" s="238"/>
      <c r="G819" s="238"/>
      <c r="H819" s="238" t="s">
        <v>204</v>
      </c>
      <c r="I819" s="238" t="s">
        <v>250</v>
      </c>
      <c r="J819" s="239">
        <v>75899</v>
      </c>
      <c r="K819" s="239">
        <v>93890</v>
      </c>
      <c r="L819" s="238" t="s">
        <v>645</v>
      </c>
      <c r="M819" s="237">
        <v>1</v>
      </c>
      <c r="N819" s="237"/>
      <c r="O819" s="238"/>
      <c r="P819" s="88" t="str">
        <f t="shared" si="14"/>
        <v>1</v>
      </c>
      <c r="Q819" s="88" t="str">
        <f>IFERROR(INDEX(Торг!$F:$F,MATCH($B819,Торг!$B:$B,0)),"Отсутствует")</f>
        <v>Y</v>
      </c>
      <c r="R819" s="36" t="str">
        <f>IFERROR(IF(AND(Q819="Отсутствует",VLOOKUP(A819,Торг!$A:$A,1,0)=A819),"Добавить","Есть"),"Новый")</f>
        <v>Есть</v>
      </c>
    </row>
    <row r="820" spans="1:18" ht="90" hidden="1">
      <c r="A820" s="238" t="s">
        <v>252</v>
      </c>
      <c r="B820" s="237">
        <v>319806</v>
      </c>
      <c r="C820" s="237">
        <v>319806</v>
      </c>
      <c r="D820" s="238" t="s">
        <v>829</v>
      </c>
      <c r="E820" s="238" t="s">
        <v>741</v>
      </c>
      <c r="F820" s="238"/>
      <c r="G820" s="238"/>
      <c r="H820" s="238" t="s">
        <v>204</v>
      </c>
      <c r="I820" s="238" t="s">
        <v>250</v>
      </c>
      <c r="J820" s="239">
        <v>75899</v>
      </c>
      <c r="K820" s="239">
        <v>93890</v>
      </c>
      <c r="L820" s="238" t="s">
        <v>645</v>
      </c>
      <c r="M820" s="237">
        <v>1</v>
      </c>
      <c r="N820" s="237"/>
      <c r="O820" s="238"/>
      <c r="P820" s="88" t="str">
        <f t="shared" si="14"/>
        <v>1</v>
      </c>
      <c r="Q820" s="88" t="str">
        <f>IFERROR(INDEX(Торг!$F:$F,MATCH($B820,Торг!$B:$B,0)),"Отсутствует")</f>
        <v>Y</v>
      </c>
      <c r="R820" s="36" t="str">
        <f>IFERROR(IF(AND(Q820="Отсутствует",VLOOKUP(A820,Торг!$A:$A,1,0)=A820),"Добавить","Есть"),"Новый")</f>
        <v>Есть</v>
      </c>
    </row>
    <row r="821" spans="1:18" ht="90" hidden="1">
      <c r="A821" s="238" t="s">
        <v>252</v>
      </c>
      <c r="B821" s="237">
        <v>319805</v>
      </c>
      <c r="C821" s="237">
        <v>319805</v>
      </c>
      <c r="D821" s="238" t="s">
        <v>830</v>
      </c>
      <c r="E821" s="238" t="s">
        <v>741</v>
      </c>
      <c r="F821" s="238"/>
      <c r="G821" s="238"/>
      <c r="H821" s="238" t="s">
        <v>204</v>
      </c>
      <c r="I821" s="238" t="s">
        <v>250</v>
      </c>
      <c r="J821" s="239">
        <v>75899</v>
      </c>
      <c r="K821" s="239">
        <v>93890</v>
      </c>
      <c r="L821" s="238" t="s">
        <v>645</v>
      </c>
      <c r="M821" s="237">
        <v>1</v>
      </c>
      <c r="N821" s="237"/>
      <c r="O821" s="238"/>
      <c r="P821" s="88" t="str">
        <f t="shared" si="14"/>
        <v>1</v>
      </c>
      <c r="Q821" s="88" t="str">
        <f>IFERROR(INDEX(Торг!$F:$F,MATCH($B821,Торг!$B:$B,0)),"Отсутствует")</f>
        <v>Y</v>
      </c>
      <c r="R821" s="36" t="str">
        <f>IFERROR(IF(AND(Q821="Отсутствует",VLOOKUP(A821,Торг!$A:$A,1,0)=A821),"Добавить","Есть"),"Новый")</f>
        <v>Есть</v>
      </c>
    </row>
    <row r="822" spans="1:18" ht="90" hidden="1">
      <c r="A822" s="238" t="s">
        <v>252</v>
      </c>
      <c r="B822" s="237">
        <v>319804</v>
      </c>
      <c r="C822" s="237">
        <v>319804</v>
      </c>
      <c r="D822" s="238" t="s">
        <v>831</v>
      </c>
      <c r="E822" s="238" t="s">
        <v>741</v>
      </c>
      <c r="F822" s="238"/>
      <c r="G822" s="238"/>
      <c r="H822" s="238" t="s">
        <v>204</v>
      </c>
      <c r="I822" s="238" t="s">
        <v>250</v>
      </c>
      <c r="J822" s="239">
        <v>75899</v>
      </c>
      <c r="K822" s="239">
        <v>93890</v>
      </c>
      <c r="L822" s="238" t="s">
        <v>645</v>
      </c>
      <c r="M822" s="237">
        <v>1</v>
      </c>
      <c r="N822" s="237"/>
      <c r="O822" s="238"/>
      <c r="P822" s="88" t="str">
        <f t="shared" si="14"/>
        <v>1</v>
      </c>
      <c r="Q822" s="88" t="str">
        <f>IFERROR(INDEX(Торг!$F:$F,MATCH($B822,Торг!$B:$B,0)),"Отсутствует")</f>
        <v>Y</v>
      </c>
      <c r="R822" s="36" t="str">
        <f>IFERROR(IF(AND(Q822="Отсутствует",VLOOKUP(A822,Торг!$A:$A,1,0)=A822),"Добавить","Есть"),"Новый")</f>
        <v>Есть</v>
      </c>
    </row>
    <row r="823" spans="1:18" ht="90" hidden="1">
      <c r="A823" s="238" t="s">
        <v>251</v>
      </c>
      <c r="B823" s="237">
        <v>319839</v>
      </c>
      <c r="C823" s="237">
        <v>319839</v>
      </c>
      <c r="D823" s="238" t="s">
        <v>832</v>
      </c>
      <c r="E823" s="238" t="s">
        <v>741</v>
      </c>
      <c r="F823" s="238"/>
      <c r="G823" s="238"/>
      <c r="H823" s="238" t="s">
        <v>204</v>
      </c>
      <c r="I823" s="238" t="s">
        <v>250</v>
      </c>
      <c r="J823" s="239">
        <v>75899</v>
      </c>
      <c r="K823" s="239">
        <v>93890</v>
      </c>
      <c r="L823" s="238" t="s">
        <v>644</v>
      </c>
      <c r="M823" s="237">
        <v>1</v>
      </c>
      <c r="N823" s="237"/>
      <c r="O823" s="238"/>
      <c r="P823" s="88" t="str">
        <f t="shared" si="14"/>
        <v>1</v>
      </c>
      <c r="Q823" s="88" t="str">
        <f>IFERROR(INDEX(Торг!$F:$F,MATCH($B823,Торг!$B:$B,0)),"Отсутствует")</f>
        <v>Y</v>
      </c>
      <c r="R823" s="36" t="str">
        <f>IFERROR(IF(AND(Q823="Отсутствует",VLOOKUP(A823,Торг!$A:$A,1,0)=A823),"Добавить","Есть"),"Новый")</f>
        <v>Есть</v>
      </c>
    </row>
    <row r="824" spans="1:18" ht="90" hidden="1">
      <c r="A824" s="238" t="s">
        <v>251</v>
      </c>
      <c r="B824" s="237">
        <v>319838</v>
      </c>
      <c r="C824" s="237">
        <v>319838</v>
      </c>
      <c r="D824" s="238" t="s">
        <v>833</v>
      </c>
      <c r="E824" s="238" t="s">
        <v>741</v>
      </c>
      <c r="F824" s="238"/>
      <c r="G824" s="238"/>
      <c r="H824" s="238" t="s">
        <v>204</v>
      </c>
      <c r="I824" s="238" t="s">
        <v>250</v>
      </c>
      <c r="J824" s="239">
        <v>75899</v>
      </c>
      <c r="K824" s="239">
        <v>93890</v>
      </c>
      <c r="L824" s="238" t="s">
        <v>644</v>
      </c>
      <c r="M824" s="237">
        <v>1</v>
      </c>
      <c r="N824" s="237"/>
      <c r="O824" s="238"/>
      <c r="P824" s="88" t="str">
        <f t="shared" si="14"/>
        <v>1</v>
      </c>
      <c r="Q824" s="88" t="str">
        <f>IFERROR(INDEX(Торг!$F:$F,MATCH($B824,Торг!$B:$B,0)),"Отсутствует")</f>
        <v>Y</v>
      </c>
      <c r="R824" s="36" t="str">
        <f>IFERROR(IF(AND(Q824="Отсутствует",VLOOKUP(A824,Торг!$A:$A,1,0)=A824),"Добавить","Есть"),"Новый")</f>
        <v>Есть</v>
      </c>
    </row>
    <row r="825" spans="1:18" ht="90" hidden="1">
      <c r="A825" s="238" t="s">
        <v>251</v>
      </c>
      <c r="B825" s="237">
        <v>319837</v>
      </c>
      <c r="C825" s="237">
        <v>319837</v>
      </c>
      <c r="D825" s="238" t="s">
        <v>834</v>
      </c>
      <c r="E825" s="238" t="s">
        <v>741</v>
      </c>
      <c r="F825" s="238"/>
      <c r="G825" s="238"/>
      <c r="H825" s="238" t="s">
        <v>204</v>
      </c>
      <c r="I825" s="238" t="s">
        <v>250</v>
      </c>
      <c r="J825" s="239">
        <v>75899</v>
      </c>
      <c r="K825" s="239">
        <v>93890</v>
      </c>
      <c r="L825" s="238" t="s">
        <v>644</v>
      </c>
      <c r="M825" s="237">
        <v>1</v>
      </c>
      <c r="N825" s="237"/>
      <c r="O825" s="238"/>
      <c r="P825" s="88" t="str">
        <f t="shared" si="14"/>
        <v>1</v>
      </c>
      <c r="Q825" s="88" t="str">
        <f>IFERROR(INDEX(Торг!$F:$F,MATCH($B825,Торг!$B:$B,0)),"Отсутствует")</f>
        <v>Y</v>
      </c>
      <c r="R825" s="36" t="str">
        <f>IFERROR(IF(AND(Q825="Отсутствует",VLOOKUP(A825,Торг!$A:$A,1,0)=A825),"Добавить","Есть"),"Новый")</f>
        <v>Есть</v>
      </c>
    </row>
    <row r="826" spans="1:18" ht="90" hidden="1">
      <c r="A826" s="238" t="s">
        <v>251</v>
      </c>
      <c r="B826" s="237">
        <v>319836</v>
      </c>
      <c r="C826" s="237">
        <v>319836</v>
      </c>
      <c r="D826" s="238" t="s">
        <v>835</v>
      </c>
      <c r="E826" s="238" t="s">
        <v>741</v>
      </c>
      <c r="F826" s="238"/>
      <c r="G826" s="238"/>
      <c r="H826" s="238" t="s">
        <v>204</v>
      </c>
      <c r="I826" s="238" t="s">
        <v>250</v>
      </c>
      <c r="J826" s="239">
        <v>75899</v>
      </c>
      <c r="K826" s="239">
        <v>93890</v>
      </c>
      <c r="L826" s="238" t="s">
        <v>644</v>
      </c>
      <c r="M826" s="237">
        <v>1</v>
      </c>
      <c r="N826" s="237"/>
      <c r="O826" s="238"/>
      <c r="P826" s="88" t="str">
        <f t="shared" si="14"/>
        <v>1</v>
      </c>
      <c r="Q826" s="88" t="str">
        <f>IFERROR(INDEX(Торг!$F:$F,MATCH($B826,Торг!$B:$B,0)),"Отсутствует")</f>
        <v>Y</v>
      </c>
      <c r="R826" s="36" t="str">
        <f>IFERROR(IF(AND(Q826="Отсутствует",VLOOKUP(A826,Торг!$A:$A,1,0)=A826),"Добавить","Есть"),"Новый")</f>
        <v>Есть</v>
      </c>
    </row>
    <row r="827" spans="1:18" ht="60" hidden="1">
      <c r="A827" s="238" t="s">
        <v>44</v>
      </c>
      <c r="B827" s="237">
        <v>364040</v>
      </c>
      <c r="C827" s="237">
        <v>364040</v>
      </c>
      <c r="D827" s="238" t="s">
        <v>1594</v>
      </c>
      <c r="E827" s="238" t="s">
        <v>741</v>
      </c>
      <c r="F827" s="238"/>
      <c r="G827" s="238"/>
      <c r="H827" s="238" t="s">
        <v>192</v>
      </c>
      <c r="I827" s="238" t="s">
        <v>250</v>
      </c>
      <c r="J827" s="239">
        <v>78210</v>
      </c>
      <c r="K827" s="239">
        <v>96790</v>
      </c>
      <c r="L827" s="238" t="s">
        <v>875</v>
      </c>
      <c r="M827" s="237">
        <v>1</v>
      </c>
      <c r="N827" s="237"/>
      <c r="O827" s="238"/>
      <c r="P827" s="88" t="str">
        <f t="shared" si="14"/>
        <v>1</v>
      </c>
      <c r="Q827" s="88" t="str">
        <f>IFERROR(INDEX(Торг!$F:$F,MATCH($B827,Торг!$B:$B,0)),"Отсутствует")</f>
        <v>Y</v>
      </c>
      <c r="R827" s="36" t="str">
        <f>IFERROR(IF(AND(Q827="Отсутствует",VLOOKUP(A827,Торг!$A:$A,1,0)=A827),"Добавить","Есть"),"Новый")</f>
        <v>Есть</v>
      </c>
    </row>
    <row r="828" spans="1:18" ht="60" hidden="1">
      <c r="A828" s="238" t="s">
        <v>44</v>
      </c>
      <c r="B828" s="237">
        <v>364038</v>
      </c>
      <c r="C828" s="237">
        <v>364038</v>
      </c>
      <c r="D828" s="238" t="s">
        <v>1595</v>
      </c>
      <c r="E828" s="238" t="s">
        <v>741</v>
      </c>
      <c r="F828" s="238"/>
      <c r="G828" s="238"/>
      <c r="H828" s="238" t="s">
        <v>192</v>
      </c>
      <c r="I828" s="238" t="s">
        <v>250</v>
      </c>
      <c r="J828" s="239">
        <v>78210</v>
      </c>
      <c r="K828" s="239">
        <v>96790</v>
      </c>
      <c r="L828" s="238" t="s">
        <v>875</v>
      </c>
      <c r="M828" s="237">
        <v>1</v>
      </c>
      <c r="N828" s="237"/>
      <c r="O828" s="238"/>
      <c r="P828" s="88" t="str">
        <f t="shared" si="14"/>
        <v>1</v>
      </c>
      <c r="Q828" s="88" t="str">
        <f>IFERROR(INDEX(Торг!$F:$F,MATCH($B828,Торг!$B:$B,0)),"Отсутствует")</f>
        <v>Y</v>
      </c>
      <c r="R828" s="36" t="str">
        <f>IFERROR(IF(AND(Q828="Отсутствует",VLOOKUP(A828,Торг!$A:$A,1,0)=A828),"Добавить","Есть"),"Новый")</f>
        <v>Есть</v>
      </c>
    </row>
    <row r="829" spans="1:18" ht="60" hidden="1">
      <c r="A829" s="238" t="s">
        <v>44</v>
      </c>
      <c r="B829" s="237">
        <v>320059</v>
      </c>
      <c r="C829" s="237">
        <v>320059</v>
      </c>
      <c r="D829" s="238" t="s">
        <v>1596</v>
      </c>
      <c r="E829" s="238" t="s">
        <v>741</v>
      </c>
      <c r="F829" s="238"/>
      <c r="G829" s="238"/>
      <c r="H829" s="238" t="s">
        <v>192</v>
      </c>
      <c r="I829" s="238" t="s">
        <v>250</v>
      </c>
      <c r="J829" s="239">
        <v>78210</v>
      </c>
      <c r="K829" s="239">
        <v>96790</v>
      </c>
      <c r="L829" s="238" t="s">
        <v>875</v>
      </c>
      <c r="M829" s="237">
        <v>1</v>
      </c>
      <c r="N829" s="237"/>
      <c r="O829" s="238"/>
      <c r="P829" s="88" t="str">
        <f t="shared" si="14"/>
        <v>1</v>
      </c>
      <c r="Q829" s="88" t="str">
        <f>IFERROR(INDEX(Торг!$F:$F,MATCH($B829,Торг!$B:$B,0)),"Отсутствует")</f>
        <v>Y</v>
      </c>
      <c r="R829" s="36" t="str">
        <f>IFERROR(IF(AND(Q829="Отсутствует",VLOOKUP(A829,Торг!$A:$A,1,0)=A829),"Добавить","Есть"),"Новый")</f>
        <v>Есть</v>
      </c>
    </row>
    <row r="830" spans="1:18" ht="60" hidden="1">
      <c r="A830" s="238" t="s">
        <v>44</v>
      </c>
      <c r="B830" s="237">
        <v>364039</v>
      </c>
      <c r="C830" s="237">
        <v>364039</v>
      </c>
      <c r="D830" s="238" t="s">
        <v>1597</v>
      </c>
      <c r="E830" s="238" t="s">
        <v>741</v>
      </c>
      <c r="F830" s="238"/>
      <c r="G830" s="238"/>
      <c r="H830" s="238" t="s">
        <v>192</v>
      </c>
      <c r="I830" s="238" t="s">
        <v>250</v>
      </c>
      <c r="J830" s="239">
        <v>78210</v>
      </c>
      <c r="K830" s="239">
        <v>96790</v>
      </c>
      <c r="L830" s="238" t="s">
        <v>875</v>
      </c>
      <c r="M830" s="237">
        <v>1</v>
      </c>
      <c r="N830" s="237"/>
      <c r="O830" s="238"/>
      <c r="P830" s="88" t="str">
        <f t="shared" si="14"/>
        <v>1</v>
      </c>
      <c r="Q830" s="88" t="str">
        <f>IFERROR(INDEX(Торг!$F:$F,MATCH($B830,Торг!$B:$B,0)),"Отсутствует")</f>
        <v>Y</v>
      </c>
      <c r="R830" s="36" t="str">
        <f>IFERROR(IF(AND(Q830="Отсутствует",VLOOKUP(A830,Торг!$A:$A,1,0)=A830),"Добавить","Есть"),"Новый")</f>
        <v>Есть</v>
      </c>
    </row>
    <row r="831" spans="1:18" ht="60" hidden="1">
      <c r="A831" s="238" t="s">
        <v>44</v>
      </c>
      <c r="B831" s="237">
        <v>364037</v>
      </c>
      <c r="C831" s="237">
        <v>364037</v>
      </c>
      <c r="D831" s="238" t="s">
        <v>1598</v>
      </c>
      <c r="E831" s="238" t="s">
        <v>741</v>
      </c>
      <c r="F831" s="238"/>
      <c r="G831" s="238"/>
      <c r="H831" s="238" t="s">
        <v>192</v>
      </c>
      <c r="I831" s="238" t="s">
        <v>250</v>
      </c>
      <c r="J831" s="239">
        <v>78210</v>
      </c>
      <c r="K831" s="239">
        <v>96790</v>
      </c>
      <c r="L831" s="238" t="s">
        <v>875</v>
      </c>
      <c r="M831" s="237">
        <v>1</v>
      </c>
      <c r="N831" s="237"/>
      <c r="O831" s="238"/>
      <c r="P831" s="88" t="str">
        <f t="shared" si="14"/>
        <v>1</v>
      </c>
      <c r="Q831" s="88" t="str">
        <f>IFERROR(INDEX(Торг!$F:$F,MATCH($B831,Торг!$B:$B,0)),"Отсутствует")</f>
        <v>Y</v>
      </c>
      <c r="R831" s="36" t="str">
        <f>IFERROR(IF(AND(Q831="Отсутствует",VLOOKUP(A831,Торг!$A:$A,1,0)=A831),"Добавить","Есть"),"Новый")</f>
        <v>Есть</v>
      </c>
    </row>
    <row r="832" spans="1:18" ht="60" hidden="1">
      <c r="A832" s="238" t="s">
        <v>44</v>
      </c>
      <c r="B832" s="237">
        <v>320058</v>
      </c>
      <c r="C832" s="237">
        <v>320058</v>
      </c>
      <c r="D832" s="238" t="s">
        <v>1599</v>
      </c>
      <c r="E832" s="238" t="s">
        <v>741</v>
      </c>
      <c r="F832" s="238"/>
      <c r="G832" s="238"/>
      <c r="H832" s="238" t="s">
        <v>192</v>
      </c>
      <c r="I832" s="238" t="s">
        <v>250</v>
      </c>
      <c r="J832" s="239">
        <v>78210</v>
      </c>
      <c r="K832" s="239">
        <v>96790</v>
      </c>
      <c r="L832" s="238" t="s">
        <v>875</v>
      </c>
      <c r="M832" s="237">
        <v>1</v>
      </c>
      <c r="N832" s="237"/>
      <c r="O832" s="238"/>
      <c r="P832" s="88" t="str">
        <f t="shared" si="14"/>
        <v>1</v>
      </c>
      <c r="Q832" s="88" t="str">
        <f>IFERROR(INDEX(Торг!$F:$F,MATCH($B832,Торг!$B:$B,0)),"Отсутствует")</f>
        <v>Y</v>
      </c>
      <c r="R832" s="36" t="str">
        <f>IFERROR(IF(AND(Q832="Отсутствует",VLOOKUP(A832,Торг!$A:$A,1,0)=A832),"Добавить","Есть"),"Новый")</f>
        <v>Есть</v>
      </c>
    </row>
    <row r="833" spans="1:18" ht="90">
      <c r="A833" s="238" t="s">
        <v>1628</v>
      </c>
      <c r="B833" s="237">
        <v>382139</v>
      </c>
      <c r="C833" s="237">
        <v>382139</v>
      </c>
      <c r="D833" s="238" t="s">
        <v>1629</v>
      </c>
      <c r="E833" s="238" t="s">
        <v>741</v>
      </c>
      <c r="F833" s="238"/>
      <c r="G833" s="238"/>
      <c r="H833" s="238" t="s">
        <v>191</v>
      </c>
      <c r="I833" s="238" t="s">
        <v>250</v>
      </c>
      <c r="J833" s="239">
        <v>75186</v>
      </c>
      <c r="K833" s="239">
        <v>92990</v>
      </c>
      <c r="L833" s="238" t="s">
        <v>641</v>
      </c>
      <c r="M833" s="237">
        <v>1</v>
      </c>
      <c r="N833" s="237"/>
      <c r="O833" s="238"/>
      <c r="P833" s="88" t="str">
        <f t="shared" si="14"/>
        <v>1</v>
      </c>
      <c r="Q833" s="88" t="str">
        <f>IFERROR(INDEX(Торг!$F:$F,MATCH($B833,Торг!$B:$B,0)),"Отсутствует")</f>
        <v>Y</v>
      </c>
      <c r="R833" s="36" t="str">
        <f>IFERROR(IF(AND(Q833="Отсутствует",VLOOKUP(A833,Торг!$A:$A,1,0)=A833),"Добавить","Есть"),"Новый")</f>
        <v>Есть</v>
      </c>
    </row>
    <row r="834" spans="1:18" ht="90">
      <c r="A834" s="238" t="s">
        <v>1628</v>
      </c>
      <c r="B834" s="237">
        <v>382136</v>
      </c>
      <c r="C834" s="237">
        <v>382136</v>
      </c>
      <c r="D834" s="238" t="s">
        <v>1630</v>
      </c>
      <c r="E834" s="238" t="s">
        <v>741</v>
      </c>
      <c r="F834" s="238"/>
      <c r="G834" s="238"/>
      <c r="H834" s="238" t="s">
        <v>194</v>
      </c>
      <c r="I834" s="238" t="s">
        <v>250</v>
      </c>
      <c r="J834" s="239">
        <v>75186</v>
      </c>
      <c r="K834" s="239">
        <v>92990</v>
      </c>
      <c r="L834" s="238" t="s">
        <v>637</v>
      </c>
      <c r="M834" s="237">
        <v>1</v>
      </c>
      <c r="N834" s="237"/>
      <c r="O834" s="238"/>
      <c r="P834" s="88" t="str">
        <f t="shared" si="14"/>
        <v>1</v>
      </c>
      <c r="Q834" s="88" t="str">
        <f>IFERROR(INDEX(Торг!$F:$F,MATCH($B834,Торг!$B:$B,0)),"Отсутствует")</f>
        <v>Y</v>
      </c>
      <c r="R834" s="36" t="str">
        <f>IFERROR(IF(AND(Q834="Отсутствует",VLOOKUP(A834,Торг!$A:$A,1,0)=A834),"Добавить","Есть"),"Новый")</f>
        <v>Есть</v>
      </c>
    </row>
    <row r="835" spans="1:18" ht="90">
      <c r="A835" s="238" t="s">
        <v>1628</v>
      </c>
      <c r="B835" s="237">
        <v>382137</v>
      </c>
      <c r="C835" s="237">
        <v>382137</v>
      </c>
      <c r="D835" s="238" t="s">
        <v>1631</v>
      </c>
      <c r="E835" s="238" t="s">
        <v>741</v>
      </c>
      <c r="F835" s="238"/>
      <c r="G835" s="238"/>
      <c r="H835" s="238" t="s">
        <v>195</v>
      </c>
      <c r="I835" s="238" t="s">
        <v>250</v>
      </c>
      <c r="J835" s="239">
        <v>75186</v>
      </c>
      <c r="K835" s="239">
        <v>92990</v>
      </c>
      <c r="L835" s="238" t="s">
        <v>638</v>
      </c>
      <c r="M835" s="237">
        <v>1</v>
      </c>
      <c r="N835" s="237"/>
      <c r="O835" s="238"/>
      <c r="P835" s="88" t="str">
        <f t="shared" si="14"/>
        <v>1</v>
      </c>
      <c r="Q835" s="88" t="str">
        <f>IFERROR(INDEX(Торг!$F:$F,MATCH($B835,Торг!$B:$B,0)),"Отсутствует")</f>
        <v>Y</v>
      </c>
      <c r="R835" s="36" t="str">
        <f>IFERROR(IF(AND(Q835="Отсутствует",VLOOKUP(A835,Торг!$A:$A,1,0)=A835),"Добавить","Есть"),"Новый")</f>
        <v>Есть</v>
      </c>
    </row>
    <row r="836" spans="1:18" ht="90">
      <c r="A836" s="238" t="s">
        <v>1628</v>
      </c>
      <c r="B836" s="237">
        <v>382138</v>
      </c>
      <c r="C836" s="237">
        <v>382138</v>
      </c>
      <c r="D836" s="238" t="s">
        <v>1632</v>
      </c>
      <c r="E836" s="238" t="s">
        <v>741</v>
      </c>
      <c r="F836" s="238"/>
      <c r="G836" s="238"/>
      <c r="H836" s="238" t="s">
        <v>196</v>
      </c>
      <c r="I836" s="238" t="s">
        <v>250</v>
      </c>
      <c r="J836" s="239">
        <v>75186</v>
      </c>
      <c r="K836" s="239">
        <v>92990</v>
      </c>
      <c r="L836" s="238" t="s">
        <v>639</v>
      </c>
      <c r="M836" s="237">
        <v>1</v>
      </c>
      <c r="N836" s="237"/>
      <c r="O836" s="238"/>
      <c r="P836" s="88" t="str">
        <f t="shared" ref="P836:P853" si="15">_xlfn.CONCAT(M836,IF(N836&lt;&gt;"",_xlfn.CONCAT("ск",N836),""))</f>
        <v>1</v>
      </c>
      <c r="Q836" s="88" t="str">
        <f>IFERROR(INDEX(Торг!$F:$F,MATCH($B836,Торг!$B:$B,0)),"Отсутствует")</f>
        <v>Y</v>
      </c>
      <c r="R836" s="36" t="str">
        <f>IFERROR(IF(AND(Q836="Отсутствует",VLOOKUP(A836,Торг!$A:$A,1,0)=A836),"Добавить","Есть"),"Новый")</f>
        <v>Есть</v>
      </c>
    </row>
    <row r="837" spans="1:18" ht="60" hidden="1">
      <c r="A837" s="238" t="s">
        <v>43</v>
      </c>
      <c r="B837" s="237">
        <v>320076</v>
      </c>
      <c r="C837" s="237">
        <v>320076</v>
      </c>
      <c r="D837" s="238" t="s">
        <v>836</v>
      </c>
      <c r="E837" s="238" t="s">
        <v>741</v>
      </c>
      <c r="F837" s="238"/>
      <c r="G837" s="238"/>
      <c r="H837" s="238" t="s">
        <v>198</v>
      </c>
      <c r="I837" s="238" t="s">
        <v>250</v>
      </c>
      <c r="J837" s="239">
        <v>74372</v>
      </c>
      <c r="K837" s="239">
        <v>91990</v>
      </c>
      <c r="L837" s="238" t="s">
        <v>560</v>
      </c>
      <c r="M837" s="237">
        <v>1</v>
      </c>
      <c r="N837" s="237"/>
      <c r="O837" s="238"/>
      <c r="P837" s="88" t="str">
        <f t="shared" si="15"/>
        <v>1</v>
      </c>
      <c r="Q837" s="88" t="str">
        <f>IFERROR(INDEX(Торг!$F:$F,MATCH($B837,Торг!$B:$B,0)),"Отсутствует")</f>
        <v>Y</v>
      </c>
      <c r="R837" s="36" t="str">
        <f>IFERROR(IF(AND(Q837="Отсутствует",VLOOKUP(A837,Торг!$A:$A,1,0)=A837),"Добавить","Есть"),"Новый")</f>
        <v>Есть</v>
      </c>
    </row>
    <row r="838" spans="1:18" ht="60" hidden="1">
      <c r="A838" s="238" t="s">
        <v>43</v>
      </c>
      <c r="B838" s="237">
        <v>320077</v>
      </c>
      <c r="C838" s="237">
        <v>320077</v>
      </c>
      <c r="D838" s="238" t="s">
        <v>837</v>
      </c>
      <c r="E838" s="238" t="s">
        <v>741</v>
      </c>
      <c r="F838" s="238"/>
      <c r="G838" s="238"/>
      <c r="H838" s="238" t="s">
        <v>198</v>
      </c>
      <c r="I838" s="238" t="s">
        <v>250</v>
      </c>
      <c r="J838" s="239">
        <v>74372</v>
      </c>
      <c r="K838" s="239">
        <v>91990</v>
      </c>
      <c r="L838" s="238" t="s">
        <v>560</v>
      </c>
      <c r="M838" s="237">
        <v>1</v>
      </c>
      <c r="N838" s="237"/>
      <c r="O838" s="238"/>
      <c r="P838" s="88" t="str">
        <f t="shared" si="15"/>
        <v>1</v>
      </c>
      <c r="Q838" s="88" t="str">
        <f>IFERROR(INDEX(Торг!$F:$F,MATCH($B838,Торг!$B:$B,0)),"Отсутствует")</f>
        <v>Y</v>
      </c>
      <c r="R838" s="36" t="str">
        <f>IFERROR(IF(AND(Q838="Отсутствует",VLOOKUP(A838,Торг!$A:$A,1,0)=A838),"Добавить","Есть"),"Новый")</f>
        <v>Есть</v>
      </c>
    </row>
    <row r="839" spans="1:18" ht="60" hidden="1">
      <c r="A839" s="238" t="s">
        <v>43</v>
      </c>
      <c r="B839" s="237">
        <v>320074</v>
      </c>
      <c r="C839" s="237">
        <v>320074</v>
      </c>
      <c r="D839" s="238" t="s">
        <v>838</v>
      </c>
      <c r="E839" s="238" t="s">
        <v>741</v>
      </c>
      <c r="F839" s="238"/>
      <c r="G839" s="238"/>
      <c r="H839" s="238" t="s">
        <v>198</v>
      </c>
      <c r="I839" s="238" t="s">
        <v>250</v>
      </c>
      <c r="J839" s="239">
        <v>73672</v>
      </c>
      <c r="K839" s="239">
        <v>91090</v>
      </c>
      <c r="L839" s="238" t="s">
        <v>560</v>
      </c>
      <c r="M839" s="237">
        <v>1</v>
      </c>
      <c r="N839" s="237"/>
      <c r="O839" s="238"/>
      <c r="P839" s="88" t="str">
        <f t="shared" si="15"/>
        <v>1</v>
      </c>
      <c r="Q839" s="88" t="str">
        <f>IFERROR(INDEX(Торг!$F:$F,MATCH($B839,Торг!$B:$B,0)),"Отсутствует")</f>
        <v>Y</v>
      </c>
      <c r="R839" s="36" t="str">
        <f>IFERROR(IF(AND(Q839="Отсутствует",VLOOKUP(A839,Торг!$A:$A,1,0)=A839),"Добавить","Есть"),"Новый")</f>
        <v>Есть</v>
      </c>
    </row>
    <row r="840" spans="1:18" ht="60" hidden="1">
      <c r="A840" s="238" t="s">
        <v>43</v>
      </c>
      <c r="B840" s="237">
        <v>320075</v>
      </c>
      <c r="C840" s="237">
        <v>320075</v>
      </c>
      <c r="D840" s="238" t="s">
        <v>839</v>
      </c>
      <c r="E840" s="238" t="s">
        <v>741</v>
      </c>
      <c r="F840" s="238"/>
      <c r="G840" s="238"/>
      <c r="H840" s="238" t="s">
        <v>198</v>
      </c>
      <c r="I840" s="238" t="s">
        <v>250</v>
      </c>
      <c r="J840" s="239">
        <v>73672</v>
      </c>
      <c r="K840" s="239">
        <v>91090</v>
      </c>
      <c r="L840" s="238" t="s">
        <v>560</v>
      </c>
      <c r="M840" s="237">
        <v>1</v>
      </c>
      <c r="N840" s="237"/>
      <c r="O840" s="238"/>
      <c r="P840" s="88" t="str">
        <f t="shared" si="15"/>
        <v>1</v>
      </c>
      <c r="Q840" s="88" t="str">
        <f>IFERROR(INDEX(Торг!$F:$F,MATCH($B840,Торг!$B:$B,0)),"Отсутствует")</f>
        <v>Y</v>
      </c>
      <c r="R840" s="36" t="str">
        <f>IFERROR(IF(AND(Q840="Отсутствует",VLOOKUP(A840,Торг!$A:$A,1,0)=A840),"Добавить","Есть"),"Новый")</f>
        <v>Есть</v>
      </c>
    </row>
    <row r="841" spans="1:18" ht="60" hidden="1">
      <c r="A841" s="238" t="s">
        <v>43</v>
      </c>
      <c r="B841" s="237">
        <v>320078</v>
      </c>
      <c r="C841" s="237">
        <v>320078</v>
      </c>
      <c r="D841" s="238" t="s">
        <v>840</v>
      </c>
      <c r="E841" s="238" t="s">
        <v>741</v>
      </c>
      <c r="F841" s="238"/>
      <c r="G841" s="238"/>
      <c r="H841" s="238" t="s">
        <v>198</v>
      </c>
      <c r="I841" s="238" t="s">
        <v>250</v>
      </c>
      <c r="J841" s="239">
        <v>72972</v>
      </c>
      <c r="K841" s="239">
        <v>90290</v>
      </c>
      <c r="L841" s="238" t="s">
        <v>560</v>
      </c>
      <c r="M841" s="237">
        <v>1</v>
      </c>
      <c r="N841" s="237"/>
      <c r="O841" s="238"/>
      <c r="P841" s="88" t="str">
        <f t="shared" si="15"/>
        <v>1</v>
      </c>
      <c r="Q841" s="88" t="str">
        <f>IFERROR(INDEX(Торг!$F:$F,MATCH($B841,Торг!$B:$B,0)),"Отсутствует")</f>
        <v>Y</v>
      </c>
      <c r="R841" s="36" t="str">
        <f>IFERROR(IF(AND(Q841="Отсутствует",VLOOKUP(A841,Торг!$A:$A,1,0)=A841),"Добавить","Есть"),"Новый")</f>
        <v>Есть</v>
      </c>
    </row>
    <row r="842" spans="1:18" ht="60" hidden="1">
      <c r="A842" s="238" t="s">
        <v>43</v>
      </c>
      <c r="B842" s="237">
        <v>320079</v>
      </c>
      <c r="C842" s="237">
        <v>320079</v>
      </c>
      <c r="D842" s="238" t="s">
        <v>841</v>
      </c>
      <c r="E842" s="238" t="s">
        <v>741</v>
      </c>
      <c r="F842" s="238"/>
      <c r="G842" s="238"/>
      <c r="H842" s="238" t="s">
        <v>198</v>
      </c>
      <c r="I842" s="238" t="s">
        <v>250</v>
      </c>
      <c r="J842" s="239">
        <v>72972</v>
      </c>
      <c r="K842" s="239">
        <v>90290</v>
      </c>
      <c r="L842" s="238" t="s">
        <v>560</v>
      </c>
      <c r="M842" s="237">
        <v>1</v>
      </c>
      <c r="N842" s="237"/>
      <c r="O842" s="238"/>
      <c r="P842" s="88" t="str">
        <f t="shared" si="15"/>
        <v>1</v>
      </c>
      <c r="Q842" s="88" t="str">
        <f>IFERROR(INDEX(Торг!$F:$F,MATCH($B842,Торг!$B:$B,0)),"Отсутствует")</f>
        <v>Y</v>
      </c>
      <c r="R842" s="36" t="str">
        <f>IFERROR(IF(AND(Q842="Отсутствует",VLOOKUP(A842,Торг!$A:$A,1,0)=A842),"Добавить","Есть"),"Новый")</f>
        <v>Есть</v>
      </c>
    </row>
    <row r="843" spans="1:18" ht="60" hidden="1">
      <c r="A843" s="238" t="s">
        <v>842</v>
      </c>
      <c r="B843" s="237">
        <v>320120</v>
      </c>
      <c r="C843" s="237">
        <v>320120</v>
      </c>
      <c r="D843" s="238" t="s">
        <v>843</v>
      </c>
      <c r="E843" s="238" t="s">
        <v>741</v>
      </c>
      <c r="F843" s="238"/>
      <c r="G843" s="238"/>
      <c r="H843" s="238" t="s">
        <v>199</v>
      </c>
      <c r="I843" s="238" t="s">
        <v>250</v>
      </c>
      <c r="J843" s="239">
        <v>77436</v>
      </c>
      <c r="K843" s="239">
        <v>95790</v>
      </c>
      <c r="L843" s="238" t="s">
        <v>566</v>
      </c>
      <c r="M843" s="237">
        <v>1</v>
      </c>
      <c r="N843" s="237"/>
      <c r="O843" s="238"/>
      <c r="P843" s="88" t="str">
        <f t="shared" si="15"/>
        <v>1</v>
      </c>
      <c r="Q843" s="88" t="str">
        <f>IFERROR(INDEX(Торг!$F:$F,MATCH($B843,Торг!$B:$B,0)),"Отсутствует")</f>
        <v>Y</v>
      </c>
      <c r="R843" s="36" t="str">
        <f>IFERROR(IF(AND(Q843="Отсутствует",VLOOKUP(A843,Торг!$A:$A,1,0)=A843),"Добавить","Есть"),"Новый")</f>
        <v>Есть</v>
      </c>
    </row>
    <row r="844" spans="1:18" ht="60" hidden="1">
      <c r="A844" s="238" t="s">
        <v>842</v>
      </c>
      <c r="B844" s="237">
        <v>320119</v>
      </c>
      <c r="C844" s="237">
        <v>320119</v>
      </c>
      <c r="D844" s="238" t="s">
        <v>844</v>
      </c>
      <c r="E844" s="238" t="s">
        <v>741</v>
      </c>
      <c r="F844" s="238"/>
      <c r="G844" s="238"/>
      <c r="H844" s="238" t="s">
        <v>199</v>
      </c>
      <c r="I844" s="238" t="s">
        <v>250</v>
      </c>
      <c r="J844" s="239">
        <v>77436</v>
      </c>
      <c r="K844" s="239">
        <v>95790</v>
      </c>
      <c r="L844" s="238" t="s">
        <v>566</v>
      </c>
      <c r="M844" s="237">
        <v>1</v>
      </c>
      <c r="N844" s="237"/>
      <c r="O844" s="238"/>
      <c r="P844" s="88" t="str">
        <f t="shared" si="15"/>
        <v>1</v>
      </c>
      <c r="Q844" s="88" t="str">
        <f>IFERROR(INDEX(Торг!$F:$F,MATCH($B844,Торг!$B:$B,0)),"Отсутствует")</f>
        <v>Y</v>
      </c>
      <c r="R844" s="36" t="str">
        <f>IFERROR(IF(AND(Q844="Отсутствует",VLOOKUP(A844,Торг!$A:$A,1,0)=A844),"Добавить","Есть"),"Новый")</f>
        <v>Есть</v>
      </c>
    </row>
    <row r="845" spans="1:18" ht="60" hidden="1">
      <c r="A845" s="238" t="s">
        <v>842</v>
      </c>
      <c r="B845" s="237">
        <v>320118</v>
      </c>
      <c r="C845" s="237">
        <v>320118</v>
      </c>
      <c r="D845" s="238" t="s">
        <v>845</v>
      </c>
      <c r="E845" s="238" t="s">
        <v>741</v>
      </c>
      <c r="F845" s="238"/>
      <c r="G845" s="238"/>
      <c r="H845" s="238" t="s">
        <v>199</v>
      </c>
      <c r="I845" s="238" t="s">
        <v>250</v>
      </c>
      <c r="J845" s="239">
        <v>76736</v>
      </c>
      <c r="K845" s="239">
        <v>94890</v>
      </c>
      <c r="L845" s="238" t="s">
        <v>566</v>
      </c>
      <c r="M845" s="237">
        <v>1</v>
      </c>
      <c r="N845" s="237"/>
      <c r="O845" s="238"/>
      <c r="P845" s="88" t="str">
        <f t="shared" si="15"/>
        <v>1</v>
      </c>
      <c r="Q845" s="88" t="str">
        <f>IFERROR(INDEX(Торг!$F:$F,MATCH($B845,Торг!$B:$B,0)),"Отсутствует")</f>
        <v>Y</v>
      </c>
      <c r="R845" s="36" t="str">
        <f>IFERROR(IF(AND(Q845="Отсутствует",VLOOKUP(A845,Торг!$A:$A,1,0)=A845),"Добавить","Есть"),"Новый")</f>
        <v>Есть</v>
      </c>
    </row>
    <row r="846" spans="1:18" ht="60" hidden="1">
      <c r="A846" s="238" t="s">
        <v>842</v>
      </c>
      <c r="B846" s="237">
        <v>320117</v>
      </c>
      <c r="C846" s="237">
        <v>320117</v>
      </c>
      <c r="D846" s="238" t="s">
        <v>846</v>
      </c>
      <c r="E846" s="238" t="s">
        <v>741</v>
      </c>
      <c r="F846" s="238"/>
      <c r="G846" s="238"/>
      <c r="H846" s="238" t="s">
        <v>199</v>
      </c>
      <c r="I846" s="238" t="s">
        <v>250</v>
      </c>
      <c r="J846" s="239">
        <v>76736</v>
      </c>
      <c r="K846" s="239">
        <v>94890</v>
      </c>
      <c r="L846" s="238" t="s">
        <v>566</v>
      </c>
      <c r="M846" s="237">
        <v>1</v>
      </c>
      <c r="N846" s="237"/>
      <c r="O846" s="238"/>
      <c r="P846" s="88" t="str">
        <f t="shared" si="15"/>
        <v>1</v>
      </c>
      <c r="Q846" s="88" t="str">
        <f>IFERROR(INDEX(Торг!$F:$F,MATCH($B846,Торг!$B:$B,0)),"Отсутствует")</f>
        <v>Y</v>
      </c>
      <c r="R846" s="36" t="str">
        <f>IFERROR(IF(AND(Q846="Отсутствует",VLOOKUP(A846,Торг!$A:$A,1,0)=A846),"Добавить","Есть"),"Новый")</f>
        <v>Есть</v>
      </c>
    </row>
    <row r="847" spans="1:18" ht="60" hidden="1">
      <c r="A847" s="238" t="s">
        <v>842</v>
      </c>
      <c r="B847" s="237">
        <v>320122</v>
      </c>
      <c r="C847" s="237">
        <v>17870</v>
      </c>
      <c r="D847" s="238" t="s">
        <v>847</v>
      </c>
      <c r="E847" s="238" t="s">
        <v>741</v>
      </c>
      <c r="F847" s="238"/>
      <c r="G847" s="238"/>
      <c r="H847" s="238" t="s">
        <v>199</v>
      </c>
      <c r="I847" s="238" t="s">
        <v>250</v>
      </c>
      <c r="J847" s="239">
        <v>76036</v>
      </c>
      <c r="K847" s="239">
        <v>94090</v>
      </c>
      <c r="L847" s="238" t="s">
        <v>566</v>
      </c>
      <c r="M847" s="237">
        <v>1</v>
      </c>
      <c r="N847" s="237"/>
      <c r="O847" s="238"/>
      <c r="P847" s="88" t="str">
        <f t="shared" si="15"/>
        <v>1</v>
      </c>
      <c r="Q847" s="88" t="str">
        <f>IFERROR(INDEX(Торг!$F:$F,MATCH($B847,Торг!$B:$B,0)),"Отсутствует")</f>
        <v>Y</v>
      </c>
      <c r="R847" s="36" t="str">
        <f>IFERROR(IF(AND(Q847="Отсутствует",VLOOKUP(A847,Торг!$A:$A,1,0)=A847),"Добавить","Есть"),"Новый")</f>
        <v>Есть</v>
      </c>
    </row>
    <row r="848" spans="1:18" ht="60" hidden="1">
      <c r="A848" s="238" t="s">
        <v>842</v>
      </c>
      <c r="B848" s="237">
        <v>320121</v>
      </c>
      <c r="C848" s="237">
        <v>15564</v>
      </c>
      <c r="D848" s="238" t="s">
        <v>848</v>
      </c>
      <c r="E848" s="238" t="s">
        <v>741</v>
      </c>
      <c r="F848" s="238"/>
      <c r="G848" s="238"/>
      <c r="H848" s="238" t="s">
        <v>199</v>
      </c>
      <c r="I848" s="238" t="s">
        <v>250</v>
      </c>
      <c r="J848" s="239">
        <v>76036</v>
      </c>
      <c r="K848" s="239">
        <v>94090</v>
      </c>
      <c r="L848" s="238" t="s">
        <v>566</v>
      </c>
      <c r="M848" s="237">
        <v>1</v>
      </c>
      <c r="N848" s="237"/>
      <c r="O848" s="238"/>
      <c r="P848" s="88" t="str">
        <f t="shared" si="15"/>
        <v>1</v>
      </c>
      <c r="Q848" s="88" t="str">
        <f>IFERROR(INDEX(Торг!$F:$F,MATCH($B848,Торг!$B:$B,0)),"Отсутствует")</f>
        <v>Y</v>
      </c>
      <c r="R848" s="36" t="str">
        <f>IFERROR(IF(AND(Q848="Отсутствует",VLOOKUP(A848,Торг!$A:$A,1,0)=A848),"Добавить","Есть"),"Новый")</f>
        <v>Есть</v>
      </c>
    </row>
    <row r="849" spans="1:18" ht="60" hidden="1">
      <c r="A849" s="238" t="s">
        <v>41</v>
      </c>
      <c r="B849" s="237">
        <v>320083</v>
      </c>
      <c r="C849" s="237">
        <v>320083</v>
      </c>
      <c r="D849" s="238" t="s">
        <v>849</v>
      </c>
      <c r="E849" s="238" t="s">
        <v>741</v>
      </c>
      <c r="F849" s="238"/>
      <c r="G849" s="238"/>
      <c r="H849" s="238" t="s">
        <v>200</v>
      </c>
      <c r="I849" s="238" t="s">
        <v>250</v>
      </c>
      <c r="J849" s="239">
        <v>79043</v>
      </c>
      <c r="K849" s="239">
        <v>97790</v>
      </c>
      <c r="L849" s="238" t="s">
        <v>569</v>
      </c>
      <c r="M849" s="237">
        <v>1</v>
      </c>
      <c r="N849" s="237"/>
      <c r="O849" s="238"/>
      <c r="P849" s="88" t="str">
        <f t="shared" si="15"/>
        <v>1</v>
      </c>
      <c r="Q849" s="88" t="str">
        <f>IFERROR(INDEX(Торг!$F:$F,MATCH($B849,Торг!$B:$B,0)),"Отсутствует")</f>
        <v>Y</v>
      </c>
      <c r="R849" s="36" t="str">
        <f>IFERROR(IF(AND(Q849="Отсутствует",VLOOKUP(A849,Торг!$A:$A,1,0)=A849),"Добавить","Есть"),"Новый")</f>
        <v>Есть</v>
      </c>
    </row>
    <row r="850" spans="1:18" ht="60" hidden="1">
      <c r="A850" s="238" t="s">
        <v>41</v>
      </c>
      <c r="B850" s="237">
        <v>320084</v>
      </c>
      <c r="C850" s="237">
        <v>320084</v>
      </c>
      <c r="D850" s="238" t="s">
        <v>850</v>
      </c>
      <c r="E850" s="238" t="s">
        <v>741</v>
      </c>
      <c r="F850" s="238"/>
      <c r="G850" s="238"/>
      <c r="H850" s="238" t="s">
        <v>200</v>
      </c>
      <c r="I850" s="238" t="s">
        <v>250</v>
      </c>
      <c r="J850" s="239">
        <v>79043</v>
      </c>
      <c r="K850" s="239">
        <v>97790</v>
      </c>
      <c r="L850" s="238" t="s">
        <v>569</v>
      </c>
      <c r="M850" s="237">
        <v>1</v>
      </c>
      <c r="N850" s="237"/>
      <c r="O850" s="238"/>
      <c r="P850" s="88" t="str">
        <f t="shared" si="15"/>
        <v>1</v>
      </c>
      <c r="Q850" s="88" t="str">
        <f>IFERROR(INDEX(Торг!$F:$F,MATCH($B850,Торг!$B:$B,0)),"Отсутствует")</f>
        <v>Y</v>
      </c>
      <c r="R850" s="36" t="str">
        <f>IFERROR(IF(AND(Q850="Отсутствует",VLOOKUP(A850,Торг!$A:$A,1,0)=A850),"Добавить","Есть"),"Новый")</f>
        <v>Есть</v>
      </c>
    </row>
    <row r="851" spans="1:18" ht="60" hidden="1">
      <c r="A851" s="238" t="s">
        <v>41</v>
      </c>
      <c r="B851" s="237">
        <v>320081</v>
      </c>
      <c r="C851" s="237">
        <v>320081</v>
      </c>
      <c r="D851" s="238" t="s">
        <v>851</v>
      </c>
      <c r="E851" s="238" t="s">
        <v>741</v>
      </c>
      <c r="F851" s="238"/>
      <c r="G851" s="238"/>
      <c r="H851" s="238" t="s">
        <v>200</v>
      </c>
      <c r="I851" s="238" t="s">
        <v>250</v>
      </c>
      <c r="J851" s="239">
        <v>78343</v>
      </c>
      <c r="K851" s="239">
        <v>96890</v>
      </c>
      <c r="L851" s="238" t="s">
        <v>569</v>
      </c>
      <c r="M851" s="237">
        <v>1</v>
      </c>
      <c r="N851" s="237"/>
      <c r="O851" s="238"/>
      <c r="P851" s="88" t="str">
        <f t="shared" si="15"/>
        <v>1</v>
      </c>
      <c r="Q851" s="88" t="str">
        <f>IFERROR(INDEX(Торг!$F:$F,MATCH($B851,Торг!$B:$B,0)),"Отсутствует")</f>
        <v>Y</v>
      </c>
      <c r="R851" s="36" t="str">
        <f>IFERROR(IF(AND(Q851="Отсутствует",VLOOKUP(A851,Торг!$A:$A,1,0)=A851),"Добавить","Есть"),"Новый")</f>
        <v>Есть</v>
      </c>
    </row>
    <row r="852" spans="1:18" ht="60" hidden="1">
      <c r="A852" s="238" t="s">
        <v>41</v>
      </c>
      <c r="B852" s="237">
        <v>320082</v>
      </c>
      <c r="C852" s="237">
        <v>320082</v>
      </c>
      <c r="D852" s="238" t="s">
        <v>852</v>
      </c>
      <c r="E852" s="238" t="s">
        <v>741</v>
      </c>
      <c r="F852" s="238"/>
      <c r="G852" s="238"/>
      <c r="H852" s="238" t="s">
        <v>200</v>
      </c>
      <c r="I852" s="238" t="s">
        <v>250</v>
      </c>
      <c r="J852" s="239">
        <v>78343</v>
      </c>
      <c r="K852" s="239">
        <v>96890</v>
      </c>
      <c r="L852" s="238" t="s">
        <v>569</v>
      </c>
      <c r="M852" s="237">
        <v>1</v>
      </c>
      <c r="N852" s="237"/>
      <c r="O852" s="238"/>
      <c r="P852" s="88" t="str">
        <f t="shared" si="15"/>
        <v>1</v>
      </c>
      <c r="Q852" s="88" t="str">
        <f>IFERROR(INDEX(Торг!$F:$F,MATCH($B852,Торг!$B:$B,0)),"Отсутствует")</f>
        <v>Y</v>
      </c>
      <c r="R852" s="36" t="str">
        <f>IFERROR(IF(AND(Q852="Отсутствует",VLOOKUP(A852,Торг!$A:$A,1,0)=A852),"Добавить","Есть"),"Новый")</f>
        <v>Есть</v>
      </c>
    </row>
    <row r="853" spans="1:18" ht="60" hidden="1">
      <c r="A853" s="238" t="s">
        <v>41</v>
      </c>
      <c r="B853" s="237">
        <v>320085</v>
      </c>
      <c r="C853" s="237">
        <v>320085</v>
      </c>
      <c r="D853" s="238" t="s">
        <v>853</v>
      </c>
      <c r="E853" s="238" t="s">
        <v>741</v>
      </c>
      <c r="F853" s="238"/>
      <c r="G853" s="238"/>
      <c r="H853" s="238" t="s">
        <v>200</v>
      </c>
      <c r="I853" s="238" t="s">
        <v>250</v>
      </c>
      <c r="J853" s="239">
        <v>77643</v>
      </c>
      <c r="K853" s="239">
        <v>96090</v>
      </c>
      <c r="L853" s="238" t="s">
        <v>569</v>
      </c>
      <c r="M853" s="237">
        <v>1</v>
      </c>
      <c r="N853" s="237"/>
      <c r="O853" s="238"/>
      <c r="P853" s="88" t="str">
        <f t="shared" si="15"/>
        <v>1</v>
      </c>
      <c r="Q853" s="88" t="str">
        <f>IFERROR(INDEX(Торг!$F:$F,MATCH($B853,Торг!$B:$B,0)),"Отсутствует")</f>
        <v>Y</v>
      </c>
      <c r="R853" s="36" t="str">
        <f>IFERROR(IF(AND(Q853="Отсутствует",VLOOKUP(A853,Торг!$A:$A,1,0)=A853),"Добавить","Есть"),"Новый")</f>
        <v>Есть</v>
      </c>
    </row>
    <row r="854" spans="1:18" ht="60" hidden="1">
      <c r="A854" s="238" t="s">
        <v>41</v>
      </c>
      <c r="B854" s="237">
        <v>320086</v>
      </c>
      <c r="C854" s="237">
        <v>320086</v>
      </c>
      <c r="D854" s="238" t="s">
        <v>854</v>
      </c>
      <c r="E854" s="238" t="s">
        <v>741</v>
      </c>
      <c r="F854" s="238"/>
      <c r="G854" s="238"/>
      <c r="H854" s="238" t="s">
        <v>200</v>
      </c>
      <c r="I854" s="238" t="s">
        <v>250</v>
      </c>
      <c r="J854" s="239">
        <v>77643</v>
      </c>
      <c r="K854" s="239">
        <v>96090</v>
      </c>
      <c r="L854" s="238" t="s">
        <v>569</v>
      </c>
      <c r="M854" s="237">
        <v>1</v>
      </c>
      <c r="N854" s="237"/>
      <c r="O854" s="238"/>
      <c r="P854" s="88" t="str">
        <f t="shared" ref="P854:P857" si="16">_xlfn.CONCAT(M854,IF(N854&lt;&gt;"",_xlfn.CONCAT("ск",N854),""))</f>
        <v>1</v>
      </c>
      <c r="Q854" s="88" t="str">
        <f>IFERROR(INDEX(Торг!$F:$F,MATCH($B854,Торг!$B:$B,0)),"Отсутствует")</f>
        <v>Y</v>
      </c>
      <c r="R854" s="36" t="str">
        <f>IFERROR(IF(AND(Q854="Отсутствует",VLOOKUP(A854,Торг!$A:$A,1,0)=A854),"Добавить","Есть"),"Новый")</f>
        <v>Есть</v>
      </c>
    </row>
    <row r="855" spans="1:18" ht="45" hidden="1">
      <c r="A855" s="238" t="s">
        <v>78</v>
      </c>
      <c r="B855" s="237">
        <v>320100</v>
      </c>
      <c r="C855" s="237">
        <v>320100</v>
      </c>
      <c r="D855" s="238" t="s">
        <v>855</v>
      </c>
      <c r="E855" s="238" t="s">
        <v>741</v>
      </c>
      <c r="F855" s="238"/>
      <c r="G855" s="238"/>
      <c r="H855" s="238" t="s">
        <v>120</v>
      </c>
      <c r="I855" s="238" t="s">
        <v>250</v>
      </c>
      <c r="J855" s="239">
        <v>79065</v>
      </c>
      <c r="K855" s="239">
        <v>97790</v>
      </c>
      <c r="L855" s="238" t="s">
        <v>577</v>
      </c>
      <c r="M855" s="237">
        <v>1</v>
      </c>
      <c r="N855" s="237"/>
      <c r="O855" s="238"/>
      <c r="P855" s="88" t="str">
        <f t="shared" si="16"/>
        <v>1</v>
      </c>
      <c r="Q855" s="88" t="str">
        <f>IFERROR(INDEX(Торг!$F:$F,MATCH($B855,Торг!$B:$B,0)),"Отсутствует")</f>
        <v>Y</v>
      </c>
      <c r="R855" s="36" t="str">
        <f>IFERROR(IF(AND(Q855="Отсутствует",VLOOKUP(A855,Торг!$A:$A,1,0)=A855),"Добавить","Есть"),"Новый")</f>
        <v>Есть</v>
      </c>
    </row>
    <row r="856" spans="1:18" ht="45" hidden="1">
      <c r="A856" s="238" t="s">
        <v>78</v>
      </c>
      <c r="B856" s="237">
        <v>320099</v>
      </c>
      <c r="C856" s="237">
        <v>320099</v>
      </c>
      <c r="D856" s="238" t="s">
        <v>856</v>
      </c>
      <c r="E856" s="238" t="s">
        <v>741</v>
      </c>
      <c r="F856" s="238"/>
      <c r="G856" s="238"/>
      <c r="H856" s="238" t="s">
        <v>120</v>
      </c>
      <c r="I856" s="238" t="s">
        <v>250</v>
      </c>
      <c r="J856" s="239">
        <v>78365</v>
      </c>
      <c r="K856" s="239">
        <v>96990</v>
      </c>
      <c r="L856" s="238" t="s">
        <v>577</v>
      </c>
      <c r="M856" s="237">
        <v>1</v>
      </c>
      <c r="N856" s="237"/>
      <c r="O856" s="238"/>
      <c r="P856" s="88" t="str">
        <f t="shared" si="16"/>
        <v>1</v>
      </c>
      <c r="Q856" s="88" t="str">
        <f>IFERROR(INDEX(Торг!$F:$F,MATCH($B856,Торг!$B:$B,0)),"Отсутствует")</f>
        <v>Y</v>
      </c>
      <c r="R856" s="36" t="str">
        <f>IFERROR(IF(AND(Q856="Отсутствует",VLOOKUP(A856,Торг!$A:$A,1,0)=A856),"Добавить","Есть"),"Новый")</f>
        <v>Есть</v>
      </c>
    </row>
    <row r="857" spans="1:18" ht="45" hidden="1">
      <c r="A857" s="238" t="s">
        <v>78</v>
      </c>
      <c r="B857" s="237">
        <v>320101</v>
      </c>
      <c r="C857" s="237">
        <v>320101</v>
      </c>
      <c r="D857" s="238" t="s">
        <v>857</v>
      </c>
      <c r="E857" s="238" t="s">
        <v>741</v>
      </c>
      <c r="F857" s="238"/>
      <c r="G857" s="238"/>
      <c r="H857" s="238" t="s">
        <v>120</v>
      </c>
      <c r="I857" s="238" t="s">
        <v>250</v>
      </c>
      <c r="J857" s="239">
        <v>77665</v>
      </c>
      <c r="K857" s="239">
        <v>96090</v>
      </c>
      <c r="L857" s="238" t="s">
        <v>577</v>
      </c>
      <c r="M857" s="237">
        <v>1</v>
      </c>
      <c r="N857" s="237"/>
      <c r="O857" s="238"/>
      <c r="P857" s="88" t="str">
        <f t="shared" si="16"/>
        <v>1</v>
      </c>
      <c r="Q857" s="88" t="str">
        <f>IFERROR(INDEX(Торг!$F:$F,MATCH($B857,Торг!$B:$B,0)),"Отсутствует")</f>
        <v>Y</v>
      </c>
      <c r="R857" s="36" t="str">
        <f>IFERROR(IF(AND(Q857="Отсутствует",VLOOKUP(A857,Торг!$A:$A,1,0)=A857),"Добавить","Есть"),"Новый")</f>
        <v>Есть</v>
      </c>
    </row>
    <row r="858" spans="1:18" ht="45" hidden="1">
      <c r="A858" s="238" t="s">
        <v>79</v>
      </c>
      <c r="B858" s="237">
        <v>320106</v>
      </c>
      <c r="C858" s="237">
        <v>320106</v>
      </c>
      <c r="D858" s="238" t="s">
        <v>858</v>
      </c>
      <c r="E858" s="238" t="s">
        <v>741</v>
      </c>
      <c r="F858" s="238"/>
      <c r="G858" s="238"/>
      <c r="H858" s="238" t="s">
        <v>121</v>
      </c>
      <c r="I858" s="238" t="s">
        <v>250</v>
      </c>
      <c r="J858" s="239">
        <v>79326</v>
      </c>
      <c r="K858" s="239">
        <v>98090</v>
      </c>
      <c r="L858" s="238" t="s">
        <v>578</v>
      </c>
      <c r="M858" s="237">
        <v>1</v>
      </c>
      <c r="N858" s="237"/>
      <c r="O858" s="238"/>
      <c r="P858" s="88" t="str">
        <f t="shared" ref="P858:P866" si="17">_xlfn.CONCAT(M858,IF(N858&lt;&gt;"",_xlfn.CONCAT("ск",N858),""))</f>
        <v>1</v>
      </c>
      <c r="Q858" s="88" t="str">
        <f>IFERROR(INDEX(Торг!$F:$F,MATCH($B858,Торг!$B:$B,0)),"Отсутствует")</f>
        <v>Y</v>
      </c>
      <c r="R858" s="36" t="str">
        <f>IFERROR(IF(AND(Q858="Отсутствует",VLOOKUP(A858,Торг!$A:$A,1,0)=A858),"Добавить","Есть"),"Новый")</f>
        <v>Есть</v>
      </c>
    </row>
    <row r="859" spans="1:18" ht="45" hidden="1">
      <c r="A859" s="238" t="s">
        <v>79</v>
      </c>
      <c r="B859" s="237">
        <v>320105</v>
      </c>
      <c r="C859" s="237">
        <v>320105</v>
      </c>
      <c r="D859" s="238" t="s">
        <v>859</v>
      </c>
      <c r="E859" s="238" t="s">
        <v>741</v>
      </c>
      <c r="F859" s="238"/>
      <c r="G859" s="238"/>
      <c r="H859" s="238" t="s">
        <v>121</v>
      </c>
      <c r="I859" s="238" t="s">
        <v>250</v>
      </c>
      <c r="J859" s="239">
        <v>78626</v>
      </c>
      <c r="K859" s="239">
        <v>97290</v>
      </c>
      <c r="L859" s="238" t="s">
        <v>578</v>
      </c>
      <c r="M859" s="237">
        <v>1</v>
      </c>
      <c r="N859" s="237"/>
      <c r="O859" s="238"/>
      <c r="P859" s="88" t="str">
        <f t="shared" si="17"/>
        <v>1</v>
      </c>
      <c r="Q859" s="88" t="str">
        <f>IFERROR(INDEX(Торг!$F:$F,MATCH($B859,Торг!$B:$B,0)),"Отсутствует")</f>
        <v>Y</v>
      </c>
      <c r="R859" s="36" t="str">
        <f>IFERROR(IF(AND(Q859="Отсутствует",VLOOKUP(A859,Торг!$A:$A,1,0)=A859),"Добавить","Есть"),"Новый")</f>
        <v>Есть</v>
      </c>
    </row>
    <row r="860" spans="1:18" ht="45" hidden="1">
      <c r="A860" s="238" t="s">
        <v>79</v>
      </c>
      <c r="B860" s="237">
        <v>320107</v>
      </c>
      <c r="C860" s="237">
        <v>320107</v>
      </c>
      <c r="D860" s="238" t="s">
        <v>860</v>
      </c>
      <c r="E860" s="238" t="s">
        <v>741</v>
      </c>
      <c r="F860" s="238"/>
      <c r="G860" s="238"/>
      <c r="H860" s="238" t="s">
        <v>121</v>
      </c>
      <c r="I860" s="238" t="s">
        <v>250</v>
      </c>
      <c r="J860" s="239">
        <v>77926</v>
      </c>
      <c r="K860" s="239">
        <v>96390</v>
      </c>
      <c r="L860" s="238" t="s">
        <v>578</v>
      </c>
      <c r="M860" s="237">
        <v>1</v>
      </c>
      <c r="N860" s="237"/>
      <c r="O860" s="238"/>
      <c r="P860" s="88" t="str">
        <f t="shared" si="17"/>
        <v>1</v>
      </c>
      <c r="Q860" s="88" t="str">
        <f>IFERROR(INDEX(Торг!$F:$F,MATCH($B860,Торг!$B:$B,0)),"Отсутствует")</f>
        <v>Y</v>
      </c>
      <c r="R860" s="36" t="str">
        <f>IFERROR(IF(AND(Q860="Отсутствует",VLOOKUP(A860,Торг!$A:$A,1,0)=A860),"Добавить","Есть"),"Новый")</f>
        <v>Есть</v>
      </c>
    </row>
    <row r="861" spans="1:18" ht="45" hidden="1">
      <c r="A861" s="238" t="s">
        <v>81</v>
      </c>
      <c r="B861" s="237">
        <v>320109</v>
      </c>
      <c r="C861" s="237">
        <v>320109</v>
      </c>
      <c r="D861" s="238" t="s">
        <v>861</v>
      </c>
      <c r="E861" s="238" t="s">
        <v>741</v>
      </c>
      <c r="F861" s="238"/>
      <c r="G861" s="238"/>
      <c r="H861" s="238" t="s">
        <v>123</v>
      </c>
      <c r="I861" s="238" t="s">
        <v>250</v>
      </c>
      <c r="J861" s="239">
        <v>77342</v>
      </c>
      <c r="K861" s="239">
        <v>95690</v>
      </c>
      <c r="L861" s="238" t="s">
        <v>565</v>
      </c>
      <c r="M861" s="237">
        <v>1</v>
      </c>
      <c r="N861" s="237"/>
      <c r="O861" s="238"/>
      <c r="P861" s="88" t="str">
        <f t="shared" si="17"/>
        <v>1</v>
      </c>
      <c r="Q861" s="88" t="str">
        <f>IFERROR(INDEX(Торг!$F:$F,MATCH($B861,Торг!$B:$B,0)),"Отсутствует")</f>
        <v>Y</v>
      </c>
      <c r="R861" s="36" t="str">
        <f>IFERROR(IF(AND(Q861="Отсутствует",VLOOKUP(A861,Торг!$A:$A,1,0)=A861),"Добавить","Есть"),"Новый")</f>
        <v>Есть</v>
      </c>
    </row>
    <row r="862" spans="1:18" ht="60" hidden="1">
      <c r="A862" s="238" t="s">
        <v>81</v>
      </c>
      <c r="B862" s="237">
        <v>320108</v>
      </c>
      <c r="C862" s="237">
        <v>320108</v>
      </c>
      <c r="D862" s="238" t="s">
        <v>862</v>
      </c>
      <c r="E862" s="238" t="s">
        <v>741</v>
      </c>
      <c r="F862" s="238"/>
      <c r="G862" s="238"/>
      <c r="H862" s="238" t="s">
        <v>123</v>
      </c>
      <c r="I862" s="238" t="s">
        <v>250</v>
      </c>
      <c r="J862" s="239">
        <v>76642</v>
      </c>
      <c r="K862" s="239">
        <v>94790</v>
      </c>
      <c r="L862" s="238" t="s">
        <v>565</v>
      </c>
      <c r="M862" s="237">
        <v>1</v>
      </c>
      <c r="N862" s="237"/>
      <c r="O862" s="238"/>
      <c r="P862" s="88" t="str">
        <f t="shared" si="17"/>
        <v>1</v>
      </c>
      <c r="Q862" s="88" t="str">
        <f>IFERROR(INDEX(Торг!$F:$F,MATCH($B862,Торг!$B:$B,0)),"Отсутствует")</f>
        <v>Y</v>
      </c>
      <c r="R862" s="36" t="str">
        <f>IFERROR(IF(AND(Q862="Отсутствует",VLOOKUP(A862,Торг!$A:$A,1,0)=A862),"Добавить","Есть"),"Новый")</f>
        <v>Есть</v>
      </c>
    </row>
    <row r="863" spans="1:18" ht="45" hidden="1">
      <c r="A863" s="238" t="s">
        <v>81</v>
      </c>
      <c r="B863" s="237">
        <v>320110</v>
      </c>
      <c r="C863" s="237">
        <v>320110</v>
      </c>
      <c r="D863" s="238" t="s">
        <v>863</v>
      </c>
      <c r="E863" s="238" t="s">
        <v>741</v>
      </c>
      <c r="F863" s="238"/>
      <c r="G863" s="238"/>
      <c r="H863" s="238" t="s">
        <v>123</v>
      </c>
      <c r="I863" s="238" t="s">
        <v>250</v>
      </c>
      <c r="J863" s="239">
        <v>75942</v>
      </c>
      <c r="K863" s="239">
        <v>93990</v>
      </c>
      <c r="L863" s="238" t="s">
        <v>565</v>
      </c>
      <c r="M863" s="237">
        <v>1</v>
      </c>
      <c r="N863" s="237"/>
      <c r="O863" s="238"/>
      <c r="P863" s="88" t="str">
        <f t="shared" si="17"/>
        <v>1</v>
      </c>
      <c r="Q863" s="88" t="str">
        <f>IFERROR(INDEX(Торг!$F:$F,MATCH($B863,Торг!$B:$B,0)),"Отсутствует")</f>
        <v>Y</v>
      </c>
      <c r="R863" s="36" t="str">
        <f>IFERROR(IF(AND(Q863="Отсутствует",VLOOKUP(A863,Торг!$A:$A,1,0)=A863),"Добавить","Есть"),"Новый")</f>
        <v>Есть</v>
      </c>
    </row>
    <row r="864" spans="1:18" ht="45" hidden="1">
      <c r="A864" s="238" t="s">
        <v>80</v>
      </c>
      <c r="B864" s="237">
        <v>320114</v>
      </c>
      <c r="C864" s="237">
        <v>320114</v>
      </c>
      <c r="D864" s="238" t="s">
        <v>864</v>
      </c>
      <c r="E864" s="238" t="s">
        <v>741</v>
      </c>
      <c r="F864" s="238"/>
      <c r="G864" s="238"/>
      <c r="H864" s="238" t="s">
        <v>122</v>
      </c>
      <c r="I864" s="238" t="s">
        <v>250</v>
      </c>
      <c r="J864" s="239">
        <v>78759</v>
      </c>
      <c r="K864" s="239">
        <v>97390</v>
      </c>
      <c r="L864" s="238" t="s">
        <v>576</v>
      </c>
      <c r="M864" s="237">
        <v>1</v>
      </c>
      <c r="N864" s="237"/>
      <c r="O864" s="238"/>
      <c r="P864" s="88" t="str">
        <f t="shared" si="17"/>
        <v>1</v>
      </c>
      <c r="Q864" s="88" t="str">
        <f>IFERROR(INDEX(Торг!$F:$F,MATCH($B864,Торг!$B:$B,0)),"Отсутствует")</f>
        <v>Y</v>
      </c>
      <c r="R864" s="36" t="str">
        <f>IFERROR(IF(AND(Q864="Отсутствует",VLOOKUP(A864,Торг!$A:$A,1,0)=A864),"Добавить","Есть"),"Новый")</f>
        <v>Есть</v>
      </c>
    </row>
    <row r="865" spans="1:18" ht="45" hidden="1">
      <c r="A865" s="238" t="s">
        <v>80</v>
      </c>
      <c r="B865" s="237">
        <v>320113</v>
      </c>
      <c r="C865" s="237">
        <v>320113</v>
      </c>
      <c r="D865" s="238" t="s">
        <v>865</v>
      </c>
      <c r="E865" s="238" t="s">
        <v>741</v>
      </c>
      <c r="F865" s="238"/>
      <c r="G865" s="238"/>
      <c r="H865" s="238" t="s">
        <v>122</v>
      </c>
      <c r="I865" s="238" t="s">
        <v>250</v>
      </c>
      <c r="J865" s="239">
        <v>78059</v>
      </c>
      <c r="K865" s="239">
        <v>96590</v>
      </c>
      <c r="L865" s="238" t="s">
        <v>576</v>
      </c>
      <c r="M865" s="237">
        <v>1</v>
      </c>
      <c r="N865" s="237"/>
      <c r="O865" s="238"/>
      <c r="P865" s="88" t="str">
        <f t="shared" si="17"/>
        <v>1</v>
      </c>
      <c r="Q865" s="88" t="str">
        <f>IFERROR(INDEX(Торг!$F:$F,MATCH($B865,Торг!$B:$B,0)),"Отсутствует")</f>
        <v>Y</v>
      </c>
      <c r="R865" s="36" t="str">
        <f>IFERROR(IF(AND(Q865="Отсутствует",VLOOKUP(A865,Торг!$A:$A,1,0)=A865),"Добавить","Есть"),"Новый")</f>
        <v>Есть</v>
      </c>
    </row>
    <row r="866" spans="1:18" ht="45" hidden="1">
      <c r="A866" s="238" t="s">
        <v>80</v>
      </c>
      <c r="B866" s="237">
        <v>320115</v>
      </c>
      <c r="C866" s="237">
        <v>320115</v>
      </c>
      <c r="D866" s="238" t="s">
        <v>866</v>
      </c>
      <c r="E866" s="238" t="s">
        <v>741</v>
      </c>
      <c r="F866" s="238"/>
      <c r="G866" s="238"/>
      <c r="H866" s="238" t="s">
        <v>122</v>
      </c>
      <c r="I866" s="238" t="s">
        <v>250</v>
      </c>
      <c r="J866" s="239">
        <v>77359</v>
      </c>
      <c r="K866" s="239">
        <v>95690</v>
      </c>
      <c r="L866" s="238" t="s">
        <v>576</v>
      </c>
      <c r="M866" s="237">
        <v>1</v>
      </c>
      <c r="N866" s="237"/>
      <c r="O866" s="238"/>
      <c r="P866" s="88" t="str">
        <f t="shared" si="17"/>
        <v>1</v>
      </c>
      <c r="Q866" s="88" t="str">
        <f>IFERROR(INDEX(Торг!$F:$F,MATCH($B866,Торг!$B:$B,0)),"Отсутствует")</f>
        <v>Y</v>
      </c>
      <c r="R866" s="36" t="str">
        <f>IFERROR(IF(AND(Q866="Отсутствует",VLOOKUP(A866,Торг!$A:$A,1,0)=A866),"Добавить","Есть"),"Новый")</f>
        <v>Есть</v>
      </c>
    </row>
    <row r="867" spans="1:18" ht="60" hidden="1">
      <c r="A867" s="238" t="s">
        <v>1602</v>
      </c>
      <c r="B867" s="237">
        <v>364070</v>
      </c>
      <c r="C867" s="237">
        <v>364070</v>
      </c>
      <c r="D867" s="238" t="s">
        <v>1603</v>
      </c>
      <c r="E867" s="238" t="s">
        <v>741</v>
      </c>
      <c r="F867" s="238"/>
      <c r="G867" s="238"/>
      <c r="H867" s="238" t="s">
        <v>464</v>
      </c>
      <c r="I867" s="238" t="s">
        <v>250</v>
      </c>
      <c r="J867" s="239">
        <v>74700</v>
      </c>
      <c r="K867" s="239">
        <v>92390</v>
      </c>
      <c r="L867" s="238" t="s">
        <v>583</v>
      </c>
      <c r="M867" s="237">
        <v>1</v>
      </c>
      <c r="N867" s="237"/>
      <c r="O867" s="238"/>
      <c r="P867" s="88" t="str">
        <f t="shared" ref="P867:P870" si="18">_xlfn.CONCAT(M867,IF(N867&lt;&gt;"",_xlfn.CONCAT("ск",N867),""))</f>
        <v>1</v>
      </c>
      <c r="Q867" s="88" t="str">
        <f>IFERROR(INDEX(Торг!$F:$F,MATCH($B867,Торг!$B:$B,0)),"Отсутствует")</f>
        <v>Y</v>
      </c>
      <c r="R867" s="36" t="str">
        <f>IFERROR(IF(AND(Q867="Отсутствует",VLOOKUP(A867,Торг!$A:$A,1,0)=A867),"Добавить","Есть"),"Новый")</f>
        <v>Есть</v>
      </c>
    </row>
    <row r="868" spans="1:18" ht="75" hidden="1">
      <c r="A868" s="238" t="s">
        <v>1602</v>
      </c>
      <c r="B868" s="237">
        <v>364072</v>
      </c>
      <c r="C868" s="237">
        <v>364072</v>
      </c>
      <c r="D868" s="238" t="s">
        <v>1604</v>
      </c>
      <c r="E868" s="238" t="s">
        <v>741</v>
      </c>
      <c r="F868" s="238"/>
      <c r="G868" s="238"/>
      <c r="H868" s="238" t="s">
        <v>464</v>
      </c>
      <c r="I868" s="238" t="s">
        <v>250</v>
      </c>
      <c r="J868" s="239">
        <v>74700</v>
      </c>
      <c r="K868" s="239">
        <v>92390</v>
      </c>
      <c r="L868" s="238" t="s">
        <v>583</v>
      </c>
      <c r="M868" s="237">
        <v>1</v>
      </c>
      <c r="N868" s="237"/>
      <c r="O868" s="238"/>
      <c r="P868" s="88" t="str">
        <f t="shared" si="18"/>
        <v>1</v>
      </c>
      <c r="Q868" s="88" t="str">
        <f>IFERROR(INDEX(Торг!$F:$F,MATCH($B868,Торг!$B:$B,0)),"Отсутствует")</f>
        <v>Y</v>
      </c>
      <c r="R868" s="36" t="str">
        <f>IFERROR(IF(AND(Q868="Отсутствует",VLOOKUP(A868,Торг!$A:$A,1,0)=A868),"Добавить","Есть"),"Новый")</f>
        <v>Есть</v>
      </c>
    </row>
    <row r="869" spans="1:18" ht="75" hidden="1">
      <c r="A869" s="238" t="s">
        <v>1602</v>
      </c>
      <c r="B869" s="237">
        <v>364069</v>
      </c>
      <c r="C869" s="237">
        <v>364069</v>
      </c>
      <c r="D869" s="238" t="s">
        <v>1605</v>
      </c>
      <c r="E869" s="238" t="s">
        <v>741</v>
      </c>
      <c r="F869" s="238"/>
      <c r="G869" s="238"/>
      <c r="H869" s="238" t="s">
        <v>464</v>
      </c>
      <c r="I869" s="238" t="s">
        <v>250</v>
      </c>
      <c r="J869" s="239">
        <v>74700</v>
      </c>
      <c r="K869" s="239">
        <v>92390</v>
      </c>
      <c r="L869" s="238" t="s">
        <v>583</v>
      </c>
      <c r="M869" s="237">
        <v>1</v>
      </c>
      <c r="N869" s="237"/>
      <c r="O869" s="238"/>
      <c r="P869" s="88" t="str">
        <f t="shared" si="18"/>
        <v>1</v>
      </c>
      <c r="Q869" s="88" t="str">
        <f>IFERROR(INDEX(Торг!$F:$F,MATCH($B869,Торг!$B:$B,0)),"Отсутствует")</f>
        <v>Y</v>
      </c>
      <c r="R869" s="36" t="str">
        <f>IFERROR(IF(AND(Q869="Отсутствует",VLOOKUP(A869,Торг!$A:$A,1,0)=A869),"Добавить","Есть"),"Новый")</f>
        <v>Есть</v>
      </c>
    </row>
    <row r="870" spans="1:18" ht="75" hidden="1">
      <c r="A870" s="238" t="s">
        <v>1602</v>
      </c>
      <c r="B870" s="237">
        <v>364071</v>
      </c>
      <c r="C870" s="237">
        <v>364071</v>
      </c>
      <c r="D870" s="238" t="s">
        <v>1606</v>
      </c>
      <c r="E870" s="238" t="s">
        <v>741</v>
      </c>
      <c r="F870" s="238"/>
      <c r="G870" s="238"/>
      <c r="H870" s="238" t="s">
        <v>464</v>
      </c>
      <c r="I870" s="238" t="s">
        <v>250</v>
      </c>
      <c r="J870" s="239">
        <v>74700</v>
      </c>
      <c r="K870" s="239">
        <v>92390</v>
      </c>
      <c r="L870" s="238" t="s">
        <v>583</v>
      </c>
      <c r="M870" s="237">
        <v>1</v>
      </c>
      <c r="N870" s="237"/>
      <c r="O870" s="238"/>
      <c r="P870" s="88" t="str">
        <f t="shared" si="18"/>
        <v>1</v>
      </c>
      <c r="Q870" s="88" t="str">
        <f>IFERROR(INDEX(Торг!$F:$F,MATCH($B870,Торг!$B:$B,0)),"Отсутствует")</f>
        <v>Y</v>
      </c>
      <c r="R870" s="36" t="str">
        <f>IFERROR(IF(AND(Q870="Отсутствует",VLOOKUP(A870,Торг!$A:$A,1,0)=A870),"Добавить","Есть"),"Новый")</f>
        <v>Есть</v>
      </c>
    </row>
  </sheetData>
  <autoFilter ref="A1:T870" xr:uid="{B6CE841C-D045-428F-B0AB-F77396591AF0}">
    <filterColumn colId="16">
      <filters>
        <filter val="Отсутствует"/>
      </filters>
    </filterColumn>
  </autoFilter>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7AEA7-F0B5-4FAF-AEA4-CD599F0F2A50}">
  <sheetPr codeName="Лист2">
    <tabColor rgb="FF92D050"/>
  </sheetPr>
  <dimension ref="A1:E1018"/>
  <sheetViews>
    <sheetView tabSelected="1" topLeftCell="A884" workbookViewId="0">
      <selection activeCell="B872" sqref="B872:C1018"/>
    </sheetView>
  </sheetViews>
  <sheetFormatPr defaultRowHeight="15"/>
  <cols>
    <col min="1" max="1" width="7" style="98" bestFit="1" customWidth="1"/>
    <col min="2" max="2" width="9.140625" style="98"/>
    <col min="3" max="3" width="16.42578125" style="98" customWidth="1"/>
    <col min="4" max="4" width="7.140625" bestFit="1" customWidth="1"/>
    <col min="5" max="5" width="9.140625" style="98"/>
  </cols>
  <sheetData>
    <row r="1" spans="1:5">
      <c r="B1" s="111"/>
    </row>
    <row r="2" spans="1:5">
      <c r="A2" s="112" t="s">
        <v>0</v>
      </c>
      <c r="B2" s="124" t="s">
        <v>606</v>
      </c>
      <c r="E2" s="98" t="s">
        <v>98</v>
      </c>
    </row>
    <row r="3" spans="1:5" ht="15.75" thickBot="1">
      <c r="A3" s="126">
        <v>208987</v>
      </c>
      <c r="B3" s="221">
        <v>39990</v>
      </c>
      <c r="C3" s="98" t="s">
        <v>647</v>
      </c>
      <c r="E3" s="98" t="s">
        <v>243</v>
      </c>
    </row>
    <row r="4" spans="1:5" ht="16.5" thickTop="1" thickBot="1">
      <c r="A4" s="126">
        <v>208986</v>
      </c>
      <c r="B4" s="221">
        <v>39990</v>
      </c>
      <c r="C4" s="98" t="s">
        <v>647</v>
      </c>
      <c r="E4" s="98" t="s">
        <v>243</v>
      </c>
    </row>
    <row r="5" spans="1:5" ht="16.5" thickTop="1" thickBot="1">
      <c r="A5" s="126">
        <v>208985</v>
      </c>
      <c r="B5" s="221">
        <v>39990</v>
      </c>
      <c r="C5" s="98" t="s">
        <v>647</v>
      </c>
      <c r="E5" s="98" t="s">
        <v>243</v>
      </c>
    </row>
    <row r="6" spans="1:5" ht="16.5" thickTop="1" thickBot="1">
      <c r="A6" s="126">
        <v>208978</v>
      </c>
      <c r="B6" s="221">
        <v>39990</v>
      </c>
      <c r="C6" s="98" t="s">
        <v>647</v>
      </c>
      <c r="E6" s="98" t="s">
        <v>243</v>
      </c>
    </row>
    <row r="7" spans="1:5" ht="16.5" thickTop="1" thickBot="1">
      <c r="A7" s="126">
        <v>208984</v>
      </c>
      <c r="B7" s="221">
        <v>39990</v>
      </c>
      <c r="C7" s="98" t="s">
        <v>647</v>
      </c>
      <c r="E7" s="98" t="s">
        <v>243</v>
      </c>
    </row>
    <row r="8" spans="1:5" ht="16.5" thickTop="1" thickBot="1">
      <c r="A8" s="126">
        <v>208983</v>
      </c>
      <c r="B8" s="221">
        <v>39990</v>
      </c>
      <c r="C8" s="98" t="s">
        <v>647</v>
      </c>
      <c r="E8" s="98" t="s">
        <v>243</v>
      </c>
    </row>
    <row r="9" spans="1:5" ht="16.5" thickTop="1" thickBot="1">
      <c r="A9" s="126">
        <v>208980</v>
      </c>
      <c r="B9" s="221">
        <v>39990</v>
      </c>
      <c r="C9" s="98" t="s">
        <v>647</v>
      </c>
      <c r="E9" s="98" t="s">
        <v>243</v>
      </c>
    </row>
    <row r="10" spans="1:5" ht="16.5" thickTop="1" thickBot="1">
      <c r="A10" s="126">
        <v>208976</v>
      </c>
      <c r="B10" s="221">
        <v>39990</v>
      </c>
      <c r="C10" s="98" t="s">
        <v>647</v>
      </c>
      <c r="E10" s="98" t="s">
        <v>243</v>
      </c>
    </row>
    <row r="11" spans="1:5" ht="16.5" thickTop="1" thickBot="1">
      <c r="A11" s="126">
        <v>208981</v>
      </c>
      <c r="B11" s="221">
        <v>39990</v>
      </c>
      <c r="C11" s="98" t="s">
        <v>647</v>
      </c>
      <c r="E11" s="98" t="s">
        <v>243</v>
      </c>
    </row>
    <row r="12" spans="1:5" ht="16.5" thickTop="1" thickBot="1">
      <c r="A12" s="126">
        <v>208982</v>
      </c>
      <c r="B12" s="221">
        <v>39990</v>
      </c>
      <c r="C12" s="98" t="s">
        <v>647</v>
      </c>
      <c r="E12" s="98" t="s">
        <v>243</v>
      </c>
    </row>
    <row r="13" spans="1:5" ht="16.5" thickTop="1" thickBot="1">
      <c r="A13" s="126">
        <v>208979</v>
      </c>
      <c r="B13" s="221">
        <v>39990</v>
      </c>
      <c r="C13" s="98" t="s">
        <v>647</v>
      </c>
      <c r="E13" s="98" t="s">
        <v>243</v>
      </c>
    </row>
    <row r="14" spans="1:5" ht="16.5" thickTop="1" thickBot="1">
      <c r="A14" s="126">
        <v>208977</v>
      </c>
      <c r="B14" s="221">
        <v>39990</v>
      </c>
      <c r="C14" s="98" t="s">
        <v>647</v>
      </c>
      <c r="E14" s="98" t="s">
        <v>243</v>
      </c>
    </row>
    <row r="15" spans="1:5" ht="16.5" thickTop="1" thickBot="1">
      <c r="A15" s="126">
        <v>209000</v>
      </c>
      <c r="B15" s="221">
        <v>39990</v>
      </c>
      <c r="C15" s="98" t="s">
        <v>647</v>
      </c>
      <c r="E15" s="98" t="s">
        <v>159</v>
      </c>
    </row>
    <row r="16" spans="1:5" ht="16.5" thickTop="1" thickBot="1">
      <c r="A16" s="126">
        <v>208999</v>
      </c>
      <c r="B16" s="221">
        <v>39990</v>
      </c>
      <c r="C16" s="98" t="s">
        <v>647</v>
      </c>
      <c r="E16" s="98" t="s">
        <v>159</v>
      </c>
    </row>
    <row r="17" spans="1:5" ht="16.5" thickTop="1" thickBot="1">
      <c r="A17" s="126">
        <v>208998</v>
      </c>
      <c r="B17" s="221">
        <v>39990</v>
      </c>
      <c r="C17" s="98" t="s">
        <v>647</v>
      </c>
      <c r="E17" s="98" t="s">
        <v>159</v>
      </c>
    </row>
    <row r="18" spans="1:5" ht="16.5" thickTop="1" thickBot="1">
      <c r="A18" s="126">
        <v>208991</v>
      </c>
      <c r="B18" s="221">
        <v>39990</v>
      </c>
      <c r="C18" s="98" t="s">
        <v>647</v>
      </c>
      <c r="E18" s="98" t="s">
        <v>159</v>
      </c>
    </row>
    <row r="19" spans="1:5" ht="16.5" thickTop="1" thickBot="1">
      <c r="A19" s="126">
        <v>208997</v>
      </c>
      <c r="B19" s="221">
        <v>39990</v>
      </c>
      <c r="C19" s="98" t="s">
        <v>647</v>
      </c>
      <c r="E19" s="98" t="s">
        <v>159</v>
      </c>
    </row>
    <row r="20" spans="1:5" ht="16.5" thickTop="1" thickBot="1">
      <c r="A20" s="126">
        <v>208996</v>
      </c>
      <c r="B20" s="221">
        <v>39990</v>
      </c>
      <c r="C20" s="98" t="s">
        <v>647</v>
      </c>
      <c r="E20" s="98" t="s">
        <v>159</v>
      </c>
    </row>
    <row r="21" spans="1:5" ht="16.5" thickTop="1" thickBot="1">
      <c r="A21" s="126">
        <v>208993</v>
      </c>
      <c r="B21" s="221">
        <v>39990</v>
      </c>
      <c r="C21" s="98" t="s">
        <v>647</v>
      </c>
      <c r="E21" s="98" t="s">
        <v>159</v>
      </c>
    </row>
    <row r="22" spans="1:5" ht="16.5" thickTop="1" thickBot="1">
      <c r="A22" s="126">
        <v>208989</v>
      </c>
      <c r="B22" s="221">
        <v>39990</v>
      </c>
      <c r="C22" s="98" t="s">
        <v>647</v>
      </c>
      <c r="E22" s="98" t="s">
        <v>159</v>
      </c>
    </row>
    <row r="23" spans="1:5" ht="16.5" thickTop="1" thickBot="1">
      <c r="A23" s="126">
        <v>208994</v>
      </c>
      <c r="B23" s="221">
        <v>39990</v>
      </c>
      <c r="C23" s="98" t="s">
        <v>647</v>
      </c>
      <c r="E23" s="98" t="s">
        <v>159</v>
      </c>
    </row>
    <row r="24" spans="1:5" ht="16.5" thickTop="1" thickBot="1">
      <c r="A24" s="126">
        <v>208995</v>
      </c>
      <c r="B24" s="221">
        <v>39990</v>
      </c>
      <c r="C24" s="98" t="s">
        <v>647</v>
      </c>
      <c r="E24" s="98" t="s">
        <v>159</v>
      </c>
    </row>
    <row r="25" spans="1:5" ht="16.5" thickTop="1" thickBot="1">
      <c r="A25" s="126">
        <v>208992</v>
      </c>
      <c r="B25" s="221">
        <v>39990</v>
      </c>
      <c r="C25" s="98" t="s">
        <v>647</v>
      </c>
      <c r="E25" s="98" t="s">
        <v>159</v>
      </c>
    </row>
    <row r="26" spans="1:5" ht="16.5" thickTop="1" thickBot="1">
      <c r="A26" s="126">
        <v>208990</v>
      </c>
      <c r="B26" s="221">
        <v>39990</v>
      </c>
      <c r="C26" s="98" t="s">
        <v>647</v>
      </c>
      <c r="E26" s="98" t="s">
        <v>159</v>
      </c>
    </row>
    <row r="27" spans="1:5" ht="16.5" thickTop="1" thickBot="1">
      <c r="A27" s="126">
        <v>132643</v>
      </c>
      <c r="B27" s="137" t="s">
        <v>879</v>
      </c>
      <c r="E27" s="98" t="s">
        <v>147</v>
      </c>
    </row>
    <row r="28" spans="1:5" ht="16.5" thickTop="1" thickBot="1">
      <c r="A28" s="126">
        <v>132642</v>
      </c>
      <c r="B28" s="137" t="s">
        <v>879</v>
      </c>
      <c r="E28" s="98" t="s">
        <v>147</v>
      </c>
    </row>
    <row r="29" spans="1:5" ht="16.5" thickTop="1" thickBot="1">
      <c r="A29" s="126">
        <v>132641</v>
      </c>
      <c r="B29" s="137" t="s">
        <v>879</v>
      </c>
      <c r="E29" s="98" t="s">
        <v>147</v>
      </c>
    </row>
    <row r="30" spans="1:5" ht="16.5" thickTop="1" thickBot="1">
      <c r="A30" s="126">
        <v>132634</v>
      </c>
      <c r="B30" s="137" t="s">
        <v>879</v>
      </c>
      <c r="E30" s="98" t="s">
        <v>147</v>
      </c>
    </row>
    <row r="31" spans="1:5" ht="16.5" thickTop="1" thickBot="1">
      <c r="A31" s="126">
        <v>132640</v>
      </c>
      <c r="B31" s="137" t="s">
        <v>879</v>
      </c>
      <c r="E31" s="98" t="s">
        <v>147</v>
      </c>
    </row>
    <row r="32" spans="1:5" ht="16.5" thickTop="1" thickBot="1">
      <c r="A32" s="126">
        <v>132639</v>
      </c>
      <c r="B32" s="137" t="s">
        <v>879</v>
      </c>
      <c r="E32" s="98" t="s">
        <v>147</v>
      </c>
    </row>
    <row r="33" spans="1:5" ht="16.5" thickTop="1" thickBot="1">
      <c r="A33" s="126">
        <v>132636</v>
      </c>
      <c r="B33" s="137" t="s">
        <v>879</v>
      </c>
      <c r="E33" s="98" t="s">
        <v>147</v>
      </c>
    </row>
    <row r="34" spans="1:5" ht="16.5" thickTop="1" thickBot="1">
      <c r="A34" s="126">
        <v>132632</v>
      </c>
      <c r="B34" s="137" t="s">
        <v>879</v>
      </c>
      <c r="E34" s="98" t="s">
        <v>147</v>
      </c>
    </row>
    <row r="35" spans="1:5" ht="16.5" thickTop="1" thickBot="1">
      <c r="A35" s="126">
        <v>132637</v>
      </c>
      <c r="B35" s="137" t="s">
        <v>879</v>
      </c>
      <c r="E35" s="98" t="s">
        <v>147</v>
      </c>
    </row>
    <row r="36" spans="1:5" ht="16.5" thickTop="1" thickBot="1">
      <c r="A36" s="126">
        <v>132638</v>
      </c>
      <c r="B36" s="137" t="s">
        <v>879</v>
      </c>
      <c r="E36" s="98" t="s">
        <v>147</v>
      </c>
    </row>
    <row r="37" spans="1:5" ht="16.5" thickTop="1" thickBot="1">
      <c r="A37" s="126">
        <v>132635</v>
      </c>
      <c r="B37" s="137" t="s">
        <v>879</v>
      </c>
      <c r="E37" s="98" t="s">
        <v>147</v>
      </c>
    </row>
    <row r="38" spans="1:5" ht="16.5" thickTop="1" thickBot="1">
      <c r="A38" s="126">
        <v>132633</v>
      </c>
      <c r="B38" s="137" t="s">
        <v>879</v>
      </c>
      <c r="E38" s="98" t="s">
        <v>147</v>
      </c>
    </row>
    <row r="39" spans="1:5" ht="16.5" thickTop="1" thickBot="1">
      <c r="A39" s="126">
        <v>209014</v>
      </c>
      <c r="B39" s="221">
        <v>39990</v>
      </c>
      <c r="C39" s="98" t="s">
        <v>646</v>
      </c>
      <c r="E39" s="98" t="s">
        <v>147</v>
      </c>
    </row>
    <row r="40" spans="1:5" ht="16.5" thickTop="1" thickBot="1">
      <c r="A40" s="126">
        <v>209013</v>
      </c>
      <c r="B40" s="221">
        <v>39990</v>
      </c>
      <c r="C40" s="98" t="s">
        <v>646</v>
      </c>
      <c r="E40" s="98" t="s">
        <v>147</v>
      </c>
    </row>
    <row r="41" spans="1:5" ht="16.5" thickTop="1" thickBot="1">
      <c r="A41" s="126">
        <v>209012</v>
      </c>
      <c r="B41" s="221">
        <v>39990</v>
      </c>
      <c r="C41" s="98" t="s">
        <v>646</v>
      </c>
      <c r="E41" s="98" t="s">
        <v>147</v>
      </c>
    </row>
    <row r="42" spans="1:5" ht="16.5" thickTop="1" thickBot="1">
      <c r="A42" s="126">
        <v>209005</v>
      </c>
      <c r="B42" s="221">
        <v>39990</v>
      </c>
      <c r="C42" s="98" t="s">
        <v>646</v>
      </c>
      <c r="E42" s="98" t="s">
        <v>147</v>
      </c>
    </row>
    <row r="43" spans="1:5" ht="16.5" thickTop="1" thickBot="1">
      <c r="A43" s="126">
        <v>209011</v>
      </c>
      <c r="B43" s="221">
        <v>39990</v>
      </c>
      <c r="C43" s="98" t="s">
        <v>646</v>
      </c>
      <c r="E43" s="98" t="s">
        <v>147</v>
      </c>
    </row>
    <row r="44" spans="1:5" ht="16.5" thickTop="1" thickBot="1">
      <c r="A44" s="126">
        <v>209010</v>
      </c>
      <c r="B44" s="221">
        <v>39990</v>
      </c>
      <c r="C44" s="98" t="s">
        <v>646</v>
      </c>
      <c r="E44" s="98" t="s">
        <v>147</v>
      </c>
    </row>
    <row r="45" spans="1:5" ht="16.5" thickTop="1" thickBot="1">
      <c r="A45" s="126">
        <v>209007</v>
      </c>
      <c r="B45" s="221">
        <v>39990</v>
      </c>
      <c r="C45" s="98" t="s">
        <v>646</v>
      </c>
      <c r="E45" s="98" t="s">
        <v>147</v>
      </c>
    </row>
    <row r="46" spans="1:5" ht="16.5" thickTop="1" thickBot="1">
      <c r="A46" s="126">
        <v>209003</v>
      </c>
      <c r="B46" s="221">
        <v>39990</v>
      </c>
      <c r="C46" s="98" t="s">
        <v>646</v>
      </c>
      <c r="E46" s="98" t="s">
        <v>147</v>
      </c>
    </row>
    <row r="47" spans="1:5" ht="16.5" thickTop="1" thickBot="1">
      <c r="A47" s="126">
        <v>209008</v>
      </c>
      <c r="B47" s="221">
        <v>39990</v>
      </c>
      <c r="C47" s="98" t="s">
        <v>646</v>
      </c>
      <c r="E47" s="98" t="s">
        <v>147</v>
      </c>
    </row>
    <row r="48" spans="1:5" ht="16.5" thickTop="1" thickBot="1">
      <c r="A48" s="126">
        <v>209009</v>
      </c>
      <c r="B48" s="221">
        <v>39990</v>
      </c>
      <c r="C48" s="98" t="s">
        <v>646</v>
      </c>
      <c r="E48" s="98" t="s">
        <v>147</v>
      </c>
    </row>
    <row r="49" spans="1:5" ht="16.5" thickTop="1" thickBot="1">
      <c r="A49" s="126">
        <v>209006</v>
      </c>
      <c r="B49" s="221">
        <v>39990</v>
      </c>
      <c r="C49" s="98" t="s">
        <v>646</v>
      </c>
      <c r="E49" s="98" t="s">
        <v>147</v>
      </c>
    </row>
    <row r="50" spans="1:5" ht="16.5" thickTop="1" thickBot="1">
      <c r="A50" s="126">
        <v>209004</v>
      </c>
      <c r="B50" s="221">
        <v>39990</v>
      </c>
      <c r="C50" s="98" t="s">
        <v>646</v>
      </c>
      <c r="E50" s="98" t="s">
        <v>147</v>
      </c>
    </row>
    <row r="51" spans="1:5" ht="16.5" thickTop="1" thickBot="1">
      <c r="A51" s="126">
        <v>209002</v>
      </c>
      <c r="B51" s="221">
        <v>39990</v>
      </c>
      <c r="C51" s="98" t="s">
        <v>646</v>
      </c>
      <c r="E51" s="98" t="s">
        <v>147</v>
      </c>
    </row>
    <row r="52" spans="1:5" ht="16.5" thickTop="1" thickBot="1">
      <c r="A52" s="126">
        <v>132516</v>
      </c>
      <c r="B52" s="137" t="s">
        <v>879</v>
      </c>
      <c r="E52" s="98" t="s">
        <v>244</v>
      </c>
    </row>
    <row r="53" spans="1:5" ht="16.5" thickTop="1" thickBot="1">
      <c r="A53" s="126">
        <v>132515</v>
      </c>
      <c r="B53" s="137" t="s">
        <v>879</v>
      </c>
      <c r="E53" s="98" t="s">
        <v>244</v>
      </c>
    </row>
    <row r="54" spans="1:5" ht="16.5" thickTop="1" thickBot="1">
      <c r="A54" s="126">
        <v>132514</v>
      </c>
      <c r="B54" s="137" t="s">
        <v>879</v>
      </c>
      <c r="E54" s="98" t="s">
        <v>244</v>
      </c>
    </row>
    <row r="55" spans="1:5" ht="16.5" thickTop="1" thickBot="1">
      <c r="A55" s="126">
        <v>132507</v>
      </c>
      <c r="B55" s="137" t="s">
        <v>879</v>
      </c>
      <c r="E55" s="98" t="s">
        <v>244</v>
      </c>
    </row>
    <row r="56" spans="1:5" ht="16.5" thickTop="1" thickBot="1">
      <c r="A56" s="126">
        <v>132513</v>
      </c>
      <c r="B56" s="137" t="s">
        <v>879</v>
      </c>
      <c r="E56" s="98" t="s">
        <v>244</v>
      </c>
    </row>
    <row r="57" spans="1:5" ht="16.5" thickTop="1" thickBot="1">
      <c r="A57" s="126">
        <v>132512</v>
      </c>
      <c r="B57" s="137" t="s">
        <v>879</v>
      </c>
      <c r="E57" s="98" t="s">
        <v>244</v>
      </c>
    </row>
    <row r="58" spans="1:5" ht="16.5" thickTop="1" thickBot="1">
      <c r="A58" s="126">
        <v>132509</v>
      </c>
      <c r="B58" s="137" t="s">
        <v>879</v>
      </c>
      <c r="E58" s="98" t="s">
        <v>244</v>
      </c>
    </row>
    <row r="59" spans="1:5" ht="16.5" thickTop="1" thickBot="1">
      <c r="A59" s="126">
        <v>132505</v>
      </c>
      <c r="B59" s="137" t="s">
        <v>879</v>
      </c>
      <c r="E59" s="98" t="s">
        <v>244</v>
      </c>
    </row>
    <row r="60" spans="1:5" ht="16.5" thickTop="1" thickBot="1">
      <c r="A60" s="126">
        <v>132510</v>
      </c>
      <c r="B60" s="137" t="s">
        <v>879</v>
      </c>
      <c r="E60" s="98" t="s">
        <v>244</v>
      </c>
    </row>
    <row r="61" spans="1:5" ht="16.5" thickTop="1" thickBot="1">
      <c r="A61" s="126">
        <v>132511</v>
      </c>
      <c r="B61" s="137" t="s">
        <v>879</v>
      </c>
      <c r="E61" s="98" t="s">
        <v>244</v>
      </c>
    </row>
    <row r="62" spans="1:5" ht="16.5" thickTop="1" thickBot="1">
      <c r="A62" s="126">
        <v>132508</v>
      </c>
      <c r="B62" s="137" t="s">
        <v>879</v>
      </c>
      <c r="E62" s="98" t="s">
        <v>244</v>
      </c>
    </row>
    <row r="63" spans="1:5" ht="16.5" thickTop="1" thickBot="1">
      <c r="A63" s="126">
        <v>132506</v>
      </c>
      <c r="B63" s="137" t="s">
        <v>879</v>
      </c>
      <c r="E63" s="98" t="s">
        <v>244</v>
      </c>
    </row>
    <row r="64" spans="1:5" ht="16.5" thickTop="1" thickBot="1">
      <c r="A64" s="126">
        <v>132504</v>
      </c>
      <c r="B64" s="137" t="s">
        <v>879</v>
      </c>
      <c r="E64" s="98" t="s">
        <v>244</v>
      </c>
    </row>
    <row r="65" spans="1:5" ht="16.5" thickTop="1" thickBot="1">
      <c r="A65" s="126">
        <v>226783</v>
      </c>
      <c r="B65" s="221">
        <v>5890</v>
      </c>
      <c r="C65" s="98" t="s">
        <v>871</v>
      </c>
      <c r="E65" s="98" t="s">
        <v>113</v>
      </c>
    </row>
    <row r="66" spans="1:5" ht="16.5" thickTop="1" thickBot="1">
      <c r="A66" s="126">
        <v>226785</v>
      </c>
      <c r="B66" s="221">
        <v>5890</v>
      </c>
      <c r="C66" s="98" t="s">
        <v>871</v>
      </c>
      <c r="E66" s="98" t="s">
        <v>113</v>
      </c>
    </row>
    <row r="67" spans="1:5" ht="16.5" thickTop="1" thickBot="1">
      <c r="A67" s="126">
        <v>226784</v>
      </c>
      <c r="B67" s="221">
        <v>5890</v>
      </c>
      <c r="C67" s="98" t="s">
        <v>871</v>
      </c>
      <c r="E67" s="98" t="s">
        <v>113</v>
      </c>
    </row>
    <row r="68" spans="1:5" ht="16.5" thickTop="1" thickBot="1">
      <c r="A68" s="126">
        <v>226782</v>
      </c>
      <c r="B68" s="221">
        <v>5890</v>
      </c>
      <c r="C68" s="98" t="s">
        <v>872</v>
      </c>
      <c r="E68" s="98" t="s">
        <v>113</v>
      </c>
    </row>
    <row r="69" spans="1:5" ht="16.5" thickTop="1" thickBot="1">
      <c r="A69" s="126">
        <v>132502</v>
      </c>
      <c r="B69" s="221">
        <v>50590</v>
      </c>
      <c r="C69" s="98" t="s">
        <v>617</v>
      </c>
      <c r="E69" s="98" t="s">
        <v>128</v>
      </c>
    </row>
    <row r="70" spans="1:5" ht="16.5" thickTop="1" thickBot="1">
      <c r="A70" s="178">
        <v>341563</v>
      </c>
      <c r="B70" s="222">
        <v>51420</v>
      </c>
      <c r="C70" s="98" t="s">
        <v>617</v>
      </c>
      <c r="E70" s="98" t="s">
        <v>128</v>
      </c>
    </row>
    <row r="71" spans="1:5" ht="16.5" thickTop="1" thickBot="1">
      <c r="A71" s="126">
        <v>341562</v>
      </c>
      <c r="B71" s="222">
        <v>52290</v>
      </c>
      <c r="C71" s="98" t="s">
        <v>617</v>
      </c>
      <c r="E71" s="98" t="s">
        <v>128</v>
      </c>
    </row>
    <row r="72" spans="1:5" ht="16.5" thickTop="1" thickBot="1">
      <c r="A72" s="178">
        <v>341574</v>
      </c>
      <c r="B72" s="222">
        <v>52290</v>
      </c>
      <c r="C72" s="98" t="s">
        <v>617</v>
      </c>
      <c r="E72" s="98" t="s">
        <v>128</v>
      </c>
    </row>
    <row r="73" spans="1:5" ht="16.5" thickTop="1" thickBot="1">
      <c r="A73" s="178">
        <v>341573</v>
      </c>
      <c r="B73" s="222">
        <v>52290</v>
      </c>
      <c r="C73" s="98" t="s">
        <v>617</v>
      </c>
      <c r="E73" s="98" t="s">
        <v>128</v>
      </c>
    </row>
    <row r="74" spans="1:5" ht="16.5" thickTop="1" thickBot="1">
      <c r="A74" s="178">
        <v>341565</v>
      </c>
      <c r="B74" s="222">
        <v>52290</v>
      </c>
      <c r="C74" s="98" t="s">
        <v>617</v>
      </c>
      <c r="E74" s="98" t="s">
        <v>128</v>
      </c>
    </row>
    <row r="75" spans="1:5" ht="16.5" thickTop="1" thickBot="1">
      <c r="A75" s="178">
        <v>341566</v>
      </c>
      <c r="B75" s="222">
        <v>52290</v>
      </c>
      <c r="C75" s="98" t="s">
        <v>617</v>
      </c>
      <c r="E75" s="98" t="s">
        <v>128</v>
      </c>
    </row>
    <row r="76" spans="1:5" ht="16.5" thickTop="1" thickBot="1">
      <c r="A76" s="178">
        <v>341567</v>
      </c>
      <c r="B76" s="222">
        <v>52290</v>
      </c>
      <c r="C76" s="98" t="s">
        <v>617</v>
      </c>
      <c r="E76" s="98" t="s">
        <v>128</v>
      </c>
    </row>
    <row r="77" spans="1:5" ht="16.5" thickTop="1" thickBot="1">
      <c r="A77" s="178">
        <v>341568</v>
      </c>
      <c r="B77" s="222">
        <v>52290</v>
      </c>
      <c r="C77" s="98" t="s">
        <v>617</v>
      </c>
      <c r="E77" s="98" t="s">
        <v>128</v>
      </c>
    </row>
    <row r="78" spans="1:5" ht="16.5" thickTop="1" thickBot="1">
      <c r="A78" s="178">
        <v>341571</v>
      </c>
      <c r="B78" s="222">
        <v>52290</v>
      </c>
      <c r="C78" s="98" t="s">
        <v>617</v>
      </c>
      <c r="E78" s="98" t="s">
        <v>128</v>
      </c>
    </row>
    <row r="79" spans="1:5" ht="16.5" thickTop="1" thickBot="1">
      <c r="A79" s="178">
        <v>341569</v>
      </c>
      <c r="B79" s="222">
        <v>52290</v>
      </c>
      <c r="C79" s="98" t="s">
        <v>617</v>
      </c>
      <c r="E79" s="98" t="s">
        <v>128</v>
      </c>
    </row>
    <row r="80" spans="1:5" ht="16.5" thickTop="1" thickBot="1">
      <c r="A80" s="178">
        <v>341570</v>
      </c>
      <c r="B80" s="222">
        <v>52290</v>
      </c>
      <c r="C80" s="98" t="s">
        <v>617</v>
      </c>
      <c r="E80" s="98" t="s">
        <v>128</v>
      </c>
    </row>
    <row r="81" spans="1:5" ht="16.5" thickTop="1" thickBot="1">
      <c r="A81" s="178">
        <v>341572</v>
      </c>
      <c r="B81" s="222">
        <v>52290</v>
      </c>
      <c r="C81" s="98" t="s">
        <v>617</v>
      </c>
      <c r="E81" s="98" t="s">
        <v>128</v>
      </c>
    </row>
    <row r="82" spans="1:5" ht="16.5" thickTop="1" thickBot="1">
      <c r="A82" s="178">
        <v>341564</v>
      </c>
      <c r="B82" s="222">
        <v>52290</v>
      </c>
      <c r="C82" s="98" t="s">
        <v>617</v>
      </c>
      <c r="E82" s="98" t="s">
        <v>128</v>
      </c>
    </row>
    <row r="83" spans="1:5" ht="16.5" thickTop="1" thickBot="1">
      <c r="A83" s="178">
        <v>132491</v>
      </c>
      <c r="B83" s="222">
        <v>51460</v>
      </c>
      <c r="C83" s="98" t="s">
        <v>617</v>
      </c>
      <c r="E83" s="98" t="s">
        <v>128</v>
      </c>
    </row>
    <row r="84" spans="1:5" ht="16.5" thickTop="1" thickBot="1">
      <c r="A84" s="126">
        <v>132492</v>
      </c>
      <c r="B84" s="222">
        <v>51460</v>
      </c>
      <c r="C84" s="98" t="s">
        <v>617</v>
      </c>
      <c r="E84" s="98" t="s">
        <v>128</v>
      </c>
    </row>
    <row r="85" spans="1:5" ht="16.5" thickTop="1" thickBot="1">
      <c r="A85" s="126">
        <v>132493</v>
      </c>
      <c r="B85" s="222">
        <v>51460</v>
      </c>
      <c r="C85" s="98" t="s">
        <v>617</v>
      </c>
      <c r="E85" s="98" t="s">
        <v>128</v>
      </c>
    </row>
    <row r="86" spans="1:5" ht="16.5" thickTop="1" thickBot="1">
      <c r="A86" s="126">
        <v>132494</v>
      </c>
      <c r="B86" s="222">
        <v>51460</v>
      </c>
      <c r="C86" s="98" t="s">
        <v>617</v>
      </c>
      <c r="E86" s="98" t="s">
        <v>128</v>
      </c>
    </row>
    <row r="87" spans="1:5" ht="16.5" thickTop="1" thickBot="1">
      <c r="A87" s="126">
        <v>132495</v>
      </c>
      <c r="B87" s="222">
        <v>51460</v>
      </c>
      <c r="C87" s="98" t="s">
        <v>617</v>
      </c>
      <c r="E87" s="98" t="s">
        <v>128</v>
      </c>
    </row>
    <row r="88" spans="1:5" ht="16.5" thickTop="1" thickBot="1">
      <c r="A88" s="126">
        <v>132496</v>
      </c>
      <c r="B88" s="222">
        <v>51460</v>
      </c>
      <c r="C88" s="98" t="s">
        <v>617</v>
      </c>
      <c r="E88" s="98" t="s">
        <v>128</v>
      </c>
    </row>
    <row r="89" spans="1:5" ht="16.5" thickTop="1" thickBot="1">
      <c r="A89" s="126">
        <v>132497</v>
      </c>
      <c r="B89" s="222">
        <v>51460</v>
      </c>
      <c r="C89" s="98" t="s">
        <v>617</v>
      </c>
      <c r="E89" s="98" t="s">
        <v>128</v>
      </c>
    </row>
    <row r="90" spans="1:5" ht="16.5" thickTop="1" thickBot="1">
      <c r="A90" s="126">
        <v>132498</v>
      </c>
      <c r="B90" s="222">
        <v>51460</v>
      </c>
      <c r="C90" s="98" t="s">
        <v>617</v>
      </c>
      <c r="E90" s="98" t="s">
        <v>128</v>
      </c>
    </row>
    <row r="91" spans="1:5" ht="16.5" thickTop="1" thickBot="1">
      <c r="A91" s="126">
        <v>132499</v>
      </c>
      <c r="B91" s="222">
        <v>51460</v>
      </c>
      <c r="C91" s="98" t="s">
        <v>617</v>
      </c>
      <c r="E91" s="98" t="s">
        <v>128</v>
      </c>
    </row>
    <row r="92" spans="1:5" ht="16.5" thickTop="1" thickBot="1">
      <c r="A92" s="126">
        <v>132500</v>
      </c>
      <c r="B92" s="222">
        <v>51460</v>
      </c>
      <c r="C92" s="98" t="s">
        <v>617</v>
      </c>
      <c r="E92" s="98" t="s">
        <v>128</v>
      </c>
    </row>
    <row r="93" spans="1:5" ht="16.5" thickTop="1" thickBot="1">
      <c r="A93" s="126">
        <v>132501</v>
      </c>
      <c r="B93" s="222">
        <v>51460</v>
      </c>
      <c r="C93" s="98" t="s">
        <v>617</v>
      </c>
      <c r="E93" s="98" t="s">
        <v>128</v>
      </c>
    </row>
    <row r="94" spans="1:5" ht="16.5" thickTop="1" thickBot="1">
      <c r="A94" s="126">
        <v>132490</v>
      </c>
      <c r="B94" s="222">
        <v>51460</v>
      </c>
      <c r="C94" s="98" t="s">
        <v>617</v>
      </c>
      <c r="E94" s="98" t="s">
        <v>128</v>
      </c>
    </row>
    <row r="95" spans="1:5" ht="16.5" thickTop="1" thickBot="1">
      <c r="A95" s="126">
        <v>132531</v>
      </c>
      <c r="B95" s="221">
        <v>51390</v>
      </c>
      <c r="C95" s="98" t="s">
        <v>648</v>
      </c>
      <c r="E95" s="98" t="s">
        <v>134</v>
      </c>
    </row>
    <row r="96" spans="1:5" ht="16.5" thickTop="1" thickBot="1">
      <c r="A96" s="178">
        <v>341387</v>
      </c>
      <c r="B96" s="222">
        <v>52220</v>
      </c>
      <c r="C96" s="98" t="s">
        <v>648</v>
      </c>
      <c r="E96" s="98" t="s">
        <v>134</v>
      </c>
    </row>
    <row r="97" spans="1:5" ht="16.5" thickTop="1" thickBot="1">
      <c r="A97" s="126">
        <v>341386</v>
      </c>
      <c r="B97" s="222">
        <v>53090</v>
      </c>
      <c r="C97" s="98" t="s">
        <v>648</v>
      </c>
      <c r="E97" s="98" t="s">
        <v>134</v>
      </c>
    </row>
    <row r="98" spans="1:5" ht="16.5" thickTop="1" thickBot="1">
      <c r="A98" s="178">
        <v>341398</v>
      </c>
      <c r="B98" s="222">
        <v>53090</v>
      </c>
      <c r="C98" s="98" t="s">
        <v>648</v>
      </c>
      <c r="E98" s="98" t="s">
        <v>134</v>
      </c>
    </row>
    <row r="99" spans="1:5" ht="16.5" thickTop="1" thickBot="1">
      <c r="A99" s="178">
        <v>341397</v>
      </c>
      <c r="B99" s="222">
        <v>53090</v>
      </c>
      <c r="C99" s="98" t="s">
        <v>648</v>
      </c>
      <c r="E99" s="98" t="s">
        <v>134</v>
      </c>
    </row>
    <row r="100" spans="1:5" ht="16.5" thickTop="1" thickBot="1">
      <c r="A100" s="178">
        <v>341389</v>
      </c>
      <c r="B100" s="222">
        <v>53090</v>
      </c>
      <c r="C100" s="98" t="s">
        <v>648</v>
      </c>
      <c r="E100" s="98" t="s">
        <v>134</v>
      </c>
    </row>
    <row r="101" spans="1:5" ht="16.5" thickTop="1" thickBot="1">
      <c r="A101" s="178">
        <v>341390</v>
      </c>
      <c r="B101" s="222">
        <v>53090</v>
      </c>
      <c r="C101" s="98" t="s">
        <v>648</v>
      </c>
      <c r="E101" s="98" t="s">
        <v>134</v>
      </c>
    </row>
    <row r="102" spans="1:5" ht="16.5" thickTop="1" thickBot="1">
      <c r="A102" s="178">
        <v>341391</v>
      </c>
      <c r="B102" s="222">
        <v>53090</v>
      </c>
      <c r="C102" s="98" t="s">
        <v>648</v>
      </c>
      <c r="E102" s="98" t="s">
        <v>134</v>
      </c>
    </row>
    <row r="103" spans="1:5" ht="16.5" thickTop="1" thickBot="1">
      <c r="A103" s="178">
        <v>341392</v>
      </c>
      <c r="B103" s="222">
        <v>53090</v>
      </c>
      <c r="C103" s="98" t="s">
        <v>648</v>
      </c>
      <c r="E103" s="98" t="s">
        <v>134</v>
      </c>
    </row>
    <row r="104" spans="1:5" ht="16.5" thickTop="1" thickBot="1">
      <c r="A104" s="178">
        <v>341395</v>
      </c>
      <c r="B104" s="222">
        <v>53090</v>
      </c>
      <c r="C104" s="98" t="s">
        <v>648</v>
      </c>
      <c r="E104" s="98" t="s">
        <v>134</v>
      </c>
    </row>
    <row r="105" spans="1:5" ht="16.5" thickTop="1" thickBot="1">
      <c r="A105" s="178">
        <v>341393</v>
      </c>
      <c r="B105" s="222">
        <v>53090</v>
      </c>
      <c r="C105" s="98" t="s">
        <v>648</v>
      </c>
      <c r="E105" s="98" t="s">
        <v>134</v>
      </c>
    </row>
    <row r="106" spans="1:5" ht="16.5" thickTop="1" thickBot="1">
      <c r="A106" s="178">
        <v>341394</v>
      </c>
      <c r="B106" s="222">
        <v>53090</v>
      </c>
      <c r="C106" s="98" t="s">
        <v>648</v>
      </c>
      <c r="E106" s="98" t="s">
        <v>134</v>
      </c>
    </row>
    <row r="107" spans="1:5" ht="16.5" thickTop="1" thickBot="1">
      <c r="A107" s="178">
        <v>341396</v>
      </c>
      <c r="B107" s="222">
        <v>53090</v>
      </c>
      <c r="C107" s="98" t="s">
        <v>648</v>
      </c>
      <c r="E107" s="98" t="s">
        <v>134</v>
      </c>
    </row>
    <row r="108" spans="1:5" ht="16.5" thickTop="1" thickBot="1">
      <c r="A108" s="178">
        <v>341388</v>
      </c>
      <c r="B108" s="222">
        <v>53090</v>
      </c>
      <c r="C108" s="98" t="s">
        <v>648</v>
      </c>
      <c r="E108" s="98" t="s">
        <v>134</v>
      </c>
    </row>
    <row r="109" spans="1:5" ht="16.5" thickTop="1" thickBot="1">
      <c r="A109" s="178">
        <v>132520</v>
      </c>
      <c r="B109" s="222">
        <v>52260</v>
      </c>
      <c r="C109" s="98" t="s">
        <v>648</v>
      </c>
      <c r="E109" s="98" t="s">
        <v>134</v>
      </c>
    </row>
    <row r="110" spans="1:5" ht="16.5" thickTop="1" thickBot="1">
      <c r="A110" s="126">
        <v>132521</v>
      </c>
      <c r="B110" s="222">
        <v>52260</v>
      </c>
      <c r="C110" s="98" t="s">
        <v>648</v>
      </c>
      <c r="E110" s="98" t="s">
        <v>134</v>
      </c>
    </row>
    <row r="111" spans="1:5" ht="16.5" thickTop="1" thickBot="1">
      <c r="A111" s="126">
        <v>132522</v>
      </c>
      <c r="B111" s="222">
        <v>52260</v>
      </c>
      <c r="C111" s="98" t="s">
        <v>648</v>
      </c>
      <c r="E111" s="98" t="s">
        <v>134</v>
      </c>
    </row>
    <row r="112" spans="1:5" ht="16.5" thickTop="1" thickBot="1">
      <c r="A112" s="126">
        <v>132523</v>
      </c>
      <c r="B112" s="222">
        <v>52260</v>
      </c>
      <c r="C112" s="98" t="s">
        <v>648</v>
      </c>
      <c r="E112" s="98" t="s">
        <v>134</v>
      </c>
    </row>
    <row r="113" spans="1:5" ht="16.5" thickTop="1" thickBot="1">
      <c r="A113" s="126">
        <v>132524</v>
      </c>
      <c r="B113" s="222">
        <v>52260</v>
      </c>
      <c r="C113" s="98" t="s">
        <v>648</v>
      </c>
      <c r="E113" s="98" t="s">
        <v>134</v>
      </c>
    </row>
    <row r="114" spans="1:5" ht="16.5" thickTop="1" thickBot="1">
      <c r="A114" s="126">
        <v>132525</v>
      </c>
      <c r="B114" s="222">
        <v>52260</v>
      </c>
      <c r="C114" s="98" t="s">
        <v>648</v>
      </c>
      <c r="E114" s="98" t="s">
        <v>134</v>
      </c>
    </row>
    <row r="115" spans="1:5" ht="16.5" thickTop="1" thickBot="1">
      <c r="A115" s="126">
        <v>132526</v>
      </c>
      <c r="B115" s="222">
        <v>52260</v>
      </c>
      <c r="C115" s="98" t="s">
        <v>648</v>
      </c>
      <c r="E115" s="98" t="s">
        <v>134</v>
      </c>
    </row>
    <row r="116" spans="1:5" ht="16.5" thickTop="1" thickBot="1">
      <c r="A116" s="126">
        <v>132527</v>
      </c>
      <c r="B116" s="222">
        <v>52260</v>
      </c>
      <c r="C116" s="98" t="s">
        <v>648</v>
      </c>
      <c r="E116" s="98" t="s">
        <v>134</v>
      </c>
    </row>
    <row r="117" spans="1:5" ht="16.5" thickTop="1" thickBot="1">
      <c r="A117" s="126">
        <v>132528</v>
      </c>
      <c r="B117" s="222">
        <v>52260</v>
      </c>
      <c r="C117" s="98" t="s">
        <v>648</v>
      </c>
      <c r="E117" s="98" t="s">
        <v>134</v>
      </c>
    </row>
    <row r="118" spans="1:5" ht="16.5" thickTop="1" thickBot="1">
      <c r="A118" s="126">
        <v>132529</v>
      </c>
      <c r="B118" s="222">
        <v>52260</v>
      </c>
      <c r="C118" s="98" t="s">
        <v>648</v>
      </c>
      <c r="E118" s="98" t="s">
        <v>134</v>
      </c>
    </row>
    <row r="119" spans="1:5" ht="16.5" thickTop="1" thickBot="1">
      <c r="A119" s="126">
        <v>132530</v>
      </c>
      <c r="B119" s="222">
        <v>52260</v>
      </c>
      <c r="C119" s="98" t="s">
        <v>648</v>
      </c>
      <c r="E119" s="98" t="s">
        <v>134</v>
      </c>
    </row>
    <row r="120" spans="1:5" ht="16.5" thickTop="1" thickBot="1">
      <c r="A120" s="126">
        <v>132519</v>
      </c>
      <c r="B120" s="222">
        <v>52260</v>
      </c>
      <c r="C120" s="98" t="s">
        <v>648</v>
      </c>
      <c r="E120" s="98" t="s">
        <v>134</v>
      </c>
    </row>
    <row r="121" spans="1:5" ht="16.5" thickTop="1" thickBot="1">
      <c r="A121" s="126">
        <v>132545</v>
      </c>
      <c r="B121" s="221">
        <v>50590</v>
      </c>
      <c r="C121" s="98" t="s">
        <v>615</v>
      </c>
      <c r="E121" s="98" t="s">
        <v>130</v>
      </c>
    </row>
    <row r="122" spans="1:5" ht="16.5" thickTop="1" thickBot="1">
      <c r="A122" s="178">
        <v>341404</v>
      </c>
      <c r="B122" s="222">
        <v>51420</v>
      </c>
      <c r="C122" s="98" t="s">
        <v>615</v>
      </c>
      <c r="E122" s="98" t="s">
        <v>130</v>
      </c>
    </row>
    <row r="123" spans="1:5" ht="16.5" thickTop="1" thickBot="1">
      <c r="A123" s="126">
        <v>341403</v>
      </c>
      <c r="B123" s="222">
        <v>52290</v>
      </c>
      <c r="C123" s="98" t="s">
        <v>615</v>
      </c>
      <c r="E123" s="98" t="s">
        <v>130</v>
      </c>
    </row>
    <row r="124" spans="1:5" ht="16.5" thickTop="1" thickBot="1">
      <c r="A124" s="178">
        <v>341415</v>
      </c>
      <c r="B124" s="222">
        <v>52290</v>
      </c>
      <c r="C124" s="98" t="s">
        <v>615</v>
      </c>
      <c r="E124" s="98" t="s">
        <v>130</v>
      </c>
    </row>
    <row r="125" spans="1:5" ht="16.5" thickTop="1" thickBot="1">
      <c r="A125" s="178">
        <v>341414</v>
      </c>
      <c r="B125" s="222">
        <v>52290</v>
      </c>
      <c r="C125" s="98" t="s">
        <v>615</v>
      </c>
      <c r="E125" s="98" t="s">
        <v>130</v>
      </c>
    </row>
    <row r="126" spans="1:5" ht="16.5" thickTop="1" thickBot="1">
      <c r="A126" s="178">
        <v>341406</v>
      </c>
      <c r="B126" s="222">
        <v>52290</v>
      </c>
      <c r="C126" s="98" t="s">
        <v>615</v>
      </c>
      <c r="E126" s="98" t="s">
        <v>130</v>
      </c>
    </row>
    <row r="127" spans="1:5" ht="16.5" thickTop="1" thickBot="1">
      <c r="A127" s="178">
        <v>341407</v>
      </c>
      <c r="B127" s="222">
        <v>52290</v>
      </c>
      <c r="C127" s="98" t="s">
        <v>615</v>
      </c>
      <c r="E127" s="98" t="s">
        <v>130</v>
      </c>
    </row>
    <row r="128" spans="1:5" ht="16.5" thickTop="1" thickBot="1">
      <c r="A128" s="178">
        <v>341408</v>
      </c>
      <c r="B128" s="222">
        <v>52290</v>
      </c>
      <c r="C128" s="98" t="s">
        <v>615</v>
      </c>
      <c r="E128" s="98" t="s">
        <v>130</v>
      </c>
    </row>
    <row r="129" spans="1:5" ht="16.5" thickTop="1" thickBot="1">
      <c r="A129" s="178">
        <v>341409</v>
      </c>
      <c r="B129" s="222">
        <v>52290</v>
      </c>
      <c r="C129" s="98" t="s">
        <v>615</v>
      </c>
      <c r="E129" s="98" t="s">
        <v>130</v>
      </c>
    </row>
    <row r="130" spans="1:5" ht="16.5" thickTop="1" thickBot="1">
      <c r="A130" s="178">
        <v>341412</v>
      </c>
      <c r="B130" s="222">
        <v>52290</v>
      </c>
      <c r="C130" s="98" t="s">
        <v>615</v>
      </c>
      <c r="E130" s="98" t="s">
        <v>130</v>
      </c>
    </row>
    <row r="131" spans="1:5" ht="16.5" thickTop="1" thickBot="1">
      <c r="A131" s="178">
        <v>341410</v>
      </c>
      <c r="B131" s="222">
        <v>52290</v>
      </c>
      <c r="C131" s="98" t="s">
        <v>615</v>
      </c>
      <c r="E131" s="98" t="s">
        <v>130</v>
      </c>
    </row>
    <row r="132" spans="1:5" ht="16.5" thickTop="1" thickBot="1">
      <c r="A132" s="178">
        <v>341411</v>
      </c>
      <c r="B132" s="222">
        <v>52290</v>
      </c>
      <c r="C132" s="98" t="s">
        <v>615</v>
      </c>
      <c r="E132" s="98" t="s">
        <v>130</v>
      </c>
    </row>
    <row r="133" spans="1:5" ht="16.5" thickTop="1" thickBot="1">
      <c r="A133" s="178">
        <v>341413</v>
      </c>
      <c r="B133" s="222">
        <v>52290</v>
      </c>
      <c r="C133" s="98" t="s">
        <v>615</v>
      </c>
      <c r="E133" s="98" t="s">
        <v>130</v>
      </c>
    </row>
    <row r="134" spans="1:5" ht="16.5" thickTop="1" thickBot="1">
      <c r="A134" s="178">
        <v>341405</v>
      </c>
      <c r="B134" s="222">
        <v>52290</v>
      </c>
      <c r="C134" s="98" t="s">
        <v>615</v>
      </c>
      <c r="E134" s="98" t="s">
        <v>130</v>
      </c>
    </row>
    <row r="135" spans="1:5" ht="16.5" thickTop="1" thickBot="1">
      <c r="A135" s="178">
        <v>132534</v>
      </c>
      <c r="B135" s="222">
        <v>51460</v>
      </c>
      <c r="C135" s="98" t="s">
        <v>615</v>
      </c>
      <c r="E135" s="98" t="s">
        <v>130</v>
      </c>
    </row>
    <row r="136" spans="1:5" ht="16.5" thickTop="1" thickBot="1">
      <c r="A136" s="126">
        <v>132535</v>
      </c>
      <c r="B136" s="222">
        <v>51460</v>
      </c>
      <c r="C136" s="98" t="s">
        <v>615</v>
      </c>
      <c r="E136" s="98" t="s">
        <v>130</v>
      </c>
    </row>
    <row r="137" spans="1:5" ht="16.5" thickTop="1" thickBot="1">
      <c r="A137" s="126">
        <v>132536</v>
      </c>
      <c r="B137" s="222">
        <v>51460</v>
      </c>
      <c r="C137" s="98" t="s">
        <v>615</v>
      </c>
      <c r="E137" s="98" t="s">
        <v>130</v>
      </c>
    </row>
    <row r="138" spans="1:5" ht="16.5" thickTop="1" thickBot="1">
      <c r="A138" s="126">
        <v>132537</v>
      </c>
      <c r="B138" s="222">
        <v>51460</v>
      </c>
      <c r="C138" s="98" t="s">
        <v>615</v>
      </c>
      <c r="E138" s="98" t="s">
        <v>130</v>
      </c>
    </row>
    <row r="139" spans="1:5" ht="16.5" thickTop="1" thickBot="1">
      <c r="A139" s="126">
        <v>132538</v>
      </c>
      <c r="B139" s="222">
        <v>51460</v>
      </c>
      <c r="C139" s="98" t="s">
        <v>615</v>
      </c>
      <c r="E139" s="98" t="s">
        <v>130</v>
      </c>
    </row>
    <row r="140" spans="1:5" ht="16.5" thickTop="1" thickBot="1">
      <c r="A140" s="126">
        <v>132539</v>
      </c>
      <c r="B140" s="222">
        <v>51460</v>
      </c>
      <c r="C140" s="98" t="s">
        <v>615</v>
      </c>
      <c r="E140" s="98" t="s">
        <v>130</v>
      </c>
    </row>
    <row r="141" spans="1:5" ht="16.5" thickTop="1" thickBot="1">
      <c r="A141" s="126">
        <v>132540</v>
      </c>
      <c r="B141" s="222">
        <v>51460</v>
      </c>
      <c r="C141" s="98" t="s">
        <v>615</v>
      </c>
      <c r="E141" s="98" t="s">
        <v>130</v>
      </c>
    </row>
    <row r="142" spans="1:5" ht="16.5" thickTop="1" thickBot="1">
      <c r="A142" s="126">
        <v>132541</v>
      </c>
      <c r="B142" s="222">
        <v>51460</v>
      </c>
      <c r="C142" s="98" t="s">
        <v>615</v>
      </c>
      <c r="E142" s="98" t="s">
        <v>130</v>
      </c>
    </row>
    <row r="143" spans="1:5" ht="16.5" thickTop="1" thickBot="1">
      <c r="A143" s="126">
        <v>132542</v>
      </c>
      <c r="B143" s="222">
        <v>51460</v>
      </c>
      <c r="C143" s="98" t="s">
        <v>615</v>
      </c>
      <c r="E143" s="98" t="s">
        <v>130</v>
      </c>
    </row>
    <row r="144" spans="1:5" ht="16.5" thickTop="1" thickBot="1">
      <c r="A144" s="126">
        <v>132543</v>
      </c>
      <c r="B144" s="222">
        <v>51460</v>
      </c>
      <c r="C144" s="98" t="s">
        <v>615</v>
      </c>
      <c r="E144" s="98" t="s">
        <v>130</v>
      </c>
    </row>
    <row r="145" spans="1:5" ht="16.5" thickTop="1" thickBot="1">
      <c r="A145" s="126">
        <v>132544</v>
      </c>
      <c r="B145" s="222">
        <v>51460</v>
      </c>
      <c r="C145" s="98" t="s">
        <v>615</v>
      </c>
      <c r="E145" s="98" t="s">
        <v>130</v>
      </c>
    </row>
    <row r="146" spans="1:5" ht="16.5" thickTop="1" thickBot="1">
      <c r="A146" s="126">
        <v>132533</v>
      </c>
      <c r="B146" s="222">
        <v>51460</v>
      </c>
      <c r="C146" s="98" t="s">
        <v>615</v>
      </c>
      <c r="E146" s="98" t="s">
        <v>130</v>
      </c>
    </row>
    <row r="147" spans="1:5" ht="16.5" thickTop="1" thickBot="1">
      <c r="A147" s="126">
        <v>132559</v>
      </c>
      <c r="B147" s="221">
        <v>49090</v>
      </c>
      <c r="C147" s="98" t="s">
        <v>614</v>
      </c>
      <c r="E147" s="98" t="s">
        <v>126</v>
      </c>
    </row>
    <row r="148" spans="1:5" ht="16.5" thickTop="1" thickBot="1">
      <c r="A148" s="178">
        <v>341420</v>
      </c>
      <c r="B148" s="222">
        <v>49920</v>
      </c>
      <c r="C148" s="98" t="s">
        <v>614</v>
      </c>
      <c r="E148" s="98" t="s">
        <v>126</v>
      </c>
    </row>
    <row r="149" spans="1:5" ht="16.5" thickTop="1" thickBot="1">
      <c r="A149" s="126">
        <v>341419</v>
      </c>
      <c r="B149" s="222">
        <v>50790</v>
      </c>
      <c r="C149" s="98" t="s">
        <v>614</v>
      </c>
      <c r="E149" s="98" t="s">
        <v>126</v>
      </c>
    </row>
    <row r="150" spans="1:5" ht="16.5" thickTop="1" thickBot="1">
      <c r="A150" s="178">
        <v>341431</v>
      </c>
      <c r="B150" s="222">
        <v>50790</v>
      </c>
      <c r="C150" s="98" t="s">
        <v>614</v>
      </c>
      <c r="E150" s="98" t="s">
        <v>126</v>
      </c>
    </row>
    <row r="151" spans="1:5" ht="16.5" thickTop="1" thickBot="1">
      <c r="A151" s="178">
        <v>341430</v>
      </c>
      <c r="B151" s="222">
        <v>50790</v>
      </c>
      <c r="C151" s="98" t="s">
        <v>614</v>
      </c>
      <c r="E151" s="98" t="s">
        <v>126</v>
      </c>
    </row>
    <row r="152" spans="1:5" ht="16.5" thickTop="1" thickBot="1">
      <c r="A152" s="178">
        <v>341422</v>
      </c>
      <c r="B152" s="222">
        <v>50790</v>
      </c>
      <c r="C152" s="98" t="s">
        <v>614</v>
      </c>
      <c r="E152" s="98" t="s">
        <v>126</v>
      </c>
    </row>
    <row r="153" spans="1:5" ht="16.5" thickTop="1" thickBot="1">
      <c r="A153" s="178">
        <v>341423</v>
      </c>
      <c r="B153" s="222">
        <v>50790</v>
      </c>
      <c r="C153" s="98" t="s">
        <v>614</v>
      </c>
      <c r="E153" s="98" t="s">
        <v>126</v>
      </c>
    </row>
    <row r="154" spans="1:5" ht="16.5" thickTop="1" thickBot="1">
      <c r="A154" s="178">
        <v>341424</v>
      </c>
      <c r="B154" s="222">
        <v>50790</v>
      </c>
      <c r="C154" s="98" t="s">
        <v>614</v>
      </c>
      <c r="E154" s="98" t="s">
        <v>126</v>
      </c>
    </row>
    <row r="155" spans="1:5" ht="16.5" thickTop="1" thickBot="1">
      <c r="A155" s="178">
        <v>341425</v>
      </c>
      <c r="B155" s="222">
        <v>50790</v>
      </c>
      <c r="C155" s="98" t="s">
        <v>614</v>
      </c>
      <c r="E155" s="98" t="s">
        <v>126</v>
      </c>
    </row>
    <row r="156" spans="1:5" ht="16.5" thickTop="1" thickBot="1">
      <c r="A156" s="178">
        <v>341428</v>
      </c>
      <c r="B156" s="222">
        <v>50790</v>
      </c>
      <c r="C156" s="98" t="s">
        <v>614</v>
      </c>
      <c r="E156" s="98" t="s">
        <v>126</v>
      </c>
    </row>
    <row r="157" spans="1:5" ht="16.5" thickTop="1" thickBot="1">
      <c r="A157" s="178">
        <v>341426</v>
      </c>
      <c r="B157" s="222">
        <v>50790</v>
      </c>
      <c r="C157" s="98" t="s">
        <v>614</v>
      </c>
      <c r="E157" s="98" t="s">
        <v>126</v>
      </c>
    </row>
    <row r="158" spans="1:5" ht="16.5" thickTop="1" thickBot="1">
      <c r="A158" s="178">
        <v>341427</v>
      </c>
      <c r="B158" s="222">
        <v>50790</v>
      </c>
      <c r="C158" s="98" t="s">
        <v>614</v>
      </c>
      <c r="E158" s="98" t="s">
        <v>126</v>
      </c>
    </row>
    <row r="159" spans="1:5" ht="16.5" thickTop="1" thickBot="1">
      <c r="A159" s="178">
        <v>341429</v>
      </c>
      <c r="B159" s="222">
        <v>50790</v>
      </c>
      <c r="C159" s="98" t="s">
        <v>614</v>
      </c>
      <c r="E159" s="98" t="s">
        <v>126</v>
      </c>
    </row>
    <row r="160" spans="1:5" ht="16.5" thickTop="1" thickBot="1">
      <c r="A160" s="178">
        <v>341421</v>
      </c>
      <c r="B160" s="222">
        <v>50790</v>
      </c>
      <c r="C160" s="98" t="s">
        <v>614</v>
      </c>
      <c r="E160" s="98" t="s">
        <v>126</v>
      </c>
    </row>
    <row r="161" spans="1:5" ht="16.5" thickTop="1" thickBot="1">
      <c r="A161" s="178">
        <v>132548</v>
      </c>
      <c r="B161" s="222">
        <v>49960</v>
      </c>
      <c r="C161" s="98" t="s">
        <v>614</v>
      </c>
      <c r="E161" s="98" t="s">
        <v>126</v>
      </c>
    </row>
    <row r="162" spans="1:5" ht="16.5" thickTop="1" thickBot="1">
      <c r="A162" s="126">
        <v>132549</v>
      </c>
      <c r="B162" s="222">
        <v>49960</v>
      </c>
      <c r="C162" s="98" t="s">
        <v>614</v>
      </c>
      <c r="E162" s="98" t="s">
        <v>126</v>
      </c>
    </row>
    <row r="163" spans="1:5" ht="16.5" thickTop="1" thickBot="1">
      <c r="A163" s="126">
        <v>132550</v>
      </c>
      <c r="B163" s="222">
        <v>49960</v>
      </c>
      <c r="C163" s="98" t="s">
        <v>614</v>
      </c>
      <c r="E163" s="98" t="s">
        <v>126</v>
      </c>
    </row>
    <row r="164" spans="1:5" ht="16.5" thickTop="1" thickBot="1">
      <c r="A164" s="126">
        <v>132551</v>
      </c>
      <c r="B164" s="222">
        <v>49960</v>
      </c>
      <c r="C164" s="98" t="s">
        <v>614</v>
      </c>
      <c r="E164" s="98" t="s">
        <v>126</v>
      </c>
    </row>
    <row r="165" spans="1:5" ht="16.5" thickTop="1" thickBot="1">
      <c r="A165" s="126">
        <v>132552</v>
      </c>
      <c r="B165" s="222">
        <v>49960</v>
      </c>
      <c r="C165" s="98" t="s">
        <v>614</v>
      </c>
      <c r="E165" s="98" t="s">
        <v>126</v>
      </c>
    </row>
    <row r="166" spans="1:5" ht="16.5" thickTop="1" thickBot="1">
      <c r="A166" s="126">
        <v>132553</v>
      </c>
      <c r="B166" s="222">
        <v>49960</v>
      </c>
      <c r="C166" s="98" t="s">
        <v>614</v>
      </c>
      <c r="E166" s="98" t="s">
        <v>126</v>
      </c>
    </row>
    <row r="167" spans="1:5" ht="16.5" thickTop="1" thickBot="1">
      <c r="A167" s="126">
        <v>132554</v>
      </c>
      <c r="B167" s="222">
        <v>49960</v>
      </c>
      <c r="C167" s="98" t="s">
        <v>614</v>
      </c>
      <c r="E167" s="98" t="s">
        <v>126</v>
      </c>
    </row>
    <row r="168" spans="1:5" ht="16.5" thickTop="1" thickBot="1">
      <c r="A168" s="126">
        <v>132555</v>
      </c>
      <c r="B168" s="222">
        <v>49960</v>
      </c>
      <c r="C168" s="98" t="s">
        <v>614</v>
      </c>
      <c r="E168" s="98" t="s">
        <v>126</v>
      </c>
    </row>
    <row r="169" spans="1:5" ht="16.5" thickTop="1" thickBot="1">
      <c r="A169" s="126">
        <v>132556</v>
      </c>
      <c r="B169" s="222">
        <v>49960</v>
      </c>
      <c r="C169" s="98" t="s">
        <v>614</v>
      </c>
      <c r="E169" s="98" t="s">
        <v>126</v>
      </c>
    </row>
    <row r="170" spans="1:5" ht="16.5" thickTop="1" thickBot="1">
      <c r="A170" s="126">
        <v>132557</v>
      </c>
      <c r="B170" s="222">
        <v>49960</v>
      </c>
      <c r="C170" s="98" t="s">
        <v>614</v>
      </c>
      <c r="E170" s="98" t="s">
        <v>126</v>
      </c>
    </row>
    <row r="171" spans="1:5" ht="16.5" thickTop="1" thickBot="1">
      <c r="A171" s="126">
        <v>132558</v>
      </c>
      <c r="B171" s="222">
        <v>49960</v>
      </c>
      <c r="C171" s="98" t="s">
        <v>614</v>
      </c>
      <c r="E171" s="98" t="s">
        <v>126</v>
      </c>
    </row>
    <row r="172" spans="1:5" ht="16.5" thickTop="1" thickBot="1">
      <c r="A172" s="126">
        <v>132547</v>
      </c>
      <c r="B172" s="222">
        <v>49960</v>
      </c>
      <c r="C172" s="98" t="s">
        <v>614</v>
      </c>
      <c r="E172" s="98" t="s">
        <v>126</v>
      </c>
    </row>
    <row r="173" spans="1:5" ht="16.5" thickTop="1" thickBot="1">
      <c r="A173" s="126">
        <v>132572</v>
      </c>
      <c r="B173" s="221">
        <v>51390</v>
      </c>
      <c r="C173" s="98" t="s">
        <v>623</v>
      </c>
      <c r="E173" s="98" t="s">
        <v>135</v>
      </c>
    </row>
    <row r="174" spans="1:5" ht="16.5" thickTop="1" thickBot="1">
      <c r="A174" s="178">
        <v>341441</v>
      </c>
      <c r="B174" s="222">
        <v>52220</v>
      </c>
      <c r="C174" s="98" t="s">
        <v>623</v>
      </c>
      <c r="E174" s="98" t="s">
        <v>135</v>
      </c>
    </row>
    <row r="175" spans="1:5" ht="16.5" thickTop="1" thickBot="1">
      <c r="A175" s="126">
        <v>341440</v>
      </c>
      <c r="B175" s="222">
        <v>53090</v>
      </c>
      <c r="C175" s="98" t="s">
        <v>623</v>
      </c>
      <c r="E175" s="98" t="s">
        <v>135</v>
      </c>
    </row>
    <row r="176" spans="1:5" ht="16.5" thickTop="1" thickBot="1">
      <c r="A176" s="178">
        <v>341452</v>
      </c>
      <c r="B176" s="222">
        <v>53090</v>
      </c>
      <c r="C176" s="98" t="s">
        <v>623</v>
      </c>
      <c r="E176" s="98" t="s">
        <v>135</v>
      </c>
    </row>
    <row r="177" spans="1:5" ht="16.5" thickTop="1" thickBot="1">
      <c r="A177" s="178">
        <v>341451</v>
      </c>
      <c r="B177" s="222">
        <v>53090</v>
      </c>
      <c r="C177" s="98" t="s">
        <v>623</v>
      </c>
      <c r="E177" s="98" t="s">
        <v>135</v>
      </c>
    </row>
    <row r="178" spans="1:5" ht="16.5" thickTop="1" thickBot="1">
      <c r="A178" s="178">
        <v>341443</v>
      </c>
      <c r="B178" s="222">
        <v>53090</v>
      </c>
      <c r="C178" s="98" t="s">
        <v>623</v>
      </c>
      <c r="E178" s="98" t="s">
        <v>135</v>
      </c>
    </row>
    <row r="179" spans="1:5" ht="16.5" thickTop="1" thickBot="1">
      <c r="A179" s="178">
        <v>341444</v>
      </c>
      <c r="B179" s="222">
        <v>53090</v>
      </c>
      <c r="C179" s="98" t="s">
        <v>623</v>
      </c>
      <c r="E179" s="98" t="s">
        <v>135</v>
      </c>
    </row>
    <row r="180" spans="1:5" ht="16.5" thickTop="1" thickBot="1">
      <c r="A180" s="178">
        <v>341445</v>
      </c>
      <c r="B180" s="222">
        <v>53090</v>
      </c>
      <c r="C180" s="98" t="s">
        <v>623</v>
      </c>
      <c r="E180" s="98" t="s">
        <v>135</v>
      </c>
    </row>
    <row r="181" spans="1:5" ht="16.5" thickTop="1" thickBot="1">
      <c r="A181" s="178">
        <v>341446</v>
      </c>
      <c r="B181" s="222">
        <v>53090</v>
      </c>
      <c r="C181" s="98" t="s">
        <v>623</v>
      </c>
      <c r="E181" s="98" t="s">
        <v>135</v>
      </c>
    </row>
    <row r="182" spans="1:5" ht="16.5" thickTop="1" thickBot="1">
      <c r="A182" s="178">
        <v>341449</v>
      </c>
      <c r="B182" s="222">
        <v>53090</v>
      </c>
      <c r="C182" s="98" t="s">
        <v>623</v>
      </c>
      <c r="E182" s="98" t="s">
        <v>135</v>
      </c>
    </row>
    <row r="183" spans="1:5" ht="16.5" thickTop="1" thickBot="1">
      <c r="A183" s="178">
        <v>341447</v>
      </c>
      <c r="B183" s="222">
        <v>53090</v>
      </c>
      <c r="C183" s="98" t="s">
        <v>623</v>
      </c>
      <c r="E183" s="98" t="s">
        <v>135</v>
      </c>
    </row>
    <row r="184" spans="1:5" ht="16.5" thickTop="1" thickBot="1">
      <c r="A184" s="178">
        <v>341448</v>
      </c>
      <c r="B184" s="222">
        <v>53090</v>
      </c>
      <c r="C184" s="98" t="s">
        <v>623</v>
      </c>
      <c r="E184" s="98" t="s">
        <v>135</v>
      </c>
    </row>
    <row r="185" spans="1:5" ht="16.5" thickTop="1" thickBot="1">
      <c r="A185" s="178">
        <v>341450</v>
      </c>
      <c r="B185" s="222">
        <v>53090</v>
      </c>
      <c r="C185" s="98" t="s">
        <v>623</v>
      </c>
      <c r="E185" s="98" t="s">
        <v>135</v>
      </c>
    </row>
    <row r="186" spans="1:5" ht="16.5" thickTop="1" thickBot="1">
      <c r="A186" s="178">
        <v>341442</v>
      </c>
      <c r="B186" s="222">
        <v>53090</v>
      </c>
      <c r="C186" s="98" t="s">
        <v>623</v>
      </c>
      <c r="E186" s="98" t="s">
        <v>135</v>
      </c>
    </row>
    <row r="187" spans="1:5" ht="16.5" thickTop="1" thickBot="1">
      <c r="A187" s="178">
        <v>132562</v>
      </c>
      <c r="B187" s="222">
        <v>52260</v>
      </c>
      <c r="C187" s="98" t="s">
        <v>623</v>
      </c>
      <c r="E187" s="98" t="s">
        <v>135</v>
      </c>
    </row>
    <row r="188" spans="1:5" ht="16.5" thickTop="1" thickBot="1">
      <c r="A188" s="126">
        <v>132563</v>
      </c>
      <c r="B188" s="222">
        <v>52260</v>
      </c>
      <c r="C188" s="98" t="s">
        <v>623</v>
      </c>
      <c r="E188" s="98" t="s">
        <v>135</v>
      </c>
    </row>
    <row r="189" spans="1:5" ht="16.5" thickTop="1" thickBot="1">
      <c r="A189" s="126">
        <v>132564</v>
      </c>
      <c r="B189" s="222">
        <v>52260</v>
      </c>
      <c r="C189" s="98" t="s">
        <v>623</v>
      </c>
      <c r="E189" s="98" t="s">
        <v>135</v>
      </c>
    </row>
    <row r="190" spans="1:5" ht="16.5" thickTop="1" thickBot="1">
      <c r="A190" s="126">
        <v>132565</v>
      </c>
      <c r="B190" s="222">
        <v>52260</v>
      </c>
      <c r="C190" s="98" t="s">
        <v>623</v>
      </c>
      <c r="E190" s="98" t="s">
        <v>135</v>
      </c>
    </row>
    <row r="191" spans="1:5" ht="16.5" thickTop="1" thickBot="1">
      <c r="A191" s="126">
        <v>132566</v>
      </c>
      <c r="B191" s="222">
        <v>52260</v>
      </c>
      <c r="C191" s="98" t="s">
        <v>623</v>
      </c>
      <c r="E191" s="98" t="s">
        <v>135</v>
      </c>
    </row>
    <row r="192" spans="1:5" ht="16.5" thickTop="1" thickBot="1">
      <c r="A192" s="126">
        <v>132567</v>
      </c>
      <c r="B192" s="222">
        <v>52260</v>
      </c>
      <c r="C192" s="98" t="s">
        <v>623</v>
      </c>
      <c r="E192" s="98" t="s">
        <v>135</v>
      </c>
    </row>
    <row r="193" spans="1:5" ht="16.5" thickTop="1" thickBot="1">
      <c r="A193" s="126">
        <v>132568</v>
      </c>
      <c r="B193" s="222">
        <v>52260</v>
      </c>
      <c r="C193" s="98" t="s">
        <v>623</v>
      </c>
      <c r="E193" s="98" t="s">
        <v>135</v>
      </c>
    </row>
    <row r="194" spans="1:5" ht="16.5" thickTop="1" thickBot="1">
      <c r="A194" s="126">
        <v>132569</v>
      </c>
      <c r="B194" s="222">
        <v>52260</v>
      </c>
      <c r="C194" s="98" t="s">
        <v>623</v>
      </c>
      <c r="E194" s="98" t="s">
        <v>135</v>
      </c>
    </row>
    <row r="195" spans="1:5" ht="16.5" thickTop="1" thickBot="1">
      <c r="A195" s="126">
        <v>132570</v>
      </c>
      <c r="B195" s="222">
        <v>52260</v>
      </c>
      <c r="C195" s="98" t="s">
        <v>623</v>
      </c>
      <c r="E195" s="98" t="s">
        <v>135</v>
      </c>
    </row>
    <row r="196" spans="1:5" ht="16.5" thickTop="1" thickBot="1">
      <c r="A196" s="126">
        <v>132571</v>
      </c>
      <c r="B196" s="222">
        <v>52260</v>
      </c>
      <c r="C196" s="98" t="s">
        <v>623</v>
      </c>
      <c r="E196" s="98" t="s">
        <v>135</v>
      </c>
    </row>
    <row r="197" spans="1:5" ht="16.5" thickTop="1" thickBot="1">
      <c r="A197" s="126">
        <v>132573</v>
      </c>
      <c r="B197" s="222">
        <v>52260</v>
      </c>
      <c r="C197" s="98" t="s">
        <v>623</v>
      </c>
      <c r="E197" s="98" t="s">
        <v>135</v>
      </c>
    </row>
    <row r="198" spans="1:5" ht="16.5" thickTop="1" thickBot="1">
      <c r="A198" s="126">
        <v>132561</v>
      </c>
      <c r="B198" s="222">
        <v>52260</v>
      </c>
      <c r="C198" s="98" t="s">
        <v>623</v>
      </c>
      <c r="E198" s="98" t="s">
        <v>135</v>
      </c>
    </row>
    <row r="199" spans="1:5" ht="16.5" thickTop="1" thickBot="1">
      <c r="A199" s="126">
        <v>132587</v>
      </c>
      <c r="B199" s="221">
        <v>51390</v>
      </c>
      <c r="C199" s="98" t="s">
        <v>624</v>
      </c>
      <c r="E199" s="98" t="s">
        <v>131</v>
      </c>
    </row>
    <row r="200" spans="1:5" ht="16.5" thickTop="1" thickBot="1">
      <c r="A200" s="178">
        <v>341455</v>
      </c>
      <c r="B200" s="222">
        <v>52220</v>
      </c>
      <c r="C200" s="98" t="s">
        <v>624</v>
      </c>
      <c r="E200" s="98" t="s">
        <v>131</v>
      </c>
    </row>
    <row r="201" spans="1:5" ht="16.5" thickTop="1" thickBot="1">
      <c r="A201" s="126">
        <v>341454</v>
      </c>
      <c r="B201" s="222">
        <v>53090</v>
      </c>
      <c r="C201" s="98" t="s">
        <v>624</v>
      </c>
      <c r="E201" s="98" t="s">
        <v>131</v>
      </c>
    </row>
    <row r="202" spans="1:5" ht="16.5" thickTop="1" thickBot="1">
      <c r="A202" s="178">
        <v>341466</v>
      </c>
      <c r="B202" s="222">
        <v>53090</v>
      </c>
      <c r="C202" s="98" t="s">
        <v>624</v>
      </c>
      <c r="E202" s="98" t="s">
        <v>131</v>
      </c>
    </row>
    <row r="203" spans="1:5" ht="16.5" thickTop="1" thickBot="1">
      <c r="A203" s="178">
        <v>341465</v>
      </c>
      <c r="B203" s="222">
        <v>53090</v>
      </c>
      <c r="C203" s="98" t="s">
        <v>624</v>
      </c>
      <c r="E203" s="98" t="s">
        <v>131</v>
      </c>
    </row>
    <row r="204" spans="1:5" ht="16.5" thickTop="1" thickBot="1">
      <c r="A204" s="178">
        <v>341457</v>
      </c>
      <c r="B204" s="222">
        <v>53090</v>
      </c>
      <c r="C204" s="98" t="s">
        <v>624</v>
      </c>
      <c r="E204" s="98" t="s">
        <v>131</v>
      </c>
    </row>
    <row r="205" spans="1:5" ht="16.5" thickTop="1" thickBot="1">
      <c r="A205" s="178">
        <v>341458</v>
      </c>
      <c r="B205" s="222">
        <v>53090</v>
      </c>
      <c r="C205" s="98" t="s">
        <v>624</v>
      </c>
      <c r="E205" s="98" t="s">
        <v>131</v>
      </c>
    </row>
    <row r="206" spans="1:5" ht="16.5" thickTop="1" thickBot="1">
      <c r="A206" s="178">
        <v>341459</v>
      </c>
      <c r="B206" s="222">
        <v>53090</v>
      </c>
      <c r="C206" s="98" t="s">
        <v>624</v>
      </c>
      <c r="E206" s="98" t="s">
        <v>131</v>
      </c>
    </row>
    <row r="207" spans="1:5" ht="16.5" thickTop="1" thickBot="1">
      <c r="A207" s="178">
        <v>341460</v>
      </c>
      <c r="B207" s="222">
        <v>53090</v>
      </c>
      <c r="C207" s="98" t="s">
        <v>624</v>
      </c>
      <c r="E207" s="98" t="s">
        <v>131</v>
      </c>
    </row>
    <row r="208" spans="1:5" ht="16.5" thickTop="1" thickBot="1">
      <c r="A208" s="178">
        <v>341463</v>
      </c>
      <c r="B208" s="222">
        <v>53090</v>
      </c>
      <c r="C208" s="98" t="s">
        <v>624</v>
      </c>
      <c r="E208" s="98" t="s">
        <v>131</v>
      </c>
    </row>
    <row r="209" spans="1:5" ht="16.5" thickTop="1" thickBot="1">
      <c r="A209" s="178">
        <v>341461</v>
      </c>
      <c r="B209" s="222">
        <v>53090</v>
      </c>
      <c r="C209" s="98" t="s">
        <v>624</v>
      </c>
      <c r="E209" s="98" t="s">
        <v>131</v>
      </c>
    </row>
    <row r="210" spans="1:5" ht="16.5" thickTop="1" thickBot="1">
      <c r="A210" s="178">
        <v>341462</v>
      </c>
      <c r="B210" s="222">
        <v>53090</v>
      </c>
      <c r="C210" s="98" t="s">
        <v>624</v>
      </c>
      <c r="E210" s="98" t="s">
        <v>131</v>
      </c>
    </row>
    <row r="211" spans="1:5" ht="16.5" thickTop="1" thickBot="1">
      <c r="A211" s="178">
        <v>341464</v>
      </c>
      <c r="B211" s="222">
        <v>53090</v>
      </c>
      <c r="C211" s="98" t="s">
        <v>624</v>
      </c>
      <c r="E211" s="98" t="s">
        <v>131</v>
      </c>
    </row>
    <row r="212" spans="1:5" ht="16.5" thickTop="1" thickBot="1">
      <c r="A212" s="178">
        <v>341456</v>
      </c>
      <c r="B212" s="222">
        <v>53090</v>
      </c>
      <c r="C212" s="98" t="s">
        <v>624</v>
      </c>
      <c r="E212" s="98" t="s">
        <v>131</v>
      </c>
    </row>
    <row r="213" spans="1:5" ht="16.5" thickTop="1" thickBot="1">
      <c r="A213" s="178">
        <v>132576</v>
      </c>
      <c r="B213" s="222">
        <v>52260</v>
      </c>
      <c r="C213" s="98" t="s">
        <v>624</v>
      </c>
      <c r="E213" s="98" t="s">
        <v>131</v>
      </c>
    </row>
    <row r="214" spans="1:5" ht="16.5" thickTop="1" thickBot="1">
      <c r="A214" s="126">
        <v>132577</v>
      </c>
      <c r="B214" s="222">
        <v>52260</v>
      </c>
      <c r="C214" s="98" t="s">
        <v>624</v>
      </c>
      <c r="E214" s="98" t="s">
        <v>131</v>
      </c>
    </row>
    <row r="215" spans="1:5" ht="16.5" thickTop="1" thickBot="1">
      <c r="A215" s="126">
        <v>132578</v>
      </c>
      <c r="B215" s="222">
        <v>52260</v>
      </c>
      <c r="C215" s="98" t="s">
        <v>624</v>
      </c>
      <c r="E215" s="98" t="s">
        <v>131</v>
      </c>
    </row>
    <row r="216" spans="1:5" ht="16.5" thickTop="1" thickBot="1">
      <c r="A216" s="126">
        <v>132579</v>
      </c>
      <c r="B216" s="222">
        <v>52260</v>
      </c>
      <c r="C216" s="98" t="s">
        <v>624</v>
      </c>
      <c r="E216" s="98" t="s">
        <v>131</v>
      </c>
    </row>
    <row r="217" spans="1:5" ht="16.5" thickTop="1" thickBot="1">
      <c r="A217" s="126">
        <v>132580</v>
      </c>
      <c r="B217" s="222">
        <v>52260</v>
      </c>
      <c r="C217" s="98" t="s">
        <v>624</v>
      </c>
      <c r="E217" s="98" t="s">
        <v>131</v>
      </c>
    </row>
    <row r="218" spans="1:5" ht="16.5" thickTop="1" thickBot="1">
      <c r="A218" s="126">
        <v>132581</v>
      </c>
      <c r="B218" s="222">
        <v>52260</v>
      </c>
      <c r="C218" s="98" t="s">
        <v>624</v>
      </c>
      <c r="E218" s="98" t="s">
        <v>131</v>
      </c>
    </row>
    <row r="219" spans="1:5" ht="16.5" thickTop="1" thickBot="1">
      <c r="A219" s="126">
        <v>132582</v>
      </c>
      <c r="B219" s="222">
        <v>52260</v>
      </c>
      <c r="C219" s="98" t="s">
        <v>624</v>
      </c>
      <c r="E219" s="98" t="s">
        <v>131</v>
      </c>
    </row>
    <row r="220" spans="1:5" ht="16.5" thickTop="1" thickBot="1">
      <c r="A220" s="126">
        <v>132583</v>
      </c>
      <c r="B220" s="222">
        <v>52260</v>
      </c>
      <c r="C220" s="98" t="s">
        <v>624</v>
      </c>
      <c r="E220" s="98" t="s">
        <v>131</v>
      </c>
    </row>
    <row r="221" spans="1:5" ht="16.5" thickTop="1" thickBot="1">
      <c r="A221" s="126">
        <v>132584</v>
      </c>
      <c r="B221" s="222">
        <v>52260</v>
      </c>
      <c r="C221" s="98" t="s">
        <v>624</v>
      </c>
      <c r="E221" s="98" t="s">
        <v>131</v>
      </c>
    </row>
    <row r="222" spans="1:5" ht="16.5" thickTop="1" thickBot="1">
      <c r="A222" s="126">
        <v>132585</v>
      </c>
      <c r="B222" s="222">
        <v>52260</v>
      </c>
      <c r="C222" s="98" t="s">
        <v>624</v>
      </c>
      <c r="E222" s="98" t="s">
        <v>131</v>
      </c>
    </row>
    <row r="223" spans="1:5" ht="16.5" thickTop="1" thickBot="1">
      <c r="A223" s="126">
        <v>132586</v>
      </c>
      <c r="B223" s="222">
        <v>52260</v>
      </c>
      <c r="C223" s="98" t="s">
        <v>624</v>
      </c>
      <c r="E223" s="98" t="s">
        <v>131</v>
      </c>
    </row>
    <row r="224" spans="1:5" ht="16.5" thickTop="1" thickBot="1">
      <c r="A224" s="126">
        <v>132575</v>
      </c>
      <c r="B224" s="222">
        <v>52260</v>
      </c>
      <c r="C224" s="98" t="s">
        <v>624</v>
      </c>
      <c r="E224" s="98" t="s">
        <v>131</v>
      </c>
    </row>
    <row r="225" spans="1:5" ht="16.5" thickTop="1" thickBot="1">
      <c r="A225" s="126">
        <v>132602</v>
      </c>
      <c r="B225" s="221">
        <v>50590</v>
      </c>
      <c r="C225" s="98" t="s">
        <v>620</v>
      </c>
      <c r="E225" s="98" t="s">
        <v>129</v>
      </c>
    </row>
    <row r="226" spans="1:5" ht="16.5" thickTop="1" thickBot="1">
      <c r="A226" s="126">
        <v>341473</v>
      </c>
      <c r="B226" s="222">
        <v>51420</v>
      </c>
      <c r="C226" s="98" t="s">
        <v>620</v>
      </c>
      <c r="E226" s="98" t="s">
        <v>129</v>
      </c>
    </row>
    <row r="227" spans="1:5" ht="16.5" thickTop="1" thickBot="1">
      <c r="A227" s="178">
        <v>341484</v>
      </c>
      <c r="B227" s="222">
        <v>52290</v>
      </c>
      <c r="C227" s="98" t="s">
        <v>620</v>
      </c>
      <c r="E227" s="98" t="s">
        <v>129</v>
      </c>
    </row>
    <row r="228" spans="1:5" ht="16.5" thickTop="1" thickBot="1">
      <c r="A228" s="178">
        <v>341483</v>
      </c>
      <c r="B228" s="222">
        <v>52290</v>
      </c>
      <c r="C228" s="98" t="s">
        <v>620</v>
      </c>
      <c r="E228" s="98" t="s">
        <v>129</v>
      </c>
    </row>
    <row r="229" spans="1:5" ht="16.5" thickTop="1" thickBot="1">
      <c r="A229" s="178">
        <v>341475</v>
      </c>
      <c r="B229" s="222">
        <v>52290</v>
      </c>
      <c r="C229" s="98" t="s">
        <v>620</v>
      </c>
      <c r="E229" s="98" t="s">
        <v>129</v>
      </c>
    </row>
    <row r="230" spans="1:5" ht="16.5" thickTop="1" thickBot="1">
      <c r="A230" s="178">
        <v>341476</v>
      </c>
      <c r="B230" s="222">
        <v>52290</v>
      </c>
      <c r="C230" s="98" t="s">
        <v>620</v>
      </c>
      <c r="E230" s="98" t="s">
        <v>129</v>
      </c>
    </row>
    <row r="231" spans="1:5" ht="16.5" thickTop="1" thickBot="1">
      <c r="A231" s="178">
        <v>341477</v>
      </c>
      <c r="B231" s="222">
        <v>52290</v>
      </c>
      <c r="C231" s="98" t="s">
        <v>620</v>
      </c>
      <c r="E231" s="98" t="s">
        <v>129</v>
      </c>
    </row>
    <row r="232" spans="1:5" ht="16.5" thickTop="1" thickBot="1">
      <c r="A232" s="178">
        <v>341478</v>
      </c>
      <c r="B232" s="222">
        <v>52290</v>
      </c>
      <c r="C232" s="98" t="s">
        <v>620</v>
      </c>
      <c r="E232" s="98" t="s">
        <v>129</v>
      </c>
    </row>
    <row r="233" spans="1:5" ht="16.5" thickTop="1" thickBot="1">
      <c r="A233" s="178">
        <v>341481</v>
      </c>
      <c r="B233" s="222">
        <v>52290</v>
      </c>
      <c r="C233" s="98" t="s">
        <v>620</v>
      </c>
      <c r="E233" s="98" t="s">
        <v>129</v>
      </c>
    </row>
    <row r="234" spans="1:5" ht="16.5" thickTop="1" thickBot="1">
      <c r="A234" s="178">
        <v>341479</v>
      </c>
      <c r="B234" s="222">
        <v>52290</v>
      </c>
      <c r="C234" s="98" t="s">
        <v>620</v>
      </c>
      <c r="E234" s="98" t="s">
        <v>129</v>
      </c>
    </row>
    <row r="235" spans="1:5" ht="16.5" thickTop="1" thickBot="1">
      <c r="A235" s="178">
        <v>341480</v>
      </c>
      <c r="B235" s="222">
        <v>52290</v>
      </c>
      <c r="C235" s="98" t="s">
        <v>620</v>
      </c>
      <c r="E235" s="98" t="s">
        <v>129</v>
      </c>
    </row>
    <row r="236" spans="1:5" ht="16.5" thickTop="1" thickBot="1">
      <c r="A236" s="178">
        <v>341482</v>
      </c>
      <c r="B236" s="222">
        <v>52290</v>
      </c>
      <c r="C236" s="98" t="s">
        <v>620</v>
      </c>
      <c r="E236" s="98" t="s">
        <v>129</v>
      </c>
    </row>
    <row r="237" spans="1:5" ht="16.5" thickTop="1" thickBot="1">
      <c r="A237" s="178">
        <v>341474</v>
      </c>
      <c r="B237" s="222">
        <v>52290</v>
      </c>
      <c r="C237" s="98" t="s">
        <v>620</v>
      </c>
      <c r="E237" s="98" t="s">
        <v>129</v>
      </c>
    </row>
    <row r="238" spans="1:5" ht="16.5" thickTop="1" thickBot="1">
      <c r="A238" s="178">
        <v>341472</v>
      </c>
      <c r="B238" s="222">
        <v>52290</v>
      </c>
      <c r="C238" s="98" t="s">
        <v>620</v>
      </c>
      <c r="E238" s="98" t="s">
        <v>129</v>
      </c>
    </row>
    <row r="239" spans="1:5" ht="16.5" thickTop="1" thickBot="1">
      <c r="A239" s="178">
        <v>132591</v>
      </c>
      <c r="B239" s="222">
        <v>51460</v>
      </c>
      <c r="C239" s="98" t="s">
        <v>620</v>
      </c>
      <c r="E239" s="98" t="s">
        <v>129</v>
      </c>
    </row>
    <row r="240" spans="1:5" ht="16.5" thickTop="1" thickBot="1">
      <c r="A240" s="126">
        <v>132592</v>
      </c>
      <c r="B240" s="222">
        <v>51460</v>
      </c>
      <c r="C240" s="98" t="s">
        <v>620</v>
      </c>
      <c r="E240" s="98" t="s">
        <v>129</v>
      </c>
    </row>
    <row r="241" spans="1:5" ht="16.5" thickTop="1" thickBot="1">
      <c r="A241" s="126">
        <v>132593</v>
      </c>
      <c r="B241" s="222">
        <v>51460</v>
      </c>
      <c r="C241" s="98" t="s">
        <v>620</v>
      </c>
      <c r="E241" s="98" t="s">
        <v>129</v>
      </c>
    </row>
    <row r="242" spans="1:5" ht="16.5" thickTop="1" thickBot="1">
      <c r="A242" s="126">
        <v>132594</v>
      </c>
      <c r="B242" s="222">
        <v>51460</v>
      </c>
      <c r="C242" s="98" t="s">
        <v>620</v>
      </c>
      <c r="E242" s="98" t="s">
        <v>129</v>
      </c>
    </row>
    <row r="243" spans="1:5" ht="16.5" thickTop="1" thickBot="1">
      <c r="A243" s="126">
        <v>132595</v>
      </c>
      <c r="B243" s="222">
        <v>51460</v>
      </c>
      <c r="C243" s="98" t="s">
        <v>620</v>
      </c>
      <c r="E243" s="98" t="s">
        <v>129</v>
      </c>
    </row>
    <row r="244" spans="1:5" ht="16.5" thickTop="1" thickBot="1">
      <c r="A244" s="126">
        <v>132596</v>
      </c>
      <c r="B244" s="222">
        <v>51460</v>
      </c>
      <c r="C244" s="98" t="s">
        <v>620</v>
      </c>
      <c r="E244" s="98" t="s">
        <v>129</v>
      </c>
    </row>
    <row r="245" spans="1:5" ht="16.5" thickTop="1" thickBot="1">
      <c r="A245" s="126">
        <v>132597</v>
      </c>
      <c r="B245" s="222">
        <v>51460</v>
      </c>
      <c r="C245" s="98" t="s">
        <v>620</v>
      </c>
      <c r="E245" s="98" t="s">
        <v>129</v>
      </c>
    </row>
    <row r="246" spans="1:5" ht="16.5" thickTop="1" thickBot="1">
      <c r="A246" s="126">
        <v>132598</v>
      </c>
      <c r="B246" s="222">
        <v>51460</v>
      </c>
      <c r="C246" s="98" t="s">
        <v>620</v>
      </c>
      <c r="E246" s="98" t="s">
        <v>129</v>
      </c>
    </row>
    <row r="247" spans="1:5" ht="16.5" thickTop="1" thickBot="1">
      <c r="A247" s="126">
        <v>132599</v>
      </c>
      <c r="B247" s="222">
        <v>51460</v>
      </c>
      <c r="C247" s="98" t="s">
        <v>620</v>
      </c>
      <c r="E247" s="98" t="s">
        <v>129</v>
      </c>
    </row>
    <row r="248" spans="1:5" ht="16.5" thickTop="1" thickBot="1">
      <c r="A248" s="126">
        <v>132600</v>
      </c>
      <c r="B248" s="222">
        <v>51460</v>
      </c>
      <c r="C248" s="98" t="s">
        <v>620</v>
      </c>
      <c r="E248" s="98" t="s">
        <v>129</v>
      </c>
    </row>
    <row r="249" spans="1:5" ht="16.5" thickTop="1" thickBot="1">
      <c r="A249" s="126">
        <v>132601</v>
      </c>
      <c r="B249" s="222">
        <v>51460</v>
      </c>
      <c r="C249" s="98" t="s">
        <v>620</v>
      </c>
      <c r="E249" s="98" t="s">
        <v>129</v>
      </c>
    </row>
    <row r="250" spans="1:5" ht="16.5" thickTop="1" thickBot="1">
      <c r="A250" s="126">
        <v>132590</v>
      </c>
      <c r="B250" s="222">
        <v>51460</v>
      </c>
      <c r="C250" s="98" t="s">
        <v>620</v>
      </c>
      <c r="E250" s="98" t="s">
        <v>129</v>
      </c>
    </row>
    <row r="251" spans="1:5" ht="16.5" thickTop="1" thickBot="1">
      <c r="A251" s="126">
        <v>132616</v>
      </c>
      <c r="B251" s="221">
        <v>51390</v>
      </c>
      <c r="C251" s="98" t="s">
        <v>621</v>
      </c>
      <c r="E251" s="98" t="s">
        <v>133</v>
      </c>
    </row>
    <row r="252" spans="1:5" ht="16.5" thickTop="1" thickBot="1">
      <c r="A252" s="178">
        <v>341495</v>
      </c>
      <c r="B252" s="222">
        <v>52220</v>
      </c>
      <c r="C252" s="98" t="s">
        <v>621</v>
      </c>
      <c r="E252" s="98" t="s">
        <v>133</v>
      </c>
    </row>
    <row r="253" spans="1:5" ht="16.5" thickTop="1" thickBot="1">
      <c r="A253" s="126">
        <v>341494</v>
      </c>
      <c r="B253" s="222">
        <v>53090</v>
      </c>
      <c r="C253" s="98" t="s">
        <v>621</v>
      </c>
      <c r="E253" s="98" t="s">
        <v>133</v>
      </c>
    </row>
    <row r="254" spans="1:5" ht="16.5" thickTop="1" thickBot="1">
      <c r="A254" s="178">
        <v>341506</v>
      </c>
      <c r="B254" s="222">
        <v>53090</v>
      </c>
      <c r="C254" s="98" t="s">
        <v>621</v>
      </c>
      <c r="E254" s="98" t="s">
        <v>133</v>
      </c>
    </row>
    <row r="255" spans="1:5" ht="16.5" thickTop="1" thickBot="1">
      <c r="A255" s="178">
        <v>341505</v>
      </c>
      <c r="B255" s="222">
        <v>53090</v>
      </c>
      <c r="C255" s="98" t="s">
        <v>621</v>
      </c>
      <c r="E255" s="98" t="s">
        <v>133</v>
      </c>
    </row>
    <row r="256" spans="1:5" ht="16.5" thickTop="1" thickBot="1">
      <c r="A256" s="178">
        <v>341497</v>
      </c>
      <c r="B256" s="222">
        <v>53090</v>
      </c>
      <c r="C256" s="98" t="s">
        <v>621</v>
      </c>
      <c r="E256" s="98" t="s">
        <v>133</v>
      </c>
    </row>
    <row r="257" spans="1:5" ht="16.5" thickTop="1" thickBot="1">
      <c r="A257" s="178">
        <v>341498</v>
      </c>
      <c r="B257" s="222">
        <v>53090</v>
      </c>
      <c r="C257" s="98" t="s">
        <v>621</v>
      </c>
      <c r="E257" s="98" t="s">
        <v>133</v>
      </c>
    </row>
    <row r="258" spans="1:5" ht="16.5" thickTop="1" thickBot="1">
      <c r="A258" s="178">
        <v>341499</v>
      </c>
      <c r="B258" s="222">
        <v>53090</v>
      </c>
      <c r="C258" s="98" t="s">
        <v>621</v>
      </c>
      <c r="E258" s="98" t="s">
        <v>133</v>
      </c>
    </row>
    <row r="259" spans="1:5" ht="16.5" thickTop="1" thickBot="1">
      <c r="A259" s="178">
        <v>341500</v>
      </c>
      <c r="B259" s="222">
        <v>53090</v>
      </c>
      <c r="C259" s="98" t="s">
        <v>621</v>
      </c>
      <c r="E259" s="98" t="s">
        <v>133</v>
      </c>
    </row>
    <row r="260" spans="1:5" ht="16.5" thickTop="1" thickBot="1">
      <c r="A260" s="178">
        <v>341503</v>
      </c>
      <c r="B260" s="222">
        <v>53090</v>
      </c>
      <c r="C260" s="98" t="s">
        <v>621</v>
      </c>
      <c r="E260" s="98" t="s">
        <v>133</v>
      </c>
    </row>
    <row r="261" spans="1:5" ht="16.5" thickTop="1" thickBot="1">
      <c r="A261" s="178">
        <v>341501</v>
      </c>
      <c r="B261" s="222">
        <v>53090</v>
      </c>
      <c r="C261" s="98" t="s">
        <v>621</v>
      </c>
      <c r="E261" s="98" t="s">
        <v>133</v>
      </c>
    </row>
    <row r="262" spans="1:5" ht="16.5" thickTop="1" thickBot="1">
      <c r="A262" s="178">
        <v>341502</v>
      </c>
      <c r="B262" s="222">
        <v>53090</v>
      </c>
      <c r="C262" s="98" t="s">
        <v>621</v>
      </c>
      <c r="E262" s="98" t="s">
        <v>133</v>
      </c>
    </row>
    <row r="263" spans="1:5" ht="16.5" thickTop="1" thickBot="1">
      <c r="A263" s="178">
        <v>341504</v>
      </c>
      <c r="B263" s="222">
        <v>53090</v>
      </c>
      <c r="C263" s="98" t="s">
        <v>621</v>
      </c>
      <c r="E263" s="98" t="s">
        <v>133</v>
      </c>
    </row>
    <row r="264" spans="1:5" ht="16.5" thickTop="1" thickBot="1">
      <c r="A264" s="178">
        <v>341496</v>
      </c>
      <c r="B264" s="222">
        <v>53090</v>
      </c>
      <c r="C264" s="98" t="s">
        <v>621</v>
      </c>
      <c r="E264" s="98" t="s">
        <v>133</v>
      </c>
    </row>
    <row r="265" spans="1:5" ht="16.5" thickTop="1" thickBot="1">
      <c r="A265" s="178">
        <v>132605</v>
      </c>
      <c r="B265" s="222">
        <v>52260</v>
      </c>
      <c r="C265" s="98" t="s">
        <v>621</v>
      </c>
      <c r="E265" s="98" t="s">
        <v>133</v>
      </c>
    </row>
    <row r="266" spans="1:5" ht="16.5" thickTop="1" thickBot="1">
      <c r="A266" s="126">
        <v>132606</v>
      </c>
      <c r="B266" s="222">
        <v>52260</v>
      </c>
      <c r="C266" s="98" t="s">
        <v>621</v>
      </c>
      <c r="E266" s="98" t="s">
        <v>133</v>
      </c>
    </row>
    <row r="267" spans="1:5" ht="16.5" thickTop="1" thickBot="1">
      <c r="A267" s="126">
        <v>132607</v>
      </c>
      <c r="B267" s="222">
        <v>52260</v>
      </c>
      <c r="C267" s="98" t="s">
        <v>621</v>
      </c>
      <c r="E267" s="98" t="s">
        <v>133</v>
      </c>
    </row>
    <row r="268" spans="1:5" ht="16.5" thickTop="1" thickBot="1">
      <c r="A268" s="126">
        <v>132608</v>
      </c>
      <c r="B268" s="222">
        <v>52260</v>
      </c>
      <c r="C268" s="98" t="s">
        <v>621</v>
      </c>
      <c r="E268" s="98" t="s">
        <v>133</v>
      </c>
    </row>
    <row r="269" spans="1:5" ht="16.5" thickTop="1" thickBot="1">
      <c r="A269" s="126">
        <v>132609</v>
      </c>
      <c r="B269" s="222">
        <v>52260</v>
      </c>
      <c r="C269" s="98" t="s">
        <v>621</v>
      </c>
      <c r="E269" s="98" t="s">
        <v>133</v>
      </c>
    </row>
    <row r="270" spans="1:5" ht="16.5" thickTop="1" thickBot="1">
      <c r="A270" s="126">
        <v>132610</v>
      </c>
      <c r="B270" s="222">
        <v>52260</v>
      </c>
      <c r="C270" s="98" t="s">
        <v>621</v>
      </c>
      <c r="E270" s="98" t="s">
        <v>133</v>
      </c>
    </row>
    <row r="271" spans="1:5" ht="16.5" thickTop="1" thickBot="1">
      <c r="A271" s="126">
        <v>132611</v>
      </c>
      <c r="B271" s="222">
        <v>52260</v>
      </c>
      <c r="C271" s="98" t="s">
        <v>621</v>
      </c>
      <c r="E271" s="98" t="s">
        <v>133</v>
      </c>
    </row>
    <row r="272" spans="1:5" ht="16.5" thickTop="1" thickBot="1">
      <c r="A272" s="126">
        <v>132612</v>
      </c>
      <c r="B272" s="222">
        <v>52260</v>
      </c>
      <c r="C272" s="98" t="s">
        <v>621</v>
      </c>
      <c r="E272" s="98" t="s">
        <v>133</v>
      </c>
    </row>
    <row r="273" spans="1:5" ht="16.5" thickTop="1" thickBot="1">
      <c r="A273" s="126">
        <v>132613</v>
      </c>
      <c r="B273" s="222">
        <v>52260</v>
      </c>
      <c r="C273" s="98" t="s">
        <v>621</v>
      </c>
      <c r="E273" s="98" t="s">
        <v>133</v>
      </c>
    </row>
    <row r="274" spans="1:5" ht="16.5" thickTop="1" thickBot="1">
      <c r="A274" s="126">
        <v>132614</v>
      </c>
      <c r="B274" s="222">
        <v>52260</v>
      </c>
      <c r="C274" s="98" t="s">
        <v>621</v>
      </c>
      <c r="E274" s="98" t="s">
        <v>133</v>
      </c>
    </row>
    <row r="275" spans="1:5" ht="16.5" thickTop="1" thickBot="1">
      <c r="A275" s="126">
        <v>132615</v>
      </c>
      <c r="B275" s="222">
        <v>52260</v>
      </c>
      <c r="C275" s="98" t="s">
        <v>621</v>
      </c>
      <c r="E275" s="98" t="s">
        <v>133</v>
      </c>
    </row>
    <row r="276" spans="1:5" ht="16.5" thickTop="1" thickBot="1">
      <c r="A276" s="126">
        <v>132604</v>
      </c>
      <c r="B276" s="222">
        <v>52260</v>
      </c>
      <c r="C276" s="98" t="s">
        <v>621</v>
      </c>
      <c r="E276" s="98" t="s">
        <v>133</v>
      </c>
    </row>
    <row r="277" spans="1:5" ht="16.5" thickTop="1" thickBot="1">
      <c r="A277" s="126">
        <v>132630</v>
      </c>
      <c r="B277" s="221">
        <v>51390</v>
      </c>
      <c r="C277" s="98" t="s">
        <v>622</v>
      </c>
      <c r="E277" s="98" t="s">
        <v>132</v>
      </c>
    </row>
    <row r="278" spans="1:5" ht="16.5" thickTop="1" thickBot="1">
      <c r="A278" s="178">
        <v>341550</v>
      </c>
      <c r="B278" s="222">
        <v>52220</v>
      </c>
      <c r="C278" s="98" t="s">
        <v>622</v>
      </c>
      <c r="E278" s="98" t="s">
        <v>132</v>
      </c>
    </row>
    <row r="279" spans="1:5" ht="16.5" thickTop="1" thickBot="1">
      <c r="A279" s="126">
        <v>341549</v>
      </c>
      <c r="B279" s="222">
        <v>53090</v>
      </c>
      <c r="C279" s="98" t="s">
        <v>622</v>
      </c>
      <c r="E279" s="98" t="s">
        <v>132</v>
      </c>
    </row>
    <row r="280" spans="1:5" ht="16.5" thickTop="1" thickBot="1">
      <c r="A280" s="178">
        <v>341561</v>
      </c>
      <c r="B280" s="222">
        <v>53090</v>
      </c>
      <c r="C280" s="98" t="s">
        <v>622</v>
      </c>
      <c r="E280" s="98" t="s">
        <v>132</v>
      </c>
    </row>
    <row r="281" spans="1:5" ht="16.5" thickTop="1" thickBot="1">
      <c r="A281" s="178">
        <v>341560</v>
      </c>
      <c r="B281" s="222">
        <v>53090</v>
      </c>
      <c r="C281" s="98" t="s">
        <v>622</v>
      </c>
      <c r="E281" s="98" t="s">
        <v>132</v>
      </c>
    </row>
    <row r="282" spans="1:5" ht="16.5" thickTop="1" thickBot="1">
      <c r="A282" s="178">
        <v>341552</v>
      </c>
      <c r="B282" s="222">
        <v>53090</v>
      </c>
      <c r="C282" s="98" t="s">
        <v>622</v>
      </c>
      <c r="E282" s="98" t="s">
        <v>132</v>
      </c>
    </row>
    <row r="283" spans="1:5" ht="16.5" thickTop="1" thickBot="1">
      <c r="A283" s="178">
        <v>341553</v>
      </c>
      <c r="B283" s="222">
        <v>53090</v>
      </c>
      <c r="C283" s="98" t="s">
        <v>622</v>
      </c>
      <c r="E283" s="98" t="s">
        <v>132</v>
      </c>
    </row>
    <row r="284" spans="1:5" ht="16.5" thickTop="1" thickBot="1">
      <c r="A284" s="178">
        <v>341554</v>
      </c>
      <c r="B284" s="222">
        <v>53090</v>
      </c>
      <c r="C284" s="98" t="s">
        <v>622</v>
      </c>
      <c r="E284" s="98" t="s">
        <v>132</v>
      </c>
    </row>
    <row r="285" spans="1:5" ht="16.5" thickTop="1" thickBot="1">
      <c r="A285" s="178">
        <v>341555</v>
      </c>
      <c r="B285" s="222">
        <v>53090</v>
      </c>
      <c r="C285" s="98" t="s">
        <v>622</v>
      </c>
      <c r="E285" s="98" t="s">
        <v>132</v>
      </c>
    </row>
    <row r="286" spans="1:5" ht="16.5" thickTop="1" thickBot="1">
      <c r="A286" s="178">
        <v>341558</v>
      </c>
      <c r="B286" s="222">
        <v>53090</v>
      </c>
      <c r="C286" s="98" t="s">
        <v>622</v>
      </c>
      <c r="E286" s="98" t="s">
        <v>132</v>
      </c>
    </row>
    <row r="287" spans="1:5" ht="16.5" thickTop="1" thickBot="1">
      <c r="A287" s="178">
        <v>341556</v>
      </c>
      <c r="B287" s="222">
        <v>53090</v>
      </c>
      <c r="C287" s="98" t="s">
        <v>622</v>
      </c>
      <c r="E287" s="98" t="s">
        <v>132</v>
      </c>
    </row>
    <row r="288" spans="1:5" ht="16.5" thickTop="1" thickBot="1">
      <c r="A288" s="178">
        <v>341557</v>
      </c>
      <c r="B288" s="222">
        <v>53090</v>
      </c>
      <c r="C288" s="98" t="s">
        <v>622</v>
      </c>
      <c r="E288" s="98" t="s">
        <v>132</v>
      </c>
    </row>
    <row r="289" spans="1:5" ht="16.5" thickTop="1" thickBot="1">
      <c r="A289" s="178">
        <v>341559</v>
      </c>
      <c r="B289" s="222">
        <v>53090</v>
      </c>
      <c r="C289" s="98" t="s">
        <v>622</v>
      </c>
      <c r="E289" s="98" t="s">
        <v>132</v>
      </c>
    </row>
    <row r="290" spans="1:5" ht="16.5" thickTop="1" thickBot="1">
      <c r="A290" s="178">
        <v>341551</v>
      </c>
      <c r="B290" s="222">
        <v>53090</v>
      </c>
      <c r="C290" s="98" t="s">
        <v>622</v>
      </c>
      <c r="E290" s="98" t="s">
        <v>132</v>
      </c>
    </row>
    <row r="291" spans="1:5" ht="16.5" thickTop="1" thickBot="1">
      <c r="A291" s="178">
        <v>132619</v>
      </c>
      <c r="B291" s="222">
        <v>52260</v>
      </c>
      <c r="C291" s="98" t="s">
        <v>622</v>
      </c>
      <c r="E291" s="98" t="s">
        <v>132</v>
      </c>
    </row>
    <row r="292" spans="1:5" ht="16.5" thickTop="1" thickBot="1">
      <c r="A292" s="126">
        <v>132620</v>
      </c>
      <c r="B292" s="222">
        <v>52260</v>
      </c>
      <c r="C292" s="98" t="s">
        <v>622</v>
      </c>
      <c r="E292" s="98" t="s">
        <v>132</v>
      </c>
    </row>
    <row r="293" spans="1:5" ht="16.5" thickTop="1" thickBot="1">
      <c r="A293" s="126">
        <v>132621</v>
      </c>
      <c r="B293" s="222">
        <v>52260</v>
      </c>
      <c r="C293" s="98" t="s">
        <v>622</v>
      </c>
      <c r="E293" s="98" t="s">
        <v>132</v>
      </c>
    </row>
    <row r="294" spans="1:5" ht="16.5" thickTop="1" thickBot="1">
      <c r="A294" s="126">
        <v>132622</v>
      </c>
      <c r="B294" s="222">
        <v>52260</v>
      </c>
      <c r="C294" s="98" t="s">
        <v>622</v>
      </c>
      <c r="E294" s="98" t="s">
        <v>132</v>
      </c>
    </row>
    <row r="295" spans="1:5" ht="16.5" thickTop="1" thickBot="1">
      <c r="A295" s="126">
        <v>132623</v>
      </c>
      <c r="B295" s="222">
        <v>52260</v>
      </c>
      <c r="C295" s="98" t="s">
        <v>622</v>
      </c>
      <c r="E295" s="98" t="s">
        <v>132</v>
      </c>
    </row>
    <row r="296" spans="1:5" ht="16.5" thickTop="1" thickBot="1">
      <c r="A296" s="126">
        <v>132624</v>
      </c>
      <c r="B296" s="222">
        <v>52260</v>
      </c>
      <c r="C296" s="98" t="s">
        <v>622</v>
      </c>
      <c r="E296" s="98" t="s">
        <v>132</v>
      </c>
    </row>
    <row r="297" spans="1:5" ht="16.5" thickTop="1" thickBot="1">
      <c r="A297" s="126">
        <v>132625</v>
      </c>
      <c r="B297" s="222">
        <v>52260</v>
      </c>
      <c r="C297" s="98" t="s">
        <v>622</v>
      </c>
      <c r="E297" s="98" t="s">
        <v>132</v>
      </c>
    </row>
    <row r="298" spans="1:5" ht="16.5" thickTop="1" thickBot="1">
      <c r="A298" s="126">
        <v>132626</v>
      </c>
      <c r="B298" s="222">
        <v>52260</v>
      </c>
      <c r="C298" s="98" t="s">
        <v>622</v>
      </c>
      <c r="E298" s="98" t="s">
        <v>132</v>
      </c>
    </row>
    <row r="299" spans="1:5" ht="16.5" thickTop="1" thickBot="1">
      <c r="A299" s="126">
        <v>132627</v>
      </c>
      <c r="B299" s="222">
        <v>52260</v>
      </c>
      <c r="C299" s="98" t="s">
        <v>622</v>
      </c>
      <c r="E299" s="98" t="s">
        <v>132</v>
      </c>
    </row>
    <row r="300" spans="1:5" ht="16.5" thickTop="1" thickBot="1">
      <c r="A300" s="126">
        <v>132628</v>
      </c>
      <c r="B300" s="222">
        <v>52260</v>
      </c>
      <c r="C300" s="98" t="s">
        <v>622</v>
      </c>
      <c r="E300" s="98" t="s">
        <v>132</v>
      </c>
    </row>
    <row r="301" spans="1:5" ht="16.5" thickTop="1" thickBot="1">
      <c r="A301" s="126">
        <v>132629</v>
      </c>
      <c r="B301" s="222">
        <v>52260</v>
      </c>
      <c r="C301" s="98" t="s">
        <v>622</v>
      </c>
      <c r="E301" s="98" t="s">
        <v>132</v>
      </c>
    </row>
    <row r="302" spans="1:5" ht="16.5" thickTop="1" thickBot="1">
      <c r="A302" s="126">
        <v>132618</v>
      </c>
      <c r="B302" s="222">
        <v>52260</v>
      </c>
      <c r="C302" s="98" t="s">
        <v>622</v>
      </c>
      <c r="E302" s="98" t="s">
        <v>132</v>
      </c>
    </row>
    <row r="303" spans="1:5" ht="16.5" thickTop="1" thickBot="1">
      <c r="A303" s="126">
        <v>132657</v>
      </c>
      <c r="B303" s="221">
        <v>52890</v>
      </c>
      <c r="C303" s="98" t="s">
        <v>649</v>
      </c>
      <c r="E303" s="98" t="s">
        <v>476</v>
      </c>
    </row>
    <row r="304" spans="1:5" ht="16.5" thickTop="1" thickBot="1">
      <c r="A304" s="178">
        <v>341583</v>
      </c>
      <c r="B304" s="222">
        <v>53720</v>
      </c>
      <c r="C304" s="98" t="s">
        <v>649</v>
      </c>
      <c r="E304" s="98" t="s">
        <v>476</v>
      </c>
    </row>
    <row r="305" spans="1:5" ht="16.5" thickTop="1" thickBot="1">
      <c r="A305" s="126">
        <v>341582</v>
      </c>
      <c r="B305" s="222">
        <v>54590</v>
      </c>
      <c r="C305" s="98" t="s">
        <v>649</v>
      </c>
      <c r="E305" s="98" t="s">
        <v>476</v>
      </c>
    </row>
    <row r="306" spans="1:5" ht="16.5" thickTop="1" thickBot="1">
      <c r="A306" s="178">
        <v>341594</v>
      </c>
      <c r="B306" s="222">
        <v>54590</v>
      </c>
      <c r="C306" s="98" t="s">
        <v>649</v>
      </c>
      <c r="E306" s="98" t="s">
        <v>476</v>
      </c>
    </row>
    <row r="307" spans="1:5" ht="16.5" thickTop="1" thickBot="1">
      <c r="A307" s="178">
        <v>341593</v>
      </c>
      <c r="B307" s="222">
        <v>54590</v>
      </c>
      <c r="C307" s="98" t="s">
        <v>649</v>
      </c>
      <c r="E307" s="98" t="s">
        <v>476</v>
      </c>
    </row>
    <row r="308" spans="1:5" ht="16.5" thickTop="1" thickBot="1">
      <c r="A308" s="178">
        <v>341585</v>
      </c>
      <c r="B308" s="222">
        <v>54590</v>
      </c>
      <c r="C308" s="98" t="s">
        <v>649</v>
      </c>
      <c r="E308" s="98" t="s">
        <v>476</v>
      </c>
    </row>
    <row r="309" spans="1:5" ht="16.5" thickTop="1" thickBot="1">
      <c r="A309" s="178">
        <v>341586</v>
      </c>
      <c r="B309" s="222">
        <v>54590</v>
      </c>
      <c r="C309" s="98" t="s">
        <v>649</v>
      </c>
      <c r="E309" s="98" t="s">
        <v>476</v>
      </c>
    </row>
    <row r="310" spans="1:5" ht="16.5" thickTop="1" thickBot="1">
      <c r="A310" s="178">
        <v>341587</v>
      </c>
      <c r="B310" s="222">
        <v>54590</v>
      </c>
      <c r="C310" s="98" t="s">
        <v>649</v>
      </c>
      <c r="E310" s="98" t="s">
        <v>476</v>
      </c>
    </row>
    <row r="311" spans="1:5" ht="16.5" thickTop="1" thickBot="1">
      <c r="A311" s="178">
        <v>341588</v>
      </c>
      <c r="B311" s="222">
        <v>54590</v>
      </c>
      <c r="C311" s="98" t="s">
        <v>649</v>
      </c>
      <c r="E311" s="98" t="s">
        <v>476</v>
      </c>
    </row>
    <row r="312" spans="1:5" ht="16.5" thickTop="1" thickBot="1">
      <c r="A312" s="178">
        <v>341591</v>
      </c>
      <c r="B312" s="222">
        <v>54590</v>
      </c>
      <c r="C312" s="98" t="s">
        <v>649</v>
      </c>
      <c r="E312" s="98" t="s">
        <v>476</v>
      </c>
    </row>
    <row r="313" spans="1:5" ht="16.5" thickTop="1" thickBot="1">
      <c r="A313" s="178">
        <v>341589</v>
      </c>
      <c r="B313" s="222">
        <v>54590</v>
      </c>
      <c r="C313" s="98" t="s">
        <v>649</v>
      </c>
      <c r="E313" s="98" t="s">
        <v>476</v>
      </c>
    </row>
    <row r="314" spans="1:5" ht="16.5" thickTop="1" thickBot="1">
      <c r="A314" s="178">
        <v>341590</v>
      </c>
      <c r="B314" s="222">
        <v>54590</v>
      </c>
      <c r="C314" s="98" t="s">
        <v>649</v>
      </c>
      <c r="E314" s="98" t="s">
        <v>476</v>
      </c>
    </row>
    <row r="315" spans="1:5" ht="16.5" thickTop="1" thickBot="1">
      <c r="A315" s="178">
        <v>341592</v>
      </c>
      <c r="B315" s="222">
        <v>54590</v>
      </c>
      <c r="C315" s="98" t="s">
        <v>649</v>
      </c>
      <c r="E315" s="98" t="s">
        <v>476</v>
      </c>
    </row>
    <row r="316" spans="1:5" ht="16.5" thickTop="1" thickBot="1">
      <c r="A316" s="178">
        <v>341584</v>
      </c>
      <c r="B316" s="222">
        <v>54590</v>
      </c>
      <c r="C316" s="98" t="s">
        <v>649</v>
      </c>
      <c r="E316" s="98" t="s">
        <v>476</v>
      </c>
    </row>
    <row r="317" spans="1:5" ht="16.5" thickTop="1" thickBot="1">
      <c r="A317" s="178">
        <v>132646</v>
      </c>
      <c r="B317" s="222">
        <v>53760</v>
      </c>
      <c r="C317" s="98" t="s">
        <v>649</v>
      </c>
      <c r="E317" s="98" t="s">
        <v>476</v>
      </c>
    </row>
    <row r="318" spans="1:5" ht="16.5" thickTop="1" thickBot="1">
      <c r="A318" s="126">
        <v>132647</v>
      </c>
      <c r="B318" s="222">
        <v>53760</v>
      </c>
      <c r="C318" s="98" t="s">
        <v>649</v>
      </c>
      <c r="E318" s="98" t="s">
        <v>476</v>
      </c>
    </row>
    <row r="319" spans="1:5" ht="16.5" thickTop="1" thickBot="1">
      <c r="A319" s="126">
        <v>132648</v>
      </c>
      <c r="B319" s="222">
        <v>53760</v>
      </c>
      <c r="C319" s="98" t="s">
        <v>649</v>
      </c>
      <c r="E319" s="98" t="s">
        <v>476</v>
      </c>
    </row>
    <row r="320" spans="1:5" ht="16.5" thickTop="1" thickBot="1">
      <c r="A320" s="126">
        <v>132649</v>
      </c>
      <c r="B320" s="222">
        <v>53760</v>
      </c>
      <c r="C320" s="98" t="s">
        <v>649</v>
      </c>
      <c r="E320" s="98" t="s">
        <v>476</v>
      </c>
    </row>
    <row r="321" spans="1:5" ht="16.5" thickTop="1" thickBot="1">
      <c r="A321" s="126">
        <v>132650</v>
      </c>
      <c r="B321" s="222">
        <v>53760</v>
      </c>
      <c r="C321" s="98" t="s">
        <v>649</v>
      </c>
      <c r="E321" s="98" t="s">
        <v>476</v>
      </c>
    </row>
    <row r="322" spans="1:5" ht="16.5" thickTop="1" thickBot="1">
      <c r="A322" s="126">
        <v>132651</v>
      </c>
      <c r="B322" s="222">
        <v>53760</v>
      </c>
      <c r="C322" s="98" t="s">
        <v>649</v>
      </c>
      <c r="E322" s="98" t="s">
        <v>476</v>
      </c>
    </row>
    <row r="323" spans="1:5" ht="16.5" thickTop="1" thickBot="1">
      <c r="A323" s="126">
        <v>132652</v>
      </c>
      <c r="B323" s="222">
        <v>53760</v>
      </c>
      <c r="C323" s="98" t="s">
        <v>649</v>
      </c>
      <c r="E323" s="98" t="s">
        <v>476</v>
      </c>
    </row>
    <row r="324" spans="1:5" ht="16.5" thickTop="1" thickBot="1">
      <c r="A324" s="126">
        <v>132653</v>
      </c>
      <c r="B324" s="222">
        <v>53760</v>
      </c>
      <c r="C324" s="98" t="s">
        <v>649</v>
      </c>
      <c r="E324" s="98" t="s">
        <v>476</v>
      </c>
    </row>
    <row r="325" spans="1:5" ht="16.5" thickTop="1" thickBot="1">
      <c r="A325" s="126">
        <v>132654</v>
      </c>
      <c r="B325" s="222">
        <v>53760</v>
      </c>
      <c r="C325" s="98" t="s">
        <v>649</v>
      </c>
      <c r="E325" s="98" t="s">
        <v>476</v>
      </c>
    </row>
    <row r="326" spans="1:5" ht="16.5" thickTop="1" thickBot="1">
      <c r="A326" s="126">
        <v>132655</v>
      </c>
      <c r="B326" s="222">
        <v>53760</v>
      </c>
      <c r="C326" s="98" t="s">
        <v>649</v>
      </c>
      <c r="E326" s="98" t="s">
        <v>476</v>
      </c>
    </row>
    <row r="327" spans="1:5" ht="16.5" thickTop="1" thickBot="1">
      <c r="A327" s="126">
        <v>132656</v>
      </c>
      <c r="B327" s="222">
        <v>53760</v>
      </c>
      <c r="C327" s="98" t="s">
        <v>649</v>
      </c>
      <c r="E327" s="98" t="s">
        <v>476</v>
      </c>
    </row>
    <row r="328" spans="1:5" ht="16.5" thickTop="1" thickBot="1">
      <c r="A328" s="126">
        <v>132645</v>
      </c>
      <c r="B328" s="222">
        <v>53760</v>
      </c>
      <c r="C328" s="98" t="s">
        <v>649</v>
      </c>
      <c r="E328" s="98" t="s">
        <v>476</v>
      </c>
    </row>
    <row r="329" spans="1:5" ht="16.5" thickTop="1" thickBot="1">
      <c r="A329" s="126">
        <v>132671</v>
      </c>
      <c r="B329" s="221">
        <v>52890</v>
      </c>
      <c r="C329" s="98" t="s">
        <v>649</v>
      </c>
      <c r="E329" s="98" t="s">
        <v>136</v>
      </c>
    </row>
    <row r="330" spans="1:5" ht="16.5" thickTop="1" thickBot="1">
      <c r="A330" s="178">
        <v>341600</v>
      </c>
      <c r="B330" s="222">
        <v>53720</v>
      </c>
      <c r="C330" s="98" t="s">
        <v>649</v>
      </c>
      <c r="E330" s="98" t="s">
        <v>136</v>
      </c>
    </row>
    <row r="331" spans="1:5" ht="16.5" thickTop="1" thickBot="1">
      <c r="A331" s="126">
        <v>341599</v>
      </c>
      <c r="B331" s="222">
        <v>54590</v>
      </c>
      <c r="C331" s="98" t="s">
        <v>649</v>
      </c>
      <c r="E331" s="98" t="s">
        <v>136</v>
      </c>
    </row>
    <row r="332" spans="1:5" ht="16.5" thickTop="1" thickBot="1">
      <c r="A332" s="178">
        <v>341611</v>
      </c>
      <c r="B332" s="222">
        <v>54590</v>
      </c>
      <c r="C332" s="98" t="s">
        <v>649</v>
      </c>
      <c r="E332" s="98" t="s">
        <v>136</v>
      </c>
    </row>
    <row r="333" spans="1:5" ht="16.5" thickTop="1" thickBot="1">
      <c r="A333" s="178">
        <v>341610</v>
      </c>
      <c r="B333" s="222">
        <v>54590</v>
      </c>
      <c r="C333" s="98" t="s">
        <v>649</v>
      </c>
      <c r="E333" s="98" t="s">
        <v>136</v>
      </c>
    </row>
    <row r="334" spans="1:5" ht="16.5" thickTop="1" thickBot="1">
      <c r="A334" s="178">
        <v>341602</v>
      </c>
      <c r="B334" s="222">
        <v>54590</v>
      </c>
      <c r="C334" s="98" t="s">
        <v>649</v>
      </c>
      <c r="E334" s="98" t="s">
        <v>136</v>
      </c>
    </row>
    <row r="335" spans="1:5" ht="16.5" thickTop="1" thickBot="1">
      <c r="A335" s="178">
        <v>341603</v>
      </c>
      <c r="B335" s="222">
        <v>54590</v>
      </c>
      <c r="C335" s="98" t="s">
        <v>649</v>
      </c>
      <c r="E335" s="98" t="s">
        <v>136</v>
      </c>
    </row>
    <row r="336" spans="1:5" ht="16.5" thickTop="1" thickBot="1">
      <c r="A336" s="178">
        <v>341604</v>
      </c>
      <c r="B336" s="222">
        <v>54590</v>
      </c>
      <c r="C336" s="98" t="s">
        <v>649</v>
      </c>
      <c r="E336" s="98" t="s">
        <v>136</v>
      </c>
    </row>
    <row r="337" spans="1:5" ht="16.5" thickTop="1" thickBot="1">
      <c r="A337" s="178">
        <v>341605</v>
      </c>
      <c r="B337" s="222">
        <v>54590</v>
      </c>
      <c r="C337" s="98" t="s">
        <v>649</v>
      </c>
      <c r="E337" s="98" t="s">
        <v>136</v>
      </c>
    </row>
    <row r="338" spans="1:5" ht="16.5" thickTop="1" thickBot="1">
      <c r="A338" s="178">
        <v>341608</v>
      </c>
      <c r="B338" s="222">
        <v>54590</v>
      </c>
      <c r="C338" s="98" t="s">
        <v>649</v>
      </c>
      <c r="E338" s="98" t="s">
        <v>136</v>
      </c>
    </row>
    <row r="339" spans="1:5" ht="16.5" thickTop="1" thickBot="1">
      <c r="A339" s="178">
        <v>341606</v>
      </c>
      <c r="B339" s="222">
        <v>54590</v>
      </c>
      <c r="C339" s="98" t="s">
        <v>649</v>
      </c>
      <c r="E339" s="98" t="s">
        <v>136</v>
      </c>
    </row>
    <row r="340" spans="1:5" ht="16.5" thickTop="1" thickBot="1">
      <c r="A340" s="178">
        <v>341607</v>
      </c>
      <c r="B340" s="222">
        <v>54590</v>
      </c>
      <c r="C340" s="98" t="s">
        <v>649</v>
      </c>
      <c r="E340" s="98" t="s">
        <v>136</v>
      </c>
    </row>
    <row r="341" spans="1:5" ht="16.5" thickTop="1" thickBot="1">
      <c r="A341" s="178">
        <v>341609</v>
      </c>
      <c r="B341" s="222">
        <v>54590</v>
      </c>
      <c r="C341" s="98" t="s">
        <v>649</v>
      </c>
      <c r="E341" s="98" t="s">
        <v>136</v>
      </c>
    </row>
    <row r="342" spans="1:5" ht="16.5" thickTop="1" thickBot="1">
      <c r="A342" s="178">
        <v>341601</v>
      </c>
      <c r="B342" s="222">
        <v>54590</v>
      </c>
      <c r="C342" s="98" t="s">
        <v>649</v>
      </c>
      <c r="E342" s="98" t="s">
        <v>136</v>
      </c>
    </row>
    <row r="343" spans="1:5" ht="16.5" thickTop="1" thickBot="1">
      <c r="A343" s="178">
        <v>132659</v>
      </c>
      <c r="B343" s="222">
        <v>53760</v>
      </c>
      <c r="C343" s="98" t="s">
        <v>649</v>
      </c>
      <c r="E343" s="98" t="s">
        <v>136</v>
      </c>
    </row>
    <row r="344" spans="1:5" ht="16.5" thickTop="1" thickBot="1">
      <c r="A344" s="126">
        <v>132660</v>
      </c>
      <c r="B344" s="222">
        <v>53760</v>
      </c>
      <c r="C344" s="98" t="s">
        <v>649</v>
      </c>
      <c r="E344" s="98" t="s">
        <v>136</v>
      </c>
    </row>
    <row r="345" spans="1:5" ht="16.5" thickTop="1" thickBot="1">
      <c r="A345" s="126">
        <v>132661</v>
      </c>
      <c r="B345" s="222">
        <v>53760</v>
      </c>
      <c r="C345" s="98" t="s">
        <v>649</v>
      </c>
      <c r="E345" s="98" t="s">
        <v>136</v>
      </c>
    </row>
    <row r="346" spans="1:5" ht="16.5" thickTop="1" thickBot="1">
      <c r="A346" s="126">
        <v>132662</v>
      </c>
      <c r="B346" s="222">
        <v>53760</v>
      </c>
      <c r="C346" s="98" t="s">
        <v>649</v>
      </c>
      <c r="E346" s="98" t="s">
        <v>136</v>
      </c>
    </row>
    <row r="347" spans="1:5" ht="16.5" thickTop="1" thickBot="1">
      <c r="A347" s="126">
        <v>132663</v>
      </c>
      <c r="B347" s="222">
        <v>53760</v>
      </c>
      <c r="C347" s="98" t="s">
        <v>649</v>
      </c>
      <c r="E347" s="98" t="s">
        <v>136</v>
      </c>
    </row>
    <row r="348" spans="1:5" ht="16.5" thickTop="1" thickBot="1">
      <c r="A348" s="126">
        <v>132664</v>
      </c>
      <c r="B348" s="222">
        <v>53760</v>
      </c>
      <c r="C348" s="98" t="s">
        <v>649</v>
      </c>
      <c r="E348" s="98" t="s">
        <v>136</v>
      </c>
    </row>
    <row r="349" spans="1:5" ht="16.5" thickTop="1" thickBot="1">
      <c r="A349" s="126">
        <v>132665</v>
      </c>
      <c r="B349" s="222">
        <v>53760</v>
      </c>
      <c r="C349" s="98" t="s">
        <v>649</v>
      </c>
      <c r="E349" s="98" t="s">
        <v>136</v>
      </c>
    </row>
    <row r="350" spans="1:5" ht="16.5" thickTop="1" thickBot="1">
      <c r="A350" s="126">
        <v>132666</v>
      </c>
      <c r="B350" s="222">
        <v>53760</v>
      </c>
      <c r="C350" s="98" t="s">
        <v>649</v>
      </c>
      <c r="E350" s="98" t="s">
        <v>136</v>
      </c>
    </row>
    <row r="351" spans="1:5" ht="16.5" thickTop="1" thickBot="1">
      <c r="A351" s="126">
        <v>132667</v>
      </c>
      <c r="B351" s="222">
        <v>53760</v>
      </c>
      <c r="C351" s="98" t="s">
        <v>649</v>
      </c>
      <c r="E351" s="98" t="s">
        <v>136</v>
      </c>
    </row>
    <row r="352" spans="1:5" ht="16.5" thickTop="1" thickBot="1">
      <c r="A352" s="126">
        <v>132668</v>
      </c>
      <c r="B352" s="222">
        <v>53760</v>
      </c>
      <c r="C352" s="98" t="s">
        <v>649</v>
      </c>
      <c r="E352" s="98" t="s">
        <v>136</v>
      </c>
    </row>
    <row r="353" spans="1:5" ht="16.5" thickTop="1" thickBot="1">
      <c r="A353" s="126">
        <v>132669</v>
      </c>
      <c r="B353" s="222">
        <v>53760</v>
      </c>
      <c r="C353" s="98" t="s">
        <v>649</v>
      </c>
      <c r="E353" s="98" t="s">
        <v>136</v>
      </c>
    </row>
    <row r="354" spans="1:5" ht="16.5" thickTop="1" thickBot="1">
      <c r="A354" s="126">
        <v>132670</v>
      </c>
      <c r="B354" s="222">
        <v>53760</v>
      </c>
      <c r="C354" s="98" t="s">
        <v>649</v>
      </c>
      <c r="E354" s="98" t="s">
        <v>136</v>
      </c>
    </row>
    <row r="355" spans="1:5" ht="16.5" thickTop="1" thickBot="1">
      <c r="A355" s="126">
        <v>132685</v>
      </c>
      <c r="B355" s="221">
        <v>50890</v>
      </c>
      <c r="C355" s="98" t="s">
        <v>618</v>
      </c>
      <c r="E355" s="98" t="s">
        <v>124</v>
      </c>
    </row>
    <row r="356" spans="1:5" ht="16.5" thickTop="1" thickBot="1">
      <c r="A356" s="126">
        <v>341619</v>
      </c>
      <c r="B356" s="222">
        <v>51720</v>
      </c>
      <c r="C356" s="98" t="s">
        <v>618</v>
      </c>
      <c r="E356" s="98" t="s">
        <v>124</v>
      </c>
    </row>
    <row r="357" spans="1:5" ht="16.5" thickTop="1" thickBot="1">
      <c r="A357" s="126">
        <v>341618</v>
      </c>
      <c r="B357" s="222">
        <v>52590</v>
      </c>
      <c r="C357" s="98" t="s">
        <v>618</v>
      </c>
      <c r="E357" s="98" t="s">
        <v>124</v>
      </c>
    </row>
    <row r="358" spans="1:5" ht="16.5" thickTop="1" thickBot="1">
      <c r="A358" s="126">
        <v>341630</v>
      </c>
      <c r="B358" s="222">
        <v>52590</v>
      </c>
      <c r="C358" s="98" t="s">
        <v>618</v>
      </c>
      <c r="E358" s="98" t="s">
        <v>124</v>
      </c>
    </row>
    <row r="359" spans="1:5" ht="16.5" thickTop="1" thickBot="1">
      <c r="A359" s="126">
        <v>341629</v>
      </c>
      <c r="B359" s="222">
        <v>52590</v>
      </c>
      <c r="C359" s="98" t="s">
        <v>618</v>
      </c>
      <c r="E359" s="98" t="s">
        <v>124</v>
      </c>
    </row>
    <row r="360" spans="1:5" ht="16.5" thickTop="1" thickBot="1">
      <c r="A360" s="126">
        <v>341621</v>
      </c>
      <c r="B360" s="222">
        <v>52590</v>
      </c>
      <c r="C360" s="98" t="s">
        <v>618</v>
      </c>
      <c r="E360" s="98" t="s">
        <v>124</v>
      </c>
    </row>
    <row r="361" spans="1:5" ht="16.5" thickTop="1" thickBot="1">
      <c r="A361" s="126">
        <v>341622</v>
      </c>
      <c r="B361" s="222">
        <v>52590</v>
      </c>
      <c r="C361" s="98" t="s">
        <v>618</v>
      </c>
      <c r="E361" s="98" t="s">
        <v>124</v>
      </c>
    </row>
    <row r="362" spans="1:5" ht="16.5" thickTop="1" thickBot="1">
      <c r="A362" s="126">
        <v>341623</v>
      </c>
      <c r="B362" s="222">
        <v>52590</v>
      </c>
      <c r="C362" s="98" t="s">
        <v>618</v>
      </c>
      <c r="E362" s="98" t="s">
        <v>124</v>
      </c>
    </row>
    <row r="363" spans="1:5" ht="16.5" thickTop="1" thickBot="1">
      <c r="A363" s="126">
        <v>341624</v>
      </c>
      <c r="B363" s="222">
        <v>52590</v>
      </c>
      <c r="C363" s="98" t="s">
        <v>618</v>
      </c>
      <c r="E363" s="98" t="s">
        <v>124</v>
      </c>
    </row>
    <row r="364" spans="1:5" ht="16.5" thickTop="1" thickBot="1">
      <c r="A364" s="126">
        <v>341627</v>
      </c>
      <c r="B364" s="222">
        <v>52590</v>
      </c>
      <c r="C364" s="98" t="s">
        <v>618</v>
      </c>
      <c r="E364" s="98" t="s">
        <v>124</v>
      </c>
    </row>
    <row r="365" spans="1:5" ht="16.5" thickTop="1" thickBot="1">
      <c r="A365" s="126">
        <v>341625</v>
      </c>
      <c r="B365" s="222">
        <v>52590</v>
      </c>
      <c r="C365" s="98" t="s">
        <v>618</v>
      </c>
      <c r="E365" s="98" t="s">
        <v>124</v>
      </c>
    </row>
    <row r="366" spans="1:5" ht="16.5" thickTop="1" thickBot="1">
      <c r="A366" s="126">
        <v>341626</v>
      </c>
      <c r="B366" s="222">
        <v>52590</v>
      </c>
      <c r="C366" s="98" t="s">
        <v>618</v>
      </c>
      <c r="E366" s="98" t="s">
        <v>124</v>
      </c>
    </row>
    <row r="367" spans="1:5" ht="16.5" thickTop="1" thickBot="1">
      <c r="A367" s="126">
        <v>341628</v>
      </c>
      <c r="B367" s="222">
        <v>52590</v>
      </c>
      <c r="C367" s="98" t="s">
        <v>618</v>
      </c>
      <c r="E367" s="98" t="s">
        <v>124</v>
      </c>
    </row>
    <row r="368" spans="1:5" ht="16.5" thickTop="1" thickBot="1">
      <c r="A368" s="126">
        <v>341620</v>
      </c>
      <c r="B368" s="222">
        <v>52590</v>
      </c>
      <c r="C368" s="98" t="s">
        <v>618</v>
      </c>
      <c r="E368" s="98" t="s">
        <v>124</v>
      </c>
    </row>
    <row r="369" spans="1:5" ht="16.5" thickTop="1" thickBot="1">
      <c r="A369" s="126">
        <v>132674</v>
      </c>
      <c r="B369" s="222">
        <v>51760</v>
      </c>
      <c r="C369" s="98" t="s">
        <v>618</v>
      </c>
      <c r="E369" s="98" t="s">
        <v>124</v>
      </c>
    </row>
    <row r="370" spans="1:5" ht="16.5" thickTop="1" thickBot="1">
      <c r="A370" s="126">
        <v>132675</v>
      </c>
      <c r="B370" s="222">
        <v>51760</v>
      </c>
      <c r="C370" s="98" t="s">
        <v>618</v>
      </c>
      <c r="E370" s="98" t="s">
        <v>124</v>
      </c>
    </row>
    <row r="371" spans="1:5" ht="16.5" thickTop="1" thickBot="1">
      <c r="A371" s="126">
        <v>132676</v>
      </c>
      <c r="B371" s="222">
        <v>51760</v>
      </c>
      <c r="C371" s="98" t="s">
        <v>618</v>
      </c>
      <c r="E371" s="98" t="s">
        <v>124</v>
      </c>
    </row>
    <row r="372" spans="1:5" ht="16.5" thickTop="1" thickBot="1">
      <c r="A372" s="126">
        <v>132677</v>
      </c>
      <c r="B372" s="222">
        <v>51760</v>
      </c>
      <c r="C372" s="98" t="s">
        <v>618</v>
      </c>
      <c r="E372" s="98" t="s">
        <v>124</v>
      </c>
    </row>
    <row r="373" spans="1:5" ht="16.5" thickTop="1" thickBot="1">
      <c r="A373" s="126">
        <v>132678</v>
      </c>
      <c r="B373" s="222">
        <v>51760</v>
      </c>
      <c r="C373" s="98" t="s">
        <v>618</v>
      </c>
      <c r="E373" s="98" t="s">
        <v>124</v>
      </c>
    </row>
    <row r="374" spans="1:5" ht="16.5" thickTop="1" thickBot="1">
      <c r="A374" s="126">
        <v>132679</v>
      </c>
      <c r="B374" s="222">
        <v>51760</v>
      </c>
      <c r="C374" s="98" t="s">
        <v>618</v>
      </c>
      <c r="E374" s="98" t="s">
        <v>124</v>
      </c>
    </row>
    <row r="375" spans="1:5" ht="16.5" thickTop="1" thickBot="1">
      <c r="A375" s="126">
        <v>132680</v>
      </c>
      <c r="B375" s="222">
        <v>51760</v>
      </c>
      <c r="C375" s="98" t="s">
        <v>618</v>
      </c>
      <c r="E375" s="98" t="s">
        <v>124</v>
      </c>
    </row>
    <row r="376" spans="1:5" ht="16.5" thickTop="1" thickBot="1">
      <c r="A376" s="126">
        <v>132681</v>
      </c>
      <c r="B376" s="222">
        <v>51760</v>
      </c>
      <c r="C376" s="98" t="s">
        <v>618</v>
      </c>
      <c r="E376" s="98" t="s">
        <v>124</v>
      </c>
    </row>
    <row r="377" spans="1:5" ht="16.5" thickTop="1" thickBot="1">
      <c r="A377" s="126">
        <v>132682</v>
      </c>
      <c r="B377" s="222">
        <v>51760</v>
      </c>
      <c r="C377" s="98" t="s">
        <v>618</v>
      </c>
      <c r="E377" s="98" t="s">
        <v>124</v>
      </c>
    </row>
    <row r="378" spans="1:5" ht="16.5" thickTop="1" thickBot="1">
      <c r="A378" s="126">
        <v>132683</v>
      </c>
      <c r="B378" s="222">
        <v>51760</v>
      </c>
      <c r="C378" s="98" t="s">
        <v>618</v>
      </c>
      <c r="E378" s="98" t="s">
        <v>124</v>
      </c>
    </row>
    <row r="379" spans="1:5" ht="16.5" thickTop="1" thickBot="1">
      <c r="A379" s="126">
        <v>132684</v>
      </c>
      <c r="B379" s="222">
        <v>51760</v>
      </c>
      <c r="C379" s="98" t="s">
        <v>618</v>
      </c>
      <c r="E379" s="98" t="s">
        <v>124</v>
      </c>
    </row>
    <row r="380" spans="1:5" ht="16.5" thickTop="1" thickBot="1">
      <c r="A380" s="126">
        <v>132673</v>
      </c>
      <c r="B380" s="222">
        <v>51760</v>
      </c>
      <c r="C380" s="98" t="s">
        <v>618</v>
      </c>
      <c r="E380" s="98" t="s">
        <v>124</v>
      </c>
    </row>
    <row r="381" spans="1:5" ht="16.5" thickTop="1" thickBot="1">
      <c r="A381" s="126">
        <v>132699</v>
      </c>
      <c r="B381" s="221">
        <v>50290</v>
      </c>
      <c r="C381" s="98" t="s">
        <v>619</v>
      </c>
      <c r="E381" s="98" t="s">
        <v>127</v>
      </c>
    </row>
    <row r="382" spans="1:5" ht="16.5" thickTop="1" thickBot="1">
      <c r="A382" s="178">
        <v>341633</v>
      </c>
      <c r="B382" s="222">
        <v>51120</v>
      </c>
      <c r="C382" s="98" t="s">
        <v>619</v>
      </c>
      <c r="E382" s="98" t="s">
        <v>127</v>
      </c>
    </row>
    <row r="383" spans="1:5" ht="16.5" thickTop="1" thickBot="1">
      <c r="A383" s="126">
        <v>341632</v>
      </c>
      <c r="B383" s="222">
        <v>51990</v>
      </c>
      <c r="C383" s="98" t="s">
        <v>619</v>
      </c>
      <c r="E383" s="98" t="s">
        <v>127</v>
      </c>
    </row>
    <row r="384" spans="1:5" ht="16.5" thickTop="1" thickBot="1">
      <c r="A384" s="178">
        <v>341644</v>
      </c>
      <c r="B384" s="222">
        <v>51990</v>
      </c>
      <c r="C384" s="98" t="s">
        <v>619</v>
      </c>
      <c r="E384" s="98" t="s">
        <v>127</v>
      </c>
    </row>
    <row r="385" spans="1:5" ht="16.5" thickTop="1" thickBot="1">
      <c r="A385" s="178">
        <v>341643</v>
      </c>
      <c r="B385" s="222">
        <v>51990</v>
      </c>
      <c r="C385" s="98" t="s">
        <v>619</v>
      </c>
      <c r="E385" s="98" t="s">
        <v>127</v>
      </c>
    </row>
    <row r="386" spans="1:5" ht="16.5" thickTop="1" thickBot="1">
      <c r="A386" s="178">
        <v>341635</v>
      </c>
      <c r="B386" s="222">
        <v>51990</v>
      </c>
      <c r="C386" s="98" t="s">
        <v>619</v>
      </c>
      <c r="E386" s="98" t="s">
        <v>127</v>
      </c>
    </row>
    <row r="387" spans="1:5" ht="16.5" thickTop="1" thickBot="1">
      <c r="A387" s="178">
        <v>341636</v>
      </c>
      <c r="B387" s="222">
        <v>51990</v>
      </c>
      <c r="C387" s="98" t="s">
        <v>619</v>
      </c>
      <c r="E387" s="98" t="s">
        <v>127</v>
      </c>
    </row>
    <row r="388" spans="1:5" ht="16.5" thickTop="1" thickBot="1">
      <c r="A388" s="178">
        <v>341637</v>
      </c>
      <c r="B388" s="222">
        <v>51990</v>
      </c>
      <c r="C388" s="98" t="s">
        <v>619</v>
      </c>
      <c r="E388" s="98" t="s">
        <v>127</v>
      </c>
    </row>
    <row r="389" spans="1:5" ht="16.5" thickTop="1" thickBot="1">
      <c r="A389" s="178">
        <v>341638</v>
      </c>
      <c r="B389" s="222">
        <v>51990</v>
      </c>
      <c r="C389" s="98" t="s">
        <v>619</v>
      </c>
      <c r="E389" s="98" t="s">
        <v>127</v>
      </c>
    </row>
    <row r="390" spans="1:5" ht="16.5" thickTop="1" thickBot="1">
      <c r="A390" s="178">
        <v>341641</v>
      </c>
      <c r="B390" s="222">
        <v>51990</v>
      </c>
      <c r="C390" s="98" t="s">
        <v>619</v>
      </c>
      <c r="E390" s="98" t="s">
        <v>127</v>
      </c>
    </row>
    <row r="391" spans="1:5" ht="16.5" thickTop="1" thickBot="1">
      <c r="A391" s="178">
        <v>341639</v>
      </c>
      <c r="B391" s="222">
        <v>51990</v>
      </c>
      <c r="C391" s="98" t="s">
        <v>619</v>
      </c>
      <c r="E391" s="98" t="s">
        <v>127</v>
      </c>
    </row>
    <row r="392" spans="1:5" ht="16.5" thickTop="1" thickBot="1">
      <c r="A392" s="178">
        <v>341640</v>
      </c>
      <c r="B392" s="222">
        <v>51990</v>
      </c>
      <c r="C392" s="98" t="s">
        <v>619</v>
      </c>
      <c r="E392" s="98" t="s">
        <v>127</v>
      </c>
    </row>
    <row r="393" spans="1:5" ht="16.5" thickTop="1" thickBot="1">
      <c r="A393" s="178">
        <v>341642</v>
      </c>
      <c r="B393" s="222">
        <v>51990</v>
      </c>
      <c r="C393" s="98" t="s">
        <v>619</v>
      </c>
      <c r="E393" s="98" t="s">
        <v>127</v>
      </c>
    </row>
    <row r="394" spans="1:5" ht="16.5" thickTop="1" thickBot="1">
      <c r="A394" s="178">
        <v>341634</v>
      </c>
      <c r="B394" s="222">
        <v>51990</v>
      </c>
      <c r="C394" s="98" t="s">
        <v>619</v>
      </c>
      <c r="E394" s="98" t="s">
        <v>127</v>
      </c>
    </row>
    <row r="395" spans="1:5" ht="16.5" thickTop="1" thickBot="1">
      <c r="A395" s="178">
        <v>132688</v>
      </c>
      <c r="B395" s="222">
        <v>51160</v>
      </c>
      <c r="C395" s="98" t="s">
        <v>619</v>
      </c>
      <c r="E395" s="98" t="s">
        <v>127</v>
      </c>
    </row>
    <row r="396" spans="1:5" ht="16.5" thickTop="1" thickBot="1">
      <c r="A396" s="126">
        <v>132689</v>
      </c>
      <c r="B396" s="222">
        <v>51160</v>
      </c>
      <c r="C396" s="98" t="s">
        <v>619</v>
      </c>
      <c r="E396" s="98" t="s">
        <v>127</v>
      </c>
    </row>
    <row r="397" spans="1:5" ht="16.5" thickTop="1" thickBot="1">
      <c r="A397" s="126">
        <v>132690</v>
      </c>
      <c r="B397" s="222">
        <v>51160</v>
      </c>
      <c r="C397" s="98" t="s">
        <v>619</v>
      </c>
      <c r="E397" s="98" t="s">
        <v>127</v>
      </c>
    </row>
    <row r="398" spans="1:5" ht="16.5" thickTop="1" thickBot="1">
      <c r="A398" s="126">
        <v>132691</v>
      </c>
      <c r="B398" s="222">
        <v>51160</v>
      </c>
      <c r="C398" s="98" t="s">
        <v>619</v>
      </c>
      <c r="E398" s="98" t="s">
        <v>127</v>
      </c>
    </row>
    <row r="399" spans="1:5" ht="16.5" thickTop="1" thickBot="1">
      <c r="A399" s="126">
        <v>132692</v>
      </c>
      <c r="B399" s="222">
        <v>51160</v>
      </c>
      <c r="C399" s="98" t="s">
        <v>619</v>
      </c>
      <c r="E399" s="98" t="s">
        <v>127</v>
      </c>
    </row>
    <row r="400" spans="1:5" ht="16.5" thickTop="1" thickBot="1">
      <c r="A400" s="126">
        <v>132693</v>
      </c>
      <c r="B400" s="222">
        <v>51160</v>
      </c>
      <c r="C400" s="98" t="s">
        <v>619</v>
      </c>
      <c r="E400" s="98" t="s">
        <v>127</v>
      </c>
    </row>
    <row r="401" spans="1:5" ht="16.5" thickTop="1" thickBot="1">
      <c r="A401" s="126">
        <v>132694</v>
      </c>
      <c r="B401" s="222">
        <v>51160</v>
      </c>
      <c r="C401" s="98" t="s">
        <v>619</v>
      </c>
      <c r="E401" s="98" t="s">
        <v>127</v>
      </c>
    </row>
    <row r="402" spans="1:5" ht="16.5" thickTop="1" thickBot="1">
      <c r="A402" s="126">
        <v>132695</v>
      </c>
      <c r="B402" s="222">
        <v>51160</v>
      </c>
      <c r="C402" s="98" t="s">
        <v>619</v>
      </c>
      <c r="E402" s="98" t="s">
        <v>127</v>
      </c>
    </row>
    <row r="403" spans="1:5" ht="16.5" thickTop="1" thickBot="1">
      <c r="A403" s="126">
        <v>132696</v>
      </c>
      <c r="B403" s="222">
        <v>51160</v>
      </c>
      <c r="C403" s="98" t="s">
        <v>619</v>
      </c>
      <c r="E403" s="98" t="s">
        <v>127</v>
      </c>
    </row>
    <row r="404" spans="1:5" ht="16.5" thickTop="1" thickBot="1">
      <c r="A404" s="126">
        <v>132697</v>
      </c>
      <c r="B404" s="222">
        <v>51160</v>
      </c>
      <c r="C404" s="98" t="s">
        <v>619</v>
      </c>
      <c r="E404" s="98" t="s">
        <v>127</v>
      </c>
    </row>
    <row r="405" spans="1:5" ht="16.5" thickTop="1" thickBot="1">
      <c r="A405" s="126">
        <v>132698</v>
      </c>
      <c r="B405" s="222">
        <v>51160</v>
      </c>
      <c r="C405" s="98" t="s">
        <v>619</v>
      </c>
      <c r="E405" s="98" t="s">
        <v>127</v>
      </c>
    </row>
    <row r="406" spans="1:5" ht="16.5" thickTop="1" thickBot="1">
      <c r="A406" s="126">
        <v>132687</v>
      </c>
      <c r="B406" s="222">
        <v>51160</v>
      </c>
      <c r="C406" s="98" t="s">
        <v>619</v>
      </c>
      <c r="E406" s="98" t="s">
        <v>127</v>
      </c>
    </row>
    <row r="407" spans="1:5" ht="16.5" thickTop="1" thickBot="1">
      <c r="A407" s="126">
        <v>132713</v>
      </c>
      <c r="B407" s="223">
        <v>49090</v>
      </c>
      <c r="C407" s="98" t="s">
        <v>616</v>
      </c>
      <c r="E407" s="98" t="s">
        <v>125</v>
      </c>
    </row>
    <row r="408" spans="1:5" ht="16.5" thickTop="1" thickBot="1">
      <c r="A408" s="178">
        <v>341651</v>
      </c>
      <c r="B408" s="223">
        <v>49920</v>
      </c>
      <c r="C408" s="98" t="s">
        <v>616</v>
      </c>
      <c r="E408" s="98" t="s">
        <v>125</v>
      </c>
    </row>
    <row r="409" spans="1:5" ht="16.5" thickTop="1" thickBot="1">
      <c r="A409" s="126">
        <v>341650</v>
      </c>
      <c r="B409" s="223">
        <v>50790</v>
      </c>
      <c r="C409" s="98" t="s">
        <v>616</v>
      </c>
      <c r="E409" s="98" t="s">
        <v>125</v>
      </c>
    </row>
    <row r="410" spans="1:5" ht="16.5" thickTop="1" thickBot="1">
      <c r="A410" s="178">
        <v>341662</v>
      </c>
      <c r="B410" s="223">
        <v>50790</v>
      </c>
      <c r="C410" s="98" t="s">
        <v>616</v>
      </c>
      <c r="E410" s="98" t="s">
        <v>125</v>
      </c>
    </row>
    <row r="411" spans="1:5" ht="16.5" thickTop="1" thickBot="1">
      <c r="A411" s="178">
        <v>341661</v>
      </c>
      <c r="B411" s="223">
        <v>50790</v>
      </c>
      <c r="C411" s="98" t="s">
        <v>616</v>
      </c>
      <c r="E411" s="98" t="s">
        <v>125</v>
      </c>
    </row>
    <row r="412" spans="1:5" ht="16.5" thickTop="1" thickBot="1">
      <c r="A412" s="178">
        <v>341653</v>
      </c>
      <c r="B412" s="223">
        <v>50790</v>
      </c>
      <c r="C412" s="98" t="s">
        <v>616</v>
      </c>
      <c r="E412" s="98" t="s">
        <v>125</v>
      </c>
    </row>
    <row r="413" spans="1:5" ht="16.5" thickTop="1" thickBot="1">
      <c r="A413" s="178">
        <v>341654</v>
      </c>
      <c r="B413" s="223">
        <v>50790</v>
      </c>
      <c r="C413" s="98" t="s">
        <v>616</v>
      </c>
      <c r="E413" s="98" t="s">
        <v>125</v>
      </c>
    </row>
    <row r="414" spans="1:5" ht="16.5" thickTop="1" thickBot="1">
      <c r="A414" s="178">
        <v>341655</v>
      </c>
      <c r="B414" s="223">
        <v>50790</v>
      </c>
      <c r="C414" s="98" t="s">
        <v>616</v>
      </c>
      <c r="E414" s="98" t="s">
        <v>125</v>
      </c>
    </row>
    <row r="415" spans="1:5" ht="16.5" thickTop="1" thickBot="1">
      <c r="A415" s="178">
        <v>341656</v>
      </c>
      <c r="B415" s="223">
        <v>50790</v>
      </c>
      <c r="C415" s="98" t="s">
        <v>616</v>
      </c>
      <c r="E415" s="98" t="s">
        <v>125</v>
      </c>
    </row>
    <row r="416" spans="1:5" ht="16.5" thickTop="1" thickBot="1">
      <c r="A416" s="178">
        <v>341659</v>
      </c>
      <c r="B416" s="223">
        <v>50790</v>
      </c>
      <c r="C416" s="98" t="s">
        <v>616</v>
      </c>
      <c r="E416" s="98" t="s">
        <v>125</v>
      </c>
    </row>
    <row r="417" spans="1:5" ht="16.5" thickTop="1" thickBot="1">
      <c r="A417" s="178">
        <v>341657</v>
      </c>
      <c r="B417" s="223">
        <v>50790</v>
      </c>
      <c r="C417" s="98" t="s">
        <v>616</v>
      </c>
      <c r="E417" s="98" t="s">
        <v>125</v>
      </c>
    </row>
    <row r="418" spans="1:5" ht="16.5" thickTop="1" thickBot="1">
      <c r="A418" s="178">
        <v>341658</v>
      </c>
      <c r="B418" s="223">
        <v>50790</v>
      </c>
      <c r="C418" s="98" t="s">
        <v>616</v>
      </c>
      <c r="E418" s="98" t="s">
        <v>125</v>
      </c>
    </row>
    <row r="419" spans="1:5" ht="16.5" thickTop="1" thickBot="1">
      <c r="A419" s="178">
        <v>341660</v>
      </c>
      <c r="B419" s="223">
        <v>50790</v>
      </c>
      <c r="C419" s="98" t="s">
        <v>616</v>
      </c>
      <c r="E419" s="98" t="s">
        <v>125</v>
      </c>
    </row>
    <row r="420" spans="1:5" ht="16.5" thickTop="1" thickBot="1">
      <c r="A420" s="178">
        <v>341652</v>
      </c>
      <c r="B420" s="223">
        <v>50790</v>
      </c>
      <c r="C420" s="98" t="s">
        <v>616</v>
      </c>
      <c r="E420" s="98" t="s">
        <v>125</v>
      </c>
    </row>
    <row r="421" spans="1:5" ht="16.5" thickTop="1" thickBot="1">
      <c r="A421" s="178">
        <v>132702</v>
      </c>
      <c r="B421" s="223">
        <v>49960</v>
      </c>
      <c r="C421" s="98" t="s">
        <v>616</v>
      </c>
      <c r="E421" s="98" t="s">
        <v>125</v>
      </c>
    </row>
    <row r="422" spans="1:5" ht="16.5" thickTop="1" thickBot="1">
      <c r="A422" s="126">
        <v>132703</v>
      </c>
      <c r="B422" s="223">
        <v>49960</v>
      </c>
      <c r="C422" s="98" t="s">
        <v>616</v>
      </c>
      <c r="E422" s="98" t="s">
        <v>125</v>
      </c>
    </row>
    <row r="423" spans="1:5" ht="16.5" thickTop="1" thickBot="1">
      <c r="A423" s="126">
        <v>132704</v>
      </c>
      <c r="B423" s="223">
        <v>49960</v>
      </c>
      <c r="C423" s="98" t="s">
        <v>616</v>
      </c>
      <c r="E423" s="98" t="s">
        <v>125</v>
      </c>
    </row>
    <row r="424" spans="1:5" ht="16.5" thickTop="1" thickBot="1">
      <c r="A424" s="126">
        <v>132705</v>
      </c>
      <c r="B424" s="223">
        <v>49960</v>
      </c>
      <c r="C424" s="98" t="s">
        <v>616</v>
      </c>
      <c r="E424" s="98" t="s">
        <v>125</v>
      </c>
    </row>
    <row r="425" spans="1:5" ht="16.5" thickTop="1" thickBot="1">
      <c r="A425" s="126">
        <v>132706</v>
      </c>
      <c r="B425" s="223">
        <v>49960</v>
      </c>
      <c r="C425" s="98" t="s">
        <v>616</v>
      </c>
      <c r="E425" s="98" t="s">
        <v>125</v>
      </c>
    </row>
    <row r="426" spans="1:5" ht="16.5" thickTop="1" thickBot="1">
      <c r="A426" s="126">
        <v>132707</v>
      </c>
      <c r="B426" s="223">
        <v>49960</v>
      </c>
      <c r="C426" s="98" t="s">
        <v>616</v>
      </c>
      <c r="E426" s="98" t="s">
        <v>125</v>
      </c>
    </row>
    <row r="427" spans="1:5" ht="16.5" thickTop="1" thickBot="1">
      <c r="A427" s="126">
        <v>132708</v>
      </c>
      <c r="B427" s="223">
        <v>49960</v>
      </c>
      <c r="C427" s="98" t="s">
        <v>616</v>
      </c>
      <c r="E427" s="98" t="s">
        <v>125</v>
      </c>
    </row>
    <row r="428" spans="1:5" ht="16.5" thickTop="1" thickBot="1">
      <c r="A428" s="126">
        <v>132709</v>
      </c>
      <c r="B428" s="223">
        <v>49960</v>
      </c>
      <c r="C428" s="98" t="s">
        <v>616</v>
      </c>
      <c r="E428" s="98" t="s">
        <v>125</v>
      </c>
    </row>
    <row r="429" spans="1:5" ht="16.5" thickTop="1" thickBot="1">
      <c r="A429" s="126">
        <v>132710</v>
      </c>
      <c r="B429" s="223">
        <v>49960</v>
      </c>
      <c r="C429" s="98" t="s">
        <v>616</v>
      </c>
      <c r="E429" s="98" t="s">
        <v>125</v>
      </c>
    </row>
    <row r="430" spans="1:5" ht="16.5" thickTop="1" thickBot="1">
      <c r="A430" s="126">
        <v>132711</v>
      </c>
      <c r="B430" s="223">
        <v>49960</v>
      </c>
      <c r="C430" s="98" t="s">
        <v>616</v>
      </c>
      <c r="E430" s="98" t="s">
        <v>125</v>
      </c>
    </row>
    <row r="431" spans="1:5" ht="16.5" thickTop="1" thickBot="1">
      <c r="A431" s="126">
        <v>132712</v>
      </c>
      <c r="B431" s="223">
        <v>49960</v>
      </c>
      <c r="C431" s="98" t="s">
        <v>616</v>
      </c>
      <c r="E431" s="98" t="s">
        <v>125</v>
      </c>
    </row>
    <row r="432" spans="1:5" ht="16.5" thickTop="1" thickBot="1">
      <c r="A432" s="126">
        <v>132701</v>
      </c>
      <c r="B432" s="223">
        <v>49960</v>
      </c>
      <c r="C432" s="98" t="s">
        <v>616</v>
      </c>
      <c r="E432" s="98" t="s">
        <v>125</v>
      </c>
    </row>
    <row r="433" spans="1:5" ht="16.5" thickTop="1" thickBot="1">
      <c r="A433" s="126">
        <v>212272</v>
      </c>
      <c r="B433" s="221">
        <v>9090</v>
      </c>
      <c r="C433" s="98" t="s">
        <v>874</v>
      </c>
      <c r="E433" s="98" t="s">
        <v>164</v>
      </c>
    </row>
    <row r="434" spans="1:5" ht="16.5" thickTop="1" thickBot="1">
      <c r="A434" s="126">
        <v>212273</v>
      </c>
      <c r="B434" s="221">
        <v>9090</v>
      </c>
      <c r="C434" s="98" t="s">
        <v>874</v>
      </c>
      <c r="E434" s="98" t="s">
        <v>164</v>
      </c>
    </row>
    <row r="435" spans="1:5" ht="16.5" thickTop="1" thickBot="1">
      <c r="A435" s="126">
        <v>256868</v>
      </c>
      <c r="B435" s="221">
        <v>83190</v>
      </c>
      <c r="C435" s="98" t="s">
        <v>873</v>
      </c>
      <c r="E435" s="98" t="s">
        <v>184</v>
      </c>
    </row>
    <row r="436" spans="1:5" ht="16.5" thickTop="1" thickBot="1">
      <c r="A436" s="126">
        <v>256869</v>
      </c>
      <c r="B436" s="221">
        <v>83190</v>
      </c>
      <c r="C436" s="98" t="s">
        <v>873</v>
      </c>
      <c r="E436" s="98" t="s">
        <v>184</v>
      </c>
    </row>
    <row r="437" spans="1:5" ht="16.5" thickTop="1" thickBot="1">
      <c r="A437" s="126">
        <v>256870</v>
      </c>
      <c r="B437" s="221">
        <v>83190</v>
      </c>
      <c r="C437" s="98" t="s">
        <v>873</v>
      </c>
      <c r="E437" s="98" t="s">
        <v>184</v>
      </c>
    </row>
    <row r="438" spans="1:5" ht="16.5" thickTop="1" thickBot="1">
      <c r="A438" s="126">
        <v>248525</v>
      </c>
      <c r="B438" s="221">
        <v>2690</v>
      </c>
      <c r="C438" s="98" t="s">
        <v>870</v>
      </c>
      <c r="E438" s="98" t="s">
        <v>210</v>
      </c>
    </row>
    <row r="439" spans="1:5" ht="16.5" thickTop="1" thickBot="1">
      <c r="A439" s="126">
        <v>248526</v>
      </c>
      <c r="B439" s="224">
        <v>3490</v>
      </c>
      <c r="C439" s="98" t="s">
        <v>870</v>
      </c>
      <c r="E439" s="98" t="s">
        <v>210</v>
      </c>
    </row>
    <row r="440" spans="1:5" ht="16.5" thickTop="1" thickBot="1">
      <c r="A440" s="126">
        <v>248527</v>
      </c>
      <c r="B440" s="224">
        <v>3490</v>
      </c>
      <c r="C440" s="98" t="s">
        <v>870</v>
      </c>
      <c r="E440" s="98" t="s">
        <v>210</v>
      </c>
    </row>
    <row r="441" spans="1:5" ht="16.5" thickTop="1" thickBot="1">
      <c r="A441" s="126">
        <v>248528</v>
      </c>
      <c r="B441" s="224">
        <v>3490</v>
      </c>
      <c r="C441" s="98" t="s">
        <v>870</v>
      </c>
      <c r="E441" s="98" t="s">
        <v>210</v>
      </c>
    </row>
    <row r="442" spans="1:5" ht="16.5" thickTop="1" thickBot="1">
      <c r="A442" s="126">
        <v>248529</v>
      </c>
      <c r="B442" s="224">
        <v>3490</v>
      </c>
      <c r="C442" s="98" t="s">
        <v>870</v>
      </c>
      <c r="E442" s="98" t="s">
        <v>210</v>
      </c>
    </row>
    <row r="443" spans="1:5" ht="16.5" thickTop="1" thickBot="1">
      <c r="A443" s="126">
        <v>248530</v>
      </c>
      <c r="B443" s="224">
        <v>3490</v>
      </c>
      <c r="C443" s="98" t="s">
        <v>870</v>
      </c>
      <c r="E443" s="98" t="s">
        <v>210</v>
      </c>
    </row>
    <row r="444" spans="1:5" ht="16.5" thickTop="1" thickBot="1">
      <c r="A444" s="126">
        <v>248531</v>
      </c>
      <c r="B444" s="224">
        <v>3490</v>
      </c>
      <c r="C444" s="98" t="s">
        <v>870</v>
      </c>
      <c r="E444" s="98" t="s">
        <v>210</v>
      </c>
    </row>
    <row r="445" spans="1:5" ht="16.5" thickTop="1" thickBot="1">
      <c r="A445" s="126">
        <v>248532</v>
      </c>
      <c r="B445" s="224">
        <v>3490</v>
      </c>
      <c r="C445" s="98" t="s">
        <v>870</v>
      </c>
      <c r="E445" s="98" t="s">
        <v>210</v>
      </c>
    </row>
    <row r="446" spans="1:5" ht="16.5" thickTop="1" thickBot="1">
      <c r="A446" s="126">
        <v>248533</v>
      </c>
      <c r="B446" s="224">
        <v>3490</v>
      </c>
      <c r="C446" s="98" t="s">
        <v>870</v>
      </c>
      <c r="E446" s="98" t="s">
        <v>210</v>
      </c>
    </row>
    <row r="447" spans="1:5" ht="16.5" thickTop="1" thickBot="1">
      <c r="A447" s="126">
        <v>248534</v>
      </c>
      <c r="B447" s="224">
        <v>3490</v>
      </c>
      <c r="C447" s="98" t="s">
        <v>870</v>
      </c>
      <c r="E447" s="98" t="s">
        <v>210</v>
      </c>
    </row>
    <row r="448" spans="1:5" ht="16.5" thickTop="1" thickBot="1">
      <c r="A448" s="126">
        <v>248535</v>
      </c>
      <c r="B448" s="224">
        <v>3490</v>
      </c>
      <c r="C448" s="98" t="s">
        <v>870</v>
      </c>
      <c r="E448" s="98" t="s">
        <v>210</v>
      </c>
    </row>
    <row r="449" spans="1:5" ht="16.5" thickTop="1" thickBot="1">
      <c r="A449" s="126">
        <v>248536</v>
      </c>
      <c r="B449" s="224">
        <v>3490</v>
      </c>
      <c r="C449" s="98" t="s">
        <v>870</v>
      </c>
      <c r="E449" s="98" t="s">
        <v>210</v>
      </c>
    </row>
    <row r="450" spans="1:5" ht="16.5" thickTop="1" thickBot="1">
      <c r="A450" s="126">
        <v>248537</v>
      </c>
      <c r="B450" s="224">
        <v>3490</v>
      </c>
      <c r="C450" s="98" t="s">
        <v>870</v>
      </c>
      <c r="E450" s="98" t="s">
        <v>210</v>
      </c>
    </row>
    <row r="451" spans="1:5" ht="16.5" thickTop="1" thickBot="1">
      <c r="A451" s="126">
        <v>248538</v>
      </c>
      <c r="B451" s="224">
        <v>3490</v>
      </c>
      <c r="C451" s="98" t="s">
        <v>870</v>
      </c>
      <c r="E451" s="98" t="s">
        <v>210</v>
      </c>
    </row>
    <row r="452" spans="1:5" ht="16.5" thickTop="1" thickBot="1">
      <c r="A452" s="126">
        <v>248539</v>
      </c>
      <c r="B452" s="224">
        <v>3490</v>
      </c>
      <c r="C452" s="98" t="s">
        <v>870</v>
      </c>
      <c r="E452" s="98" t="s">
        <v>210</v>
      </c>
    </row>
    <row r="453" spans="1:5" ht="16.5" thickTop="1" thickBot="1">
      <c r="A453" s="126">
        <v>248540</v>
      </c>
      <c r="B453" s="224">
        <v>3490</v>
      </c>
      <c r="C453" s="98" t="s">
        <v>870</v>
      </c>
      <c r="E453" s="98" t="s">
        <v>210</v>
      </c>
    </row>
    <row r="454" spans="1:5" ht="16.5" thickTop="1" thickBot="1">
      <c r="A454" s="126">
        <v>248541</v>
      </c>
      <c r="B454" s="224">
        <v>3490</v>
      </c>
      <c r="C454" s="98" t="s">
        <v>870</v>
      </c>
      <c r="E454" s="98" t="s">
        <v>210</v>
      </c>
    </row>
    <row r="455" spans="1:5" ht="16.5" thickTop="1" thickBot="1">
      <c r="A455" s="126">
        <v>248542</v>
      </c>
      <c r="B455" s="224">
        <v>3490</v>
      </c>
      <c r="C455" s="98" t="s">
        <v>870</v>
      </c>
      <c r="E455" s="98" t="s">
        <v>210</v>
      </c>
    </row>
    <row r="456" spans="1:5" ht="16.5" thickTop="1" thickBot="1">
      <c r="A456" s="126">
        <v>256973</v>
      </c>
      <c r="B456" s="221">
        <v>51390</v>
      </c>
      <c r="C456" s="98" t="s">
        <v>648</v>
      </c>
      <c r="E456" s="98" t="s">
        <v>116</v>
      </c>
    </row>
    <row r="457" spans="1:5" ht="16.5" thickTop="1" thickBot="1">
      <c r="A457" s="178">
        <v>341354</v>
      </c>
      <c r="B457" s="222">
        <v>52220</v>
      </c>
      <c r="C457" s="98" t="s">
        <v>648</v>
      </c>
      <c r="E457" s="98" t="s">
        <v>116</v>
      </c>
    </row>
    <row r="458" spans="1:5" ht="16.5" thickTop="1" thickBot="1">
      <c r="A458" s="126">
        <v>341353</v>
      </c>
      <c r="B458" s="222">
        <v>53090</v>
      </c>
      <c r="C458" s="98" t="s">
        <v>648</v>
      </c>
      <c r="E458" s="98" t="s">
        <v>116</v>
      </c>
    </row>
    <row r="459" spans="1:5" ht="16.5" thickTop="1" thickBot="1">
      <c r="A459" s="178">
        <v>341365</v>
      </c>
      <c r="B459" s="222">
        <v>53090</v>
      </c>
      <c r="C459" s="98" t="s">
        <v>648</v>
      </c>
      <c r="E459" s="98" t="s">
        <v>116</v>
      </c>
    </row>
    <row r="460" spans="1:5" ht="16.5" thickTop="1" thickBot="1">
      <c r="A460" s="178">
        <v>341364</v>
      </c>
      <c r="B460" s="222">
        <v>53090</v>
      </c>
      <c r="C460" s="98" t="s">
        <v>648</v>
      </c>
      <c r="E460" s="98" t="s">
        <v>116</v>
      </c>
    </row>
    <row r="461" spans="1:5" ht="16.5" thickTop="1" thickBot="1">
      <c r="A461" s="178">
        <v>341356</v>
      </c>
      <c r="B461" s="222">
        <v>53090</v>
      </c>
      <c r="C461" s="98" t="s">
        <v>648</v>
      </c>
      <c r="E461" s="98" t="s">
        <v>116</v>
      </c>
    </row>
    <row r="462" spans="1:5" ht="16.5" thickTop="1" thickBot="1">
      <c r="A462" s="178">
        <v>341357</v>
      </c>
      <c r="B462" s="222">
        <v>53090</v>
      </c>
      <c r="C462" s="98" t="s">
        <v>648</v>
      </c>
      <c r="E462" s="98" t="s">
        <v>116</v>
      </c>
    </row>
    <row r="463" spans="1:5" ht="16.5" thickTop="1" thickBot="1">
      <c r="A463" s="178">
        <v>341358</v>
      </c>
      <c r="B463" s="222">
        <v>53090</v>
      </c>
      <c r="C463" s="98" t="s">
        <v>648</v>
      </c>
      <c r="E463" s="98" t="s">
        <v>116</v>
      </c>
    </row>
    <row r="464" spans="1:5" ht="16.5" thickTop="1" thickBot="1">
      <c r="A464" s="178">
        <v>341359</v>
      </c>
      <c r="B464" s="222">
        <v>53090</v>
      </c>
      <c r="C464" s="98" t="s">
        <v>648</v>
      </c>
      <c r="E464" s="98" t="s">
        <v>116</v>
      </c>
    </row>
    <row r="465" spans="1:5" ht="16.5" thickTop="1" thickBot="1">
      <c r="A465" s="178">
        <v>341362</v>
      </c>
      <c r="B465" s="222">
        <v>53090</v>
      </c>
      <c r="C465" s="98" t="s">
        <v>648</v>
      </c>
      <c r="E465" s="98" t="s">
        <v>116</v>
      </c>
    </row>
    <row r="466" spans="1:5" ht="16.5" thickTop="1" thickBot="1">
      <c r="A466" s="178">
        <v>341360</v>
      </c>
      <c r="B466" s="222">
        <v>53090</v>
      </c>
      <c r="C466" s="98" t="s">
        <v>648</v>
      </c>
      <c r="E466" s="98" t="s">
        <v>116</v>
      </c>
    </row>
    <row r="467" spans="1:5" ht="16.5" thickTop="1" thickBot="1">
      <c r="A467" s="178">
        <v>341361</v>
      </c>
      <c r="B467" s="222">
        <v>53090</v>
      </c>
      <c r="C467" s="98" t="s">
        <v>648</v>
      </c>
      <c r="E467" s="98" t="s">
        <v>116</v>
      </c>
    </row>
    <row r="468" spans="1:5" ht="16.5" thickTop="1" thickBot="1">
      <c r="A468" s="178">
        <v>341363</v>
      </c>
      <c r="B468" s="222">
        <v>53090</v>
      </c>
      <c r="C468" s="98" t="s">
        <v>648</v>
      </c>
      <c r="E468" s="98" t="s">
        <v>116</v>
      </c>
    </row>
    <row r="469" spans="1:5" ht="16.5" thickTop="1" thickBot="1">
      <c r="A469" s="178">
        <v>341355</v>
      </c>
      <c r="B469" s="222">
        <v>53090</v>
      </c>
      <c r="C469" s="98" t="s">
        <v>648</v>
      </c>
      <c r="E469" s="98" t="s">
        <v>116</v>
      </c>
    </row>
    <row r="470" spans="1:5" ht="16.5" thickTop="1" thickBot="1">
      <c r="A470" s="178">
        <v>256962</v>
      </c>
      <c r="B470" s="222">
        <v>52260</v>
      </c>
      <c r="C470" s="98" t="s">
        <v>648</v>
      </c>
      <c r="E470" s="98" t="s">
        <v>116</v>
      </c>
    </row>
    <row r="471" spans="1:5" ht="16.5" thickTop="1" thickBot="1">
      <c r="A471" s="126">
        <v>256963</v>
      </c>
      <c r="B471" s="222">
        <v>52260</v>
      </c>
      <c r="C471" s="98" t="s">
        <v>648</v>
      </c>
      <c r="E471" s="98" t="s">
        <v>116</v>
      </c>
    </row>
    <row r="472" spans="1:5" ht="16.5" thickTop="1" thickBot="1">
      <c r="A472" s="126">
        <v>256964</v>
      </c>
      <c r="B472" s="222">
        <v>52260</v>
      </c>
      <c r="C472" s="98" t="s">
        <v>648</v>
      </c>
      <c r="E472" s="98" t="s">
        <v>116</v>
      </c>
    </row>
    <row r="473" spans="1:5" ht="16.5" thickTop="1" thickBot="1">
      <c r="A473" s="126">
        <v>256965</v>
      </c>
      <c r="B473" s="222">
        <v>52260</v>
      </c>
      <c r="C473" s="98" t="s">
        <v>648</v>
      </c>
      <c r="E473" s="98" t="s">
        <v>116</v>
      </c>
    </row>
    <row r="474" spans="1:5" ht="16.5" thickTop="1" thickBot="1">
      <c r="A474" s="126">
        <v>256966</v>
      </c>
      <c r="B474" s="222">
        <v>52260</v>
      </c>
      <c r="C474" s="98" t="s">
        <v>648</v>
      </c>
      <c r="E474" s="98" t="s">
        <v>116</v>
      </c>
    </row>
    <row r="475" spans="1:5" ht="16.5" thickTop="1" thickBot="1">
      <c r="A475" s="126">
        <v>256967</v>
      </c>
      <c r="B475" s="222">
        <v>52260</v>
      </c>
      <c r="C475" s="98" t="s">
        <v>648</v>
      </c>
      <c r="E475" s="98" t="s">
        <v>116</v>
      </c>
    </row>
    <row r="476" spans="1:5" ht="16.5" thickTop="1" thickBot="1">
      <c r="A476" s="126">
        <v>256968</v>
      </c>
      <c r="B476" s="222">
        <v>52260</v>
      </c>
      <c r="C476" s="98" t="s">
        <v>648</v>
      </c>
      <c r="E476" s="98" t="s">
        <v>116</v>
      </c>
    </row>
    <row r="477" spans="1:5" ht="16.5" thickTop="1" thickBot="1">
      <c r="A477" s="126">
        <v>256969</v>
      </c>
      <c r="B477" s="222">
        <v>52260</v>
      </c>
      <c r="C477" s="98" t="s">
        <v>648</v>
      </c>
      <c r="E477" s="98" t="s">
        <v>116</v>
      </c>
    </row>
    <row r="478" spans="1:5" ht="16.5" thickTop="1" thickBot="1">
      <c r="A478" s="126">
        <v>256970</v>
      </c>
      <c r="B478" s="222">
        <v>52260</v>
      </c>
      <c r="C478" s="98" t="s">
        <v>648</v>
      </c>
      <c r="E478" s="98" t="s">
        <v>116</v>
      </c>
    </row>
    <row r="479" spans="1:5" ht="16.5" thickTop="1" thickBot="1">
      <c r="A479" s="126">
        <v>256971</v>
      </c>
      <c r="B479" s="222">
        <v>52260</v>
      </c>
      <c r="C479" s="98" t="s">
        <v>648</v>
      </c>
      <c r="E479" s="98" t="s">
        <v>116</v>
      </c>
    </row>
    <row r="480" spans="1:5" ht="16.5" thickTop="1" thickBot="1">
      <c r="A480" s="126">
        <v>256972</v>
      </c>
      <c r="B480" s="222">
        <v>52260</v>
      </c>
      <c r="C480" s="98" t="s">
        <v>648</v>
      </c>
      <c r="E480" s="98" t="s">
        <v>116</v>
      </c>
    </row>
    <row r="481" spans="1:5" ht="16.5" thickTop="1" thickBot="1">
      <c r="A481" s="126">
        <v>256961</v>
      </c>
      <c r="B481" s="222">
        <v>52260</v>
      </c>
      <c r="C481" s="98" t="s">
        <v>648</v>
      </c>
      <c r="E481" s="98" t="s">
        <v>116</v>
      </c>
    </row>
    <row r="482" spans="1:5" ht="16.5" thickTop="1" thickBot="1">
      <c r="A482" s="126">
        <v>322487</v>
      </c>
      <c r="B482" s="137" t="s">
        <v>879</v>
      </c>
      <c r="E482" s="98" t="s">
        <v>157</v>
      </c>
    </row>
    <row r="483" spans="1:5" ht="16.5" thickTop="1" thickBot="1">
      <c r="A483" s="126">
        <v>322488</v>
      </c>
      <c r="B483" s="137" t="s">
        <v>879</v>
      </c>
      <c r="E483" s="98" t="s">
        <v>157</v>
      </c>
    </row>
    <row r="484" spans="1:5" ht="16.5" thickTop="1" thickBot="1">
      <c r="A484" s="126">
        <v>322499</v>
      </c>
      <c r="B484" s="137" t="s">
        <v>879</v>
      </c>
      <c r="E484" s="98" t="s">
        <v>157</v>
      </c>
    </row>
    <row r="485" spans="1:5" ht="16.5" thickTop="1" thickBot="1">
      <c r="A485" s="126">
        <v>322498</v>
      </c>
      <c r="B485" s="137" t="s">
        <v>879</v>
      </c>
      <c r="E485" s="98" t="s">
        <v>157</v>
      </c>
    </row>
    <row r="486" spans="1:5" ht="16.5" thickTop="1" thickBot="1">
      <c r="A486" s="126">
        <v>322490</v>
      </c>
      <c r="B486" s="137" t="s">
        <v>879</v>
      </c>
      <c r="E486" s="98" t="s">
        <v>157</v>
      </c>
    </row>
    <row r="487" spans="1:5" ht="16.5" thickTop="1" thickBot="1">
      <c r="A487" s="126">
        <v>322491</v>
      </c>
      <c r="B487" s="137" t="s">
        <v>879</v>
      </c>
      <c r="E487" s="98" t="s">
        <v>157</v>
      </c>
    </row>
    <row r="488" spans="1:5" ht="16.5" thickTop="1" thickBot="1">
      <c r="A488" s="126">
        <v>322492</v>
      </c>
      <c r="B488" s="137" t="s">
        <v>879</v>
      </c>
      <c r="E488" s="98" t="s">
        <v>157</v>
      </c>
    </row>
    <row r="489" spans="1:5" ht="16.5" thickTop="1" thickBot="1">
      <c r="A489" s="126">
        <v>322493</v>
      </c>
      <c r="B489" s="137" t="s">
        <v>879</v>
      </c>
      <c r="E489" s="98" t="s">
        <v>157</v>
      </c>
    </row>
    <row r="490" spans="1:5" ht="16.5" thickTop="1" thickBot="1">
      <c r="A490" s="126">
        <v>322496</v>
      </c>
      <c r="B490" s="137" t="s">
        <v>879</v>
      </c>
      <c r="E490" s="98" t="s">
        <v>157</v>
      </c>
    </row>
    <row r="491" spans="1:5" ht="16.5" thickTop="1" thickBot="1">
      <c r="A491" s="126">
        <v>322494</v>
      </c>
      <c r="B491" s="137" t="s">
        <v>879</v>
      </c>
      <c r="E491" s="98" t="s">
        <v>157</v>
      </c>
    </row>
    <row r="492" spans="1:5" ht="16.5" thickTop="1" thickBot="1">
      <c r="A492" s="126">
        <v>322495</v>
      </c>
      <c r="B492" s="137" t="s">
        <v>879</v>
      </c>
      <c r="E492" s="98" t="s">
        <v>157</v>
      </c>
    </row>
    <row r="493" spans="1:5" ht="16.5" thickTop="1" thickBot="1">
      <c r="A493" s="126">
        <v>322497</v>
      </c>
      <c r="B493" s="137" t="s">
        <v>879</v>
      </c>
      <c r="E493" s="98" t="s">
        <v>157</v>
      </c>
    </row>
    <row r="494" spans="1:5" ht="16.5" thickTop="1" thickBot="1">
      <c r="A494" s="126">
        <v>322489</v>
      </c>
      <c r="B494" s="137" t="s">
        <v>879</v>
      </c>
      <c r="E494" s="98" t="s">
        <v>157</v>
      </c>
    </row>
    <row r="495" spans="1:5" ht="16.5" thickTop="1" thickBot="1">
      <c r="A495" s="126">
        <v>323222</v>
      </c>
      <c r="B495" s="137">
        <v>50590</v>
      </c>
      <c r="C495" s="98" t="s">
        <v>615</v>
      </c>
      <c r="E495" s="98" t="s">
        <v>148</v>
      </c>
    </row>
    <row r="496" spans="1:5" ht="16.5" thickTop="1" thickBot="1">
      <c r="A496" s="178">
        <v>341664</v>
      </c>
      <c r="B496" s="223">
        <v>51420</v>
      </c>
      <c r="C496" s="98" t="s">
        <v>615</v>
      </c>
      <c r="E496" s="98" t="s">
        <v>148</v>
      </c>
    </row>
    <row r="497" spans="1:5" ht="16.5" thickTop="1" thickBot="1">
      <c r="A497" s="126">
        <v>341663</v>
      </c>
      <c r="B497" s="223">
        <v>52290</v>
      </c>
      <c r="C497" s="98" t="s">
        <v>615</v>
      </c>
      <c r="E497" s="98" t="s">
        <v>148</v>
      </c>
    </row>
    <row r="498" spans="1:5" ht="16.5" thickTop="1" thickBot="1">
      <c r="A498" s="178">
        <v>341675</v>
      </c>
      <c r="B498" s="223">
        <v>52290</v>
      </c>
      <c r="C498" s="98" t="s">
        <v>615</v>
      </c>
      <c r="E498" s="98" t="s">
        <v>148</v>
      </c>
    </row>
    <row r="499" spans="1:5" ht="16.5" thickTop="1" thickBot="1">
      <c r="A499" s="178">
        <v>341674</v>
      </c>
      <c r="B499" s="223">
        <v>52290</v>
      </c>
      <c r="C499" s="98" t="s">
        <v>615</v>
      </c>
      <c r="E499" s="98" t="s">
        <v>148</v>
      </c>
    </row>
    <row r="500" spans="1:5" ht="16.5" thickTop="1" thickBot="1">
      <c r="A500" s="178">
        <v>341666</v>
      </c>
      <c r="B500" s="223">
        <v>52290</v>
      </c>
      <c r="C500" s="98" t="s">
        <v>615</v>
      </c>
      <c r="E500" s="98" t="s">
        <v>148</v>
      </c>
    </row>
    <row r="501" spans="1:5" ht="16.5" thickTop="1" thickBot="1">
      <c r="A501" s="178">
        <v>341667</v>
      </c>
      <c r="B501" s="223">
        <v>52290</v>
      </c>
      <c r="C501" s="98" t="s">
        <v>615</v>
      </c>
      <c r="E501" s="98" t="s">
        <v>148</v>
      </c>
    </row>
    <row r="502" spans="1:5" ht="16.5" thickTop="1" thickBot="1">
      <c r="A502" s="178">
        <v>341668</v>
      </c>
      <c r="B502" s="223">
        <v>52290</v>
      </c>
      <c r="C502" s="98" t="s">
        <v>615</v>
      </c>
      <c r="E502" s="98" t="s">
        <v>148</v>
      </c>
    </row>
    <row r="503" spans="1:5" ht="16.5" thickTop="1" thickBot="1">
      <c r="A503" s="178">
        <v>341669</v>
      </c>
      <c r="B503" s="223">
        <v>52290</v>
      </c>
      <c r="C503" s="98" t="s">
        <v>615</v>
      </c>
      <c r="E503" s="98" t="s">
        <v>148</v>
      </c>
    </row>
    <row r="504" spans="1:5" ht="16.5" thickTop="1" thickBot="1">
      <c r="A504" s="178">
        <v>341672</v>
      </c>
      <c r="B504" s="223">
        <v>52290</v>
      </c>
      <c r="C504" s="98" t="s">
        <v>615</v>
      </c>
      <c r="E504" s="98" t="s">
        <v>148</v>
      </c>
    </row>
    <row r="505" spans="1:5" ht="16.5" thickTop="1" thickBot="1">
      <c r="A505" s="178">
        <v>341670</v>
      </c>
      <c r="B505" s="223">
        <v>52290</v>
      </c>
      <c r="C505" s="98" t="s">
        <v>615</v>
      </c>
      <c r="E505" s="98" t="s">
        <v>148</v>
      </c>
    </row>
    <row r="506" spans="1:5" ht="16.5" thickTop="1" thickBot="1">
      <c r="A506" s="178">
        <v>341671</v>
      </c>
      <c r="B506" s="223">
        <v>52290</v>
      </c>
      <c r="C506" s="98" t="s">
        <v>615</v>
      </c>
      <c r="E506" s="98" t="s">
        <v>148</v>
      </c>
    </row>
    <row r="507" spans="1:5" ht="16.5" thickTop="1" thickBot="1">
      <c r="A507" s="178">
        <v>341673</v>
      </c>
      <c r="B507" s="223">
        <v>52290</v>
      </c>
      <c r="C507" s="98" t="s">
        <v>615</v>
      </c>
      <c r="E507" s="98" t="s">
        <v>148</v>
      </c>
    </row>
    <row r="508" spans="1:5" ht="16.5" thickTop="1" thickBot="1">
      <c r="A508" s="178">
        <v>341665</v>
      </c>
      <c r="B508" s="223">
        <v>52290</v>
      </c>
      <c r="C508" s="98" t="s">
        <v>615</v>
      </c>
      <c r="E508" s="98" t="s">
        <v>148</v>
      </c>
    </row>
    <row r="509" spans="1:5" ht="16.5" thickTop="1" thickBot="1">
      <c r="A509" s="178">
        <v>323224</v>
      </c>
      <c r="B509" s="223">
        <v>51460</v>
      </c>
      <c r="C509" s="98" t="s">
        <v>615</v>
      </c>
      <c r="E509" s="98" t="s">
        <v>148</v>
      </c>
    </row>
    <row r="510" spans="1:5" ht="16.5" thickTop="1" thickBot="1">
      <c r="A510" s="126">
        <v>323235</v>
      </c>
      <c r="B510" s="223">
        <v>51460</v>
      </c>
      <c r="C510" s="98" t="s">
        <v>615</v>
      </c>
      <c r="E510" s="98" t="s">
        <v>148</v>
      </c>
    </row>
    <row r="511" spans="1:5" ht="16.5" thickTop="1" thickBot="1">
      <c r="A511" s="126">
        <v>323234</v>
      </c>
      <c r="B511" s="223">
        <v>51460</v>
      </c>
      <c r="C511" s="98" t="s">
        <v>615</v>
      </c>
      <c r="E511" s="98" t="s">
        <v>148</v>
      </c>
    </row>
    <row r="512" spans="1:5" ht="16.5" thickTop="1" thickBot="1">
      <c r="A512" s="126">
        <v>323226</v>
      </c>
      <c r="B512" s="223">
        <v>51460</v>
      </c>
      <c r="C512" s="98" t="s">
        <v>615</v>
      </c>
      <c r="E512" s="98" t="s">
        <v>148</v>
      </c>
    </row>
    <row r="513" spans="1:5" ht="16.5" thickTop="1" thickBot="1">
      <c r="A513" s="126">
        <v>323227</v>
      </c>
      <c r="B513" s="223">
        <v>51460</v>
      </c>
      <c r="C513" s="98" t="s">
        <v>615</v>
      </c>
      <c r="E513" s="98" t="s">
        <v>148</v>
      </c>
    </row>
    <row r="514" spans="1:5" ht="16.5" thickTop="1" thickBot="1">
      <c r="A514" s="126">
        <v>323228</v>
      </c>
      <c r="B514" s="223">
        <v>51460</v>
      </c>
      <c r="C514" s="98" t="s">
        <v>615</v>
      </c>
      <c r="E514" s="98" t="s">
        <v>148</v>
      </c>
    </row>
    <row r="515" spans="1:5" ht="16.5" thickTop="1" thickBot="1">
      <c r="A515" s="126">
        <v>323229</v>
      </c>
      <c r="B515" s="223">
        <v>51460</v>
      </c>
      <c r="C515" s="98" t="s">
        <v>615</v>
      </c>
      <c r="E515" s="98" t="s">
        <v>148</v>
      </c>
    </row>
    <row r="516" spans="1:5" ht="16.5" thickTop="1" thickBot="1">
      <c r="A516" s="126">
        <v>323232</v>
      </c>
      <c r="B516" s="223">
        <v>51460</v>
      </c>
      <c r="C516" s="98" t="s">
        <v>615</v>
      </c>
      <c r="E516" s="98" t="s">
        <v>148</v>
      </c>
    </row>
    <row r="517" spans="1:5" ht="16.5" thickTop="1" thickBot="1">
      <c r="A517" s="126">
        <v>323230</v>
      </c>
      <c r="B517" s="223">
        <v>51460</v>
      </c>
      <c r="C517" s="98" t="s">
        <v>615</v>
      </c>
      <c r="E517" s="98" t="s">
        <v>148</v>
      </c>
    </row>
    <row r="518" spans="1:5" ht="16.5" thickTop="1" thickBot="1">
      <c r="A518" s="126">
        <v>323231</v>
      </c>
      <c r="B518" s="223">
        <v>51460</v>
      </c>
      <c r="C518" s="98" t="s">
        <v>615</v>
      </c>
      <c r="E518" s="98" t="s">
        <v>148</v>
      </c>
    </row>
    <row r="519" spans="1:5" ht="16.5" thickTop="1" thickBot="1">
      <c r="A519" s="126">
        <v>323233</v>
      </c>
      <c r="B519" s="223">
        <v>51460</v>
      </c>
      <c r="C519" s="98" t="s">
        <v>615</v>
      </c>
      <c r="E519" s="98" t="s">
        <v>148</v>
      </c>
    </row>
    <row r="520" spans="1:5" ht="16.5" thickTop="1" thickBot="1">
      <c r="A520" s="126">
        <v>323225</v>
      </c>
      <c r="B520" s="223">
        <v>51460</v>
      </c>
      <c r="C520" s="98" t="s">
        <v>615</v>
      </c>
      <c r="E520" s="98" t="s">
        <v>148</v>
      </c>
    </row>
    <row r="521" spans="1:5" ht="16.5" thickTop="1" thickBot="1">
      <c r="A521" s="126">
        <v>322913</v>
      </c>
      <c r="B521" s="137">
        <v>50290</v>
      </c>
      <c r="C521" s="98" t="s">
        <v>619</v>
      </c>
      <c r="E521" s="98" t="s">
        <v>110</v>
      </c>
    </row>
    <row r="522" spans="1:5" ht="16.5" thickTop="1" thickBot="1">
      <c r="A522" s="126">
        <v>342047</v>
      </c>
      <c r="B522" s="223">
        <v>51990</v>
      </c>
      <c r="C522" s="98" t="s">
        <v>619</v>
      </c>
      <c r="E522" s="98" t="s">
        <v>110</v>
      </c>
    </row>
    <row r="523" spans="1:5" ht="16.5" thickTop="1" thickBot="1">
      <c r="A523" s="178">
        <v>342059</v>
      </c>
      <c r="B523" s="223">
        <v>51990</v>
      </c>
      <c r="C523" s="98" t="s">
        <v>619</v>
      </c>
      <c r="E523" s="98" t="s">
        <v>110</v>
      </c>
    </row>
    <row r="524" spans="1:5" ht="16.5" thickTop="1" thickBot="1">
      <c r="A524" s="178">
        <v>342058</v>
      </c>
      <c r="B524" s="223">
        <v>51990</v>
      </c>
      <c r="C524" s="98" t="s">
        <v>619</v>
      </c>
      <c r="E524" s="98" t="s">
        <v>110</v>
      </c>
    </row>
    <row r="525" spans="1:5" ht="16.5" thickTop="1" thickBot="1">
      <c r="A525" s="178">
        <v>342050</v>
      </c>
      <c r="B525" s="223">
        <v>51990</v>
      </c>
      <c r="C525" s="98" t="s">
        <v>619</v>
      </c>
      <c r="E525" s="98" t="s">
        <v>110</v>
      </c>
    </row>
    <row r="526" spans="1:5" ht="16.5" thickTop="1" thickBot="1">
      <c r="A526" s="178">
        <v>342051</v>
      </c>
      <c r="B526" s="223">
        <v>51990</v>
      </c>
      <c r="C526" s="98" t="s">
        <v>619</v>
      </c>
      <c r="E526" s="98" t="s">
        <v>110</v>
      </c>
    </row>
    <row r="527" spans="1:5" ht="16.5" thickTop="1" thickBot="1">
      <c r="A527" s="178">
        <v>342052</v>
      </c>
      <c r="B527" s="223">
        <v>51990</v>
      </c>
      <c r="C527" s="98" t="s">
        <v>619</v>
      </c>
      <c r="E527" s="98" t="s">
        <v>110</v>
      </c>
    </row>
    <row r="528" spans="1:5" ht="16.5" thickTop="1" thickBot="1">
      <c r="A528" s="178">
        <v>342053</v>
      </c>
      <c r="B528" s="223">
        <v>51990</v>
      </c>
      <c r="C528" s="98" t="s">
        <v>619</v>
      </c>
      <c r="E528" s="98" t="s">
        <v>110</v>
      </c>
    </row>
    <row r="529" spans="1:5" ht="16.5" thickTop="1" thickBot="1">
      <c r="A529" s="178">
        <v>342056</v>
      </c>
      <c r="B529" s="223">
        <v>51990</v>
      </c>
      <c r="C529" s="98" t="s">
        <v>619</v>
      </c>
      <c r="E529" s="98" t="s">
        <v>110</v>
      </c>
    </row>
    <row r="530" spans="1:5" ht="16.5" thickTop="1" thickBot="1">
      <c r="A530" s="178">
        <v>342054</v>
      </c>
      <c r="B530" s="223">
        <v>51990</v>
      </c>
      <c r="C530" s="98" t="s">
        <v>619</v>
      </c>
      <c r="E530" s="98" t="s">
        <v>110</v>
      </c>
    </row>
    <row r="531" spans="1:5" ht="16.5" thickTop="1" thickBot="1">
      <c r="A531" s="178">
        <v>342055</v>
      </c>
      <c r="B531" s="223">
        <v>51990</v>
      </c>
      <c r="C531" s="98" t="s">
        <v>619</v>
      </c>
      <c r="E531" s="98" t="s">
        <v>110</v>
      </c>
    </row>
    <row r="532" spans="1:5" ht="16.5" thickTop="1" thickBot="1">
      <c r="A532" s="178">
        <v>342057</v>
      </c>
      <c r="B532" s="223">
        <v>51990</v>
      </c>
      <c r="C532" s="98" t="s">
        <v>619</v>
      </c>
      <c r="E532" s="98" t="s">
        <v>110</v>
      </c>
    </row>
    <row r="533" spans="1:5" ht="16.5" thickTop="1" thickBot="1">
      <c r="A533" s="178">
        <v>342049</v>
      </c>
      <c r="B533" s="223">
        <v>51990</v>
      </c>
      <c r="C533" s="98" t="s">
        <v>619</v>
      </c>
      <c r="E533" s="98" t="s">
        <v>110</v>
      </c>
    </row>
    <row r="534" spans="1:5" ht="16.5" thickTop="1" thickBot="1">
      <c r="A534" s="178">
        <v>342048</v>
      </c>
      <c r="B534" s="223">
        <v>51120</v>
      </c>
      <c r="C534" s="98" t="s">
        <v>619</v>
      </c>
      <c r="E534" s="98" t="s">
        <v>110</v>
      </c>
    </row>
    <row r="535" spans="1:5" ht="16.5" thickTop="1" thickBot="1">
      <c r="A535" s="178">
        <v>322916</v>
      </c>
      <c r="B535" s="223">
        <v>51160</v>
      </c>
      <c r="C535" s="98" t="s">
        <v>619</v>
      </c>
      <c r="E535" s="98" t="s">
        <v>110</v>
      </c>
    </row>
    <row r="536" spans="1:5" ht="16.5" thickTop="1" thickBot="1">
      <c r="A536" s="126">
        <v>322927</v>
      </c>
      <c r="B536" s="223">
        <v>51160</v>
      </c>
      <c r="C536" s="98" t="s">
        <v>619</v>
      </c>
      <c r="E536" s="98" t="s">
        <v>110</v>
      </c>
    </row>
    <row r="537" spans="1:5" ht="16.5" thickTop="1" thickBot="1">
      <c r="A537" s="126">
        <v>322926</v>
      </c>
      <c r="B537" s="223">
        <v>51160</v>
      </c>
      <c r="C537" s="98" t="s">
        <v>619</v>
      </c>
      <c r="E537" s="98" t="s">
        <v>110</v>
      </c>
    </row>
    <row r="538" spans="1:5" ht="16.5" thickTop="1" thickBot="1">
      <c r="A538" s="126">
        <v>322918</v>
      </c>
      <c r="B538" s="223">
        <v>51160</v>
      </c>
      <c r="C538" s="98" t="s">
        <v>619</v>
      </c>
      <c r="E538" s="98" t="s">
        <v>110</v>
      </c>
    </row>
    <row r="539" spans="1:5" ht="16.5" thickTop="1" thickBot="1">
      <c r="A539" s="126">
        <v>322919</v>
      </c>
      <c r="B539" s="223">
        <v>51160</v>
      </c>
      <c r="C539" s="98" t="s">
        <v>619</v>
      </c>
      <c r="E539" s="98" t="s">
        <v>110</v>
      </c>
    </row>
    <row r="540" spans="1:5" ht="16.5" thickTop="1" thickBot="1">
      <c r="A540" s="126">
        <v>322920</v>
      </c>
      <c r="B540" s="223">
        <v>51160</v>
      </c>
      <c r="C540" s="98" t="s">
        <v>619</v>
      </c>
      <c r="E540" s="98" t="s">
        <v>110</v>
      </c>
    </row>
    <row r="541" spans="1:5" ht="16.5" thickTop="1" thickBot="1">
      <c r="A541" s="126">
        <v>322921</v>
      </c>
      <c r="B541" s="223">
        <v>51160</v>
      </c>
      <c r="C541" s="98" t="s">
        <v>619</v>
      </c>
      <c r="E541" s="98" t="s">
        <v>110</v>
      </c>
    </row>
    <row r="542" spans="1:5" ht="16.5" thickTop="1" thickBot="1">
      <c r="A542" s="126">
        <v>322924</v>
      </c>
      <c r="B542" s="223">
        <v>51160</v>
      </c>
      <c r="C542" s="98" t="s">
        <v>619</v>
      </c>
      <c r="E542" s="98" t="s">
        <v>110</v>
      </c>
    </row>
    <row r="543" spans="1:5" ht="16.5" thickTop="1" thickBot="1">
      <c r="A543" s="126">
        <v>322922</v>
      </c>
      <c r="B543" s="223">
        <v>51160</v>
      </c>
      <c r="C543" s="98" t="s">
        <v>619</v>
      </c>
      <c r="E543" s="98" t="s">
        <v>110</v>
      </c>
    </row>
    <row r="544" spans="1:5" ht="16.5" thickTop="1" thickBot="1">
      <c r="A544" s="126">
        <v>322923</v>
      </c>
      <c r="B544" s="223">
        <v>51160</v>
      </c>
      <c r="C544" s="98" t="s">
        <v>619</v>
      </c>
      <c r="E544" s="98" t="s">
        <v>110</v>
      </c>
    </row>
    <row r="545" spans="1:5" ht="16.5" thickTop="1" thickBot="1">
      <c r="A545" s="126">
        <v>322925</v>
      </c>
      <c r="B545" s="223">
        <v>51160</v>
      </c>
      <c r="C545" s="98" t="s">
        <v>619</v>
      </c>
      <c r="E545" s="98" t="s">
        <v>110</v>
      </c>
    </row>
    <row r="546" spans="1:5" ht="16.5" thickTop="1" thickBot="1">
      <c r="A546" s="126">
        <v>322917</v>
      </c>
      <c r="B546" s="223">
        <v>51160</v>
      </c>
      <c r="C546" s="98" t="s">
        <v>619</v>
      </c>
      <c r="E546" s="98" t="s">
        <v>110</v>
      </c>
    </row>
    <row r="547" spans="1:5" ht="16.5" thickTop="1" thickBot="1">
      <c r="A547" s="126">
        <v>322928</v>
      </c>
      <c r="B547" s="137">
        <v>49090</v>
      </c>
      <c r="C547" s="98" t="s">
        <v>616</v>
      </c>
      <c r="E547" s="98" t="s">
        <v>112</v>
      </c>
    </row>
    <row r="548" spans="1:5" ht="16.5" thickTop="1" thickBot="1">
      <c r="A548" s="126">
        <v>342070</v>
      </c>
      <c r="B548" s="223">
        <v>50790</v>
      </c>
      <c r="C548" s="98" t="s">
        <v>616</v>
      </c>
      <c r="E548" s="98" t="s">
        <v>112</v>
      </c>
    </row>
    <row r="549" spans="1:5" ht="16.5" thickTop="1" thickBot="1">
      <c r="A549" s="178">
        <v>342082</v>
      </c>
      <c r="B549" s="223">
        <v>50790</v>
      </c>
      <c r="C549" s="98" t="s">
        <v>616</v>
      </c>
      <c r="E549" s="98" t="s">
        <v>112</v>
      </c>
    </row>
    <row r="550" spans="1:5" ht="16.5" thickTop="1" thickBot="1">
      <c r="A550" s="178">
        <v>342081</v>
      </c>
      <c r="B550" s="223">
        <v>50790</v>
      </c>
      <c r="C550" s="98" t="s">
        <v>616</v>
      </c>
      <c r="E550" s="98" t="s">
        <v>112</v>
      </c>
    </row>
    <row r="551" spans="1:5" ht="16.5" thickTop="1" thickBot="1">
      <c r="A551" s="178">
        <v>342073</v>
      </c>
      <c r="B551" s="223">
        <v>50790</v>
      </c>
      <c r="C551" s="98" t="s">
        <v>616</v>
      </c>
      <c r="E551" s="98" t="s">
        <v>112</v>
      </c>
    </row>
    <row r="552" spans="1:5" ht="16.5" thickTop="1" thickBot="1">
      <c r="A552" s="178">
        <v>342074</v>
      </c>
      <c r="B552" s="223">
        <v>50790</v>
      </c>
      <c r="C552" s="98" t="s">
        <v>616</v>
      </c>
      <c r="E552" s="98" t="s">
        <v>112</v>
      </c>
    </row>
    <row r="553" spans="1:5" ht="16.5" thickTop="1" thickBot="1">
      <c r="A553" s="178">
        <v>342075</v>
      </c>
      <c r="B553" s="223">
        <v>50790</v>
      </c>
      <c r="C553" s="98" t="s">
        <v>616</v>
      </c>
      <c r="E553" s="98" t="s">
        <v>112</v>
      </c>
    </row>
    <row r="554" spans="1:5" ht="16.5" thickTop="1" thickBot="1">
      <c r="A554" s="178">
        <v>342076</v>
      </c>
      <c r="B554" s="223">
        <v>50790</v>
      </c>
      <c r="C554" s="98" t="s">
        <v>616</v>
      </c>
      <c r="E554" s="98" t="s">
        <v>112</v>
      </c>
    </row>
    <row r="555" spans="1:5" ht="16.5" thickTop="1" thickBot="1">
      <c r="A555" s="178">
        <v>342079</v>
      </c>
      <c r="B555" s="223">
        <v>50790</v>
      </c>
      <c r="C555" s="98" t="s">
        <v>616</v>
      </c>
      <c r="E555" s="98" t="s">
        <v>112</v>
      </c>
    </row>
    <row r="556" spans="1:5" ht="16.5" thickTop="1" thickBot="1">
      <c r="A556" s="178">
        <v>342077</v>
      </c>
      <c r="B556" s="223">
        <v>50790</v>
      </c>
      <c r="C556" s="98" t="s">
        <v>616</v>
      </c>
      <c r="E556" s="98" t="s">
        <v>112</v>
      </c>
    </row>
    <row r="557" spans="1:5" ht="16.5" thickTop="1" thickBot="1">
      <c r="A557" s="178">
        <v>342078</v>
      </c>
      <c r="B557" s="223">
        <v>50790</v>
      </c>
      <c r="C557" s="98" t="s">
        <v>616</v>
      </c>
      <c r="E557" s="98" t="s">
        <v>112</v>
      </c>
    </row>
    <row r="558" spans="1:5" ht="16.5" thickTop="1" thickBot="1">
      <c r="A558" s="178">
        <v>342080</v>
      </c>
      <c r="B558" s="223">
        <v>50790</v>
      </c>
      <c r="C558" s="98" t="s">
        <v>616</v>
      </c>
      <c r="E558" s="98" t="s">
        <v>112</v>
      </c>
    </row>
    <row r="559" spans="1:5" ht="16.5" thickTop="1" thickBot="1">
      <c r="A559" s="178">
        <v>342072</v>
      </c>
      <c r="B559" s="223">
        <v>50790</v>
      </c>
      <c r="C559" s="98" t="s">
        <v>616</v>
      </c>
      <c r="E559" s="98" t="s">
        <v>112</v>
      </c>
    </row>
    <row r="560" spans="1:5" ht="16.5" thickTop="1" thickBot="1">
      <c r="A560" s="178">
        <v>342071</v>
      </c>
      <c r="B560" s="223">
        <v>49920</v>
      </c>
      <c r="C560" s="98" t="s">
        <v>616</v>
      </c>
      <c r="E560" s="98" t="s">
        <v>112</v>
      </c>
    </row>
    <row r="561" spans="1:5" ht="16.5" thickTop="1" thickBot="1">
      <c r="A561" s="178">
        <v>322929</v>
      </c>
      <c r="B561" s="223">
        <v>49960</v>
      </c>
      <c r="C561" s="98" t="s">
        <v>616</v>
      </c>
      <c r="E561" s="98" t="s">
        <v>112</v>
      </c>
    </row>
    <row r="562" spans="1:5" ht="16.5" thickTop="1" thickBot="1">
      <c r="A562" s="126">
        <v>322940</v>
      </c>
      <c r="B562" s="223">
        <v>49960</v>
      </c>
      <c r="C562" s="98" t="s">
        <v>616</v>
      </c>
      <c r="E562" s="98" t="s">
        <v>112</v>
      </c>
    </row>
    <row r="563" spans="1:5" ht="16.5" thickTop="1" thickBot="1">
      <c r="A563" s="126">
        <v>322939</v>
      </c>
      <c r="B563" s="223">
        <v>49960</v>
      </c>
      <c r="C563" s="98" t="s">
        <v>616</v>
      </c>
      <c r="E563" s="98" t="s">
        <v>112</v>
      </c>
    </row>
    <row r="564" spans="1:5" ht="16.5" thickTop="1" thickBot="1">
      <c r="A564" s="126">
        <v>322931</v>
      </c>
      <c r="B564" s="223">
        <v>49960</v>
      </c>
      <c r="C564" s="98" t="s">
        <v>616</v>
      </c>
      <c r="E564" s="98" t="s">
        <v>112</v>
      </c>
    </row>
    <row r="565" spans="1:5" ht="16.5" thickTop="1" thickBot="1">
      <c r="A565" s="126">
        <v>322932</v>
      </c>
      <c r="B565" s="223">
        <v>49960</v>
      </c>
      <c r="C565" s="98" t="s">
        <v>616</v>
      </c>
      <c r="E565" s="98" t="s">
        <v>112</v>
      </c>
    </row>
    <row r="566" spans="1:5" ht="16.5" thickTop="1" thickBot="1">
      <c r="A566" s="126">
        <v>322933</v>
      </c>
      <c r="B566" s="223">
        <v>49960</v>
      </c>
      <c r="C566" s="98" t="s">
        <v>616</v>
      </c>
      <c r="E566" s="98" t="s">
        <v>112</v>
      </c>
    </row>
    <row r="567" spans="1:5" ht="16.5" thickTop="1" thickBot="1">
      <c r="A567" s="126">
        <v>322934</v>
      </c>
      <c r="B567" s="223">
        <v>49960</v>
      </c>
      <c r="C567" s="98" t="s">
        <v>616</v>
      </c>
      <c r="E567" s="98" t="s">
        <v>112</v>
      </c>
    </row>
    <row r="568" spans="1:5" ht="16.5" thickTop="1" thickBot="1">
      <c r="A568" s="126">
        <v>322937</v>
      </c>
      <c r="B568" s="223">
        <v>49960</v>
      </c>
      <c r="C568" s="98" t="s">
        <v>616</v>
      </c>
      <c r="E568" s="98" t="s">
        <v>112</v>
      </c>
    </row>
    <row r="569" spans="1:5" ht="16.5" thickTop="1" thickBot="1">
      <c r="A569" s="126">
        <v>322935</v>
      </c>
      <c r="B569" s="223">
        <v>49960</v>
      </c>
      <c r="C569" s="98" t="s">
        <v>616</v>
      </c>
      <c r="E569" s="98" t="s">
        <v>112</v>
      </c>
    </row>
    <row r="570" spans="1:5" ht="16.5" thickTop="1" thickBot="1">
      <c r="A570" s="126">
        <v>322936</v>
      </c>
      <c r="B570" s="223">
        <v>49960</v>
      </c>
      <c r="C570" s="98" t="s">
        <v>616</v>
      </c>
      <c r="E570" s="98" t="s">
        <v>112</v>
      </c>
    </row>
    <row r="571" spans="1:5" ht="16.5" thickTop="1" thickBot="1">
      <c r="A571" s="126">
        <v>322938</v>
      </c>
      <c r="B571" s="223">
        <v>49960</v>
      </c>
      <c r="C571" s="98" t="s">
        <v>616</v>
      </c>
      <c r="E571" s="98" t="s">
        <v>112</v>
      </c>
    </row>
    <row r="572" spans="1:5" ht="16.5" thickTop="1" thickBot="1">
      <c r="A572" s="126">
        <v>322930</v>
      </c>
      <c r="B572" s="223">
        <v>49960</v>
      </c>
      <c r="C572" s="98" t="s">
        <v>616</v>
      </c>
      <c r="E572" s="98" t="s">
        <v>112</v>
      </c>
    </row>
    <row r="573" spans="1:5" ht="16.5" thickTop="1" thickBot="1">
      <c r="A573" s="126">
        <v>311717</v>
      </c>
      <c r="B573" s="137" t="s">
        <v>879</v>
      </c>
      <c r="E573" s="98" t="s">
        <v>245</v>
      </c>
    </row>
    <row r="574" spans="1:5" ht="16.5" thickTop="1" thickBot="1">
      <c r="A574" s="126">
        <v>311718</v>
      </c>
      <c r="B574" s="137" t="s">
        <v>879</v>
      </c>
      <c r="E574" s="98" t="s">
        <v>245</v>
      </c>
    </row>
    <row r="575" spans="1:5" ht="16.5" thickTop="1" thickBot="1">
      <c r="A575" s="178">
        <v>341366</v>
      </c>
      <c r="B575" s="137">
        <v>11790</v>
      </c>
      <c r="C575" s="98" t="s">
        <v>625</v>
      </c>
      <c r="E575" s="98" t="s">
        <v>281</v>
      </c>
    </row>
    <row r="576" spans="1:5" ht="16.5" thickTop="1" thickBot="1">
      <c r="A576" s="126">
        <v>300693</v>
      </c>
      <c r="B576" s="137">
        <v>11790</v>
      </c>
      <c r="C576" s="98" t="s">
        <v>625</v>
      </c>
      <c r="E576" s="98" t="s">
        <v>281</v>
      </c>
    </row>
    <row r="577" spans="1:5" ht="16.5" thickTop="1" thickBot="1">
      <c r="A577" s="126">
        <v>300694</v>
      </c>
      <c r="B577" s="137">
        <v>11790</v>
      </c>
      <c r="C577" s="98" t="s">
        <v>876</v>
      </c>
      <c r="E577" s="98" t="s">
        <v>281</v>
      </c>
    </row>
    <row r="578" spans="1:5" ht="16.5" thickTop="1" thickBot="1">
      <c r="A578" s="126">
        <v>300695</v>
      </c>
      <c r="B578" s="137">
        <v>11790</v>
      </c>
      <c r="C578" s="98" t="s">
        <v>878</v>
      </c>
      <c r="E578" s="98" t="s">
        <v>281</v>
      </c>
    </row>
    <row r="579" spans="1:5" ht="16.5" thickTop="1" thickBot="1">
      <c r="A579" s="126">
        <v>300696</v>
      </c>
      <c r="B579" s="137">
        <v>11790</v>
      </c>
      <c r="C579" s="98" t="s">
        <v>877</v>
      </c>
      <c r="E579" s="98" t="s">
        <v>281</v>
      </c>
    </row>
    <row r="580" spans="1:5" ht="16.5" thickTop="1" thickBot="1">
      <c r="A580" s="126">
        <v>274813</v>
      </c>
      <c r="B580" s="137">
        <v>51390</v>
      </c>
      <c r="C580" s="98" t="s">
        <v>623</v>
      </c>
      <c r="E580" s="98" t="s">
        <v>117</v>
      </c>
    </row>
    <row r="581" spans="1:5" ht="16.5" thickTop="1" thickBot="1">
      <c r="A581" s="126">
        <v>274814</v>
      </c>
      <c r="B581" s="137">
        <v>43369</v>
      </c>
      <c r="C581" s="98" t="s">
        <v>623</v>
      </c>
      <c r="E581" s="98" t="s">
        <v>117</v>
      </c>
    </row>
    <row r="582" spans="1:5" ht="16.5" thickTop="1" thickBot="1">
      <c r="A582" s="126">
        <v>274815</v>
      </c>
      <c r="B582" s="223">
        <v>52260</v>
      </c>
      <c r="C582" s="98" t="s">
        <v>623</v>
      </c>
      <c r="E582" s="98" t="s">
        <v>117</v>
      </c>
    </row>
    <row r="583" spans="1:5" ht="16.5" thickTop="1" thickBot="1">
      <c r="A583" s="126">
        <v>274827</v>
      </c>
      <c r="B583" s="223">
        <v>53090</v>
      </c>
      <c r="C583" s="98" t="s">
        <v>623</v>
      </c>
      <c r="E583" s="98" t="s">
        <v>117</v>
      </c>
    </row>
    <row r="584" spans="1:5" ht="16.5" thickTop="1" thickBot="1">
      <c r="A584" s="126">
        <v>274826</v>
      </c>
      <c r="B584" s="223">
        <v>52260</v>
      </c>
      <c r="C584" s="98" t="s">
        <v>623</v>
      </c>
      <c r="E584" s="98" t="s">
        <v>117</v>
      </c>
    </row>
    <row r="585" spans="1:5" ht="16.5" thickTop="1" thickBot="1">
      <c r="A585" s="126">
        <v>274838</v>
      </c>
      <c r="B585" s="223">
        <v>53090</v>
      </c>
      <c r="C585" s="98" t="s">
        <v>623</v>
      </c>
      <c r="E585" s="98" t="s">
        <v>117</v>
      </c>
    </row>
    <row r="586" spans="1:5" ht="16.5" thickTop="1" thickBot="1">
      <c r="A586" s="126">
        <v>274825</v>
      </c>
      <c r="B586" s="223">
        <v>52260</v>
      </c>
      <c r="C586" s="98" t="s">
        <v>623</v>
      </c>
      <c r="E586" s="98" t="s">
        <v>117</v>
      </c>
    </row>
    <row r="587" spans="1:5" ht="16.5" thickTop="1" thickBot="1">
      <c r="A587" s="126">
        <v>274837</v>
      </c>
      <c r="B587" s="223">
        <v>53090</v>
      </c>
      <c r="C587" s="98" t="s">
        <v>623</v>
      </c>
      <c r="E587" s="98" t="s">
        <v>117</v>
      </c>
    </row>
    <row r="588" spans="1:5" ht="16.5" thickTop="1" thickBot="1">
      <c r="A588" s="126">
        <v>274817</v>
      </c>
      <c r="B588" s="223">
        <v>52260</v>
      </c>
      <c r="C588" s="98" t="s">
        <v>623</v>
      </c>
      <c r="E588" s="98" t="s">
        <v>117</v>
      </c>
    </row>
    <row r="589" spans="1:5" ht="16.5" thickTop="1" thickBot="1">
      <c r="A589" s="126">
        <v>274829</v>
      </c>
      <c r="B589" s="223">
        <v>53090</v>
      </c>
      <c r="C589" s="98" t="s">
        <v>623</v>
      </c>
      <c r="E589" s="98" t="s">
        <v>117</v>
      </c>
    </row>
    <row r="590" spans="1:5" ht="16.5" thickTop="1" thickBot="1">
      <c r="A590" s="126">
        <v>274818</v>
      </c>
      <c r="B590" s="223">
        <v>52260</v>
      </c>
      <c r="C590" s="98" t="s">
        <v>623</v>
      </c>
      <c r="E590" s="98" t="s">
        <v>117</v>
      </c>
    </row>
    <row r="591" spans="1:5" ht="16.5" thickTop="1" thickBot="1">
      <c r="A591" s="126">
        <v>274830</v>
      </c>
      <c r="B591" s="223">
        <v>53090</v>
      </c>
      <c r="C591" s="98" t="s">
        <v>623</v>
      </c>
      <c r="E591" s="98" t="s">
        <v>117</v>
      </c>
    </row>
    <row r="592" spans="1:5" ht="16.5" thickTop="1" thickBot="1">
      <c r="A592" s="126">
        <v>274819</v>
      </c>
      <c r="B592" s="223">
        <v>52260</v>
      </c>
      <c r="C592" s="98" t="s">
        <v>623</v>
      </c>
      <c r="E592" s="98" t="s">
        <v>117</v>
      </c>
    </row>
    <row r="593" spans="1:5" ht="16.5" thickTop="1" thickBot="1">
      <c r="A593" s="126">
        <v>274831</v>
      </c>
      <c r="B593" s="223">
        <v>53090</v>
      </c>
      <c r="C593" s="98" t="s">
        <v>623</v>
      </c>
      <c r="E593" s="98" t="s">
        <v>117</v>
      </c>
    </row>
    <row r="594" spans="1:5" ht="16.5" thickTop="1" thickBot="1">
      <c r="A594" s="126">
        <v>274820</v>
      </c>
      <c r="B594" s="223">
        <v>52260</v>
      </c>
      <c r="C594" s="98" t="s">
        <v>623</v>
      </c>
      <c r="E594" s="98" t="s">
        <v>117</v>
      </c>
    </row>
    <row r="595" spans="1:5" ht="16.5" thickTop="1" thickBot="1">
      <c r="A595" s="126">
        <v>274832</v>
      </c>
      <c r="B595" s="223">
        <v>53090</v>
      </c>
      <c r="C595" s="98" t="s">
        <v>623</v>
      </c>
      <c r="E595" s="98" t="s">
        <v>117</v>
      </c>
    </row>
    <row r="596" spans="1:5" ht="16.5" thickTop="1" thickBot="1">
      <c r="A596" s="126">
        <v>274823</v>
      </c>
      <c r="B596" s="223">
        <v>52260</v>
      </c>
      <c r="C596" s="98" t="s">
        <v>623</v>
      </c>
      <c r="E596" s="98" t="s">
        <v>117</v>
      </c>
    </row>
    <row r="597" spans="1:5" ht="16.5" thickTop="1" thickBot="1">
      <c r="A597" s="126">
        <v>274835</v>
      </c>
      <c r="B597" s="223">
        <v>53090</v>
      </c>
      <c r="C597" s="98" t="s">
        <v>623</v>
      </c>
      <c r="E597" s="98" t="s">
        <v>117</v>
      </c>
    </row>
    <row r="598" spans="1:5" ht="16.5" thickTop="1" thickBot="1">
      <c r="A598" s="126">
        <v>274821</v>
      </c>
      <c r="B598" s="223">
        <v>52260</v>
      </c>
      <c r="C598" s="98" t="s">
        <v>623</v>
      </c>
      <c r="E598" s="98" t="s">
        <v>117</v>
      </c>
    </row>
    <row r="599" spans="1:5" ht="16.5" thickTop="1" thickBot="1">
      <c r="A599" s="126">
        <v>274833</v>
      </c>
      <c r="B599" s="223">
        <v>53090</v>
      </c>
      <c r="C599" s="98" t="s">
        <v>623</v>
      </c>
      <c r="E599" s="98" t="s">
        <v>117</v>
      </c>
    </row>
    <row r="600" spans="1:5" ht="16.5" thickTop="1" thickBot="1">
      <c r="A600" s="126">
        <v>274822</v>
      </c>
      <c r="B600" s="223">
        <v>52260</v>
      </c>
      <c r="C600" s="98" t="s">
        <v>623</v>
      </c>
      <c r="E600" s="98" t="s">
        <v>117</v>
      </c>
    </row>
    <row r="601" spans="1:5" ht="16.5" thickTop="1" thickBot="1">
      <c r="A601" s="126">
        <v>274834</v>
      </c>
      <c r="B601" s="223">
        <v>53090</v>
      </c>
      <c r="C601" s="98" t="s">
        <v>623</v>
      </c>
      <c r="E601" s="98" t="s">
        <v>117</v>
      </c>
    </row>
    <row r="602" spans="1:5" ht="16.5" thickTop="1" thickBot="1">
      <c r="A602" s="126">
        <v>274824</v>
      </c>
      <c r="B602" s="223">
        <v>52260</v>
      </c>
      <c r="C602" s="98" t="s">
        <v>623</v>
      </c>
      <c r="E602" s="98" t="s">
        <v>117</v>
      </c>
    </row>
    <row r="603" spans="1:5" ht="16.5" thickTop="1" thickBot="1">
      <c r="A603" s="126">
        <v>274836</v>
      </c>
      <c r="B603" s="223">
        <v>53090</v>
      </c>
      <c r="C603" s="98" t="s">
        <v>623</v>
      </c>
      <c r="E603" s="98" t="s">
        <v>117</v>
      </c>
    </row>
    <row r="604" spans="1:5" ht="16.5" thickTop="1" thickBot="1">
      <c r="A604" s="126">
        <v>274816</v>
      </c>
      <c r="B604" s="223">
        <v>52260</v>
      </c>
      <c r="C604" s="98" t="s">
        <v>623</v>
      </c>
      <c r="E604" s="98" t="s">
        <v>117</v>
      </c>
    </row>
    <row r="605" spans="1:5" ht="16.5" thickTop="1" thickBot="1">
      <c r="A605" s="126">
        <v>274828</v>
      </c>
      <c r="B605" s="223">
        <v>53090</v>
      </c>
      <c r="C605" s="98" t="s">
        <v>623</v>
      </c>
      <c r="E605" s="98" t="s">
        <v>117</v>
      </c>
    </row>
    <row r="606" spans="1:5" ht="16.5" thickTop="1" thickBot="1">
      <c r="A606" s="126">
        <v>274922</v>
      </c>
      <c r="B606" s="137">
        <v>51390</v>
      </c>
      <c r="C606" s="98" t="s">
        <v>621</v>
      </c>
      <c r="E606" s="98" t="s">
        <v>115</v>
      </c>
    </row>
    <row r="607" spans="1:5" ht="16.5" thickTop="1" thickBot="1">
      <c r="A607" s="126">
        <v>274923</v>
      </c>
      <c r="B607" s="137">
        <v>43369</v>
      </c>
      <c r="C607" s="98" t="s">
        <v>621</v>
      </c>
      <c r="E607" s="98" t="s">
        <v>115</v>
      </c>
    </row>
    <row r="608" spans="1:5" ht="16.5" thickTop="1" thickBot="1">
      <c r="A608" s="126">
        <v>274924</v>
      </c>
      <c r="B608" s="223">
        <v>52260</v>
      </c>
      <c r="C608" s="98" t="s">
        <v>621</v>
      </c>
      <c r="E608" s="98" t="s">
        <v>115</v>
      </c>
    </row>
    <row r="609" spans="1:5" ht="16.5" thickTop="1" thickBot="1">
      <c r="A609" s="126">
        <v>274936</v>
      </c>
      <c r="B609" s="223">
        <v>53090</v>
      </c>
      <c r="C609" s="98" t="s">
        <v>621</v>
      </c>
      <c r="E609" s="98" t="s">
        <v>115</v>
      </c>
    </row>
    <row r="610" spans="1:5" ht="16.5" thickTop="1" thickBot="1">
      <c r="A610" s="126">
        <v>274935</v>
      </c>
      <c r="B610" s="223">
        <v>52260</v>
      </c>
      <c r="C610" s="98" t="s">
        <v>621</v>
      </c>
      <c r="E610" s="98" t="s">
        <v>115</v>
      </c>
    </row>
    <row r="611" spans="1:5" ht="16.5" thickTop="1" thickBot="1">
      <c r="A611" s="126">
        <v>274947</v>
      </c>
      <c r="B611" s="223">
        <v>53090</v>
      </c>
      <c r="C611" s="98" t="s">
        <v>621</v>
      </c>
      <c r="E611" s="98" t="s">
        <v>115</v>
      </c>
    </row>
    <row r="612" spans="1:5" ht="16.5" thickTop="1" thickBot="1">
      <c r="A612" s="126">
        <v>274934</v>
      </c>
      <c r="B612" s="223">
        <v>52260</v>
      </c>
      <c r="C612" s="98" t="s">
        <v>621</v>
      </c>
      <c r="E612" s="98" t="s">
        <v>115</v>
      </c>
    </row>
    <row r="613" spans="1:5" ht="16.5" thickTop="1" thickBot="1">
      <c r="A613" s="126">
        <v>274946</v>
      </c>
      <c r="B613" s="223">
        <v>53090</v>
      </c>
      <c r="C613" s="98" t="s">
        <v>621</v>
      </c>
      <c r="E613" s="98" t="s">
        <v>115</v>
      </c>
    </row>
    <row r="614" spans="1:5" ht="16.5" thickTop="1" thickBot="1">
      <c r="A614" s="126">
        <v>274926</v>
      </c>
      <c r="B614" s="223">
        <v>52260</v>
      </c>
      <c r="C614" s="98" t="s">
        <v>621</v>
      </c>
      <c r="E614" s="98" t="s">
        <v>115</v>
      </c>
    </row>
    <row r="615" spans="1:5" ht="16.5" thickTop="1" thickBot="1">
      <c r="A615" s="126">
        <v>274938</v>
      </c>
      <c r="B615" s="223">
        <v>53090</v>
      </c>
      <c r="C615" s="98" t="s">
        <v>621</v>
      </c>
      <c r="E615" s="98" t="s">
        <v>115</v>
      </c>
    </row>
    <row r="616" spans="1:5" ht="16.5" thickTop="1" thickBot="1">
      <c r="A616" s="126">
        <v>274927</v>
      </c>
      <c r="B616" s="223">
        <v>52260</v>
      </c>
      <c r="C616" s="98" t="s">
        <v>621</v>
      </c>
      <c r="E616" s="98" t="s">
        <v>115</v>
      </c>
    </row>
    <row r="617" spans="1:5" ht="16.5" thickTop="1" thickBot="1">
      <c r="A617" s="126">
        <v>274939</v>
      </c>
      <c r="B617" s="223">
        <v>53090</v>
      </c>
      <c r="C617" s="98" t="s">
        <v>621</v>
      </c>
      <c r="E617" s="98" t="s">
        <v>115</v>
      </c>
    </row>
    <row r="618" spans="1:5" ht="16.5" thickTop="1" thickBot="1">
      <c r="A618" s="126">
        <v>274928</v>
      </c>
      <c r="B618" s="223">
        <v>52260</v>
      </c>
      <c r="C618" s="98" t="s">
        <v>621</v>
      </c>
      <c r="E618" s="98" t="s">
        <v>115</v>
      </c>
    </row>
    <row r="619" spans="1:5" ht="16.5" thickTop="1" thickBot="1">
      <c r="A619" s="126">
        <v>274940</v>
      </c>
      <c r="B619" s="223">
        <v>53090</v>
      </c>
      <c r="C619" s="98" t="s">
        <v>621</v>
      </c>
      <c r="E619" s="98" t="s">
        <v>115</v>
      </c>
    </row>
    <row r="620" spans="1:5" ht="16.5" thickTop="1" thickBot="1">
      <c r="A620" s="126">
        <v>274929</v>
      </c>
      <c r="B620" s="223">
        <v>52260</v>
      </c>
      <c r="C620" s="98" t="s">
        <v>621</v>
      </c>
      <c r="E620" s="98" t="s">
        <v>115</v>
      </c>
    </row>
    <row r="621" spans="1:5" ht="16.5" thickTop="1" thickBot="1">
      <c r="A621" s="126">
        <v>274941</v>
      </c>
      <c r="B621" s="223">
        <v>53090</v>
      </c>
      <c r="C621" s="98" t="s">
        <v>621</v>
      </c>
      <c r="E621" s="98" t="s">
        <v>115</v>
      </c>
    </row>
    <row r="622" spans="1:5" ht="16.5" thickTop="1" thickBot="1">
      <c r="A622" s="126">
        <v>274932</v>
      </c>
      <c r="B622" s="223">
        <v>52260</v>
      </c>
      <c r="C622" s="98" t="s">
        <v>621</v>
      </c>
      <c r="E622" s="98" t="s">
        <v>115</v>
      </c>
    </row>
    <row r="623" spans="1:5" ht="16.5" thickTop="1" thickBot="1">
      <c r="A623" s="126">
        <v>274944</v>
      </c>
      <c r="B623" s="223">
        <v>53090</v>
      </c>
      <c r="C623" s="98" t="s">
        <v>621</v>
      </c>
      <c r="E623" s="98" t="s">
        <v>115</v>
      </c>
    </row>
    <row r="624" spans="1:5" ht="16.5" thickTop="1" thickBot="1">
      <c r="A624" s="126">
        <v>274930</v>
      </c>
      <c r="B624" s="223">
        <v>52260</v>
      </c>
      <c r="C624" s="98" t="s">
        <v>621</v>
      </c>
      <c r="E624" s="98" t="s">
        <v>115</v>
      </c>
    </row>
    <row r="625" spans="1:5" ht="16.5" thickTop="1" thickBot="1">
      <c r="A625" s="126">
        <v>274942</v>
      </c>
      <c r="B625" s="223">
        <v>53090</v>
      </c>
      <c r="C625" s="98" t="s">
        <v>621</v>
      </c>
      <c r="E625" s="98" t="s">
        <v>115</v>
      </c>
    </row>
    <row r="626" spans="1:5" ht="16.5" thickTop="1" thickBot="1">
      <c r="A626" s="126">
        <v>274931</v>
      </c>
      <c r="B626" s="223">
        <v>52260</v>
      </c>
      <c r="C626" s="98" t="s">
        <v>621</v>
      </c>
      <c r="E626" s="98" t="s">
        <v>115</v>
      </c>
    </row>
    <row r="627" spans="1:5" ht="16.5" thickTop="1" thickBot="1">
      <c r="A627" s="126">
        <v>274943</v>
      </c>
      <c r="B627" s="223">
        <v>53090</v>
      </c>
      <c r="C627" s="98" t="s">
        <v>621</v>
      </c>
      <c r="E627" s="98" t="s">
        <v>115</v>
      </c>
    </row>
    <row r="628" spans="1:5" ht="16.5" thickTop="1" thickBot="1">
      <c r="A628" s="126">
        <v>274933</v>
      </c>
      <c r="B628" s="223">
        <v>52260</v>
      </c>
      <c r="C628" s="98" t="s">
        <v>621</v>
      </c>
      <c r="E628" s="98" t="s">
        <v>115</v>
      </c>
    </row>
    <row r="629" spans="1:5" ht="16.5" thickTop="1" thickBot="1">
      <c r="A629" s="126">
        <v>274945</v>
      </c>
      <c r="B629" s="223">
        <v>53090</v>
      </c>
      <c r="C629" s="98" t="s">
        <v>621</v>
      </c>
      <c r="E629" s="98" t="s">
        <v>115</v>
      </c>
    </row>
    <row r="630" spans="1:5" ht="16.5" thickTop="1" thickBot="1">
      <c r="A630" s="126">
        <v>274925</v>
      </c>
      <c r="B630" s="223">
        <v>52260</v>
      </c>
      <c r="C630" s="98" t="s">
        <v>621</v>
      </c>
      <c r="E630" s="98" t="s">
        <v>115</v>
      </c>
    </row>
    <row r="631" spans="1:5" ht="16.5" thickTop="1" thickBot="1">
      <c r="A631" s="126">
        <v>274937</v>
      </c>
      <c r="B631" s="223">
        <v>53090</v>
      </c>
      <c r="C631" s="98" t="s">
        <v>621</v>
      </c>
      <c r="E631" s="98" t="s">
        <v>115</v>
      </c>
    </row>
    <row r="632" spans="1:5" ht="16.5" thickTop="1" thickBot="1">
      <c r="A632" s="126">
        <v>275060</v>
      </c>
      <c r="B632" s="137">
        <v>50590</v>
      </c>
      <c r="C632" s="98" t="s">
        <v>617</v>
      </c>
      <c r="E632" s="98" t="s">
        <v>118</v>
      </c>
    </row>
    <row r="633" spans="1:5" ht="16.5" thickTop="1" thickBot="1">
      <c r="A633" s="126">
        <v>275061</v>
      </c>
      <c r="B633" s="137">
        <v>42569</v>
      </c>
      <c r="C633" s="98" t="s">
        <v>617</v>
      </c>
      <c r="E633" s="98" t="s">
        <v>118</v>
      </c>
    </row>
    <row r="634" spans="1:5" ht="16.5" thickTop="1" thickBot="1">
      <c r="A634" s="126">
        <v>275062</v>
      </c>
      <c r="B634" s="223">
        <v>51460</v>
      </c>
      <c r="C634" s="98" t="s">
        <v>617</v>
      </c>
      <c r="E634" s="98" t="s">
        <v>118</v>
      </c>
    </row>
    <row r="635" spans="1:5" ht="16.5" thickTop="1" thickBot="1">
      <c r="A635" s="126">
        <v>275074</v>
      </c>
      <c r="B635" s="223">
        <v>52290</v>
      </c>
      <c r="C635" s="98" t="s">
        <v>617</v>
      </c>
      <c r="E635" s="98" t="s">
        <v>118</v>
      </c>
    </row>
    <row r="636" spans="1:5" ht="16.5" thickTop="1" thickBot="1">
      <c r="A636" s="126">
        <v>275073</v>
      </c>
      <c r="B636" s="223">
        <v>51460</v>
      </c>
      <c r="C636" s="98" t="s">
        <v>617</v>
      </c>
      <c r="E636" s="98" t="s">
        <v>118</v>
      </c>
    </row>
    <row r="637" spans="1:5" ht="16.5" thickTop="1" thickBot="1">
      <c r="A637" s="126">
        <v>275085</v>
      </c>
      <c r="B637" s="223">
        <v>52290</v>
      </c>
      <c r="C637" s="98" t="s">
        <v>617</v>
      </c>
      <c r="E637" s="98" t="s">
        <v>118</v>
      </c>
    </row>
    <row r="638" spans="1:5" ht="16.5" thickTop="1" thickBot="1">
      <c r="A638" s="126">
        <v>275072</v>
      </c>
      <c r="B638" s="223">
        <v>51460</v>
      </c>
      <c r="C638" s="98" t="s">
        <v>617</v>
      </c>
      <c r="E638" s="98" t="s">
        <v>118</v>
      </c>
    </row>
    <row r="639" spans="1:5" ht="16.5" thickTop="1" thickBot="1">
      <c r="A639" s="126">
        <v>275084</v>
      </c>
      <c r="B639" s="223">
        <v>52290</v>
      </c>
      <c r="C639" s="98" t="s">
        <v>617</v>
      </c>
      <c r="E639" s="98" t="s">
        <v>118</v>
      </c>
    </row>
    <row r="640" spans="1:5" ht="16.5" thickTop="1" thickBot="1">
      <c r="A640" s="126">
        <v>275064</v>
      </c>
      <c r="B640" s="223">
        <v>51460</v>
      </c>
      <c r="C640" s="98" t="s">
        <v>617</v>
      </c>
      <c r="E640" s="98" t="s">
        <v>118</v>
      </c>
    </row>
    <row r="641" spans="1:5" ht="16.5" thickTop="1" thickBot="1">
      <c r="A641" s="126">
        <v>275076</v>
      </c>
      <c r="B641" s="223">
        <v>52290</v>
      </c>
      <c r="C641" s="98" t="s">
        <v>617</v>
      </c>
      <c r="E641" s="98" t="s">
        <v>118</v>
      </c>
    </row>
    <row r="642" spans="1:5" ht="16.5" thickTop="1" thickBot="1">
      <c r="A642" s="126">
        <v>275065</v>
      </c>
      <c r="B642" s="223">
        <v>51460</v>
      </c>
      <c r="C642" s="98" t="s">
        <v>617</v>
      </c>
      <c r="E642" s="98" t="s">
        <v>118</v>
      </c>
    </row>
    <row r="643" spans="1:5" ht="16.5" thickTop="1" thickBot="1">
      <c r="A643" s="126">
        <v>275077</v>
      </c>
      <c r="B643" s="223">
        <v>52290</v>
      </c>
      <c r="C643" s="98" t="s">
        <v>617</v>
      </c>
      <c r="E643" s="98" t="s">
        <v>118</v>
      </c>
    </row>
    <row r="644" spans="1:5" ht="16.5" thickTop="1" thickBot="1">
      <c r="A644" s="126">
        <v>275066</v>
      </c>
      <c r="B644" s="223">
        <v>51460</v>
      </c>
      <c r="C644" s="98" t="s">
        <v>617</v>
      </c>
      <c r="E644" s="98" t="s">
        <v>118</v>
      </c>
    </row>
    <row r="645" spans="1:5" ht="16.5" thickTop="1" thickBot="1">
      <c r="A645" s="126">
        <v>275078</v>
      </c>
      <c r="B645" s="223">
        <v>52290</v>
      </c>
      <c r="C645" s="98" t="s">
        <v>617</v>
      </c>
      <c r="E645" s="98" t="s">
        <v>118</v>
      </c>
    </row>
    <row r="646" spans="1:5" ht="16.5" thickTop="1" thickBot="1">
      <c r="A646" s="126">
        <v>275067</v>
      </c>
      <c r="B646" s="223">
        <v>51460</v>
      </c>
      <c r="C646" s="98" t="s">
        <v>617</v>
      </c>
      <c r="E646" s="98" t="s">
        <v>118</v>
      </c>
    </row>
    <row r="647" spans="1:5" ht="16.5" thickTop="1" thickBot="1">
      <c r="A647" s="126">
        <v>275079</v>
      </c>
      <c r="B647" s="223">
        <v>52290</v>
      </c>
      <c r="C647" s="98" t="s">
        <v>617</v>
      </c>
      <c r="E647" s="98" t="s">
        <v>118</v>
      </c>
    </row>
    <row r="648" spans="1:5" ht="16.5" thickTop="1" thickBot="1">
      <c r="A648" s="126">
        <v>275070</v>
      </c>
      <c r="B648" s="223">
        <v>51460</v>
      </c>
      <c r="C648" s="98" t="s">
        <v>617</v>
      </c>
      <c r="E648" s="98" t="s">
        <v>118</v>
      </c>
    </row>
    <row r="649" spans="1:5" ht="16.5" thickTop="1" thickBot="1">
      <c r="A649" s="126">
        <v>275082</v>
      </c>
      <c r="B649" s="223">
        <v>52290</v>
      </c>
      <c r="C649" s="98" t="s">
        <v>617</v>
      </c>
      <c r="E649" s="98" t="s">
        <v>118</v>
      </c>
    </row>
    <row r="650" spans="1:5" ht="16.5" thickTop="1" thickBot="1">
      <c r="A650" s="126">
        <v>275068</v>
      </c>
      <c r="B650" s="223">
        <v>51460</v>
      </c>
      <c r="C650" s="98" t="s">
        <v>617</v>
      </c>
      <c r="E650" s="98" t="s">
        <v>118</v>
      </c>
    </row>
    <row r="651" spans="1:5" ht="16.5" thickTop="1" thickBot="1">
      <c r="A651" s="126">
        <v>275080</v>
      </c>
      <c r="B651" s="223">
        <v>52290</v>
      </c>
      <c r="C651" s="98" t="s">
        <v>617</v>
      </c>
      <c r="E651" s="98" t="s">
        <v>118</v>
      </c>
    </row>
    <row r="652" spans="1:5" ht="16.5" thickTop="1" thickBot="1">
      <c r="A652" s="126">
        <v>275069</v>
      </c>
      <c r="B652" s="223">
        <v>51460</v>
      </c>
      <c r="C652" s="98" t="s">
        <v>617</v>
      </c>
      <c r="E652" s="98" t="s">
        <v>118</v>
      </c>
    </row>
    <row r="653" spans="1:5" ht="16.5" thickTop="1" thickBot="1">
      <c r="A653" s="126">
        <v>275081</v>
      </c>
      <c r="B653" s="223">
        <v>52290</v>
      </c>
      <c r="C653" s="98" t="s">
        <v>617</v>
      </c>
      <c r="E653" s="98" t="s">
        <v>118</v>
      </c>
    </row>
    <row r="654" spans="1:5" ht="16.5" thickTop="1" thickBot="1">
      <c r="A654" s="126">
        <v>275071</v>
      </c>
      <c r="B654" s="223">
        <v>51460</v>
      </c>
      <c r="C654" s="98" t="s">
        <v>617</v>
      </c>
      <c r="E654" s="98" t="s">
        <v>118</v>
      </c>
    </row>
    <row r="655" spans="1:5" ht="16.5" thickTop="1" thickBot="1">
      <c r="A655" s="126">
        <v>275083</v>
      </c>
      <c r="B655" s="223">
        <v>52290</v>
      </c>
      <c r="C655" s="98" t="s">
        <v>617</v>
      </c>
      <c r="E655" s="98" t="s">
        <v>118</v>
      </c>
    </row>
    <row r="656" spans="1:5" ht="16.5" thickTop="1" thickBot="1">
      <c r="A656" s="126">
        <v>275063</v>
      </c>
      <c r="B656" s="223">
        <v>51460</v>
      </c>
      <c r="C656" s="98" t="s">
        <v>617</v>
      </c>
      <c r="E656" s="98" t="s">
        <v>118</v>
      </c>
    </row>
    <row r="657" spans="1:5" ht="16.5" thickTop="1" thickBot="1">
      <c r="A657" s="126">
        <v>275075</v>
      </c>
      <c r="B657" s="223">
        <v>52290</v>
      </c>
      <c r="C657" s="98" t="s">
        <v>617</v>
      </c>
      <c r="E657" s="98" t="s">
        <v>118</v>
      </c>
    </row>
    <row r="658" spans="1:5" ht="16.5" thickTop="1" thickBot="1">
      <c r="A658" s="126">
        <v>322897</v>
      </c>
      <c r="B658" s="137">
        <v>49090</v>
      </c>
      <c r="C658" s="98" t="s">
        <v>614</v>
      </c>
      <c r="E658" s="98" t="s">
        <v>111</v>
      </c>
    </row>
    <row r="659" spans="1:5" ht="16.5" thickTop="1" thickBot="1">
      <c r="A659" s="178">
        <v>341939</v>
      </c>
      <c r="B659" s="223">
        <v>49920</v>
      </c>
      <c r="C659" s="98" t="s">
        <v>614</v>
      </c>
      <c r="E659" s="98" t="s">
        <v>111</v>
      </c>
    </row>
    <row r="660" spans="1:5" ht="16.5" thickTop="1" thickBot="1">
      <c r="A660" s="126">
        <v>341938</v>
      </c>
      <c r="B660" s="223">
        <v>50790</v>
      </c>
      <c r="C660" s="98" t="s">
        <v>614</v>
      </c>
      <c r="E660" s="98" t="s">
        <v>111</v>
      </c>
    </row>
    <row r="661" spans="1:5" ht="16.5" thickTop="1" thickBot="1">
      <c r="A661" s="178">
        <v>341950</v>
      </c>
      <c r="B661" s="223">
        <v>50790</v>
      </c>
      <c r="C661" s="98" t="s">
        <v>614</v>
      </c>
      <c r="E661" s="98" t="s">
        <v>111</v>
      </c>
    </row>
    <row r="662" spans="1:5" ht="16.5" thickTop="1" thickBot="1">
      <c r="A662" s="178">
        <v>341949</v>
      </c>
      <c r="B662" s="223">
        <v>50790</v>
      </c>
      <c r="C662" s="98" t="s">
        <v>614</v>
      </c>
      <c r="E662" s="98" t="s">
        <v>111</v>
      </c>
    </row>
    <row r="663" spans="1:5" ht="16.5" thickTop="1" thickBot="1">
      <c r="A663" s="178">
        <v>341941</v>
      </c>
      <c r="B663" s="223">
        <v>50790</v>
      </c>
      <c r="C663" s="98" t="s">
        <v>614</v>
      </c>
      <c r="E663" s="98" t="s">
        <v>111</v>
      </c>
    </row>
    <row r="664" spans="1:5" ht="16.5" thickTop="1" thickBot="1">
      <c r="A664" s="178">
        <v>341942</v>
      </c>
      <c r="B664" s="223">
        <v>50790</v>
      </c>
      <c r="C664" s="98" t="s">
        <v>614</v>
      </c>
      <c r="E664" s="98" t="s">
        <v>111</v>
      </c>
    </row>
    <row r="665" spans="1:5" ht="16.5" thickTop="1" thickBot="1">
      <c r="A665" s="178">
        <v>341943</v>
      </c>
      <c r="B665" s="223">
        <v>50790</v>
      </c>
      <c r="C665" s="98" t="s">
        <v>614</v>
      </c>
      <c r="E665" s="98" t="s">
        <v>111</v>
      </c>
    </row>
    <row r="666" spans="1:5" ht="16.5" thickTop="1" thickBot="1">
      <c r="A666" s="178">
        <v>341944</v>
      </c>
      <c r="B666" s="223">
        <v>50790</v>
      </c>
      <c r="C666" s="98" t="s">
        <v>614</v>
      </c>
      <c r="E666" s="98" t="s">
        <v>111</v>
      </c>
    </row>
    <row r="667" spans="1:5" ht="16.5" thickTop="1" thickBot="1">
      <c r="A667" s="178">
        <v>341947</v>
      </c>
      <c r="B667" s="223">
        <v>50790</v>
      </c>
      <c r="C667" s="98" t="s">
        <v>614</v>
      </c>
      <c r="E667" s="98" t="s">
        <v>111</v>
      </c>
    </row>
    <row r="668" spans="1:5" ht="16.5" thickTop="1" thickBot="1">
      <c r="A668" s="178">
        <v>341945</v>
      </c>
      <c r="B668" s="223">
        <v>50790</v>
      </c>
      <c r="C668" s="98" t="s">
        <v>614</v>
      </c>
      <c r="E668" s="98" t="s">
        <v>111</v>
      </c>
    </row>
    <row r="669" spans="1:5" ht="16.5" thickTop="1" thickBot="1">
      <c r="A669" s="178">
        <v>341946</v>
      </c>
      <c r="B669" s="223">
        <v>50790</v>
      </c>
      <c r="C669" s="98" t="s">
        <v>614</v>
      </c>
      <c r="E669" s="98" t="s">
        <v>111</v>
      </c>
    </row>
    <row r="670" spans="1:5" ht="16.5" thickTop="1" thickBot="1">
      <c r="A670" s="178">
        <v>341948</v>
      </c>
      <c r="B670" s="223">
        <v>50790</v>
      </c>
      <c r="C670" s="98" t="s">
        <v>614</v>
      </c>
      <c r="E670" s="98" t="s">
        <v>111</v>
      </c>
    </row>
    <row r="671" spans="1:5" ht="16.5" thickTop="1" thickBot="1">
      <c r="A671" s="178">
        <v>341940</v>
      </c>
      <c r="B671" s="223">
        <v>50790</v>
      </c>
      <c r="C671" s="98" t="s">
        <v>614</v>
      </c>
      <c r="E671" s="98" t="s">
        <v>111</v>
      </c>
    </row>
    <row r="672" spans="1:5" ht="16.5" thickTop="1" thickBot="1">
      <c r="A672" s="178">
        <v>322898</v>
      </c>
      <c r="B672" s="223">
        <v>49960</v>
      </c>
      <c r="C672" s="98" t="s">
        <v>614</v>
      </c>
      <c r="E672" s="98" t="s">
        <v>111</v>
      </c>
    </row>
    <row r="673" spans="1:5" ht="16.5" thickTop="1" thickBot="1">
      <c r="A673" s="126">
        <v>322909</v>
      </c>
      <c r="B673" s="223">
        <v>49960</v>
      </c>
      <c r="C673" s="98" t="s">
        <v>614</v>
      </c>
      <c r="E673" s="98" t="s">
        <v>111</v>
      </c>
    </row>
    <row r="674" spans="1:5" ht="16.5" thickTop="1" thickBot="1">
      <c r="A674" s="126">
        <v>322908</v>
      </c>
      <c r="B674" s="223">
        <v>49960</v>
      </c>
      <c r="C674" s="98" t="s">
        <v>614</v>
      </c>
      <c r="E674" s="98" t="s">
        <v>111</v>
      </c>
    </row>
    <row r="675" spans="1:5" ht="16.5" thickTop="1" thickBot="1">
      <c r="A675" s="126">
        <v>322900</v>
      </c>
      <c r="B675" s="223">
        <v>49960</v>
      </c>
      <c r="C675" s="98" t="s">
        <v>614</v>
      </c>
      <c r="E675" s="98" t="s">
        <v>111</v>
      </c>
    </row>
    <row r="676" spans="1:5" ht="16.5" thickTop="1" thickBot="1">
      <c r="A676" s="126">
        <v>322901</v>
      </c>
      <c r="B676" s="223">
        <v>49960</v>
      </c>
      <c r="C676" s="98" t="s">
        <v>614</v>
      </c>
      <c r="E676" s="98" t="s">
        <v>111</v>
      </c>
    </row>
    <row r="677" spans="1:5" ht="16.5" thickTop="1" thickBot="1">
      <c r="A677" s="126">
        <v>322902</v>
      </c>
      <c r="B677" s="223">
        <v>49960</v>
      </c>
      <c r="C677" s="98" t="s">
        <v>614</v>
      </c>
      <c r="E677" s="98" t="s">
        <v>111</v>
      </c>
    </row>
    <row r="678" spans="1:5" ht="16.5" thickTop="1" thickBot="1">
      <c r="A678" s="126">
        <v>322903</v>
      </c>
      <c r="B678" s="223">
        <v>49960</v>
      </c>
      <c r="C678" s="98" t="s">
        <v>614</v>
      </c>
      <c r="E678" s="98" t="s">
        <v>111</v>
      </c>
    </row>
    <row r="679" spans="1:5" ht="16.5" thickTop="1" thickBot="1">
      <c r="A679" s="126">
        <v>322906</v>
      </c>
      <c r="B679" s="223">
        <v>49960</v>
      </c>
      <c r="C679" s="98" t="s">
        <v>614</v>
      </c>
      <c r="E679" s="98" t="s">
        <v>111</v>
      </c>
    </row>
    <row r="680" spans="1:5" ht="16.5" thickTop="1" thickBot="1">
      <c r="A680" s="126">
        <v>322904</v>
      </c>
      <c r="B680" s="223">
        <v>49960</v>
      </c>
      <c r="C680" s="98" t="s">
        <v>614</v>
      </c>
      <c r="E680" s="98" t="s">
        <v>111</v>
      </c>
    </row>
    <row r="681" spans="1:5" ht="16.5" thickTop="1" thickBot="1">
      <c r="A681" s="126">
        <v>322905</v>
      </c>
      <c r="B681" s="223">
        <v>49960</v>
      </c>
      <c r="C681" s="98" t="s">
        <v>614</v>
      </c>
      <c r="E681" s="98" t="s">
        <v>111</v>
      </c>
    </row>
    <row r="682" spans="1:5" ht="16.5" thickTop="1" thickBot="1">
      <c r="A682" s="126">
        <v>322907</v>
      </c>
      <c r="B682" s="223">
        <v>49960</v>
      </c>
      <c r="C682" s="98" t="s">
        <v>614</v>
      </c>
      <c r="E682" s="98" t="s">
        <v>111</v>
      </c>
    </row>
    <row r="683" spans="1:5" ht="16.5" thickTop="1" thickBot="1">
      <c r="A683" s="126">
        <v>322899</v>
      </c>
      <c r="B683" s="223">
        <v>49960</v>
      </c>
      <c r="C683" s="98" t="s">
        <v>614</v>
      </c>
      <c r="E683" s="98" t="s">
        <v>111</v>
      </c>
    </row>
    <row r="684" spans="1:5" ht="16.5" thickTop="1" thickBot="1">
      <c r="A684" s="126">
        <v>322867</v>
      </c>
      <c r="B684" s="137">
        <v>2690</v>
      </c>
      <c r="C684" s="98" t="s">
        <v>514</v>
      </c>
      <c r="E684" s="98" t="s">
        <v>214</v>
      </c>
    </row>
    <row r="685" spans="1:5" ht="16.5" thickTop="1" thickBot="1">
      <c r="A685" s="126">
        <v>322868</v>
      </c>
      <c r="B685" s="137">
        <v>2690</v>
      </c>
      <c r="C685" s="98" t="s">
        <v>514</v>
      </c>
      <c r="E685" s="98" t="s">
        <v>214</v>
      </c>
    </row>
    <row r="686" spans="1:5" ht="16.5" thickTop="1" thickBot="1">
      <c r="A686" s="126">
        <v>322855</v>
      </c>
      <c r="B686" s="137">
        <v>2690</v>
      </c>
      <c r="C686" s="98" t="s">
        <v>513</v>
      </c>
      <c r="E686" s="98" t="s">
        <v>212</v>
      </c>
    </row>
    <row r="687" spans="1:5" ht="16.5" thickTop="1" thickBot="1">
      <c r="A687" s="126">
        <v>322856</v>
      </c>
      <c r="B687" s="137">
        <v>2690</v>
      </c>
      <c r="C687" s="98" t="s">
        <v>511</v>
      </c>
      <c r="E687" s="98" t="s">
        <v>212</v>
      </c>
    </row>
    <row r="688" spans="1:5" ht="16.5" thickTop="1" thickBot="1">
      <c r="A688" s="178">
        <v>322857</v>
      </c>
      <c r="B688" s="137">
        <v>2690</v>
      </c>
      <c r="C688" s="98" t="s">
        <v>512</v>
      </c>
      <c r="E688" s="98" t="s">
        <v>212</v>
      </c>
    </row>
    <row r="689" spans="1:5" ht="16.5" thickTop="1" thickBot="1">
      <c r="A689" s="178">
        <v>364327</v>
      </c>
      <c r="B689" s="137"/>
      <c r="E689" s="98" t="s">
        <v>1573</v>
      </c>
    </row>
    <row r="690" spans="1:5" ht="16.5" thickTop="1" thickBot="1">
      <c r="A690" s="178">
        <v>364329</v>
      </c>
      <c r="B690" s="137"/>
      <c r="E690" s="98" t="s">
        <v>1573</v>
      </c>
    </row>
    <row r="691" spans="1:5" ht="16.5" thickTop="1" thickBot="1">
      <c r="A691" s="178">
        <v>364330</v>
      </c>
      <c r="B691" s="137"/>
      <c r="E691" s="98" t="s">
        <v>1573</v>
      </c>
    </row>
    <row r="692" spans="1:5" ht="16.5" thickTop="1" thickBot="1">
      <c r="A692" s="178">
        <v>364328</v>
      </c>
      <c r="B692" s="137"/>
      <c r="E692" s="98" t="s">
        <v>1573</v>
      </c>
    </row>
    <row r="693" spans="1:5" ht="16.5" thickTop="1" thickBot="1">
      <c r="A693" s="178">
        <v>364331</v>
      </c>
      <c r="B693" s="137"/>
      <c r="E693" s="98" t="s">
        <v>1573</v>
      </c>
    </row>
    <row r="694" spans="1:5" ht="16.5" thickTop="1" thickBot="1">
      <c r="A694" s="178">
        <v>364640</v>
      </c>
      <c r="B694" s="137">
        <v>11790</v>
      </c>
      <c r="C694" s="36" t="s">
        <v>627</v>
      </c>
      <c r="E694" s="98" t="s">
        <v>242</v>
      </c>
    </row>
    <row r="695" spans="1:5" ht="16.5" thickTop="1" thickBot="1">
      <c r="A695" s="178">
        <v>364641</v>
      </c>
      <c r="B695" s="137">
        <v>11790</v>
      </c>
      <c r="C695" s="36" t="s">
        <v>627</v>
      </c>
      <c r="E695" s="98" t="s">
        <v>242</v>
      </c>
    </row>
    <row r="696" spans="1:5" ht="16.5" thickTop="1" thickBot="1">
      <c r="A696" s="178">
        <v>364639</v>
      </c>
      <c r="B696" s="137">
        <v>11790</v>
      </c>
      <c r="C696" s="36" t="s">
        <v>627</v>
      </c>
      <c r="E696" s="98" t="s">
        <v>242</v>
      </c>
    </row>
    <row r="697" spans="1:5" ht="16.5" thickTop="1" thickBot="1">
      <c r="A697" s="126">
        <v>364642</v>
      </c>
      <c r="B697" s="137">
        <v>11790</v>
      </c>
      <c r="C697" s="36" t="s">
        <v>627</v>
      </c>
      <c r="E697" s="98" t="s">
        <v>242</v>
      </c>
    </row>
    <row r="698" spans="1:5" ht="16.5" thickTop="1" thickBot="1">
      <c r="A698" s="126">
        <v>319796</v>
      </c>
      <c r="B698" s="137">
        <v>85890</v>
      </c>
      <c r="C698" s="98" t="s">
        <v>643</v>
      </c>
      <c r="E698" s="98" t="s">
        <v>204</v>
      </c>
    </row>
    <row r="699" spans="1:5" ht="16.5" thickTop="1" thickBot="1">
      <c r="A699" s="126">
        <v>319795</v>
      </c>
      <c r="B699" s="137">
        <v>85890</v>
      </c>
      <c r="C699" s="98" t="s">
        <v>643</v>
      </c>
      <c r="E699" s="98" t="s">
        <v>204</v>
      </c>
    </row>
    <row r="700" spans="1:5" ht="16.5" thickTop="1" thickBot="1">
      <c r="A700" s="126">
        <v>319794</v>
      </c>
      <c r="B700" s="137">
        <v>85890</v>
      </c>
      <c r="C700" s="98" t="s">
        <v>643</v>
      </c>
      <c r="E700" s="98" t="s">
        <v>204</v>
      </c>
    </row>
    <row r="701" spans="1:5" ht="16.5" thickTop="1" thickBot="1">
      <c r="A701" s="126">
        <v>319793</v>
      </c>
      <c r="B701" s="137">
        <v>85890</v>
      </c>
      <c r="C701" s="98" t="s">
        <v>643</v>
      </c>
      <c r="E701" s="98" t="s">
        <v>204</v>
      </c>
    </row>
    <row r="702" spans="1:5" ht="16.5" thickTop="1" thickBot="1">
      <c r="A702" s="126">
        <v>319807</v>
      </c>
      <c r="B702" s="137">
        <v>85890</v>
      </c>
      <c r="C702" s="98" t="s">
        <v>645</v>
      </c>
      <c r="E702" s="98" t="s">
        <v>204</v>
      </c>
    </row>
    <row r="703" spans="1:5" ht="16.5" thickTop="1" thickBot="1">
      <c r="A703" s="126">
        <v>319806</v>
      </c>
      <c r="B703" s="137">
        <v>85890</v>
      </c>
      <c r="C703" s="98" t="s">
        <v>645</v>
      </c>
      <c r="E703" s="98" t="s">
        <v>204</v>
      </c>
    </row>
    <row r="704" spans="1:5" ht="16.5" thickTop="1" thickBot="1">
      <c r="A704" s="126">
        <v>319805</v>
      </c>
      <c r="B704" s="137">
        <v>85890</v>
      </c>
      <c r="C704" s="98" t="s">
        <v>645</v>
      </c>
      <c r="E704" s="98" t="s">
        <v>204</v>
      </c>
    </row>
    <row r="705" spans="1:5" ht="16.5" thickTop="1" thickBot="1">
      <c r="A705" s="126">
        <v>319804</v>
      </c>
      <c r="B705" s="137">
        <v>85890</v>
      </c>
      <c r="C705" s="98" t="s">
        <v>645</v>
      </c>
      <c r="E705" s="98" t="s">
        <v>204</v>
      </c>
    </row>
    <row r="706" spans="1:5" ht="16.5" thickTop="1" thickBot="1">
      <c r="A706" s="126">
        <v>319839</v>
      </c>
      <c r="B706" s="137">
        <v>85890</v>
      </c>
      <c r="C706" s="98" t="s">
        <v>644</v>
      </c>
      <c r="E706" s="98" t="s">
        <v>204</v>
      </c>
    </row>
    <row r="707" spans="1:5" ht="16.5" thickTop="1" thickBot="1">
      <c r="A707" s="126">
        <v>319838</v>
      </c>
      <c r="B707" s="137">
        <v>85890</v>
      </c>
      <c r="C707" s="98" t="s">
        <v>644</v>
      </c>
      <c r="E707" s="98" t="s">
        <v>204</v>
      </c>
    </row>
    <row r="708" spans="1:5" ht="16.5" thickTop="1" thickBot="1">
      <c r="A708" s="126">
        <v>319837</v>
      </c>
      <c r="B708" s="137">
        <v>85890</v>
      </c>
      <c r="C708" s="98" t="s">
        <v>644</v>
      </c>
      <c r="E708" s="98" t="s">
        <v>204</v>
      </c>
    </row>
    <row r="709" spans="1:5" ht="16.5" thickTop="1" thickBot="1">
      <c r="A709" s="126">
        <v>319836</v>
      </c>
      <c r="B709" s="137">
        <v>85890</v>
      </c>
      <c r="C709" s="98" t="s">
        <v>644</v>
      </c>
      <c r="E709" s="98" t="s">
        <v>204</v>
      </c>
    </row>
    <row r="710" spans="1:5" ht="16.5" thickTop="1" thickBot="1">
      <c r="A710" s="126">
        <v>320059</v>
      </c>
      <c r="B710" s="137">
        <v>88190</v>
      </c>
      <c r="C710" s="98" t="s">
        <v>875</v>
      </c>
      <c r="E710" s="98" t="s">
        <v>192</v>
      </c>
    </row>
    <row r="711" spans="1:5" ht="16.5" thickTop="1" thickBot="1">
      <c r="A711" s="178">
        <v>364040</v>
      </c>
      <c r="B711" s="137">
        <v>88190</v>
      </c>
      <c r="C711" s="98" t="s">
        <v>875</v>
      </c>
      <c r="E711" s="98" t="s">
        <v>192</v>
      </c>
    </row>
    <row r="712" spans="1:5" ht="16.5" thickTop="1" thickBot="1">
      <c r="A712" s="178">
        <v>364038</v>
      </c>
      <c r="B712" s="137">
        <v>88190</v>
      </c>
      <c r="C712" s="98" t="s">
        <v>875</v>
      </c>
      <c r="E712" s="98" t="s">
        <v>192</v>
      </c>
    </row>
    <row r="713" spans="1:5" ht="16.5" thickTop="1" thickBot="1">
      <c r="A713" s="178">
        <v>320058</v>
      </c>
      <c r="B713" s="137">
        <v>88190</v>
      </c>
      <c r="C713" s="98" t="s">
        <v>875</v>
      </c>
      <c r="E713" s="98" t="s">
        <v>192</v>
      </c>
    </row>
    <row r="714" spans="1:5" ht="16.5" thickTop="1" thickBot="1">
      <c r="A714" s="178">
        <v>364039</v>
      </c>
      <c r="B714" s="137">
        <v>88190</v>
      </c>
      <c r="C714" s="98" t="s">
        <v>875</v>
      </c>
      <c r="E714" s="98" t="s">
        <v>192</v>
      </c>
    </row>
    <row r="715" spans="1:5" ht="16.5" thickTop="1" thickBot="1">
      <c r="A715" s="126">
        <v>364037</v>
      </c>
      <c r="B715" s="137">
        <v>88190</v>
      </c>
      <c r="C715" s="98" t="s">
        <v>875</v>
      </c>
      <c r="E715" s="98" t="s">
        <v>192</v>
      </c>
    </row>
    <row r="716" spans="1:5" ht="16.5" thickTop="1" thickBot="1">
      <c r="A716" s="126">
        <v>320076</v>
      </c>
      <c r="B716" s="222">
        <v>84810</v>
      </c>
      <c r="C716" s="98" t="s">
        <v>560</v>
      </c>
      <c r="E716" s="98" t="s">
        <v>198</v>
      </c>
    </row>
    <row r="717" spans="1:5" ht="16.5" thickTop="1" thickBot="1">
      <c r="A717" s="126">
        <v>320077</v>
      </c>
      <c r="B717" s="222">
        <v>84810</v>
      </c>
      <c r="C717" s="98" t="s">
        <v>560</v>
      </c>
      <c r="E717" s="98" t="s">
        <v>198</v>
      </c>
    </row>
    <row r="718" spans="1:5" ht="16.5" thickTop="1" thickBot="1">
      <c r="A718" s="126">
        <v>320074</v>
      </c>
      <c r="B718" s="222">
        <v>83900</v>
      </c>
      <c r="C718" s="98" t="s">
        <v>560</v>
      </c>
      <c r="E718" s="98" t="s">
        <v>198</v>
      </c>
    </row>
    <row r="719" spans="1:5" ht="16.5" thickTop="1" thickBot="1">
      <c r="A719" s="126">
        <v>320075</v>
      </c>
      <c r="B719" s="222">
        <v>83900</v>
      </c>
      <c r="C719" s="98" t="s">
        <v>560</v>
      </c>
      <c r="E719" s="98" t="s">
        <v>198</v>
      </c>
    </row>
    <row r="720" spans="1:5" ht="16.5" thickTop="1" thickBot="1">
      <c r="A720" s="126">
        <v>320078</v>
      </c>
      <c r="B720" s="137">
        <v>82990</v>
      </c>
      <c r="C720" s="98" t="s">
        <v>560</v>
      </c>
      <c r="E720" s="98" t="s">
        <v>198</v>
      </c>
    </row>
    <row r="721" spans="1:5" ht="16.5" thickTop="1" thickBot="1">
      <c r="A721" s="126">
        <v>320079</v>
      </c>
      <c r="B721" s="137">
        <v>82990</v>
      </c>
      <c r="C721" s="98" t="s">
        <v>560</v>
      </c>
      <c r="E721" s="98" t="s">
        <v>198</v>
      </c>
    </row>
    <row r="722" spans="1:5" ht="16.5" thickTop="1" thickBot="1">
      <c r="A722" s="126">
        <v>320120</v>
      </c>
      <c r="B722" s="222">
        <v>87810</v>
      </c>
      <c r="C722" s="98" t="s">
        <v>566</v>
      </c>
      <c r="E722" s="98" t="s">
        <v>199</v>
      </c>
    </row>
    <row r="723" spans="1:5" ht="16.5" thickTop="1" thickBot="1">
      <c r="A723" s="126">
        <v>320119</v>
      </c>
      <c r="B723" s="222">
        <v>87810</v>
      </c>
      <c r="C723" s="98" t="s">
        <v>566</v>
      </c>
      <c r="E723" s="98" t="s">
        <v>199</v>
      </c>
    </row>
    <row r="724" spans="1:5" ht="16.5" thickTop="1" thickBot="1">
      <c r="A724" s="126">
        <v>320118</v>
      </c>
      <c r="B724" s="222">
        <v>86900</v>
      </c>
      <c r="C724" s="98" t="s">
        <v>566</v>
      </c>
      <c r="E724" s="98" t="s">
        <v>199</v>
      </c>
    </row>
    <row r="725" spans="1:5" ht="16.5" thickTop="1" thickBot="1">
      <c r="A725" s="126">
        <v>320117</v>
      </c>
      <c r="B725" s="222">
        <v>86900</v>
      </c>
      <c r="C725" s="98" t="s">
        <v>566</v>
      </c>
      <c r="E725" s="98" t="s">
        <v>199</v>
      </c>
    </row>
    <row r="726" spans="1:5" ht="16.5" thickTop="1" thickBot="1">
      <c r="A726" s="126">
        <v>320122</v>
      </c>
      <c r="B726" s="137">
        <v>85990</v>
      </c>
      <c r="C726" s="98" t="s">
        <v>566</v>
      </c>
      <c r="E726" s="98" t="s">
        <v>199</v>
      </c>
    </row>
    <row r="727" spans="1:5" ht="16.5" thickTop="1" thickBot="1">
      <c r="A727" s="126">
        <v>320121</v>
      </c>
      <c r="B727" s="137">
        <v>85990</v>
      </c>
      <c r="C727" s="98" t="s">
        <v>566</v>
      </c>
      <c r="E727" s="98" t="s">
        <v>199</v>
      </c>
    </row>
    <row r="728" spans="1:5" ht="16.5" thickTop="1" thickBot="1">
      <c r="A728" s="126">
        <v>320083</v>
      </c>
      <c r="B728" s="222">
        <v>89410</v>
      </c>
      <c r="C728" s="98" t="s">
        <v>569</v>
      </c>
      <c r="E728" s="98" t="s">
        <v>200</v>
      </c>
    </row>
    <row r="729" spans="1:5" ht="16.5" thickTop="1" thickBot="1">
      <c r="A729" s="126">
        <v>320084</v>
      </c>
      <c r="B729" s="222">
        <v>89410</v>
      </c>
      <c r="C729" s="98" t="s">
        <v>569</v>
      </c>
      <c r="E729" s="98" t="s">
        <v>200</v>
      </c>
    </row>
    <row r="730" spans="1:5" ht="16.5" thickTop="1" thickBot="1">
      <c r="A730" s="126">
        <v>320081</v>
      </c>
      <c r="B730" s="222">
        <v>88500</v>
      </c>
      <c r="C730" s="98" t="s">
        <v>569</v>
      </c>
      <c r="E730" s="98" t="s">
        <v>200</v>
      </c>
    </row>
    <row r="731" spans="1:5" ht="16.5" thickTop="1" thickBot="1">
      <c r="A731" s="126">
        <v>320082</v>
      </c>
      <c r="B731" s="222">
        <v>88500</v>
      </c>
      <c r="C731" s="98" t="s">
        <v>569</v>
      </c>
      <c r="E731" s="98" t="s">
        <v>200</v>
      </c>
    </row>
    <row r="732" spans="1:5" ht="16.5" thickTop="1" thickBot="1">
      <c r="A732" s="126">
        <v>320085</v>
      </c>
      <c r="B732" s="137">
        <v>87590</v>
      </c>
      <c r="C732" s="98" t="s">
        <v>569</v>
      </c>
      <c r="E732" s="98" t="s">
        <v>200</v>
      </c>
    </row>
    <row r="733" spans="1:5" ht="16.5" thickTop="1" thickBot="1">
      <c r="A733" s="126">
        <v>320086</v>
      </c>
      <c r="B733" s="137">
        <v>87590</v>
      </c>
      <c r="C733" s="98" t="s">
        <v>569</v>
      </c>
      <c r="E733" s="98" t="s">
        <v>200</v>
      </c>
    </row>
    <row r="734" spans="1:5" ht="16.5" thickTop="1" thickBot="1">
      <c r="A734" s="126">
        <v>320100</v>
      </c>
      <c r="B734" s="222">
        <v>89510</v>
      </c>
      <c r="C734" s="98" t="s">
        <v>577</v>
      </c>
      <c r="E734" s="98" t="s">
        <v>120</v>
      </c>
    </row>
    <row r="735" spans="1:5" ht="16.5" thickTop="1" thickBot="1">
      <c r="A735" s="126">
        <v>320099</v>
      </c>
      <c r="B735" s="222">
        <v>88600</v>
      </c>
      <c r="C735" s="98" t="s">
        <v>577</v>
      </c>
      <c r="E735" s="98" t="s">
        <v>120</v>
      </c>
    </row>
    <row r="736" spans="1:5" ht="16.5" thickTop="1" thickBot="1">
      <c r="A736" s="126">
        <v>320101</v>
      </c>
      <c r="B736" s="137">
        <v>87690</v>
      </c>
      <c r="C736" s="98" t="s">
        <v>577</v>
      </c>
      <c r="E736" s="98" t="s">
        <v>120</v>
      </c>
    </row>
    <row r="737" spans="1:5" ht="16.5" thickTop="1" thickBot="1">
      <c r="A737" s="126">
        <v>320106</v>
      </c>
      <c r="B737" s="222">
        <v>89710</v>
      </c>
      <c r="C737" s="98" t="s">
        <v>578</v>
      </c>
      <c r="E737" s="98" t="s">
        <v>121</v>
      </c>
    </row>
    <row r="738" spans="1:5" ht="16.5" thickTop="1" thickBot="1">
      <c r="A738" s="126">
        <v>320105</v>
      </c>
      <c r="B738" s="222">
        <v>88800</v>
      </c>
      <c r="C738" s="98" t="s">
        <v>578</v>
      </c>
      <c r="E738" s="98" t="s">
        <v>121</v>
      </c>
    </row>
    <row r="739" spans="1:5" ht="16.5" thickTop="1" thickBot="1">
      <c r="A739" s="126">
        <v>320107</v>
      </c>
      <c r="B739" s="137">
        <v>87890</v>
      </c>
      <c r="C739" s="98" t="s">
        <v>578</v>
      </c>
      <c r="E739" s="98" t="s">
        <v>121</v>
      </c>
    </row>
    <row r="740" spans="1:5" ht="16.5" thickTop="1" thickBot="1">
      <c r="A740" s="126">
        <v>320109</v>
      </c>
      <c r="B740" s="222">
        <v>87710</v>
      </c>
      <c r="C740" s="98" t="s">
        <v>565</v>
      </c>
      <c r="E740" s="98" t="s">
        <v>123</v>
      </c>
    </row>
    <row r="741" spans="1:5" ht="16.5" thickTop="1" thickBot="1">
      <c r="A741" s="126">
        <v>320108</v>
      </c>
      <c r="B741" s="222">
        <v>86800</v>
      </c>
      <c r="C741" s="98" t="s">
        <v>565</v>
      </c>
      <c r="E741" s="98" t="s">
        <v>123</v>
      </c>
    </row>
    <row r="742" spans="1:5" ht="16.5" thickTop="1" thickBot="1">
      <c r="A742" s="126">
        <v>320110</v>
      </c>
      <c r="B742" s="137">
        <v>85890</v>
      </c>
      <c r="C742" s="98" t="s">
        <v>565</v>
      </c>
      <c r="E742" s="98" t="s">
        <v>123</v>
      </c>
    </row>
    <row r="743" spans="1:5" ht="16.5" thickTop="1" thickBot="1">
      <c r="A743" s="126">
        <v>320114</v>
      </c>
      <c r="B743" s="222">
        <v>89210</v>
      </c>
      <c r="C743" s="98" t="s">
        <v>576</v>
      </c>
      <c r="E743" s="98" t="s">
        <v>122</v>
      </c>
    </row>
    <row r="744" spans="1:5" ht="16.5" thickTop="1" thickBot="1">
      <c r="A744" s="126">
        <v>320113</v>
      </c>
      <c r="B744" s="222">
        <v>88300</v>
      </c>
      <c r="C744" s="98" t="s">
        <v>576</v>
      </c>
      <c r="E744" s="98" t="s">
        <v>122</v>
      </c>
    </row>
    <row r="745" spans="1:5" ht="16.5" thickTop="1" thickBot="1">
      <c r="A745" s="126">
        <v>320115</v>
      </c>
      <c r="B745" s="137">
        <v>87390</v>
      </c>
      <c r="C745" s="98" t="s">
        <v>576</v>
      </c>
      <c r="E745" s="98" t="s">
        <v>122</v>
      </c>
    </row>
    <row r="746" spans="1:5" ht="16.5" thickTop="1" thickBot="1">
      <c r="A746" s="126">
        <v>341514</v>
      </c>
      <c r="B746" s="223">
        <v>51390</v>
      </c>
      <c r="C746" s="36" t="s">
        <v>622</v>
      </c>
      <c r="E746" s="98" t="s">
        <v>107</v>
      </c>
    </row>
    <row r="747" spans="1:5" ht="16.5" thickTop="1" thickBot="1">
      <c r="A747" s="126">
        <v>341527</v>
      </c>
      <c r="B747" s="223">
        <v>52220</v>
      </c>
      <c r="C747" s="36" t="s">
        <v>622</v>
      </c>
      <c r="E747" s="98" t="s">
        <v>107</v>
      </c>
    </row>
    <row r="748" spans="1:5" ht="16.5" thickTop="1" thickBot="1">
      <c r="A748" s="126">
        <v>341513</v>
      </c>
      <c r="B748" s="223">
        <v>52260</v>
      </c>
      <c r="C748" s="36" t="s">
        <v>622</v>
      </c>
      <c r="E748" s="98" t="s">
        <v>107</v>
      </c>
    </row>
    <row r="749" spans="1:5" ht="16.5" thickTop="1" thickBot="1">
      <c r="A749" s="126">
        <v>341526</v>
      </c>
      <c r="B749" s="223">
        <v>53090</v>
      </c>
      <c r="C749" s="36" t="s">
        <v>622</v>
      </c>
      <c r="E749" s="98" t="s">
        <v>107</v>
      </c>
    </row>
    <row r="750" spans="1:5" ht="16.5" thickTop="1" thickBot="1">
      <c r="A750" s="126">
        <v>341525</v>
      </c>
      <c r="B750" s="223">
        <v>52260</v>
      </c>
      <c r="C750" s="36" t="s">
        <v>622</v>
      </c>
      <c r="E750" s="98" t="s">
        <v>107</v>
      </c>
    </row>
    <row r="751" spans="1:5" ht="16.5" thickTop="1" thickBot="1">
      <c r="A751" s="126">
        <v>341538</v>
      </c>
      <c r="B751" s="223">
        <v>53090</v>
      </c>
      <c r="C751" s="36" t="s">
        <v>622</v>
      </c>
      <c r="E751" s="98" t="s">
        <v>107</v>
      </c>
    </row>
    <row r="752" spans="1:5" ht="16.5" thickTop="1" thickBot="1">
      <c r="A752" s="126">
        <v>341524</v>
      </c>
      <c r="B752" s="223">
        <v>52260</v>
      </c>
      <c r="C752" s="36" t="s">
        <v>622</v>
      </c>
      <c r="E752" s="98" t="s">
        <v>107</v>
      </c>
    </row>
    <row r="753" spans="1:5" ht="16.5" thickTop="1" thickBot="1">
      <c r="A753" s="126">
        <v>341537</v>
      </c>
      <c r="B753" s="223">
        <v>53090</v>
      </c>
      <c r="C753" s="36" t="s">
        <v>622</v>
      </c>
      <c r="E753" s="98" t="s">
        <v>107</v>
      </c>
    </row>
    <row r="754" spans="1:5" ht="16.5" thickTop="1" thickBot="1">
      <c r="A754" s="126">
        <v>341516</v>
      </c>
      <c r="B754" s="223">
        <v>52260</v>
      </c>
      <c r="C754" s="36" t="s">
        <v>622</v>
      </c>
      <c r="E754" s="98" t="s">
        <v>107</v>
      </c>
    </row>
    <row r="755" spans="1:5" ht="16.5" thickTop="1" thickBot="1">
      <c r="A755" s="126">
        <v>341529</v>
      </c>
      <c r="B755" s="223">
        <v>53090</v>
      </c>
      <c r="C755" s="36" t="s">
        <v>622</v>
      </c>
      <c r="E755" s="98" t="s">
        <v>107</v>
      </c>
    </row>
    <row r="756" spans="1:5" ht="16.5" thickTop="1" thickBot="1">
      <c r="A756" s="126">
        <v>341517</v>
      </c>
      <c r="B756" s="223">
        <v>52260</v>
      </c>
      <c r="C756" s="36" t="s">
        <v>622</v>
      </c>
      <c r="E756" s="98" t="s">
        <v>107</v>
      </c>
    </row>
    <row r="757" spans="1:5" ht="16.5" thickTop="1" thickBot="1">
      <c r="A757" s="126">
        <v>341530</v>
      </c>
      <c r="B757" s="223">
        <v>53090</v>
      </c>
      <c r="C757" s="36" t="s">
        <v>622</v>
      </c>
      <c r="E757" s="98" t="s">
        <v>107</v>
      </c>
    </row>
    <row r="758" spans="1:5" ht="16.5" thickTop="1" thickBot="1">
      <c r="A758" s="126">
        <v>341518</v>
      </c>
      <c r="B758" s="223">
        <v>52260</v>
      </c>
      <c r="C758" s="36" t="s">
        <v>622</v>
      </c>
      <c r="E758" s="98" t="s">
        <v>107</v>
      </c>
    </row>
    <row r="759" spans="1:5" ht="16.5" thickTop="1" thickBot="1">
      <c r="A759" s="126">
        <v>341531</v>
      </c>
      <c r="B759" s="223">
        <v>53090</v>
      </c>
      <c r="C759" s="36" t="s">
        <v>622</v>
      </c>
      <c r="E759" s="98" t="s">
        <v>107</v>
      </c>
    </row>
    <row r="760" spans="1:5" ht="16.5" thickTop="1" thickBot="1">
      <c r="A760" s="126">
        <v>341519</v>
      </c>
      <c r="B760" s="223">
        <v>52260</v>
      </c>
      <c r="C760" s="36" t="s">
        <v>622</v>
      </c>
      <c r="E760" s="98" t="s">
        <v>107</v>
      </c>
    </row>
    <row r="761" spans="1:5" ht="16.5" thickTop="1" thickBot="1">
      <c r="A761" s="126">
        <v>341532</v>
      </c>
      <c r="B761" s="223">
        <v>53090</v>
      </c>
      <c r="C761" s="36" t="s">
        <v>622</v>
      </c>
      <c r="E761" s="98" t="s">
        <v>107</v>
      </c>
    </row>
    <row r="762" spans="1:5" ht="16.5" thickTop="1" thickBot="1">
      <c r="A762" s="126">
        <v>341522</v>
      </c>
      <c r="B762" s="223">
        <v>52260</v>
      </c>
      <c r="C762" s="36" t="s">
        <v>622</v>
      </c>
      <c r="E762" s="98" t="s">
        <v>107</v>
      </c>
    </row>
    <row r="763" spans="1:5" ht="16.5" thickTop="1" thickBot="1">
      <c r="A763" s="126">
        <v>341535</v>
      </c>
      <c r="B763" s="223">
        <v>53090</v>
      </c>
      <c r="C763" s="36" t="s">
        <v>622</v>
      </c>
      <c r="E763" s="98" t="s">
        <v>107</v>
      </c>
    </row>
    <row r="764" spans="1:5" ht="16.5" thickTop="1" thickBot="1">
      <c r="A764" s="126">
        <v>341520</v>
      </c>
      <c r="B764" s="223">
        <v>52260</v>
      </c>
      <c r="C764" s="36" t="s">
        <v>622</v>
      </c>
      <c r="E764" s="98" t="s">
        <v>107</v>
      </c>
    </row>
    <row r="765" spans="1:5" ht="16.5" thickTop="1" thickBot="1">
      <c r="A765" s="126">
        <v>341533</v>
      </c>
      <c r="B765" s="223">
        <v>53090</v>
      </c>
      <c r="C765" s="36" t="s">
        <v>622</v>
      </c>
      <c r="E765" s="98" t="s">
        <v>107</v>
      </c>
    </row>
    <row r="766" spans="1:5" ht="16.5" thickTop="1" thickBot="1">
      <c r="A766" s="126">
        <v>341521</v>
      </c>
      <c r="B766" s="223">
        <v>52260</v>
      </c>
      <c r="C766" s="36" t="s">
        <v>622</v>
      </c>
      <c r="E766" s="98" t="s">
        <v>107</v>
      </c>
    </row>
    <row r="767" spans="1:5" ht="16.5" thickTop="1" thickBot="1">
      <c r="A767" s="126">
        <v>341534</v>
      </c>
      <c r="B767" s="223">
        <v>53090</v>
      </c>
      <c r="C767" s="36" t="s">
        <v>622</v>
      </c>
      <c r="E767" s="98" t="s">
        <v>107</v>
      </c>
    </row>
    <row r="768" spans="1:5" ht="16.5" thickTop="1" thickBot="1">
      <c r="A768" s="126">
        <v>341523</v>
      </c>
      <c r="B768" s="223">
        <v>52260</v>
      </c>
      <c r="C768" s="36" t="s">
        <v>622</v>
      </c>
      <c r="E768" s="98" t="s">
        <v>107</v>
      </c>
    </row>
    <row r="769" spans="1:5" ht="16.5" thickTop="1" thickBot="1">
      <c r="A769" s="126">
        <v>341536</v>
      </c>
      <c r="B769" s="223">
        <v>53090</v>
      </c>
      <c r="C769" s="36" t="s">
        <v>622</v>
      </c>
      <c r="E769" s="98" t="s">
        <v>107</v>
      </c>
    </row>
    <row r="770" spans="1:5" ht="16.5" thickTop="1" thickBot="1">
      <c r="A770" s="126">
        <v>341515</v>
      </c>
      <c r="B770" s="223">
        <v>52260</v>
      </c>
      <c r="C770" s="36" t="s">
        <v>622</v>
      </c>
      <c r="E770" s="98" t="s">
        <v>107</v>
      </c>
    </row>
    <row r="771" spans="1:5" ht="16.5" thickTop="1" thickBot="1">
      <c r="A771" s="126">
        <v>341528</v>
      </c>
      <c r="B771" s="223">
        <v>53090</v>
      </c>
      <c r="C771" s="36" t="s">
        <v>622</v>
      </c>
      <c r="E771" s="98" t="s">
        <v>107</v>
      </c>
    </row>
    <row r="772" spans="1:5" ht="16.5" thickTop="1" thickBot="1">
      <c r="A772" s="126">
        <v>341956</v>
      </c>
      <c r="B772" s="223">
        <v>51390</v>
      </c>
      <c r="C772" s="36" t="s">
        <v>624</v>
      </c>
      <c r="E772" s="98" t="s">
        <v>108</v>
      </c>
    </row>
    <row r="773" spans="1:5" ht="16.5" thickTop="1" thickBot="1">
      <c r="A773" s="126">
        <v>341969</v>
      </c>
      <c r="B773" s="223">
        <v>52220</v>
      </c>
      <c r="C773" s="36" t="s">
        <v>624</v>
      </c>
      <c r="E773" s="98" t="s">
        <v>108</v>
      </c>
    </row>
    <row r="774" spans="1:5" ht="16.5" thickTop="1" thickBot="1">
      <c r="A774" s="126">
        <v>341955</v>
      </c>
      <c r="B774" s="223">
        <v>52260</v>
      </c>
      <c r="C774" s="36" t="s">
        <v>624</v>
      </c>
      <c r="E774" s="98" t="s">
        <v>108</v>
      </c>
    </row>
    <row r="775" spans="1:5" ht="16.5" thickTop="1" thickBot="1">
      <c r="A775" s="126">
        <v>341968</v>
      </c>
      <c r="B775" s="223">
        <v>53090</v>
      </c>
      <c r="C775" s="36" t="s">
        <v>624</v>
      </c>
      <c r="E775" s="98" t="s">
        <v>108</v>
      </c>
    </row>
    <row r="776" spans="1:5" ht="16.5" thickTop="1" thickBot="1">
      <c r="A776" s="126">
        <v>341967</v>
      </c>
      <c r="B776" s="223">
        <v>52260</v>
      </c>
      <c r="C776" s="36" t="s">
        <v>624</v>
      </c>
      <c r="E776" s="98" t="s">
        <v>108</v>
      </c>
    </row>
    <row r="777" spans="1:5" ht="16.5" thickTop="1" thickBot="1">
      <c r="A777" s="126">
        <v>341980</v>
      </c>
      <c r="B777" s="223">
        <v>53090</v>
      </c>
      <c r="C777" s="36" t="s">
        <v>624</v>
      </c>
      <c r="E777" s="98" t="s">
        <v>108</v>
      </c>
    </row>
    <row r="778" spans="1:5" ht="16.5" thickTop="1" thickBot="1">
      <c r="A778" s="126">
        <v>341966</v>
      </c>
      <c r="B778" s="223">
        <v>52260</v>
      </c>
      <c r="C778" s="36" t="s">
        <v>624</v>
      </c>
      <c r="E778" s="98" t="s">
        <v>108</v>
      </c>
    </row>
    <row r="779" spans="1:5" ht="16.5" thickTop="1" thickBot="1">
      <c r="A779" s="126">
        <v>341979</v>
      </c>
      <c r="B779" s="223">
        <v>53090</v>
      </c>
      <c r="C779" s="36" t="s">
        <v>624</v>
      </c>
      <c r="E779" s="98" t="s">
        <v>108</v>
      </c>
    </row>
    <row r="780" spans="1:5" ht="16.5" thickTop="1" thickBot="1">
      <c r="A780" s="126">
        <v>341958</v>
      </c>
      <c r="B780" s="223">
        <v>52260</v>
      </c>
      <c r="C780" s="36" t="s">
        <v>624</v>
      </c>
      <c r="E780" s="98" t="s">
        <v>108</v>
      </c>
    </row>
    <row r="781" spans="1:5" ht="16.5" thickTop="1" thickBot="1">
      <c r="A781" s="126">
        <v>341971</v>
      </c>
      <c r="B781" s="223">
        <v>53090</v>
      </c>
      <c r="C781" s="36" t="s">
        <v>624</v>
      </c>
      <c r="E781" s="98" t="s">
        <v>108</v>
      </c>
    </row>
    <row r="782" spans="1:5" ht="16.5" thickTop="1" thickBot="1">
      <c r="A782" s="126">
        <v>341959</v>
      </c>
      <c r="B782" s="223">
        <v>52260</v>
      </c>
      <c r="C782" s="36" t="s">
        <v>624</v>
      </c>
      <c r="E782" s="98" t="s">
        <v>108</v>
      </c>
    </row>
    <row r="783" spans="1:5" ht="16.5" thickTop="1" thickBot="1">
      <c r="A783" s="126">
        <v>341972</v>
      </c>
      <c r="B783" s="223">
        <v>53090</v>
      </c>
      <c r="C783" s="36" t="s">
        <v>624</v>
      </c>
      <c r="E783" s="98" t="s">
        <v>108</v>
      </c>
    </row>
    <row r="784" spans="1:5" ht="16.5" thickTop="1" thickBot="1">
      <c r="A784" s="126">
        <v>341960</v>
      </c>
      <c r="B784" s="223">
        <v>52260</v>
      </c>
      <c r="C784" s="36" t="s">
        <v>624</v>
      </c>
      <c r="E784" s="98" t="s">
        <v>108</v>
      </c>
    </row>
    <row r="785" spans="1:5" ht="16.5" thickTop="1" thickBot="1">
      <c r="A785" s="126">
        <v>341973</v>
      </c>
      <c r="B785" s="223">
        <v>53090</v>
      </c>
      <c r="C785" s="36" t="s">
        <v>624</v>
      </c>
      <c r="E785" s="98" t="s">
        <v>108</v>
      </c>
    </row>
    <row r="786" spans="1:5" ht="16.5" thickTop="1" thickBot="1">
      <c r="A786" s="126">
        <v>341961</v>
      </c>
      <c r="B786" s="223">
        <v>52260</v>
      </c>
      <c r="C786" s="36" t="s">
        <v>624</v>
      </c>
      <c r="E786" s="98" t="s">
        <v>108</v>
      </c>
    </row>
    <row r="787" spans="1:5" ht="16.5" thickTop="1" thickBot="1">
      <c r="A787" s="126">
        <v>341974</v>
      </c>
      <c r="B787" s="223">
        <v>53090</v>
      </c>
      <c r="C787" s="36" t="s">
        <v>624</v>
      </c>
      <c r="E787" s="98" t="s">
        <v>108</v>
      </c>
    </row>
    <row r="788" spans="1:5" ht="16.5" thickTop="1" thickBot="1">
      <c r="A788" s="126">
        <v>341964</v>
      </c>
      <c r="B788" s="223">
        <v>52260</v>
      </c>
      <c r="C788" s="36" t="s">
        <v>624</v>
      </c>
      <c r="E788" s="98" t="s">
        <v>108</v>
      </c>
    </row>
    <row r="789" spans="1:5" ht="16.5" thickTop="1" thickBot="1">
      <c r="A789" s="126">
        <v>341977</v>
      </c>
      <c r="B789" s="223">
        <v>53090</v>
      </c>
      <c r="C789" s="36" t="s">
        <v>624</v>
      </c>
      <c r="E789" s="98" t="s">
        <v>108</v>
      </c>
    </row>
    <row r="790" spans="1:5" ht="16.5" thickTop="1" thickBot="1">
      <c r="A790" s="126">
        <v>341962</v>
      </c>
      <c r="B790" s="223">
        <v>52260</v>
      </c>
      <c r="C790" s="36" t="s">
        <v>624</v>
      </c>
      <c r="E790" s="98" t="s">
        <v>108</v>
      </c>
    </row>
    <row r="791" spans="1:5" ht="16.5" thickTop="1" thickBot="1">
      <c r="A791" s="126">
        <v>341975</v>
      </c>
      <c r="B791" s="223">
        <v>53090</v>
      </c>
      <c r="C791" s="36" t="s">
        <v>624</v>
      </c>
      <c r="E791" s="98" t="s">
        <v>108</v>
      </c>
    </row>
    <row r="792" spans="1:5" ht="16.5" thickTop="1" thickBot="1">
      <c r="A792" s="126">
        <v>341963</v>
      </c>
      <c r="B792" s="223">
        <v>52260</v>
      </c>
      <c r="C792" s="36" t="s">
        <v>624</v>
      </c>
      <c r="E792" s="98" t="s">
        <v>108</v>
      </c>
    </row>
    <row r="793" spans="1:5" ht="16.5" thickTop="1" thickBot="1">
      <c r="A793" s="126">
        <v>341976</v>
      </c>
      <c r="B793" s="223">
        <v>53090</v>
      </c>
      <c r="C793" s="36" t="s">
        <v>624</v>
      </c>
      <c r="E793" s="98" t="s">
        <v>108</v>
      </c>
    </row>
    <row r="794" spans="1:5" ht="16.5" thickTop="1" thickBot="1">
      <c r="A794" s="126">
        <v>341965</v>
      </c>
      <c r="B794" s="223">
        <v>52260</v>
      </c>
      <c r="C794" s="36" t="s">
        <v>624</v>
      </c>
      <c r="E794" s="98" t="s">
        <v>108</v>
      </c>
    </row>
    <row r="795" spans="1:5" ht="16.5" thickTop="1" thickBot="1">
      <c r="A795" s="126">
        <v>341978</v>
      </c>
      <c r="B795" s="223">
        <v>53090</v>
      </c>
      <c r="C795" s="36" t="s">
        <v>624</v>
      </c>
      <c r="E795" s="98" t="s">
        <v>108</v>
      </c>
    </row>
    <row r="796" spans="1:5" ht="16.5" thickTop="1" thickBot="1">
      <c r="A796" s="126">
        <v>341957</v>
      </c>
      <c r="B796" s="223">
        <v>52260</v>
      </c>
      <c r="C796" s="36" t="s">
        <v>624</v>
      </c>
      <c r="E796" s="98" t="s">
        <v>108</v>
      </c>
    </row>
    <row r="797" spans="1:5" ht="16.5" thickTop="1" thickBot="1">
      <c r="A797" s="126">
        <v>341970</v>
      </c>
      <c r="B797" s="223">
        <v>53090</v>
      </c>
      <c r="C797" s="36" t="s">
        <v>624</v>
      </c>
      <c r="E797" s="98" t="s">
        <v>108</v>
      </c>
    </row>
    <row r="798" spans="1:5" ht="16.5" thickTop="1" thickBot="1">
      <c r="A798" s="126">
        <v>341990</v>
      </c>
      <c r="B798" s="223">
        <v>50590</v>
      </c>
      <c r="C798" s="36" t="s">
        <v>620</v>
      </c>
      <c r="E798" s="98" t="s">
        <v>109</v>
      </c>
    </row>
    <row r="799" spans="1:5" ht="16.5" thickTop="1" thickBot="1">
      <c r="A799" s="126">
        <v>342003</v>
      </c>
      <c r="B799" s="223">
        <v>51420</v>
      </c>
      <c r="C799" s="36" t="s">
        <v>620</v>
      </c>
      <c r="E799" s="98" t="s">
        <v>109</v>
      </c>
    </row>
    <row r="800" spans="1:5" ht="16.5" thickTop="1" thickBot="1">
      <c r="A800" s="126">
        <v>341989</v>
      </c>
      <c r="B800" s="223">
        <v>51460</v>
      </c>
      <c r="C800" s="36" t="s">
        <v>620</v>
      </c>
      <c r="E800" s="98" t="s">
        <v>109</v>
      </c>
    </row>
    <row r="801" spans="1:5" ht="16.5" thickTop="1" thickBot="1">
      <c r="A801" s="126">
        <v>342002</v>
      </c>
      <c r="B801" s="223">
        <v>52290</v>
      </c>
      <c r="C801" s="36" t="s">
        <v>620</v>
      </c>
      <c r="E801" s="98" t="s">
        <v>109</v>
      </c>
    </row>
    <row r="802" spans="1:5" ht="16.5" thickTop="1" thickBot="1">
      <c r="A802" s="126">
        <v>342001</v>
      </c>
      <c r="B802" s="223">
        <v>51460</v>
      </c>
      <c r="C802" s="36" t="s">
        <v>620</v>
      </c>
      <c r="E802" s="98" t="s">
        <v>109</v>
      </c>
    </row>
    <row r="803" spans="1:5" ht="16.5" thickTop="1" thickBot="1">
      <c r="A803" s="126">
        <v>342014</v>
      </c>
      <c r="B803" s="223">
        <v>52290</v>
      </c>
      <c r="C803" s="36" t="s">
        <v>620</v>
      </c>
      <c r="E803" s="98" t="s">
        <v>109</v>
      </c>
    </row>
    <row r="804" spans="1:5" ht="16.5" thickTop="1" thickBot="1">
      <c r="A804" s="126">
        <v>342000</v>
      </c>
      <c r="B804" s="223">
        <v>51460</v>
      </c>
      <c r="C804" s="36" t="s">
        <v>620</v>
      </c>
      <c r="E804" s="98" t="s">
        <v>109</v>
      </c>
    </row>
    <row r="805" spans="1:5" ht="16.5" thickTop="1" thickBot="1">
      <c r="A805" s="126">
        <v>342013</v>
      </c>
      <c r="B805" s="223">
        <v>52290</v>
      </c>
      <c r="C805" s="36" t="s">
        <v>620</v>
      </c>
      <c r="E805" s="98" t="s">
        <v>109</v>
      </c>
    </row>
    <row r="806" spans="1:5" ht="16.5" thickTop="1" thickBot="1">
      <c r="A806" s="126">
        <v>341992</v>
      </c>
      <c r="B806" s="223">
        <v>51460</v>
      </c>
      <c r="C806" s="36" t="s">
        <v>620</v>
      </c>
      <c r="E806" s="98" t="s">
        <v>109</v>
      </c>
    </row>
    <row r="807" spans="1:5" ht="16.5" thickTop="1" thickBot="1">
      <c r="A807" s="126">
        <v>342005</v>
      </c>
      <c r="B807" s="223">
        <v>52290</v>
      </c>
      <c r="C807" s="36" t="s">
        <v>620</v>
      </c>
      <c r="E807" s="98" t="s">
        <v>109</v>
      </c>
    </row>
    <row r="808" spans="1:5" ht="16.5" thickTop="1" thickBot="1">
      <c r="A808" s="126">
        <v>341993</v>
      </c>
      <c r="B808" s="223">
        <v>51460</v>
      </c>
      <c r="C808" s="36" t="s">
        <v>620</v>
      </c>
      <c r="E808" s="98" t="s">
        <v>109</v>
      </c>
    </row>
    <row r="809" spans="1:5" ht="16.5" thickTop="1" thickBot="1">
      <c r="A809" s="126">
        <v>342006</v>
      </c>
      <c r="B809" s="223">
        <v>52290</v>
      </c>
      <c r="C809" s="36" t="s">
        <v>620</v>
      </c>
      <c r="E809" s="98" t="s">
        <v>109</v>
      </c>
    </row>
    <row r="810" spans="1:5" ht="16.5" thickTop="1" thickBot="1">
      <c r="A810" s="126">
        <v>341994</v>
      </c>
      <c r="B810" s="223">
        <v>51460</v>
      </c>
      <c r="C810" s="36" t="s">
        <v>620</v>
      </c>
      <c r="E810" s="98" t="s">
        <v>109</v>
      </c>
    </row>
    <row r="811" spans="1:5" ht="16.5" thickTop="1" thickBot="1">
      <c r="A811" s="126">
        <v>342007</v>
      </c>
      <c r="B811" s="223">
        <v>52290</v>
      </c>
      <c r="C811" s="36" t="s">
        <v>620</v>
      </c>
      <c r="E811" s="98" t="s">
        <v>109</v>
      </c>
    </row>
    <row r="812" spans="1:5" ht="16.5" thickTop="1" thickBot="1">
      <c r="A812" s="126">
        <v>341995</v>
      </c>
      <c r="B812" s="223">
        <v>51460</v>
      </c>
      <c r="C812" s="36" t="s">
        <v>620</v>
      </c>
      <c r="E812" s="98" t="s">
        <v>109</v>
      </c>
    </row>
    <row r="813" spans="1:5" ht="16.5" thickTop="1" thickBot="1">
      <c r="A813" s="126">
        <v>342008</v>
      </c>
      <c r="B813" s="223">
        <v>52290</v>
      </c>
      <c r="C813" s="36" t="s">
        <v>620</v>
      </c>
      <c r="E813" s="98" t="s">
        <v>109</v>
      </c>
    </row>
    <row r="814" spans="1:5" ht="16.5" thickTop="1" thickBot="1">
      <c r="A814" s="126">
        <v>341998</v>
      </c>
      <c r="B814" s="223">
        <v>51460</v>
      </c>
      <c r="C814" s="36" t="s">
        <v>620</v>
      </c>
      <c r="E814" s="98" t="s">
        <v>109</v>
      </c>
    </row>
    <row r="815" spans="1:5" ht="16.5" thickTop="1" thickBot="1">
      <c r="A815" s="126">
        <v>342011</v>
      </c>
      <c r="B815" s="223">
        <v>52290</v>
      </c>
      <c r="C815" s="36" t="s">
        <v>620</v>
      </c>
      <c r="E815" s="98" t="s">
        <v>109</v>
      </c>
    </row>
    <row r="816" spans="1:5" ht="16.5" thickTop="1" thickBot="1">
      <c r="A816" s="126">
        <v>341996</v>
      </c>
      <c r="B816" s="223">
        <v>51460</v>
      </c>
      <c r="C816" s="36" t="s">
        <v>620</v>
      </c>
      <c r="E816" s="98" t="s">
        <v>109</v>
      </c>
    </row>
    <row r="817" spans="1:5" ht="16.5" thickTop="1" thickBot="1">
      <c r="A817" s="126">
        <v>342009</v>
      </c>
      <c r="B817" s="223">
        <v>52290</v>
      </c>
      <c r="C817" s="36" t="s">
        <v>620</v>
      </c>
      <c r="E817" s="98" t="s">
        <v>109</v>
      </c>
    </row>
    <row r="818" spans="1:5" ht="16.5" thickTop="1" thickBot="1">
      <c r="A818" s="126">
        <v>341997</v>
      </c>
      <c r="B818" s="223">
        <v>51460</v>
      </c>
      <c r="C818" s="36" t="s">
        <v>620</v>
      </c>
      <c r="E818" s="98" t="s">
        <v>109</v>
      </c>
    </row>
    <row r="819" spans="1:5" ht="16.5" thickTop="1" thickBot="1">
      <c r="A819" s="126">
        <v>342010</v>
      </c>
      <c r="B819" s="223">
        <v>52290</v>
      </c>
      <c r="C819" s="36" t="s">
        <v>620</v>
      </c>
      <c r="E819" s="98" t="s">
        <v>109</v>
      </c>
    </row>
    <row r="820" spans="1:5" ht="16.5" thickTop="1" thickBot="1">
      <c r="A820" s="126">
        <v>341999</v>
      </c>
      <c r="B820" s="223">
        <v>51460</v>
      </c>
      <c r="C820" s="36" t="s">
        <v>620</v>
      </c>
      <c r="E820" s="98" t="s">
        <v>109</v>
      </c>
    </row>
    <row r="821" spans="1:5" ht="16.5" thickTop="1" thickBot="1">
      <c r="A821" s="126">
        <v>342012</v>
      </c>
      <c r="B821" s="223">
        <v>52290</v>
      </c>
      <c r="C821" s="36" t="s">
        <v>620</v>
      </c>
      <c r="E821" s="98" t="s">
        <v>109</v>
      </c>
    </row>
    <row r="822" spans="1:5" ht="16.5" thickTop="1" thickBot="1">
      <c r="A822" s="126">
        <v>341991</v>
      </c>
      <c r="B822" s="223">
        <v>51460</v>
      </c>
      <c r="C822" s="36" t="s">
        <v>620</v>
      </c>
      <c r="E822" s="98" t="s">
        <v>109</v>
      </c>
    </row>
    <row r="823" spans="1:5" ht="16.5" thickTop="1" thickBot="1">
      <c r="A823" s="126">
        <v>342004</v>
      </c>
      <c r="B823" s="223">
        <v>52290</v>
      </c>
      <c r="C823" s="36" t="s">
        <v>620</v>
      </c>
      <c r="E823" s="98" t="s">
        <v>109</v>
      </c>
    </row>
    <row r="824" spans="1:5" ht="16.5" thickTop="1" thickBot="1">
      <c r="A824" s="126">
        <v>342019</v>
      </c>
      <c r="B824" s="223">
        <v>50890</v>
      </c>
      <c r="C824" s="36" t="s">
        <v>618</v>
      </c>
      <c r="E824" s="98" t="s">
        <v>149</v>
      </c>
    </row>
    <row r="825" spans="1:5" ht="16.5" thickTop="1" thickBot="1">
      <c r="A825" s="126">
        <v>342032</v>
      </c>
      <c r="B825" s="223">
        <v>51720</v>
      </c>
      <c r="C825" s="36" t="s">
        <v>618</v>
      </c>
      <c r="E825" s="98" t="s">
        <v>149</v>
      </c>
    </row>
    <row r="826" spans="1:5" ht="16.5" thickTop="1" thickBot="1">
      <c r="A826" s="126">
        <v>342018</v>
      </c>
      <c r="B826" s="223">
        <v>51760</v>
      </c>
      <c r="C826" s="36" t="s">
        <v>618</v>
      </c>
      <c r="E826" s="98" t="s">
        <v>149</v>
      </c>
    </row>
    <row r="827" spans="1:5" ht="16.5" thickTop="1" thickBot="1">
      <c r="A827" s="126">
        <v>342031</v>
      </c>
      <c r="B827" s="223">
        <v>52590</v>
      </c>
      <c r="C827" s="36" t="s">
        <v>618</v>
      </c>
      <c r="E827" s="98" t="s">
        <v>149</v>
      </c>
    </row>
    <row r="828" spans="1:5" ht="16.5" thickTop="1" thickBot="1">
      <c r="A828" s="126">
        <v>342030</v>
      </c>
      <c r="B828" s="223">
        <v>51760</v>
      </c>
      <c r="C828" s="36" t="s">
        <v>618</v>
      </c>
      <c r="E828" s="98" t="s">
        <v>149</v>
      </c>
    </row>
    <row r="829" spans="1:5" ht="16.5" thickTop="1" thickBot="1">
      <c r="A829" s="126">
        <v>342043</v>
      </c>
      <c r="B829" s="223">
        <v>52590</v>
      </c>
      <c r="C829" s="36" t="s">
        <v>618</v>
      </c>
      <c r="E829" s="98" t="s">
        <v>149</v>
      </c>
    </row>
    <row r="830" spans="1:5" ht="16.5" thickTop="1" thickBot="1">
      <c r="A830" s="126">
        <v>342029</v>
      </c>
      <c r="B830" s="223">
        <v>51760</v>
      </c>
      <c r="C830" s="36" t="s">
        <v>618</v>
      </c>
      <c r="E830" s="98" t="s">
        <v>149</v>
      </c>
    </row>
    <row r="831" spans="1:5" ht="16.5" thickTop="1" thickBot="1">
      <c r="A831" s="126">
        <v>342042</v>
      </c>
      <c r="B831" s="223">
        <v>52590</v>
      </c>
      <c r="C831" s="36" t="s">
        <v>618</v>
      </c>
      <c r="E831" s="98" t="s">
        <v>149</v>
      </c>
    </row>
    <row r="832" spans="1:5" ht="16.5" thickTop="1" thickBot="1">
      <c r="A832" s="126">
        <v>342021</v>
      </c>
      <c r="B832" s="223">
        <v>51760</v>
      </c>
      <c r="C832" s="36" t="s">
        <v>618</v>
      </c>
      <c r="E832" s="98" t="s">
        <v>149</v>
      </c>
    </row>
    <row r="833" spans="1:5" ht="16.5" thickTop="1" thickBot="1">
      <c r="A833" s="126">
        <v>342034</v>
      </c>
      <c r="B833" s="223">
        <v>52590</v>
      </c>
      <c r="C833" s="36" t="s">
        <v>618</v>
      </c>
      <c r="E833" s="98" t="s">
        <v>149</v>
      </c>
    </row>
    <row r="834" spans="1:5" ht="16.5" thickTop="1" thickBot="1">
      <c r="A834" s="126">
        <v>342022</v>
      </c>
      <c r="B834" s="223">
        <v>51760</v>
      </c>
      <c r="C834" s="36" t="s">
        <v>618</v>
      </c>
      <c r="E834" s="98" t="s">
        <v>149</v>
      </c>
    </row>
    <row r="835" spans="1:5" ht="16.5" thickTop="1" thickBot="1">
      <c r="A835" s="126">
        <v>342035</v>
      </c>
      <c r="B835" s="223">
        <v>52590</v>
      </c>
      <c r="C835" s="36" t="s">
        <v>618</v>
      </c>
      <c r="E835" s="98" t="s">
        <v>149</v>
      </c>
    </row>
    <row r="836" spans="1:5" ht="16.5" thickTop="1" thickBot="1">
      <c r="A836" s="126">
        <v>342023</v>
      </c>
      <c r="B836" s="223">
        <v>51760</v>
      </c>
      <c r="C836" s="36" t="s">
        <v>618</v>
      </c>
      <c r="E836" s="98" t="s">
        <v>149</v>
      </c>
    </row>
    <row r="837" spans="1:5" ht="16.5" thickTop="1" thickBot="1">
      <c r="A837" s="126">
        <v>342036</v>
      </c>
      <c r="B837" s="223">
        <v>52590</v>
      </c>
      <c r="C837" s="36" t="s">
        <v>618</v>
      </c>
      <c r="E837" s="98" t="s">
        <v>149</v>
      </c>
    </row>
    <row r="838" spans="1:5" ht="16.5" thickTop="1" thickBot="1">
      <c r="A838" s="126">
        <v>342024</v>
      </c>
      <c r="B838" s="223">
        <v>51760</v>
      </c>
      <c r="C838" s="36" t="s">
        <v>618</v>
      </c>
      <c r="E838" s="98" t="s">
        <v>149</v>
      </c>
    </row>
    <row r="839" spans="1:5" ht="16.5" thickTop="1" thickBot="1">
      <c r="A839" s="126">
        <v>342037</v>
      </c>
      <c r="B839" s="223">
        <v>52590</v>
      </c>
      <c r="C839" s="36" t="s">
        <v>618</v>
      </c>
      <c r="E839" s="98" t="s">
        <v>149</v>
      </c>
    </row>
    <row r="840" spans="1:5" ht="16.5" thickTop="1" thickBot="1">
      <c r="A840" s="126">
        <v>342027</v>
      </c>
      <c r="B840" s="223">
        <v>51760</v>
      </c>
      <c r="C840" s="36" t="s">
        <v>618</v>
      </c>
      <c r="E840" s="98" t="s">
        <v>149</v>
      </c>
    </row>
    <row r="841" spans="1:5" ht="16.5" thickTop="1" thickBot="1">
      <c r="A841" s="126">
        <v>342040</v>
      </c>
      <c r="B841" s="223">
        <v>52590</v>
      </c>
      <c r="C841" s="36" t="s">
        <v>618</v>
      </c>
      <c r="E841" s="98" t="s">
        <v>149</v>
      </c>
    </row>
    <row r="842" spans="1:5" ht="16.5" thickTop="1" thickBot="1">
      <c r="A842" s="126">
        <v>342025</v>
      </c>
      <c r="B842" s="223">
        <v>51760</v>
      </c>
      <c r="C842" s="36" t="s">
        <v>618</v>
      </c>
      <c r="E842" s="98" t="s">
        <v>149</v>
      </c>
    </row>
    <row r="843" spans="1:5" ht="16.5" thickTop="1" thickBot="1">
      <c r="A843" s="126">
        <v>342038</v>
      </c>
      <c r="B843" s="223">
        <v>52590</v>
      </c>
      <c r="C843" s="36" t="s">
        <v>618</v>
      </c>
      <c r="E843" s="98" t="s">
        <v>149</v>
      </c>
    </row>
    <row r="844" spans="1:5" ht="16.5" thickTop="1" thickBot="1">
      <c r="A844" s="126">
        <v>342026</v>
      </c>
      <c r="B844" s="223">
        <v>51760</v>
      </c>
      <c r="C844" s="36" t="s">
        <v>618</v>
      </c>
      <c r="E844" s="98" t="s">
        <v>149</v>
      </c>
    </row>
    <row r="845" spans="1:5" ht="16.5" thickTop="1" thickBot="1">
      <c r="A845" s="126">
        <v>342039</v>
      </c>
      <c r="B845" s="223">
        <v>52590</v>
      </c>
      <c r="C845" s="36" t="s">
        <v>618</v>
      </c>
      <c r="E845" s="98" t="s">
        <v>149</v>
      </c>
    </row>
    <row r="846" spans="1:5" ht="16.5" thickTop="1" thickBot="1">
      <c r="A846" s="126">
        <v>342028</v>
      </c>
      <c r="B846" s="223">
        <v>51760</v>
      </c>
      <c r="C846" s="36" t="s">
        <v>618</v>
      </c>
      <c r="E846" s="98" t="s">
        <v>149</v>
      </c>
    </row>
    <row r="847" spans="1:5" ht="16.5" thickTop="1" thickBot="1">
      <c r="A847" s="126">
        <v>342041</v>
      </c>
      <c r="B847" s="223">
        <v>52590</v>
      </c>
      <c r="C847" s="36" t="s">
        <v>618</v>
      </c>
      <c r="E847" s="98" t="s">
        <v>149</v>
      </c>
    </row>
    <row r="848" spans="1:5" ht="16.5" thickTop="1" thickBot="1">
      <c r="A848" s="126">
        <v>342020</v>
      </c>
      <c r="B848" s="223">
        <v>51760</v>
      </c>
      <c r="C848" s="36" t="s">
        <v>618</v>
      </c>
      <c r="E848" s="98" t="s">
        <v>149</v>
      </c>
    </row>
    <row r="849" spans="1:5" ht="16.5" thickTop="1" thickBot="1">
      <c r="A849" s="126">
        <v>342033</v>
      </c>
      <c r="B849" s="223">
        <v>52590</v>
      </c>
      <c r="C849" s="36" t="s">
        <v>618</v>
      </c>
      <c r="E849" s="98" t="s">
        <v>149</v>
      </c>
    </row>
    <row r="850" spans="1:5" ht="16.5" thickTop="1" thickBot="1">
      <c r="A850" s="126">
        <v>364030</v>
      </c>
      <c r="B850" s="137">
        <v>68190</v>
      </c>
      <c r="C850" s="98" t="s">
        <v>545</v>
      </c>
      <c r="E850" s="98" t="s">
        <v>175</v>
      </c>
    </row>
    <row r="851" spans="1:5" ht="16.5" thickTop="1" thickBot="1">
      <c r="A851" s="126">
        <v>364031</v>
      </c>
      <c r="B851" s="137">
        <v>68190</v>
      </c>
      <c r="C851" s="98" t="s">
        <v>549</v>
      </c>
      <c r="E851" s="98" t="s">
        <v>174</v>
      </c>
    </row>
    <row r="852" spans="1:5" ht="16.5" thickTop="1" thickBot="1">
      <c r="A852" s="126">
        <v>364045</v>
      </c>
      <c r="B852" s="137">
        <v>87390</v>
      </c>
      <c r="C852" s="98" t="s">
        <v>581</v>
      </c>
      <c r="E852" s="98" t="s">
        <v>464</v>
      </c>
    </row>
    <row r="853" spans="1:5" ht="16.5" thickTop="1" thickBot="1">
      <c r="A853" s="126">
        <v>364047</v>
      </c>
      <c r="B853" s="137">
        <v>87390</v>
      </c>
      <c r="C853" s="98" t="s">
        <v>559</v>
      </c>
      <c r="E853" s="98" t="s">
        <v>464</v>
      </c>
    </row>
    <row r="854" spans="1:5" ht="16.5" thickTop="1" thickBot="1">
      <c r="A854" s="126">
        <v>364044</v>
      </c>
      <c r="B854" s="137">
        <v>87390</v>
      </c>
      <c r="C854" s="98" t="s">
        <v>581</v>
      </c>
      <c r="E854" s="98" t="s">
        <v>464</v>
      </c>
    </row>
    <row r="855" spans="1:5" ht="16.5" thickTop="1" thickBot="1">
      <c r="A855" s="126">
        <v>364046</v>
      </c>
      <c r="B855" s="137">
        <v>87390</v>
      </c>
      <c r="C855" s="98" t="s">
        <v>559</v>
      </c>
      <c r="E855" s="98" t="s">
        <v>464</v>
      </c>
    </row>
    <row r="856" spans="1:5" ht="16.5" thickTop="1" thickBot="1">
      <c r="A856" s="126">
        <v>364052</v>
      </c>
      <c r="B856" s="137">
        <v>87390</v>
      </c>
      <c r="C856" s="98" t="s">
        <v>585</v>
      </c>
      <c r="E856" s="98" t="s">
        <v>464</v>
      </c>
    </row>
    <row r="857" spans="1:5" ht="16.5" thickTop="1" thickBot="1">
      <c r="A857" s="126">
        <v>364054</v>
      </c>
      <c r="B857" s="137">
        <v>87390</v>
      </c>
      <c r="C857" s="98" t="s">
        <v>580</v>
      </c>
      <c r="E857" s="98" t="s">
        <v>464</v>
      </c>
    </row>
    <row r="858" spans="1:5" ht="16.5" thickTop="1" thickBot="1">
      <c r="A858" s="126">
        <v>364051</v>
      </c>
      <c r="B858" s="137">
        <v>87390</v>
      </c>
      <c r="C858" s="98" t="s">
        <v>585</v>
      </c>
      <c r="E858" s="98" t="s">
        <v>464</v>
      </c>
    </row>
    <row r="859" spans="1:5" ht="16.5" thickTop="1" thickBot="1">
      <c r="A859" s="126">
        <v>364053</v>
      </c>
      <c r="B859" s="137">
        <v>87390</v>
      </c>
      <c r="C859" s="98" t="s">
        <v>580</v>
      </c>
      <c r="E859" s="98" t="s">
        <v>464</v>
      </c>
    </row>
    <row r="860" spans="1:5" ht="16.5" thickTop="1" thickBot="1">
      <c r="A860" s="126">
        <v>364061</v>
      </c>
      <c r="B860" s="137">
        <v>87390</v>
      </c>
      <c r="C860" s="98" t="s">
        <v>584</v>
      </c>
      <c r="E860" s="98" t="s">
        <v>464</v>
      </c>
    </row>
    <row r="861" spans="1:5" ht="16.5" thickTop="1" thickBot="1">
      <c r="A861" s="126">
        <v>364063</v>
      </c>
      <c r="B861" s="137">
        <v>87390</v>
      </c>
      <c r="C861" s="98" t="s">
        <v>582</v>
      </c>
      <c r="E861" s="98" t="s">
        <v>464</v>
      </c>
    </row>
    <row r="862" spans="1:5" ht="16.5" thickTop="1" thickBot="1">
      <c r="A862" s="126">
        <v>364060</v>
      </c>
      <c r="B862" s="137">
        <v>87390</v>
      </c>
      <c r="C862" s="98" t="s">
        <v>584</v>
      </c>
      <c r="E862" s="98" t="s">
        <v>464</v>
      </c>
    </row>
    <row r="863" spans="1:5" ht="16.5" thickTop="1" thickBot="1">
      <c r="A863" s="126">
        <v>364062</v>
      </c>
      <c r="B863" s="137">
        <v>87390</v>
      </c>
      <c r="C863" s="98" t="s">
        <v>582</v>
      </c>
      <c r="E863" s="98" t="s">
        <v>464</v>
      </c>
    </row>
    <row r="864" spans="1:5" ht="16.5" thickTop="1" thickBot="1">
      <c r="A864" s="126">
        <v>364070</v>
      </c>
      <c r="B864" s="137">
        <v>86390</v>
      </c>
      <c r="C864" s="98" t="s">
        <v>583</v>
      </c>
      <c r="E864" s="98" t="s">
        <v>464</v>
      </c>
    </row>
    <row r="865" spans="1:5" ht="16.5" thickTop="1" thickBot="1">
      <c r="A865" s="126">
        <v>364072</v>
      </c>
      <c r="B865" s="137">
        <v>86390</v>
      </c>
      <c r="C865" s="98" t="s">
        <v>583</v>
      </c>
      <c r="E865" s="98" t="s">
        <v>464</v>
      </c>
    </row>
    <row r="866" spans="1:5" ht="16.5" thickTop="1" thickBot="1">
      <c r="A866" s="126">
        <v>364069</v>
      </c>
      <c r="B866" s="137">
        <v>86390</v>
      </c>
      <c r="C866" s="98" t="s">
        <v>583</v>
      </c>
      <c r="E866" s="98" t="s">
        <v>464</v>
      </c>
    </row>
    <row r="867" spans="1:5" ht="16.5" thickTop="1" thickBot="1">
      <c r="A867" s="126">
        <v>364071</v>
      </c>
      <c r="B867" s="137">
        <v>86390</v>
      </c>
      <c r="C867" s="98" t="s">
        <v>583</v>
      </c>
      <c r="E867" s="98" t="s">
        <v>464</v>
      </c>
    </row>
    <row r="868" spans="1:5" ht="16.5" thickTop="1" thickBot="1">
      <c r="A868" s="126">
        <v>382139</v>
      </c>
      <c r="B868" s="137"/>
      <c r="E868" s="98" t="s">
        <v>195</v>
      </c>
    </row>
    <row r="869" spans="1:5" ht="16.5" thickTop="1" thickBot="1">
      <c r="A869" s="126">
        <v>382136</v>
      </c>
      <c r="B869" s="137"/>
      <c r="E869" s="98" t="s">
        <v>195</v>
      </c>
    </row>
    <row r="870" spans="1:5" ht="16.5" thickTop="1" thickBot="1">
      <c r="A870" s="126">
        <v>382137</v>
      </c>
      <c r="B870" s="137"/>
      <c r="E870" s="98" t="s">
        <v>195</v>
      </c>
    </row>
    <row r="871" spans="1:5" ht="16.5" thickTop="1" thickBot="1">
      <c r="A871" s="126">
        <v>382138</v>
      </c>
      <c r="B871" s="137"/>
      <c r="E871" s="98" t="s">
        <v>195</v>
      </c>
    </row>
    <row r="872" spans="1:5" ht="15.75" thickTop="1">
      <c r="A872" s="3" t="s">
        <v>0</v>
      </c>
      <c r="B872" s="82" t="s">
        <v>606</v>
      </c>
      <c r="C872" s="36"/>
      <c r="E872" s="98" t="s">
        <v>98</v>
      </c>
    </row>
    <row r="873" spans="1:5" ht="15.75" thickBot="1">
      <c r="A873" s="41">
        <v>225793</v>
      </c>
      <c r="B873" s="48">
        <v>1990</v>
      </c>
      <c r="C873" s="36" t="s">
        <v>505</v>
      </c>
      <c r="E873" s="98" t="s">
        <v>156</v>
      </c>
    </row>
    <row r="874" spans="1:5" ht="16.5" thickTop="1" thickBot="1">
      <c r="A874" s="41">
        <v>181920</v>
      </c>
      <c r="B874" s="2">
        <v>1849</v>
      </c>
      <c r="C874" s="36" t="s">
        <v>504</v>
      </c>
      <c r="E874" s="98" t="s">
        <v>234</v>
      </c>
    </row>
    <row r="875" spans="1:5" ht="16.5" thickTop="1" thickBot="1">
      <c r="A875" s="41">
        <v>201301</v>
      </c>
      <c r="B875" s="2">
        <v>1890</v>
      </c>
      <c r="C875" s="36" t="s">
        <v>516</v>
      </c>
      <c r="E875" s="98" t="s">
        <v>236</v>
      </c>
    </row>
    <row r="876" spans="1:5" ht="16.5" thickTop="1" thickBot="1">
      <c r="A876" s="41">
        <v>201302</v>
      </c>
      <c r="B876" s="2">
        <v>2190</v>
      </c>
      <c r="C876" s="36" t="s">
        <v>515</v>
      </c>
      <c r="E876" s="98" t="s">
        <v>237</v>
      </c>
    </row>
    <row r="877" spans="1:5" ht="16.5" thickTop="1" thickBot="1">
      <c r="A877" s="41">
        <v>212893</v>
      </c>
      <c r="B877" s="2">
        <v>3190</v>
      </c>
      <c r="C877" s="36" t="s">
        <v>506</v>
      </c>
      <c r="E877" s="98" t="s">
        <v>213</v>
      </c>
    </row>
    <row r="878" spans="1:5" ht="16.5" thickTop="1" thickBot="1">
      <c r="A878" s="41">
        <v>212885</v>
      </c>
      <c r="B878" s="2">
        <v>2890</v>
      </c>
      <c r="C878" s="36" t="s">
        <v>508</v>
      </c>
      <c r="E878" s="98" t="s">
        <v>238</v>
      </c>
    </row>
    <row r="879" spans="1:5" ht="15.75" thickTop="1">
      <c r="A879" s="41">
        <v>212884</v>
      </c>
      <c r="B879" s="47"/>
      <c r="C879" s="36"/>
      <c r="E879" s="98" t="s">
        <v>267</v>
      </c>
    </row>
    <row r="880" spans="1:5" ht="15.75" thickBot="1">
      <c r="A880" s="41">
        <v>212892</v>
      </c>
      <c r="B880" s="2">
        <v>3790</v>
      </c>
      <c r="C880" s="36" t="s">
        <v>507</v>
      </c>
      <c r="E880" s="98" t="s">
        <v>239</v>
      </c>
    </row>
    <row r="881" spans="1:5" ht="16.5" thickTop="1" thickBot="1">
      <c r="A881" s="41">
        <v>212887</v>
      </c>
      <c r="B881" s="2">
        <v>3290</v>
      </c>
      <c r="C881" s="36" t="s">
        <v>510</v>
      </c>
      <c r="E881" s="98" t="s">
        <v>211</v>
      </c>
    </row>
    <row r="882" spans="1:5" ht="16.5" thickTop="1" thickBot="1">
      <c r="A882" s="41">
        <v>212891</v>
      </c>
      <c r="B882" s="2">
        <v>3290</v>
      </c>
      <c r="C882" s="36" t="s">
        <v>509</v>
      </c>
      <c r="E882" s="98" t="s">
        <v>211</v>
      </c>
    </row>
    <row r="883" spans="1:5" ht="16.5" thickTop="1" thickBot="1">
      <c r="A883" s="41">
        <v>158824</v>
      </c>
      <c r="B883" s="48">
        <v>4290</v>
      </c>
      <c r="C883" s="36" t="s">
        <v>517</v>
      </c>
      <c r="E883" s="98" t="s">
        <v>223</v>
      </c>
    </row>
    <row r="884" spans="1:5" ht="16.5" thickTop="1" thickBot="1">
      <c r="A884" s="41">
        <v>158823</v>
      </c>
      <c r="B884" s="2">
        <v>4290</v>
      </c>
      <c r="C884" s="36" t="s">
        <v>518</v>
      </c>
      <c r="E884" s="98" t="s">
        <v>153</v>
      </c>
    </row>
    <row r="885" spans="1:5" ht="16.5" thickTop="1" thickBot="1">
      <c r="A885" s="41">
        <v>158825</v>
      </c>
      <c r="B885" s="2">
        <v>4290</v>
      </c>
      <c r="C885" s="36" t="s">
        <v>519</v>
      </c>
      <c r="E885" s="98" t="s">
        <v>154</v>
      </c>
    </row>
    <row r="886" spans="1:5" ht="16.5" thickTop="1" thickBot="1">
      <c r="A886" s="41">
        <v>158826</v>
      </c>
      <c r="B886" s="2">
        <v>4290</v>
      </c>
      <c r="C886" s="36" t="s">
        <v>520</v>
      </c>
      <c r="E886" s="98" t="s">
        <v>224</v>
      </c>
    </row>
    <row r="887" spans="1:5" ht="16.5" thickTop="1" thickBot="1">
      <c r="A887" s="41">
        <v>163999</v>
      </c>
      <c r="B887" s="2">
        <v>7290</v>
      </c>
      <c r="C887" s="36" t="s">
        <v>636</v>
      </c>
      <c r="E887" s="98" t="s">
        <v>146</v>
      </c>
    </row>
    <row r="888" spans="1:5" ht="16.5" thickTop="1" thickBot="1">
      <c r="A888" s="41">
        <v>193593</v>
      </c>
      <c r="B888" s="2">
        <v>5090</v>
      </c>
      <c r="C888" s="36" t="s">
        <v>521</v>
      </c>
      <c r="E888" s="98" t="s">
        <v>235</v>
      </c>
    </row>
    <row r="889" spans="1:5" ht="15.75" thickTop="1">
      <c r="A889" s="41">
        <v>163986</v>
      </c>
      <c r="B889" s="47"/>
      <c r="C889" s="36"/>
      <c r="E889" s="98" t="s">
        <v>165</v>
      </c>
    </row>
    <row r="890" spans="1:5">
      <c r="A890" s="41">
        <v>163983</v>
      </c>
      <c r="B890" s="47"/>
      <c r="C890" s="36"/>
      <c r="E890" s="98" t="s">
        <v>142</v>
      </c>
    </row>
    <row r="891" spans="1:5" ht="15.75" thickBot="1">
      <c r="A891" s="41">
        <v>163989</v>
      </c>
      <c r="B891" s="2">
        <v>7890</v>
      </c>
      <c r="C891" s="36" t="s">
        <v>635</v>
      </c>
      <c r="E891" s="98" t="s">
        <v>143</v>
      </c>
    </row>
    <row r="892" spans="1:5" ht="16.5" thickTop="1" thickBot="1">
      <c r="A892" s="41">
        <v>163991</v>
      </c>
      <c r="B892" s="2">
        <v>7890</v>
      </c>
      <c r="C892" s="36" t="s">
        <v>634</v>
      </c>
      <c r="E892" s="98" t="s">
        <v>141</v>
      </c>
    </row>
    <row r="893" spans="1:5" ht="16.5" thickTop="1" thickBot="1">
      <c r="A893" s="41">
        <v>163993</v>
      </c>
      <c r="B893" s="2">
        <v>7890</v>
      </c>
      <c r="C893" s="36" t="s">
        <v>629</v>
      </c>
      <c r="E893" s="98" t="s">
        <v>145</v>
      </c>
    </row>
    <row r="894" spans="1:5" ht="16.5" thickTop="1" thickBot="1">
      <c r="A894" s="41">
        <v>138626</v>
      </c>
      <c r="B894" s="2">
        <v>6790</v>
      </c>
      <c r="C894" s="36" t="s">
        <v>522</v>
      </c>
      <c r="E894" s="98" t="s">
        <v>226</v>
      </c>
    </row>
    <row r="895" spans="1:5" ht="16.5" thickTop="1" thickBot="1">
      <c r="A895" s="41">
        <v>212269</v>
      </c>
      <c r="B895" s="48">
        <v>8790</v>
      </c>
      <c r="C895" s="36" t="s">
        <v>523</v>
      </c>
      <c r="E895" s="98" t="s">
        <v>241</v>
      </c>
    </row>
    <row r="896" spans="1:5" ht="16.5" thickTop="1" thickBot="1">
      <c r="A896" s="41">
        <v>212268</v>
      </c>
      <c r="B896" s="2">
        <v>8790</v>
      </c>
      <c r="C896" s="36" t="s">
        <v>524</v>
      </c>
      <c r="E896" s="98" t="s">
        <v>158</v>
      </c>
    </row>
    <row r="897" spans="1:5" ht="16.5" thickTop="1" thickBot="1">
      <c r="A897" s="41">
        <v>212274</v>
      </c>
      <c r="B897" s="2">
        <v>8790</v>
      </c>
      <c r="C897" s="36" t="s">
        <v>633</v>
      </c>
      <c r="E897" s="98" t="s">
        <v>158</v>
      </c>
    </row>
    <row r="898" spans="1:5" ht="16.5" thickTop="1" thickBot="1">
      <c r="A898" s="41">
        <v>212270</v>
      </c>
      <c r="B898" s="48">
        <v>8790</v>
      </c>
      <c r="C898" s="36" t="s">
        <v>523</v>
      </c>
      <c r="E898" s="98" t="s">
        <v>241</v>
      </c>
    </row>
    <row r="899" spans="1:5" ht="16.5" thickTop="1" thickBot="1">
      <c r="A899" s="41">
        <v>158827</v>
      </c>
      <c r="B899" s="2">
        <v>5180</v>
      </c>
      <c r="C899" s="36" t="s">
        <v>525</v>
      </c>
      <c r="E899" s="98" t="s">
        <v>155</v>
      </c>
    </row>
    <row r="900" spans="1:5" ht="16.5" thickTop="1" thickBot="1">
      <c r="A900" s="41">
        <v>169735</v>
      </c>
      <c r="B900" s="2">
        <v>5890</v>
      </c>
      <c r="C900" s="36" t="s">
        <v>527</v>
      </c>
      <c r="E900" s="98" t="s">
        <v>233</v>
      </c>
    </row>
    <row r="901" spans="1:5" ht="16.5" thickTop="1" thickBot="1">
      <c r="A901" s="41">
        <v>169736</v>
      </c>
      <c r="B901" s="2">
        <v>6490</v>
      </c>
      <c r="C901" s="36" t="s">
        <v>526</v>
      </c>
      <c r="E901" s="98" t="s">
        <v>151</v>
      </c>
    </row>
    <row r="902" spans="1:5" ht="16.5" thickTop="1" thickBot="1">
      <c r="A902" s="41">
        <v>169732</v>
      </c>
      <c r="B902" s="2">
        <v>6490</v>
      </c>
      <c r="C902" s="36" t="s">
        <v>528</v>
      </c>
      <c r="E902" s="98" t="s">
        <v>230</v>
      </c>
    </row>
    <row r="903" spans="1:5" ht="16.5" thickTop="1" thickBot="1">
      <c r="A903" s="41">
        <v>226780</v>
      </c>
      <c r="B903" s="2">
        <v>6490</v>
      </c>
      <c r="C903" s="36" t="s">
        <v>532</v>
      </c>
      <c r="E903" s="98" t="s">
        <v>215</v>
      </c>
    </row>
    <row r="904" spans="1:5" ht="16.5" thickTop="1" thickBot="1">
      <c r="A904" s="41">
        <v>226787</v>
      </c>
      <c r="B904" s="2">
        <v>6490</v>
      </c>
      <c r="C904" s="36" t="s">
        <v>531</v>
      </c>
      <c r="E904" s="98" t="s">
        <v>216</v>
      </c>
    </row>
    <row r="905" spans="1:5" ht="16.5" thickTop="1" thickBot="1">
      <c r="A905" s="41">
        <v>169734</v>
      </c>
      <c r="B905" s="2">
        <v>6890</v>
      </c>
      <c r="C905" s="36" t="s">
        <v>529</v>
      </c>
      <c r="E905" s="98" t="s">
        <v>232</v>
      </c>
    </row>
    <row r="906" spans="1:5" ht="15.75" thickTop="1">
      <c r="A906" s="41">
        <v>169731</v>
      </c>
      <c r="B906" s="47"/>
      <c r="C906" s="36"/>
      <c r="E906" s="98" t="s">
        <v>150</v>
      </c>
    </row>
    <row r="907" spans="1:5" ht="15.75" thickBot="1">
      <c r="A907" s="41">
        <v>138622</v>
      </c>
      <c r="B907" s="2">
        <v>8590</v>
      </c>
      <c r="C907" s="36" t="s">
        <v>534</v>
      </c>
      <c r="E907" s="98" t="s">
        <v>217</v>
      </c>
    </row>
    <row r="908" spans="1:5" ht="16.5" thickTop="1" thickBot="1">
      <c r="A908" s="41">
        <v>138623</v>
      </c>
      <c r="B908" s="2">
        <v>8590</v>
      </c>
      <c r="C908" s="36" t="s">
        <v>533</v>
      </c>
      <c r="E908" s="98" t="s">
        <v>218</v>
      </c>
    </row>
    <row r="909" spans="1:5" ht="16.5" thickTop="1" thickBot="1">
      <c r="A909" s="41">
        <v>163996</v>
      </c>
      <c r="B909" s="48">
        <v>7290</v>
      </c>
      <c r="C909" s="36" t="s">
        <v>530</v>
      </c>
      <c r="E909" s="98" t="s">
        <v>137</v>
      </c>
    </row>
    <row r="910" spans="1:5" ht="16.5" thickTop="1" thickBot="1">
      <c r="A910" s="41">
        <v>163984</v>
      </c>
      <c r="B910" s="2">
        <v>9690</v>
      </c>
      <c r="C910" s="36" t="s">
        <v>630</v>
      </c>
      <c r="E910" s="98" t="s">
        <v>207</v>
      </c>
    </row>
    <row r="911" spans="1:5" ht="15.75" thickTop="1">
      <c r="A911" s="41">
        <v>163985</v>
      </c>
      <c r="B911" s="47"/>
      <c r="C911" s="36"/>
      <c r="E911" s="98" t="s">
        <v>138</v>
      </c>
    </row>
    <row r="912" spans="1:5" ht="15.75" thickBot="1">
      <c r="A912" s="41">
        <v>163987</v>
      </c>
      <c r="B912" s="2">
        <v>9690</v>
      </c>
      <c r="C912" s="36" t="s">
        <v>631</v>
      </c>
      <c r="E912" s="98" t="s">
        <v>144</v>
      </c>
    </row>
    <row r="913" spans="1:5" ht="15.75" thickTop="1">
      <c r="A913" s="41">
        <v>163988</v>
      </c>
      <c r="B913" s="47"/>
      <c r="C913" s="36"/>
      <c r="E913" s="98" t="s">
        <v>139</v>
      </c>
    </row>
    <row r="914" spans="1:5">
      <c r="A914" s="41">
        <v>163990</v>
      </c>
      <c r="B914" s="78"/>
      <c r="C914" s="36"/>
      <c r="E914" s="98" t="s">
        <v>206</v>
      </c>
    </row>
    <row r="915" spans="1:5" ht="15.75" thickBot="1">
      <c r="A915" s="41">
        <v>163992</v>
      </c>
      <c r="B915" s="2">
        <v>9690</v>
      </c>
      <c r="C915" s="36" t="s">
        <v>632</v>
      </c>
      <c r="E915" s="98" t="s">
        <v>208</v>
      </c>
    </row>
    <row r="916" spans="1:5" ht="15.75" thickTop="1">
      <c r="A916" s="41">
        <v>163995</v>
      </c>
      <c r="B916" s="47"/>
      <c r="C916" s="36"/>
      <c r="E916" s="98" t="s">
        <v>140</v>
      </c>
    </row>
    <row r="917" spans="1:5" ht="15.75" thickBot="1">
      <c r="A917" s="41">
        <v>163994</v>
      </c>
      <c r="B917" s="2">
        <v>7890</v>
      </c>
      <c r="C917" s="36" t="s">
        <v>629</v>
      </c>
      <c r="E917" s="98" t="s">
        <v>209</v>
      </c>
    </row>
    <row r="918" spans="1:5" ht="16.5" thickTop="1" thickBot="1">
      <c r="A918" s="41">
        <v>136922</v>
      </c>
      <c r="B918" s="2">
        <v>9190</v>
      </c>
      <c r="C918" s="36" t="s">
        <v>628</v>
      </c>
      <c r="E918" s="98" t="s">
        <v>152</v>
      </c>
    </row>
    <row r="919" spans="1:5" ht="16.5" thickTop="1" thickBot="1">
      <c r="A919" s="41">
        <v>138649</v>
      </c>
      <c r="B919" s="2">
        <v>9890</v>
      </c>
      <c r="C919" s="36" t="s">
        <v>535</v>
      </c>
      <c r="E919" s="98" t="s">
        <v>221</v>
      </c>
    </row>
    <row r="920" spans="1:5" ht="16.5" thickTop="1" thickBot="1">
      <c r="A920" s="41">
        <v>138624</v>
      </c>
      <c r="B920" s="2">
        <v>10290</v>
      </c>
      <c r="C920" s="36" t="s">
        <v>536</v>
      </c>
      <c r="E920" s="98" t="s">
        <v>219</v>
      </c>
    </row>
    <row r="921" spans="1:5" ht="16.5" thickTop="1" thickBot="1">
      <c r="A921" s="41">
        <v>138625</v>
      </c>
      <c r="B921" s="2">
        <v>10290</v>
      </c>
      <c r="C921" s="36" t="s">
        <v>537</v>
      </c>
      <c r="E921" s="98" t="s">
        <v>220</v>
      </c>
    </row>
    <row r="922" spans="1:5" ht="16.5" thickTop="1" thickBot="1">
      <c r="A922" s="41">
        <v>186323</v>
      </c>
      <c r="B922" s="2">
        <v>11290</v>
      </c>
      <c r="C922" s="36" t="s">
        <v>538</v>
      </c>
      <c r="E922" s="98" t="s">
        <v>240</v>
      </c>
    </row>
    <row r="923" spans="1:5" ht="15.75" thickTop="1">
      <c r="A923" s="41">
        <v>193349</v>
      </c>
      <c r="B923" s="47"/>
      <c r="C923" s="36"/>
      <c r="E923" s="98" t="s">
        <v>228</v>
      </c>
    </row>
    <row r="924" spans="1:5" ht="15.75" thickBot="1">
      <c r="A924" s="41">
        <v>193350</v>
      </c>
      <c r="B924" s="2">
        <v>11290</v>
      </c>
      <c r="C924" s="36" t="s">
        <v>538</v>
      </c>
      <c r="E924" s="98" t="s">
        <v>229</v>
      </c>
    </row>
    <row r="925" spans="1:5" ht="16.5" thickTop="1" thickBot="1">
      <c r="A925" s="41">
        <v>138629</v>
      </c>
      <c r="B925" s="2">
        <v>13490</v>
      </c>
      <c r="C925" s="36" t="s">
        <v>539</v>
      </c>
      <c r="E925" s="98" t="s">
        <v>222</v>
      </c>
    </row>
    <row r="926" spans="1:5" ht="16.5" thickTop="1" thickBot="1">
      <c r="A926" s="41">
        <v>138627</v>
      </c>
      <c r="B926" s="2">
        <v>13590</v>
      </c>
      <c r="C926" s="36" t="s">
        <v>540</v>
      </c>
      <c r="E926" s="98" t="s">
        <v>225</v>
      </c>
    </row>
    <row r="927" spans="1:5" ht="16.5" thickTop="1" thickBot="1">
      <c r="A927" s="41">
        <v>142192</v>
      </c>
      <c r="B927" s="2">
        <v>14090</v>
      </c>
      <c r="C927" s="36" t="s">
        <v>626</v>
      </c>
      <c r="E927" s="98" t="s">
        <v>227</v>
      </c>
    </row>
    <row r="928" spans="1:5" ht="16.5" thickTop="1" thickBot="1">
      <c r="A928" s="41">
        <v>226926</v>
      </c>
      <c r="B928" s="2">
        <v>49390</v>
      </c>
      <c r="C928" s="36" t="s">
        <v>541</v>
      </c>
      <c r="E928" s="98" t="s">
        <v>170</v>
      </c>
    </row>
    <row r="929" spans="1:5" ht="15.75" thickTop="1">
      <c r="A929" s="41">
        <v>132588</v>
      </c>
      <c r="B929" s="47"/>
      <c r="C929" s="36"/>
      <c r="E929" s="98" t="s">
        <v>247</v>
      </c>
    </row>
    <row r="930" spans="1:5" ht="15.75" thickBot="1">
      <c r="A930" s="41">
        <v>226925</v>
      </c>
      <c r="B930" s="2">
        <v>56790</v>
      </c>
      <c r="C930" s="36" t="s">
        <v>542</v>
      </c>
      <c r="E930" s="98" t="s">
        <v>169</v>
      </c>
    </row>
    <row r="931" spans="1:5" ht="16.5" thickTop="1" thickBot="1">
      <c r="A931" s="41">
        <v>226996</v>
      </c>
      <c r="B931" s="2">
        <v>60590</v>
      </c>
      <c r="C931" s="36" t="s">
        <v>544</v>
      </c>
      <c r="E931" s="98" t="s">
        <v>172</v>
      </c>
    </row>
    <row r="932" spans="1:5" ht="16.5" thickTop="1" thickBot="1">
      <c r="A932" s="41">
        <v>226929</v>
      </c>
      <c r="B932" s="2">
        <v>60590</v>
      </c>
      <c r="C932" s="36" t="s">
        <v>543</v>
      </c>
      <c r="E932" s="98" t="s">
        <v>173</v>
      </c>
    </row>
    <row r="933" spans="1:5" ht="16.5" thickTop="1" thickBot="1">
      <c r="A933" s="41">
        <v>226922</v>
      </c>
      <c r="B933" s="2">
        <v>65190</v>
      </c>
      <c r="C933" s="36" t="s">
        <v>546</v>
      </c>
      <c r="E933" s="98" t="s">
        <v>168</v>
      </c>
    </row>
    <row r="934" spans="1:5" ht="16.5" thickTop="1" thickBot="1">
      <c r="A934" s="41">
        <v>226923</v>
      </c>
      <c r="B934" s="2">
        <v>65190</v>
      </c>
      <c r="C934" s="36" t="s">
        <v>547</v>
      </c>
      <c r="E934" s="98" t="s">
        <v>168</v>
      </c>
    </row>
    <row r="935" spans="1:5" ht="16.5" thickTop="1" thickBot="1">
      <c r="A935" s="41">
        <v>226924</v>
      </c>
      <c r="B935" s="2">
        <v>65190</v>
      </c>
      <c r="C935" s="36" t="s">
        <v>548</v>
      </c>
      <c r="E935" s="98" t="s">
        <v>168</v>
      </c>
    </row>
    <row r="936" spans="1:5" ht="16.5" thickTop="1" thickBot="1">
      <c r="A936" s="41">
        <v>226936</v>
      </c>
      <c r="B936" s="2">
        <v>74390</v>
      </c>
      <c r="C936" s="36" t="s">
        <v>552</v>
      </c>
      <c r="E936" s="98" t="s">
        <v>180</v>
      </c>
    </row>
    <row r="937" spans="1:5" ht="16.5" thickTop="1" thickBot="1">
      <c r="A937" s="41">
        <v>226921</v>
      </c>
      <c r="B937" s="2">
        <v>70790</v>
      </c>
      <c r="C937" s="36" t="s">
        <v>553</v>
      </c>
      <c r="E937" s="98" t="s">
        <v>167</v>
      </c>
    </row>
    <row r="938" spans="1:5" ht="16.5" thickTop="1" thickBot="1">
      <c r="A938" s="41">
        <v>226938</v>
      </c>
      <c r="B938" s="2">
        <v>75190</v>
      </c>
      <c r="C938" s="36" t="s">
        <v>550</v>
      </c>
      <c r="E938" s="98" t="s">
        <v>182</v>
      </c>
    </row>
    <row r="939" spans="1:5" ht="16.5" thickTop="1" thickBot="1">
      <c r="A939" s="41">
        <v>226932</v>
      </c>
      <c r="B939" s="2">
        <v>75790</v>
      </c>
      <c r="C939" s="36" t="s">
        <v>554</v>
      </c>
      <c r="E939" s="98" t="s">
        <v>176</v>
      </c>
    </row>
    <row r="940" spans="1:5" ht="16.5" thickTop="1" thickBot="1">
      <c r="A940" s="41">
        <v>226937</v>
      </c>
      <c r="B940" s="2">
        <v>76190</v>
      </c>
      <c r="C940" s="36" t="s">
        <v>551</v>
      </c>
      <c r="E940" s="98" t="s">
        <v>181</v>
      </c>
    </row>
    <row r="941" spans="1:5" ht="16.5" thickTop="1" thickBot="1">
      <c r="A941" s="41">
        <v>226927</v>
      </c>
      <c r="B941" s="2">
        <v>70190</v>
      </c>
      <c r="C941" s="36" t="s">
        <v>555</v>
      </c>
      <c r="E941" s="98" t="s">
        <v>171</v>
      </c>
    </row>
    <row r="942" spans="1:5" ht="16.5" thickTop="1" thickBot="1">
      <c r="A942" s="41">
        <v>226946</v>
      </c>
      <c r="B942" s="2">
        <v>78690</v>
      </c>
      <c r="C942" s="36" t="s">
        <v>556</v>
      </c>
      <c r="E942" s="98" t="s">
        <v>188</v>
      </c>
    </row>
    <row r="943" spans="1:5" ht="16.5" thickTop="1" thickBot="1">
      <c r="A943" s="41">
        <v>226933</v>
      </c>
      <c r="B943" s="2">
        <v>80790</v>
      </c>
      <c r="C943" s="36" t="s">
        <v>557</v>
      </c>
      <c r="E943" s="98" t="s">
        <v>177</v>
      </c>
    </row>
    <row r="944" spans="1:5" ht="16.5" thickTop="1" thickBot="1">
      <c r="A944" s="41">
        <v>226934</v>
      </c>
      <c r="B944" s="2">
        <v>83890</v>
      </c>
      <c r="C944" s="36" t="s">
        <v>558</v>
      </c>
      <c r="E944" s="98" t="s">
        <v>178</v>
      </c>
    </row>
    <row r="945" spans="1:5" ht="16.5" thickTop="1" thickBot="1">
      <c r="A945" s="41">
        <v>226935</v>
      </c>
      <c r="B945" s="2">
        <v>86190</v>
      </c>
      <c r="C945" s="36" t="s">
        <v>561</v>
      </c>
      <c r="E945" s="98" t="s">
        <v>179</v>
      </c>
    </row>
    <row r="946" spans="1:5" ht="16.5" thickTop="1" thickBot="1">
      <c r="A946" s="41">
        <v>226948</v>
      </c>
      <c r="B946" s="2">
        <v>84590</v>
      </c>
      <c r="C946" s="36" t="s">
        <v>562</v>
      </c>
      <c r="E946" s="98" t="s">
        <v>189</v>
      </c>
    </row>
    <row r="947" spans="1:5" ht="16.5" thickTop="1" thickBot="1">
      <c r="A947" s="41">
        <v>226997</v>
      </c>
      <c r="B947" s="2">
        <v>85790</v>
      </c>
      <c r="C947" s="36" t="s">
        <v>563</v>
      </c>
      <c r="E947" s="98" t="s">
        <v>186</v>
      </c>
    </row>
    <row r="948" spans="1:5" ht="16.5" thickTop="1" thickBot="1">
      <c r="A948" s="41">
        <v>226998</v>
      </c>
      <c r="B948" s="2">
        <v>85790</v>
      </c>
      <c r="C948" s="36" t="s">
        <v>564</v>
      </c>
      <c r="E948" s="98" t="s">
        <v>187</v>
      </c>
    </row>
    <row r="949" spans="1:5" ht="16.5" thickTop="1" thickBot="1">
      <c r="A949" s="41">
        <v>226947</v>
      </c>
      <c r="B949" s="2">
        <v>84590</v>
      </c>
      <c r="C949" s="36" t="s">
        <v>567</v>
      </c>
      <c r="E949" s="98" t="s">
        <v>190</v>
      </c>
    </row>
    <row r="950" spans="1:5" ht="16.5" thickTop="1" thickBot="1">
      <c r="A950" s="41">
        <v>226959</v>
      </c>
      <c r="B950" s="2">
        <v>87490</v>
      </c>
      <c r="C950" s="36" t="s">
        <v>568</v>
      </c>
      <c r="E950" s="98" t="s">
        <v>197</v>
      </c>
    </row>
    <row r="951" spans="1:5" ht="16.5" thickTop="1" thickBot="1">
      <c r="A951" s="41">
        <v>226960</v>
      </c>
      <c r="B951" s="2">
        <v>87690</v>
      </c>
      <c r="C951" s="36" t="s">
        <v>570</v>
      </c>
      <c r="E951" s="98" t="s">
        <v>202</v>
      </c>
    </row>
    <row r="952" spans="1:5" ht="16.5" thickTop="1" thickBot="1">
      <c r="A952" s="41">
        <v>226962</v>
      </c>
      <c r="B952" s="2">
        <v>93590</v>
      </c>
      <c r="C952" s="36" t="s">
        <v>571</v>
      </c>
      <c r="E952" s="98" t="s">
        <v>119</v>
      </c>
    </row>
    <row r="953" spans="1:5" ht="16.5" thickTop="1" thickBot="1">
      <c r="A953" s="41">
        <v>217600</v>
      </c>
      <c r="B953" s="2">
        <v>11990</v>
      </c>
      <c r="C953" s="36" t="s">
        <v>572</v>
      </c>
      <c r="E953" s="98" t="s">
        <v>249</v>
      </c>
    </row>
    <row r="954" spans="1:5" ht="15.75" thickTop="1">
      <c r="A954" s="41">
        <v>163982</v>
      </c>
      <c r="B954" s="47"/>
      <c r="C954" s="36"/>
      <c r="E954" s="98" t="s">
        <v>248</v>
      </c>
    </row>
    <row r="955" spans="1:5" ht="15.75" thickBot="1">
      <c r="A955" s="41">
        <v>226965</v>
      </c>
      <c r="B955" s="2">
        <v>103690</v>
      </c>
      <c r="C955" s="36" t="s">
        <v>573</v>
      </c>
      <c r="E955" s="98" t="s">
        <v>280</v>
      </c>
    </row>
    <row r="956" spans="1:5" ht="16.5" thickTop="1" thickBot="1">
      <c r="A956" s="41">
        <v>226970</v>
      </c>
      <c r="B956" s="2">
        <v>101190</v>
      </c>
      <c r="C956" s="36" t="s">
        <v>575</v>
      </c>
      <c r="E956" s="98" t="s">
        <v>266</v>
      </c>
    </row>
    <row r="957" spans="1:5" ht="16.5" thickTop="1" thickBot="1">
      <c r="A957" s="41">
        <v>169887</v>
      </c>
      <c r="B957" s="2">
        <v>6890</v>
      </c>
      <c r="C957" s="36" t="s">
        <v>574</v>
      </c>
      <c r="E957" s="98" t="s">
        <v>246</v>
      </c>
    </row>
    <row r="958" spans="1:5" ht="16.5" thickTop="1" thickBot="1">
      <c r="A958" s="41">
        <v>256867</v>
      </c>
      <c r="B958" s="2">
        <v>86990</v>
      </c>
      <c r="C958" s="36" t="s">
        <v>579</v>
      </c>
      <c r="E958" s="98" t="s">
        <v>465</v>
      </c>
    </row>
    <row r="959" spans="1:5" ht="16.5" thickTop="1" thickBot="1">
      <c r="A959" s="202">
        <v>364090</v>
      </c>
      <c r="B959" s="2"/>
      <c r="C959" s="36"/>
      <c r="E959" s="98" t="s">
        <v>1574</v>
      </c>
    </row>
    <row r="960" spans="1:5" ht="16.5" thickTop="1" thickBot="1">
      <c r="A960" s="202">
        <v>364263</v>
      </c>
      <c r="B960" s="2"/>
      <c r="C960" s="36"/>
      <c r="E960" s="98" t="s">
        <v>1575</v>
      </c>
    </row>
    <row r="961" spans="1:5" ht="16.5" thickTop="1" thickBot="1">
      <c r="A961" s="41">
        <v>226951</v>
      </c>
      <c r="B961" s="2">
        <v>85190</v>
      </c>
      <c r="C961" s="36" t="s">
        <v>639</v>
      </c>
      <c r="E961" s="98" t="s">
        <v>196</v>
      </c>
    </row>
    <row r="962" spans="1:5" ht="16.5" thickTop="1" thickBot="1">
      <c r="A962" s="41">
        <v>226949</v>
      </c>
      <c r="B962" s="2">
        <v>85190</v>
      </c>
      <c r="C962" s="36" t="s">
        <v>637</v>
      </c>
      <c r="E962" s="98" t="s">
        <v>194</v>
      </c>
    </row>
    <row r="963" spans="1:5" ht="16.5" thickTop="1" thickBot="1">
      <c r="A963" s="41">
        <v>226950</v>
      </c>
      <c r="B963" s="2">
        <v>85190</v>
      </c>
      <c r="C963" s="36" t="s">
        <v>638</v>
      </c>
      <c r="E963" s="98" t="s">
        <v>195</v>
      </c>
    </row>
    <row r="964" spans="1:5" ht="16.5" thickTop="1" thickBot="1">
      <c r="A964" s="41">
        <v>226945</v>
      </c>
      <c r="B964" s="2"/>
      <c r="C964" s="36"/>
      <c r="E964" s="98" t="s">
        <v>464</v>
      </c>
    </row>
    <row r="965" spans="1:5" ht="16.5" thickTop="1" thickBot="1">
      <c r="A965" s="41">
        <v>256871</v>
      </c>
      <c r="B965" s="2"/>
      <c r="C965" s="36"/>
      <c r="E965" s="98" t="s">
        <v>464</v>
      </c>
    </row>
    <row r="966" spans="1:5" ht="16.5" thickTop="1" thickBot="1">
      <c r="A966" s="41">
        <v>212888</v>
      </c>
      <c r="B966" s="2"/>
      <c r="C966" s="36"/>
      <c r="E966" s="98" t="s">
        <v>212</v>
      </c>
    </row>
    <row r="967" spans="1:5" ht="16.5" thickTop="1" thickBot="1">
      <c r="A967" s="41">
        <v>212890</v>
      </c>
      <c r="B967" s="2"/>
      <c r="C967" s="36"/>
      <c r="E967" s="98" t="s">
        <v>212</v>
      </c>
    </row>
    <row r="968" spans="1:5" ht="16.5" thickTop="1" thickBot="1">
      <c r="A968" s="41">
        <v>212886</v>
      </c>
      <c r="B968" s="2"/>
      <c r="C968" s="36"/>
      <c r="E968" s="98" t="s">
        <v>214</v>
      </c>
    </row>
    <row r="969" spans="1:5" ht="16.5" thickTop="1" thickBot="1">
      <c r="A969" s="41">
        <v>226939</v>
      </c>
      <c r="B969" s="2"/>
      <c r="C969" s="36"/>
      <c r="E969" s="98" t="s">
        <v>464</v>
      </c>
    </row>
    <row r="970" spans="1:5" ht="16.5" thickTop="1" thickBot="1">
      <c r="A970" s="41">
        <v>226940</v>
      </c>
      <c r="B970" s="2"/>
      <c r="C970" s="36"/>
      <c r="E970" s="98" t="s">
        <v>464</v>
      </c>
    </row>
    <row r="971" spans="1:5" ht="16.5" thickTop="1" thickBot="1">
      <c r="A971" s="41">
        <v>226954</v>
      </c>
      <c r="B971" s="2"/>
      <c r="C971" s="36"/>
      <c r="E971" s="98" t="s">
        <v>203</v>
      </c>
    </row>
    <row r="972" spans="1:5" ht="16.5" thickTop="1" thickBot="1">
      <c r="A972" s="41">
        <v>226963</v>
      </c>
      <c r="B972" s="2"/>
      <c r="C972" s="36"/>
      <c r="E972" s="98" t="s">
        <v>199</v>
      </c>
    </row>
    <row r="973" spans="1:5" ht="16.5" thickTop="1" thickBot="1">
      <c r="A973" s="41">
        <v>226952</v>
      </c>
      <c r="B973" s="2"/>
      <c r="C973" s="36"/>
      <c r="E973" s="98" t="s">
        <v>193</v>
      </c>
    </row>
    <row r="974" spans="1:5" ht="16.5" thickTop="1" thickBot="1">
      <c r="A974" s="41">
        <v>226931</v>
      </c>
      <c r="B974" s="2"/>
      <c r="C974" s="36"/>
      <c r="E974" s="98" t="s">
        <v>174</v>
      </c>
    </row>
    <row r="975" spans="1:5" ht="15.75" thickTop="1">
      <c r="A975" s="41">
        <v>169733</v>
      </c>
      <c r="B975" s="47"/>
      <c r="C975" s="36"/>
    </row>
    <row r="976" spans="1:5">
      <c r="A976" s="41">
        <v>158689</v>
      </c>
      <c r="B976" s="47"/>
      <c r="C976" s="36"/>
    </row>
    <row r="977" spans="1:3">
      <c r="A977" s="41">
        <v>138631</v>
      </c>
      <c r="B977" s="47"/>
      <c r="C977" s="36"/>
    </row>
    <row r="978" spans="1:3">
      <c r="A978" s="41">
        <v>212479</v>
      </c>
      <c r="B978" s="47"/>
      <c r="C978" s="36"/>
    </row>
    <row r="979" spans="1:3">
      <c r="A979" s="41">
        <v>212480</v>
      </c>
      <c r="B979" s="47"/>
      <c r="C979" s="36"/>
    </row>
    <row r="980" spans="1:3">
      <c r="A980" s="41">
        <v>212481</v>
      </c>
      <c r="B980" s="47"/>
      <c r="C980" s="36"/>
    </row>
    <row r="981" spans="1:3">
      <c r="A981" s="41">
        <v>212482</v>
      </c>
      <c r="B981" s="47"/>
      <c r="C981" s="36"/>
    </row>
    <row r="982" spans="1:3">
      <c r="A982" s="41">
        <v>212484</v>
      </c>
      <c r="B982" s="47"/>
      <c r="C982" s="36"/>
    </row>
    <row r="983" spans="1:3">
      <c r="A983" s="41">
        <v>212483</v>
      </c>
      <c r="B983" s="47"/>
      <c r="C983" s="36"/>
    </row>
    <row r="984" spans="1:3">
      <c r="A984" s="41">
        <v>212485</v>
      </c>
      <c r="B984" s="47"/>
      <c r="C984" s="36"/>
    </row>
    <row r="985" spans="1:3">
      <c r="A985" s="41">
        <v>138630</v>
      </c>
      <c r="B985" s="47"/>
      <c r="C985" s="36"/>
    </row>
    <row r="986" spans="1:3">
      <c r="A986" s="41">
        <v>212894</v>
      </c>
      <c r="B986" s="47"/>
      <c r="C986" s="36"/>
    </row>
    <row r="987" spans="1:3">
      <c r="A987" s="41">
        <v>212901</v>
      </c>
      <c r="B987" s="47"/>
      <c r="C987" s="36"/>
    </row>
    <row r="988" spans="1:3">
      <c r="A988" s="41">
        <v>214014</v>
      </c>
      <c r="B988" s="47"/>
      <c r="C988" s="36"/>
    </row>
    <row r="989" spans="1:3">
      <c r="A989" s="41">
        <v>218628</v>
      </c>
      <c r="B989" s="47"/>
      <c r="C989" s="36"/>
    </row>
    <row r="990" spans="1:3">
      <c r="A990" s="41">
        <v>221518</v>
      </c>
      <c r="B990" s="47"/>
      <c r="C990" s="36"/>
    </row>
    <row r="991" spans="1:3">
      <c r="A991" s="41">
        <v>226786</v>
      </c>
      <c r="B991" s="47"/>
      <c r="C991" s="36"/>
    </row>
    <row r="992" spans="1:3">
      <c r="A992" s="41">
        <v>226983</v>
      </c>
      <c r="B992" s="47"/>
      <c r="C992" s="36"/>
    </row>
    <row r="993" spans="1:3">
      <c r="A993" s="41">
        <v>226984</v>
      </c>
      <c r="B993" s="47"/>
      <c r="C993" s="36"/>
    </row>
    <row r="994" spans="1:3">
      <c r="A994" s="41">
        <v>226985</v>
      </c>
      <c r="B994" s="47"/>
      <c r="C994" s="36"/>
    </row>
    <row r="995" spans="1:3">
      <c r="A995" s="41">
        <v>226986</v>
      </c>
      <c r="B995" s="47"/>
      <c r="C995" s="36"/>
    </row>
    <row r="996" spans="1:3">
      <c r="A996" s="41">
        <v>226987</v>
      </c>
      <c r="B996" s="47"/>
      <c r="C996" s="36"/>
    </row>
    <row r="997" spans="1:3">
      <c r="A997" s="41">
        <v>226988</v>
      </c>
      <c r="B997" s="47"/>
      <c r="C997" s="36"/>
    </row>
    <row r="998" spans="1:3">
      <c r="A998" s="41">
        <v>226989</v>
      </c>
      <c r="B998" s="47"/>
      <c r="C998" s="36"/>
    </row>
    <row r="999" spans="1:3">
      <c r="A999" s="41">
        <v>226990</v>
      </c>
      <c r="B999" s="47"/>
      <c r="C999" s="36"/>
    </row>
    <row r="1000" spans="1:3">
      <c r="A1000" s="41">
        <v>226992</v>
      </c>
      <c r="B1000" s="47"/>
      <c r="C1000" s="36"/>
    </row>
    <row r="1001" spans="1:3">
      <c r="A1001" s="41">
        <v>226993</v>
      </c>
      <c r="B1001" s="47"/>
      <c r="C1001" s="36"/>
    </row>
    <row r="1002" spans="1:3">
      <c r="A1002" s="41">
        <v>226994</v>
      </c>
      <c r="B1002" s="47"/>
      <c r="C1002" s="36"/>
    </row>
    <row r="1003" spans="1:3">
      <c r="A1003" s="41">
        <v>226928</v>
      </c>
      <c r="B1003" s="47"/>
      <c r="C1003" s="36"/>
    </row>
    <row r="1004" spans="1:3">
      <c r="A1004" s="41">
        <v>226995</v>
      </c>
      <c r="B1004" s="47"/>
      <c r="C1004" s="36"/>
    </row>
    <row r="1005" spans="1:3">
      <c r="A1005" s="41">
        <v>138621</v>
      </c>
      <c r="B1005" s="47"/>
      <c r="C1005" s="36"/>
    </row>
    <row r="1006" spans="1:3">
      <c r="A1006" s="41">
        <v>138645</v>
      </c>
      <c r="B1006" s="47"/>
      <c r="C1006" s="36"/>
    </row>
    <row r="1007" spans="1:3">
      <c r="A1007" s="41">
        <v>138646</v>
      </c>
      <c r="B1007" s="47"/>
      <c r="C1007" s="36"/>
    </row>
    <row r="1008" spans="1:3">
      <c r="A1008" s="41">
        <v>138647</v>
      </c>
      <c r="B1008" s="47"/>
      <c r="C1008" s="36"/>
    </row>
    <row r="1009" spans="1:3">
      <c r="A1009" s="41">
        <v>138648</v>
      </c>
      <c r="B1009" s="47"/>
      <c r="C1009" s="36"/>
    </row>
    <row r="1010" spans="1:3">
      <c r="A1010" s="41">
        <v>138628</v>
      </c>
      <c r="B1010" s="47"/>
      <c r="C1010" s="36"/>
    </row>
    <row r="1011" spans="1:3">
      <c r="A1011" s="41">
        <v>138650</v>
      </c>
      <c r="B1011" s="47"/>
      <c r="C1011" s="36"/>
    </row>
    <row r="1012" spans="1:3">
      <c r="A1012" s="41">
        <v>138651</v>
      </c>
      <c r="B1012" s="47"/>
      <c r="C1012" s="36"/>
    </row>
    <row r="1013" spans="1:3">
      <c r="A1013" s="41">
        <v>160011</v>
      </c>
      <c r="B1013" s="47"/>
      <c r="C1013" s="36"/>
    </row>
    <row r="1014" spans="1:3">
      <c r="A1014" s="41">
        <v>164699</v>
      </c>
      <c r="B1014" s="47"/>
      <c r="C1014" s="36"/>
    </row>
    <row r="1015" spans="1:3">
      <c r="A1015" s="41">
        <v>181919</v>
      </c>
      <c r="B1015" s="47"/>
      <c r="C1015" s="36"/>
    </row>
    <row r="1016" spans="1:3">
      <c r="A1016" s="41">
        <v>205828</v>
      </c>
      <c r="B1016" s="47"/>
      <c r="C1016" s="36"/>
    </row>
    <row r="1017" spans="1:3">
      <c r="A1017" s="206">
        <v>226991</v>
      </c>
      <c r="B1017" s="47"/>
      <c r="C1017" s="36"/>
    </row>
    <row r="1018" spans="1:3">
      <c r="A1018" s="41">
        <v>212266</v>
      </c>
      <c r="B1018" s="47"/>
      <c r="C1018" s="36"/>
    </row>
  </sheetData>
  <conditionalFormatting sqref="A3:A849">
    <cfRule type="expression" dxfId="3" priority="3">
      <formula>AND($U3=0,$V3=0)</formula>
    </cfRule>
  </conditionalFormatting>
  <conditionalFormatting sqref="A850:A871">
    <cfRule type="expression" dxfId="2" priority="2">
      <formula>AND($U850=0,$V850=0)</formula>
    </cfRule>
  </conditionalFormatting>
  <conditionalFormatting sqref="A873:A1018">
    <cfRule type="expression" dxfId="1" priority="1">
      <formula>AND($S873=0,$R873=0)</formula>
    </cfRule>
  </conditionalFormatting>
  <hyperlinks>
    <hyperlink ref="B877" r:id="rId1" display="https://motorring.ru/product/24833-ruchki-regulirovki-bloka-otopitelya-chrom-volkswagen-polo" xr:uid="{921A3098-9FAB-4842-9506-C24F8AD629CF}"/>
    <hyperlink ref="B880" r:id="rId2" display="https://motorring.ru/product/24828-ruchki-regulirovki-bloka-otopitelya-serebo-daewoo-chevrolet" xr:uid="{062CC653-73B2-4DB4-B043-A9B1E6B33138}"/>
    <hyperlink ref="B878" r:id="rId3" display="https://motorring.ru/product/10486-ruchki-regulirovki-bloka-otopitelya-serebristoe-kolyco" xr:uid="{4B2DD152-4233-47A3-B6A3-51756A2D2C7B}"/>
    <hyperlink ref="B882" r:id="rId4" display="https://motorring.ru/product/13674-ruchki-regulirovki-bloka-otopitelya-chernoe-kolyco-shevrole" xr:uid="{40B86C86-B19E-48BD-8BBE-C69C74BF7A8E}"/>
    <hyperlink ref="B881" r:id="rId5" display="https://motorring.ru/product/13675-ruchki-regulirovki-bloka-otopitelya-serebryanoe-kolyco" xr:uid="{1F7C7C16-6093-4614-AEB2-2BBD27091179}"/>
    <hyperlink ref="B876" r:id="rId6" display="https://motorring.ru/product/1743" xr:uid="{169A879C-A63D-48BB-969C-4CFC89DB8648}"/>
    <hyperlink ref="B875" r:id="rId7" display="https://motorring.ru/product/10487-programmator-gamma-910-dlya" xr:uid="{8500706A-B784-4B22-99A5-0CC38BBC7A2E}"/>
    <hyperlink ref="B883" r:id="rId8" display="https://motorring.ru/product/24823-sumka-vkladysh-ferrum-bagaghnik-dlya-lada-kalina" xr:uid="{F5F948B9-4066-467B-BFCA-D3437F5F5D06}"/>
    <hyperlink ref="B884" r:id="rId9" display="https://motorring.ru/product/24822-sumki-vkladyshi-ferrum-bagaghnik-lada-vesta" xr:uid="{6CDB0A09-C794-4DA4-AEC5-BE33E041B7C8}"/>
    <hyperlink ref="B885" r:id="rId10" display="https://motorring.ru/product/24825-sumki-organayzery-ferrum-bagaghnik-lada-niva-4h4" xr:uid="{D8D3941A-0A1A-4ADC-8D11-12BF300C9870}"/>
    <hyperlink ref="B886" r:id="rId11" display="https://motorring.ru/product/24826-sumki-vkladyshi-organayzery-derrum-bagaghnik-shevrole-niva" xr:uid="{73B697A9-D2EF-497C-9E7B-77D76EEED41D}"/>
    <hyperlink ref="B888" r:id="rId12" display="https://motorring.ru/product/1729-perehodnik-gamma-921-dlya-kombinaciy-priborov-lada-priora" xr:uid="{B7439CB1-FBC1-4DAA-8FA3-F69751A030FB}"/>
    <hyperlink ref="B894" r:id="rId13" display="https://motorring.ru/product/1394-bortovoy-kompyyuter-gamma-240-dlya-zaz-sens-chevrolet-lanos" xr:uid="{E6609D7C-B60B-49D4-AA1B-8465B488CAD5}"/>
    <hyperlink ref="B895" r:id="rId14" display="https://motorring.ru/product/34419-modelynaya-ruchka-kpp-ferrum-group-sport-dlya-lada-granta" xr:uid="{8265E604-D75E-44B6-9D7F-5B1EB79F7E6D}"/>
    <hyperlink ref="B896" r:id="rId15" display="https://motorring.ru/product/34418-modelynaya-ruchka-kpp-black-club-bielastik-vaz-2107" xr:uid="{2FC02A7F-2307-4457-AACC-F8384E7631FB}"/>
    <hyperlink ref="B898" r:id="rId16" display="https://motorring.ru/product/34419-modelynaya-ruchka-kpp-ferrum-group-sport-dlya-lada-granta" xr:uid="{EC594DBE-1EC6-4F79-8D03-0F5BEF227898}"/>
    <hyperlink ref="B899" r:id="rId17" display="https://motorring.ru/product/24827-organayzer-spinku-kresla-ferrum-universalynyy" xr:uid="{C92A1F5A-6426-430F-9A4A-C77BDADB5CCD}"/>
    <hyperlink ref="B901" r:id="rId18" display="https://motorring.ru/product/24845-nakladki-pedali-ferrum-amt-lada-vesta" xr:uid="{DEA367E3-D685-4719-863A-D08E9A801D4F}"/>
    <hyperlink ref="B900" r:id="rId19" display="https://motorring.ru/product/24847-nakladki-pedali-ferrum-amt-1-6-lada-vesta" xr:uid="{BF918DE5-3ADC-45B6-BB67-60163D65582C}"/>
    <hyperlink ref="B902" r:id="rId20" display="https://motorring.ru/product/24837-nakladki-pedali-ferrum-amt-lada-iks-rey" xr:uid="{8771A8AF-5AEF-406A-8364-B11CB9E5B5CA}"/>
    <hyperlink ref="B905" r:id="rId21" display="https://motorring.ru/product/24848-nakladki-pedali-ferrum-mkpp-lada-vesta" xr:uid="{36AB8468-767C-4FAD-954F-5761FD7F2662}"/>
    <hyperlink ref="B909" r:id="rId22" display="https://motorring.ru/product/26111-modelynaya-ruchka-kpp-ferrum-sport-pylynikom-ekokoghi" xr:uid="{5083E355-C2F2-4F81-8CBC-369B14996D15}"/>
    <hyperlink ref="B904" r:id="rId23" display="https://motorring.ru/product/14317-schitok-dlya-kombinacii-priborov-lada-granta" xr:uid="{449347F5-ECA3-4A75-B3DA-CC2DF96F7131}"/>
    <hyperlink ref="B903" r:id="rId24" display="https://motorring.ru/product/35089-schitok-otdelkoy-koghzama-dlya-kombinacii-priborov-lada-red" xr:uid="{9695E6F5-D0D9-49AD-A2B3-3EB841BE3B2A}"/>
    <hyperlink ref="B908" r:id="rId25" display="https://motorring.ru/product/1398" xr:uid="{DBF85F25-C57F-4A40-AD37-767E86228E04}"/>
    <hyperlink ref="B907" r:id="rId26" display="https://motorring.ru/product/1399" xr:uid="{24102887-701E-4887-959C-40D4DD9FA787}"/>
    <hyperlink ref="B919" r:id="rId27" display="https://motorring.ru/product/1406-bortovoy-kompyyuter-gamma-270-lada-priora" xr:uid="{29EB0439-4512-4522-A7AC-B1F7E20F5DB9}"/>
    <hyperlink ref="B920" r:id="rId28" display="https://motorring.ru/product/1404-bortovoy-kompyyuter-gamma-218t-lada-kalina" xr:uid="{B846AB0F-D99B-4952-8BA4-3B930DDC7093}"/>
    <hyperlink ref="B921" r:id="rId29" display="https://motorring.ru/product/1411-bortovoy-kompyyuter-gamma-223-shevrole-niva" xr:uid="{4AC0716F-52F5-48C2-B29F-8EE0FBAD977C}"/>
    <hyperlink ref="B922" r:id="rId30" display="https://motorring.ru/product/1416-parktronik-gamma-801-dlya-produkcii-gamma" xr:uid="{A865384A-640F-4CA4-B937-C5A1869C044C}"/>
    <hyperlink ref="B925" r:id="rId31" display="https://motorring.ru/product/1400-bortovoy-kompyyuter-gamma-412-vaz-2110-2112-staroy-panelyyu" xr:uid="{20606E52-08D0-4A39-8529-D20FEAB6E8AE}"/>
    <hyperlink ref="B926" r:id="rId32" display="https://motorring.ru/product/1410-bortovoy-kompyyuter-gamma-241-dlya-lacetti-chevrolet-rezzo" xr:uid="{91D5F8EC-5175-4D70-B354-FF68EDE58459}"/>
    <hyperlink ref="B928" r:id="rId33" display="https://motorring.ru/product/21704-elektronnaya-kombinaciya-priborov-gamma-651-tonirovannaya" xr:uid="{5B316792-151B-4466-9168-CC8DB3DCEB50}"/>
    <hyperlink ref="B930" r:id="rId34" display="https://motorring.ru/product/1738-elektronnaya-kombinaciya-priborov-gamma-619-lada-priora" xr:uid="{E014BB1C-A7A9-430B-8017-DC47D1349BF8}"/>
    <hyperlink ref="B932" r:id="rId35" display="https://motorring.ru/product/1734-elektronnaya-kombinaciya-priborov-gamma-818-black-lada" xr:uid="{611D02D2-359E-4E9E-B1F5-0A4E542E61F0}"/>
    <hyperlink ref="B931" r:id="rId36" display="https://motorring.ru/product/1736-elektronnaya-kombinaciya-priborov-gamma-818-silver-lada" xr:uid="{AC25DEE9-4830-4DBA-AED9-8F24EB31C270}"/>
    <hyperlink ref="B933" r:id="rId37" display="https://motorring.ru/product/1703-elektronnaya-kombinaciya-priborov-gamma-616-vaz-2113-2115" xr:uid="{1B39B249-A04E-405A-A8C8-438E56A98DA7}"/>
    <hyperlink ref="B934" r:id="rId38" display="https://motorring.ru/product/1707-elektronnaya-kombinaciya-priborov-gamma-616-lada-niva-4h4" xr:uid="{0F0EDEA4-7F12-4D56-B0B5-AC70F23E9A5F}"/>
    <hyperlink ref="B935" r:id="rId39" display="https://motorring.ru/product/16163-elektronnaya-kombinaciya-priborov-gamma-616-shevrole-niva" xr:uid="{38B72E5A-008C-48D2-895A-3EEF3526E765}"/>
    <hyperlink ref="B938" r:id="rId40" display="https://motorring.ru/product/11514-elektronnaya-kombinaciya-priborov-gamma-825s-shevrole-niva" xr:uid="{F73702E7-A082-4F12-B47D-5C27F4B8F239}"/>
    <hyperlink ref="B940" r:id="rId41" display="https://motorring.ru/product/11463-elektronnaya-kombinaciya-priborov-gamma-825s-lada-niva-4h4" xr:uid="{A851FF76-300D-451E-88FA-C43B038F2525}"/>
    <hyperlink ref="B936" r:id="rId42" display="https://motorring.ru/product/11464-elektronnaya-kombinaciya-priborov-gamma-825s-vaz-2113-2115" xr:uid="{16674863-6CD1-4D23-9F33-0C9C8CC98D89}"/>
    <hyperlink ref="B937" r:id="rId43" display="https://motorring.ru/product/1709-elektronnaya-kombinaciya-priborov-gamma-607-vaz-2107" xr:uid="{873D53D7-EEA8-4F08-8AD2-FB37B285FA0A}"/>
    <hyperlink ref="B939" r:id="rId44" display="https://motorring.ru/product/16426-elektronnaya-kombinaciya-priborov-gamma-821-lada-priora" xr:uid="{F91ED807-C306-4302-BE4C-BF5628E8609A}"/>
    <hyperlink ref="B941" r:id="rId45" display="https://motorring.ru/product/16422-elektronnaya-kombinaciya-priborov-gamma-651s-lada-granta" xr:uid="{FC7236DF-AD25-4AD7-A063-822117F892BC}"/>
    <hyperlink ref="B942" r:id="rId46" display="https://motorring.ru/product/13252-elektronnaya-kombinaciya-priborov-gamma-gf851l-lada-granta" xr:uid="{7D2B51B1-19CC-4B9E-8CF8-4EF018DB554D}"/>
    <hyperlink ref="B943" r:id="rId47" display="https://motorring.ru/product/1728-elektronnaya-kombinaciya-priborov-gamma-822-lada-priora" xr:uid="{41008D2E-4290-4B24-A186-CDE9E26B0989}"/>
    <hyperlink ref="B944" r:id="rId48" display="https://motorring.ru/product/15479-elektronnaya-kombinaciya-priborov-gamma-822s-lada-priora" xr:uid="{395572CC-4D28-4C3A-B548-6AB507BAFB6A}"/>
    <hyperlink ref="B945" r:id="rId49" display="https://motorring.ru/product/13253-elektronnaya-kombinaciya-priborov-gamma-823-lada-priora" xr:uid="{AED4398B-74B9-4EDA-8EFF-D8ACCD89857E}"/>
    <hyperlink ref="B946" r:id="rId50" display="https://motorring.ru/product/11462-elektronnaya-kombinaciya-priborov-gamma-851s-lada-granta" xr:uid="{60030D67-9C22-4613-9550-116F59E148CD}"/>
    <hyperlink ref="B947" r:id="rId51" display="https://motorring.ru/product/16421-elektronnaya-kombinaciya-priborov-gamma-841-shevrole" xr:uid="{CDC07B87-16B4-41A3-AF2A-C0C6638071AA}"/>
    <hyperlink ref="B948" r:id="rId52" display="https://motorring.ru/product/12425-elektronnaya-kombinaciya-priborov-gamma-841-shevrole" xr:uid="{00945D1A-ADF7-47E6-83A6-E82339C22E3E}"/>
    <hyperlink ref="B949" r:id="rId53" display="https://motorring.ru/product/21693-elektronnaya-kombinaciya-priborov-gamma-851s-cross-lada" xr:uid="{A8EDCEA3-2841-4DBC-9824-84C8C0D9A66E}"/>
    <hyperlink ref="B950" r:id="rId54" display="https://motorring.ru/product/21697-kombinaciya-priborov-gamma-940-cross-serie-lada-vesta" xr:uid="{ED21F184-8B66-4D8B-8FFE-669A2333CCC2}"/>
    <hyperlink ref="B951" r:id="rId55" display="https://motorring.ru/product/21696-kombinaciya-priborov-gamma-940-exclusive-edition-lada-vesta" xr:uid="{6FCF2F4B-ADDF-4D10-9198-53012E793402}"/>
    <hyperlink ref="B952" r:id="rId56" display="https://motorring.ru/product/39786-kombinaciya-priborov-gamma-940-limited-edition-lada-vesta" xr:uid="{3A56AEE0-0FAD-4BE4-BACF-4827AF251000}"/>
    <hyperlink ref="B953" r:id="rId57" display="https://motorring.ru/product/34992-kolpachki-stupic-stilizovannye-ferrumgroup-dlya-lada-vesta" xr:uid="{848977E9-A7C8-451C-B0A0-6668A4F5A824}"/>
    <hyperlink ref="B955" r:id="rId58" display="https://motorring.ru/product/36273-kombinaciya-priborov-949n-limited-turbo-schitkom-lada-vesta" xr:uid="{974B413F-C3AD-4134-B2F7-D10086E9411A}"/>
    <hyperlink ref="B957" r:id="rId59" display="https://motorring.ru/product/34990-nakladki-porogi-ferrumgroup-dlya-lada-vesta" xr:uid="{A4564A24-7696-480B-8217-48C86B53BDE5}"/>
    <hyperlink ref="B956" r:id="rId60" display="https://motorring.ru/product/34950-kombinaciya-priborov-949n-turbo-schitkom-lada-vesta" xr:uid="{E083E094-2D63-4BEC-B9FB-68EE6BE62C7E}"/>
    <hyperlink ref="B958" r:id="rId61" display="https://motorring.ru/product/40311-kombinaciya-priborov-826n-black-lada-4h4-niva-novoy-panel" xr:uid="{24EBA221-A006-49C4-9D3B-41406D5CBE82}"/>
    <hyperlink ref="B927" r:id="rId62" display="https://motorring.ru/product/24859-datchiki-davleniya-vozduha-shinah-tpms-ferrum-group-lada" xr:uid="{237AF173-6BC7-497C-A098-A10EACA2B9DA}"/>
    <hyperlink ref="B918" r:id="rId63" display="https://motorring.ru/product/24832-blok-upravleniya-otopitelem-ruchkami-ferrum-dlya-daewoo" xr:uid="{61C43942-C878-4FBF-92CC-F489C37E0B57}"/>
    <hyperlink ref="B917" r:id="rId64" display="https://motorring.ru/product/29216-modelynaya-ruchka-kpp-pylynikom-ferrum-limited-edition2" xr:uid="{14589CD0-8002-4F99-99B0-88284E9412FE}"/>
    <hyperlink ref="B910" r:id="rId65" display="https://motorring.ru/product/26107-modelynaya-ruchka-kpp-ferrum-cross-serie-pylynikom-ekokoghi" xr:uid="{01F2477C-51A9-4462-8221-9FB6328EEBD0}"/>
    <hyperlink ref="B912" r:id="rId66" display="https://motorring.ru/product/26106-modelynaya-ruchka-kpp-ferrum-exclusive-pylynikom-ekokoghi" xr:uid="{E5D8D477-732C-4567-ABE8-067EAF637FD1}"/>
    <hyperlink ref="B915" r:id="rId67" display="https://motorring.ru/product/26108-modelynaya-ruchka-kpp-ferrum-grand-sport-pylynikom-ekokoghi" xr:uid="{DA4D3F53-1ED5-443D-8868-CE03B6B78F95}"/>
    <hyperlink ref="B897" r:id="rId68" display="https://motorring.ru/product/34417-modelynaya-ruchka-kpp-ferrum-group-bielastik-vaz-2107" xr:uid="{EB04A388-DFDF-4881-A476-6CB667189E19}"/>
    <hyperlink ref="B893" r:id="rId69" display="https://motorring.ru/product/29216-modelynaya-ruchka-kpp-pylynikom-ferrum-limited-edition2" xr:uid="{ACEBF29E-EDD9-4B35-B710-923AB57FBF16}"/>
    <hyperlink ref="B892" r:id="rId70" display="https://motorring.ru/product/29219-modelynaya-ruchka-kpp-ferrum-grand-sport2-pylynikom-ekokoghi" xr:uid="{1084C982-EB96-4718-B8B8-C677FD7B5C38}"/>
    <hyperlink ref="B891" r:id="rId71" display="https://motorring.ru/product/26109-modelynaya-ruchka-kpp-ferrum-grand-premium-pylynikom" xr:uid="{F2C5B002-8818-49F3-A970-9E13F2B928A5}"/>
    <hyperlink ref="B887" r:id="rId72" display="https://motorring.ru/product/27756-modelynaya-ruchka-kpp-ferrum-pylynikom-ekokoghi-dlya-lada" xr:uid="{EB911814-710B-42F7-928A-5DE5D785BBD9}"/>
    <hyperlink ref="B962" r:id="rId73" display="https://motorring.ru/product/16240-elektronnaya-kombinaciya-priborov-gamma-890-serebro-largus" xr:uid="{1D247ECE-4732-4CC7-99E8-69F9E10E352B}"/>
    <hyperlink ref="B963" r:id="rId74" display="https://motorring.ru/product/16239-elektronnaya-kombinaciya-priborov-gamma-890-hrom-largus" xr:uid="{B20B1735-93B3-4E40-AED8-F05DF5BA17B5}"/>
    <hyperlink ref="B961" r:id="rId75" display="https://motorring.ru/product/16358-elektronnaya-kombinaciya-priborov-gamma-890-chernye-kolyca" xr:uid="{0D90423F-6312-4030-8290-C92FED475E06}"/>
    <hyperlink ref="B924" r:id="rId76" display="https://motorring.ru/product/1416-parktronik-gamma-801-dlya-produkcii-gamma" xr:uid="{28424DA0-0651-4258-B226-5226FE4B4A14}"/>
    <hyperlink ref="B874" r:id="rId77" display="https://motorring.ru/product/13254-organayzer-gamma-panely-lada-largus" xr:uid="{756109C2-0F12-4581-AE4F-B9BB8DCDE2A9}"/>
    <hyperlink ref="B873" r:id="rId78" display="https://motorring.ru/product/34989-shilydik-serebryanyy-stoyki-dlya-lada-vesta" xr:uid="{E8751609-4EC6-4388-8FBB-A4DC9F41AFEE}"/>
  </hyperlinks>
  <pageMargins left="0.7" right="0.7" top="0.75" bottom="0.75" header="0.3" footer="0.3"/>
  <pageSetup paperSize="9" orientation="portrait" r:id="rId79"/>
  <drawing r:id="rId80"/>
  <legacyDrawing r:id="rId81"/>
  <controls>
    <mc:AlternateContent xmlns:mc="http://schemas.openxmlformats.org/markup-compatibility/2006">
      <mc:Choice Requires="x14">
        <control shapeId="6145" r:id="rId82" name="CommandButton1">
          <controlPr defaultSize="0" autoLine="0" r:id="rId83">
            <anchor moveWithCells="1">
              <from>
                <xdr:col>7</xdr:col>
                <xdr:colOff>581025</xdr:colOff>
                <xdr:row>1</xdr:row>
                <xdr:rowOff>123825</xdr:rowOff>
              </from>
              <to>
                <xdr:col>9</xdr:col>
                <xdr:colOff>276225</xdr:colOff>
                <xdr:row>3</xdr:row>
                <xdr:rowOff>38100</xdr:rowOff>
              </to>
            </anchor>
          </controlPr>
        </control>
      </mc:Choice>
      <mc:Fallback>
        <control shapeId="6145" r:id="rId82" name="CommandButton1"/>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915EA-BC8B-4942-9811-096A715379F7}">
  <sheetPr codeName="Лист5">
    <tabColor rgb="FF92D050"/>
  </sheetPr>
  <dimension ref="A1:U1004"/>
  <sheetViews>
    <sheetView topLeftCell="A980" workbookViewId="0">
      <selection activeCell="A988" sqref="A988"/>
    </sheetView>
  </sheetViews>
  <sheetFormatPr defaultRowHeight="15"/>
  <cols>
    <col min="1" max="3" width="11.140625" bestFit="1" customWidth="1"/>
    <col min="4" max="4" width="81.140625" bestFit="1" customWidth="1"/>
    <col min="5" max="5" width="28.28515625" bestFit="1" customWidth="1"/>
    <col min="6" max="6" width="35.5703125" bestFit="1" customWidth="1"/>
    <col min="7" max="8" width="11.140625" bestFit="1" customWidth="1"/>
    <col min="9" max="9" width="24.5703125" bestFit="1" customWidth="1"/>
    <col min="10" max="10" width="35.28515625" bestFit="1" customWidth="1"/>
    <col min="11" max="21" width="12.140625" bestFit="1" customWidth="1"/>
  </cols>
  <sheetData>
    <row r="1" spans="1:21">
      <c r="A1" t="s">
        <v>586</v>
      </c>
      <c r="B1" t="s">
        <v>587</v>
      </c>
      <c r="C1" t="s">
        <v>652</v>
      </c>
      <c r="D1" t="s">
        <v>653</v>
      </c>
      <c r="E1" t="s">
        <v>654</v>
      </c>
      <c r="F1" t="s">
        <v>655</v>
      </c>
      <c r="G1" t="s">
        <v>656</v>
      </c>
      <c r="H1" t="s">
        <v>657</v>
      </c>
      <c r="I1" t="s">
        <v>591</v>
      </c>
      <c r="J1" t="s">
        <v>592</v>
      </c>
      <c r="K1" t="s">
        <v>593</v>
      </c>
      <c r="L1" t="s">
        <v>594</v>
      </c>
      <c r="M1" t="s">
        <v>595</v>
      </c>
      <c r="N1" t="s">
        <v>596</v>
      </c>
      <c r="O1" t="s">
        <v>597</v>
      </c>
      <c r="P1" t="s">
        <v>598</v>
      </c>
      <c r="Q1" t="s">
        <v>599</v>
      </c>
      <c r="R1" t="s">
        <v>600</v>
      </c>
      <c r="S1" t="s">
        <v>601</v>
      </c>
      <c r="T1" t="s">
        <v>658</v>
      </c>
      <c r="U1" t="s">
        <v>659</v>
      </c>
    </row>
    <row r="2" spans="1:21">
      <c r="A2" s="74" t="s">
        <v>1567</v>
      </c>
      <c r="B2" s="36" t="s">
        <v>1568</v>
      </c>
      <c r="C2" s="36"/>
      <c r="D2" s="74" t="s">
        <v>660</v>
      </c>
      <c r="E2" s="36" t="s">
        <v>588</v>
      </c>
      <c r="F2" s="74" t="s">
        <v>589</v>
      </c>
      <c r="G2" s="74"/>
      <c r="H2" s="36"/>
      <c r="I2" s="36" t="s">
        <v>590</v>
      </c>
      <c r="J2" s="36" t="s">
        <v>604</v>
      </c>
      <c r="K2" s="36"/>
      <c r="L2" s="36"/>
      <c r="M2" s="36"/>
      <c r="N2" s="36"/>
      <c r="O2" s="36"/>
      <c r="P2" s="36"/>
      <c r="Q2" s="36"/>
      <c r="R2" s="36"/>
      <c r="S2" s="36"/>
      <c r="T2" s="36"/>
      <c r="U2" s="36"/>
    </row>
    <row r="3" spans="1:21">
      <c r="A3" s="74"/>
      <c r="B3" s="36" t="s">
        <v>0</v>
      </c>
      <c r="C3" s="36"/>
      <c r="D3" s="74" t="s">
        <v>602</v>
      </c>
      <c r="E3" s="36" t="s">
        <v>603</v>
      </c>
      <c r="F3" s="74" t="s">
        <v>603</v>
      </c>
      <c r="G3" s="74" t="s">
        <v>603</v>
      </c>
      <c r="H3" s="36"/>
      <c r="I3" s="36" t="s">
        <v>603</v>
      </c>
      <c r="J3" s="36">
        <v>1</v>
      </c>
      <c r="K3" s="36"/>
      <c r="L3" s="36"/>
      <c r="M3" s="36"/>
      <c r="N3" s="36"/>
      <c r="O3" s="36"/>
      <c r="P3" s="36"/>
      <c r="Q3" s="36"/>
      <c r="R3" s="36"/>
      <c r="S3" s="36"/>
      <c r="T3" s="36"/>
      <c r="U3" s="36"/>
    </row>
    <row r="4" spans="1:21">
      <c r="A4" s="74" t="s">
        <v>250</v>
      </c>
      <c r="B4" s="36">
        <v>208987</v>
      </c>
      <c r="C4" s="36">
        <v>39990</v>
      </c>
      <c r="D4" s="74" t="s">
        <v>647</v>
      </c>
      <c r="E4" s="36"/>
      <c r="F4" s="74"/>
      <c r="G4" s="74" t="s">
        <v>692</v>
      </c>
      <c r="H4" s="36"/>
      <c r="I4" s="36" t="s">
        <v>654</v>
      </c>
      <c r="J4" s="36"/>
      <c r="K4" s="36"/>
      <c r="L4" s="36"/>
      <c r="M4" s="36"/>
      <c r="N4" s="36"/>
      <c r="O4" s="36"/>
      <c r="P4" s="36"/>
      <c r="Q4" s="36"/>
      <c r="R4" s="36"/>
      <c r="S4" s="36"/>
      <c r="T4" s="36"/>
      <c r="U4" s="36"/>
    </row>
    <row r="5" spans="1:21">
      <c r="A5" s="74" t="s">
        <v>250</v>
      </c>
      <c r="B5" s="36">
        <v>208986</v>
      </c>
      <c r="C5" s="36">
        <v>39990</v>
      </c>
      <c r="D5" s="74" t="s">
        <v>647</v>
      </c>
      <c r="E5" s="36"/>
      <c r="F5" s="74"/>
      <c r="G5" s="74" t="s">
        <v>692</v>
      </c>
      <c r="H5" s="36"/>
      <c r="I5" s="36" t="s">
        <v>654</v>
      </c>
      <c r="J5" s="36"/>
      <c r="K5" s="36"/>
      <c r="L5" s="36"/>
      <c r="M5" s="36"/>
      <c r="N5" s="36"/>
      <c r="O5" s="36"/>
      <c r="P5" s="36"/>
      <c r="Q5" s="36"/>
      <c r="R5" s="36"/>
      <c r="S5" s="36"/>
      <c r="T5" s="36"/>
      <c r="U5" s="36"/>
    </row>
    <row r="6" spans="1:21">
      <c r="A6" s="74" t="s">
        <v>250</v>
      </c>
      <c r="B6" s="36">
        <v>208985</v>
      </c>
      <c r="C6" s="36">
        <v>39990</v>
      </c>
      <c r="D6" s="74" t="s">
        <v>647</v>
      </c>
      <c r="E6" s="36"/>
      <c r="F6" s="74"/>
      <c r="G6" s="74" t="s">
        <v>692</v>
      </c>
      <c r="H6" s="36"/>
      <c r="I6" s="36" t="s">
        <v>654</v>
      </c>
      <c r="J6" s="36"/>
      <c r="K6" s="36"/>
      <c r="L6" s="36"/>
      <c r="M6" s="36"/>
      <c r="N6" s="36"/>
      <c r="O6" s="36"/>
      <c r="P6" s="36"/>
      <c r="Q6" s="36"/>
      <c r="R6" s="36"/>
      <c r="S6" s="36"/>
      <c r="T6" s="36"/>
      <c r="U6" s="36"/>
    </row>
    <row r="7" spans="1:21">
      <c r="A7" s="74" t="s">
        <v>250</v>
      </c>
      <c r="B7" s="36">
        <v>208978</v>
      </c>
      <c r="C7" s="36">
        <v>39990</v>
      </c>
      <c r="D7" s="74" t="s">
        <v>647</v>
      </c>
      <c r="E7" s="36"/>
      <c r="F7" s="74"/>
      <c r="G7" s="74" t="s">
        <v>692</v>
      </c>
      <c r="H7" s="36"/>
      <c r="I7" s="36" t="s">
        <v>654</v>
      </c>
      <c r="J7" s="36"/>
      <c r="K7" s="36"/>
      <c r="L7" s="36"/>
      <c r="M7" s="36"/>
      <c r="N7" s="36"/>
      <c r="O7" s="36"/>
      <c r="P7" s="36"/>
      <c r="Q7" s="36"/>
      <c r="R7" s="36"/>
      <c r="S7" s="36"/>
      <c r="T7" s="36"/>
      <c r="U7" s="36"/>
    </row>
    <row r="8" spans="1:21">
      <c r="A8" s="74" t="s">
        <v>250</v>
      </c>
      <c r="B8" s="36">
        <v>208984</v>
      </c>
      <c r="C8" s="36">
        <v>39990</v>
      </c>
      <c r="D8" s="74" t="s">
        <v>647</v>
      </c>
      <c r="E8" s="36"/>
      <c r="F8" s="74"/>
      <c r="G8" s="74" t="s">
        <v>692</v>
      </c>
      <c r="H8" s="36"/>
      <c r="I8" s="36" t="s">
        <v>654</v>
      </c>
      <c r="J8" s="36"/>
      <c r="K8" s="36"/>
      <c r="L8" s="36"/>
      <c r="M8" s="36"/>
      <c r="N8" s="36"/>
      <c r="O8" s="36"/>
      <c r="P8" s="36"/>
      <c r="Q8" s="36"/>
      <c r="R8" s="36"/>
      <c r="S8" s="36"/>
      <c r="T8" s="36"/>
      <c r="U8" s="36"/>
    </row>
    <row r="9" spans="1:21">
      <c r="A9" s="74" t="s">
        <v>250</v>
      </c>
      <c r="B9" s="36">
        <v>208983</v>
      </c>
      <c r="C9" s="36">
        <v>39990</v>
      </c>
      <c r="D9" s="74" t="s">
        <v>647</v>
      </c>
      <c r="E9" s="36"/>
      <c r="F9" s="74"/>
      <c r="G9" s="74" t="s">
        <v>692</v>
      </c>
      <c r="H9" s="36"/>
      <c r="I9" s="36" t="s">
        <v>654</v>
      </c>
      <c r="J9" s="36"/>
      <c r="K9" s="36"/>
      <c r="L9" s="36"/>
      <c r="M9" s="36"/>
      <c r="N9" s="36"/>
      <c r="O9" s="36"/>
      <c r="P9" s="36"/>
      <c r="Q9" s="36"/>
      <c r="R9" s="36"/>
      <c r="S9" s="36"/>
      <c r="T9" s="36"/>
      <c r="U9" s="36"/>
    </row>
    <row r="10" spans="1:21">
      <c r="A10" s="74" t="s">
        <v>250</v>
      </c>
      <c r="B10" s="36">
        <v>208980</v>
      </c>
      <c r="C10" s="36">
        <v>39990</v>
      </c>
      <c r="D10" s="74" t="s">
        <v>647</v>
      </c>
      <c r="E10" s="36"/>
      <c r="F10" s="74"/>
      <c r="G10" s="74" t="s">
        <v>692</v>
      </c>
      <c r="H10" s="36"/>
      <c r="I10" s="36" t="s">
        <v>654</v>
      </c>
      <c r="J10" s="36"/>
      <c r="K10" s="36"/>
      <c r="L10" s="36"/>
      <c r="M10" s="36"/>
      <c r="N10" s="36"/>
      <c r="O10" s="36"/>
      <c r="P10" s="36"/>
      <c r="Q10" s="36"/>
      <c r="R10" s="36"/>
      <c r="S10" s="36"/>
      <c r="T10" s="36"/>
      <c r="U10" s="36"/>
    </row>
    <row r="11" spans="1:21">
      <c r="A11" s="74" t="s">
        <v>250</v>
      </c>
      <c r="B11" s="36">
        <v>208976</v>
      </c>
      <c r="C11" s="36">
        <v>39990</v>
      </c>
      <c r="D11" s="74" t="s">
        <v>647</v>
      </c>
      <c r="E11" s="36"/>
      <c r="F11" s="74"/>
      <c r="G11" s="74" t="s">
        <v>692</v>
      </c>
      <c r="H11" s="36"/>
      <c r="I11" s="36" t="s">
        <v>654</v>
      </c>
      <c r="J11" s="36"/>
      <c r="K11" s="36"/>
      <c r="L11" s="36"/>
      <c r="M11" s="36"/>
      <c r="N11" s="36"/>
      <c r="O11" s="36"/>
      <c r="P11" s="36"/>
      <c r="Q11" s="36"/>
      <c r="R11" s="36"/>
      <c r="S11" s="36"/>
      <c r="T11" s="36"/>
      <c r="U11" s="36"/>
    </row>
    <row r="12" spans="1:21">
      <c r="A12" s="74" t="s">
        <v>250</v>
      </c>
      <c r="B12" s="36">
        <v>208981</v>
      </c>
      <c r="C12" s="36">
        <v>39990</v>
      </c>
      <c r="D12" s="74" t="s">
        <v>647</v>
      </c>
      <c r="E12" s="36"/>
      <c r="F12" s="74"/>
      <c r="G12" s="74" t="s">
        <v>692</v>
      </c>
      <c r="H12" s="36"/>
      <c r="I12" s="36" t="s">
        <v>654</v>
      </c>
      <c r="J12" s="36"/>
      <c r="K12" s="36"/>
      <c r="L12" s="36"/>
      <c r="M12" s="36"/>
      <c r="N12" s="36"/>
      <c r="O12" s="36"/>
      <c r="P12" s="36"/>
      <c r="Q12" s="36"/>
      <c r="R12" s="36"/>
      <c r="S12" s="36"/>
      <c r="T12" s="36"/>
      <c r="U12" s="36"/>
    </row>
    <row r="13" spans="1:21">
      <c r="A13" s="74" t="s">
        <v>250</v>
      </c>
      <c r="B13" s="36">
        <v>208982</v>
      </c>
      <c r="C13" s="36">
        <v>39990</v>
      </c>
      <c r="D13" s="74" t="s">
        <v>647</v>
      </c>
      <c r="E13" s="36"/>
      <c r="F13" s="74"/>
      <c r="G13" s="74" t="s">
        <v>692</v>
      </c>
      <c r="H13" s="36"/>
      <c r="I13" s="36" t="s">
        <v>654</v>
      </c>
      <c r="J13" s="36"/>
      <c r="K13" s="36"/>
      <c r="L13" s="36"/>
      <c r="M13" s="36"/>
      <c r="N13" s="36"/>
      <c r="O13" s="36"/>
      <c r="P13" s="36"/>
      <c r="Q13" s="36"/>
      <c r="R13" s="36"/>
      <c r="S13" s="36"/>
      <c r="T13" s="36"/>
      <c r="U13" s="36"/>
    </row>
    <row r="14" spans="1:21">
      <c r="A14" s="74" t="s">
        <v>250</v>
      </c>
      <c r="B14" s="36">
        <v>208979</v>
      </c>
      <c r="C14" s="36">
        <v>39990</v>
      </c>
      <c r="D14" s="74" t="s">
        <v>647</v>
      </c>
      <c r="E14" s="36"/>
      <c r="F14" s="74"/>
      <c r="G14" s="74" t="s">
        <v>692</v>
      </c>
      <c r="H14" s="36"/>
      <c r="I14" s="36" t="s">
        <v>654</v>
      </c>
      <c r="J14" s="36"/>
      <c r="K14" s="36"/>
      <c r="L14" s="36"/>
      <c r="M14" s="36"/>
      <c r="N14" s="36"/>
      <c r="O14" s="36"/>
      <c r="P14" s="36"/>
      <c r="Q14" s="36"/>
      <c r="R14" s="36"/>
      <c r="S14" s="36"/>
      <c r="T14" s="36"/>
      <c r="U14" s="36"/>
    </row>
    <row r="15" spans="1:21">
      <c r="A15" s="74" t="s">
        <v>250</v>
      </c>
      <c r="B15" s="36">
        <v>208977</v>
      </c>
      <c r="C15" s="36">
        <v>39990</v>
      </c>
      <c r="D15" s="74" t="s">
        <v>647</v>
      </c>
      <c r="E15" s="36"/>
      <c r="F15" s="74"/>
      <c r="G15" s="74" t="s">
        <v>692</v>
      </c>
      <c r="H15" s="36"/>
      <c r="I15" s="36" t="s">
        <v>654</v>
      </c>
      <c r="J15" s="36"/>
      <c r="K15" s="36"/>
      <c r="L15" s="36"/>
      <c r="M15" s="36"/>
      <c r="N15" s="36"/>
      <c r="O15" s="36"/>
      <c r="P15" s="36"/>
      <c r="Q15" s="36"/>
      <c r="R15" s="36"/>
      <c r="S15" s="36"/>
      <c r="T15" s="36"/>
      <c r="U15" s="36"/>
    </row>
    <row r="16" spans="1:21">
      <c r="A16" s="74" t="s">
        <v>250</v>
      </c>
      <c r="B16" s="36">
        <v>209000</v>
      </c>
      <c r="C16" s="36">
        <v>39990</v>
      </c>
      <c r="D16" s="74" t="s">
        <v>647</v>
      </c>
      <c r="E16" s="36"/>
      <c r="F16" s="74"/>
      <c r="G16" s="74" t="s">
        <v>692</v>
      </c>
      <c r="H16" s="36"/>
      <c r="I16" s="36" t="s">
        <v>654</v>
      </c>
      <c r="J16" s="36"/>
      <c r="K16" s="36"/>
      <c r="L16" s="36"/>
      <c r="M16" s="36"/>
      <c r="N16" s="36"/>
      <c r="O16" s="36"/>
      <c r="P16" s="36"/>
      <c r="Q16" s="36"/>
      <c r="R16" s="36"/>
      <c r="S16" s="36"/>
      <c r="T16" s="36"/>
      <c r="U16" s="36"/>
    </row>
    <row r="17" spans="1:21">
      <c r="A17" s="74" t="s">
        <v>250</v>
      </c>
      <c r="B17" s="36">
        <v>208999</v>
      </c>
      <c r="C17" s="36">
        <v>39990</v>
      </c>
      <c r="D17" s="74" t="s">
        <v>647</v>
      </c>
      <c r="E17" s="36"/>
      <c r="F17" s="74"/>
      <c r="G17" s="74" t="s">
        <v>692</v>
      </c>
      <c r="H17" s="36"/>
      <c r="I17" s="36" t="s">
        <v>654</v>
      </c>
      <c r="J17" s="36"/>
      <c r="K17" s="36"/>
      <c r="L17" s="36"/>
      <c r="M17" s="36"/>
      <c r="N17" s="36"/>
      <c r="O17" s="36"/>
      <c r="P17" s="36"/>
      <c r="Q17" s="36"/>
      <c r="R17" s="36"/>
      <c r="S17" s="36"/>
      <c r="T17" s="36"/>
      <c r="U17" s="36"/>
    </row>
    <row r="18" spans="1:21">
      <c r="A18" s="74" t="s">
        <v>250</v>
      </c>
      <c r="B18" s="36">
        <v>208998</v>
      </c>
      <c r="C18" s="36">
        <v>39990</v>
      </c>
      <c r="D18" s="74" t="s">
        <v>647</v>
      </c>
      <c r="E18" s="36"/>
      <c r="F18" s="74"/>
      <c r="G18" s="74" t="s">
        <v>692</v>
      </c>
      <c r="H18" s="36"/>
      <c r="I18" s="36" t="s">
        <v>654</v>
      </c>
      <c r="J18" s="36"/>
      <c r="K18" s="36"/>
      <c r="L18" s="36"/>
      <c r="M18" s="36"/>
      <c r="N18" s="36"/>
      <c r="O18" s="36"/>
      <c r="P18" s="36"/>
      <c r="Q18" s="36"/>
      <c r="R18" s="36"/>
      <c r="S18" s="36"/>
      <c r="T18" s="36"/>
      <c r="U18" s="36"/>
    </row>
    <row r="19" spans="1:21">
      <c r="A19" s="74" t="s">
        <v>250</v>
      </c>
      <c r="B19" s="36">
        <v>208991</v>
      </c>
      <c r="C19" s="36">
        <v>39990</v>
      </c>
      <c r="D19" s="74" t="s">
        <v>647</v>
      </c>
      <c r="E19" s="36"/>
      <c r="F19" s="74"/>
      <c r="G19" s="74" t="s">
        <v>692</v>
      </c>
      <c r="H19" s="36"/>
      <c r="I19" s="36" t="s">
        <v>654</v>
      </c>
      <c r="J19" s="36"/>
      <c r="K19" s="36"/>
      <c r="L19" s="36"/>
      <c r="M19" s="36"/>
      <c r="N19" s="36"/>
      <c r="O19" s="36"/>
      <c r="P19" s="36"/>
      <c r="Q19" s="36"/>
      <c r="R19" s="36"/>
      <c r="S19" s="36"/>
      <c r="T19" s="36"/>
      <c r="U19" s="36"/>
    </row>
    <row r="20" spans="1:21">
      <c r="A20" s="74" t="s">
        <v>250</v>
      </c>
      <c r="B20" s="36">
        <v>208997</v>
      </c>
      <c r="C20" s="36">
        <v>39990</v>
      </c>
      <c r="D20" s="74" t="s">
        <v>647</v>
      </c>
      <c r="E20" s="36"/>
      <c r="F20" s="74"/>
      <c r="G20" s="74" t="s">
        <v>692</v>
      </c>
      <c r="H20" s="36"/>
      <c r="I20" s="36" t="s">
        <v>654</v>
      </c>
      <c r="J20" s="36"/>
      <c r="K20" s="36"/>
      <c r="L20" s="36"/>
      <c r="M20" s="36"/>
      <c r="N20" s="36"/>
      <c r="O20" s="36"/>
      <c r="P20" s="36"/>
      <c r="Q20" s="36"/>
      <c r="R20" s="36"/>
      <c r="S20" s="36"/>
      <c r="T20" s="36"/>
      <c r="U20" s="36"/>
    </row>
    <row r="21" spans="1:21">
      <c r="A21" s="74" t="s">
        <v>250</v>
      </c>
      <c r="B21" s="36">
        <v>208996</v>
      </c>
      <c r="C21" s="36">
        <v>39990</v>
      </c>
      <c r="D21" s="74" t="s">
        <v>647</v>
      </c>
      <c r="E21" s="36"/>
      <c r="F21" s="74"/>
      <c r="G21" s="74" t="s">
        <v>692</v>
      </c>
      <c r="H21" s="36"/>
      <c r="I21" s="36" t="s">
        <v>654</v>
      </c>
      <c r="J21" s="36"/>
      <c r="K21" s="36"/>
      <c r="L21" s="36"/>
      <c r="M21" s="36"/>
      <c r="N21" s="36"/>
      <c r="O21" s="36"/>
      <c r="P21" s="36"/>
      <c r="Q21" s="36"/>
      <c r="R21" s="36"/>
      <c r="S21" s="36"/>
      <c r="T21" s="36"/>
      <c r="U21" s="36"/>
    </row>
    <row r="22" spans="1:21">
      <c r="A22" s="74" t="s">
        <v>250</v>
      </c>
      <c r="B22" s="36">
        <v>208993</v>
      </c>
      <c r="C22" s="36">
        <v>39990</v>
      </c>
      <c r="D22" s="74" t="s">
        <v>647</v>
      </c>
      <c r="E22" s="36"/>
      <c r="F22" s="74"/>
      <c r="G22" s="74" t="s">
        <v>692</v>
      </c>
      <c r="H22" s="36"/>
      <c r="I22" s="36" t="s">
        <v>654</v>
      </c>
      <c r="J22" s="36"/>
      <c r="K22" s="36"/>
      <c r="L22" s="36"/>
      <c r="M22" s="36"/>
      <c r="N22" s="36"/>
      <c r="O22" s="36"/>
      <c r="P22" s="36"/>
      <c r="Q22" s="36"/>
      <c r="R22" s="36"/>
      <c r="S22" s="36"/>
      <c r="T22" s="36"/>
      <c r="U22" s="36"/>
    </row>
    <row r="23" spans="1:21">
      <c r="A23" s="74" t="s">
        <v>250</v>
      </c>
      <c r="B23" s="36">
        <v>208989</v>
      </c>
      <c r="C23" s="36">
        <v>39990</v>
      </c>
      <c r="D23" s="74" t="s">
        <v>647</v>
      </c>
      <c r="E23" s="36"/>
      <c r="F23" s="74"/>
      <c r="G23" s="74" t="s">
        <v>692</v>
      </c>
      <c r="H23" s="36"/>
      <c r="I23" s="36" t="s">
        <v>654</v>
      </c>
      <c r="J23" s="36"/>
      <c r="K23" s="36"/>
      <c r="L23" s="36"/>
      <c r="M23" s="36"/>
      <c r="N23" s="36"/>
      <c r="O23" s="36"/>
      <c r="P23" s="36"/>
      <c r="Q23" s="36"/>
      <c r="R23" s="36"/>
      <c r="S23" s="36"/>
      <c r="T23" s="36"/>
      <c r="U23" s="36"/>
    </row>
    <row r="24" spans="1:21">
      <c r="A24" s="74" t="s">
        <v>250</v>
      </c>
      <c r="B24" s="36">
        <v>208994</v>
      </c>
      <c r="C24" s="36">
        <v>39990</v>
      </c>
      <c r="D24" s="74" t="s">
        <v>647</v>
      </c>
      <c r="E24" s="36"/>
      <c r="F24" s="74"/>
      <c r="G24" s="74" t="s">
        <v>692</v>
      </c>
      <c r="H24" s="36"/>
      <c r="I24" s="36" t="s">
        <v>654</v>
      </c>
      <c r="J24" s="36"/>
      <c r="K24" s="36"/>
      <c r="L24" s="36"/>
      <c r="M24" s="36"/>
      <c r="N24" s="36"/>
      <c r="O24" s="36"/>
      <c r="P24" s="36"/>
      <c r="Q24" s="36"/>
      <c r="R24" s="36"/>
      <c r="S24" s="36"/>
      <c r="T24" s="36"/>
      <c r="U24" s="36"/>
    </row>
    <row r="25" spans="1:21">
      <c r="A25" s="74" t="s">
        <v>250</v>
      </c>
      <c r="B25" s="36">
        <v>208995</v>
      </c>
      <c r="C25" s="36">
        <v>39990</v>
      </c>
      <c r="D25" s="74" t="s">
        <v>647</v>
      </c>
      <c r="E25" s="36"/>
      <c r="F25" s="74"/>
      <c r="G25" s="74" t="s">
        <v>692</v>
      </c>
      <c r="H25" s="36"/>
      <c r="I25" s="36" t="s">
        <v>654</v>
      </c>
      <c r="J25" s="36"/>
      <c r="K25" s="36"/>
      <c r="L25" s="36"/>
      <c r="M25" s="36"/>
      <c r="N25" s="36"/>
      <c r="O25" s="36"/>
      <c r="P25" s="36"/>
      <c r="Q25" s="36"/>
      <c r="R25" s="36"/>
      <c r="S25" s="36"/>
      <c r="T25" s="36"/>
      <c r="U25" s="36"/>
    </row>
    <row r="26" spans="1:21">
      <c r="A26" s="74" t="s">
        <v>250</v>
      </c>
      <c r="B26" s="36">
        <v>208992</v>
      </c>
      <c r="C26" s="36">
        <v>39990</v>
      </c>
      <c r="D26" s="74" t="s">
        <v>647</v>
      </c>
      <c r="E26" s="36"/>
      <c r="F26" s="74"/>
      <c r="G26" s="74" t="s">
        <v>692</v>
      </c>
      <c r="H26" s="36"/>
      <c r="I26" s="36" t="s">
        <v>654</v>
      </c>
      <c r="J26" s="36"/>
      <c r="K26" s="36"/>
      <c r="L26" s="36"/>
      <c r="M26" s="36"/>
      <c r="N26" s="36"/>
      <c r="O26" s="36"/>
      <c r="P26" s="36"/>
      <c r="Q26" s="36"/>
      <c r="R26" s="36"/>
      <c r="S26" s="36"/>
      <c r="T26" s="36"/>
      <c r="U26" s="36"/>
    </row>
    <row r="27" spans="1:21">
      <c r="A27" s="74" t="s">
        <v>250</v>
      </c>
      <c r="B27" s="36">
        <v>208990</v>
      </c>
      <c r="C27" s="36">
        <v>39990</v>
      </c>
      <c r="D27" s="74" t="s">
        <v>647</v>
      </c>
      <c r="E27" s="36"/>
      <c r="F27" s="74"/>
      <c r="G27" s="74" t="s">
        <v>692</v>
      </c>
      <c r="H27" s="36"/>
      <c r="I27" s="36" t="s">
        <v>654</v>
      </c>
      <c r="J27" s="36"/>
      <c r="K27" s="36"/>
      <c r="L27" s="36"/>
      <c r="M27" s="36"/>
      <c r="N27" s="36"/>
      <c r="O27" s="36"/>
      <c r="P27" s="36"/>
      <c r="Q27" s="36"/>
      <c r="R27" s="36"/>
      <c r="S27" s="36"/>
      <c r="T27" s="36"/>
      <c r="U27" s="36"/>
    </row>
    <row r="28" spans="1:21">
      <c r="A28" s="74" t="s">
        <v>250</v>
      </c>
      <c r="B28" s="36">
        <v>132643</v>
      </c>
      <c r="C28" s="36"/>
      <c r="D28" s="74"/>
      <c r="E28" s="36"/>
      <c r="F28" s="74"/>
      <c r="G28" s="74" t="s">
        <v>661</v>
      </c>
      <c r="H28" s="36"/>
      <c r="I28" s="36" t="s">
        <v>654</v>
      </c>
      <c r="J28" s="36"/>
      <c r="K28" s="36"/>
      <c r="L28" s="36"/>
      <c r="M28" s="36"/>
      <c r="N28" s="36"/>
      <c r="O28" s="36"/>
      <c r="P28" s="36"/>
      <c r="Q28" s="36"/>
      <c r="R28" s="36"/>
      <c r="S28" s="36"/>
      <c r="T28" s="36"/>
      <c r="U28" s="36"/>
    </row>
    <row r="29" spans="1:21">
      <c r="A29" s="74" t="s">
        <v>250</v>
      </c>
      <c r="B29" s="36">
        <v>132642</v>
      </c>
      <c r="C29" s="36"/>
      <c r="D29" s="74"/>
      <c r="E29" s="36"/>
      <c r="F29" s="74"/>
      <c r="G29" s="74" t="s">
        <v>661</v>
      </c>
      <c r="H29" s="36"/>
      <c r="I29" s="36" t="s">
        <v>654</v>
      </c>
      <c r="J29" s="36"/>
      <c r="K29" s="36"/>
      <c r="L29" s="36"/>
      <c r="M29" s="36"/>
      <c r="N29" s="36"/>
      <c r="O29" s="36"/>
      <c r="P29" s="36"/>
      <c r="Q29" s="36"/>
      <c r="R29" s="36"/>
      <c r="S29" s="36"/>
      <c r="T29" s="36"/>
      <c r="U29" s="36"/>
    </row>
    <row r="30" spans="1:21">
      <c r="A30" s="74" t="s">
        <v>250</v>
      </c>
      <c r="B30" s="36">
        <v>132641</v>
      </c>
      <c r="C30" s="36"/>
      <c r="D30" s="74"/>
      <c r="E30" s="36"/>
      <c r="F30" s="74"/>
      <c r="G30" s="74" t="s">
        <v>661</v>
      </c>
      <c r="H30" s="36"/>
      <c r="I30" s="36" t="s">
        <v>654</v>
      </c>
      <c r="J30" s="36"/>
      <c r="K30" s="36"/>
      <c r="L30" s="36"/>
      <c r="M30" s="36"/>
      <c r="N30" s="36"/>
      <c r="O30" s="36"/>
      <c r="P30" s="36"/>
      <c r="Q30" s="36"/>
      <c r="R30" s="36"/>
      <c r="S30" s="36"/>
      <c r="T30" s="36"/>
      <c r="U30" s="36"/>
    </row>
    <row r="31" spans="1:21">
      <c r="A31" s="74" t="s">
        <v>250</v>
      </c>
      <c r="B31" s="36">
        <v>132634</v>
      </c>
      <c r="C31" s="36"/>
      <c r="D31" s="74"/>
      <c r="E31" s="36"/>
      <c r="F31" s="74"/>
      <c r="G31" s="74" t="s">
        <v>661</v>
      </c>
      <c r="H31" s="36"/>
      <c r="I31" s="36" t="s">
        <v>654</v>
      </c>
      <c r="J31" s="36"/>
      <c r="K31" s="36"/>
      <c r="L31" s="36"/>
      <c r="M31" s="36"/>
      <c r="N31" s="36"/>
      <c r="O31" s="36"/>
      <c r="P31" s="36"/>
      <c r="Q31" s="36"/>
      <c r="R31" s="36"/>
      <c r="S31" s="36"/>
      <c r="T31" s="36"/>
      <c r="U31" s="36"/>
    </row>
    <row r="32" spans="1:21">
      <c r="A32" s="74" t="s">
        <v>250</v>
      </c>
      <c r="B32" s="36">
        <v>132640</v>
      </c>
      <c r="C32" s="36"/>
      <c r="D32" s="74"/>
      <c r="E32" s="36"/>
      <c r="F32" s="74"/>
      <c r="G32" s="74" t="s">
        <v>661</v>
      </c>
      <c r="H32" s="36"/>
      <c r="I32" s="36" t="s">
        <v>654</v>
      </c>
      <c r="J32" s="36"/>
      <c r="K32" s="36"/>
      <c r="L32" s="36"/>
      <c r="M32" s="36"/>
      <c r="N32" s="36"/>
      <c r="O32" s="36"/>
      <c r="P32" s="36"/>
      <c r="Q32" s="36"/>
      <c r="R32" s="36"/>
      <c r="S32" s="36"/>
      <c r="T32" s="36"/>
      <c r="U32" s="36"/>
    </row>
    <row r="33" spans="1:21">
      <c r="A33" s="74" t="s">
        <v>250</v>
      </c>
      <c r="B33" s="36">
        <v>132639</v>
      </c>
      <c r="C33" s="36"/>
      <c r="D33" s="74"/>
      <c r="E33" s="36"/>
      <c r="F33" s="74"/>
      <c r="G33" s="74" t="s">
        <v>661</v>
      </c>
      <c r="H33" s="36"/>
      <c r="I33" s="36" t="s">
        <v>654</v>
      </c>
      <c r="J33" s="36"/>
      <c r="K33" s="36"/>
      <c r="L33" s="36"/>
      <c r="M33" s="36"/>
      <c r="N33" s="36"/>
      <c r="O33" s="36"/>
      <c r="P33" s="36"/>
      <c r="Q33" s="36"/>
      <c r="R33" s="36"/>
      <c r="S33" s="36"/>
      <c r="T33" s="36"/>
      <c r="U33" s="36"/>
    </row>
    <row r="34" spans="1:21">
      <c r="A34" s="74" t="s">
        <v>250</v>
      </c>
      <c r="B34" s="36">
        <v>132636</v>
      </c>
      <c r="C34" s="36"/>
      <c r="D34" s="74"/>
      <c r="E34" s="36"/>
      <c r="F34" s="74"/>
      <c r="G34" s="74" t="s">
        <v>661</v>
      </c>
      <c r="H34" s="36"/>
      <c r="I34" s="36" t="s">
        <v>654</v>
      </c>
      <c r="J34" s="36"/>
      <c r="K34" s="36"/>
      <c r="L34" s="36"/>
      <c r="M34" s="36"/>
      <c r="N34" s="36"/>
      <c r="O34" s="36"/>
      <c r="P34" s="36"/>
      <c r="Q34" s="36"/>
      <c r="R34" s="36"/>
      <c r="S34" s="36"/>
      <c r="T34" s="36"/>
      <c r="U34" s="36"/>
    </row>
    <row r="35" spans="1:21">
      <c r="A35" s="74" t="s">
        <v>250</v>
      </c>
      <c r="B35" s="36">
        <v>132632</v>
      </c>
      <c r="C35" s="36"/>
      <c r="D35" s="74"/>
      <c r="E35" s="36"/>
      <c r="F35" s="74"/>
      <c r="G35" s="74" t="s">
        <v>661</v>
      </c>
      <c r="H35" s="36"/>
      <c r="I35" s="36" t="s">
        <v>654</v>
      </c>
      <c r="J35" s="36"/>
      <c r="K35" s="36"/>
      <c r="L35" s="36"/>
      <c r="M35" s="36"/>
      <c r="N35" s="36"/>
      <c r="O35" s="36"/>
      <c r="P35" s="36"/>
      <c r="Q35" s="36"/>
      <c r="R35" s="36"/>
      <c r="S35" s="36"/>
      <c r="T35" s="36"/>
      <c r="U35" s="36"/>
    </row>
    <row r="36" spans="1:21">
      <c r="A36" s="74" t="s">
        <v>250</v>
      </c>
      <c r="B36" s="36">
        <v>132637</v>
      </c>
      <c r="C36" s="36"/>
      <c r="D36" s="74"/>
      <c r="E36" s="36"/>
      <c r="F36" s="74"/>
      <c r="G36" s="74" t="s">
        <v>661</v>
      </c>
      <c r="H36" s="36"/>
      <c r="I36" s="36" t="s">
        <v>654</v>
      </c>
      <c r="J36" s="36"/>
      <c r="K36" s="36"/>
      <c r="L36" s="36"/>
      <c r="M36" s="36"/>
      <c r="N36" s="36"/>
      <c r="O36" s="36"/>
      <c r="P36" s="36"/>
      <c r="Q36" s="36"/>
      <c r="R36" s="36"/>
      <c r="S36" s="36"/>
      <c r="T36" s="36"/>
      <c r="U36" s="36"/>
    </row>
    <row r="37" spans="1:21">
      <c r="A37" s="74" t="s">
        <v>250</v>
      </c>
      <c r="B37" s="36">
        <v>132638</v>
      </c>
      <c r="C37" s="36"/>
      <c r="D37" s="74"/>
      <c r="E37" s="36"/>
      <c r="F37" s="74"/>
      <c r="G37" s="74" t="s">
        <v>661</v>
      </c>
      <c r="H37" s="36"/>
      <c r="I37" s="36" t="s">
        <v>654</v>
      </c>
      <c r="J37" s="36"/>
      <c r="K37" s="36"/>
      <c r="L37" s="36"/>
      <c r="M37" s="36"/>
      <c r="N37" s="36"/>
      <c r="O37" s="36"/>
      <c r="P37" s="36"/>
      <c r="Q37" s="36"/>
      <c r="R37" s="36"/>
      <c r="S37" s="36"/>
      <c r="T37" s="36"/>
      <c r="U37" s="36"/>
    </row>
    <row r="38" spans="1:21">
      <c r="A38" s="74" t="s">
        <v>250</v>
      </c>
      <c r="B38" s="36">
        <v>132635</v>
      </c>
      <c r="C38" s="36"/>
      <c r="D38" s="74"/>
      <c r="E38" s="36"/>
      <c r="F38" s="74"/>
      <c r="G38" s="74" t="s">
        <v>661</v>
      </c>
      <c r="H38" s="36"/>
      <c r="I38" s="36" t="s">
        <v>654</v>
      </c>
      <c r="J38" s="36"/>
      <c r="K38" s="36"/>
      <c r="L38" s="36"/>
      <c r="M38" s="36"/>
      <c r="N38" s="36"/>
      <c r="O38" s="36"/>
      <c r="P38" s="36"/>
      <c r="Q38" s="36"/>
      <c r="R38" s="36"/>
      <c r="S38" s="36"/>
      <c r="T38" s="36"/>
      <c r="U38" s="36"/>
    </row>
    <row r="39" spans="1:21">
      <c r="A39" s="74" t="s">
        <v>250</v>
      </c>
      <c r="B39" s="36">
        <v>132633</v>
      </c>
      <c r="C39" s="36"/>
      <c r="D39" s="74"/>
      <c r="E39" s="36"/>
      <c r="F39" s="74"/>
      <c r="G39" s="74" t="s">
        <v>661</v>
      </c>
      <c r="H39" s="36"/>
      <c r="I39" s="36" t="s">
        <v>654</v>
      </c>
      <c r="J39" s="36"/>
      <c r="K39" s="36"/>
      <c r="L39" s="36"/>
      <c r="M39" s="36"/>
      <c r="N39" s="36"/>
      <c r="O39" s="36"/>
      <c r="P39" s="36"/>
      <c r="Q39" s="36"/>
      <c r="R39" s="36"/>
      <c r="S39" s="36"/>
      <c r="T39" s="36"/>
      <c r="U39" s="36"/>
    </row>
    <row r="40" spans="1:21">
      <c r="A40" s="74" t="s">
        <v>250</v>
      </c>
      <c r="B40" s="36">
        <v>209014</v>
      </c>
      <c r="C40" s="36">
        <v>39990</v>
      </c>
      <c r="D40" s="74" t="s">
        <v>646</v>
      </c>
      <c r="E40" s="36"/>
      <c r="F40" s="74"/>
      <c r="G40" s="74" t="s">
        <v>692</v>
      </c>
      <c r="H40" s="36"/>
      <c r="I40" s="36" t="s">
        <v>654</v>
      </c>
      <c r="J40" s="36"/>
      <c r="K40" s="36"/>
      <c r="L40" s="36"/>
      <c r="M40" s="36"/>
      <c r="N40" s="36"/>
      <c r="O40" s="36"/>
      <c r="P40" s="36"/>
      <c r="Q40" s="36"/>
      <c r="R40" s="36"/>
      <c r="S40" s="36"/>
      <c r="T40" s="36"/>
      <c r="U40" s="36"/>
    </row>
    <row r="41" spans="1:21">
      <c r="A41" s="74" t="s">
        <v>250</v>
      </c>
      <c r="B41" s="36">
        <v>209013</v>
      </c>
      <c r="C41" s="36">
        <v>39990</v>
      </c>
      <c r="D41" s="74" t="s">
        <v>646</v>
      </c>
      <c r="E41" s="36"/>
      <c r="F41" s="74"/>
      <c r="G41" s="74" t="s">
        <v>692</v>
      </c>
      <c r="H41" s="36"/>
      <c r="I41" s="36" t="s">
        <v>654</v>
      </c>
      <c r="J41" s="36"/>
      <c r="K41" s="36"/>
      <c r="L41" s="36"/>
      <c r="M41" s="36"/>
      <c r="N41" s="36"/>
      <c r="O41" s="36"/>
      <c r="P41" s="36"/>
      <c r="Q41" s="36"/>
      <c r="R41" s="36"/>
      <c r="S41" s="36"/>
      <c r="T41" s="36"/>
      <c r="U41" s="36"/>
    </row>
    <row r="42" spans="1:21">
      <c r="A42" s="74" t="s">
        <v>250</v>
      </c>
      <c r="B42" s="36">
        <v>209012</v>
      </c>
      <c r="C42" s="36">
        <v>39990</v>
      </c>
      <c r="D42" s="74" t="s">
        <v>646</v>
      </c>
      <c r="E42" s="36"/>
      <c r="F42" s="74"/>
      <c r="G42" s="74" t="s">
        <v>692</v>
      </c>
      <c r="H42" s="36"/>
      <c r="I42" s="36" t="s">
        <v>654</v>
      </c>
      <c r="J42" s="36"/>
      <c r="K42" s="36"/>
      <c r="L42" s="36"/>
      <c r="M42" s="36"/>
      <c r="N42" s="36"/>
      <c r="O42" s="36"/>
      <c r="P42" s="36"/>
      <c r="Q42" s="36"/>
      <c r="R42" s="36"/>
      <c r="S42" s="36"/>
      <c r="T42" s="36"/>
      <c r="U42" s="36"/>
    </row>
    <row r="43" spans="1:21">
      <c r="A43" s="74" t="s">
        <v>250</v>
      </c>
      <c r="B43" s="36">
        <v>209005</v>
      </c>
      <c r="C43" s="36">
        <v>39990</v>
      </c>
      <c r="D43" s="74" t="s">
        <v>646</v>
      </c>
      <c r="E43" s="36"/>
      <c r="F43" s="74"/>
      <c r="G43" s="74" t="s">
        <v>692</v>
      </c>
      <c r="H43" s="36"/>
      <c r="I43" s="36" t="s">
        <v>654</v>
      </c>
      <c r="J43" s="36"/>
      <c r="K43" s="36"/>
      <c r="L43" s="36"/>
      <c r="M43" s="36"/>
      <c r="N43" s="36"/>
      <c r="O43" s="36"/>
      <c r="P43" s="36"/>
      <c r="Q43" s="36"/>
      <c r="R43" s="36"/>
      <c r="S43" s="36"/>
      <c r="T43" s="36"/>
      <c r="U43" s="36"/>
    </row>
    <row r="44" spans="1:21">
      <c r="A44" s="74" t="s">
        <v>250</v>
      </c>
      <c r="B44" s="36">
        <v>209011</v>
      </c>
      <c r="C44" s="36">
        <v>39990</v>
      </c>
      <c r="D44" s="74" t="s">
        <v>646</v>
      </c>
      <c r="E44" s="36"/>
      <c r="F44" s="74"/>
      <c r="G44" s="74" t="s">
        <v>692</v>
      </c>
      <c r="H44" s="36"/>
      <c r="I44" s="36" t="s">
        <v>654</v>
      </c>
      <c r="J44" s="36"/>
      <c r="K44" s="36"/>
      <c r="L44" s="36"/>
      <c r="M44" s="36"/>
      <c r="N44" s="36"/>
      <c r="O44" s="36"/>
      <c r="P44" s="36"/>
      <c r="Q44" s="36"/>
      <c r="R44" s="36"/>
      <c r="S44" s="36"/>
      <c r="T44" s="36"/>
      <c r="U44" s="36"/>
    </row>
    <row r="45" spans="1:21">
      <c r="A45" s="74" t="s">
        <v>250</v>
      </c>
      <c r="B45" s="36">
        <v>209010</v>
      </c>
      <c r="C45" s="36">
        <v>39990</v>
      </c>
      <c r="D45" s="74" t="s">
        <v>646</v>
      </c>
      <c r="E45" s="36"/>
      <c r="F45" s="74"/>
      <c r="G45" s="74" t="s">
        <v>692</v>
      </c>
      <c r="H45" s="36"/>
      <c r="I45" s="36" t="s">
        <v>654</v>
      </c>
      <c r="J45" s="36"/>
      <c r="K45" s="36"/>
      <c r="L45" s="36"/>
      <c r="M45" s="36"/>
      <c r="N45" s="36"/>
      <c r="O45" s="36"/>
      <c r="P45" s="36"/>
      <c r="Q45" s="36"/>
      <c r="R45" s="36"/>
      <c r="S45" s="36"/>
      <c r="T45" s="36"/>
      <c r="U45" s="36"/>
    </row>
    <row r="46" spans="1:21">
      <c r="A46" s="74" t="s">
        <v>250</v>
      </c>
      <c r="B46" s="36">
        <v>209007</v>
      </c>
      <c r="C46" s="36">
        <v>39990</v>
      </c>
      <c r="D46" s="74" t="s">
        <v>646</v>
      </c>
      <c r="E46" s="36"/>
      <c r="F46" s="74"/>
      <c r="G46" s="74" t="s">
        <v>692</v>
      </c>
      <c r="H46" s="36"/>
      <c r="I46" s="36" t="s">
        <v>654</v>
      </c>
      <c r="J46" s="36"/>
      <c r="K46" s="36"/>
      <c r="L46" s="36"/>
      <c r="M46" s="36"/>
      <c r="N46" s="36"/>
      <c r="O46" s="36"/>
      <c r="P46" s="36"/>
      <c r="Q46" s="36"/>
      <c r="R46" s="36"/>
      <c r="S46" s="36"/>
      <c r="T46" s="36"/>
      <c r="U46" s="36"/>
    </row>
    <row r="47" spans="1:21">
      <c r="A47" s="74" t="s">
        <v>250</v>
      </c>
      <c r="B47" s="36">
        <v>209003</v>
      </c>
      <c r="C47" s="36">
        <v>39990</v>
      </c>
      <c r="D47" s="74" t="s">
        <v>646</v>
      </c>
      <c r="E47" s="36"/>
      <c r="F47" s="74"/>
      <c r="G47" s="74" t="s">
        <v>692</v>
      </c>
      <c r="H47" s="36"/>
      <c r="I47" s="36" t="s">
        <v>654</v>
      </c>
      <c r="J47" s="36"/>
      <c r="K47" s="36"/>
      <c r="L47" s="36"/>
      <c r="M47" s="36"/>
      <c r="N47" s="36"/>
      <c r="O47" s="36"/>
      <c r="P47" s="36"/>
      <c r="Q47" s="36"/>
      <c r="R47" s="36"/>
      <c r="S47" s="36"/>
      <c r="T47" s="36"/>
      <c r="U47" s="36"/>
    </row>
    <row r="48" spans="1:21">
      <c r="A48" s="74" t="s">
        <v>250</v>
      </c>
      <c r="B48" s="36">
        <v>209008</v>
      </c>
      <c r="C48" s="36">
        <v>39990</v>
      </c>
      <c r="D48" s="74" t="s">
        <v>646</v>
      </c>
      <c r="E48" s="36"/>
      <c r="F48" s="74"/>
      <c r="G48" s="74" t="s">
        <v>692</v>
      </c>
      <c r="H48" s="36"/>
      <c r="I48" s="36" t="s">
        <v>654</v>
      </c>
      <c r="J48" s="36"/>
      <c r="K48" s="36"/>
      <c r="L48" s="36"/>
      <c r="M48" s="36"/>
      <c r="N48" s="36"/>
      <c r="O48" s="36"/>
      <c r="P48" s="36"/>
      <c r="Q48" s="36"/>
      <c r="R48" s="36"/>
      <c r="S48" s="36"/>
      <c r="T48" s="36"/>
      <c r="U48" s="36"/>
    </row>
    <row r="49" spans="1:21">
      <c r="A49" s="74" t="s">
        <v>250</v>
      </c>
      <c r="B49" s="36">
        <v>209009</v>
      </c>
      <c r="C49" s="36">
        <v>39990</v>
      </c>
      <c r="D49" s="74" t="s">
        <v>646</v>
      </c>
      <c r="E49" s="36"/>
      <c r="F49" s="74"/>
      <c r="G49" s="74" t="s">
        <v>692</v>
      </c>
      <c r="H49" s="36"/>
      <c r="I49" s="36" t="s">
        <v>654</v>
      </c>
      <c r="J49" s="36"/>
      <c r="K49" s="36"/>
      <c r="L49" s="36"/>
      <c r="M49" s="36"/>
      <c r="N49" s="36"/>
      <c r="O49" s="36"/>
      <c r="P49" s="36"/>
      <c r="Q49" s="36"/>
      <c r="R49" s="36"/>
      <c r="S49" s="36"/>
      <c r="T49" s="36"/>
      <c r="U49" s="36"/>
    </row>
    <row r="50" spans="1:21">
      <c r="A50" s="74" t="s">
        <v>250</v>
      </c>
      <c r="B50" s="36">
        <v>209006</v>
      </c>
      <c r="C50" s="36">
        <v>39990</v>
      </c>
      <c r="D50" s="74" t="s">
        <v>646</v>
      </c>
      <c r="E50" s="36"/>
      <c r="F50" s="74"/>
      <c r="G50" s="74" t="s">
        <v>692</v>
      </c>
      <c r="H50" s="36"/>
      <c r="I50" s="36" t="s">
        <v>654</v>
      </c>
      <c r="J50" s="36"/>
      <c r="K50" s="36"/>
      <c r="L50" s="36"/>
      <c r="M50" s="36"/>
      <c r="N50" s="36"/>
      <c r="O50" s="36"/>
      <c r="P50" s="36"/>
      <c r="Q50" s="36"/>
      <c r="R50" s="36"/>
      <c r="S50" s="36"/>
      <c r="T50" s="36"/>
      <c r="U50" s="36"/>
    </row>
    <row r="51" spans="1:21">
      <c r="A51" s="74" t="s">
        <v>250</v>
      </c>
      <c r="B51" s="36">
        <v>209004</v>
      </c>
      <c r="C51" s="36">
        <v>39990</v>
      </c>
      <c r="D51" s="74" t="s">
        <v>646</v>
      </c>
      <c r="E51" s="36"/>
      <c r="F51" s="74"/>
      <c r="G51" s="74" t="s">
        <v>692</v>
      </c>
      <c r="H51" s="36"/>
      <c r="I51" s="36" t="s">
        <v>654</v>
      </c>
      <c r="J51" s="36"/>
      <c r="K51" s="36"/>
      <c r="L51" s="36"/>
      <c r="M51" s="36"/>
      <c r="N51" s="36"/>
      <c r="O51" s="36"/>
      <c r="P51" s="36"/>
      <c r="Q51" s="36"/>
      <c r="R51" s="36"/>
      <c r="S51" s="36"/>
      <c r="T51" s="36"/>
      <c r="U51" s="36"/>
    </row>
    <row r="52" spans="1:21">
      <c r="A52" s="74" t="s">
        <v>250</v>
      </c>
      <c r="B52" s="36">
        <v>209002</v>
      </c>
      <c r="C52" s="36">
        <v>39990</v>
      </c>
      <c r="D52" s="74" t="s">
        <v>646</v>
      </c>
      <c r="E52" s="36"/>
      <c r="F52" s="74"/>
      <c r="G52" s="74" t="s">
        <v>692</v>
      </c>
      <c r="H52" s="36"/>
      <c r="I52" s="36" t="s">
        <v>654</v>
      </c>
      <c r="J52" s="36"/>
      <c r="K52" s="36"/>
      <c r="L52" s="36"/>
      <c r="M52" s="36"/>
      <c r="N52" s="36"/>
      <c r="O52" s="36"/>
      <c r="P52" s="36"/>
      <c r="Q52" s="36"/>
      <c r="R52" s="36"/>
      <c r="S52" s="36"/>
      <c r="T52" s="36"/>
      <c r="U52" s="36"/>
    </row>
    <row r="53" spans="1:21">
      <c r="A53" s="74" t="s">
        <v>250</v>
      </c>
      <c r="B53" s="36">
        <v>132516</v>
      </c>
      <c r="C53" s="36"/>
      <c r="D53" s="74"/>
      <c r="E53" s="36"/>
      <c r="F53" s="74"/>
      <c r="G53" s="74" t="s">
        <v>661</v>
      </c>
      <c r="H53" s="36"/>
      <c r="I53" s="36" t="s">
        <v>654</v>
      </c>
      <c r="J53" s="36"/>
      <c r="K53" s="36"/>
      <c r="L53" s="36"/>
      <c r="M53" s="36"/>
      <c r="N53" s="36"/>
      <c r="O53" s="36"/>
      <c r="P53" s="36"/>
      <c r="Q53" s="36"/>
      <c r="R53" s="36"/>
      <c r="S53" s="36"/>
      <c r="T53" s="36"/>
      <c r="U53" s="36"/>
    </row>
    <row r="54" spans="1:21">
      <c r="A54" s="74" t="s">
        <v>250</v>
      </c>
      <c r="B54" s="36">
        <v>132515</v>
      </c>
      <c r="C54" s="36"/>
      <c r="D54" s="74"/>
      <c r="E54" s="36"/>
      <c r="F54" s="74"/>
      <c r="G54" s="74" t="s">
        <v>661</v>
      </c>
      <c r="H54" s="36"/>
      <c r="I54" s="36" t="s">
        <v>654</v>
      </c>
      <c r="J54" s="36"/>
      <c r="K54" s="36"/>
      <c r="L54" s="36"/>
      <c r="M54" s="36"/>
      <c r="N54" s="36"/>
      <c r="O54" s="36"/>
      <c r="P54" s="36"/>
      <c r="Q54" s="36"/>
      <c r="R54" s="36"/>
      <c r="S54" s="36"/>
      <c r="T54" s="36"/>
      <c r="U54" s="36"/>
    </row>
    <row r="55" spans="1:21">
      <c r="A55" s="74" t="s">
        <v>250</v>
      </c>
      <c r="B55" s="36">
        <v>132514</v>
      </c>
      <c r="C55" s="36"/>
      <c r="D55" s="74"/>
      <c r="E55" s="36"/>
      <c r="F55" s="74"/>
      <c r="G55" s="74" t="s">
        <v>661</v>
      </c>
      <c r="H55" s="36"/>
      <c r="I55" s="36" t="s">
        <v>654</v>
      </c>
      <c r="J55" s="36"/>
      <c r="K55" s="36"/>
      <c r="L55" s="36"/>
      <c r="M55" s="36"/>
      <c r="N55" s="36"/>
      <c r="O55" s="36"/>
      <c r="P55" s="36"/>
      <c r="Q55" s="36"/>
      <c r="R55" s="36"/>
      <c r="S55" s="36"/>
      <c r="T55" s="36"/>
      <c r="U55" s="36"/>
    </row>
    <row r="56" spans="1:21">
      <c r="A56" s="74" t="s">
        <v>250</v>
      </c>
      <c r="B56" s="36">
        <v>132507</v>
      </c>
      <c r="C56" s="36"/>
      <c r="D56" s="74"/>
      <c r="E56" s="36"/>
      <c r="F56" s="74"/>
      <c r="G56" s="74" t="s">
        <v>661</v>
      </c>
      <c r="H56" s="36"/>
      <c r="I56" s="36" t="s">
        <v>654</v>
      </c>
      <c r="J56" s="36"/>
      <c r="K56" s="36"/>
      <c r="L56" s="36"/>
      <c r="M56" s="36"/>
      <c r="N56" s="36"/>
      <c r="O56" s="36"/>
      <c r="P56" s="36"/>
      <c r="Q56" s="36"/>
      <c r="R56" s="36"/>
      <c r="S56" s="36"/>
      <c r="T56" s="36"/>
      <c r="U56" s="36"/>
    </row>
    <row r="57" spans="1:21">
      <c r="A57" s="74" t="s">
        <v>250</v>
      </c>
      <c r="B57" s="36">
        <v>132513</v>
      </c>
      <c r="C57" s="36"/>
      <c r="D57" s="74"/>
      <c r="E57" s="36"/>
      <c r="F57" s="74"/>
      <c r="G57" s="74" t="s">
        <v>661</v>
      </c>
      <c r="H57" s="36"/>
      <c r="I57" s="36" t="s">
        <v>654</v>
      </c>
      <c r="J57" s="36"/>
      <c r="K57" s="36"/>
      <c r="L57" s="36"/>
      <c r="M57" s="36"/>
      <c r="N57" s="36"/>
      <c r="O57" s="36"/>
      <c r="P57" s="36"/>
      <c r="Q57" s="36"/>
      <c r="R57" s="36"/>
      <c r="S57" s="36"/>
      <c r="T57" s="36"/>
      <c r="U57" s="36"/>
    </row>
    <row r="58" spans="1:21">
      <c r="A58" s="74" t="s">
        <v>250</v>
      </c>
      <c r="B58" s="36">
        <v>132512</v>
      </c>
      <c r="C58" s="36"/>
      <c r="D58" s="74"/>
      <c r="E58" s="36"/>
      <c r="F58" s="74"/>
      <c r="G58" s="74" t="s">
        <v>661</v>
      </c>
      <c r="H58" s="36"/>
      <c r="I58" s="36" t="s">
        <v>654</v>
      </c>
      <c r="J58" s="36"/>
      <c r="K58" s="36"/>
      <c r="L58" s="36"/>
      <c r="M58" s="36"/>
      <c r="N58" s="36"/>
      <c r="O58" s="36"/>
      <c r="P58" s="36"/>
      <c r="Q58" s="36"/>
      <c r="R58" s="36"/>
      <c r="S58" s="36"/>
      <c r="T58" s="36"/>
      <c r="U58" s="36"/>
    </row>
    <row r="59" spans="1:21">
      <c r="A59" s="74" t="s">
        <v>250</v>
      </c>
      <c r="B59" s="36">
        <v>132509</v>
      </c>
      <c r="C59" s="36"/>
      <c r="D59" s="74"/>
      <c r="E59" s="36"/>
      <c r="F59" s="74"/>
      <c r="G59" s="74" t="s">
        <v>661</v>
      </c>
      <c r="H59" s="36"/>
      <c r="I59" s="36" t="s">
        <v>654</v>
      </c>
      <c r="J59" s="36"/>
      <c r="K59" s="36"/>
      <c r="L59" s="36"/>
      <c r="M59" s="36"/>
      <c r="N59" s="36"/>
      <c r="O59" s="36"/>
      <c r="P59" s="36"/>
      <c r="Q59" s="36"/>
      <c r="R59" s="36"/>
      <c r="S59" s="36"/>
      <c r="T59" s="36"/>
      <c r="U59" s="36"/>
    </row>
    <row r="60" spans="1:21">
      <c r="A60" s="74" t="s">
        <v>250</v>
      </c>
      <c r="B60" s="36">
        <v>132505</v>
      </c>
      <c r="C60" s="36"/>
      <c r="D60" s="74"/>
      <c r="E60" s="36"/>
      <c r="F60" s="74"/>
      <c r="G60" s="74" t="s">
        <v>661</v>
      </c>
      <c r="H60" s="36"/>
      <c r="I60" s="36" t="s">
        <v>654</v>
      </c>
      <c r="J60" s="36"/>
      <c r="K60" s="36"/>
      <c r="L60" s="36"/>
      <c r="M60" s="36"/>
      <c r="N60" s="36"/>
      <c r="O60" s="36"/>
      <c r="P60" s="36"/>
      <c r="Q60" s="36"/>
      <c r="R60" s="36"/>
      <c r="S60" s="36"/>
      <c r="T60" s="36"/>
      <c r="U60" s="36"/>
    </row>
    <row r="61" spans="1:21">
      <c r="A61" s="74" t="s">
        <v>250</v>
      </c>
      <c r="B61" s="36">
        <v>132510</v>
      </c>
      <c r="C61" s="36"/>
      <c r="D61" s="74"/>
      <c r="E61" s="36"/>
      <c r="F61" s="74"/>
      <c r="G61" s="74" t="s">
        <v>661</v>
      </c>
      <c r="H61" s="36"/>
      <c r="I61" s="36" t="s">
        <v>654</v>
      </c>
      <c r="J61" s="36"/>
      <c r="K61" s="36"/>
      <c r="L61" s="36"/>
      <c r="M61" s="36"/>
      <c r="N61" s="36"/>
      <c r="O61" s="36"/>
      <c r="P61" s="36"/>
      <c r="Q61" s="36"/>
      <c r="R61" s="36"/>
      <c r="S61" s="36"/>
      <c r="T61" s="36"/>
      <c r="U61" s="36"/>
    </row>
    <row r="62" spans="1:21">
      <c r="A62" s="74" t="s">
        <v>250</v>
      </c>
      <c r="B62" s="36">
        <v>132511</v>
      </c>
      <c r="C62" s="36"/>
      <c r="D62" s="74"/>
      <c r="E62" s="36"/>
      <c r="F62" s="74"/>
      <c r="G62" s="74" t="s">
        <v>661</v>
      </c>
      <c r="H62" s="36"/>
      <c r="I62" s="36" t="s">
        <v>654</v>
      </c>
      <c r="J62" s="36"/>
      <c r="K62" s="36"/>
      <c r="L62" s="36"/>
      <c r="M62" s="36"/>
      <c r="N62" s="36"/>
      <c r="O62" s="36"/>
      <c r="P62" s="36"/>
      <c r="Q62" s="36"/>
      <c r="R62" s="36"/>
      <c r="S62" s="36"/>
      <c r="T62" s="36"/>
      <c r="U62" s="36"/>
    </row>
    <row r="63" spans="1:21">
      <c r="A63" s="74" t="s">
        <v>250</v>
      </c>
      <c r="B63" s="36">
        <v>132508</v>
      </c>
      <c r="C63" s="36"/>
      <c r="D63" s="74"/>
      <c r="E63" s="36"/>
      <c r="F63" s="74"/>
      <c r="G63" s="74" t="s">
        <v>661</v>
      </c>
      <c r="H63" s="36"/>
      <c r="I63" s="36" t="s">
        <v>654</v>
      </c>
      <c r="J63" s="36"/>
      <c r="K63" s="36"/>
      <c r="L63" s="36"/>
      <c r="M63" s="36"/>
      <c r="N63" s="36"/>
      <c r="O63" s="36"/>
      <c r="P63" s="36"/>
      <c r="Q63" s="36"/>
      <c r="R63" s="36"/>
      <c r="S63" s="36"/>
      <c r="T63" s="36"/>
      <c r="U63" s="36"/>
    </row>
    <row r="64" spans="1:21">
      <c r="A64" s="74" t="s">
        <v>250</v>
      </c>
      <c r="B64" s="36">
        <v>132506</v>
      </c>
      <c r="C64" s="36"/>
      <c r="D64" s="74"/>
      <c r="E64" s="36"/>
      <c r="F64" s="74"/>
      <c r="G64" s="74" t="s">
        <v>661</v>
      </c>
      <c r="H64" s="36"/>
      <c r="I64" s="36" t="s">
        <v>654</v>
      </c>
      <c r="J64" s="36"/>
      <c r="K64" s="36"/>
      <c r="L64" s="36"/>
      <c r="M64" s="36"/>
      <c r="N64" s="36"/>
      <c r="O64" s="36"/>
      <c r="P64" s="36"/>
      <c r="Q64" s="36"/>
      <c r="R64" s="36"/>
      <c r="S64" s="36"/>
      <c r="T64" s="36"/>
      <c r="U64" s="36"/>
    </row>
    <row r="65" spans="1:21">
      <c r="A65" s="74" t="s">
        <v>250</v>
      </c>
      <c r="B65" s="36">
        <v>132504</v>
      </c>
      <c r="C65" s="36"/>
      <c r="D65" s="74"/>
      <c r="E65" s="36"/>
      <c r="F65" s="74"/>
      <c r="G65" s="74" t="s">
        <v>661</v>
      </c>
      <c r="H65" s="36"/>
      <c r="I65" s="36" t="s">
        <v>654</v>
      </c>
      <c r="J65" s="36"/>
      <c r="K65" s="36"/>
      <c r="L65" s="36"/>
      <c r="M65" s="36"/>
      <c r="N65" s="36"/>
      <c r="O65" s="36"/>
      <c r="P65" s="36"/>
      <c r="Q65" s="36"/>
      <c r="R65" s="36"/>
      <c r="S65" s="36"/>
      <c r="T65" s="36"/>
      <c r="U65" s="36"/>
    </row>
    <row r="66" spans="1:21">
      <c r="A66" s="74" t="s">
        <v>250</v>
      </c>
      <c r="B66" s="36">
        <v>226783</v>
      </c>
      <c r="C66" s="36">
        <v>5890</v>
      </c>
      <c r="D66" s="74" t="s">
        <v>871</v>
      </c>
      <c r="E66" s="36"/>
      <c r="F66" s="74"/>
      <c r="G66" s="74" t="s">
        <v>678</v>
      </c>
      <c r="H66" s="36"/>
      <c r="I66" s="36" t="s">
        <v>654</v>
      </c>
      <c r="J66" s="36"/>
      <c r="K66" s="36"/>
      <c r="L66" s="36"/>
      <c r="M66" s="36"/>
      <c r="N66" s="36"/>
      <c r="O66" s="36"/>
      <c r="P66" s="36"/>
      <c r="Q66" s="36"/>
      <c r="R66" s="36"/>
      <c r="S66" s="36"/>
      <c r="T66" s="36"/>
      <c r="U66" s="36"/>
    </row>
    <row r="67" spans="1:21">
      <c r="A67" s="74" t="s">
        <v>250</v>
      </c>
      <c r="B67" s="36">
        <v>226785</v>
      </c>
      <c r="C67" s="36">
        <v>5890</v>
      </c>
      <c r="D67" s="74" t="s">
        <v>871</v>
      </c>
      <c r="E67" s="36"/>
      <c r="F67" s="74"/>
      <c r="G67" s="74" t="s">
        <v>678</v>
      </c>
      <c r="H67" s="36"/>
      <c r="I67" s="36" t="s">
        <v>654</v>
      </c>
      <c r="J67" s="36"/>
      <c r="K67" s="36"/>
      <c r="L67" s="36"/>
      <c r="M67" s="36"/>
      <c r="N67" s="36"/>
      <c r="O67" s="36"/>
      <c r="P67" s="36"/>
      <c r="Q67" s="36"/>
      <c r="R67" s="36"/>
      <c r="S67" s="36"/>
      <c r="T67" s="36"/>
      <c r="U67" s="36"/>
    </row>
    <row r="68" spans="1:21">
      <c r="A68" s="74" t="s">
        <v>250</v>
      </c>
      <c r="B68" s="36">
        <v>226784</v>
      </c>
      <c r="C68" s="36">
        <v>5890</v>
      </c>
      <c r="D68" s="74" t="s">
        <v>871</v>
      </c>
      <c r="E68" s="36"/>
      <c r="F68" s="74"/>
      <c r="G68" s="74" t="s">
        <v>678</v>
      </c>
      <c r="H68" s="36"/>
      <c r="I68" s="36" t="s">
        <v>654</v>
      </c>
      <c r="J68" s="36"/>
      <c r="K68" s="36"/>
      <c r="L68" s="36"/>
      <c r="M68" s="36"/>
      <c r="N68" s="36"/>
      <c r="O68" s="36"/>
      <c r="P68" s="36"/>
      <c r="Q68" s="36"/>
      <c r="R68" s="36"/>
      <c r="S68" s="36"/>
      <c r="T68" s="36"/>
      <c r="U68" s="36"/>
    </row>
    <row r="69" spans="1:21">
      <c r="A69" s="74" t="s">
        <v>250</v>
      </c>
      <c r="B69" s="36">
        <v>226782</v>
      </c>
      <c r="C69" s="36">
        <v>5890</v>
      </c>
      <c r="D69" s="74" t="s">
        <v>872</v>
      </c>
      <c r="E69" s="36"/>
      <c r="F69" s="74"/>
      <c r="G69" s="74" t="s">
        <v>678</v>
      </c>
      <c r="H69" s="36"/>
      <c r="I69" s="36" t="s">
        <v>654</v>
      </c>
      <c r="J69" s="36"/>
      <c r="K69" s="36"/>
      <c r="L69" s="36"/>
      <c r="M69" s="36"/>
      <c r="N69" s="36"/>
      <c r="O69" s="36"/>
      <c r="P69" s="36"/>
      <c r="Q69" s="36"/>
      <c r="R69" s="36"/>
      <c r="S69" s="36"/>
      <c r="T69" s="36"/>
      <c r="U69" s="36"/>
    </row>
    <row r="70" spans="1:21">
      <c r="A70" s="74" t="s">
        <v>250</v>
      </c>
      <c r="B70" s="36">
        <v>132502</v>
      </c>
      <c r="C70" s="36">
        <v>50590</v>
      </c>
      <c r="D70" s="74" t="s">
        <v>617</v>
      </c>
      <c r="E70" s="36"/>
      <c r="F70" s="74"/>
      <c r="G70" s="74" t="s">
        <v>694</v>
      </c>
      <c r="H70" s="36"/>
      <c r="I70" s="36" t="s">
        <v>654</v>
      </c>
      <c r="J70" s="36"/>
      <c r="K70" s="36"/>
      <c r="L70" s="36"/>
      <c r="M70" s="36"/>
      <c r="N70" s="36"/>
      <c r="O70" s="36"/>
      <c r="P70" s="36"/>
      <c r="Q70" s="36"/>
      <c r="R70" s="36"/>
      <c r="S70" s="36"/>
      <c r="T70" s="36"/>
      <c r="U70" s="36"/>
    </row>
    <row r="71" spans="1:21">
      <c r="A71" s="74" t="s">
        <v>250</v>
      </c>
      <c r="B71" s="36">
        <v>341563</v>
      </c>
      <c r="C71" s="36">
        <v>50590</v>
      </c>
      <c r="D71" s="74" t="s">
        <v>617</v>
      </c>
      <c r="E71" s="36"/>
      <c r="F71" s="74"/>
      <c r="G71" s="74" t="s">
        <v>694</v>
      </c>
      <c r="H71" s="36"/>
      <c r="I71" s="36" t="s">
        <v>654</v>
      </c>
      <c r="J71" s="36"/>
      <c r="K71" s="36"/>
      <c r="L71" s="36"/>
      <c r="M71" s="36"/>
      <c r="N71" s="36"/>
      <c r="O71" s="36"/>
      <c r="P71" s="36"/>
      <c r="Q71" s="36"/>
      <c r="R71" s="36"/>
      <c r="S71" s="36"/>
      <c r="T71" s="36"/>
      <c r="U71" s="36"/>
    </row>
    <row r="72" spans="1:21">
      <c r="A72" s="74" t="s">
        <v>250</v>
      </c>
      <c r="B72" s="36">
        <v>341562</v>
      </c>
      <c r="C72" s="36">
        <v>50590</v>
      </c>
      <c r="D72" s="74" t="s">
        <v>617</v>
      </c>
      <c r="E72" s="36"/>
      <c r="F72" s="74"/>
      <c r="G72" s="74" t="s">
        <v>694</v>
      </c>
      <c r="H72" s="36"/>
      <c r="I72" s="36" t="s">
        <v>654</v>
      </c>
      <c r="J72" s="36"/>
      <c r="K72" s="36"/>
      <c r="L72" s="36"/>
      <c r="M72" s="36"/>
      <c r="N72" s="36"/>
      <c r="O72" s="36"/>
      <c r="P72" s="36"/>
      <c r="Q72" s="36"/>
      <c r="R72" s="36"/>
      <c r="S72" s="36"/>
      <c r="T72" s="36"/>
      <c r="U72" s="36"/>
    </row>
    <row r="73" spans="1:21">
      <c r="A73" s="74" t="s">
        <v>250</v>
      </c>
      <c r="B73" s="36">
        <v>341574</v>
      </c>
      <c r="C73" s="36">
        <v>50590</v>
      </c>
      <c r="D73" s="74" t="s">
        <v>617</v>
      </c>
      <c r="E73" s="36"/>
      <c r="F73" s="74"/>
      <c r="G73" s="74" t="s">
        <v>694</v>
      </c>
      <c r="H73" s="36"/>
      <c r="I73" s="36" t="s">
        <v>654</v>
      </c>
      <c r="J73" s="36"/>
      <c r="K73" s="36"/>
      <c r="L73" s="36"/>
      <c r="M73" s="36"/>
      <c r="N73" s="36"/>
      <c r="O73" s="36"/>
      <c r="P73" s="36"/>
      <c r="Q73" s="36"/>
      <c r="R73" s="36"/>
      <c r="S73" s="36"/>
      <c r="T73" s="36"/>
      <c r="U73" s="36"/>
    </row>
    <row r="74" spans="1:21">
      <c r="A74" s="74" t="s">
        <v>250</v>
      </c>
      <c r="B74" s="36">
        <v>341573</v>
      </c>
      <c r="C74" s="36">
        <v>50590</v>
      </c>
      <c r="D74" s="74" t="s">
        <v>617</v>
      </c>
      <c r="E74" s="36"/>
      <c r="F74" s="74"/>
      <c r="G74" s="74" t="s">
        <v>694</v>
      </c>
      <c r="H74" s="36"/>
      <c r="I74" s="36" t="s">
        <v>654</v>
      </c>
      <c r="J74" s="36"/>
      <c r="K74" s="36"/>
      <c r="L74" s="36"/>
      <c r="M74" s="36"/>
      <c r="N74" s="36"/>
      <c r="O74" s="36"/>
      <c r="P74" s="36"/>
      <c r="Q74" s="36"/>
      <c r="R74" s="36"/>
      <c r="S74" s="36"/>
      <c r="T74" s="36"/>
      <c r="U74" s="36"/>
    </row>
    <row r="75" spans="1:21">
      <c r="A75" s="74" t="s">
        <v>250</v>
      </c>
      <c r="B75" s="36">
        <v>341565</v>
      </c>
      <c r="C75" s="36">
        <v>50590</v>
      </c>
      <c r="D75" s="74" t="s">
        <v>617</v>
      </c>
      <c r="E75" s="36"/>
      <c r="F75" s="74"/>
      <c r="G75" s="74" t="s">
        <v>694</v>
      </c>
      <c r="H75" s="36"/>
      <c r="I75" s="36" t="s">
        <v>654</v>
      </c>
      <c r="J75" s="36"/>
      <c r="K75" s="36"/>
      <c r="L75" s="36"/>
      <c r="M75" s="36"/>
      <c r="N75" s="36"/>
      <c r="O75" s="36"/>
      <c r="P75" s="36"/>
      <c r="Q75" s="36"/>
      <c r="R75" s="36"/>
      <c r="S75" s="36"/>
      <c r="T75" s="36"/>
      <c r="U75" s="36"/>
    </row>
    <row r="76" spans="1:21">
      <c r="A76" s="74" t="s">
        <v>250</v>
      </c>
      <c r="B76" s="36">
        <v>341566</v>
      </c>
      <c r="C76" s="36">
        <v>50590</v>
      </c>
      <c r="D76" s="74" t="s">
        <v>617</v>
      </c>
      <c r="E76" s="36"/>
      <c r="F76" s="74"/>
      <c r="G76" s="74" t="s">
        <v>694</v>
      </c>
      <c r="H76" s="36"/>
      <c r="I76" s="36" t="s">
        <v>654</v>
      </c>
      <c r="J76" s="36"/>
      <c r="K76" s="36"/>
      <c r="L76" s="36"/>
      <c r="M76" s="36"/>
      <c r="N76" s="36"/>
      <c r="O76" s="36"/>
      <c r="P76" s="36"/>
      <c r="Q76" s="36"/>
      <c r="R76" s="36"/>
      <c r="S76" s="36"/>
      <c r="T76" s="36"/>
      <c r="U76" s="36"/>
    </row>
    <row r="77" spans="1:21">
      <c r="A77" s="74" t="s">
        <v>250</v>
      </c>
      <c r="B77" s="36">
        <v>341567</v>
      </c>
      <c r="C77" s="36">
        <v>50590</v>
      </c>
      <c r="D77" s="74" t="s">
        <v>617</v>
      </c>
      <c r="E77" s="36"/>
      <c r="F77" s="74"/>
      <c r="G77" s="74" t="s">
        <v>694</v>
      </c>
      <c r="H77" s="36"/>
      <c r="I77" s="36" t="s">
        <v>654</v>
      </c>
      <c r="J77" s="36"/>
      <c r="K77" s="36"/>
      <c r="L77" s="36"/>
      <c r="M77" s="36"/>
      <c r="N77" s="36"/>
      <c r="O77" s="36"/>
      <c r="P77" s="36"/>
      <c r="Q77" s="36"/>
      <c r="R77" s="36"/>
      <c r="S77" s="36"/>
      <c r="T77" s="36"/>
      <c r="U77" s="36"/>
    </row>
    <row r="78" spans="1:21">
      <c r="A78" s="74" t="s">
        <v>250</v>
      </c>
      <c r="B78" s="36">
        <v>341568</v>
      </c>
      <c r="C78" s="36">
        <v>50590</v>
      </c>
      <c r="D78" s="74" t="s">
        <v>617</v>
      </c>
      <c r="E78" s="36"/>
      <c r="F78" s="74"/>
      <c r="G78" s="74" t="s">
        <v>694</v>
      </c>
      <c r="H78" s="36"/>
      <c r="I78" s="36" t="s">
        <v>654</v>
      </c>
      <c r="J78" s="36"/>
      <c r="K78" s="36"/>
      <c r="L78" s="36"/>
      <c r="M78" s="36"/>
      <c r="N78" s="36"/>
      <c r="O78" s="36"/>
      <c r="P78" s="36"/>
      <c r="Q78" s="36"/>
      <c r="R78" s="36"/>
      <c r="S78" s="36"/>
      <c r="T78" s="36"/>
      <c r="U78" s="36"/>
    </row>
    <row r="79" spans="1:21">
      <c r="A79" s="74" t="s">
        <v>250</v>
      </c>
      <c r="B79" s="36">
        <v>341571</v>
      </c>
      <c r="C79" s="36">
        <v>50590</v>
      </c>
      <c r="D79" s="74" t="s">
        <v>617</v>
      </c>
      <c r="E79" s="36"/>
      <c r="F79" s="74"/>
      <c r="G79" s="74" t="s">
        <v>694</v>
      </c>
      <c r="H79" s="36"/>
      <c r="I79" s="36" t="s">
        <v>654</v>
      </c>
      <c r="J79" s="36"/>
      <c r="K79" s="36"/>
      <c r="L79" s="36"/>
      <c r="M79" s="36"/>
      <c r="N79" s="36"/>
      <c r="O79" s="36"/>
      <c r="P79" s="36"/>
      <c r="Q79" s="36"/>
      <c r="R79" s="36"/>
      <c r="S79" s="36"/>
      <c r="T79" s="36"/>
      <c r="U79" s="36"/>
    </row>
    <row r="80" spans="1:21">
      <c r="A80" s="74" t="s">
        <v>250</v>
      </c>
      <c r="B80" s="36">
        <v>341569</v>
      </c>
      <c r="C80" s="36">
        <v>50590</v>
      </c>
      <c r="D80" s="74" t="s">
        <v>617</v>
      </c>
      <c r="E80" s="36"/>
      <c r="F80" s="74"/>
      <c r="G80" s="74" t="s">
        <v>694</v>
      </c>
      <c r="H80" s="36"/>
      <c r="I80" s="36" t="s">
        <v>654</v>
      </c>
      <c r="J80" s="36"/>
      <c r="K80" s="36"/>
      <c r="L80" s="36"/>
      <c r="M80" s="36"/>
      <c r="N80" s="36"/>
      <c r="O80" s="36"/>
      <c r="P80" s="36"/>
      <c r="Q80" s="36"/>
      <c r="R80" s="36"/>
      <c r="S80" s="36"/>
      <c r="T80" s="36"/>
      <c r="U80" s="36"/>
    </row>
    <row r="81" spans="1:21">
      <c r="A81" s="74" t="s">
        <v>250</v>
      </c>
      <c r="B81" s="36">
        <v>341570</v>
      </c>
      <c r="C81" s="36">
        <v>50590</v>
      </c>
      <c r="D81" s="74" t="s">
        <v>617</v>
      </c>
      <c r="E81" s="36"/>
      <c r="F81" s="74"/>
      <c r="G81" s="74" t="s">
        <v>694</v>
      </c>
      <c r="H81" s="36"/>
      <c r="I81" s="36" t="s">
        <v>654</v>
      </c>
      <c r="J81" s="36"/>
      <c r="K81" s="36"/>
      <c r="L81" s="36"/>
      <c r="M81" s="36"/>
      <c r="N81" s="36"/>
      <c r="O81" s="36"/>
      <c r="P81" s="36"/>
      <c r="Q81" s="36"/>
      <c r="R81" s="36"/>
      <c r="S81" s="36"/>
      <c r="T81" s="36"/>
      <c r="U81" s="36"/>
    </row>
    <row r="82" spans="1:21">
      <c r="A82" s="74" t="s">
        <v>250</v>
      </c>
      <c r="B82" s="36">
        <v>341572</v>
      </c>
      <c r="C82" s="36">
        <v>50590</v>
      </c>
      <c r="D82" s="74" t="s">
        <v>617</v>
      </c>
      <c r="E82" s="36"/>
      <c r="F82" s="74"/>
      <c r="G82" s="74" t="s">
        <v>694</v>
      </c>
      <c r="H82" s="36"/>
      <c r="I82" s="36" t="s">
        <v>654</v>
      </c>
      <c r="J82" s="36"/>
      <c r="K82" s="36"/>
      <c r="L82" s="36"/>
      <c r="M82" s="36"/>
      <c r="N82" s="36"/>
      <c r="O82" s="36"/>
      <c r="P82" s="36"/>
      <c r="Q82" s="36"/>
      <c r="R82" s="36"/>
      <c r="S82" s="36"/>
      <c r="T82" s="36"/>
      <c r="U82" s="36"/>
    </row>
    <row r="83" spans="1:21">
      <c r="A83" s="74" t="s">
        <v>250</v>
      </c>
      <c r="B83" s="36">
        <v>341564</v>
      </c>
      <c r="C83" s="36">
        <v>50590</v>
      </c>
      <c r="D83" s="74" t="s">
        <v>617</v>
      </c>
      <c r="E83" s="36"/>
      <c r="F83" s="74"/>
      <c r="G83" s="74" t="s">
        <v>694</v>
      </c>
      <c r="H83" s="36"/>
      <c r="I83" s="36" t="s">
        <v>654</v>
      </c>
      <c r="J83" s="36"/>
      <c r="K83" s="36"/>
      <c r="L83" s="36"/>
      <c r="M83" s="36"/>
      <c r="N83" s="36"/>
      <c r="O83" s="36"/>
      <c r="P83" s="36"/>
      <c r="Q83" s="36"/>
      <c r="R83" s="36"/>
      <c r="S83" s="36"/>
      <c r="T83" s="36"/>
      <c r="U83" s="36"/>
    </row>
    <row r="84" spans="1:21">
      <c r="A84" s="74" t="s">
        <v>250</v>
      </c>
      <c r="B84" s="36">
        <v>132491</v>
      </c>
      <c r="C84" s="36">
        <v>50590</v>
      </c>
      <c r="D84" s="74" t="s">
        <v>617</v>
      </c>
      <c r="E84" s="36"/>
      <c r="F84" s="74"/>
      <c r="G84" s="74" t="s">
        <v>694</v>
      </c>
      <c r="H84" s="36"/>
      <c r="I84" s="36" t="s">
        <v>654</v>
      </c>
      <c r="J84" s="36"/>
      <c r="K84" s="36"/>
      <c r="L84" s="36"/>
      <c r="M84" s="36"/>
      <c r="N84" s="36"/>
      <c r="O84" s="36"/>
      <c r="P84" s="36"/>
      <c r="Q84" s="36"/>
      <c r="R84" s="36"/>
      <c r="S84" s="36"/>
      <c r="T84" s="36"/>
      <c r="U84" s="36"/>
    </row>
    <row r="85" spans="1:21">
      <c r="A85" s="74" t="s">
        <v>250</v>
      </c>
      <c r="B85" s="36">
        <v>132492</v>
      </c>
      <c r="C85" s="36">
        <v>50590</v>
      </c>
      <c r="D85" s="74" t="s">
        <v>617</v>
      </c>
      <c r="E85" s="36"/>
      <c r="F85" s="74"/>
      <c r="G85" s="74" t="s">
        <v>694</v>
      </c>
      <c r="H85" s="36"/>
      <c r="I85" s="36" t="s">
        <v>654</v>
      </c>
      <c r="J85" s="36"/>
      <c r="K85" s="36"/>
      <c r="L85" s="36"/>
      <c r="M85" s="36"/>
      <c r="N85" s="36"/>
      <c r="O85" s="36"/>
      <c r="P85" s="36"/>
      <c r="Q85" s="36"/>
      <c r="R85" s="36"/>
      <c r="S85" s="36"/>
      <c r="T85" s="36"/>
      <c r="U85" s="36"/>
    </row>
    <row r="86" spans="1:21">
      <c r="A86" s="74" t="s">
        <v>250</v>
      </c>
      <c r="B86" s="36">
        <v>132493</v>
      </c>
      <c r="C86" s="36">
        <v>50590</v>
      </c>
      <c r="D86" s="74" t="s">
        <v>617</v>
      </c>
      <c r="E86" s="36"/>
      <c r="F86" s="74"/>
      <c r="G86" s="74" t="s">
        <v>694</v>
      </c>
      <c r="H86" s="36"/>
      <c r="I86" s="36" t="s">
        <v>654</v>
      </c>
      <c r="J86" s="36"/>
      <c r="K86" s="36"/>
      <c r="L86" s="36"/>
      <c r="M86" s="36"/>
      <c r="N86" s="36"/>
      <c r="O86" s="36"/>
      <c r="P86" s="36"/>
      <c r="Q86" s="36"/>
      <c r="R86" s="36"/>
      <c r="S86" s="36"/>
      <c r="T86" s="36"/>
      <c r="U86" s="36"/>
    </row>
    <row r="87" spans="1:21">
      <c r="A87" s="74" t="s">
        <v>250</v>
      </c>
      <c r="B87" s="36">
        <v>132494</v>
      </c>
      <c r="C87" s="36">
        <v>50590</v>
      </c>
      <c r="D87" s="74" t="s">
        <v>617</v>
      </c>
      <c r="E87" s="36"/>
      <c r="F87" s="74"/>
      <c r="G87" s="74" t="s">
        <v>694</v>
      </c>
      <c r="H87" s="36"/>
      <c r="I87" s="36" t="s">
        <v>654</v>
      </c>
      <c r="J87" s="36"/>
      <c r="K87" s="36"/>
      <c r="L87" s="36"/>
      <c r="M87" s="36"/>
      <c r="N87" s="36"/>
      <c r="O87" s="36"/>
      <c r="P87" s="36"/>
      <c r="Q87" s="36"/>
      <c r="R87" s="36"/>
      <c r="S87" s="36"/>
      <c r="T87" s="36"/>
      <c r="U87" s="36"/>
    </row>
    <row r="88" spans="1:21">
      <c r="A88" s="74" t="s">
        <v>250</v>
      </c>
      <c r="B88" s="36">
        <v>132495</v>
      </c>
      <c r="C88" s="36">
        <v>50590</v>
      </c>
      <c r="D88" s="74" t="s">
        <v>617</v>
      </c>
      <c r="E88" s="36"/>
      <c r="F88" s="74"/>
      <c r="G88" s="74" t="s">
        <v>694</v>
      </c>
      <c r="H88" s="36"/>
      <c r="I88" s="36" t="s">
        <v>654</v>
      </c>
      <c r="J88" s="36"/>
      <c r="K88" s="36"/>
      <c r="L88" s="36"/>
      <c r="M88" s="36"/>
      <c r="N88" s="36"/>
      <c r="O88" s="36"/>
      <c r="P88" s="36"/>
      <c r="Q88" s="36"/>
      <c r="R88" s="36"/>
      <c r="S88" s="36"/>
      <c r="T88" s="36"/>
      <c r="U88" s="36"/>
    </row>
    <row r="89" spans="1:21">
      <c r="A89" s="74" t="s">
        <v>250</v>
      </c>
      <c r="B89" s="36">
        <v>132496</v>
      </c>
      <c r="C89" s="36">
        <v>50590</v>
      </c>
      <c r="D89" s="74" t="s">
        <v>617</v>
      </c>
      <c r="E89" s="36"/>
      <c r="F89" s="74"/>
      <c r="G89" s="74" t="s">
        <v>694</v>
      </c>
      <c r="H89" s="36"/>
      <c r="I89" s="36" t="s">
        <v>654</v>
      </c>
      <c r="J89" s="36"/>
      <c r="K89" s="36"/>
      <c r="L89" s="36"/>
      <c r="M89" s="36"/>
      <c r="N89" s="36"/>
      <c r="O89" s="36"/>
      <c r="P89" s="36"/>
      <c r="Q89" s="36"/>
      <c r="R89" s="36"/>
      <c r="S89" s="36"/>
      <c r="T89" s="36"/>
      <c r="U89" s="36"/>
    </row>
    <row r="90" spans="1:21">
      <c r="A90" s="74" t="s">
        <v>250</v>
      </c>
      <c r="B90" s="36">
        <v>132497</v>
      </c>
      <c r="C90" s="36">
        <v>50590</v>
      </c>
      <c r="D90" s="74" t="s">
        <v>617</v>
      </c>
      <c r="E90" s="36"/>
      <c r="F90" s="74"/>
      <c r="G90" s="74" t="s">
        <v>694</v>
      </c>
      <c r="H90" s="36"/>
      <c r="I90" s="36" t="s">
        <v>654</v>
      </c>
      <c r="J90" s="36"/>
      <c r="K90" s="36"/>
      <c r="L90" s="36"/>
      <c r="M90" s="36"/>
      <c r="N90" s="36"/>
      <c r="O90" s="36"/>
      <c r="P90" s="36"/>
      <c r="Q90" s="36"/>
      <c r="R90" s="36"/>
      <c r="S90" s="36"/>
      <c r="T90" s="36"/>
      <c r="U90" s="36"/>
    </row>
    <row r="91" spans="1:21">
      <c r="A91" s="74" t="s">
        <v>250</v>
      </c>
      <c r="B91" s="36">
        <v>132498</v>
      </c>
      <c r="C91" s="36">
        <v>50590</v>
      </c>
      <c r="D91" s="74" t="s">
        <v>617</v>
      </c>
      <c r="E91" s="36"/>
      <c r="F91" s="74"/>
      <c r="G91" s="74" t="s">
        <v>694</v>
      </c>
      <c r="H91" s="36"/>
      <c r="I91" s="36" t="s">
        <v>654</v>
      </c>
      <c r="J91" s="36"/>
      <c r="K91" s="36"/>
      <c r="L91" s="36"/>
      <c r="M91" s="36"/>
      <c r="N91" s="36"/>
      <c r="O91" s="36"/>
      <c r="P91" s="36"/>
      <c r="Q91" s="36"/>
      <c r="R91" s="36"/>
      <c r="S91" s="36"/>
      <c r="T91" s="36"/>
      <c r="U91" s="36"/>
    </row>
    <row r="92" spans="1:21">
      <c r="A92" s="74" t="s">
        <v>250</v>
      </c>
      <c r="B92" s="36">
        <v>132499</v>
      </c>
      <c r="C92" s="36">
        <v>50590</v>
      </c>
      <c r="D92" s="74" t="s">
        <v>617</v>
      </c>
      <c r="E92" s="36"/>
      <c r="F92" s="74"/>
      <c r="G92" s="74" t="s">
        <v>694</v>
      </c>
      <c r="H92" s="36"/>
      <c r="I92" s="36" t="s">
        <v>654</v>
      </c>
      <c r="J92" s="36"/>
      <c r="K92" s="36"/>
      <c r="L92" s="36"/>
      <c r="M92" s="36"/>
      <c r="N92" s="36"/>
      <c r="O92" s="36"/>
      <c r="P92" s="36"/>
      <c r="Q92" s="36"/>
      <c r="R92" s="36"/>
      <c r="S92" s="36"/>
      <c r="T92" s="36"/>
      <c r="U92" s="36"/>
    </row>
    <row r="93" spans="1:21">
      <c r="A93" s="74" t="s">
        <v>250</v>
      </c>
      <c r="B93" s="36">
        <v>132500</v>
      </c>
      <c r="C93" s="36">
        <v>50590</v>
      </c>
      <c r="D93" s="74" t="s">
        <v>617</v>
      </c>
      <c r="E93" s="36"/>
      <c r="F93" s="74"/>
      <c r="G93" s="74" t="s">
        <v>694</v>
      </c>
      <c r="H93" s="36"/>
      <c r="I93" s="36" t="s">
        <v>654</v>
      </c>
      <c r="J93" s="36"/>
      <c r="K93" s="36"/>
      <c r="L93" s="36"/>
      <c r="M93" s="36"/>
      <c r="N93" s="36"/>
      <c r="O93" s="36"/>
      <c r="P93" s="36"/>
      <c r="Q93" s="36"/>
      <c r="R93" s="36"/>
      <c r="S93" s="36"/>
      <c r="T93" s="36"/>
      <c r="U93" s="36"/>
    </row>
    <row r="94" spans="1:21">
      <c r="A94" s="74" t="s">
        <v>250</v>
      </c>
      <c r="B94" s="36">
        <v>132501</v>
      </c>
      <c r="C94" s="36">
        <v>50590</v>
      </c>
      <c r="D94" s="74" t="s">
        <v>617</v>
      </c>
      <c r="E94" s="36"/>
      <c r="F94" s="74"/>
      <c r="G94" s="74" t="s">
        <v>694</v>
      </c>
      <c r="H94" s="36"/>
      <c r="I94" s="36" t="s">
        <v>654</v>
      </c>
      <c r="J94" s="36"/>
      <c r="K94" s="36"/>
      <c r="L94" s="36"/>
      <c r="M94" s="36"/>
      <c r="N94" s="36"/>
      <c r="O94" s="36"/>
      <c r="P94" s="36"/>
      <c r="Q94" s="36"/>
      <c r="R94" s="36"/>
      <c r="S94" s="36"/>
      <c r="T94" s="36"/>
      <c r="U94" s="36"/>
    </row>
    <row r="95" spans="1:21">
      <c r="A95" s="74" t="s">
        <v>250</v>
      </c>
      <c r="B95" s="36">
        <v>132490</v>
      </c>
      <c r="C95" s="36">
        <v>50590</v>
      </c>
      <c r="D95" s="74" t="s">
        <v>617</v>
      </c>
      <c r="E95" s="36"/>
      <c r="F95" s="74"/>
      <c r="G95" s="74" t="s">
        <v>694</v>
      </c>
      <c r="H95" s="36"/>
      <c r="I95" s="36" t="s">
        <v>654</v>
      </c>
      <c r="J95" s="36"/>
      <c r="K95" s="36"/>
      <c r="L95" s="36"/>
      <c r="M95" s="36"/>
      <c r="N95" s="36"/>
      <c r="O95" s="36"/>
      <c r="P95" s="36"/>
      <c r="Q95" s="36"/>
      <c r="R95" s="36"/>
      <c r="S95" s="36"/>
      <c r="T95" s="36"/>
      <c r="U95" s="36"/>
    </row>
    <row r="96" spans="1:21">
      <c r="A96" s="74" t="s">
        <v>250</v>
      </c>
      <c r="B96" s="36">
        <v>132531</v>
      </c>
      <c r="C96" s="36">
        <v>51390</v>
      </c>
      <c r="D96" s="74" t="s">
        <v>648</v>
      </c>
      <c r="E96" s="36"/>
      <c r="F96" s="74"/>
      <c r="G96" s="74" t="s">
        <v>696</v>
      </c>
      <c r="H96" s="36"/>
      <c r="I96" s="36" t="s">
        <v>654</v>
      </c>
      <c r="J96" s="36"/>
      <c r="K96" s="36"/>
      <c r="L96" s="36"/>
      <c r="M96" s="36"/>
      <c r="N96" s="36"/>
      <c r="O96" s="36"/>
      <c r="P96" s="36"/>
      <c r="Q96" s="36"/>
      <c r="R96" s="36"/>
      <c r="S96" s="36"/>
      <c r="T96" s="36"/>
      <c r="U96" s="36"/>
    </row>
    <row r="97" spans="1:21">
      <c r="A97" s="74" t="s">
        <v>250</v>
      </c>
      <c r="B97" s="36">
        <v>341387</v>
      </c>
      <c r="C97" s="36">
        <v>51390</v>
      </c>
      <c r="D97" s="74" t="s">
        <v>648</v>
      </c>
      <c r="E97" s="36"/>
      <c r="F97" s="74"/>
      <c r="G97" s="74" t="s">
        <v>696</v>
      </c>
      <c r="H97" s="36"/>
      <c r="I97" s="36" t="s">
        <v>654</v>
      </c>
      <c r="J97" s="36"/>
      <c r="K97" s="36"/>
      <c r="L97" s="36"/>
      <c r="M97" s="36"/>
      <c r="N97" s="36"/>
      <c r="O97" s="36"/>
      <c r="P97" s="36"/>
      <c r="Q97" s="36"/>
      <c r="R97" s="36"/>
      <c r="S97" s="36"/>
      <c r="T97" s="36"/>
      <c r="U97" s="36"/>
    </row>
    <row r="98" spans="1:21">
      <c r="A98" s="74" t="s">
        <v>250</v>
      </c>
      <c r="B98" s="36">
        <v>341386</v>
      </c>
      <c r="C98" s="36">
        <v>51390</v>
      </c>
      <c r="D98" s="74" t="s">
        <v>648</v>
      </c>
      <c r="E98" s="36"/>
      <c r="F98" s="74"/>
      <c r="G98" s="74" t="s">
        <v>696</v>
      </c>
      <c r="H98" s="36"/>
      <c r="I98" s="36" t="s">
        <v>654</v>
      </c>
      <c r="J98" s="36"/>
      <c r="K98" s="36"/>
      <c r="L98" s="36"/>
      <c r="M98" s="36"/>
      <c r="N98" s="36"/>
      <c r="O98" s="36"/>
      <c r="P98" s="36"/>
      <c r="Q98" s="36"/>
      <c r="R98" s="36"/>
      <c r="S98" s="36"/>
      <c r="T98" s="36"/>
      <c r="U98" s="36"/>
    </row>
    <row r="99" spans="1:21">
      <c r="A99" s="74" t="s">
        <v>250</v>
      </c>
      <c r="B99" s="36">
        <v>341398</v>
      </c>
      <c r="C99" s="36">
        <v>51390</v>
      </c>
      <c r="D99" s="74" t="s">
        <v>648</v>
      </c>
      <c r="E99" s="36"/>
      <c r="F99" s="74"/>
      <c r="G99" s="74" t="s">
        <v>696</v>
      </c>
      <c r="H99" s="36"/>
      <c r="I99" s="36" t="s">
        <v>654</v>
      </c>
      <c r="J99" s="36"/>
      <c r="K99" s="36"/>
      <c r="L99" s="36"/>
      <c r="M99" s="36"/>
      <c r="N99" s="36"/>
      <c r="O99" s="36"/>
      <c r="P99" s="36"/>
      <c r="Q99" s="36"/>
      <c r="R99" s="36"/>
      <c r="S99" s="36"/>
      <c r="T99" s="36"/>
      <c r="U99" s="36"/>
    </row>
    <row r="100" spans="1:21">
      <c r="A100" s="74" t="s">
        <v>250</v>
      </c>
      <c r="B100" s="36">
        <v>341397</v>
      </c>
      <c r="C100" s="36">
        <v>51390</v>
      </c>
      <c r="D100" s="74" t="s">
        <v>648</v>
      </c>
      <c r="E100" s="36"/>
      <c r="F100" s="74"/>
      <c r="G100" s="74" t="s">
        <v>696</v>
      </c>
      <c r="H100" s="36"/>
      <c r="I100" s="36" t="s">
        <v>654</v>
      </c>
      <c r="J100" s="36"/>
      <c r="K100" s="36"/>
      <c r="L100" s="36"/>
      <c r="M100" s="36"/>
      <c r="N100" s="36"/>
      <c r="O100" s="36"/>
      <c r="P100" s="36"/>
      <c r="Q100" s="36"/>
      <c r="R100" s="36"/>
      <c r="S100" s="36"/>
      <c r="T100" s="36"/>
      <c r="U100" s="36"/>
    </row>
    <row r="101" spans="1:21">
      <c r="A101" s="74" t="s">
        <v>250</v>
      </c>
      <c r="B101" s="36">
        <v>341389</v>
      </c>
      <c r="C101" s="36">
        <v>51390</v>
      </c>
      <c r="D101" s="74" t="s">
        <v>648</v>
      </c>
      <c r="E101" s="36"/>
      <c r="F101" s="74"/>
      <c r="G101" s="74" t="s">
        <v>696</v>
      </c>
      <c r="H101" s="36"/>
      <c r="I101" s="36" t="s">
        <v>654</v>
      </c>
      <c r="J101" s="36"/>
      <c r="K101" s="36"/>
      <c r="L101" s="36"/>
      <c r="M101" s="36"/>
      <c r="N101" s="36"/>
      <c r="O101" s="36"/>
      <c r="P101" s="36"/>
      <c r="Q101" s="36"/>
      <c r="R101" s="36"/>
      <c r="S101" s="36"/>
      <c r="T101" s="36"/>
      <c r="U101" s="36"/>
    </row>
    <row r="102" spans="1:21">
      <c r="A102" s="74" t="s">
        <v>250</v>
      </c>
      <c r="B102" s="36">
        <v>341390</v>
      </c>
      <c r="C102" s="36">
        <v>51390</v>
      </c>
      <c r="D102" s="74" t="s">
        <v>648</v>
      </c>
      <c r="E102" s="36"/>
      <c r="F102" s="74"/>
      <c r="G102" s="74" t="s">
        <v>696</v>
      </c>
      <c r="H102" s="36"/>
      <c r="I102" s="36" t="s">
        <v>654</v>
      </c>
      <c r="J102" s="36"/>
      <c r="K102" s="36"/>
      <c r="L102" s="36"/>
      <c r="M102" s="36"/>
      <c r="N102" s="36"/>
      <c r="O102" s="36"/>
      <c r="P102" s="36"/>
      <c r="Q102" s="36"/>
      <c r="R102" s="36"/>
      <c r="S102" s="36"/>
      <c r="T102" s="36"/>
      <c r="U102" s="36"/>
    </row>
    <row r="103" spans="1:21">
      <c r="A103" s="74" t="s">
        <v>250</v>
      </c>
      <c r="B103" s="36">
        <v>341391</v>
      </c>
      <c r="C103" s="36">
        <v>51390</v>
      </c>
      <c r="D103" s="74" t="s">
        <v>648</v>
      </c>
      <c r="E103" s="36"/>
      <c r="F103" s="74"/>
      <c r="G103" s="74" t="s">
        <v>696</v>
      </c>
      <c r="H103" s="36"/>
      <c r="I103" s="36" t="s">
        <v>654</v>
      </c>
      <c r="J103" s="36"/>
      <c r="K103" s="36"/>
      <c r="L103" s="36"/>
      <c r="M103" s="36"/>
      <c r="N103" s="36"/>
      <c r="O103" s="36"/>
      <c r="P103" s="36"/>
      <c r="Q103" s="36"/>
      <c r="R103" s="36"/>
      <c r="S103" s="36"/>
      <c r="T103" s="36"/>
      <c r="U103" s="36"/>
    </row>
    <row r="104" spans="1:21">
      <c r="A104" s="74" t="s">
        <v>250</v>
      </c>
      <c r="B104" s="36">
        <v>341392</v>
      </c>
      <c r="C104" s="36">
        <v>51390</v>
      </c>
      <c r="D104" s="74" t="s">
        <v>648</v>
      </c>
      <c r="E104" s="36"/>
      <c r="F104" s="74"/>
      <c r="G104" s="74" t="s">
        <v>696</v>
      </c>
      <c r="H104" s="36"/>
      <c r="I104" s="36" t="s">
        <v>654</v>
      </c>
      <c r="J104" s="36"/>
      <c r="K104" s="36"/>
      <c r="L104" s="36"/>
      <c r="M104" s="36"/>
      <c r="N104" s="36"/>
      <c r="O104" s="36"/>
      <c r="P104" s="36"/>
      <c r="Q104" s="36"/>
      <c r="R104" s="36"/>
      <c r="S104" s="36"/>
      <c r="T104" s="36"/>
      <c r="U104" s="36"/>
    </row>
    <row r="105" spans="1:21">
      <c r="A105" s="74" t="s">
        <v>250</v>
      </c>
      <c r="B105" s="36">
        <v>341395</v>
      </c>
      <c r="C105" s="36">
        <v>51390</v>
      </c>
      <c r="D105" s="74" t="s">
        <v>648</v>
      </c>
      <c r="E105" s="36"/>
      <c r="F105" s="74"/>
      <c r="G105" s="74" t="s">
        <v>696</v>
      </c>
      <c r="H105" s="36"/>
      <c r="I105" s="36" t="s">
        <v>654</v>
      </c>
      <c r="J105" s="36"/>
      <c r="K105" s="36"/>
      <c r="L105" s="36"/>
      <c r="M105" s="36"/>
      <c r="N105" s="36"/>
      <c r="O105" s="36"/>
      <c r="P105" s="36"/>
      <c r="Q105" s="36"/>
      <c r="R105" s="36"/>
      <c r="S105" s="36"/>
      <c r="T105" s="36"/>
      <c r="U105" s="36"/>
    </row>
    <row r="106" spans="1:21">
      <c r="A106" s="74" t="s">
        <v>250</v>
      </c>
      <c r="B106" s="36">
        <v>341393</v>
      </c>
      <c r="C106" s="36">
        <v>51390</v>
      </c>
      <c r="D106" s="74" t="s">
        <v>648</v>
      </c>
      <c r="E106" s="36"/>
      <c r="F106" s="74"/>
      <c r="G106" s="74" t="s">
        <v>696</v>
      </c>
      <c r="H106" s="36"/>
      <c r="I106" s="36" t="s">
        <v>654</v>
      </c>
      <c r="J106" s="36"/>
      <c r="K106" s="36"/>
      <c r="L106" s="36"/>
      <c r="M106" s="36"/>
      <c r="N106" s="36"/>
      <c r="O106" s="36"/>
      <c r="P106" s="36"/>
      <c r="Q106" s="36"/>
      <c r="R106" s="36"/>
      <c r="S106" s="36"/>
      <c r="T106" s="36"/>
      <c r="U106" s="36"/>
    </row>
    <row r="107" spans="1:21">
      <c r="A107" s="74" t="s">
        <v>250</v>
      </c>
      <c r="B107" s="36">
        <v>341394</v>
      </c>
      <c r="C107" s="36">
        <v>51390</v>
      </c>
      <c r="D107" s="74" t="s">
        <v>648</v>
      </c>
      <c r="E107" s="36"/>
      <c r="F107" s="74"/>
      <c r="G107" s="74" t="s">
        <v>696</v>
      </c>
      <c r="H107" s="36"/>
      <c r="I107" s="36" t="s">
        <v>654</v>
      </c>
      <c r="J107" s="36"/>
      <c r="K107" s="36"/>
      <c r="L107" s="36"/>
      <c r="M107" s="36"/>
      <c r="N107" s="36"/>
      <c r="O107" s="36"/>
      <c r="P107" s="36"/>
      <c r="Q107" s="36"/>
      <c r="R107" s="36"/>
      <c r="S107" s="36"/>
      <c r="T107" s="36"/>
      <c r="U107" s="36"/>
    </row>
    <row r="108" spans="1:21">
      <c r="A108" s="74" t="s">
        <v>250</v>
      </c>
      <c r="B108" s="36">
        <v>341396</v>
      </c>
      <c r="C108" s="36">
        <v>51390</v>
      </c>
      <c r="D108" s="74" t="s">
        <v>648</v>
      </c>
      <c r="E108" s="36"/>
      <c r="F108" s="74"/>
      <c r="G108" s="74" t="s">
        <v>696</v>
      </c>
      <c r="H108" s="36"/>
      <c r="I108" s="36" t="s">
        <v>654</v>
      </c>
      <c r="J108" s="36"/>
      <c r="K108" s="36"/>
      <c r="L108" s="36"/>
      <c r="M108" s="36"/>
      <c r="N108" s="36"/>
      <c r="O108" s="36"/>
      <c r="P108" s="36"/>
      <c r="Q108" s="36"/>
      <c r="R108" s="36"/>
      <c r="S108" s="36"/>
      <c r="T108" s="36"/>
      <c r="U108" s="36"/>
    </row>
    <row r="109" spans="1:21">
      <c r="A109" s="74" t="s">
        <v>250</v>
      </c>
      <c r="B109" s="36">
        <v>341388</v>
      </c>
      <c r="C109" s="36">
        <v>51390</v>
      </c>
      <c r="D109" s="74" t="s">
        <v>648</v>
      </c>
      <c r="E109" s="36"/>
      <c r="F109" s="74"/>
      <c r="G109" s="74" t="s">
        <v>696</v>
      </c>
      <c r="H109" s="36"/>
      <c r="I109" s="36" t="s">
        <v>654</v>
      </c>
      <c r="J109" s="36"/>
      <c r="K109" s="36"/>
      <c r="L109" s="36"/>
      <c r="M109" s="36"/>
      <c r="N109" s="36"/>
      <c r="O109" s="36"/>
      <c r="P109" s="36"/>
      <c r="Q109" s="36"/>
      <c r="R109" s="36"/>
      <c r="S109" s="36"/>
      <c r="T109" s="36"/>
      <c r="U109" s="36"/>
    </row>
    <row r="110" spans="1:21">
      <c r="A110" s="74" t="s">
        <v>250</v>
      </c>
      <c r="B110" s="36">
        <v>132520</v>
      </c>
      <c r="C110" s="36">
        <v>51390</v>
      </c>
      <c r="D110" s="74" t="s">
        <v>648</v>
      </c>
      <c r="E110" s="36"/>
      <c r="F110" s="74"/>
      <c r="G110" s="74" t="s">
        <v>696</v>
      </c>
      <c r="H110" s="36"/>
      <c r="I110" s="36" t="s">
        <v>654</v>
      </c>
      <c r="J110" s="36"/>
      <c r="K110" s="36"/>
      <c r="L110" s="36"/>
      <c r="M110" s="36"/>
      <c r="N110" s="36"/>
      <c r="O110" s="36"/>
      <c r="P110" s="36"/>
      <c r="Q110" s="36"/>
      <c r="R110" s="36"/>
      <c r="S110" s="36"/>
      <c r="T110" s="36"/>
      <c r="U110" s="36"/>
    </row>
    <row r="111" spans="1:21">
      <c r="A111" s="74" t="s">
        <v>250</v>
      </c>
      <c r="B111" s="36">
        <v>132521</v>
      </c>
      <c r="C111" s="36">
        <v>51390</v>
      </c>
      <c r="D111" s="74" t="s">
        <v>648</v>
      </c>
      <c r="E111" s="36"/>
      <c r="F111" s="74"/>
      <c r="G111" s="74" t="s">
        <v>696</v>
      </c>
      <c r="H111" s="36"/>
      <c r="I111" s="36" t="s">
        <v>654</v>
      </c>
      <c r="J111" s="36"/>
      <c r="K111" s="36"/>
      <c r="L111" s="36"/>
      <c r="M111" s="36"/>
      <c r="N111" s="36"/>
      <c r="O111" s="36"/>
      <c r="P111" s="36"/>
      <c r="Q111" s="36"/>
      <c r="R111" s="36"/>
      <c r="S111" s="36"/>
      <c r="T111" s="36"/>
      <c r="U111" s="36"/>
    </row>
    <row r="112" spans="1:21">
      <c r="A112" s="74" t="s">
        <v>250</v>
      </c>
      <c r="B112" s="36">
        <v>132522</v>
      </c>
      <c r="C112" s="36">
        <v>51390</v>
      </c>
      <c r="D112" s="74" t="s">
        <v>648</v>
      </c>
      <c r="E112" s="36"/>
      <c r="F112" s="74"/>
      <c r="G112" s="74" t="s">
        <v>696</v>
      </c>
      <c r="H112" s="36"/>
      <c r="I112" s="36" t="s">
        <v>654</v>
      </c>
      <c r="J112" s="36"/>
      <c r="K112" s="36"/>
      <c r="L112" s="36"/>
      <c r="M112" s="36"/>
      <c r="N112" s="36"/>
      <c r="O112" s="36"/>
      <c r="P112" s="36"/>
      <c r="Q112" s="36"/>
      <c r="R112" s="36"/>
      <c r="S112" s="36"/>
      <c r="T112" s="36"/>
      <c r="U112" s="36"/>
    </row>
    <row r="113" spans="1:21">
      <c r="A113" s="74" t="s">
        <v>250</v>
      </c>
      <c r="B113" s="36">
        <v>132523</v>
      </c>
      <c r="C113" s="36">
        <v>51390</v>
      </c>
      <c r="D113" s="74" t="s">
        <v>648</v>
      </c>
      <c r="E113" s="36"/>
      <c r="F113" s="74"/>
      <c r="G113" s="74" t="s">
        <v>696</v>
      </c>
      <c r="H113" s="36"/>
      <c r="I113" s="36" t="s">
        <v>654</v>
      </c>
      <c r="J113" s="36"/>
      <c r="K113" s="36"/>
      <c r="L113" s="36"/>
      <c r="M113" s="36"/>
      <c r="N113" s="36"/>
      <c r="O113" s="36"/>
      <c r="P113" s="36"/>
      <c r="Q113" s="36"/>
      <c r="R113" s="36"/>
      <c r="S113" s="36"/>
      <c r="T113" s="36"/>
      <c r="U113" s="36"/>
    </row>
    <row r="114" spans="1:21">
      <c r="A114" s="74" t="s">
        <v>250</v>
      </c>
      <c r="B114" s="36">
        <v>132524</v>
      </c>
      <c r="C114" s="36">
        <v>51390</v>
      </c>
      <c r="D114" s="74" t="s">
        <v>648</v>
      </c>
      <c r="E114" s="36"/>
      <c r="F114" s="74"/>
      <c r="G114" s="74" t="s">
        <v>696</v>
      </c>
      <c r="H114" s="36"/>
      <c r="I114" s="36" t="s">
        <v>654</v>
      </c>
      <c r="J114" s="36"/>
      <c r="K114" s="36"/>
      <c r="L114" s="36"/>
      <c r="M114" s="36"/>
      <c r="N114" s="36"/>
      <c r="O114" s="36"/>
      <c r="P114" s="36"/>
      <c r="Q114" s="36"/>
      <c r="R114" s="36"/>
      <c r="S114" s="36"/>
      <c r="T114" s="36"/>
      <c r="U114" s="36"/>
    </row>
    <row r="115" spans="1:21">
      <c r="A115" s="74" t="s">
        <v>250</v>
      </c>
      <c r="B115" s="36">
        <v>132525</v>
      </c>
      <c r="C115" s="36">
        <v>51390</v>
      </c>
      <c r="D115" s="74" t="s">
        <v>648</v>
      </c>
      <c r="E115" s="36"/>
      <c r="F115" s="74"/>
      <c r="G115" s="74" t="s">
        <v>696</v>
      </c>
      <c r="H115" s="36"/>
      <c r="I115" s="36" t="s">
        <v>654</v>
      </c>
      <c r="J115" s="36"/>
      <c r="K115" s="36"/>
      <c r="L115" s="36"/>
      <c r="M115" s="36"/>
      <c r="N115" s="36"/>
      <c r="O115" s="36"/>
      <c r="P115" s="36"/>
      <c r="Q115" s="36"/>
      <c r="R115" s="36"/>
      <c r="S115" s="36"/>
      <c r="T115" s="36"/>
      <c r="U115" s="36"/>
    </row>
    <row r="116" spans="1:21">
      <c r="A116" s="74" t="s">
        <v>250</v>
      </c>
      <c r="B116" s="36">
        <v>132526</v>
      </c>
      <c r="C116" s="36">
        <v>51390</v>
      </c>
      <c r="D116" s="74" t="s">
        <v>648</v>
      </c>
      <c r="E116" s="36"/>
      <c r="F116" s="74"/>
      <c r="G116" s="74" t="s">
        <v>696</v>
      </c>
      <c r="H116" s="36"/>
      <c r="I116" s="36" t="s">
        <v>654</v>
      </c>
      <c r="J116" s="36"/>
      <c r="K116" s="36"/>
      <c r="L116" s="36"/>
      <c r="M116" s="36"/>
      <c r="N116" s="36"/>
      <c r="O116" s="36"/>
      <c r="P116" s="36"/>
      <c r="Q116" s="36"/>
      <c r="R116" s="36"/>
      <c r="S116" s="36"/>
      <c r="T116" s="36"/>
      <c r="U116" s="36"/>
    </row>
    <row r="117" spans="1:21">
      <c r="A117" s="74" t="s">
        <v>250</v>
      </c>
      <c r="B117" s="36">
        <v>132527</v>
      </c>
      <c r="C117" s="36">
        <v>51390</v>
      </c>
      <c r="D117" s="74" t="s">
        <v>648</v>
      </c>
      <c r="E117" s="36"/>
      <c r="F117" s="74"/>
      <c r="G117" s="74" t="s">
        <v>696</v>
      </c>
      <c r="H117" s="36"/>
      <c r="I117" s="36" t="s">
        <v>654</v>
      </c>
      <c r="J117" s="36"/>
      <c r="K117" s="36"/>
      <c r="L117" s="36"/>
      <c r="M117" s="36"/>
      <c r="N117" s="36"/>
      <c r="O117" s="36"/>
      <c r="P117" s="36"/>
      <c r="Q117" s="36"/>
      <c r="R117" s="36"/>
      <c r="S117" s="36"/>
      <c r="T117" s="36"/>
      <c r="U117" s="36"/>
    </row>
    <row r="118" spans="1:21">
      <c r="A118" s="74" t="s">
        <v>250</v>
      </c>
      <c r="B118" s="36">
        <v>132528</v>
      </c>
      <c r="C118" s="36">
        <v>51390</v>
      </c>
      <c r="D118" s="74" t="s">
        <v>648</v>
      </c>
      <c r="E118" s="36"/>
      <c r="F118" s="74"/>
      <c r="G118" s="74" t="s">
        <v>696</v>
      </c>
      <c r="H118" s="36"/>
      <c r="I118" s="36" t="s">
        <v>654</v>
      </c>
      <c r="J118" s="36"/>
      <c r="K118" s="36"/>
      <c r="L118" s="36"/>
      <c r="M118" s="36"/>
      <c r="N118" s="36"/>
      <c r="O118" s="36"/>
      <c r="P118" s="36"/>
      <c r="Q118" s="36"/>
      <c r="R118" s="36"/>
      <c r="S118" s="36"/>
      <c r="T118" s="36"/>
      <c r="U118" s="36"/>
    </row>
    <row r="119" spans="1:21">
      <c r="A119" s="74" t="s">
        <v>250</v>
      </c>
      <c r="B119" s="36">
        <v>132529</v>
      </c>
      <c r="C119" s="36">
        <v>51390</v>
      </c>
      <c r="D119" s="74" t="s">
        <v>648</v>
      </c>
      <c r="E119" s="36"/>
      <c r="F119" s="74"/>
      <c r="G119" s="74" t="s">
        <v>696</v>
      </c>
      <c r="H119" s="36"/>
      <c r="I119" s="36" t="s">
        <v>654</v>
      </c>
      <c r="J119" s="36"/>
      <c r="K119" s="36"/>
      <c r="L119" s="36"/>
      <c r="M119" s="36"/>
      <c r="N119" s="36"/>
      <c r="O119" s="36"/>
      <c r="P119" s="36"/>
      <c r="Q119" s="36"/>
      <c r="R119" s="36"/>
      <c r="S119" s="36"/>
      <c r="T119" s="36"/>
      <c r="U119" s="36"/>
    </row>
    <row r="120" spans="1:21">
      <c r="A120" s="74" t="s">
        <v>250</v>
      </c>
      <c r="B120" s="36">
        <v>132530</v>
      </c>
      <c r="C120" s="36">
        <v>51390</v>
      </c>
      <c r="D120" s="74" t="s">
        <v>648</v>
      </c>
      <c r="E120" s="36"/>
      <c r="F120" s="74"/>
      <c r="G120" s="74" t="s">
        <v>696</v>
      </c>
      <c r="H120" s="36"/>
      <c r="I120" s="36" t="s">
        <v>654</v>
      </c>
      <c r="J120" s="36"/>
      <c r="K120" s="36"/>
      <c r="L120" s="36"/>
      <c r="M120" s="36"/>
      <c r="N120" s="36"/>
      <c r="O120" s="36"/>
      <c r="P120" s="36"/>
      <c r="Q120" s="36"/>
      <c r="R120" s="36"/>
      <c r="S120" s="36"/>
      <c r="T120" s="36"/>
      <c r="U120" s="36"/>
    </row>
    <row r="121" spans="1:21">
      <c r="A121" s="74" t="s">
        <v>250</v>
      </c>
      <c r="B121" s="36">
        <v>132519</v>
      </c>
      <c r="C121" s="36">
        <v>51390</v>
      </c>
      <c r="D121" s="74" t="s">
        <v>648</v>
      </c>
      <c r="E121" s="36"/>
      <c r="F121" s="74"/>
      <c r="G121" s="74" t="s">
        <v>696</v>
      </c>
      <c r="H121" s="36"/>
      <c r="I121" s="36" t="s">
        <v>654</v>
      </c>
      <c r="J121" s="36"/>
      <c r="K121" s="36"/>
      <c r="L121" s="36"/>
      <c r="M121" s="36"/>
      <c r="N121" s="36"/>
      <c r="O121" s="36"/>
      <c r="P121" s="36"/>
      <c r="Q121" s="36"/>
      <c r="R121" s="36"/>
      <c r="S121" s="36"/>
      <c r="T121" s="36"/>
      <c r="U121" s="36"/>
    </row>
    <row r="122" spans="1:21">
      <c r="A122" s="74" t="s">
        <v>250</v>
      </c>
      <c r="B122" s="36">
        <v>132545</v>
      </c>
      <c r="C122" s="36">
        <v>50590</v>
      </c>
      <c r="D122" s="74" t="s">
        <v>615</v>
      </c>
      <c r="E122" s="36"/>
      <c r="F122" s="74"/>
      <c r="G122" s="74" t="s">
        <v>694</v>
      </c>
      <c r="H122" s="36"/>
      <c r="I122" s="36" t="s">
        <v>654</v>
      </c>
      <c r="J122" s="36"/>
      <c r="K122" s="36"/>
      <c r="L122" s="36"/>
      <c r="M122" s="36"/>
      <c r="N122" s="36"/>
      <c r="O122" s="36"/>
      <c r="P122" s="36"/>
      <c r="Q122" s="36"/>
      <c r="R122" s="36"/>
      <c r="S122" s="36"/>
      <c r="T122" s="36"/>
      <c r="U122" s="36"/>
    </row>
    <row r="123" spans="1:21">
      <c r="A123" s="74" t="s">
        <v>250</v>
      </c>
      <c r="B123" s="36">
        <v>341404</v>
      </c>
      <c r="C123" s="36">
        <v>50590</v>
      </c>
      <c r="D123" s="74" t="s">
        <v>615</v>
      </c>
      <c r="E123" s="36"/>
      <c r="F123" s="74"/>
      <c r="G123" s="74" t="s">
        <v>694</v>
      </c>
      <c r="H123" s="36"/>
      <c r="I123" s="36" t="s">
        <v>654</v>
      </c>
      <c r="J123" s="36"/>
      <c r="K123" s="36"/>
      <c r="L123" s="36"/>
      <c r="M123" s="36"/>
      <c r="N123" s="36"/>
      <c r="O123" s="36"/>
      <c r="P123" s="36"/>
      <c r="Q123" s="36"/>
      <c r="R123" s="36"/>
      <c r="S123" s="36"/>
      <c r="T123" s="36"/>
      <c r="U123" s="36"/>
    </row>
    <row r="124" spans="1:21">
      <c r="A124" s="74" t="s">
        <v>250</v>
      </c>
      <c r="B124" s="36">
        <v>341403</v>
      </c>
      <c r="C124" s="36">
        <v>50590</v>
      </c>
      <c r="D124" s="74" t="s">
        <v>615</v>
      </c>
      <c r="E124" s="36"/>
      <c r="F124" s="74"/>
      <c r="G124" s="74" t="s">
        <v>694</v>
      </c>
      <c r="H124" s="36"/>
      <c r="I124" s="36" t="s">
        <v>654</v>
      </c>
      <c r="J124" s="36"/>
      <c r="K124" s="36"/>
      <c r="L124" s="36"/>
      <c r="M124" s="36"/>
      <c r="N124" s="36"/>
      <c r="O124" s="36"/>
      <c r="P124" s="36"/>
      <c r="Q124" s="36"/>
      <c r="R124" s="36"/>
      <c r="S124" s="36"/>
      <c r="T124" s="36"/>
      <c r="U124" s="36"/>
    </row>
    <row r="125" spans="1:21">
      <c r="A125" s="74" t="s">
        <v>250</v>
      </c>
      <c r="B125" s="36">
        <v>341415</v>
      </c>
      <c r="C125" s="36">
        <v>50590</v>
      </c>
      <c r="D125" s="74" t="s">
        <v>615</v>
      </c>
      <c r="E125" s="36"/>
      <c r="F125" s="74"/>
      <c r="G125" s="74" t="s">
        <v>694</v>
      </c>
      <c r="H125" s="36"/>
      <c r="I125" s="36" t="s">
        <v>654</v>
      </c>
      <c r="J125" s="36"/>
      <c r="K125" s="36"/>
      <c r="L125" s="36"/>
      <c r="M125" s="36"/>
      <c r="N125" s="36"/>
      <c r="O125" s="36"/>
      <c r="P125" s="36"/>
      <c r="Q125" s="36"/>
      <c r="R125" s="36"/>
      <c r="S125" s="36"/>
      <c r="T125" s="36"/>
      <c r="U125" s="36"/>
    </row>
    <row r="126" spans="1:21">
      <c r="A126" s="74" t="s">
        <v>250</v>
      </c>
      <c r="B126" s="36">
        <v>341414</v>
      </c>
      <c r="C126" s="36">
        <v>50590</v>
      </c>
      <c r="D126" s="74" t="s">
        <v>615</v>
      </c>
      <c r="E126" s="36"/>
      <c r="F126" s="74"/>
      <c r="G126" s="74" t="s">
        <v>694</v>
      </c>
      <c r="H126" s="36"/>
      <c r="I126" s="36" t="s">
        <v>654</v>
      </c>
      <c r="J126" s="36"/>
      <c r="K126" s="36"/>
      <c r="L126" s="36"/>
      <c r="M126" s="36"/>
      <c r="N126" s="36"/>
      <c r="O126" s="36"/>
      <c r="P126" s="36"/>
      <c r="Q126" s="36"/>
      <c r="R126" s="36"/>
      <c r="S126" s="36"/>
      <c r="T126" s="36"/>
      <c r="U126" s="36"/>
    </row>
    <row r="127" spans="1:21">
      <c r="A127" s="74" t="s">
        <v>250</v>
      </c>
      <c r="B127" s="36">
        <v>341406</v>
      </c>
      <c r="C127" s="36">
        <v>50590</v>
      </c>
      <c r="D127" s="74" t="s">
        <v>615</v>
      </c>
      <c r="E127" s="36"/>
      <c r="F127" s="74"/>
      <c r="G127" s="74" t="s">
        <v>694</v>
      </c>
      <c r="H127" s="36"/>
      <c r="I127" s="36" t="s">
        <v>654</v>
      </c>
      <c r="J127" s="36"/>
      <c r="K127" s="36"/>
      <c r="L127" s="36"/>
      <c r="M127" s="36"/>
      <c r="N127" s="36"/>
      <c r="O127" s="36"/>
      <c r="P127" s="36"/>
      <c r="Q127" s="36"/>
      <c r="R127" s="36"/>
      <c r="S127" s="36"/>
      <c r="T127" s="36"/>
      <c r="U127" s="36"/>
    </row>
    <row r="128" spans="1:21">
      <c r="A128" s="74" t="s">
        <v>250</v>
      </c>
      <c r="B128" s="36">
        <v>341407</v>
      </c>
      <c r="C128" s="36">
        <v>50590</v>
      </c>
      <c r="D128" s="74" t="s">
        <v>615</v>
      </c>
      <c r="E128" s="36"/>
      <c r="F128" s="74"/>
      <c r="G128" s="74" t="s">
        <v>694</v>
      </c>
      <c r="H128" s="36"/>
      <c r="I128" s="36" t="s">
        <v>654</v>
      </c>
      <c r="J128" s="36"/>
      <c r="K128" s="36"/>
      <c r="L128" s="36"/>
      <c r="M128" s="36"/>
      <c r="N128" s="36"/>
      <c r="O128" s="36"/>
      <c r="P128" s="36"/>
      <c r="Q128" s="36"/>
      <c r="R128" s="36"/>
      <c r="S128" s="36"/>
      <c r="T128" s="36"/>
      <c r="U128" s="36"/>
    </row>
    <row r="129" spans="1:21">
      <c r="A129" s="74" t="s">
        <v>250</v>
      </c>
      <c r="B129" s="36">
        <v>341408</v>
      </c>
      <c r="C129" s="36">
        <v>50590</v>
      </c>
      <c r="D129" s="74" t="s">
        <v>615</v>
      </c>
      <c r="E129" s="36"/>
      <c r="F129" s="74"/>
      <c r="G129" s="74" t="s">
        <v>694</v>
      </c>
      <c r="H129" s="36"/>
      <c r="I129" s="36" t="s">
        <v>654</v>
      </c>
      <c r="J129" s="36"/>
      <c r="K129" s="36"/>
      <c r="L129" s="36"/>
      <c r="M129" s="36"/>
      <c r="N129" s="36"/>
      <c r="O129" s="36"/>
      <c r="P129" s="36"/>
      <c r="Q129" s="36"/>
      <c r="R129" s="36"/>
      <c r="S129" s="36"/>
      <c r="T129" s="36"/>
      <c r="U129" s="36"/>
    </row>
    <row r="130" spans="1:21">
      <c r="A130" s="74" t="s">
        <v>250</v>
      </c>
      <c r="B130" s="36">
        <v>341409</v>
      </c>
      <c r="C130" s="36">
        <v>50590</v>
      </c>
      <c r="D130" s="74" t="s">
        <v>615</v>
      </c>
      <c r="E130" s="36"/>
      <c r="F130" s="74"/>
      <c r="G130" s="74" t="s">
        <v>694</v>
      </c>
      <c r="H130" s="36"/>
      <c r="I130" s="36" t="s">
        <v>654</v>
      </c>
      <c r="J130" s="36"/>
      <c r="K130" s="36"/>
      <c r="L130" s="36"/>
      <c r="M130" s="36"/>
      <c r="N130" s="36"/>
      <c r="O130" s="36"/>
      <c r="P130" s="36"/>
      <c r="Q130" s="36"/>
      <c r="R130" s="36"/>
      <c r="S130" s="36"/>
      <c r="T130" s="36"/>
      <c r="U130" s="36"/>
    </row>
    <row r="131" spans="1:21">
      <c r="A131" s="74" t="s">
        <v>250</v>
      </c>
      <c r="B131" s="36">
        <v>341412</v>
      </c>
      <c r="C131" s="36">
        <v>50590</v>
      </c>
      <c r="D131" s="74" t="s">
        <v>615</v>
      </c>
      <c r="E131" s="36"/>
      <c r="F131" s="74"/>
      <c r="G131" s="74" t="s">
        <v>694</v>
      </c>
      <c r="H131" s="36"/>
      <c r="I131" s="36" t="s">
        <v>654</v>
      </c>
      <c r="J131" s="36"/>
      <c r="K131" s="36"/>
      <c r="L131" s="36"/>
      <c r="M131" s="36"/>
      <c r="N131" s="36"/>
      <c r="O131" s="36"/>
      <c r="P131" s="36"/>
      <c r="Q131" s="36"/>
      <c r="R131" s="36"/>
      <c r="S131" s="36"/>
      <c r="T131" s="36"/>
      <c r="U131" s="36"/>
    </row>
    <row r="132" spans="1:21">
      <c r="A132" s="74" t="s">
        <v>250</v>
      </c>
      <c r="B132" s="36">
        <v>341410</v>
      </c>
      <c r="C132" s="36">
        <v>50590</v>
      </c>
      <c r="D132" s="74" t="s">
        <v>615</v>
      </c>
      <c r="E132" s="36"/>
      <c r="F132" s="74"/>
      <c r="G132" s="74" t="s">
        <v>694</v>
      </c>
      <c r="H132" s="36"/>
      <c r="I132" s="36" t="s">
        <v>654</v>
      </c>
      <c r="J132" s="36"/>
      <c r="K132" s="36"/>
      <c r="L132" s="36"/>
      <c r="M132" s="36"/>
      <c r="N132" s="36"/>
      <c r="O132" s="36"/>
      <c r="P132" s="36"/>
      <c r="Q132" s="36"/>
      <c r="R132" s="36"/>
      <c r="S132" s="36"/>
      <c r="T132" s="36"/>
      <c r="U132" s="36"/>
    </row>
    <row r="133" spans="1:21">
      <c r="A133" s="74" t="s">
        <v>250</v>
      </c>
      <c r="B133" s="36">
        <v>341411</v>
      </c>
      <c r="C133" s="36">
        <v>50590</v>
      </c>
      <c r="D133" s="74" t="s">
        <v>615</v>
      </c>
      <c r="E133" s="36"/>
      <c r="F133" s="74"/>
      <c r="G133" s="74" t="s">
        <v>694</v>
      </c>
      <c r="H133" s="36"/>
      <c r="I133" s="36" t="s">
        <v>654</v>
      </c>
      <c r="J133" s="36"/>
      <c r="K133" s="36"/>
      <c r="L133" s="36"/>
      <c r="M133" s="36"/>
      <c r="N133" s="36"/>
      <c r="O133" s="36"/>
      <c r="P133" s="36"/>
      <c r="Q133" s="36"/>
      <c r="R133" s="36"/>
      <c r="S133" s="36"/>
      <c r="T133" s="36"/>
      <c r="U133" s="36"/>
    </row>
    <row r="134" spans="1:21">
      <c r="A134" s="74" t="s">
        <v>250</v>
      </c>
      <c r="B134" s="36">
        <v>341413</v>
      </c>
      <c r="C134" s="36">
        <v>50590</v>
      </c>
      <c r="D134" s="74" t="s">
        <v>615</v>
      </c>
      <c r="E134" s="36"/>
      <c r="F134" s="74"/>
      <c r="G134" s="74" t="s">
        <v>694</v>
      </c>
      <c r="H134" s="36"/>
      <c r="I134" s="36" t="s">
        <v>654</v>
      </c>
      <c r="J134" s="36"/>
      <c r="K134" s="36"/>
      <c r="L134" s="36"/>
      <c r="M134" s="36"/>
      <c r="N134" s="36"/>
      <c r="O134" s="36"/>
      <c r="P134" s="36"/>
      <c r="Q134" s="36"/>
      <c r="R134" s="36"/>
      <c r="S134" s="36"/>
      <c r="T134" s="36"/>
      <c r="U134" s="36"/>
    </row>
    <row r="135" spans="1:21">
      <c r="A135" s="74" t="s">
        <v>250</v>
      </c>
      <c r="B135" s="36">
        <v>341405</v>
      </c>
      <c r="C135" s="36">
        <v>50590</v>
      </c>
      <c r="D135" s="74" t="s">
        <v>615</v>
      </c>
      <c r="E135" s="36"/>
      <c r="F135" s="74"/>
      <c r="G135" s="74" t="s">
        <v>694</v>
      </c>
      <c r="H135" s="36"/>
      <c r="I135" s="36" t="s">
        <v>654</v>
      </c>
      <c r="J135" s="36"/>
      <c r="K135" s="36"/>
      <c r="L135" s="36"/>
      <c r="M135" s="36"/>
      <c r="N135" s="36"/>
      <c r="O135" s="36"/>
      <c r="P135" s="36"/>
      <c r="Q135" s="36"/>
      <c r="R135" s="36"/>
      <c r="S135" s="36"/>
      <c r="T135" s="36"/>
      <c r="U135" s="36"/>
    </row>
    <row r="136" spans="1:21">
      <c r="A136" s="74" t="s">
        <v>250</v>
      </c>
      <c r="B136" s="36">
        <v>132534</v>
      </c>
      <c r="C136" s="36">
        <v>50590</v>
      </c>
      <c r="D136" s="74" t="s">
        <v>615</v>
      </c>
      <c r="E136" s="36"/>
      <c r="F136" s="74"/>
      <c r="G136" s="74" t="s">
        <v>694</v>
      </c>
      <c r="H136" s="36"/>
      <c r="I136" s="36" t="s">
        <v>654</v>
      </c>
      <c r="J136" s="36"/>
      <c r="K136" s="36"/>
      <c r="L136" s="36"/>
      <c r="M136" s="36"/>
      <c r="N136" s="36"/>
      <c r="O136" s="36"/>
      <c r="P136" s="36"/>
      <c r="Q136" s="36"/>
      <c r="R136" s="36"/>
      <c r="S136" s="36"/>
      <c r="T136" s="36"/>
      <c r="U136" s="36"/>
    </row>
    <row r="137" spans="1:21">
      <c r="A137" s="74" t="s">
        <v>250</v>
      </c>
      <c r="B137" s="36">
        <v>132535</v>
      </c>
      <c r="C137" s="36">
        <v>50590</v>
      </c>
      <c r="D137" s="74" t="s">
        <v>615</v>
      </c>
      <c r="E137" s="36"/>
      <c r="F137" s="74"/>
      <c r="G137" s="74" t="s">
        <v>694</v>
      </c>
      <c r="H137" s="36"/>
      <c r="I137" s="36" t="s">
        <v>654</v>
      </c>
      <c r="J137" s="36"/>
      <c r="K137" s="36"/>
      <c r="L137" s="36"/>
      <c r="M137" s="36"/>
      <c r="N137" s="36"/>
      <c r="O137" s="36"/>
      <c r="P137" s="36"/>
      <c r="Q137" s="36"/>
      <c r="R137" s="36"/>
      <c r="S137" s="36"/>
      <c r="T137" s="36"/>
      <c r="U137" s="36"/>
    </row>
    <row r="138" spans="1:21">
      <c r="A138" s="74" t="s">
        <v>250</v>
      </c>
      <c r="B138" s="36">
        <v>132536</v>
      </c>
      <c r="C138" s="36">
        <v>50590</v>
      </c>
      <c r="D138" s="74" t="s">
        <v>615</v>
      </c>
      <c r="E138" s="36"/>
      <c r="F138" s="74"/>
      <c r="G138" s="74" t="s">
        <v>694</v>
      </c>
      <c r="H138" s="36"/>
      <c r="I138" s="36" t="s">
        <v>654</v>
      </c>
      <c r="J138" s="36"/>
      <c r="K138" s="36"/>
      <c r="L138" s="36"/>
      <c r="M138" s="36"/>
      <c r="N138" s="36"/>
      <c r="O138" s="36"/>
      <c r="P138" s="36"/>
      <c r="Q138" s="36"/>
      <c r="R138" s="36"/>
      <c r="S138" s="36"/>
      <c r="T138" s="36"/>
      <c r="U138" s="36"/>
    </row>
    <row r="139" spans="1:21">
      <c r="A139" s="74" t="s">
        <v>250</v>
      </c>
      <c r="B139" s="36">
        <v>132537</v>
      </c>
      <c r="C139" s="36">
        <v>50590</v>
      </c>
      <c r="D139" s="74" t="s">
        <v>615</v>
      </c>
      <c r="E139" s="36"/>
      <c r="F139" s="74"/>
      <c r="G139" s="74" t="s">
        <v>694</v>
      </c>
      <c r="H139" s="36"/>
      <c r="I139" s="36" t="s">
        <v>654</v>
      </c>
      <c r="J139" s="36"/>
      <c r="K139" s="36"/>
      <c r="L139" s="36"/>
      <c r="M139" s="36"/>
      <c r="N139" s="36"/>
      <c r="O139" s="36"/>
      <c r="P139" s="36"/>
      <c r="Q139" s="36"/>
      <c r="R139" s="36"/>
      <c r="S139" s="36"/>
      <c r="T139" s="36"/>
      <c r="U139" s="36"/>
    </row>
    <row r="140" spans="1:21">
      <c r="A140" s="74" t="s">
        <v>250</v>
      </c>
      <c r="B140" s="36">
        <v>132538</v>
      </c>
      <c r="C140" s="36">
        <v>50590</v>
      </c>
      <c r="D140" s="74" t="s">
        <v>615</v>
      </c>
      <c r="E140" s="36"/>
      <c r="F140" s="74"/>
      <c r="G140" s="74" t="s">
        <v>694</v>
      </c>
      <c r="H140" s="36"/>
      <c r="I140" s="36" t="s">
        <v>654</v>
      </c>
      <c r="J140" s="36"/>
      <c r="K140" s="36"/>
      <c r="L140" s="36"/>
      <c r="M140" s="36"/>
      <c r="N140" s="36"/>
      <c r="O140" s="36"/>
      <c r="P140" s="36"/>
      <c r="Q140" s="36"/>
      <c r="R140" s="36"/>
      <c r="S140" s="36"/>
      <c r="T140" s="36"/>
      <c r="U140" s="36"/>
    </row>
    <row r="141" spans="1:21">
      <c r="A141" s="74" t="s">
        <v>250</v>
      </c>
      <c r="B141" s="36">
        <v>132539</v>
      </c>
      <c r="C141" s="36">
        <v>50590</v>
      </c>
      <c r="D141" s="74" t="s">
        <v>615</v>
      </c>
      <c r="E141" s="36"/>
      <c r="F141" s="74"/>
      <c r="G141" s="74" t="s">
        <v>694</v>
      </c>
      <c r="H141" s="36"/>
      <c r="I141" s="36"/>
      <c r="J141" s="36"/>
      <c r="K141" s="36"/>
      <c r="L141" s="36"/>
      <c r="M141" s="36"/>
      <c r="N141" s="36"/>
      <c r="O141" s="36"/>
      <c r="P141" s="36"/>
      <c r="Q141" s="36"/>
      <c r="R141" s="36"/>
      <c r="S141" s="36"/>
      <c r="T141" s="36"/>
      <c r="U141" s="36"/>
    </row>
    <row r="142" spans="1:21">
      <c r="A142" s="74" t="s">
        <v>250</v>
      </c>
      <c r="B142" s="36">
        <v>132540</v>
      </c>
      <c r="C142" s="36">
        <v>50590</v>
      </c>
      <c r="D142" s="74" t="s">
        <v>615</v>
      </c>
      <c r="E142" s="36"/>
      <c r="F142" s="74"/>
      <c r="G142" s="74" t="s">
        <v>694</v>
      </c>
      <c r="H142" s="36"/>
      <c r="I142" s="36"/>
      <c r="J142" s="36"/>
      <c r="K142" s="36"/>
      <c r="L142" s="36"/>
      <c r="M142" s="36"/>
      <c r="N142" s="36"/>
      <c r="O142" s="36"/>
      <c r="P142" s="36"/>
      <c r="Q142" s="36"/>
      <c r="R142" s="36"/>
      <c r="S142" s="36"/>
      <c r="T142" s="36"/>
      <c r="U142" s="36"/>
    </row>
    <row r="143" spans="1:21">
      <c r="A143" s="74" t="s">
        <v>250</v>
      </c>
      <c r="B143" s="36">
        <v>132541</v>
      </c>
      <c r="C143" s="36">
        <v>50590</v>
      </c>
      <c r="D143" s="74" t="s">
        <v>615</v>
      </c>
      <c r="E143" s="36"/>
      <c r="F143" s="74"/>
      <c r="G143" s="74" t="s">
        <v>694</v>
      </c>
      <c r="H143" s="36"/>
      <c r="I143" s="36"/>
      <c r="J143" s="36"/>
      <c r="K143" s="36"/>
      <c r="L143" s="36"/>
      <c r="M143" s="36"/>
      <c r="N143" s="36"/>
      <c r="O143" s="36"/>
      <c r="P143" s="36"/>
      <c r="Q143" s="36"/>
      <c r="R143" s="36"/>
      <c r="S143" s="36"/>
      <c r="T143" s="36"/>
      <c r="U143" s="36"/>
    </row>
    <row r="144" spans="1:21">
      <c r="A144" s="74" t="s">
        <v>250</v>
      </c>
      <c r="B144" s="36">
        <v>132542</v>
      </c>
      <c r="C144" s="36">
        <v>50590</v>
      </c>
      <c r="D144" s="74" t="s">
        <v>615</v>
      </c>
      <c r="E144" s="36"/>
      <c r="F144" s="74"/>
      <c r="G144" s="74" t="s">
        <v>694</v>
      </c>
      <c r="H144" s="36"/>
      <c r="I144" s="36"/>
      <c r="J144" s="36"/>
      <c r="K144" s="36"/>
      <c r="L144" s="36"/>
      <c r="M144" s="36"/>
      <c r="N144" s="36"/>
      <c r="O144" s="36"/>
      <c r="P144" s="36"/>
      <c r="Q144" s="36"/>
      <c r="R144" s="36"/>
      <c r="S144" s="36"/>
      <c r="T144" s="36"/>
      <c r="U144" s="36"/>
    </row>
    <row r="145" spans="1:21">
      <c r="A145" s="74" t="s">
        <v>250</v>
      </c>
      <c r="B145" s="36">
        <v>132543</v>
      </c>
      <c r="C145" s="36">
        <v>50590</v>
      </c>
      <c r="D145" s="74" t="s">
        <v>615</v>
      </c>
      <c r="E145" s="36"/>
      <c r="F145" s="74"/>
      <c r="G145" s="74" t="s">
        <v>694</v>
      </c>
      <c r="H145" s="36"/>
      <c r="I145" s="36"/>
      <c r="J145" s="36"/>
      <c r="K145" s="36"/>
      <c r="L145" s="36"/>
      <c r="M145" s="36"/>
      <c r="N145" s="36"/>
      <c r="O145" s="36"/>
      <c r="P145" s="36"/>
      <c r="Q145" s="36"/>
      <c r="R145" s="36"/>
      <c r="S145" s="36"/>
      <c r="T145" s="36"/>
      <c r="U145" s="36"/>
    </row>
    <row r="146" spans="1:21">
      <c r="A146" s="74" t="s">
        <v>250</v>
      </c>
      <c r="B146" s="36">
        <v>132544</v>
      </c>
      <c r="C146" s="36">
        <v>50590</v>
      </c>
      <c r="D146" s="74" t="s">
        <v>615</v>
      </c>
      <c r="E146" s="36"/>
      <c r="F146" s="74"/>
      <c r="G146" s="74" t="s">
        <v>694</v>
      </c>
      <c r="H146" s="36"/>
      <c r="I146" s="36"/>
      <c r="J146" s="36"/>
      <c r="K146" s="36"/>
      <c r="L146" s="36"/>
      <c r="M146" s="36"/>
      <c r="N146" s="36"/>
      <c r="O146" s="36"/>
      <c r="P146" s="36"/>
      <c r="Q146" s="36"/>
      <c r="R146" s="36"/>
      <c r="S146" s="36"/>
      <c r="T146" s="36"/>
      <c r="U146" s="36"/>
    </row>
    <row r="147" spans="1:21">
      <c r="A147" s="74" t="s">
        <v>250</v>
      </c>
      <c r="B147" s="36">
        <v>132533</v>
      </c>
      <c r="C147" s="36">
        <v>50590</v>
      </c>
      <c r="D147" s="74" t="s">
        <v>615</v>
      </c>
      <c r="E147" s="36"/>
      <c r="F147" s="74"/>
      <c r="G147" s="74" t="s">
        <v>694</v>
      </c>
      <c r="H147" s="36"/>
      <c r="I147" s="36"/>
      <c r="J147" s="36"/>
      <c r="K147" s="36"/>
      <c r="L147" s="36"/>
      <c r="M147" s="36"/>
      <c r="N147" s="36"/>
      <c r="O147" s="36"/>
      <c r="P147" s="36"/>
      <c r="Q147" s="36"/>
      <c r="R147" s="36"/>
      <c r="S147" s="36"/>
      <c r="T147" s="36"/>
      <c r="U147" s="36"/>
    </row>
    <row r="148" spans="1:21">
      <c r="A148" s="74" t="s">
        <v>250</v>
      </c>
      <c r="B148" s="36">
        <v>132559</v>
      </c>
      <c r="C148" s="36">
        <v>49090</v>
      </c>
      <c r="D148" s="74" t="s">
        <v>614</v>
      </c>
      <c r="E148" s="36"/>
      <c r="F148" s="74"/>
      <c r="G148" s="74" t="s">
        <v>692</v>
      </c>
      <c r="H148" s="36"/>
      <c r="I148" s="36"/>
      <c r="J148" s="36"/>
      <c r="K148" s="36"/>
      <c r="L148" s="36"/>
      <c r="M148" s="36"/>
      <c r="N148" s="36"/>
      <c r="O148" s="36"/>
      <c r="P148" s="36"/>
      <c r="Q148" s="36"/>
      <c r="R148" s="36"/>
      <c r="S148" s="36"/>
      <c r="T148" s="36"/>
      <c r="U148" s="36"/>
    </row>
    <row r="149" spans="1:21">
      <c r="A149" s="74" t="s">
        <v>250</v>
      </c>
      <c r="B149" s="36">
        <v>341420</v>
      </c>
      <c r="C149" s="36">
        <v>49090</v>
      </c>
      <c r="D149" s="74" t="s">
        <v>614</v>
      </c>
      <c r="E149" s="36"/>
      <c r="F149" s="74"/>
      <c r="G149" s="74" t="s">
        <v>692</v>
      </c>
      <c r="H149" s="36"/>
      <c r="I149" s="36"/>
      <c r="J149" s="36"/>
      <c r="K149" s="36"/>
      <c r="L149" s="36"/>
      <c r="M149" s="36"/>
      <c r="N149" s="36"/>
      <c r="O149" s="36"/>
      <c r="P149" s="36"/>
      <c r="Q149" s="36"/>
      <c r="R149" s="36"/>
      <c r="S149" s="36"/>
      <c r="T149" s="36"/>
      <c r="U149" s="36"/>
    </row>
    <row r="150" spans="1:21">
      <c r="A150" s="74" t="s">
        <v>250</v>
      </c>
      <c r="B150" s="36">
        <v>341419</v>
      </c>
      <c r="C150" s="36">
        <v>49090</v>
      </c>
      <c r="D150" s="74" t="s">
        <v>614</v>
      </c>
      <c r="E150" s="36"/>
      <c r="F150" s="74"/>
      <c r="G150" s="74" t="s">
        <v>692</v>
      </c>
      <c r="H150" s="36"/>
      <c r="I150" s="36"/>
      <c r="J150" s="36"/>
      <c r="K150" s="36"/>
      <c r="L150" s="36"/>
      <c r="M150" s="36"/>
      <c r="N150" s="36"/>
      <c r="O150" s="36"/>
      <c r="P150" s="36"/>
      <c r="Q150" s="36"/>
      <c r="R150" s="36"/>
      <c r="S150" s="36"/>
      <c r="T150" s="36"/>
      <c r="U150" s="36"/>
    </row>
    <row r="151" spans="1:21">
      <c r="A151" s="74" t="s">
        <v>250</v>
      </c>
      <c r="B151" s="36">
        <v>341431</v>
      </c>
      <c r="C151" s="36">
        <v>49090</v>
      </c>
      <c r="D151" s="74" t="s">
        <v>614</v>
      </c>
      <c r="E151" s="36"/>
      <c r="F151" s="74"/>
      <c r="G151" s="74" t="s">
        <v>692</v>
      </c>
      <c r="H151" s="36"/>
      <c r="I151" s="36"/>
      <c r="J151" s="36"/>
      <c r="K151" s="36"/>
      <c r="L151" s="36"/>
      <c r="M151" s="36"/>
      <c r="N151" s="36"/>
      <c r="O151" s="36"/>
      <c r="P151" s="36"/>
      <c r="Q151" s="36"/>
      <c r="R151" s="36"/>
      <c r="S151" s="36"/>
      <c r="T151" s="36"/>
      <c r="U151" s="36"/>
    </row>
    <row r="152" spans="1:21">
      <c r="A152" s="74" t="s">
        <v>250</v>
      </c>
      <c r="B152" s="36">
        <v>341430</v>
      </c>
      <c r="C152" s="36">
        <v>49090</v>
      </c>
      <c r="D152" s="74" t="s">
        <v>614</v>
      </c>
      <c r="E152" s="36"/>
      <c r="F152" s="74"/>
      <c r="G152" s="74" t="s">
        <v>692</v>
      </c>
      <c r="H152" s="36"/>
      <c r="I152" s="36"/>
      <c r="J152" s="36"/>
      <c r="K152" s="36"/>
      <c r="L152" s="36"/>
      <c r="M152" s="36"/>
      <c r="N152" s="36"/>
      <c r="O152" s="36"/>
      <c r="P152" s="36"/>
      <c r="Q152" s="36"/>
      <c r="R152" s="36"/>
      <c r="S152" s="36"/>
      <c r="T152" s="36"/>
      <c r="U152" s="36"/>
    </row>
    <row r="153" spans="1:21">
      <c r="A153" s="74" t="s">
        <v>250</v>
      </c>
      <c r="B153" s="36">
        <v>341422</v>
      </c>
      <c r="C153" s="36">
        <v>49090</v>
      </c>
      <c r="D153" s="74" t="s">
        <v>614</v>
      </c>
      <c r="E153" s="36"/>
      <c r="F153" s="74"/>
      <c r="G153" s="74" t="s">
        <v>692</v>
      </c>
      <c r="H153" s="36"/>
      <c r="I153" s="36" t="s">
        <v>654</v>
      </c>
      <c r="J153" s="36"/>
      <c r="K153" s="36"/>
      <c r="L153" s="36"/>
      <c r="M153" s="36"/>
      <c r="N153" s="36"/>
      <c r="O153" s="36"/>
      <c r="P153" s="36"/>
      <c r="Q153" s="36"/>
      <c r="R153" s="36"/>
      <c r="S153" s="36"/>
      <c r="T153" s="36"/>
      <c r="U153" s="36"/>
    </row>
    <row r="154" spans="1:21">
      <c r="A154" s="74" t="s">
        <v>250</v>
      </c>
      <c r="B154" s="36">
        <v>341423</v>
      </c>
      <c r="C154" s="36">
        <v>49090</v>
      </c>
      <c r="D154" s="74" t="s">
        <v>614</v>
      </c>
      <c r="E154" s="36"/>
      <c r="F154" s="74"/>
      <c r="G154" s="74" t="s">
        <v>692</v>
      </c>
      <c r="H154" s="36"/>
      <c r="I154" s="36" t="s">
        <v>654</v>
      </c>
      <c r="J154" s="36"/>
      <c r="K154" s="36"/>
      <c r="L154" s="36"/>
      <c r="M154" s="36"/>
      <c r="N154" s="36"/>
      <c r="O154" s="36"/>
      <c r="P154" s="36"/>
      <c r="Q154" s="36"/>
      <c r="R154" s="36"/>
      <c r="S154" s="36"/>
      <c r="T154" s="36"/>
      <c r="U154" s="36"/>
    </row>
    <row r="155" spans="1:21">
      <c r="A155" s="74" t="s">
        <v>250</v>
      </c>
      <c r="B155" s="36">
        <v>341424</v>
      </c>
      <c r="C155" s="36">
        <v>49090</v>
      </c>
      <c r="D155" s="74" t="s">
        <v>614</v>
      </c>
      <c r="E155" s="36"/>
      <c r="F155" s="74"/>
      <c r="G155" s="74" t="s">
        <v>692</v>
      </c>
      <c r="H155" s="36"/>
      <c r="I155" s="36" t="s">
        <v>654</v>
      </c>
      <c r="J155" s="36"/>
      <c r="K155" s="36"/>
      <c r="L155" s="36"/>
      <c r="M155" s="36"/>
      <c r="N155" s="36"/>
      <c r="O155" s="36"/>
      <c r="P155" s="36"/>
      <c r="Q155" s="36"/>
      <c r="R155" s="36"/>
      <c r="S155" s="36"/>
      <c r="T155" s="36"/>
      <c r="U155" s="36"/>
    </row>
    <row r="156" spans="1:21">
      <c r="A156" s="74" t="s">
        <v>250</v>
      </c>
      <c r="B156" s="36">
        <v>341425</v>
      </c>
      <c r="C156" s="36">
        <v>49090</v>
      </c>
      <c r="D156" s="74" t="s">
        <v>614</v>
      </c>
      <c r="E156" s="36"/>
      <c r="F156" s="74"/>
      <c r="G156" s="74" t="s">
        <v>692</v>
      </c>
      <c r="H156" s="36"/>
      <c r="I156" s="36"/>
      <c r="J156" s="36"/>
      <c r="K156" s="36"/>
      <c r="L156" s="36"/>
      <c r="M156" s="36"/>
      <c r="N156" s="36"/>
      <c r="O156" s="36"/>
      <c r="P156" s="36"/>
      <c r="Q156" s="36"/>
      <c r="R156" s="36"/>
      <c r="S156" s="36"/>
      <c r="T156" s="36"/>
      <c r="U156" s="36"/>
    </row>
    <row r="157" spans="1:21">
      <c r="A157" s="74" t="s">
        <v>250</v>
      </c>
      <c r="B157" s="36">
        <v>341428</v>
      </c>
      <c r="C157" s="36">
        <v>49090</v>
      </c>
      <c r="D157" s="74" t="s">
        <v>614</v>
      </c>
      <c r="E157" s="36"/>
      <c r="F157" s="74"/>
      <c r="G157" s="74" t="s">
        <v>692</v>
      </c>
      <c r="H157" s="36"/>
      <c r="I157" s="36"/>
      <c r="J157" s="36"/>
      <c r="K157" s="36"/>
      <c r="L157" s="36"/>
      <c r="M157" s="36"/>
      <c r="N157" s="36"/>
      <c r="O157" s="36"/>
      <c r="P157" s="36"/>
      <c r="Q157" s="36"/>
      <c r="R157" s="36"/>
      <c r="S157" s="36"/>
      <c r="T157" s="36"/>
      <c r="U157" s="36"/>
    </row>
    <row r="158" spans="1:21">
      <c r="A158" s="74" t="s">
        <v>250</v>
      </c>
      <c r="B158" s="36">
        <v>341426</v>
      </c>
      <c r="C158" s="36">
        <v>49090</v>
      </c>
      <c r="D158" s="74" t="s">
        <v>614</v>
      </c>
      <c r="E158" s="36"/>
      <c r="F158" s="74"/>
      <c r="G158" s="74" t="s">
        <v>692</v>
      </c>
      <c r="H158" s="36"/>
      <c r="I158" s="36"/>
      <c r="J158" s="36"/>
      <c r="K158" s="36"/>
      <c r="L158" s="36"/>
      <c r="M158" s="36"/>
      <c r="N158" s="36"/>
      <c r="O158" s="36"/>
      <c r="P158" s="36"/>
      <c r="Q158" s="36"/>
      <c r="R158" s="36"/>
      <c r="S158" s="36"/>
      <c r="T158" s="36"/>
      <c r="U158" s="36"/>
    </row>
    <row r="159" spans="1:21">
      <c r="A159" s="74" t="s">
        <v>250</v>
      </c>
      <c r="B159" s="36">
        <v>341427</v>
      </c>
      <c r="C159" s="36">
        <v>49090</v>
      </c>
      <c r="D159" s="74" t="s">
        <v>614</v>
      </c>
      <c r="E159" s="36"/>
      <c r="F159" s="74"/>
      <c r="G159" s="74" t="s">
        <v>692</v>
      </c>
      <c r="H159" s="36"/>
      <c r="I159" s="36"/>
      <c r="J159" s="36"/>
      <c r="K159" s="36"/>
      <c r="L159" s="36"/>
      <c r="M159" s="36"/>
      <c r="N159" s="36"/>
      <c r="O159" s="36"/>
      <c r="P159" s="36"/>
      <c r="Q159" s="36"/>
      <c r="R159" s="36"/>
      <c r="S159" s="36"/>
      <c r="T159" s="36"/>
      <c r="U159" s="36"/>
    </row>
    <row r="160" spans="1:21">
      <c r="A160" s="74" t="s">
        <v>250</v>
      </c>
      <c r="B160" s="36">
        <v>341429</v>
      </c>
      <c r="C160" s="36">
        <v>49090</v>
      </c>
      <c r="D160" s="74" t="s">
        <v>614</v>
      </c>
      <c r="E160" s="36"/>
      <c r="F160" s="74"/>
      <c r="G160" s="74" t="s">
        <v>692</v>
      </c>
      <c r="H160" s="36"/>
      <c r="I160" s="36"/>
      <c r="J160" s="36"/>
      <c r="K160" s="36"/>
      <c r="L160" s="36"/>
      <c r="M160" s="36"/>
      <c r="N160" s="36"/>
      <c r="O160" s="36"/>
      <c r="P160" s="36"/>
      <c r="Q160" s="36"/>
      <c r="R160" s="36"/>
      <c r="S160" s="36"/>
      <c r="T160" s="36"/>
      <c r="U160" s="36"/>
    </row>
    <row r="161" spans="1:21">
      <c r="A161" s="74" t="s">
        <v>250</v>
      </c>
      <c r="B161" s="36">
        <v>341421</v>
      </c>
      <c r="C161" s="36">
        <v>49090</v>
      </c>
      <c r="D161" s="74" t="s">
        <v>614</v>
      </c>
      <c r="E161" s="36"/>
      <c r="F161" s="74"/>
      <c r="G161" s="74" t="s">
        <v>692</v>
      </c>
      <c r="H161" s="36"/>
      <c r="I161" s="36"/>
      <c r="J161" s="36"/>
      <c r="K161" s="36"/>
      <c r="L161" s="36"/>
      <c r="M161" s="36"/>
      <c r="N161" s="36"/>
      <c r="O161" s="36"/>
      <c r="P161" s="36"/>
      <c r="Q161" s="36"/>
      <c r="R161" s="36"/>
      <c r="S161" s="36"/>
      <c r="T161" s="36"/>
      <c r="U161" s="36"/>
    </row>
    <row r="162" spans="1:21">
      <c r="A162" s="74" t="s">
        <v>250</v>
      </c>
      <c r="B162" s="36">
        <v>132548</v>
      </c>
      <c r="C162" s="36">
        <v>49090</v>
      </c>
      <c r="D162" s="74" t="s">
        <v>614</v>
      </c>
      <c r="E162" s="36"/>
      <c r="F162" s="74"/>
      <c r="G162" s="74" t="s">
        <v>692</v>
      </c>
      <c r="H162" s="36"/>
      <c r="I162" s="36"/>
      <c r="J162" s="36"/>
      <c r="K162" s="36"/>
      <c r="L162" s="36"/>
      <c r="M162" s="36"/>
      <c r="N162" s="36"/>
      <c r="O162" s="36"/>
      <c r="P162" s="36"/>
      <c r="Q162" s="36"/>
      <c r="R162" s="36"/>
      <c r="S162" s="36"/>
      <c r="T162" s="36"/>
      <c r="U162" s="36"/>
    </row>
    <row r="163" spans="1:21">
      <c r="A163" s="74" t="s">
        <v>250</v>
      </c>
      <c r="B163" s="36">
        <v>132549</v>
      </c>
      <c r="C163" s="36">
        <v>49090</v>
      </c>
      <c r="D163" s="74" t="s">
        <v>614</v>
      </c>
      <c r="E163" s="36"/>
      <c r="F163" s="74"/>
      <c r="G163" s="74" t="s">
        <v>692</v>
      </c>
      <c r="H163" s="36"/>
      <c r="I163" s="36"/>
      <c r="J163" s="36"/>
      <c r="K163" s="36"/>
      <c r="L163" s="36"/>
      <c r="M163" s="36"/>
      <c r="N163" s="36"/>
      <c r="O163" s="36"/>
      <c r="P163" s="36"/>
      <c r="Q163" s="36"/>
      <c r="R163" s="36"/>
      <c r="S163" s="36"/>
      <c r="T163" s="36"/>
      <c r="U163" s="36"/>
    </row>
    <row r="164" spans="1:21">
      <c r="A164" s="74" t="s">
        <v>250</v>
      </c>
      <c r="B164" s="36">
        <v>132550</v>
      </c>
      <c r="C164" s="36">
        <v>49090</v>
      </c>
      <c r="D164" s="74" t="s">
        <v>614</v>
      </c>
      <c r="E164" s="36"/>
      <c r="F164" s="74"/>
      <c r="G164" s="74" t="s">
        <v>692</v>
      </c>
      <c r="H164" s="36"/>
      <c r="I164" s="36"/>
      <c r="J164" s="36"/>
      <c r="K164" s="36"/>
      <c r="L164" s="36"/>
      <c r="M164" s="36"/>
      <c r="N164" s="36"/>
      <c r="O164" s="36"/>
      <c r="P164" s="36"/>
      <c r="Q164" s="36"/>
      <c r="R164" s="36"/>
      <c r="S164" s="36"/>
      <c r="T164" s="36"/>
      <c r="U164" s="36"/>
    </row>
    <row r="165" spans="1:21">
      <c r="A165" s="74" t="s">
        <v>250</v>
      </c>
      <c r="B165" s="36">
        <v>132551</v>
      </c>
      <c r="C165" s="36">
        <v>49090</v>
      </c>
      <c r="D165" s="74" t="s">
        <v>614</v>
      </c>
      <c r="E165" s="36"/>
      <c r="F165" s="74"/>
      <c r="G165" s="74" t="s">
        <v>692</v>
      </c>
      <c r="H165" s="36"/>
      <c r="I165" s="36"/>
      <c r="J165" s="36"/>
      <c r="K165" s="36"/>
      <c r="L165" s="36"/>
      <c r="M165" s="36"/>
      <c r="N165" s="36"/>
      <c r="O165" s="36"/>
      <c r="P165" s="36"/>
      <c r="Q165" s="36"/>
      <c r="R165" s="36"/>
      <c r="S165" s="36"/>
      <c r="T165" s="36"/>
      <c r="U165" s="36"/>
    </row>
    <row r="166" spans="1:21">
      <c r="A166" s="74" t="s">
        <v>250</v>
      </c>
      <c r="B166" s="36">
        <v>132552</v>
      </c>
      <c r="C166" s="36">
        <v>49090</v>
      </c>
      <c r="D166" s="74" t="s">
        <v>614</v>
      </c>
      <c r="E166" s="36"/>
      <c r="F166" s="74"/>
      <c r="G166" s="74" t="s">
        <v>692</v>
      </c>
      <c r="H166" s="36"/>
      <c r="I166" s="36"/>
      <c r="J166" s="36"/>
      <c r="K166" s="36"/>
      <c r="L166" s="36"/>
      <c r="M166" s="36"/>
      <c r="N166" s="36"/>
      <c r="O166" s="36"/>
      <c r="P166" s="36"/>
      <c r="Q166" s="36"/>
      <c r="R166" s="36"/>
      <c r="S166" s="36"/>
      <c r="T166" s="36"/>
      <c r="U166" s="36"/>
    </row>
    <row r="167" spans="1:21">
      <c r="A167" s="74" t="s">
        <v>250</v>
      </c>
      <c r="B167" s="36">
        <v>132553</v>
      </c>
      <c r="C167" s="36">
        <v>49090</v>
      </c>
      <c r="D167" s="74" t="s">
        <v>614</v>
      </c>
      <c r="E167" s="36"/>
      <c r="F167" s="74"/>
      <c r="G167" s="74" t="s">
        <v>692</v>
      </c>
      <c r="H167" s="36"/>
      <c r="I167" s="36"/>
      <c r="J167" s="36"/>
      <c r="K167" s="36"/>
      <c r="L167" s="36"/>
      <c r="M167" s="36"/>
      <c r="N167" s="36"/>
      <c r="O167" s="36"/>
      <c r="P167" s="36"/>
      <c r="Q167" s="36"/>
      <c r="R167" s="36"/>
      <c r="S167" s="36"/>
      <c r="T167" s="36"/>
      <c r="U167" s="36"/>
    </row>
    <row r="168" spans="1:21">
      <c r="A168" s="74" t="s">
        <v>250</v>
      </c>
      <c r="B168" s="36">
        <v>132554</v>
      </c>
      <c r="C168" s="36">
        <v>49090</v>
      </c>
      <c r="D168" s="74" t="s">
        <v>614</v>
      </c>
      <c r="E168" s="36"/>
      <c r="F168" s="74"/>
      <c r="G168" s="74" t="s">
        <v>692</v>
      </c>
      <c r="H168" s="36"/>
      <c r="I168" s="36"/>
      <c r="J168" s="36"/>
      <c r="K168" s="36"/>
      <c r="L168" s="36"/>
      <c r="M168" s="36"/>
      <c r="N168" s="36"/>
      <c r="O168" s="36"/>
      <c r="P168" s="36"/>
      <c r="Q168" s="36"/>
      <c r="R168" s="36"/>
      <c r="S168" s="36"/>
      <c r="T168" s="36"/>
      <c r="U168" s="36"/>
    </row>
    <row r="169" spans="1:21">
      <c r="A169" s="74" t="s">
        <v>250</v>
      </c>
      <c r="B169" s="36">
        <v>132555</v>
      </c>
      <c r="C169" s="36">
        <v>49090</v>
      </c>
      <c r="D169" s="74" t="s">
        <v>614</v>
      </c>
      <c r="E169" s="36"/>
      <c r="F169" s="74"/>
      <c r="G169" s="74" t="s">
        <v>692</v>
      </c>
      <c r="H169" s="36"/>
      <c r="I169" s="36"/>
      <c r="J169" s="36"/>
      <c r="K169" s="36"/>
      <c r="L169" s="36"/>
      <c r="M169" s="36"/>
      <c r="N169" s="36"/>
      <c r="O169" s="36"/>
      <c r="P169" s="36"/>
      <c r="Q169" s="36"/>
      <c r="R169" s="36"/>
      <c r="S169" s="36"/>
      <c r="T169" s="36"/>
      <c r="U169" s="36"/>
    </row>
    <row r="170" spans="1:21">
      <c r="A170" s="74" t="s">
        <v>250</v>
      </c>
      <c r="B170" s="36">
        <v>132556</v>
      </c>
      <c r="C170" s="36">
        <v>49090</v>
      </c>
      <c r="D170" s="74" t="s">
        <v>614</v>
      </c>
      <c r="E170" s="36"/>
      <c r="F170" s="74"/>
      <c r="G170" s="74" t="s">
        <v>692</v>
      </c>
      <c r="H170" s="36"/>
      <c r="I170" s="36"/>
      <c r="J170" s="36"/>
      <c r="K170" s="36"/>
      <c r="L170" s="36"/>
      <c r="M170" s="36"/>
      <c r="N170" s="36"/>
      <c r="O170" s="36"/>
      <c r="P170" s="36"/>
      <c r="Q170" s="36"/>
      <c r="R170" s="36"/>
      <c r="S170" s="36"/>
      <c r="T170" s="36"/>
      <c r="U170" s="36"/>
    </row>
    <row r="171" spans="1:21">
      <c r="A171" s="74" t="s">
        <v>250</v>
      </c>
      <c r="B171" s="36">
        <v>132557</v>
      </c>
      <c r="C171" s="36">
        <v>49090</v>
      </c>
      <c r="D171" s="74" t="s">
        <v>614</v>
      </c>
      <c r="E171" s="36"/>
      <c r="F171" s="74"/>
      <c r="G171" s="74" t="s">
        <v>692</v>
      </c>
      <c r="H171" s="36"/>
      <c r="I171" s="36"/>
      <c r="J171" s="36"/>
      <c r="K171" s="36"/>
      <c r="L171" s="36"/>
      <c r="M171" s="36"/>
      <c r="N171" s="36"/>
      <c r="O171" s="36"/>
      <c r="P171" s="36"/>
      <c r="Q171" s="36"/>
      <c r="R171" s="36"/>
      <c r="S171" s="36"/>
      <c r="T171" s="36"/>
      <c r="U171" s="36"/>
    </row>
    <row r="172" spans="1:21">
      <c r="A172" s="74" t="s">
        <v>250</v>
      </c>
      <c r="B172" s="36">
        <v>132558</v>
      </c>
      <c r="C172" s="36">
        <v>49090</v>
      </c>
      <c r="D172" s="74" t="s">
        <v>614</v>
      </c>
      <c r="E172" s="36"/>
      <c r="F172" s="74"/>
      <c r="G172" s="74" t="s">
        <v>692</v>
      </c>
      <c r="H172" s="36"/>
      <c r="I172" s="36"/>
      <c r="J172" s="36"/>
      <c r="K172" s="36"/>
      <c r="L172" s="36"/>
      <c r="M172" s="36"/>
      <c r="N172" s="36"/>
      <c r="O172" s="36"/>
      <c r="P172" s="36"/>
      <c r="Q172" s="36"/>
      <c r="R172" s="36"/>
      <c r="S172" s="36"/>
      <c r="T172" s="36"/>
      <c r="U172" s="36"/>
    </row>
    <row r="173" spans="1:21">
      <c r="A173" s="74" t="s">
        <v>250</v>
      </c>
      <c r="B173" s="36">
        <v>132547</v>
      </c>
      <c r="C173" s="36">
        <v>49090</v>
      </c>
      <c r="D173" s="74" t="s">
        <v>614</v>
      </c>
      <c r="E173" s="36"/>
      <c r="F173" s="74"/>
      <c r="G173" s="74" t="s">
        <v>692</v>
      </c>
      <c r="H173" s="36"/>
      <c r="I173" s="36"/>
      <c r="J173" s="36"/>
      <c r="K173" s="36"/>
      <c r="L173" s="36"/>
      <c r="M173" s="36"/>
      <c r="N173" s="36"/>
      <c r="O173" s="36"/>
      <c r="P173" s="36"/>
      <c r="Q173" s="36"/>
      <c r="R173" s="36"/>
      <c r="S173" s="36"/>
      <c r="T173" s="36"/>
      <c r="U173" s="36"/>
    </row>
    <row r="174" spans="1:21">
      <c r="A174" s="74" t="s">
        <v>250</v>
      </c>
      <c r="B174" s="36">
        <v>132572</v>
      </c>
      <c r="C174" s="36">
        <v>51390</v>
      </c>
      <c r="D174" s="74" t="s">
        <v>623</v>
      </c>
      <c r="E174" s="36"/>
      <c r="F174" s="74"/>
      <c r="G174" s="74" t="s">
        <v>696</v>
      </c>
      <c r="H174" s="36"/>
      <c r="I174" s="36"/>
      <c r="J174" s="36"/>
      <c r="K174" s="36"/>
      <c r="L174" s="36"/>
      <c r="M174" s="36"/>
      <c r="N174" s="36"/>
      <c r="O174" s="36"/>
      <c r="P174" s="36"/>
      <c r="Q174" s="36"/>
      <c r="R174" s="36"/>
      <c r="S174" s="36"/>
      <c r="T174" s="36"/>
      <c r="U174" s="36"/>
    </row>
    <row r="175" spans="1:21">
      <c r="A175" s="74" t="s">
        <v>250</v>
      </c>
      <c r="B175" s="36">
        <v>341441</v>
      </c>
      <c r="C175" s="36">
        <v>51390</v>
      </c>
      <c r="D175" s="74" t="s">
        <v>623</v>
      </c>
      <c r="E175" s="36"/>
      <c r="F175" s="74"/>
      <c r="G175" s="74" t="s">
        <v>696</v>
      </c>
      <c r="H175" s="36"/>
      <c r="I175" s="36"/>
      <c r="J175" s="36"/>
      <c r="K175" s="36"/>
      <c r="L175" s="36"/>
      <c r="M175" s="36"/>
      <c r="N175" s="36"/>
      <c r="O175" s="36"/>
      <c r="P175" s="36"/>
      <c r="Q175" s="36"/>
      <c r="R175" s="36"/>
      <c r="S175" s="36"/>
      <c r="T175" s="36"/>
      <c r="U175" s="36"/>
    </row>
    <row r="176" spans="1:21">
      <c r="A176" s="74" t="s">
        <v>250</v>
      </c>
      <c r="B176" s="36">
        <v>341440</v>
      </c>
      <c r="C176" s="36">
        <v>51390</v>
      </c>
      <c r="D176" s="74" t="s">
        <v>623</v>
      </c>
      <c r="E176" s="36"/>
      <c r="F176" s="74"/>
      <c r="G176" s="74" t="s">
        <v>696</v>
      </c>
      <c r="H176" s="36"/>
      <c r="I176" s="36" t="s">
        <v>654</v>
      </c>
      <c r="J176" s="36"/>
      <c r="K176" s="36"/>
      <c r="L176" s="36"/>
      <c r="M176" s="36"/>
      <c r="N176" s="36"/>
      <c r="O176" s="36"/>
      <c r="P176" s="36"/>
      <c r="Q176" s="36"/>
      <c r="R176" s="36"/>
      <c r="S176" s="36"/>
      <c r="T176" s="36"/>
      <c r="U176" s="36"/>
    </row>
    <row r="177" spans="1:21">
      <c r="A177" s="74" t="s">
        <v>250</v>
      </c>
      <c r="B177" s="36">
        <v>341452</v>
      </c>
      <c r="C177" s="36">
        <v>51390</v>
      </c>
      <c r="D177" s="74" t="s">
        <v>623</v>
      </c>
      <c r="E177" s="36"/>
      <c r="F177" s="74"/>
      <c r="G177" s="74" t="s">
        <v>696</v>
      </c>
      <c r="H177" s="36"/>
      <c r="I177" s="36"/>
      <c r="J177" s="36"/>
      <c r="K177" s="36"/>
      <c r="L177" s="36"/>
      <c r="M177" s="36"/>
      <c r="N177" s="36"/>
      <c r="O177" s="36"/>
      <c r="P177" s="36"/>
      <c r="Q177" s="36"/>
      <c r="R177" s="36"/>
      <c r="S177" s="36"/>
      <c r="T177" s="36"/>
      <c r="U177" s="36"/>
    </row>
    <row r="178" spans="1:21">
      <c r="A178" s="74" t="s">
        <v>250</v>
      </c>
      <c r="B178" s="36">
        <v>341451</v>
      </c>
      <c r="C178" s="36">
        <v>51390</v>
      </c>
      <c r="D178" s="74" t="s">
        <v>623</v>
      </c>
      <c r="E178" s="36"/>
      <c r="F178" s="74"/>
      <c r="G178" s="74" t="s">
        <v>696</v>
      </c>
      <c r="H178" s="36"/>
      <c r="I178" s="36"/>
      <c r="J178" s="36"/>
      <c r="K178" s="36"/>
      <c r="L178" s="36"/>
      <c r="M178" s="36"/>
      <c r="N178" s="36"/>
      <c r="O178" s="36"/>
      <c r="P178" s="36"/>
      <c r="Q178" s="36"/>
      <c r="R178" s="36"/>
      <c r="S178" s="36"/>
      <c r="T178" s="36"/>
      <c r="U178" s="36"/>
    </row>
    <row r="179" spans="1:21">
      <c r="A179" s="74" t="s">
        <v>250</v>
      </c>
      <c r="B179" s="36">
        <v>341443</v>
      </c>
      <c r="C179" s="36">
        <v>51390</v>
      </c>
      <c r="D179" s="74" t="s">
        <v>623</v>
      </c>
      <c r="E179" s="36"/>
      <c r="F179" s="74"/>
      <c r="G179" s="74" t="s">
        <v>696</v>
      </c>
      <c r="H179" s="36"/>
      <c r="I179" s="36"/>
      <c r="J179" s="36"/>
      <c r="K179" s="36"/>
      <c r="L179" s="36"/>
      <c r="M179" s="36"/>
      <c r="N179" s="36"/>
      <c r="O179" s="36"/>
      <c r="P179" s="36"/>
      <c r="Q179" s="36"/>
      <c r="R179" s="36"/>
      <c r="S179" s="36"/>
      <c r="T179" s="36"/>
      <c r="U179" s="36"/>
    </row>
    <row r="180" spans="1:21">
      <c r="A180" s="74" t="s">
        <v>250</v>
      </c>
      <c r="B180" s="36">
        <v>341444</v>
      </c>
      <c r="C180" s="36">
        <v>51390</v>
      </c>
      <c r="D180" s="74" t="s">
        <v>623</v>
      </c>
      <c r="E180" s="36"/>
      <c r="F180" s="74"/>
      <c r="G180" s="74" t="s">
        <v>696</v>
      </c>
      <c r="H180" s="36"/>
      <c r="I180" s="36"/>
      <c r="J180" s="36"/>
      <c r="K180" s="36"/>
      <c r="L180" s="36"/>
      <c r="M180" s="36"/>
      <c r="N180" s="36"/>
      <c r="O180" s="36"/>
      <c r="P180" s="36"/>
      <c r="Q180" s="36"/>
      <c r="R180" s="36"/>
      <c r="S180" s="36"/>
      <c r="T180" s="36"/>
      <c r="U180" s="36"/>
    </row>
    <row r="181" spans="1:21">
      <c r="A181" s="74" t="s">
        <v>250</v>
      </c>
      <c r="B181" s="36">
        <v>341445</v>
      </c>
      <c r="C181" s="36">
        <v>51390</v>
      </c>
      <c r="D181" s="74" t="s">
        <v>623</v>
      </c>
      <c r="E181" s="36"/>
      <c r="F181" s="74"/>
      <c r="G181" s="74" t="s">
        <v>696</v>
      </c>
      <c r="H181" s="36"/>
      <c r="I181" s="36"/>
      <c r="J181" s="36"/>
      <c r="K181" s="36"/>
      <c r="L181" s="36"/>
      <c r="M181" s="36"/>
      <c r="N181" s="36"/>
      <c r="O181" s="36"/>
      <c r="P181" s="36"/>
      <c r="Q181" s="36"/>
      <c r="R181" s="36"/>
      <c r="S181" s="36"/>
      <c r="T181" s="36"/>
      <c r="U181" s="36"/>
    </row>
    <row r="182" spans="1:21">
      <c r="A182" s="74" t="s">
        <v>250</v>
      </c>
      <c r="B182" s="36">
        <v>341446</v>
      </c>
      <c r="C182" s="36">
        <v>51390</v>
      </c>
      <c r="D182" s="74" t="s">
        <v>623</v>
      </c>
      <c r="E182" s="36"/>
      <c r="F182" s="74"/>
      <c r="G182" s="74" t="s">
        <v>696</v>
      </c>
      <c r="H182" s="36"/>
      <c r="I182" s="36"/>
      <c r="J182" s="36"/>
      <c r="K182" s="36"/>
      <c r="L182" s="36"/>
      <c r="M182" s="36"/>
      <c r="N182" s="36"/>
      <c r="O182" s="36"/>
      <c r="P182" s="36"/>
      <c r="Q182" s="36"/>
      <c r="R182" s="36"/>
      <c r="S182" s="36"/>
      <c r="T182" s="36"/>
      <c r="U182" s="36"/>
    </row>
    <row r="183" spans="1:21">
      <c r="A183" s="74" t="s">
        <v>250</v>
      </c>
      <c r="B183" s="36">
        <v>341449</v>
      </c>
      <c r="C183" s="36">
        <v>51390</v>
      </c>
      <c r="D183" s="74" t="s">
        <v>623</v>
      </c>
      <c r="E183" s="36"/>
      <c r="F183" s="74"/>
      <c r="G183" s="74" t="s">
        <v>696</v>
      </c>
      <c r="H183" s="36"/>
      <c r="I183" s="36"/>
      <c r="J183" s="36"/>
      <c r="K183" s="36"/>
      <c r="L183" s="36"/>
      <c r="M183" s="36"/>
      <c r="N183" s="36"/>
      <c r="O183" s="36"/>
      <c r="P183" s="36"/>
      <c r="Q183" s="36"/>
      <c r="R183" s="36"/>
      <c r="S183" s="36"/>
      <c r="T183" s="36"/>
      <c r="U183" s="36"/>
    </row>
    <row r="184" spans="1:21">
      <c r="A184" s="74" t="s">
        <v>250</v>
      </c>
      <c r="B184" s="36">
        <v>341447</v>
      </c>
      <c r="C184" s="36">
        <v>51390</v>
      </c>
      <c r="D184" s="74" t="s">
        <v>623</v>
      </c>
      <c r="E184" s="36"/>
      <c r="F184" s="74"/>
      <c r="G184" s="74" t="s">
        <v>696</v>
      </c>
      <c r="H184" s="36"/>
      <c r="I184" s="36"/>
      <c r="J184" s="36"/>
      <c r="K184" s="36"/>
      <c r="L184" s="36"/>
      <c r="M184" s="36"/>
      <c r="N184" s="36"/>
      <c r="O184" s="36"/>
      <c r="P184" s="36"/>
      <c r="Q184" s="36"/>
      <c r="R184" s="36"/>
      <c r="S184" s="36"/>
      <c r="T184" s="36"/>
      <c r="U184" s="36"/>
    </row>
    <row r="185" spans="1:21">
      <c r="A185" s="74" t="s">
        <v>250</v>
      </c>
      <c r="B185" s="36">
        <v>341448</v>
      </c>
      <c r="C185" s="36">
        <v>51390</v>
      </c>
      <c r="D185" s="74" t="s">
        <v>623</v>
      </c>
      <c r="E185" s="36"/>
      <c r="F185" s="74"/>
      <c r="G185" s="74" t="s">
        <v>696</v>
      </c>
      <c r="H185" s="36"/>
      <c r="I185" s="36"/>
      <c r="J185" s="36"/>
      <c r="K185" s="36"/>
      <c r="L185" s="36"/>
      <c r="M185" s="36"/>
      <c r="N185" s="36"/>
      <c r="O185" s="36"/>
      <c r="P185" s="36"/>
      <c r="Q185" s="36"/>
      <c r="R185" s="36"/>
      <c r="S185" s="36"/>
      <c r="T185" s="36"/>
      <c r="U185" s="36"/>
    </row>
    <row r="186" spans="1:21">
      <c r="A186" s="74" t="s">
        <v>250</v>
      </c>
      <c r="B186" s="36">
        <v>341450</v>
      </c>
      <c r="C186" s="36">
        <v>51390</v>
      </c>
      <c r="D186" s="74" t="s">
        <v>623</v>
      </c>
      <c r="E186" s="36"/>
      <c r="F186" s="74"/>
      <c r="G186" s="74" t="s">
        <v>696</v>
      </c>
      <c r="H186" s="36"/>
      <c r="I186" s="36"/>
      <c r="J186" s="36"/>
      <c r="K186" s="36"/>
      <c r="L186" s="36"/>
      <c r="M186" s="36"/>
      <c r="N186" s="36"/>
      <c r="O186" s="36"/>
      <c r="P186" s="36"/>
      <c r="Q186" s="36"/>
      <c r="R186" s="36"/>
      <c r="S186" s="36"/>
      <c r="T186" s="36"/>
      <c r="U186" s="36"/>
    </row>
    <row r="187" spans="1:21">
      <c r="A187" s="74" t="s">
        <v>250</v>
      </c>
      <c r="B187" s="36">
        <v>341442</v>
      </c>
      <c r="C187" s="36">
        <v>51390</v>
      </c>
      <c r="D187" s="74" t="s">
        <v>623</v>
      </c>
      <c r="E187" s="36"/>
      <c r="F187" s="74"/>
      <c r="G187" s="74" t="s">
        <v>696</v>
      </c>
      <c r="H187" s="36"/>
      <c r="I187" s="36"/>
      <c r="J187" s="36"/>
      <c r="K187" s="36"/>
      <c r="L187" s="36"/>
      <c r="M187" s="36"/>
      <c r="N187" s="36"/>
      <c r="O187" s="36"/>
      <c r="P187" s="36"/>
      <c r="Q187" s="36"/>
      <c r="R187" s="36"/>
      <c r="S187" s="36"/>
      <c r="T187" s="36"/>
      <c r="U187" s="36"/>
    </row>
    <row r="188" spans="1:21">
      <c r="A188" s="74" t="s">
        <v>250</v>
      </c>
      <c r="B188" s="36">
        <v>132562</v>
      </c>
      <c r="C188" s="36">
        <v>51390</v>
      </c>
      <c r="D188" s="74" t="s">
        <v>623</v>
      </c>
      <c r="E188" s="36"/>
      <c r="F188" s="74"/>
      <c r="G188" s="74" t="s">
        <v>696</v>
      </c>
      <c r="H188" s="36"/>
      <c r="I188" s="36"/>
      <c r="J188" s="36"/>
      <c r="K188" s="36"/>
      <c r="L188" s="36"/>
      <c r="M188" s="36"/>
      <c r="N188" s="36"/>
      <c r="O188" s="36"/>
      <c r="P188" s="36"/>
      <c r="Q188" s="36"/>
      <c r="R188" s="36"/>
      <c r="S188" s="36"/>
      <c r="T188" s="36"/>
      <c r="U188" s="36"/>
    </row>
    <row r="189" spans="1:21">
      <c r="A189" s="74" t="s">
        <v>250</v>
      </c>
      <c r="B189" s="36">
        <v>132563</v>
      </c>
      <c r="C189" s="36">
        <v>51390</v>
      </c>
      <c r="D189" s="74" t="s">
        <v>623</v>
      </c>
      <c r="E189" s="36"/>
      <c r="F189" s="74"/>
      <c r="G189" s="74" t="s">
        <v>696</v>
      </c>
      <c r="H189" s="36"/>
      <c r="I189" s="36"/>
      <c r="J189" s="36"/>
      <c r="K189" s="36"/>
      <c r="L189" s="36"/>
      <c r="M189" s="36"/>
      <c r="N189" s="36"/>
      <c r="O189" s="36"/>
      <c r="P189" s="36"/>
      <c r="Q189" s="36"/>
      <c r="R189" s="36"/>
      <c r="S189" s="36"/>
      <c r="T189" s="36"/>
      <c r="U189" s="36"/>
    </row>
    <row r="190" spans="1:21">
      <c r="A190" s="74" t="s">
        <v>250</v>
      </c>
      <c r="B190" s="36">
        <v>132564</v>
      </c>
      <c r="C190" s="36">
        <v>51390</v>
      </c>
      <c r="D190" s="74" t="s">
        <v>623</v>
      </c>
      <c r="E190" s="36"/>
      <c r="F190" s="74"/>
      <c r="G190" s="74" t="s">
        <v>696</v>
      </c>
      <c r="H190" s="36"/>
      <c r="I190" s="36"/>
      <c r="J190" s="36"/>
      <c r="K190" s="36"/>
      <c r="L190" s="36"/>
      <c r="M190" s="36"/>
      <c r="N190" s="36"/>
      <c r="O190" s="36"/>
      <c r="P190" s="36"/>
      <c r="Q190" s="36"/>
      <c r="R190" s="36"/>
      <c r="S190" s="36"/>
      <c r="T190" s="36"/>
      <c r="U190" s="36"/>
    </row>
    <row r="191" spans="1:21">
      <c r="A191" s="74" t="s">
        <v>250</v>
      </c>
      <c r="B191" s="36">
        <v>132565</v>
      </c>
      <c r="C191" s="36">
        <v>51390</v>
      </c>
      <c r="D191" s="74" t="s">
        <v>623</v>
      </c>
      <c r="E191" s="36"/>
      <c r="F191" s="74"/>
      <c r="G191" s="74" t="s">
        <v>696</v>
      </c>
      <c r="H191" s="36"/>
      <c r="I191" s="36"/>
      <c r="J191" s="36"/>
      <c r="K191" s="36"/>
      <c r="L191" s="36"/>
      <c r="M191" s="36"/>
      <c r="N191" s="36"/>
      <c r="O191" s="36"/>
      <c r="P191" s="36"/>
      <c r="Q191" s="36"/>
      <c r="R191" s="36"/>
      <c r="S191" s="36"/>
      <c r="T191" s="36"/>
      <c r="U191" s="36"/>
    </row>
    <row r="192" spans="1:21">
      <c r="A192" s="74" t="s">
        <v>250</v>
      </c>
      <c r="B192" s="36">
        <v>132566</v>
      </c>
      <c r="C192" s="36">
        <v>51390</v>
      </c>
      <c r="D192" s="74" t="s">
        <v>623</v>
      </c>
      <c r="E192" s="36"/>
      <c r="F192" s="74"/>
      <c r="G192" s="74" t="s">
        <v>696</v>
      </c>
      <c r="H192" s="36"/>
      <c r="I192" s="36"/>
      <c r="J192" s="36"/>
      <c r="K192" s="36"/>
      <c r="L192" s="36"/>
      <c r="M192" s="36"/>
      <c r="N192" s="36"/>
      <c r="O192" s="36"/>
      <c r="P192" s="36"/>
      <c r="Q192" s="36"/>
      <c r="R192" s="36"/>
      <c r="S192" s="36"/>
      <c r="T192" s="36"/>
      <c r="U192" s="36"/>
    </row>
    <row r="193" spans="1:21">
      <c r="A193" s="74" t="s">
        <v>250</v>
      </c>
      <c r="B193" s="36">
        <v>132567</v>
      </c>
      <c r="C193" s="36">
        <v>51390</v>
      </c>
      <c r="D193" s="74" t="s">
        <v>623</v>
      </c>
      <c r="E193" s="36"/>
      <c r="F193" s="74"/>
      <c r="G193" s="74" t="s">
        <v>696</v>
      </c>
      <c r="H193" s="36"/>
      <c r="I193" s="36"/>
      <c r="J193" s="36"/>
      <c r="K193" s="36"/>
      <c r="L193" s="36"/>
      <c r="M193" s="36"/>
      <c r="N193" s="36"/>
      <c r="O193" s="36"/>
      <c r="P193" s="36"/>
      <c r="Q193" s="36"/>
      <c r="R193" s="36"/>
      <c r="S193" s="36"/>
      <c r="T193" s="36"/>
      <c r="U193" s="36"/>
    </row>
    <row r="194" spans="1:21">
      <c r="A194" s="74" t="s">
        <v>250</v>
      </c>
      <c r="B194" s="36">
        <v>132568</v>
      </c>
      <c r="C194" s="36">
        <v>51390</v>
      </c>
      <c r="D194" s="74" t="s">
        <v>623</v>
      </c>
      <c r="E194" s="36"/>
      <c r="F194" s="74"/>
      <c r="G194" s="74" t="s">
        <v>696</v>
      </c>
      <c r="H194" s="36"/>
      <c r="I194" s="36"/>
      <c r="J194" s="36"/>
      <c r="K194" s="36"/>
      <c r="L194" s="36"/>
      <c r="M194" s="36"/>
      <c r="N194" s="36"/>
      <c r="O194" s="36"/>
      <c r="P194" s="36"/>
      <c r="Q194" s="36"/>
      <c r="R194" s="36"/>
      <c r="S194" s="36"/>
      <c r="T194" s="36"/>
      <c r="U194" s="36"/>
    </row>
    <row r="195" spans="1:21">
      <c r="A195" s="74" t="s">
        <v>250</v>
      </c>
      <c r="B195" s="36">
        <v>132569</v>
      </c>
      <c r="C195" s="36">
        <v>51390</v>
      </c>
      <c r="D195" s="74" t="s">
        <v>623</v>
      </c>
      <c r="E195" s="36"/>
      <c r="F195" s="74"/>
      <c r="G195" s="74" t="s">
        <v>696</v>
      </c>
      <c r="H195" s="36"/>
      <c r="I195" s="36"/>
      <c r="J195" s="36"/>
      <c r="K195" s="36"/>
      <c r="L195" s="36"/>
      <c r="M195" s="36"/>
      <c r="N195" s="36"/>
      <c r="O195" s="36"/>
      <c r="P195" s="36"/>
      <c r="Q195" s="36"/>
      <c r="R195" s="36"/>
      <c r="S195" s="36"/>
      <c r="T195" s="36"/>
      <c r="U195" s="36"/>
    </row>
    <row r="196" spans="1:21">
      <c r="A196" s="74" t="s">
        <v>250</v>
      </c>
      <c r="B196" s="36">
        <v>132570</v>
      </c>
      <c r="C196" s="36">
        <v>51390</v>
      </c>
      <c r="D196" s="74" t="s">
        <v>623</v>
      </c>
      <c r="E196" s="36"/>
      <c r="F196" s="74"/>
      <c r="G196" s="74" t="s">
        <v>696</v>
      </c>
      <c r="H196" s="36"/>
      <c r="I196" s="36"/>
      <c r="J196" s="36"/>
      <c r="K196" s="36"/>
      <c r="L196" s="36"/>
      <c r="M196" s="36"/>
      <c r="N196" s="36"/>
      <c r="O196" s="36"/>
      <c r="P196" s="36"/>
      <c r="Q196" s="36"/>
      <c r="R196" s="36"/>
      <c r="S196" s="36"/>
      <c r="T196" s="36"/>
      <c r="U196" s="36"/>
    </row>
    <row r="197" spans="1:21">
      <c r="A197" s="74" t="s">
        <v>250</v>
      </c>
      <c r="B197" s="36">
        <v>132571</v>
      </c>
      <c r="C197" s="36">
        <v>51390</v>
      </c>
      <c r="D197" s="74" t="s">
        <v>623</v>
      </c>
      <c r="E197" s="36"/>
      <c r="F197" s="74"/>
      <c r="G197" s="74" t="s">
        <v>696</v>
      </c>
      <c r="H197" s="36"/>
      <c r="I197" s="36"/>
      <c r="J197" s="36"/>
      <c r="K197" s="36"/>
      <c r="L197" s="36"/>
      <c r="M197" s="36"/>
      <c r="N197" s="36"/>
      <c r="O197" s="36"/>
      <c r="P197" s="36"/>
      <c r="Q197" s="36"/>
      <c r="R197" s="36"/>
      <c r="S197" s="36"/>
      <c r="T197" s="36"/>
      <c r="U197" s="36"/>
    </row>
    <row r="198" spans="1:21">
      <c r="A198" s="74" t="s">
        <v>250</v>
      </c>
      <c r="B198" s="36">
        <v>132573</v>
      </c>
      <c r="C198" s="36">
        <v>51390</v>
      </c>
      <c r="D198" s="74" t="s">
        <v>623</v>
      </c>
      <c r="E198" s="36"/>
      <c r="F198" s="74"/>
      <c r="G198" s="74" t="s">
        <v>696</v>
      </c>
      <c r="H198" s="36"/>
      <c r="I198" s="36"/>
      <c r="J198" s="36"/>
      <c r="K198" s="36"/>
      <c r="L198" s="36"/>
      <c r="M198" s="36"/>
      <c r="N198" s="36"/>
      <c r="O198" s="36"/>
      <c r="P198" s="36"/>
      <c r="Q198" s="36"/>
      <c r="R198" s="36"/>
      <c r="S198" s="36"/>
      <c r="T198" s="36"/>
      <c r="U198" s="36"/>
    </row>
    <row r="199" spans="1:21">
      <c r="A199" s="74" t="s">
        <v>250</v>
      </c>
      <c r="B199" s="36">
        <v>132561</v>
      </c>
      <c r="C199" s="36">
        <v>51390</v>
      </c>
      <c r="D199" s="74" t="s">
        <v>623</v>
      </c>
      <c r="E199" s="36"/>
      <c r="F199" s="74"/>
      <c r="G199" s="74" t="s">
        <v>696</v>
      </c>
      <c r="H199" s="36"/>
      <c r="I199" s="36"/>
      <c r="J199" s="36"/>
      <c r="K199" s="36"/>
      <c r="L199" s="36"/>
      <c r="M199" s="36"/>
      <c r="N199" s="36"/>
      <c r="O199" s="36"/>
      <c r="P199" s="36"/>
      <c r="Q199" s="36"/>
      <c r="R199" s="36"/>
      <c r="S199" s="36"/>
      <c r="T199" s="36"/>
      <c r="U199" s="36"/>
    </row>
    <row r="200" spans="1:21">
      <c r="A200" s="74" t="s">
        <v>250</v>
      </c>
      <c r="B200" s="36">
        <v>132587</v>
      </c>
      <c r="C200" s="36">
        <v>51390</v>
      </c>
      <c r="D200" s="74" t="s">
        <v>624</v>
      </c>
      <c r="E200" s="36"/>
      <c r="F200" s="74"/>
      <c r="G200" s="74" t="s">
        <v>696</v>
      </c>
      <c r="H200" s="36"/>
      <c r="I200" s="36"/>
      <c r="J200" s="36"/>
      <c r="K200" s="36"/>
      <c r="L200" s="36"/>
      <c r="M200" s="36"/>
      <c r="N200" s="36"/>
      <c r="O200" s="36"/>
      <c r="P200" s="36"/>
      <c r="Q200" s="36"/>
      <c r="R200" s="36"/>
      <c r="S200" s="36"/>
      <c r="T200" s="36"/>
      <c r="U200" s="36"/>
    </row>
    <row r="201" spans="1:21">
      <c r="A201" s="74" t="s">
        <v>250</v>
      </c>
      <c r="B201" s="36">
        <v>341455</v>
      </c>
      <c r="C201" s="36">
        <v>51390</v>
      </c>
      <c r="D201" s="74" t="s">
        <v>624</v>
      </c>
      <c r="E201" s="36"/>
      <c r="F201" s="74"/>
      <c r="G201" s="74" t="s">
        <v>696</v>
      </c>
      <c r="H201" s="36"/>
      <c r="I201" s="36"/>
      <c r="J201" s="36"/>
      <c r="K201" s="36"/>
      <c r="L201" s="36"/>
      <c r="M201" s="36"/>
      <c r="N201" s="36"/>
      <c r="O201" s="36"/>
      <c r="P201" s="36"/>
      <c r="Q201" s="36"/>
      <c r="R201" s="36"/>
      <c r="S201" s="36"/>
      <c r="T201" s="36"/>
      <c r="U201" s="36"/>
    </row>
    <row r="202" spans="1:21">
      <c r="A202" s="74" t="s">
        <v>250</v>
      </c>
      <c r="B202" s="36">
        <v>341454</v>
      </c>
      <c r="C202" s="36">
        <v>51390</v>
      </c>
      <c r="D202" s="74" t="s">
        <v>624</v>
      </c>
      <c r="E202" s="36"/>
      <c r="F202" s="74"/>
      <c r="G202" s="74" t="s">
        <v>696</v>
      </c>
      <c r="H202" s="36"/>
      <c r="I202" s="36"/>
      <c r="J202" s="36"/>
      <c r="K202" s="36"/>
      <c r="L202" s="36"/>
      <c r="M202" s="36"/>
      <c r="N202" s="36"/>
      <c r="O202" s="36"/>
      <c r="P202" s="36"/>
      <c r="Q202" s="36"/>
      <c r="R202" s="36"/>
      <c r="S202" s="36"/>
      <c r="T202" s="36"/>
      <c r="U202" s="36"/>
    </row>
    <row r="203" spans="1:21">
      <c r="A203" s="74" t="s">
        <v>250</v>
      </c>
      <c r="B203" s="36">
        <v>341466</v>
      </c>
      <c r="C203" s="36">
        <v>51390</v>
      </c>
      <c r="D203" s="74" t="s">
        <v>624</v>
      </c>
      <c r="E203" s="36"/>
      <c r="F203" s="74"/>
      <c r="G203" s="74" t="s">
        <v>696</v>
      </c>
      <c r="H203" s="36"/>
      <c r="I203" s="36"/>
      <c r="J203" s="36"/>
      <c r="K203" s="36"/>
      <c r="L203" s="36"/>
      <c r="M203" s="36"/>
      <c r="N203" s="36"/>
      <c r="O203" s="36"/>
      <c r="P203" s="36"/>
      <c r="Q203" s="36"/>
      <c r="R203" s="36"/>
      <c r="S203" s="36"/>
      <c r="T203" s="36"/>
      <c r="U203" s="36"/>
    </row>
    <row r="204" spans="1:21">
      <c r="A204" s="74" t="s">
        <v>250</v>
      </c>
      <c r="B204" s="36">
        <v>341465</v>
      </c>
      <c r="C204" s="36">
        <v>51390</v>
      </c>
      <c r="D204" s="74" t="s">
        <v>624</v>
      </c>
      <c r="E204" s="36"/>
      <c r="F204" s="74"/>
      <c r="G204" s="74" t="s">
        <v>696</v>
      </c>
      <c r="H204" s="36"/>
      <c r="I204" s="36"/>
      <c r="J204" s="36"/>
      <c r="K204" s="36"/>
      <c r="L204" s="36"/>
      <c r="M204" s="36"/>
      <c r="N204" s="36"/>
      <c r="O204" s="36"/>
      <c r="P204" s="36"/>
      <c r="Q204" s="36"/>
      <c r="R204" s="36"/>
      <c r="S204" s="36"/>
      <c r="T204" s="36"/>
      <c r="U204" s="36"/>
    </row>
    <row r="205" spans="1:21">
      <c r="A205" s="74" t="s">
        <v>250</v>
      </c>
      <c r="B205" s="36">
        <v>341457</v>
      </c>
      <c r="C205" s="36">
        <v>51390</v>
      </c>
      <c r="D205" s="74" t="s">
        <v>624</v>
      </c>
      <c r="E205" s="36"/>
      <c r="F205" s="74"/>
      <c r="G205" s="74" t="s">
        <v>696</v>
      </c>
      <c r="H205" s="36"/>
      <c r="I205" s="36"/>
      <c r="J205" s="36"/>
      <c r="K205" s="36"/>
      <c r="L205" s="36"/>
      <c r="M205" s="36"/>
      <c r="N205" s="36"/>
      <c r="O205" s="36"/>
      <c r="P205" s="36"/>
      <c r="Q205" s="36"/>
      <c r="R205" s="36"/>
      <c r="S205" s="36"/>
      <c r="T205" s="36"/>
      <c r="U205" s="36"/>
    </row>
    <row r="206" spans="1:21">
      <c r="A206" s="74" t="s">
        <v>250</v>
      </c>
      <c r="B206" s="36">
        <v>341458</v>
      </c>
      <c r="C206" s="36">
        <v>51390</v>
      </c>
      <c r="D206" s="74" t="s">
        <v>624</v>
      </c>
      <c r="E206" s="36"/>
      <c r="F206" s="74"/>
      <c r="G206" s="74" t="s">
        <v>696</v>
      </c>
      <c r="H206" s="36"/>
      <c r="I206" s="36"/>
      <c r="J206" s="36"/>
      <c r="K206" s="36"/>
      <c r="L206" s="36"/>
      <c r="M206" s="36"/>
      <c r="N206" s="36"/>
      <c r="O206" s="36"/>
      <c r="P206" s="36"/>
      <c r="Q206" s="36"/>
      <c r="R206" s="36"/>
      <c r="S206" s="36"/>
      <c r="T206" s="36"/>
      <c r="U206" s="36"/>
    </row>
    <row r="207" spans="1:21">
      <c r="A207" s="74" t="s">
        <v>250</v>
      </c>
      <c r="B207" s="36">
        <v>341459</v>
      </c>
      <c r="C207" s="36">
        <v>51390</v>
      </c>
      <c r="D207" s="74" t="s">
        <v>624</v>
      </c>
      <c r="E207" s="36"/>
      <c r="F207" s="74"/>
      <c r="G207" s="74" t="s">
        <v>696</v>
      </c>
      <c r="H207" s="36"/>
      <c r="I207" s="36"/>
      <c r="J207" s="36"/>
      <c r="K207" s="36"/>
      <c r="L207" s="36"/>
      <c r="M207" s="36"/>
      <c r="N207" s="36"/>
      <c r="O207" s="36"/>
      <c r="P207" s="36"/>
      <c r="Q207" s="36"/>
      <c r="R207" s="36"/>
      <c r="S207" s="36"/>
      <c r="T207" s="36"/>
      <c r="U207" s="36"/>
    </row>
    <row r="208" spans="1:21">
      <c r="A208" s="74" t="s">
        <v>250</v>
      </c>
      <c r="B208" s="36">
        <v>341460</v>
      </c>
      <c r="C208" s="36">
        <v>51390</v>
      </c>
      <c r="D208" s="74" t="s">
        <v>624</v>
      </c>
      <c r="E208" s="36"/>
      <c r="F208" s="74"/>
      <c r="G208" s="74" t="s">
        <v>696</v>
      </c>
      <c r="H208" s="36"/>
      <c r="I208" s="36"/>
      <c r="J208" s="36"/>
      <c r="K208" s="36"/>
      <c r="L208" s="36"/>
      <c r="M208" s="36"/>
      <c r="N208" s="36"/>
      <c r="O208" s="36"/>
      <c r="P208" s="36"/>
      <c r="Q208" s="36"/>
      <c r="R208" s="36"/>
      <c r="S208" s="36"/>
      <c r="T208" s="36"/>
      <c r="U208" s="36"/>
    </row>
    <row r="209" spans="1:21">
      <c r="A209" s="74" t="s">
        <v>250</v>
      </c>
      <c r="B209" s="36">
        <v>341463</v>
      </c>
      <c r="C209" s="36">
        <v>51390</v>
      </c>
      <c r="D209" s="74" t="s">
        <v>624</v>
      </c>
      <c r="E209" s="36"/>
      <c r="F209" s="74"/>
      <c r="G209" s="74" t="s">
        <v>696</v>
      </c>
      <c r="H209" s="36"/>
      <c r="I209" s="36"/>
      <c r="J209" s="36"/>
      <c r="K209" s="36"/>
      <c r="L209" s="36"/>
      <c r="M209" s="36"/>
      <c r="N209" s="36"/>
      <c r="O209" s="36"/>
      <c r="P209" s="36"/>
      <c r="Q209" s="36"/>
      <c r="R209" s="36"/>
      <c r="S209" s="36"/>
      <c r="T209" s="36"/>
      <c r="U209" s="36"/>
    </row>
    <row r="210" spans="1:21">
      <c r="A210" s="74" t="s">
        <v>250</v>
      </c>
      <c r="B210" s="36">
        <v>341461</v>
      </c>
      <c r="C210" s="36">
        <v>51390</v>
      </c>
      <c r="D210" s="74" t="s">
        <v>624</v>
      </c>
      <c r="E210" s="36"/>
      <c r="F210" s="74"/>
      <c r="G210" s="74" t="s">
        <v>696</v>
      </c>
      <c r="H210" s="36"/>
      <c r="I210" s="36"/>
      <c r="J210" s="36"/>
      <c r="K210" s="36"/>
      <c r="L210" s="36"/>
      <c r="M210" s="36"/>
      <c r="N210" s="36"/>
      <c r="O210" s="36"/>
      <c r="P210" s="36"/>
      <c r="Q210" s="36"/>
      <c r="R210" s="36"/>
      <c r="S210" s="36"/>
      <c r="T210" s="36"/>
      <c r="U210" s="36"/>
    </row>
    <row r="211" spans="1:21">
      <c r="A211" s="74" t="s">
        <v>250</v>
      </c>
      <c r="B211" s="36">
        <v>341462</v>
      </c>
      <c r="C211" s="36">
        <v>51390</v>
      </c>
      <c r="D211" s="74" t="s">
        <v>624</v>
      </c>
      <c r="E211" s="36"/>
      <c r="F211" s="74"/>
      <c r="G211" s="74" t="s">
        <v>696</v>
      </c>
      <c r="H211" s="36"/>
      <c r="I211" s="36"/>
      <c r="J211" s="36"/>
      <c r="K211" s="36"/>
      <c r="L211" s="36"/>
      <c r="M211" s="36"/>
      <c r="N211" s="36"/>
      <c r="O211" s="36"/>
      <c r="P211" s="36"/>
      <c r="Q211" s="36"/>
      <c r="R211" s="36"/>
      <c r="S211" s="36"/>
      <c r="T211" s="36"/>
      <c r="U211" s="36"/>
    </row>
    <row r="212" spans="1:21">
      <c r="A212" s="74" t="s">
        <v>250</v>
      </c>
      <c r="B212" s="36">
        <v>341464</v>
      </c>
      <c r="C212" s="36">
        <v>51390</v>
      </c>
      <c r="D212" s="74" t="s">
        <v>624</v>
      </c>
      <c r="E212" s="36"/>
      <c r="F212" s="74"/>
      <c r="G212" s="74" t="s">
        <v>696</v>
      </c>
      <c r="H212" s="36"/>
      <c r="I212" s="36"/>
      <c r="J212" s="36"/>
      <c r="K212" s="36"/>
      <c r="L212" s="36"/>
      <c r="M212" s="36"/>
      <c r="N212" s="36"/>
      <c r="O212" s="36"/>
      <c r="P212" s="36"/>
      <c r="Q212" s="36"/>
      <c r="R212" s="36"/>
      <c r="S212" s="36"/>
      <c r="T212" s="36"/>
      <c r="U212" s="36"/>
    </row>
    <row r="213" spans="1:21">
      <c r="A213" s="74" t="s">
        <v>250</v>
      </c>
      <c r="B213" s="36">
        <v>341456</v>
      </c>
      <c r="C213" s="36">
        <v>51390</v>
      </c>
      <c r="D213" s="74" t="s">
        <v>624</v>
      </c>
      <c r="E213" s="36"/>
      <c r="F213" s="74"/>
      <c r="G213" s="74" t="s">
        <v>696</v>
      </c>
      <c r="H213" s="36"/>
      <c r="I213" s="36"/>
      <c r="J213" s="36"/>
      <c r="K213" s="36"/>
      <c r="L213" s="36"/>
      <c r="M213" s="36"/>
      <c r="N213" s="36"/>
      <c r="O213" s="36"/>
      <c r="P213" s="36"/>
      <c r="Q213" s="36"/>
      <c r="R213" s="36"/>
      <c r="S213" s="36"/>
      <c r="T213" s="36"/>
      <c r="U213" s="36"/>
    </row>
    <row r="214" spans="1:21">
      <c r="A214" s="74" t="s">
        <v>250</v>
      </c>
      <c r="B214" s="36">
        <v>132576</v>
      </c>
      <c r="C214" s="36">
        <v>51390</v>
      </c>
      <c r="D214" s="74" t="s">
        <v>624</v>
      </c>
      <c r="E214" s="36"/>
      <c r="F214" s="74"/>
      <c r="G214" s="74" t="s">
        <v>696</v>
      </c>
      <c r="H214" s="36"/>
      <c r="I214" s="36"/>
      <c r="J214" s="36"/>
      <c r="K214" s="36"/>
      <c r="L214" s="36"/>
      <c r="M214" s="36"/>
      <c r="N214" s="36"/>
      <c r="O214" s="36"/>
      <c r="P214" s="36"/>
      <c r="Q214" s="36"/>
      <c r="R214" s="36"/>
      <c r="S214" s="36"/>
      <c r="T214" s="36"/>
      <c r="U214" s="36"/>
    </row>
    <row r="215" spans="1:21">
      <c r="A215" s="74" t="s">
        <v>250</v>
      </c>
      <c r="B215" s="36">
        <v>132577</v>
      </c>
      <c r="C215" s="36">
        <v>51390</v>
      </c>
      <c r="D215" s="74" t="s">
        <v>624</v>
      </c>
      <c r="E215" s="36"/>
      <c r="F215" s="74"/>
      <c r="G215" s="74" t="s">
        <v>696</v>
      </c>
      <c r="H215" s="36"/>
      <c r="I215" s="36"/>
      <c r="J215" s="36"/>
      <c r="K215" s="36"/>
      <c r="L215" s="36"/>
      <c r="M215" s="36"/>
      <c r="N215" s="36"/>
      <c r="O215" s="36"/>
      <c r="P215" s="36"/>
      <c r="Q215" s="36"/>
      <c r="R215" s="36"/>
      <c r="S215" s="36"/>
      <c r="T215" s="36"/>
      <c r="U215" s="36"/>
    </row>
    <row r="216" spans="1:21">
      <c r="A216" s="74" t="s">
        <v>250</v>
      </c>
      <c r="B216" s="36">
        <v>132578</v>
      </c>
      <c r="C216" s="36">
        <v>51390</v>
      </c>
      <c r="D216" s="74" t="s">
        <v>624</v>
      </c>
      <c r="E216" s="36"/>
      <c r="F216" s="74"/>
      <c r="G216" s="74" t="s">
        <v>696</v>
      </c>
      <c r="H216" s="36"/>
      <c r="I216" s="36"/>
      <c r="J216" s="36"/>
      <c r="K216" s="36"/>
      <c r="L216" s="36"/>
      <c r="M216" s="36"/>
      <c r="N216" s="36"/>
      <c r="O216" s="36"/>
      <c r="P216" s="36"/>
      <c r="Q216" s="36"/>
      <c r="R216" s="36"/>
      <c r="S216" s="36"/>
      <c r="T216" s="36"/>
      <c r="U216" s="36"/>
    </row>
    <row r="217" spans="1:21">
      <c r="A217" s="74" t="s">
        <v>250</v>
      </c>
      <c r="B217" s="36">
        <v>132579</v>
      </c>
      <c r="C217" s="36">
        <v>51390</v>
      </c>
      <c r="D217" s="74" t="s">
        <v>624</v>
      </c>
      <c r="E217" s="36"/>
      <c r="F217" s="74"/>
      <c r="G217" s="74" t="s">
        <v>696</v>
      </c>
      <c r="H217" s="36"/>
      <c r="I217" s="36"/>
      <c r="J217" s="36"/>
      <c r="K217" s="36"/>
      <c r="L217" s="36"/>
      <c r="M217" s="36"/>
      <c r="N217" s="36"/>
      <c r="O217" s="36"/>
      <c r="P217" s="36"/>
      <c r="Q217" s="36"/>
      <c r="R217" s="36"/>
      <c r="S217" s="36"/>
      <c r="T217" s="36"/>
      <c r="U217" s="36"/>
    </row>
    <row r="218" spans="1:21">
      <c r="A218" s="74" t="s">
        <v>250</v>
      </c>
      <c r="B218" s="36">
        <v>132580</v>
      </c>
      <c r="C218" s="36">
        <v>51390</v>
      </c>
      <c r="D218" s="74" t="s">
        <v>624</v>
      </c>
      <c r="E218" s="36"/>
      <c r="F218" s="74"/>
      <c r="G218" s="74" t="s">
        <v>696</v>
      </c>
      <c r="H218" s="36"/>
      <c r="I218" s="36"/>
      <c r="J218" s="36"/>
      <c r="K218" s="36"/>
      <c r="L218" s="36"/>
      <c r="M218" s="36"/>
      <c r="N218" s="36"/>
      <c r="O218" s="36"/>
      <c r="P218" s="36"/>
      <c r="Q218" s="36"/>
      <c r="R218" s="36"/>
      <c r="S218" s="36"/>
      <c r="T218" s="36"/>
      <c r="U218" s="36"/>
    </row>
    <row r="219" spans="1:21">
      <c r="A219" s="74" t="s">
        <v>250</v>
      </c>
      <c r="B219" s="36">
        <v>132581</v>
      </c>
      <c r="C219" s="36">
        <v>51390</v>
      </c>
      <c r="D219" s="74" t="s">
        <v>624</v>
      </c>
      <c r="E219" s="36"/>
      <c r="F219" s="74"/>
      <c r="G219" s="74" t="s">
        <v>696</v>
      </c>
      <c r="H219" s="36"/>
      <c r="I219" s="36"/>
      <c r="J219" s="36"/>
      <c r="K219" s="36"/>
      <c r="L219" s="36"/>
      <c r="M219" s="36"/>
      <c r="N219" s="36"/>
      <c r="O219" s="36"/>
      <c r="P219" s="36"/>
      <c r="Q219" s="36"/>
      <c r="R219" s="36"/>
      <c r="S219" s="36"/>
      <c r="T219" s="36"/>
      <c r="U219" s="36"/>
    </row>
    <row r="220" spans="1:21">
      <c r="A220" s="74" t="s">
        <v>250</v>
      </c>
      <c r="B220" s="36">
        <v>132582</v>
      </c>
      <c r="C220" s="36">
        <v>51390</v>
      </c>
      <c r="D220" s="74" t="s">
        <v>624</v>
      </c>
      <c r="E220" s="36"/>
      <c r="F220" s="74"/>
      <c r="G220" s="74" t="s">
        <v>696</v>
      </c>
      <c r="H220" s="36"/>
      <c r="I220" s="36"/>
      <c r="J220" s="36"/>
      <c r="K220" s="36"/>
      <c r="L220" s="36"/>
      <c r="M220" s="36"/>
      <c r="N220" s="36"/>
      <c r="O220" s="36"/>
      <c r="P220" s="36"/>
      <c r="Q220" s="36"/>
      <c r="R220" s="36"/>
      <c r="S220" s="36"/>
      <c r="T220" s="36"/>
      <c r="U220" s="36"/>
    </row>
    <row r="221" spans="1:21">
      <c r="A221" s="74" t="s">
        <v>250</v>
      </c>
      <c r="B221" s="36">
        <v>132583</v>
      </c>
      <c r="C221" s="36">
        <v>51390</v>
      </c>
      <c r="D221" s="74" t="s">
        <v>624</v>
      </c>
      <c r="E221" s="36"/>
      <c r="F221" s="74"/>
      <c r="G221" s="74" t="s">
        <v>696</v>
      </c>
      <c r="H221" s="36"/>
      <c r="I221" s="36"/>
      <c r="J221" s="36"/>
      <c r="K221" s="36"/>
      <c r="L221" s="36"/>
      <c r="M221" s="36"/>
      <c r="N221" s="36"/>
      <c r="O221" s="36"/>
      <c r="P221" s="36"/>
      <c r="Q221" s="36"/>
      <c r="R221" s="36"/>
      <c r="S221" s="36"/>
      <c r="T221" s="36"/>
      <c r="U221" s="36"/>
    </row>
    <row r="222" spans="1:21">
      <c r="A222" s="74" t="s">
        <v>250</v>
      </c>
      <c r="B222" s="36">
        <v>132584</v>
      </c>
      <c r="C222" s="36">
        <v>51390</v>
      </c>
      <c r="D222" s="74" t="s">
        <v>624</v>
      </c>
      <c r="E222" s="36"/>
      <c r="F222" s="74"/>
      <c r="G222" s="74" t="s">
        <v>696</v>
      </c>
      <c r="H222" s="36"/>
      <c r="I222" s="36"/>
      <c r="J222" s="36"/>
      <c r="K222" s="36"/>
      <c r="L222" s="36"/>
      <c r="M222" s="36"/>
      <c r="N222" s="36"/>
      <c r="O222" s="36"/>
      <c r="P222" s="36"/>
      <c r="Q222" s="36"/>
      <c r="R222" s="36"/>
      <c r="S222" s="36"/>
      <c r="T222" s="36"/>
      <c r="U222" s="36"/>
    </row>
    <row r="223" spans="1:21">
      <c r="A223" s="74" t="s">
        <v>250</v>
      </c>
      <c r="B223" s="36">
        <v>132585</v>
      </c>
      <c r="C223" s="36">
        <v>51390</v>
      </c>
      <c r="D223" s="74" t="s">
        <v>624</v>
      </c>
      <c r="E223" s="36"/>
      <c r="F223" s="74"/>
      <c r="G223" s="74" t="s">
        <v>696</v>
      </c>
      <c r="H223" s="36"/>
      <c r="I223" s="36"/>
      <c r="J223" s="36"/>
      <c r="K223" s="36"/>
      <c r="L223" s="36"/>
      <c r="M223" s="36"/>
      <c r="N223" s="36"/>
      <c r="O223" s="36"/>
      <c r="P223" s="36"/>
      <c r="Q223" s="36"/>
      <c r="R223" s="36"/>
      <c r="S223" s="36"/>
      <c r="T223" s="36"/>
      <c r="U223" s="36"/>
    </row>
    <row r="224" spans="1:21">
      <c r="A224" s="74" t="s">
        <v>250</v>
      </c>
      <c r="B224" s="36">
        <v>132586</v>
      </c>
      <c r="C224" s="36">
        <v>51390</v>
      </c>
      <c r="D224" s="74" t="s">
        <v>624</v>
      </c>
      <c r="E224" s="36"/>
      <c r="F224" s="74"/>
      <c r="G224" s="74" t="s">
        <v>696</v>
      </c>
      <c r="H224" s="36"/>
      <c r="I224" s="36"/>
      <c r="J224" s="36"/>
      <c r="K224" s="36"/>
      <c r="L224" s="36"/>
      <c r="M224" s="36"/>
      <c r="N224" s="36"/>
      <c r="O224" s="36"/>
      <c r="P224" s="36"/>
      <c r="Q224" s="36"/>
      <c r="R224" s="36"/>
      <c r="S224" s="36"/>
      <c r="T224" s="36"/>
      <c r="U224" s="36"/>
    </row>
    <row r="225" spans="1:21">
      <c r="A225" s="74" t="s">
        <v>250</v>
      </c>
      <c r="B225" s="36">
        <v>132575</v>
      </c>
      <c r="C225" s="36">
        <v>51390</v>
      </c>
      <c r="D225" s="74" t="s">
        <v>624</v>
      </c>
      <c r="E225" s="36"/>
      <c r="F225" s="74"/>
      <c r="G225" s="74" t="s">
        <v>696</v>
      </c>
      <c r="H225" s="36"/>
      <c r="I225" s="36"/>
      <c r="J225" s="36"/>
      <c r="K225" s="36"/>
      <c r="L225" s="36"/>
      <c r="M225" s="36"/>
      <c r="N225" s="36"/>
      <c r="O225" s="36"/>
      <c r="P225" s="36"/>
      <c r="Q225" s="36"/>
      <c r="R225" s="36"/>
      <c r="S225" s="36"/>
      <c r="T225" s="36"/>
      <c r="U225" s="36"/>
    </row>
    <row r="226" spans="1:21">
      <c r="A226" s="74" t="s">
        <v>250</v>
      </c>
      <c r="B226" s="36">
        <v>132602</v>
      </c>
      <c r="C226" s="36">
        <v>50590</v>
      </c>
      <c r="D226" s="74" t="s">
        <v>620</v>
      </c>
      <c r="E226" s="36"/>
      <c r="F226" s="74"/>
      <c r="G226" s="74" t="s">
        <v>694</v>
      </c>
      <c r="H226" s="36"/>
      <c r="I226" s="36"/>
      <c r="J226" s="36"/>
      <c r="K226" s="36"/>
      <c r="L226" s="36"/>
      <c r="M226" s="36"/>
      <c r="N226" s="36"/>
      <c r="O226" s="36"/>
      <c r="P226" s="36"/>
      <c r="Q226" s="36"/>
      <c r="R226" s="36"/>
      <c r="S226" s="36"/>
      <c r="T226" s="36"/>
      <c r="U226" s="36"/>
    </row>
    <row r="227" spans="1:21">
      <c r="A227" s="74" t="s">
        <v>250</v>
      </c>
      <c r="B227" s="36">
        <v>341473</v>
      </c>
      <c r="C227" s="36">
        <v>50590</v>
      </c>
      <c r="D227" s="74" t="s">
        <v>620</v>
      </c>
      <c r="E227" s="36"/>
      <c r="F227" s="74"/>
      <c r="G227" s="74" t="s">
        <v>694</v>
      </c>
      <c r="H227" s="36"/>
      <c r="I227" s="36"/>
      <c r="J227" s="36"/>
      <c r="K227" s="36"/>
      <c r="L227" s="36"/>
      <c r="M227" s="36"/>
      <c r="N227" s="36"/>
      <c r="O227" s="36"/>
      <c r="P227" s="36"/>
      <c r="Q227" s="36"/>
      <c r="R227" s="36"/>
      <c r="S227" s="36"/>
      <c r="T227" s="36"/>
      <c r="U227" s="36"/>
    </row>
    <row r="228" spans="1:21">
      <c r="A228" s="74" t="s">
        <v>250</v>
      </c>
      <c r="B228" s="36">
        <v>341484</v>
      </c>
      <c r="C228" s="36">
        <v>50590</v>
      </c>
      <c r="D228" s="74" t="s">
        <v>620</v>
      </c>
      <c r="E228" s="36"/>
      <c r="F228" s="74"/>
      <c r="G228" s="74" t="s">
        <v>694</v>
      </c>
      <c r="H228" s="36"/>
      <c r="I228" s="36"/>
      <c r="J228" s="36"/>
      <c r="K228" s="36"/>
      <c r="L228" s="36"/>
      <c r="M228" s="36"/>
      <c r="N228" s="36"/>
      <c r="O228" s="36"/>
      <c r="P228" s="36"/>
      <c r="Q228" s="36"/>
      <c r="R228" s="36"/>
      <c r="S228" s="36"/>
      <c r="T228" s="36"/>
      <c r="U228" s="36"/>
    </row>
    <row r="229" spans="1:21">
      <c r="A229" s="74" t="s">
        <v>250</v>
      </c>
      <c r="B229" s="36">
        <v>341483</v>
      </c>
      <c r="C229" s="36">
        <v>50590</v>
      </c>
      <c r="D229" s="74" t="s">
        <v>620</v>
      </c>
      <c r="E229" s="36"/>
      <c r="F229" s="74"/>
      <c r="G229" s="74" t="s">
        <v>694</v>
      </c>
      <c r="H229" s="36"/>
      <c r="I229" s="36"/>
      <c r="J229" s="36"/>
      <c r="K229" s="36"/>
      <c r="L229" s="36"/>
      <c r="M229" s="36"/>
      <c r="N229" s="36"/>
      <c r="O229" s="36"/>
      <c r="P229" s="36"/>
      <c r="Q229" s="36"/>
      <c r="R229" s="36"/>
      <c r="S229" s="36"/>
      <c r="T229" s="36"/>
      <c r="U229" s="36"/>
    </row>
    <row r="230" spans="1:21">
      <c r="A230" s="74" t="s">
        <v>250</v>
      </c>
      <c r="B230" s="36">
        <v>341475</v>
      </c>
      <c r="C230" s="36">
        <v>50590</v>
      </c>
      <c r="D230" s="74" t="s">
        <v>620</v>
      </c>
      <c r="E230" s="36"/>
      <c r="F230" s="74"/>
      <c r="G230" s="74" t="s">
        <v>694</v>
      </c>
      <c r="H230" s="36"/>
      <c r="I230" s="36"/>
      <c r="J230" s="36"/>
      <c r="K230" s="36"/>
      <c r="L230" s="36"/>
      <c r="M230" s="36"/>
      <c r="N230" s="36"/>
      <c r="O230" s="36"/>
      <c r="P230" s="36"/>
      <c r="Q230" s="36"/>
      <c r="R230" s="36"/>
      <c r="S230" s="36"/>
      <c r="T230" s="36"/>
      <c r="U230" s="36"/>
    </row>
    <row r="231" spans="1:21">
      <c r="A231" s="74" t="s">
        <v>250</v>
      </c>
      <c r="B231" s="36">
        <v>341476</v>
      </c>
      <c r="C231" s="36">
        <v>50590</v>
      </c>
      <c r="D231" s="74" t="s">
        <v>620</v>
      </c>
      <c r="E231" s="36"/>
      <c r="F231" s="74"/>
      <c r="G231" s="74" t="s">
        <v>694</v>
      </c>
      <c r="H231" s="36"/>
      <c r="I231" s="36"/>
      <c r="J231" s="36"/>
      <c r="K231" s="36"/>
      <c r="L231" s="36"/>
      <c r="M231" s="36"/>
      <c r="N231" s="36"/>
      <c r="O231" s="36"/>
      <c r="P231" s="36"/>
      <c r="Q231" s="36"/>
      <c r="R231" s="36"/>
      <c r="S231" s="36"/>
      <c r="T231" s="36"/>
      <c r="U231" s="36"/>
    </row>
    <row r="232" spans="1:21">
      <c r="A232" s="74" t="s">
        <v>250</v>
      </c>
      <c r="B232" s="36">
        <v>341477</v>
      </c>
      <c r="C232" s="36">
        <v>50590</v>
      </c>
      <c r="D232" s="74" t="s">
        <v>620</v>
      </c>
      <c r="E232" s="36"/>
      <c r="F232" s="74"/>
      <c r="G232" s="74" t="s">
        <v>694</v>
      </c>
      <c r="H232" s="36"/>
      <c r="I232" s="36"/>
      <c r="J232" s="36"/>
      <c r="K232" s="36"/>
      <c r="L232" s="36"/>
      <c r="M232" s="36"/>
      <c r="N232" s="36"/>
      <c r="O232" s="36"/>
      <c r="P232" s="36"/>
      <c r="Q232" s="36"/>
      <c r="R232" s="36"/>
      <c r="S232" s="36"/>
      <c r="T232" s="36"/>
      <c r="U232" s="36"/>
    </row>
    <row r="233" spans="1:21">
      <c r="A233" s="74" t="s">
        <v>250</v>
      </c>
      <c r="B233" s="36">
        <v>341478</v>
      </c>
      <c r="C233" s="36">
        <v>50590</v>
      </c>
      <c r="D233" s="74" t="s">
        <v>620</v>
      </c>
      <c r="E233" s="36"/>
      <c r="F233" s="74"/>
      <c r="G233" s="74" t="s">
        <v>694</v>
      </c>
      <c r="H233" s="36"/>
      <c r="I233" s="36"/>
      <c r="J233" s="36"/>
      <c r="K233" s="36"/>
      <c r="L233" s="36"/>
      <c r="M233" s="36"/>
      <c r="N233" s="36"/>
      <c r="O233" s="36"/>
      <c r="P233" s="36"/>
      <c r="Q233" s="36"/>
      <c r="R233" s="36"/>
      <c r="S233" s="36"/>
      <c r="T233" s="36"/>
      <c r="U233" s="36"/>
    </row>
    <row r="234" spans="1:21">
      <c r="A234" s="74" t="s">
        <v>250</v>
      </c>
      <c r="B234" s="36">
        <v>341481</v>
      </c>
      <c r="C234" s="36">
        <v>50590</v>
      </c>
      <c r="D234" s="74" t="s">
        <v>620</v>
      </c>
      <c r="E234" s="36"/>
      <c r="F234" s="74"/>
      <c r="G234" s="74" t="s">
        <v>694</v>
      </c>
      <c r="H234" s="36"/>
      <c r="I234" s="36"/>
      <c r="J234" s="36"/>
      <c r="K234" s="36"/>
      <c r="L234" s="36"/>
      <c r="M234" s="36"/>
      <c r="N234" s="36"/>
      <c r="O234" s="36"/>
      <c r="P234" s="36"/>
      <c r="Q234" s="36"/>
      <c r="R234" s="36"/>
      <c r="S234" s="36"/>
      <c r="T234" s="36"/>
      <c r="U234" s="36"/>
    </row>
    <row r="235" spans="1:21">
      <c r="A235" s="74" t="s">
        <v>250</v>
      </c>
      <c r="B235" s="36">
        <v>341479</v>
      </c>
      <c r="C235" s="36">
        <v>50590</v>
      </c>
      <c r="D235" s="74" t="s">
        <v>620</v>
      </c>
      <c r="E235" s="36"/>
      <c r="F235" s="74"/>
      <c r="G235" s="74" t="s">
        <v>694</v>
      </c>
      <c r="H235" s="36"/>
      <c r="I235" s="36"/>
      <c r="J235" s="36"/>
      <c r="K235" s="36"/>
      <c r="L235" s="36"/>
      <c r="M235" s="36"/>
      <c r="N235" s="36"/>
      <c r="O235" s="36"/>
      <c r="P235" s="36"/>
      <c r="Q235" s="36"/>
      <c r="R235" s="36"/>
      <c r="S235" s="36"/>
      <c r="T235" s="36"/>
      <c r="U235" s="36"/>
    </row>
    <row r="236" spans="1:21">
      <c r="A236" s="74" t="s">
        <v>250</v>
      </c>
      <c r="B236" s="36">
        <v>341480</v>
      </c>
      <c r="C236" s="36">
        <v>50590</v>
      </c>
      <c r="D236" s="74" t="s">
        <v>620</v>
      </c>
      <c r="E236" s="36"/>
      <c r="F236" s="74"/>
      <c r="G236" s="74" t="s">
        <v>694</v>
      </c>
      <c r="H236" s="36"/>
      <c r="I236" s="36"/>
      <c r="J236" s="36"/>
      <c r="K236" s="36"/>
      <c r="L236" s="36"/>
      <c r="M236" s="36"/>
      <c r="N236" s="36"/>
      <c r="O236" s="36"/>
      <c r="P236" s="36"/>
      <c r="Q236" s="36"/>
      <c r="R236" s="36"/>
      <c r="S236" s="36"/>
      <c r="T236" s="36"/>
      <c r="U236" s="36"/>
    </row>
    <row r="237" spans="1:21">
      <c r="A237" s="74" t="s">
        <v>250</v>
      </c>
      <c r="B237" s="36">
        <v>341482</v>
      </c>
      <c r="C237" s="36">
        <v>50590</v>
      </c>
      <c r="D237" s="74" t="s">
        <v>620</v>
      </c>
      <c r="E237" s="36"/>
      <c r="F237" s="74"/>
      <c r="G237" s="74" t="s">
        <v>694</v>
      </c>
      <c r="H237" s="36"/>
      <c r="I237" s="36"/>
      <c r="J237" s="36"/>
      <c r="K237" s="36"/>
      <c r="L237" s="36"/>
      <c r="M237" s="36"/>
      <c r="N237" s="36"/>
      <c r="O237" s="36"/>
      <c r="P237" s="36"/>
      <c r="Q237" s="36"/>
      <c r="R237" s="36"/>
      <c r="S237" s="36"/>
      <c r="T237" s="36"/>
      <c r="U237" s="36"/>
    </row>
    <row r="238" spans="1:21">
      <c r="A238" s="74" t="s">
        <v>250</v>
      </c>
      <c r="B238" s="36">
        <v>341474</v>
      </c>
      <c r="C238" s="36">
        <v>50590</v>
      </c>
      <c r="D238" s="74" t="s">
        <v>620</v>
      </c>
      <c r="E238" s="36"/>
      <c r="F238" s="74"/>
      <c r="G238" s="74" t="s">
        <v>694</v>
      </c>
      <c r="H238" s="36"/>
      <c r="I238" s="36"/>
      <c r="J238" s="36"/>
      <c r="K238" s="36"/>
      <c r="L238" s="36"/>
      <c r="M238" s="36"/>
      <c r="N238" s="36"/>
      <c r="O238" s="36"/>
      <c r="P238" s="36"/>
      <c r="Q238" s="36"/>
      <c r="R238" s="36"/>
      <c r="S238" s="36"/>
      <c r="T238" s="36"/>
      <c r="U238" s="36"/>
    </row>
    <row r="239" spans="1:21">
      <c r="A239" s="74" t="s">
        <v>250</v>
      </c>
      <c r="B239" s="36">
        <v>341472</v>
      </c>
      <c r="C239" s="36">
        <v>50590</v>
      </c>
      <c r="D239" s="74" t="s">
        <v>620</v>
      </c>
      <c r="E239" s="36"/>
      <c r="F239" s="74"/>
      <c r="G239" s="74" t="s">
        <v>694</v>
      </c>
      <c r="H239" s="36"/>
      <c r="I239" s="36"/>
      <c r="J239" s="36"/>
      <c r="K239" s="36"/>
      <c r="L239" s="36"/>
      <c r="M239" s="36"/>
      <c r="N239" s="36"/>
      <c r="O239" s="36"/>
      <c r="P239" s="36"/>
      <c r="Q239" s="36"/>
      <c r="R239" s="36"/>
      <c r="S239" s="36"/>
      <c r="T239" s="36"/>
      <c r="U239" s="36"/>
    </row>
    <row r="240" spans="1:21">
      <c r="A240" s="74" t="s">
        <v>250</v>
      </c>
      <c r="B240" s="36">
        <v>132591</v>
      </c>
      <c r="C240" s="36">
        <v>50590</v>
      </c>
      <c r="D240" s="74" t="s">
        <v>620</v>
      </c>
      <c r="E240" s="36"/>
      <c r="F240" s="74"/>
      <c r="G240" s="74" t="s">
        <v>694</v>
      </c>
      <c r="H240" s="36"/>
      <c r="I240" s="36"/>
      <c r="J240" s="36"/>
      <c r="K240" s="36"/>
      <c r="L240" s="36"/>
      <c r="M240" s="36"/>
      <c r="N240" s="36"/>
      <c r="O240" s="36"/>
      <c r="P240" s="36"/>
      <c r="Q240" s="36"/>
      <c r="R240" s="36"/>
      <c r="S240" s="36"/>
      <c r="T240" s="36"/>
      <c r="U240" s="36"/>
    </row>
    <row r="241" spans="1:21">
      <c r="A241" s="74" t="s">
        <v>250</v>
      </c>
      <c r="B241" s="36">
        <v>132592</v>
      </c>
      <c r="C241" s="36">
        <v>50590</v>
      </c>
      <c r="D241" s="74" t="s">
        <v>620</v>
      </c>
      <c r="E241" s="36"/>
      <c r="F241" s="74"/>
      <c r="G241" s="74" t="s">
        <v>694</v>
      </c>
      <c r="H241" s="36"/>
      <c r="I241" s="36"/>
      <c r="J241" s="36"/>
      <c r="K241" s="36"/>
      <c r="L241" s="36"/>
      <c r="M241" s="36"/>
      <c r="N241" s="36"/>
      <c r="O241" s="36"/>
      <c r="P241" s="36"/>
      <c r="Q241" s="36"/>
      <c r="R241" s="36"/>
      <c r="S241" s="36"/>
      <c r="T241" s="36"/>
      <c r="U241" s="36"/>
    </row>
    <row r="242" spans="1:21">
      <c r="A242" s="74" t="s">
        <v>250</v>
      </c>
      <c r="B242" s="36">
        <v>132593</v>
      </c>
      <c r="C242" s="36">
        <v>50590</v>
      </c>
      <c r="D242" s="74" t="s">
        <v>620</v>
      </c>
      <c r="E242" s="36"/>
      <c r="F242" s="74"/>
      <c r="G242" s="74" t="s">
        <v>694</v>
      </c>
      <c r="H242" s="36"/>
      <c r="I242" s="36"/>
      <c r="J242" s="36"/>
      <c r="K242" s="36"/>
      <c r="L242" s="36"/>
      <c r="M242" s="36"/>
      <c r="N242" s="36"/>
      <c r="O242" s="36"/>
      <c r="P242" s="36"/>
      <c r="Q242" s="36"/>
      <c r="R242" s="36"/>
      <c r="S242" s="36"/>
      <c r="T242" s="36"/>
      <c r="U242" s="36"/>
    </row>
    <row r="243" spans="1:21">
      <c r="A243" s="74" t="s">
        <v>250</v>
      </c>
      <c r="B243" s="36">
        <v>132594</v>
      </c>
      <c r="C243" s="36">
        <v>50590</v>
      </c>
      <c r="D243" s="74" t="s">
        <v>620</v>
      </c>
      <c r="E243" s="36"/>
      <c r="F243" s="74"/>
      <c r="G243" s="74" t="s">
        <v>694</v>
      </c>
      <c r="H243" s="36"/>
      <c r="I243" s="36"/>
      <c r="J243" s="36"/>
      <c r="K243" s="36"/>
      <c r="L243" s="36"/>
      <c r="M243" s="36"/>
      <c r="N243" s="36"/>
      <c r="O243" s="36"/>
      <c r="P243" s="36"/>
      <c r="Q243" s="36"/>
      <c r="R243" s="36"/>
      <c r="S243" s="36"/>
      <c r="T243" s="36"/>
      <c r="U243" s="36"/>
    </row>
    <row r="244" spans="1:21">
      <c r="A244" s="74" t="s">
        <v>250</v>
      </c>
      <c r="B244" s="36">
        <v>132595</v>
      </c>
      <c r="C244" s="36">
        <v>50590</v>
      </c>
      <c r="D244" s="74" t="s">
        <v>620</v>
      </c>
      <c r="E244" s="36"/>
      <c r="F244" s="74"/>
      <c r="G244" s="74" t="s">
        <v>694</v>
      </c>
      <c r="H244" s="36"/>
      <c r="I244" s="36"/>
      <c r="J244" s="36"/>
      <c r="K244" s="36"/>
      <c r="L244" s="36"/>
      <c r="M244" s="36"/>
      <c r="N244" s="36"/>
      <c r="O244" s="36"/>
      <c r="P244" s="36"/>
      <c r="Q244" s="36"/>
      <c r="R244" s="36"/>
      <c r="S244" s="36"/>
      <c r="T244" s="36"/>
      <c r="U244" s="36"/>
    </row>
    <row r="245" spans="1:21">
      <c r="A245" s="74" t="s">
        <v>250</v>
      </c>
      <c r="B245" s="36">
        <v>132596</v>
      </c>
      <c r="C245" s="36">
        <v>50590</v>
      </c>
      <c r="D245" s="74" t="s">
        <v>620</v>
      </c>
      <c r="E245" s="36"/>
      <c r="F245" s="74"/>
      <c r="G245" s="74" t="s">
        <v>694</v>
      </c>
      <c r="H245" s="36"/>
      <c r="I245" s="36"/>
      <c r="J245" s="36"/>
      <c r="K245" s="36"/>
      <c r="L245" s="36"/>
      <c r="M245" s="36"/>
      <c r="N245" s="36"/>
      <c r="O245" s="36"/>
      <c r="P245" s="36"/>
      <c r="Q245" s="36"/>
      <c r="R245" s="36"/>
      <c r="S245" s="36"/>
      <c r="T245" s="36"/>
      <c r="U245" s="36"/>
    </row>
    <row r="246" spans="1:21">
      <c r="A246" s="74" t="s">
        <v>250</v>
      </c>
      <c r="B246" s="36">
        <v>132597</v>
      </c>
      <c r="C246" s="36">
        <v>50590</v>
      </c>
      <c r="D246" s="74" t="s">
        <v>620</v>
      </c>
      <c r="E246" s="36"/>
      <c r="F246" s="74"/>
      <c r="G246" s="74" t="s">
        <v>694</v>
      </c>
      <c r="H246" s="36"/>
      <c r="I246" s="36"/>
      <c r="J246" s="36"/>
      <c r="K246" s="36"/>
      <c r="L246" s="36"/>
      <c r="M246" s="36"/>
      <c r="N246" s="36"/>
      <c r="O246" s="36"/>
      <c r="P246" s="36"/>
      <c r="Q246" s="36"/>
      <c r="R246" s="36"/>
      <c r="S246" s="36"/>
      <c r="T246" s="36"/>
      <c r="U246" s="36"/>
    </row>
    <row r="247" spans="1:21">
      <c r="A247" s="74" t="s">
        <v>250</v>
      </c>
      <c r="B247" s="36">
        <v>132598</v>
      </c>
      <c r="C247" s="36">
        <v>50590</v>
      </c>
      <c r="D247" s="74" t="s">
        <v>620</v>
      </c>
      <c r="E247" s="36"/>
      <c r="F247" s="74"/>
      <c r="G247" s="74" t="s">
        <v>694</v>
      </c>
      <c r="H247" s="36"/>
      <c r="I247" s="36"/>
      <c r="J247" s="36"/>
      <c r="K247" s="36"/>
      <c r="L247" s="36"/>
      <c r="M247" s="36"/>
      <c r="N247" s="36"/>
      <c r="O247" s="36"/>
      <c r="P247" s="36"/>
      <c r="Q247" s="36"/>
      <c r="R247" s="36"/>
      <c r="S247" s="36"/>
      <c r="T247" s="36"/>
      <c r="U247" s="36"/>
    </row>
    <row r="248" spans="1:21">
      <c r="A248" s="74" t="s">
        <v>250</v>
      </c>
      <c r="B248" s="36">
        <v>132599</v>
      </c>
      <c r="C248" s="36">
        <v>50590</v>
      </c>
      <c r="D248" s="74" t="s">
        <v>620</v>
      </c>
      <c r="E248" s="36"/>
      <c r="F248" s="74"/>
      <c r="G248" s="74" t="s">
        <v>694</v>
      </c>
      <c r="H248" s="36"/>
      <c r="I248" s="36"/>
      <c r="J248" s="36"/>
      <c r="K248" s="36"/>
      <c r="L248" s="36"/>
      <c r="M248" s="36"/>
      <c r="N248" s="36"/>
      <c r="O248" s="36"/>
      <c r="P248" s="36"/>
      <c r="Q248" s="36"/>
      <c r="R248" s="36"/>
      <c r="S248" s="36"/>
      <c r="T248" s="36"/>
      <c r="U248" s="36"/>
    </row>
    <row r="249" spans="1:21">
      <c r="A249" s="74" t="s">
        <v>250</v>
      </c>
      <c r="B249" s="36">
        <v>132600</v>
      </c>
      <c r="C249" s="36">
        <v>50590</v>
      </c>
      <c r="D249" s="74" t="s">
        <v>620</v>
      </c>
      <c r="E249" s="36"/>
      <c r="F249" s="74"/>
      <c r="G249" s="74" t="s">
        <v>694</v>
      </c>
      <c r="H249" s="36"/>
      <c r="I249" s="36"/>
      <c r="J249" s="36"/>
      <c r="K249" s="36"/>
      <c r="L249" s="36"/>
      <c r="M249" s="36"/>
      <c r="N249" s="36"/>
      <c r="O249" s="36"/>
      <c r="P249" s="36"/>
      <c r="Q249" s="36"/>
      <c r="R249" s="36"/>
      <c r="S249" s="36"/>
      <c r="T249" s="36"/>
      <c r="U249" s="36"/>
    </row>
    <row r="250" spans="1:21">
      <c r="A250" s="74" t="s">
        <v>250</v>
      </c>
      <c r="B250" s="36">
        <v>132601</v>
      </c>
      <c r="C250" s="36">
        <v>50590</v>
      </c>
      <c r="D250" s="74" t="s">
        <v>620</v>
      </c>
      <c r="E250" s="36"/>
      <c r="F250" s="74"/>
      <c r="G250" s="74" t="s">
        <v>694</v>
      </c>
      <c r="H250" s="36"/>
      <c r="I250" s="36"/>
      <c r="J250" s="36"/>
      <c r="K250" s="36"/>
      <c r="L250" s="36"/>
      <c r="M250" s="36"/>
      <c r="N250" s="36"/>
      <c r="O250" s="36"/>
      <c r="P250" s="36"/>
      <c r="Q250" s="36"/>
      <c r="R250" s="36"/>
      <c r="S250" s="36"/>
      <c r="T250" s="36"/>
      <c r="U250" s="36"/>
    </row>
    <row r="251" spans="1:21">
      <c r="A251" s="74" t="s">
        <v>250</v>
      </c>
      <c r="B251" s="36">
        <v>132590</v>
      </c>
      <c r="C251" s="36">
        <v>50590</v>
      </c>
      <c r="D251" s="74" t="s">
        <v>620</v>
      </c>
      <c r="E251" s="36"/>
      <c r="F251" s="74"/>
      <c r="G251" s="74" t="s">
        <v>694</v>
      </c>
      <c r="H251" s="36"/>
      <c r="I251" s="36"/>
      <c r="J251" s="36"/>
      <c r="K251" s="36"/>
      <c r="L251" s="36"/>
      <c r="M251" s="36"/>
      <c r="N251" s="36"/>
      <c r="O251" s="36"/>
      <c r="P251" s="36"/>
      <c r="Q251" s="36"/>
      <c r="R251" s="36"/>
      <c r="S251" s="36"/>
      <c r="T251" s="36"/>
      <c r="U251" s="36"/>
    </row>
    <row r="252" spans="1:21">
      <c r="A252" s="74" t="s">
        <v>250</v>
      </c>
      <c r="B252" s="36">
        <v>132616</v>
      </c>
      <c r="C252" s="36">
        <v>51390</v>
      </c>
      <c r="D252" s="74" t="s">
        <v>621</v>
      </c>
      <c r="E252" s="36"/>
      <c r="F252" s="74"/>
      <c r="G252" s="74" t="s">
        <v>696</v>
      </c>
      <c r="H252" s="36"/>
      <c r="I252" s="36"/>
      <c r="J252" s="36"/>
      <c r="K252" s="36"/>
      <c r="L252" s="36"/>
      <c r="M252" s="36"/>
      <c r="N252" s="36"/>
      <c r="O252" s="36"/>
      <c r="P252" s="36"/>
      <c r="Q252" s="36"/>
      <c r="R252" s="36"/>
      <c r="S252" s="36"/>
      <c r="T252" s="36"/>
      <c r="U252" s="36"/>
    </row>
    <row r="253" spans="1:21">
      <c r="A253" s="74" t="s">
        <v>250</v>
      </c>
      <c r="B253" s="36">
        <v>341495</v>
      </c>
      <c r="C253" s="36">
        <v>51390</v>
      </c>
      <c r="D253" s="74" t="s">
        <v>621</v>
      </c>
      <c r="E253" s="36"/>
      <c r="F253" s="74"/>
      <c r="G253" s="74" t="s">
        <v>696</v>
      </c>
      <c r="H253" s="36"/>
      <c r="I253" s="36"/>
      <c r="J253" s="36"/>
      <c r="K253" s="36"/>
      <c r="L253" s="36"/>
      <c r="M253" s="36"/>
      <c r="N253" s="36"/>
      <c r="O253" s="36"/>
      <c r="P253" s="36"/>
      <c r="Q253" s="36"/>
      <c r="R253" s="36"/>
      <c r="S253" s="36"/>
      <c r="T253" s="36"/>
      <c r="U253" s="36"/>
    </row>
    <row r="254" spans="1:21">
      <c r="A254" s="74" t="s">
        <v>250</v>
      </c>
      <c r="B254" s="36">
        <v>341494</v>
      </c>
      <c r="C254" s="36">
        <v>51390</v>
      </c>
      <c r="D254" s="74" t="s">
        <v>621</v>
      </c>
      <c r="E254" s="36"/>
      <c r="F254" s="74"/>
      <c r="G254" s="74" t="s">
        <v>696</v>
      </c>
      <c r="H254" s="36"/>
      <c r="I254" s="36"/>
      <c r="J254" s="36"/>
      <c r="K254" s="36"/>
      <c r="L254" s="36"/>
      <c r="M254" s="36"/>
      <c r="N254" s="36"/>
      <c r="O254" s="36"/>
      <c r="P254" s="36"/>
      <c r="Q254" s="36"/>
      <c r="R254" s="36"/>
      <c r="S254" s="36"/>
      <c r="T254" s="36"/>
      <c r="U254" s="36"/>
    </row>
    <row r="255" spans="1:21">
      <c r="A255" s="74" t="s">
        <v>250</v>
      </c>
      <c r="B255" s="36">
        <v>341506</v>
      </c>
      <c r="C255" s="36">
        <v>51390</v>
      </c>
      <c r="D255" s="74" t="s">
        <v>621</v>
      </c>
      <c r="E255" s="36"/>
      <c r="F255" s="74"/>
      <c r="G255" s="74" t="s">
        <v>696</v>
      </c>
      <c r="H255" s="36"/>
      <c r="I255" s="36"/>
      <c r="J255" s="36"/>
      <c r="K255" s="36"/>
      <c r="L255" s="36"/>
      <c r="M255" s="36"/>
      <c r="N255" s="36"/>
      <c r="O255" s="36"/>
      <c r="P255" s="36"/>
      <c r="Q255" s="36"/>
      <c r="R255" s="36"/>
      <c r="S255" s="36"/>
      <c r="T255" s="36"/>
      <c r="U255" s="36"/>
    </row>
    <row r="256" spans="1:21">
      <c r="A256" s="74" t="s">
        <v>250</v>
      </c>
      <c r="B256" s="36">
        <v>341505</v>
      </c>
      <c r="C256" s="36">
        <v>51390</v>
      </c>
      <c r="D256" s="74" t="s">
        <v>621</v>
      </c>
      <c r="E256" s="36"/>
      <c r="F256" s="74"/>
      <c r="G256" s="74" t="s">
        <v>696</v>
      </c>
      <c r="H256" s="36"/>
      <c r="I256" s="36"/>
      <c r="J256" s="36"/>
      <c r="K256" s="36"/>
      <c r="L256" s="36"/>
      <c r="M256" s="36"/>
      <c r="N256" s="36"/>
      <c r="O256" s="36"/>
      <c r="P256" s="36"/>
      <c r="Q256" s="36"/>
      <c r="R256" s="36"/>
      <c r="S256" s="36"/>
      <c r="T256" s="36"/>
      <c r="U256" s="36"/>
    </row>
    <row r="257" spans="1:21">
      <c r="A257" s="74" t="s">
        <v>250</v>
      </c>
      <c r="B257" s="36">
        <v>341497</v>
      </c>
      <c r="C257" s="36">
        <v>51390</v>
      </c>
      <c r="D257" s="74" t="s">
        <v>621</v>
      </c>
      <c r="E257" s="36"/>
      <c r="F257" s="74"/>
      <c r="G257" s="74" t="s">
        <v>696</v>
      </c>
      <c r="H257" s="36"/>
      <c r="I257" s="36"/>
      <c r="J257" s="36"/>
      <c r="K257" s="36"/>
      <c r="L257" s="36"/>
      <c r="M257" s="36"/>
      <c r="N257" s="36"/>
      <c r="O257" s="36"/>
      <c r="P257" s="36"/>
      <c r="Q257" s="36"/>
      <c r="R257" s="36"/>
      <c r="S257" s="36"/>
      <c r="T257" s="36"/>
      <c r="U257" s="36"/>
    </row>
    <row r="258" spans="1:21">
      <c r="A258" s="74" t="s">
        <v>250</v>
      </c>
      <c r="B258" s="36">
        <v>341498</v>
      </c>
      <c r="C258" s="36">
        <v>51390</v>
      </c>
      <c r="D258" s="74" t="s">
        <v>621</v>
      </c>
      <c r="E258" s="36"/>
      <c r="F258" s="74"/>
      <c r="G258" s="74" t="s">
        <v>696</v>
      </c>
      <c r="H258" s="36"/>
      <c r="I258" s="36"/>
      <c r="J258" s="36"/>
      <c r="K258" s="36"/>
      <c r="L258" s="36"/>
      <c r="M258" s="36"/>
      <c r="N258" s="36"/>
      <c r="O258" s="36"/>
      <c r="P258" s="36"/>
      <c r="Q258" s="36"/>
      <c r="R258" s="36"/>
      <c r="S258" s="36"/>
      <c r="T258" s="36"/>
      <c r="U258" s="36"/>
    </row>
    <row r="259" spans="1:21">
      <c r="A259" s="74" t="s">
        <v>250</v>
      </c>
      <c r="B259" s="36">
        <v>341499</v>
      </c>
      <c r="C259" s="36">
        <v>51390</v>
      </c>
      <c r="D259" s="74" t="s">
        <v>621</v>
      </c>
      <c r="E259" s="36"/>
      <c r="F259" s="74"/>
      <c r="G259" s="74" t="s">
        <v>696</v>
      </c>
      <c r="H259" s="36"/>
      <c r="I259" s="36"/>
      <c r="J259" s="36"/>
      <c r="K259" s="36"/>
      <c r="L259" s="36"/>
      <c r="M259" s="36"/>
      <c r="N259" s="36"/>
      <c r="O259" s="36"/>
      <c r="P259" s="36"/>
      <c r="Q259" s="36"/>
      <c r="R259" s="36"/>
      <c r="S259" s="36"/>
      <c r="T259" s="36"/>
      <c r="U259" s="36"/>
    </row>
    <row r="260" spans="1:21">
      <c r="A260" s="74" t="s">
        <v>250</v>
      </c>
      <c r="B260" s="36">
        <v>341500</v>
      </c>
      <c r="C260" s="36">
        <v>51390</v>
      </c>
      <c r="D260" s="74" t="s">
        <v>621</v>
      </c>
      <c r="E260" s="36"/>
      <c r="F260" s="74"/>
      <c r="G260" s="74" t="s">
        <v>696</v>
      </c>
      <c r="H260" s="36"/>
      <c r="I260" s="36"/>
      <c r="J260" s="36"/>
      <c r="K260" s="36"/>
      <c r="L260" s="36"/>
      <c r="M260" s="36"/>
      <c r="N260" s="36"/>
      <c r="O260" s="36"/>
      <c r="P260" s="36"/>
      <c r="Q260" s="36"/>
      <c r="R260" s="36"/>
      <c r="S260" s="36"/>
      <c r="T260" s="36"/>
      <c r="U260" s="36"/>
    </row>
    <row r="261" spans="1:21">
      <c r="A261" s="74" t="s">
        <v>250</v>
      </c>
      <c r="B261" s="36">
        <v>341503</v>
      </c>
      <c r="C261" s="36">
        <v>51390</v>
      </c>
      <c r="D261" s="74" t="s">
        <v>621</v>
      </c>
      <c r="E261" s="36"/>
      <c r="F261" s="74"/>
      <c r="G261" s="74" t="s">
        <v>696</v>
      </c>
      <c r="H261" s="36"/>
      <c r="I261" s="36"/>
      <c r="J261" s="36"/>
      <c r="K261" s="36"/>
      <c r="L261" s="36"/>
      <c r="M261" s="36"/>
      <c r="N261" s="36"/>
      <c r="O261" s="36"/>
      <c r="P261" s="36"/>
      <c r="Q261" s="36"/>
      <c r="R261" s="36"/>
      <c r="S261" s="36"/>
      <c r="T261" s="36"/>
      <c r="U261" s="36"/>
    </row>
    <row r="262" spans="1:21">
      <c r="A262" s="74" t="s">
        <v>250</v>
      </c>
      <c r="B262" s="36">
        <v>341501</v>
      </c>
      <c r="C262" s="36">
        <v>51390</v>
      </c>
      <c r="D262" s="74" t="s">
        <v>621</v>
      </c>
      <c r="E262" s="36"/>
      <c r="F262" s="74"/>
      <c r="G262" s="74" t="s">
        <v>696</v>
      </c>
      <c r="H262" s="36"/>
      <c r="I262" s="36"/>
      <c r="J262" s="36"/>
      <c r="K262" s="36"/>
      <c r="L262" s="36"/>
      <c r="M262" s="36"/>
      <c r="N262" s="36"/>
      <c r="O262" s="36"/>
      <c r="P262" s="36"/>
      <c r="Q262" s="36"/>
      <c r="R262" s="36"/>
      <c r="S262" s="36"/>
      <c r="T262" s="36"/>
      <c r="U262" s="36"/>
    </row>
    <row r="263" spans="1:21">
      <c r="A263" s="74" t="s">
        <v>250</v>
      </c>
      <c r="B263" s="36">
        <v>341502</v>
      </c>
      <c r="C263" s="36">
        <v>51390</v>
      </c>
      <c r="D263" s="74" t="s">
        <v>621</v>
      </c>
      <c r="E263" s="36"/>
      <c r="F263" s="74"/>
      <c r="G263" s="74" t="s">
        <v>696</v>
      </c>
      <c r="H263" s="36"/>
      <c r="I263" s="36"/>
      <c r="J263" s="36"/>
      <c r="K263" s="36"/>
      <c r="L263" s="36"/>
      <c r="M263" s="36"/>
      <c r="N263" s="36"/>
      <c r="O263" s="36"/>
      <c r="P263" s="36"/>
      <c r="Q263" s="36"/>
      <c r="R263" s="36"/>
      <c r="S263" s="36"/>
      <c r="T263" s="36"/>
      <c r="U263" s="36"/>
    </row>
    <row r="264" spans="1:21">
      <c r="A264" s="74" t="s">
        <v>250</v>
      </c>
      <c r="B264" s="36">
        <v>341504</v>
      </c>
      <c r="C264" s="36">
        <v>51390</v>
      </c>
      <c r="D264" s="74" t="s">
        <v>621</v>
      </c>
      <c r="E264" s="36"/>
      <c r="F264" s="74"/>
      <c r="G264" s="74" t="s">
        <v>696</v>
      </c>
      <c r="H264" s="36"/>
      <c r="I264" s="36"/>
      <c r="J264" s="36"/>
      <c r="K264" s="36"/>
      <c r="L264" s="36"/>
      <c r="M264" s="36"/>
      <c r="N264" s="36"/>
      <c r="O264" s="36"/>
      <c r="P264" s="36"/>
      <c r="Q264" s="36"/>
      <c r="R264" s="36"/>
      <c r="S264" s="36"/>
      <c r="T264" s="36"/>
      <c r="U264" s="36"/>
    </row>
    <row r="265" spans="1:21">
      <c r="A265" s="74" t="s">
        <v>250</v>
      </c>
      <c r="B265" s="36">
        <v>341496</v>
      </c>
      <c r="C265" s="36">
        <v>51390</v>
      </c>
      <c r="D265" s="74" t="s">
        <v>621</v>
      </c>
      <c r="E265" s="36"/>
      <c r="F265" s="74"/>
      <c r="G265" s="74" t="s">
        <v>696</v>
      </c>
      <c r="H265" s="36"/>
      <c r="I265" s="36"/>
      <c r="J265" s="36"/>
      <c r="K265" s="36"/>
      <c r="L265" s="36"/>
      <c r="M265" s="36"/>
      <c r="N265" s="36"/>
      <c r="O265" s="36"/>
      <c r="P265" s="36"/>
      <c r="Q265" s="36"/>
      <c r="R265" s="36"/>
      <c r="S265" s="36"/>
      <c r="T265" s="36"/>
      <c r="U265" s="36"/>
    </row>
    <row r="266" spans="1:21">
      <c r="A266" s="74" t="s">
        <v>250</v>
      </c>
      <c r="B266" s="36">
        <v>132605</v>
      </c>
      <c r="C266" s="36">
        <v>51390</v>
      </c>
      <c r="D266" s="74" t="s">
        <v>621</v>
      </c>
      <c r="E266" s="36"/>
      <c r="F266" s="74"/>
      <c r="G266" s="74" t="s">
        <v>696</v>
      </c>
      <c r="H266" s="36"/>
      <c r="I266" s="36"/>
      <c r="J266" s="36"/>
      <c r="K266" s="36"/>
      <c r="L266" s="36"/>
      <c r="M266" s="36"/>
      <c r="N266" s="36"/>
      <c r="O266" s="36"/>
      <c r="P266" s="36"/>
      <c r="Q266" s="36"/>
      <c r="R266" s="36"/>
      <c r="S266" s="36"/>
      <c r="T266" s="36"/>
      <c r="U266" s="36"/>
    </row>
    <row r="267" spans="1:21">
      <c r="A267" s="74" t="s">
        <v>250</v>
      </c>
      <c r="B267" s="36">
        <v>132606</v>
      </c>
      <c r="C267" s="36">
        <v>51390</v>
      </c>
      <c r="D267" s="74" t="s">
        <v>621</v>
      </c>
      <c r="E267" s="36"/>
      <c r="F267" s="74"/>
      <c r="G267" s="74" t="s">
        <v>696</v>
      </c>
      <c r="H267" s="36"/>
      <c r="I267" s="36"/>
      <c r="J267" s="36"/>
      <c r="K267" s="36"/>
      <c r="L267" s="36"/>
      <c r="M267" s="36"/>
      <c r="N267" s="36"/>
      <c r="O267" s="36"/>
      <c r="P267" s="36"/>
      <c r="Q267" s="36"/>
      <c r="R267" s="36"/>
      <c r="S267" s="36"/>
      <c r="T267" s="36"/>
      <c r="U267" s="36"/>
    </row>
    <row r="268" spans="1:21">
      <c r="A268" s="74" t="s">
        <v>250</v>
      </c>
      <c r="B268" s="36">
        <v>132607</v>
      </c>
      <c r="C268" s="36">
        <v>51390</v>
      </c>
      <c r="D268" s="74" t="s">
        <v>621</v>
      </c>
      <c r="E268" s="36"/>
      <c r="F268" s="74"/>
      <c r="G268" s="74" t="s">
        <v>696</v>
      </c>
      <c r="H268" s="36"/>
      <c r="I268" s="36"/>
      <c r="J268" s="36"/>
      <c r="K268" s="36"/>
      <c r="L268" s="36"/>
      <c r="M268" s="36"/>
      <c r="N268" s="36"/>
      <c r="O268" s="36"/>
      <c r="P268" s="36"/>
      <c r="Q268" s="36"/>
      <c r="R268" s="36"/>
      <c r="S268" s="36"/>
      <c r="T268" s="36"/>
      <c r="U268" s="36"/>
    </row>
    <row r="269" spans="1:21">
      <c r="A269" s="74" t="s">
        <v>250</v>
      </c>
      <c r="B269" s="36">
        <v>132608</v>
      </c>
      <c r="C269" s="36">
        <v>51390</v>
      </c>
      <c r="D269" s="74" t="s">
        <v>621</v>
      </c>
      <c r="E269" s="36"/>
      <c r="F269" s="74"/>
      <c r="G269" s="74" t="s">
        <v>696</v>
      </c>
      <c r="H269" s="36"/>
      <c r="I269" s="36"/>
      <c r="J269" s="36"/>
      <c r="K269" s="36"/>
      <c r="L269" s="36"/>
      <c r="M269" s="36"/>
      <c r="N269" s="36"/>
      <c r="O269" s="36"/>
      <c r="P269" s="36"/>
      <c r="Q269" s="36"/>
      <c r="R269" s="36"/>
      <c r="S269" s="36"/>
      <c r="T269" s="36"/>
      <c r="U269" s="36"/>
    </row>
    <row r="270" spans="1:21">
      <c r="A270" s="74" t="s">
        <v>250</v>
      </c>
      <c r="B270" s="36">
        <v>132609</v>
      </c>
      <c r="C270" s="36">
        <v>51390</v>
      </c>
      <c r="D270" s="74" t="s">
        <v>621</v>
      </c>
      <c r="E270" s="36"/>
      <c r="F270" s="74"/>
      <c r="G270" s="74" t="s">
        <v>696</v>
      </c>
      <c r="H270" s="36"/>
      <c r="I270" s="36"/>
      <c r="J270" s="36"/>
      <c r="K270" s="36"/>
      <c r="L270" s="36"/>
      <c r="M270" s="36"/>
      <c r="N270" s="36"/>
      <c r="O270" s="36"/>
      <c r="P270" s="36"/>
      <c r="Q270" s="36"/>
      <c r="R270" s="36"/>
      <c r="S270" s="36"/>
      <c r="T270" s="36"/>
      <c r="U270" s="36"/>
    </row>
    <row r="271" spans="1:21">
      <c r="A271" s="74" t="s">
        <v>250</v>
      </c>
      <c r="B271" s="36">
        <v>132610</v>
      </c>
      <c r="C271" s="36">
        <v>51390</v>
      </c>
      <c r="D271" s="74" t="s">
        <v>621</v>
      </c>
      <c r="E271" s="36"/>
      <c r="F271" s="74"/>
      <c r="G271" s="74" t="s">
        <v>696</v>
      </c>
      <c r="H271" s="36"/>
      <c r="I271" s="36"/>
      <c r="J271" s="36"/>
      <c r="K271" s="36"/>
      <c r="L271" s="36"/>
      <c r="M271" s="36"/>
      <c r="N271" s="36"/>
      <c r="O271" s="36"/>
      <c r="P271" s="36"/>
      <c r="Q271" s="36"/>
      <c r="R271" s="36"/>
      <c r="S271" s="36"/>
      <c r="T271" s="36"/>
      <c r="U271" s="36"/>
    </row>
    <row r="272" spans="1:21">
      <c r="A272" s="74" t="s">
        <v>250</v>
      </c>
      <c r="B272" s="36">
        <v>132611</v>
      </c>
      <c r="C272" s="36">
        <v>51390</v>
      </c>
      <c r="D272" s="74" t="s">
        <v>621</v>
      </c>
      <c r="E272" s="36"/>
      <c r="F272" s="74"/>
      <c r="G272" s="74" t="s">
        <v>696</v>
      </c>
      <c r="H272" s="36"/>
      <c r="I272" s="36"/>
      <c r="J272" s="36"/>
      <c r="K272" s="36"/>
      <c r="L272" s="36"/>
      <c r="M272" s="36"/>
      <c r="N272" s="36"/>
      <c r="O272" s="36"/>
      <c r="P272" s="36"/>
      <c r="Q272" s="36"/>
      <c r="R272" s="36"/>
      <c r="S272" s="36"/>
      <c r="T272" s="36"/>
      <c r="U272" s="36"/>
    </row>
    <row r="273" spans="1:21">
      <c r="A273" s="74" t="s">
        <v>250</v>
      </c>
      <c r="B273" s="36">
        <v>132612</v>
      </c>
      <c r="C273" s="36">
        <v>51390</v>
      </c>
      <c r="D273" s="74" t="s">
        <v>621</v>
      </c>
      <c r="E273" s="36"/>
      <c r="F273" s="74"/>
      <c r="G273" s="74" t="s">
        <v>696</v>
      </c>
      <c r="H273" s="36"/>
      <c r="I273" s="36"/>
      <c r="J273" s="36"/>
      <c r="K273" s="36"/>
      <c r="L273" s="36"/>
      <c r="M273" s="36"/>
      <c r="N273" s="36"/>
      <c r="O273" s="36"/>
      <c r="P273" s="36"/>
      <c r="Q273" s="36"/>
      <c r="R273" s="36"/>
      <c r="S273" s="36"/>
      <c r="T273" s="36"/>
      <c r="U273" s="36"/>
    </row>
    <row r="274" spans="1:21">
      <c r="A274" s="74" t="s">
        <v>250</v>
      </c>
      <c r="B274" s="36">
        <v>132613</v>
      </c>
      <c r="C274" s="36">
        <v>51390</v>
      </c>
      <c r="D274" s="74" t="s">
        <v>621</v>
      </c>
      <c r="E274" s="36"/>
      <c r="F274" s="74"/>
      <c r="G274" s="74" t="s">
        <v>696</v>
      </c>
      <c r="H274" s="36"/>
      <c r="I274" s="36"/>
      <c r="J274" s="36"/>
      <c r="K274" s="36"/>
      <c r="L274" s="36"/>
      <c r="M274" s="36"/>
      <c r="N274" s="36"/>
      <c r="O274" s="36"/>
      <c r="P274" s="36"/>
      <c r="Q274" s="36"/>
      <c r="R274" s="36"/>
      <c r="S274" s="36"/>
      <c r="T274" s="36"/>
      <c r="U274" s="36"/>
    </row>
    <row r="275" spans="1:21">
      <c r="A275" s="74" t="s">
        <v>250</v>
      </c>
      <c r="B275" s="36">
        <v>132614</v>
      </c>
      <c r="C275" s="36">
        <v>51390</v>
      </c>
      <c r="D275" s="74" t="s">
        <v>621</v>
      </c>
      <c r="E275" s="36"/>
      <c r="F275" s="74"/>
      <c r="G275" s="74" t="s">
        <v>696</v>
      </c>
      <c r="H275" s="36"/>
      <c r="I275" s="36"/>
      <c r="J275" s="36"/>
      <c r="K275" s="36"/>
      <c r="L275" s="36"/>
      <c r="M275" s="36"/>
      <c r="N275" s="36"/>
      <c r="O275" s="36"/>
      <c r="P275" s="36"/>
      <c r="Q275" s="36"/>
      <c r="R275" s="36"/>
      <c r="S275" s="36"/>
      <c r="T275" s="36"/>
      <c r="U275" s="36"/>
    </row>
    <row r="276" spans="1:21">
      <c r="A276" s="74" t="s">
        <v>250</v>
      </c>
      <c r="B276" s="36">
        <v>132615</v>
      </c>
      <c r="C276" s="36">
        <v>51390</v>
      </c>
      <c r="D276" s="74" t="s">
        <v>621</v>
      </c>
      <c r="E276" s="36"/>
      <c r="F276" s="74"/>
      <c r="G276" s="74" t="s">
        <v>696</v>
      </c>
      <c r="H276" s="36"/>
      <c r="I276" s="36"/>
      <c r="J276" s="36"/>
      <c r="K276" s="36"/>
      <c r="L276" s="36"/>
      <c r="M276" s="36"/>
      <c r="N276" s="36"/>
      <c r="O276" s="36"/>
      <c r="P276" s="36"/>
      <c r="Q276" s="36"/>
      <c r="R276" s="36"/>
      <c r="S276" s="36"/>
      <c r="T276" s="36"/>
      <c r="U276" s="36"/>
    </row>
    <row r="277" spans="1:21">
      <c r="A277" s="74" t="s">
        <v>250</v>
      </c>
      <c r="B277" s="36">
        <v>132604</v>
      </c>
      <c r="C277" s="36">
        <v>51390</v>
      </c>
      <c r="D277" s="74" t="s">
        <v>621</v>
      </c>
      <c r="E277" s="36"/>
      <c r="F277" s="74"/>
      <c r="G277" s="74" t="s">
        <v>696</v>
      </c>
      <c r="H277" s="36"/>
      <c r="I277" s="36"/>
      <c r="J277" s="36"/>
      <c r="K277" s="36"/>
      <c r="L277" s="36"/>
      <c r="M277" s="36"/>
      <c r="N277" s="36"/>
      <c r="O277" s="36"/>
      <c r="P277" s="36"/>
      <c r="Q277" s="36"/>
      <c r="R277" s="36"/>
      <c r="S277" s="36"/>
      <c r="T277" s="36"/>
      <c r="U277" s="36"/>
    </row>
    <row r="278" spans="1:21">
      <c r="A278" s="74" t="s">
        <v>250</v>
      </c>
      <c r="B278" s="36">
        <v>132630</v>
      </c>
      <c r="C278" s="36">
        <v>51390</v>
      </c>
      <c r="D278" s="74" t="s">
        <v>622</v>
      </c>
      <c r="E278" s="36"/>
      <c r="F278" s="74"/>
      <c r="G278" s="74" t="s">
        <v>696</v>
      </c>
      <c r="H278" s="36"/>
      <c r="I278" s="36"/>
      <c r="J278" s="36"/>
      <c r="K278" s="36"/>
      <c r="L278" s="36"/>
      <c r="M278" s="36"/>
      <c r="N278" s="36"/>
      <c r="O278" s="36"/>
      <c r="P278" s="36"/>
      <c r="Q278" s="36"/>
      <c r="R278" s="36"/>
      <c r="S278" s="36"/>
      <c r="T278" s="36"/>
      <c r="U278" s="36"/>
    </row>
    <row r="279" spans="1:21">
      <c r="A279" s="74" t="s">
        <v>250</v>
      </c>
      <c r="B279" s="36">
        <v>341550</v>
      </c>
      <c r="C279" s="36">
        <v>51390</v>
      </c>
      <c r="D279" s="74" t="s">
        <v>622</v>
      </c>
      <c r="E279" s="36"/>
      <c r="F279" s="74"/>
      <c r="G279" s="74" t="s">
        <v>696</v>
      </c>
      <c r="H279" s="36"/>
      <c r="I279" s="36"/>
      <c r="J279" s="36"/>
      <c r="K279" s="36"/>
      <c r="L279" s="36"/>
      <c r="M279" s="36"/>
      <c r="N279" s="36"/>
      <c r="O279" s="36"/>
      <c r="P279" s="36"/>
      <c r="Q279" s="36"/>
      <c r="R279" s="36"/>
      <c r="S279" s="36"/>
      <c r="T279" s="36"/>
      <c r="U279" s="36"/>
    </row>
    <row r="280" spans="1:21">
      <c r="A280" s="74" t="s">
        <v>250</v>
      </c>
      <c r="B280" s="36">
        <v>341549</v>
      </c>
      <c r="C280" s="36">
        <v>51390</v>
      </c>
      <c r="D280" s="74" t="s">
        <v>622</v>
      </c>
      <c r="E280" s="36"/>
      <c r="F280" s="74"/>
      <c r="G280" s="74" t="s">
        <v>696</v>
      </c>
      <c r="H280" s="36"/>
      <c r="I280" s="36"/>
      <c r="J280" s="36"/>
      <c r="K280" s="36"/>
      <c r="L280" s="36"/>
      <c r="M280" s="36"/>
      <c r="N280" s="36"/>
      <c r="O280" s="36"/>
      <c r="P280" s="36"/>
      <c r="Q280" s="36"/>
      <c r="R280" s="36"/>
      <c r="S280" s="36"/>
      <c r="T280" s="36"/>
      <c r="U280" s="36"/>
    </row>
    <row r="281" spans="1:21">
      <c r="A281" s="74" t="s">
        <v>250</v>
      </c>
      <c r="B281" s="36">
        <v>341561</v>
      </c>
      <c r="C281" s="36">
        <v>51390</v>
      </c>
      <c r="D281" s="74" t="s">
        <v>622</v>
      </c>
      <c r="E281" s="36"/>
      <c r="F281" s="74"/>
      <c r="G281" s="74" t="s">
        <v>696</v>
      </c>
      <c r="H281" s="36"/>
      <c r="I281" s="36"/>
      <c r="J281" s="36"/>
      <c r="K281" s="36"/>
      <c r="L281" s="36"/>
      <c r="M281" s="36"/>
      <c r="N281" s="36"/>
      <c r="O281" s="36"/>
      <c r="P281" s="36"/>
      <c r="Q281" s="36"/>
      <c r="R281" s="36"/>
      <c r="S281" s="36"/>
      <c r="T281" s="36"/>
      <c r="U281" s="36"/>
    </row>
    <row r="282" spans="1:21">
      <c r="A282" s="74" t="s">
        <v>250</v>
      </c>
      <c r="B282" s="36">
        <v>341560</v>
      </c>
      <c r="C282" s="36">
        <v>51390</v>
      </c>
      <c r="D282" s="74" t="s">
        <v>622</v>
      </c>
      <c r="E282" s="36"/>
      <c r="F282" s="74"/>
      <c r="G282" s="74" t="s">
        <v>696</v>
      </c>
      <c r="H282" s="36"/>
      <c r="I282" s="36"/>
      <c r="J282" s="36"/>
      <c r="K282" s="36"/>
      <c r="L282" s="36"/>
      <c r="M282" s="36"/>
      <c r="N282" s="36"/>
      <c r="O282" s="36"/>
      <c r="P282" s="36"/>
      <c r="Q282" s="36"/>
      <c r="R282" s="36"/>
      <c r="S282" s="36"/>
      <c r="T282" s="36"/>
      <c r="U282" s="36"/>
    </row>
    <row r="283" spans="1:21">
      <c r="A283" s="74" t="s">
        <v>250</v>
      </c>
      <c r="B283" s="36">
        <v>341552</v>
      </c>
      <c r="C283" s="36">
        <v>51390</v>
      </c>
      <c r="D283" s="74" t="s">
        <v>622</v>
      </c>
      <c r="E283" s="36"/>
      <c r="F283" s="74"/>
      <c r="G283" s="74" t="s">
        <v>696</v>
      </c>
      <c r="H283" s="36"/>
      <c r="I283" s="36"/>
      <c r="J283" s="36"/>
      <c r="K283" s="36"/>
      <c r="L283" s="36"/>
      <c r="M283" s="36"/>
      <c r="N283" s="36"/>
      <c r="O283" s="36"/>
      <c r="P283" s="36"/>
      <c r="Q283" s="36"/>
      <c r="R283" s="36"/>
      <c r="S283" s="36"/>
      <c r="T283" s="36"/>
      <c r="U283" s="36"/>
    </row>
    <row r="284" spans="1:21">
      <c r="A284" s="74" t="s">
        <v>250</v>
      </c>
      <c r="B284" s="36">
        <v>341553</v>
      </c>
      <c r="C284" s="36">
        <v>51390</v>
      </c>
      <c r="D284" s="74" t="s">
        <v>622</v>
      </c>
      <c r="E284" s="36"/>
      <c r="F284" s="74"/>
      <c r="G284" s="74" t="s">
        <v>696</v>
      </c>
      <c r="H284" s="36"/>
      <c r="I284" s="36"/>
      <c r="J284" s="36"/>
      <c r="K284" s="36"/>
      <c r="L284" s="36"/>
      <c r="M284" s="36"/>
      <c r="N284" s="36"/>
      <c r="O284" s="36"/>
      <c r="P284" s="36"/>
      <c r="Q284" s="36"/>
      <c r="R284" s="36"/>
      <c r="S284" s="36"/>
      <c r="T284" s="36"/>
      <c r="U284" s="36"/>
    </row>
    <row r="285" spans="1:21">
      <c r="A285" s="74" t="s">
        <v>250</v>
      </c>
      <c r="B285" s="36">
        <v>341554</v>
      </c>
      <c r="C285" s="36">
        <v>51390</v>
      </c>
      <c r="D285" s="74" t="s">
        <v>622</v>
      </c>
      <c r="E285" s="36"/>
      <c r="F285" s="74"/>
      <c r="G285" s="74" t="s">
        <v>696</v>
      </c>
      <c r="H285" s="36"/>
      <c r="I285" s="36"/>
      <c r="J285" s="36"/>
      <c r="K285" s="36"/>
      <c r="L285" s="36"/>
      <c r="M285" s="36"/>
      <c r="N285" s="36"/>
      <c r="O285" s="36"/>
      <c r="P285" s="36"/>
      <c r="Q285" s="36"/>
      <c r="R285" s="36"/>
      <c r="S285" s="36"/>
      <c r="T285" s="36"/>
      <c r="U285" s="36"/>
    </row>
    <row r="286" spans="1:21">
      <c r="A286" s="74" t="s">
        <v>250</v>
      </c>
      <c r="B286" s="36">
        <v>341555</v>
      </c>
      <c r="C286" s="36">
        <v>51390</v>
      </c>
      <c r="D286" s="74" t="s">
        <v>622</v>
      </c>
      <c r="E286" s="36"/>
      <c r="F286" s="74"/>
      <c r="G286" s="74" t="s">
        <v>696</v>
      </c>
      <c r="H286" s="36"/>
      <c r="I286" s="36"/>
      <c r="J286" s="36"/>
      <c r="K286" s="36"/>
      <c r="L286" s="36"/>
      <c r="M286" s="36"/>
      <c r="N286" s="36"/>
      <c r="O286" s="36"/>
      <c r="P286" s="36"/>
      <c r="Q286" s="36"/>
      <c r="R286" s="36"/>
      <c r="S286" s="36"/>
      <c r="T286" s="36"/>
      <c r="U286" s="36"/>
    </row>
    <row r="287" spans="1:21">
      <c r="A287" s="74" t="s">
        <v>250</v>
      </c>
      <c r="B287" s="36">
        <v>341558</v>
      </c>
      <c r="C287" s="36">
        <v>51390</v>
      </c>
      <c r="D287" s="74" t="s">
        <v>622</v>
      </c>
      <c r="E287" s="36"/>
      <c r="F287" s="74"/>
      <c r="G287" s="74" t="s">
        <v>696</v>
      </c>
      <c r="H287" s="36"/>
      <c r="I287" s="36"/>
      <c r="J287" s="36"/>
      <c r="K287" s="36"/>
      <c r="L287" s="36"/>
      <c r="M287" s="36"/>
      <c r="N287" s="36"/>
      <c r="O287" s="36"/>
      <c r="P287" s="36"/>
      <c r="Q287" s="36"/>
      <c r="R287" s="36"/>
      <c r="S287" s="36"/>
      <c r="T287" s="36"/>
      <c r="U287" s="36"/>
    </row>
    <row r="288" spans="1:21">
      <c r="A288" s="74" t="s">
        <v>250</v>
      </c>
      <c r="B288" s="36">
        <v>341556</v>
      </c>
      <c r="C288" s="36">
        <v>51390</v>
      </c>
      <c r="D288" s="74" t="s">
        <v>622</v>
      </c>
      <c r="E288" s="36"/>
      <c r="F288" s="74"/>
      <c r="G288" s="74" t="s">
        <v>696</v>
      </c>
      <c r="H288" s="36"/>
      <c r="I288" s="36"/>
      <c r="J288" s="36"/>
      <c r="K288" s="36"/>
      <c r="L288" s="36"/>
      <c r="M288" s="36"/>
      <c r="N288" s="36"/>
      <c r="O288" s="36"/>
      <c r="P288" s="36"/>
      <c r="Q288" s="36"/>
      <c r="R288" s="36"/>
      <c r="S288" s="36"/>
      <c r="T288" s="36"/>
      <c r="U288" s="36"/>
    </row>
    <row r="289" spans="1:21">
      <c r="A289" s="74" t="s">
        <v>250</v>
      </c>
      <c r="B289" s="36">
        <v>341557</v>
      </c>
      <c r="C289" s="36">
        <v>51390</v>
      </c>
      <c r="D289" s="74" t="s">
        <v>622</v>
      </c>
      <c r="E289" s="36"/>
      <c r="F289" s="74"/>
      <c r="G289" s="74" t="s">
        <v>696</v>
      </c>
      <c r="H289" s="36"/>
      <c r="I289" s="36"/>
      <c r="J289" s="36"/>
      <c r="K289" s="36"/>
      <c r="L289" s="36"/>
      <c r="M289" s="36"/>
      <c r="N289" s="36"/>
      <c r="O289" s="36"/>
      <c r="P289" s="36"/>
      <c r="Q289" s="36"/>
      <c r="R289" s="36"/>
      <c r="S289" s="36"/>
      <c r="T289" s="36"/>
      <c r="U289" s="36"/>
    </row>
    <row r="290" spans="1:21">
      <c r="A290" s="74" t="s">
        <v>250</v>
      </c>
      <c r="B290" s="36">
        <v>341559</v>
      </c>
      <c r="C290" s="36">
        <v>51390</v>
      </c>
      <c r="D290" s="74" t="s">
        <v>622</v>
      </c>
      <c r="E290" s="36"/>
      <c r="F290" s="74"/>
      <c r="G290" s="74" t="s">
        <v>696</v>
      </c>
      <c r="H290" s="36"/>
      <c r="I290" s="36"/>
      <c r="J290" s="36"/>
      <c r="K290" s="36"/>
      <c r="L290" s="36"/>
      <c r="M290" s="36"/>
      <c r="N290" s="36"/>
      <c r="O290" s="36"/>
      <c r="P290" s="36"/>
      <c r="Q290" s="36"/>
      <c r="R290" s="36"/>
      <c r="S290" s="36"/>
      <c r="T290" s="36"/>
      <c r="U290" s="36"/>
    </row>
    <row r="291" spans="1:21">
      <c r="A291" s="74" t="s">
        <v>250</v>
      </c>
      <c r="B291" s="36">
        <v>341551</v>
      </c>
      <c r="C291" s="36">
        <v>51390</v>
      </c>
      <c r="D291" s="74" t="s">
        <v>622</v>
      </c>
      <c r="E291" s="36"/>
      <c r="F291" s="74"/>
      <c r="G291" s="74" t="s">
        <v>696</v>
      </c>
      <c r="H291" s="36"/>
      <c r="I291" s="36"/>
      <c r="J291" s="36"/>
      <c r="K291" s="36"/>
      <c r="L291" s="36"/>
      <c r="M291" s="36"/>
      <c r="N291" s="36"/>
      <c r="O291" s="36"/>
      <c r="P291" s="36"/>
      <c r="Q291" s="36"/>
      <c r="R291" s="36"/>
      <c r="S291" s="36"/>
      <c r="T291" s="36"/>
      <c r="U291" s="36"/>
    </row>
    <row r="292" spans="1:21">
      <c r="A292" s="74" t="s">
        <v>250</v>
      </c>
      <c r="B292" s="36">
        <v>132619</v>
      </c>
      <c r="C292" s="36">
        <v>51390</v>
      </c>
      <c r="D292" s="74" t="s">
        <v>622</v>
      </c>
      <c r="E292" s="36"/>
      <c r="F292" s="74"/>
      <c r="G292" s="74" t="s">
        <v>696</v>
      </c>
      <c r="H292" s="36"/>
      <c r="I292" s="36"/>
      <c r="J292" s="36"/>
      <c r="K292" s="36"/>
      <c r="L292" s="36"/>
      <c r="M292" s="36"/>
      <c r="N292" s="36"/>
      <c r="O292" s="36"/>
      <c r="P292" s="36"/>
      <c r="Q292" s="36"/>
      <c r="R292" s="36"/>
      <c r="S292" s="36"/>
      <c r="T292" s="36"/>
      <c r="U292" s="36"/>
    </row>
    <row r="293" spans="1:21">
      <c r="A293" s="74" t="s">
        <v>250</v>
      </c>
      <c r="B293" s="36">
        <v>132620</v>
      </c>
      <c r="C293" s="36">
        <v>51390</v>
      </c>
      <c r="D293" s="74" t="s">
        <v>622</v>
      </c>
      <c r="E293" s="36"/>
      <c r="F293" s="74"/>
      <c r="G293" s="74" t="s">
        <v>696</v>
      </c>
      <c r="H293" s="36"/>
      <c r="I293" s="36"/>
      <c r="J293" s="36"/>
      <c r="K293" s="36"/>
      <c r="L293" s="36"/>
      <c r="M293" s="36"/>
      <c r="N293" s="36"/>
      <c r="O293" s="36"/>
      <c r="P293" s="36"/>
      <c r="Q293" s="36"/>
      <c r="R293" s="36"/>
      <c r="S293" s="36"/>
      <c r="T293" s="36"/>
      <c r="U293" s="36"/>
    </row>
    <row r="294" spans="1:21">
      <c r="A294" s="74" t="s">
        <v>250</v>
      </c>
      <c r="B294" s="36">
        <v>132621</v>
      </c>
      <c r="C294" s="36">
        <v>51390</v>
      </c>
      <c r="D294" s="74" t="s">
        <v>622</v>
      </c>
      <c r="E294" s="36"/>
      <c r="F294" s="74"/>
      <c r="G294" s="74" t="s">
        <v>696</v>
      </c>
      <c r="H294" s="36"/>
      <c r="I294" s="36"/>
      <c r="J294" s="36"/>
      <c r="K294" s="36"/>
      <c r="L294" s="36"/>
      <c r="M294" s="36"/>
      <c r="N294" s="36"/>
      <c r="O294" s="36"/>
      <c r="P294" s="36"/>
      <c r="Q294" s="36"/>
      <c r="R294" s="36"/>
      <c r="S294" s="36"/>
      <c r="T294" s="36"/>
      <c r="U294" s="36"/>
    </row>
    <row r="295" spans="1:21">
      <c r="A295" s="74" t="s">
        <v>250</v>
      </c>
      <c r="B295" s="36">
        <v>132622</v>
      </c>
      <c r="C295" s="36">
        <v>51390</v>
      </c>
      <c r="D295" s="74" t="s">
        <v>622</v>
      </c>
      <c r="E295" s="36"/>
      <c r="F295" s="74"/>
      <c r="G295" s="74" t="s">
        <v>696</v>
      </c>
      <c r="H295" s="36"/>
      <c r="I295" s="36"/>
      <c r="J295" s="36"/>
      <c r="K295" s="36"/>
      <c r="L295" s="36"/>
      <c r="M295" s="36"/>
      <c r="N295" s="36"/>
      <c r="O295" s="36"/>
      <c r="P295" s="36"/>
      <c r="Q295" s="36"/>
      <c r="R295" s="36"/>
      <c r="S295" s="36"/>
      <c r="T295" s="36"/>
      <c r="U295" s="36"/>
    </row>
    <row r="296" spans="1:21">
      <c r="A296" s="74" t="s">
        <v>250</v>
      </c>
      <c r="B296" s="36">
        <v>132623</v>
      </c>
      <c r="C296" s="36">
        <v>51390</v>
      </c>
      <c r="D296" s="74" t="s">
        <v>622</v>
      </c>
      <c r="E296" s="36"/>
      <c r="F296" s="74"/>
      <c r="G296" s="74" t="s">
        <v>696</v>
      </c>
      <c r="H296" s="36"/>
      <c r="I296" s="36"/>
      <c r="J296" s="36"/>
      <c r="K296" s="36"/>
      <c r="L296" s="36"/>
      <c r="M296" s="36"/>
      <c r="N296" s="36"/>
      <c r="O296" s="36"/>
      <c r="P296" s="36"/>
      <c r="Q296" s="36"/>
      <c r="R296" s="36"/>
      <c r="S296" s="36"/>
      <c r="T296" s="36"/>
      <c r="U296" s="36"/>
    </row>
    <row r="297" spans="1:21">
      <c r="A297" s="74" t="s">
        <v>250</v>
      </c>
      <c r="B297" s="36">
        <v>132624</v>
      </c>
      <c r="C297" s="36">
        <v>51390</v>
      </c>
      <c r="D297" s="74" t="s">
        <v>622</v>
      </c>
      <c r="E297" s="36"/>
      <c r="F297" s="74"/>
      <c r="G297" s="74" t="s">
        <v>696</v>
      </c>
      <c r="H297" s="36"/>
      <c r="I297" s="36"/>
      <c r="J297" s="36"/>
      <c r="K297" s="36"/>
      <c r="L297" s="36"/>
      <c r="M297" s="36"/>
      <c r="N297" s="36"/>
      <c r="O297" s="36"/>
      <c r="P297" s="36"/>
      <c r="Q297" s="36"/>
      <c r="R297" s="36"/>
      <c r="S297" s="36"/>
      <c r="T297" s="36"/>
      <c r="U297" s="36"/>
    </row>
    <row r="298" spans="1:21">
      <c r="A298" s="74" t="s">
        <v>250</v>
      </c>
      <c r="B298" s="36">
        <v>132625</v>
      </c>
      <c r="C298" s="36">
        <v>51390</v>
      </c>
      <c r="D298" s="74" t="s">
        <v>622</v>
      </c>
      <c r="E298" s="36"/>
      <c r="F298" s="74"/>
      <c r="G298" s="74" t="s">
        <v>696</v>
      </c>
      <c r="H298" s="36"/>
      <c r="I298" s="36"/>
      <c r="J298" s="36"/>
      <c r="K298" s="36"/>
      <c r="L298" s="36"/>
      <c r="M298" s="36"/>
      <c r="N298" s="36"/>
      <c r="O298" s="36"/>
      <c r="P298" s="36"/>
      <c r="Q298" s="36"/>
      <c r="R298" s="36"/>
      <c r="S298" s="36"/>
      <c r="T298" s="36"/>
      <c r="U298" s="36"/>
    </row>
    <row r="299" spans="1:21">
      <c r="A299" s="74" t="s">
        <v>250</v>
      </c>
      <c r="B299" s="36">
        <v>132626</v>
      </c>
      <c r="C299" s="36">
        <v>51390</v>
      </c>
      <c r="D299" s="74" t="s">
        <v>622</v>
      </c>
      <c r="E299" s="36"/>
      <c r="F299" s="74"/>
      <c r="G299" s="74" t="s">
        <v>696</v>
      </c>
      <c r="H299" s="36"/>
      <c r="I299" s="36"/>
      <c r="J299" s="36"/>
      <c r="K299" s="36"/>
      <c r="L299" s="36"/>
      <c r="M299" s="36"/>
      <c r="N299" s="36"/>
      <c r="O299" s="36"/>
      <c r="P299" s="36"/>
      <c r="Q299" s="36"/>
      <c r="R299" s="36"/>
      <c r="S299" s="36"/>
      <c r="T299" s="36"/>
      <c r="U299" s="36"/>
    </row>
    <row r="300" spans="1:21">
      <c r="A300" s="74" t="s">
        <v>250</v>
      </c>
      <c r="B300" s="36">
        <v>132627</v>
      </c>
      <c r="C300" s="36">
        <v>51390</v>
      </c>
      <c r="D300" s="74" t="s">
        <v>622</v>
      </c>
      <c r="E300" s="36"/>
      <c r="F300" s="74"/>
      <c r="G300" s="74" t="s">
        <v>696</v>
      </c>
      <c r="H300" s="36"/>
      <c r="I300" s="36"/>
      <c r="J300" s="36"/>
      <c r="K300" s="36"/>
      <c r="L300" s="36"/>
      <c r="M300" s="36"/>
      <c r="N300" s="36"/>
      <c r="O300" s="36"/>
      <c r="P300" s="36"/>
      <c r="Q300" s="36"/>
      <c r="R300" s="36"/>
      <c r="S300" s="36"/>
      <c r="T300" s="36"/>
      <c r="U300" s="36"/>
    </row>
    <row r="301" spans="1:21">
      <c r="A301" s="74" t="s">
        <v>250</v>
      </c>
      <c r="B301" s="36">
        <v>132628</v>
      </c>
      <c r="C301" s="36">
        <v>51390</v>
      </c>
      <c r="D301" s="74" t="s">
        <v>622</v>
      </c>
      <c r="E301" s="36"/>
      <c r="F301" s="74"/>
      <c r="G301" s="74" t="s">
        <v>696</v>
      </c>
      <c r="H301" s="36"/>
      <c r="I301" s="36"/>
      <c r="J301" s="36"/>
      <c r="K301" s="36"/>
      <c r="L301" s="36"/>
      <c r="M301" s="36"/>
      <c r="N301" s="36"/>
      <c r="O301" s="36"/>
      <c r="P301" s="36"/>
      <c r="Q301" s="36"/>
      <c r="R301" s="36"/>
      <c r="S301" s="36"/>
      <c r="T301" s="36"/>
      <c r="U301" s="36"/>
    </row>
    <row r="302" spans="1:21">
      <c r="A302" s="74" t="s">
        <v>250</v>
      </c>
      <c r="B302" s="36">
        <v>132629</v>
      </c>
      <c r="C302" s="36">
        <v>51390</v>
      </c>
      <c r="D302" s="74" t="s">
        <v>622</v>
      </c>
      <c r="E302" s="36"/>
      <c r="F302" s="74"/>
      <c r="G302" s="74" t="s">
        <v>696</v>
      </c>
      <c r="H302" s="36"/>
      <c r="I302" s="36"/>
      <c r="J302" s="36"/>
      <c r="K302" s="36"/>
      <c r="L302" s="36"/>
      <c r="M302" s="36"/>
      <c r="N302" s="36"/>
      <c r="O302" s="36"/>
      <c r="P302" s="36"/>
      <c r="Q302" s="36"/>
      <c r="R302" s="36"/>
      <c r="S302" s="36"/>
      <c r="T302" s="36"/>
      <c r="U302" s="36"/>
    </row>
    <row r="303" spans="1:21">
      <c r="A303" s="74" t="s">
        <v>250</v>
      </c>
      <c r="B303" s="36">
        <v>132618</v>
      </c>
      <c r="C303" s="36">
        <v>51390</v>
      </c>
      <c r="D303" s="74" t="s">
        <v>622</v>
      </c>
      <c r="E303" s="36"/>
      <c r="F303" s="74"/>
      <c r="G303" s="74" t="s">
        <v>696</v>
      </c>
      <c r="H303" s="36"/>
      <c r="I303" s="36"/>
      <c r="J303" s="36"/>
      <c r="K303" s="36"/>
      <c r="L303" s="36"/>
      <c r="M303" s="36"/>
      <c r="N303" s="36"/>
      <c r="O303" s="36"/>
      <c r="P303" s="36"/>
      <c r="Q303" s="36"/>
      <c r="R303" s="36"/>
      <c r="S303" s="36"/>
      <c r="T303" s="36"/>
      <c r="U303" s="36"/>
    </row>
    <row r="304" spans="1:21">
      <c r="A304" s="74" t="s">
        <v>250</v>
      </c>
      <c r="B304" s="36">
        <v>132657</v>
      </c>
      <c r="C304" s="36">
        <v>52890</v>
      </c>
      <c r="D304" s="74" t="s">
        <v>649</v>
      </c>
      <c r="E304" s="36"/>
      <c r="F304" s="74"/>
      <c r="G304" s="74" t="s">
        <v>730</v>
      </c>
      <c r="H304" s="36"/>
      <c r="I304" s="36"/>
      <c r="J304" s="36"/>
      <c r="K304" s="36"/>
      <c r="L304" s="36"/>
      <c r="M304" s="36"/>
      <c r="N304" s="36"/>
      <c r="O304" s="36"/>
      <c r="P304" s="36"/>
      <c r="Q304" s="36"/>
      <c r="R304" s="36"/>
      <c r="S304" s="36"/>
      <c r="T304" s="36"/>
      <c r="U304" s="36"/>
    </row>
    <row r="305" spans="1:21">
      <c r="A305" s="74" t="s">
        <v>250</v>
      </c>
      <c r="B305" s="36">
        <v>341583</v>
      </c>
      <c r="C305" s="36">
        <v>52890</v>
      </c>
      <c r="D305" s="74" t="s">
        <v>649</v>
      </c>
      <c r="E305" s="36"/>
      <c r="F305" s="74"/>
      <c r="G305" s="74" t="s">
        <v>730</v>
      </c>
      <c r="H305" s="36"/>
      <c r="I305" s="36"/>
      <c r="J305" s="36"/>
      <c r="K305" s="36"/>
      <c r="L305" s="36"/>
      <c r="M305" s="36"/>
      <c r="N305" s="36"/>
      <c r="O305" s="36"/>
      <c r="P305" s="36"/>
      <c r="Q305" s="36"/>
      <c r="R305" s="36"/>
      <c r="S305" s="36"/>
      <c r="T305" s="36"/>
      <c r="U305" s="36"/>
    </row>
    <row r="306" spans="1:21">
      <c r="A306" s="74" t="s">
        <v>250</v>
      </c>
      <c r="B306" s="36">
        <v>341582</v>
      </c>
      <c r="C306" s="36">
        <v>52890</v>
      </c>
      <c r="D306" s="74" t="s">
        <v>649</v>
      </c>
      <c r="E306" s="36"/>
      <c r="F306" s="74"/>
      <c r="G306" s="74" t="s">
        <v>730</v>
      </c>
      <c r="H306" s="36"/>
      <c r="I306" s="36"/>
      <c r="J306" s="36"/>
      <c r="K306" s="36"/>
      <c r="L306" s="36"/>
      <c r="M306" s="36"/>
      <c r="N306" s="36"/>
      <c r="O306" s="36"/>
      <c r="P306" s="36"/>
      <c r="Q306" s="36"/>
      <c r="R306" s="36"/>
      <c r="S306" s="36"/>
      <c r="T306" s="36"/>
      <c r="U306" s="36"/>
    </row>
    <row r="307" spans="1:21">
      <c r="A307" s="74" t="s">
        <v>250</v>
      </c>
      <c r="B307" s="36">
        <v>341594</v>
      </c>
      <c r="C307" s="36">
        <v>52890</v>
      </c>
      <c r="D307" s="74" t="s">
        <v>649</v>
      </c>
      <c r="E307" s="36"/>
      <c r="F307" s="74"/>
      <c r="G307" s="74" t="s">
        <v>730</v>
      </c>
      <c r="H307" s="36"/>
      <c r="I307" s="36"/>
      <c r="J307" s="36"/>
      <c r="K307" s="36"/>
      <c r="L307" s="36"/>
      <c r="M307" s="36"/>
      <c r="N307" s="36"/>
      <c r="O307" s="36"/>
      <c r="P307" s="36"/>
      <c r="Q307" s="36"/>
      <c r="R307" s="36"/>
      <c r="S307" s="36"/>
      <c r="T307" s="36"/>
      <c r="U307" s="36"/>
    </row>
    <row r="308" spans="1:21">
      <c r="A308" s="74" t="s">
        <v>250</v>
      </c>
      <c r="B308" s="36">
        <v>341593</v>
      </c>
      <c r="C308" s="36">
        <v>52890</v>
      </c>
      <c r="D308" s="74" t="s">
        <v>649</v>
      </c>
      <c r="E308" s="36"/>
      <c r="F308" s="74"/>
      <c r="G308" s="74" t="s">
        <v>730</v>
      </c>
      <c r="H308" s="36"/>
      <c r="I308" s="36"/>
      <c r="J308" s="36"/>
      <c r="K308" s="36"/>
      <c r="L308" s="36"/>
      <c r="M308" s="36"/>
      <c r="N308" s="36"/>
      <c r="O308" s="36"/>
      <c r="P308" s="36"/>
      <c r="Q308" s="36"/>
      <c r="R308" s="36"/>
      <c r="S308" s="36"/>
      <c r="T308" s="36"/>
      <c r="U308" s="36"/>
    </row>
    <row r="309" spans="1:21">
      <c r="A309" s="74" t="s">
        <v>250</v>
      </c>
      <c r="B309" s="36">
        <v>341585</v>
      </c>
      <c r="C309" s="36">
        <v>52890</v>
      </c>
      <c r="D309" s="74" t="s">
        <v>649</v>
      </c>
      <c r="E309" s="36"/>
      <c r="F309" s="74"/>
      <c r="G309" s="74" t="s">
        <v>730</v>
      </c>
      <c r="H309" s="36"/>
      <c r="I309" s="36"/>
      <c r="J309" s="36"/>
      <c r="K309" s="36"/>
      <c r="L309" s="36"/>
      <c r="M309" s="36"/>
      <c r="N309" s="36"/>
      <c r="O309" s="36"/>
      <c r="P309" s="36"/>
      <c r="Q309" s="36"/>
      <c r="R309" s="36"/>
      <c r="S309" s="36"/>
      <c r="T309" s="36"/>
      <c r="U309" s="36"/>
    </row>
    <row r="310" spans="1:21">
      <c r="A310" s="74" t="s">
        <v>250</v>
      </c>
      <c r="B310" s="36">
        <v>341586</v>
      </c>
      <c r="C310" s="36">
        <v>52890</v>
      </c>
      <c r="D310" s="74" t="s">
        <v>649</v>
      </c>
      <c r="E310" s="36"/>
      <c r="F310" s="74"/>
      <c r="G310" s="74" t="s">
        <v>730</v>
      </c>
      <c r="H310" s="36"/>
      <c r="I310" s="36"/>
      <c r="J310" s="36"/>
      <c r="K310" s="36"/>
      <c r="L310" s="36"/>
      <c r="M310" s="36"/>
      <c r="N310" s="36"/>
      <c r="O310" s="36"/>
      <c r="P310" s="36"/>
      <c r="Q310" s="36"/>
      <c r="R310" s="36"/>
      <c r="S310" s="36"/>
      <c r="T310" s="36"/>
      <c r="U310" s="36"/>
    </row>
    <row r="311" spans="1:21">
      <c r="A311" s="74" t="s">
        <v>250</v>
      </c>
      <c r="B311" s="36">
        <v>341587</v>
      </c>
      <c r="C311" s="36">
        <v>52890</v>
      </c>
      <c r="D311" s="74" t="s">
        <v>649</v>
      </c>
      <c r="E311" s="36"/>
      <c r="F311" s="74"/>
      <c r="G311" s="74" t="s">
        <v>730</v>
      </c>
      <c r="H311" s="36"/>
      <c r="I311" s="36"/>
      <c r="J311" s="36"/>
      <c r="K311" s="36"/>
      <c r="L311" s="36"/>
      <c r="M311" s="36"/>
      <c r="N311" s="36"/>
      <c r="O311" s="36"/>
      <c r="P311" s="36"/>
      <c r="Q311" s="36"/>
      <c r="R311" s="36"/>
      <c r="S311" s="36"/>
      <c r="T311" s="36"/>
      <c r="U311" s="36"/>
    </row>
    <row r="312" spans="1:21">
      <c r="A312" s="74" t="s">
        <v>250</v>
      </c>
      <c r="B312" s="36">
        <v>341588</v>
      </c>
      <c r="C312" s="36">
        <v>52890</v>
      </c>
      <c r="D312" s="74" t="s">
        <v>649</v>
      </c>
      <c r="E312" s="36"/>
      <c r="F312" s="74"/>
      <c r="G312" s="74" t="s">
        <v>730</v>
      </c>
      <c r="H312" s="36"/>
      <c r="I312" s="36"/>
      <c r="J312" s="36"/>
      <c r="K312" s="36"/>
      <c r="L312" s="36"/>
      <c r="M312" s="36"/>
      <c r="N312" s="36"/>
      <c r="O312" s="36"/>
      <c r="P312" s="36"/>
      <c r="Q312" s="36"/>
      <c r="R312" s="36"/>
      <c r="S312" s="36"/>
      <c r="T312" s="36"/>
      <c r="U312" s="36"/>
    </row>
    <row r="313" spans="1:21">
      <c r="A313" s="74" t="s">
        <v>250</v>
      </c>
      <c r="B313" s="36">
        <v>341591</v>
      </c>
      <c r="C313" s="36">
        <v>52890</v>
      </c>
      <c r="D313" s="74" t="s">
        <v>649</v>
      </c>
      <c r="E313" s="36"/>
      <c r="F313" s="74"/>
      <c r="G313" s="74" t="s">
        <v>730</v>
      </c>
      <c r="H313" s="36"/>
      <c r="I313" s="36"/>
      <c r="J313" s="36"/>
      <c r="K313" s="36"/>
      <c r="L313" s="36"/>
      <c r="M313" s="36"/>
      <c r="N313" s="36"/>
      <c r="O313" s="36"/>
      <c r="P313" s="36"/>
      <c r="Q313" s="36"/>
      <c r="R313" s="36"/>
      <c r="S313" s="36"/>
      <c r="T313" s="36"/>
      <c r="U313" s="36"/>
    </row>
    <row r="314" spans="1:21">
      <c r="A314" s="74" t="s">
        <v>250</v>
      </c>
      <c r="B314" s="36">
        <v>341589</v>
      </c>
      <c r="C314" s="36">
        <v>52890</v>
      </c>
      <c r="D314" s="74" t="s">
        <v>649</v>
      </c>
      <c r="E314" s="36"/>
      <c r="F314" s="74"/>
      <c r="G314" s="74" t="s">
        <v>730</v>
      </c>
      <c r="H314" s="36"/>
      <c r="I314" s="36"/>
      <c r="J314" s="36"/>
      <c r="K314" s="36"/>
      <c r="L314" s="36"/>
      <c r="M314" s="36"/>
      <c r="N314" s="36"/>
      <c r="O314" s="36"/>
      <c r="P314" s="36"/>
      <c r="Q314" s="36"/>
      <c r="R314" s="36"/>
      <c r="S314" s="36"/>
      <c r="T314" s="36"/>
      <c r="U314" s="36"/>
    </row>
    <row r="315" spans="1:21">
      <c r="A315" s="74" t="s">
        <v>250</v>
      </c>
      <c r="B315" s="36">
        <v>341590</v>
      </c>
      <c r="C315" s="36">
        <v>52890</v>
      </c>
      <c r="D315" s="74" t="s">
        <v>649</v>
      </c>
      <c r="E315" s="36"/>
      <c r="F315" s="74"/>
      <c r="G315" s="74" t="s">
        <v>730</v>
      </c>
      <c r="H315" s="36"/>
      <c r="I315" s="36"/>
      <c r="J315" s="36"/>
      <c r="K315" s="36"/>
      <c r="L315" s="36"/>
      <c r="M315" s="36"/>
      <c r="N315" s="36"/>
      <c r="O315" s="36"/>
      <c r="P315" s="36"/>
      <c r="Q315" s="36"/>
      <c r="R315" s="36"/>
      <c r="S315" s="36"/>
      <c r="T315" s="36"/>
      <c r="U315" s="36"/>
    </row>
    <row r="316" spans="1:21">
      <c r="A316" s="74" t="s">
        <v>250</v>
      </c>
      <c r="B316" s="36">
        <v>341592</v>
      </c>
      <c r="C316" s="36">
        <v>52890</v>
      </c>
      <c r="D316" s="74" t="s">
        <v>649</v>
      </c>
      <c r="E316" s="36"/>
      <c r="F316" s="74"/>
      <c r="G316" s="74" t="s">
        <v>730</v>
      </c>
      <c r="H316" s="36"/>
      <c r="I316" s="36"/>
      <c r="J316" s="36"/>
      <c r="K316" s="36"/>
      <c r="L316" s="36"/>
      <c r="M316" s="36"/>
      <c r="N316" s="36"/>
      <c r="O316" s="36"/>
      <c r="P316" s="36"/>
      <c r="Q316" s="36"/>
      <c r="R316" s="36"/>
      <c r="S316" s="36"/>
      <c r="T316" s="36"/>
      <c r="U316" s="36"/>
    </row>
    <row r="317" spans="1:21">
      <c r="A317" s="74" t="s">
        <v>250</v>
      </c>
      <c r="B317" s="36">
        <v>341584</v>
      </c>
      <c r="C317" s="36">
        <v>52890</v>
      </c>
      <c r="D317" s="74" t="s">
        <v>649</v>
      </c>
      <c r="E317" s="36"/>
      <c r="F317" s="74"/>
      <c r="G317" s="74" t="s">
        <v>730</v>
      </c>
      <c r="H317" s="36"/>
      <c r="I317" s="36"/>
      <c r="J317" s="36"/>
      <c r="K317" s="36"/>
      <c r="L317" s="36"/>
      <c r="M317" s="36"/>
      <c r="N317" s="36"/>
      <c r="O317" s="36"/>
      <c r="P317" s="36"/>
      <c r="Q317" s="36"/>
      <c r="R317" s="36"/>
      <c r="S317" s="36"/>
      <c r="T317" s="36"/>
      <c r="U317" s="36"/>
    </row>
    <row r="318" spans="1:21">
      <c r="A318" s="74" t="s">
        <v>250</v>
      </c>
      <c r="B318" s="36">
        <v>132646</v>
      </c>
      <c r="C318" s="36">
        <v>52890</v>
      </c>
      <c r="D318" s="74" t="s">
        <v>649</v>
      </c>
      <c r="E318" s="36"/>
      <c r="F318" s="74"/>
      <c r="G318" s="74" t="s">
        <v>730</v>
      </c>
      <c r="H318" s="36"/>
      <c r="I318" s="36"/>
      <c r="J318" s="36"/>
      <c r="K318" s="36"/>
      <c r="L318" s="36"/>
      <c r="M318" s="36"/>
      <c r="N318" s="36"/>
      <c r="O318" s="36"/>
      <c r="P318" s="36"/>
      <c r="Q318" s="36"/>
      <c r="R318" s="36"/>
      <c r="S318" s="36"/>
      <c r="T318" s="36"/>
      <c r="U318" s="36"/>
    </row>
    <row r="319" spans="1:21">
      <c r="A319" s="74" t="s">
        <v>250</v>
      </c>
      <c r="B319" s="36">
        <v>132647</v>
      </c>
      <c r="C319" s="36">
        <v>52890</v>
      </c>
      <c r="D319" s="74" t="s">
        <v>649</v>
      </c>
      <c r="E319" s="36"/>
      <c r="F319" s="74"/>
      <c r="G319" s="74" t="s">
        <v>730</v>
      </c>
      <c r="H319" s="36"/>
      <c r="I319" s="36"/>
      <c r="J319" s="36"/>
      <c r="K319" s="36"/>
      <c r="L319" s="36"/>
      <c r="M319" s="36"/>
      <c r="N319" s="36"/>
      <c r="O319" s="36"/>
      <c r="P319" s="36"/>
      <c r="Q319" s="36"/>
      <c r="R319" s="36"/>
      <c r="S319" s="36"/>
      <c r="T319" s="36"/>
      <c r="U319" s="36"/>
    </row>
    <row r="320" spans="1:21">
      <c r="A320" s="74" t="s">
        <v>250</v>
      </c>
      <c r="B320" s="36">
        <v>132648</v>
      </c>
      <c r="C320" s="36">
        <v>52890</v>
      </c>
      <c r="D320" s="74" t="s">
        <v>649</v>
      </c>
      <c r="E320" s="36"/>
      <c r="F320" s="74"/>
      <c r="G320" s="74" t="s">
        <v>730</v>
      </c>
      <c r="H320" s="36"/>
      <c r="I320" s="36"/>
      <c r="J320" s="36"/>
      <c r="K320" s="36"/>
      <c r="L320" s="36"/>
      <c r="M320" s="36"/>
      <c r="N320" s="36"/>
      <c r="O320" s="36"/>
      <c r="P320" s="36"/>
      <c r="Q320" s="36"/>
      <c r="R320" s="36"/>
      <c r="S320" s="36"/>
      <c r="T320" s="36"/>
      <c r="U320" s="36"/>
    </row>
    <row r="321" spans="1:21">
      <c r="A321" s="74" t="s">
        <v>250</v>
      </c>
      <c r="B321" s="36">
        <v>132649</v>
      </c>
      <c r="C321" s="36">
        <v>52890</v>
      </c>
      <c r="D321" s="74" t="s">
        <v>649</v>
      </c>
      <c r="E321" s="36"/>
      <c r="F321" s="74"/>
      <c r="G321" s="74" t="s">
        <v>730</v>
      </c>
      <c r="H321" s="36"/>
      <c r="I321" s="36"/>
      <c r="J321" s="36"/>
      <c r="K321" s="36"/>
      <c r="L321" s="36"/>
      <c r="M321" s="36"/>
      <c r="N321" s="36"/>
      <c r="O321" s="36"/>
      <c r="P321" s="36"/>
      <c r="Q321" s="36"/>
      <c r="R321" s="36"/>
      <c r="S321" s="36"/>
      <c r="T321" s="36"/>
      <c r="U321" s="36"/>
    </row>
    <row r="322" spans="1:21">
      <c r="A322" s="74" t="s">
        <v>250</v>
      </c>
      <c r="B322" s="36">
        <v>132650</v>
      </c>
      <c r="C322" s="36">
        <v>52890</v>
      </c>
      <c r="D322" s="74" t="s">
        <v>649</v>
      </c>
      <c r="E322" s="36"/>
      <c r="F322" s="74"/>
      <c r="G322" s="74" t="s">
        <v>730</v>
      </c>
      <c r="H322" s="36"/>
      <c r="I322" s="36"/>
      <c r="J322" s="36"/>
      <c r="K322" s="36"/>
      <c r="L322" s="36"/>
      <c r="M322" s="36"/>
      <c r="N322" s="36"/>
      <c r="O322" s="36"/>
      <c r="P322" s="36"/>
      <c r="Q322" s="36"/>
      <c r="R322" s="36"/>
      <c r="S322" s="36"/>
      <c r="T322" s="36"/>
      <c r="U322" s="36"/>
    </row>
    <row r="323" spans="1:21">
      <c r="A323" s="74" t="s">
        <v>250</v>
      </c>
      <c r="B323" s="36">
        <v>132651</v>
      </c>
      <c r="C323" s="36">
        <v>52890</v>
      </c>
      <c r="D323" s="74" t="s">
        <v>649</v>
      </c>
      <c r="E323" s="36"/>
      <c r="F323" s="74"/>
      <c r="G323" s="74" t="s">
        <v>730</v>
      </c>
      <c r="H323" s="36"/>
      <c r="I323" s="36"/>
      <c r="J323" s="36"/>
      <c r="K323" s="36"/>
      <c r="L323" s="36"/>
      <c r="M323" s="36"/>
      <c r="N323" s="36"/>
      <c r="O323" s="36"/>
      <c r="P323" s="36"/>
      <c r="Q323" s="36"/>
      <c r="R323" s="36"/>
      <c r="S323" s="36"/>
      <c r="T323" s="36"/>
      <c r="U323" s="36"/>
    </row>
    <row r="324" spans="1:21">
      <c r="A324" s="74" t="s">
        <v>250</v>
      </c>
      <c r="B324" s="36">
        <v>132652</v>
      </c>
      <c r="C324" s="36">
        <v>52890</v>
      </c>
      <c r="D324" s="74" t="s">
        <v>649</v>
      </c>
      <c r="E324" s="36"/>
      <c r="F324" s="74"/>
      <c r="G324" s="74" t="s">
        <v>730</v>
      </c>
      <c r="H324" s="36"/>
      <c r="I324" s="36"/>
      <c r="J324" s="36"/>
      <c r="K324" s="36"/>
      <c r="L324" s="36"/>
      <c r="M324" s="36"/>
      <c r="N324" s="36"/>
      <c r="O324" s="36"/>
      <c r="P324" s="36"/>
      <c r="Q324" s="36"/>
      <c r="R324" s="36"/>
      <c r="S324" s="36"/>
      <c r="T324" s="36"/>
      <c r="U324" s="36"/>
    </row>
    <row r="325" spans="1:21">
      <c r="A325" s="74" t="s">
        <v>250</v>
      </c>
      <c r="B325" s="36">
        <v>132653</v>
      </c>
      <c r="C325" s="36">
        <v>52890</v>
      </c>
      <c r="D325" s="74" t="s">
        <v>649</v>
      </c>
      <c r="E325" s="36"/>
      <c r="F325" s="74"/>
      <c r="G325" s="74" t="s">
        <v>730</v>
      </c>
      <c r="H325" s="36"/>
      <c r="I325" s="36"/>
      <c r="J325" s="36"/>
      <c r="K325" s="36"/>
      <c r="L325" s="36"/>
      <c r="M325" s="36"/>
      <c r="N325" s="36"/>
      <c r="O325" s="36"/>
      <c r="P325" s="36"/>
      <c r="Q325" s="36"/>
      <c r="R325" s="36"/>
      <c r="S325" s="36"/>
      <c r="T325" s="36"/>
      <c r="U325" s="36"/>
    </row>
    <row r="326" spans="1:21">
      <c r="A326" s="74" t="s">
        <v>250</v>
      </c>
      <c r="B326" s="36">
        <v>132654</v>
      </c>
      <c r="C326" s="36">
        <v>52890</v>
      </c>
      <c r="D326" s="74" t="s">
        <v>649</v>
      </c>
      <c r="E326" s="36"/>
      <c r="F326" s="74"/>
      <c r="G326" s="74" t="s">
        <v>730</v>
      </c>
      <c r="H326" s="36"/>
      <c r="I326" s="36"/>
      <c r="J326" s="36"/>
      <c r="K326" s="36"/>
      <c r="L326" s="36"/>
      <c r="M326" s="36"/>
      <c r="N326" s="36"/>
      <c r="O326" s="36"/>
      <c r="P326" s="36"/>
      <c r="Q326" s="36"/>
      <c r="R326" s="36"/>
      <c r="S326" s="36"/>
      <c r="T326" s="36"/>
      <c r="U326" s="36"/>
    </row>
    <row r="327" spans="1:21">
      <c r="A327" s="74" t="s">
        <v>250</v>
      </c>
      <c r="B327" s="36">
        <v>132655</v>
      </c>
      <c r="C327" s="36">
        <v>52890</v>
      </c>
      <c r="D327" s="74" t="s">
        <v>649</v>
      </c>
      <c r="E327" s="36"/>
      <c r="F327" s="74"/>
      <c r="G327" s="74" t="s">
        <v>730</v>
      </c>
      <c r="H327" s="36"/>
      <c r="I327" s="36"/>
      <c r="J327" s="36"/>
      <c r="K327" s="36"/>
      <c r="L327" s="36"/>
      <c r="M327" s="36"/>
      <c r="N327" s="36"/>
      <c r="O327" s="36"/>
      <c r="P327" s="36"/>
      <c r="Q327" s="36"/>
      <c r="R327" s="36"/>
      <c r="S327" s="36"/>
      <c r="T327" s="36"/>
      <c r="U327" s="36"/>
    </row>
    <row r="328" spans="1:21">
      <c r="A328" s="74" t="s">
        <v>250</v>
      </c>
      <c r="B328" s="36">
        <v>132656</v>
      </c>
      <c r="C328" s="36">
        <v>52890</v>
      </c>
      <c r="D328" s="74" t="s">
        <v>649</v>
      </c>
      <c r="E328" s="36"/>
      <c r="F328" s="74"/>
      <c r="G328" s="74" t="s">
        <v>730</v>
      </c>
      <c r="H328" s="36"/>
      <c r="I328" s="36"/>
      <c r="J328" s="36"/>
      <c r="K328" s="36"/>
      <c r="L328" s="36"/>
      <c r="M328" s="36"/>
      <c r="N328" s="36"/>
      <c r="O328" s="36"/>
      <c r="P328" s="36"/>
      <c r="Q328" s="36"/>
      <c r="R328" s="36"/>
      <c r="S328" s="36"/>
      <c r="T328" s="36"/>
      <c r="U328" s="36"/>
    </row>
    <row r="329" spans="1:21">
      <c r="A329" s="74" t="s">
        <v>250</v>
      </c>
      <c r="B329" s="36">
        <v>132645</v>
      </c>
      <c r="C329" s="36">
        <v>52890</v>
      </c>
      <c r="D329" s="74" t="s">
        <v>649</v>
      </c>
      <c r="E329" s="36"/>
      <c r="F329" s="74"/>
      <c r="G329" s="74" t="s">
        <v>730</v>
      </c>
      <c r="H329" s="36"/>
      <c r="I329" s="36"/>
      <c r="J329" s="36"/>
      <c r="K329" s="36"/>
      <c r="L329" s="36"/>
      <c r="M329" s="36"/>
      <c r="N329" s="36"/>
      <c r="O329" s="36"/>
      <c r="P329" s="36"/>
      <c r="Q329" s="36"/>
      <c r="R329" s="36"/>
      <c r="S329" s="36"/>
      <c r="T329" s="36"/>
      <c r="U329" s="36"/>
    </row>
    <row r="330" spans="1:21">
      <c r="A330" s="74" t="s">
        <v>250</v>
      </c>
      <c r="B330" s="36">
        <v>132671</v>
      </c>
      <c r="C330" s="36">
        <v>52890</v>
      </c>
      <c r="D330" s="74" t="s">
        <v>649</v>
      </c>
      <c r="E330" s="36"/>
      <c r="F330" s="74"/>
      <c r="G330" s="74" t="s">
        <v>730</v>
      </c>
      <c r="H330" s="36"/>
      <c r="I330" s="36"/>
      <c r="J330" s="36"/>
      <c r="K330" s="36"/>
      <c r="L330" s="36"/>
      <c r="M330" s="36"/>
      <c r="N330" s="36"/>
      <c r="O330" s="36"/>
      <c r="P330" s="36"/>
      <c r="Q330" s="36"/>
      <c r="R330" s="36"/>
      <c r="S330" s="36"/>
      <c r="T330" s="36"/>
      <c r="U330" s="36"/>
    </row>
    <row r="331" spans="1:21">
      <c r="A331" s="74" t="s">
        <v>250</v>
      </c>
      <c r="B331" s="36">
        <v>341600</v>
      </c>
      <c r="C331" s="36">
        <v>52890</v>
      </c>
      <c r="D331" s="74" t="s">
        <v>649</v>
      </c>
      <c r="E331" s="36"/>
      <c r="F331" s="74"/>
      <c r="G331" s="74" t="s">
        <v>730</v>
      </c>
      <c r="H331" s="36"/>
      <c r="I331" s="36"/>
      <c r="J331" s="36"/>
      <c r="K331" s="36"/>
      <c r="L331" s="36"/>
      <c r="M331" s="36"/>
      <c r="N331" s="36"/>
      <c r="O331" s="36"/>
      <c r="P331" s="36"/>
      <c r="Q331" s="36"/>
      <c r="R331" s="36"/>
      <c r="S331" s="36"/>
      <c r="T331" s="36"/>
      <c r="U331" s="36"/>
    </row>
    <row r="332" spans="1:21">
      <c r="A332" s="74" t="s">
        <v>250</v>
      </c>
      <c r="B332" s="36">
        <v>341599</v>
      </c>
      <c r="C332" s="36">
        <v>52890</v>
      </c>
      <c r="D332" s="74" t="s">
        <v>649</v>
      </c>
      <c r="E332" s="36"/>
      <c r="F332" s="74"/>
      <c r="G332" s="74" t="s">
        <v>730</v>
      </c>
      <c r="H332" s="36"/>
      <c r="I332" s="36"/>
      <c r="J332" s="36"/>
      <c r="K332" s="36"/>
      <c r="L332" s="36"/>
      <c r="M332" s="36"/>
      <c r="N332" s="36"/>
      <c r="O332" s="36"/>
      <c r="P332" s="36"/>
      <c r="Q332" s="36"/>
      <c r="R332" s="36"/>
      <c r="S332" s="36"/>
      <c r="T332" s="36"/>
      <c r="U332" s="36"/>
    </row>
    <row r="333" spans="1:21">
      <c r="A333" s="74" t="s">
        <v>250</v>
      </c>
      <c r="B333" s="36">
        <v>341611</v>
      </c>
      <c r="C333" s="36">
        <v>52890</v>
      </c>
      <c r="D333" s="74" t="s">
        <v>649</v>
      </c>
      <c r="E333" s="36"/>
      <c r="F333" s="74"/>
      <c r="G333" s="74" t="s">
        <v>730</v>
      </c>
      <c r="H333" s="36"/>
      <c r="I333" s="36"/>
      <c r="J333" s="36"/>
      <c r="K333" s="36"/>
      <c r="L333" s="36"/>
      <c r="M333" s="36"/>
      <c r="N333" s="36"/>
      <c r="O333" s="36"/>
      <c r="P333" s="36"/>
      <c r="Q333" s="36"/>
      <c r="R333" s="36"/>
      <c r="S333" s="36"/>
      <c r="T333" s="36"/>
      <c r="U333" s="36"/>
    </row>
    <row r="334" spans="1:21">
      <c r="A334" s="74" t="s">
        <v>250</v>
      </c>
      <c r="B334" s="36">
        <v>341610</v>
      </c>
      <c r="C334" s="36">
        <v>52890</v>
      </c>
      <c r="D334" s="74" t="s">
        <v>649</v>
      </c>
      <c r="E334" s="36"/>
      <c r="F334" s="74"/>
      <c r="G334" s="74" t="s">
        <v>730</v>
      </c>
      <c r="H334" s="36"/>
      <c r="I334" s="36"/>
      <c r="J334" s="36"/>
      <c r="K334" s="36"/>
      <c r="L334" s="36"/>
      <c r="M334" s="36"/>
      <c r="N334" s="36"/>
      <c r="O334" s="36"/>
      <c r="P334" s="36"/>
      <c r="Q334" s="36"/>
      <c r="R334" s="36"/>
      <c r="S334" s="36"/>
      <c r="T334" s="36"/>
      <c r="U334" s="36"/>
    </row>
    <row r="335" spans="1:21">
      <c r="A335" s="74" t="s">
        <v>250</v>
      </c>
      <c r="B335" s="36">
        <v>341602</v>
      </c>
      <c r="C335" s="36">
        <v>52890</v>
      </c>
      <c r="D335" s="74" t="s">
        <v>649</v>
      </c>
      <c r="E335" s="36"/>
      <c r="F335" s="74"/>
      <c r="G335" s="74" t="s">
        <v>730</v>
      </c>
      <c r="H335" s="36"/>
      <c r="I335" s="36"/>
      <c r="J335" s="36"/>
      <c r="K335" s="36"/>
      <c r="L335" s="36"/>
      <c r="M335" s="36"/>
      <c r="N335" s="36"/>
      <c r="O335" s="36"/>
      <c r="P335" s="36"/>
      <c r="Q335" s="36"/>
      <c r="R335" s="36"/>
      <c r="S335" s="36"/>
      <c r="T335" s="36"/>
      <c r="U335" s="36"/>
    </row>
    <row r="336" spans="1:21">
      <c r="A336" s="74" t="s">
        <v>250</v>
      </c>
      <c r="B336" s="36">
        <v>341603</v>
      </c>
      <c r="C336" s="36">
        <v>52890</v>
      </c>
      <c r="D336" s="74" t="s">
        <v>649</v>
      </c>
      <c r="E336" s="36"/>
      <c r="F336" s="74"/>
      <c r="G336" s="74" t="s">
        <v>730</v>
      </c>
      <c r="H336" s="36"/>
      <c r="I336" s="36"/>
      <c r="J336" s="36"/>
      <c r="K336" s="36"/>
      <c r="L336" s="36"/>
      <c r="M336" s="36"/>
      <c r="N336" s="36"/>
      <c r="O336" s="36"/>
      <c r="P336" s="36"/>
      <c r="Q336" s="36"/>
      <c r="R336" s="36"/>
      <c r="S336" s="36"/>
      <c r="T336" s="36"/>
      <c r="U336" s="36"/>
    </row>
    <row r="337" spans="1:21">
      <c r="A337" s="74" t="s">
        <v>250</v>
      </c>
      <c r="B337" s="36">
        <v>341604</v>
      </c>
      <c r="C337" s="36">
        <v>52890</v>
      </c>
      <c r="D337" s="74" t="s">
        <v>649</v>
      </c>
      <c r="E337" s="36"/>
      <c r="F337" s="74"/>
      <c r="G337" s="74" t="s">
        <v>730</v>
      </c>
      <c r="H337" s="36"/>
      <c r="I337" s="36"/>
      <c r="J337" s="36"/>
      <c r="K337" s="36"/>
      <c r="L337" s="36"/>
      <c r="M337" s="36"/>
      <c r="N337" s="36"/>
      <c r="O337" s="36"/>
      <c r="P337" s="36"/>
      <c r="Q337" s="36"/>
      <c r="R337" s="36"/>
      <c r="S337" s="36"/>
      <c r="T337" s="36"/>
      <c r="U337" s="36"/>
    </row>
    <row r="338" spans="1:21">
      <c r="A338" s="74" t="s">
        <v>250</v>
      </c>
      <c r="B338" s="36">
        <v>341605</v>
      </c>
      <c r="C338" s="36">
        <v>52890</v>
      </c>
      <c r="D338" s="74" t="s">
        <v>649</v>
      </c>
      <c r="E338" s="36"/>
      <c r="F338" s="74"/>
      <c r="G338" s="74" t="s">
        <v>730</v>
      </c>
      <c r="H338" s="36"/>
      <c r="I338" s="36"/>
      <c r="J338" s="36"/>
      <c r="K338" s="36"/>
      <c r="L338" s="36"/>
      <c r="M338" s="36"/>
      <c r="N338" s="36"/>
      <c r="O338" s="36"/>
      <c r="P338" s="36"/>
      <c r="Q338" s="36"/>
      <c r="R338" s="36"/>
      <c r="S338" s="36"/>
      <c r="T338" s="36"/>
      <c r="U338" s="36"/>
    </row>
    <row r="339" spans="1:21">
      <c r="A339" s="74" t="s">
        <v>250</v>
      </c>
      <c r="B339" s="36">
        <v>341608</v>
      </c>
      <c r="C339" s="36">
        <v>52890</v>
      </c>
      <c r="D339" s="74" t="s">
        <v>649</v>
      </c>
      <c r="E339" s="36"/>
      <c r="F339" s="74"/>
      <c r="G339" s="74" t="s">
        <v>730</v>
      </c>
      <c r="H339" s="36"/>
      <c r="I339" s="36"/>
      <c r="J339" s="36"/>
      <c r="K339" s="36"/>
      <c r="L339" s="36"/>
      <c r="M339" s="36"/>
      <c r="N339" s="36"/>
      <c r="O339" s="36"/>
      <c r="P339" s="36"/>
      <c r="Q339" s="36"/>
      <c r="R339" s="36"/>
      <c r="S339" s="36"/>
      <c r="T339" s="36"/>
      <c r="U339" s="36"/>
    </row>
    <row r="340" spans="1:21">
      <c r="A340" s="74" t="s">
        <v>250</v>
      </c>
      <c r="B340" s="36">
        <v>341606</v>
      </c>
      <c r="C340" s="36">
        <v>52890</v>
      </c>
      <c r="D340" s="74" t="s">
        <v>649</v>
      </c>
      <c r="E340" s="36"/>
      <c r="F340" s="74"/>
      <c r="G340" s="74" t="s">
        <v>730</v>
      </c>
      <c r="H340" s="36"/>
      <c r="I340" s="36"/>
      <c r="J340" s="36"/>
      <c r="K340" s="36"/>
      <c r="L340" s="36"/>
      <c r="M340" s="36"/>
      <c r="N340" s="36"/>
      <c r="O340" s="36"/>
      <c r="P340" s="36"/>
      <c r="Q340" s="36"/>
      <c r="R340" s="36"/>
      <c r="S340" s="36"/>
      <c r="T340" s="36"/>
      <c r="U340" s="36"/>
    </row>
    <row r="341" spans="1:21">
      <c r="A341" s="74" t="s">
        <v>250</v>
      </c>
      <c r="B341" s="36">
        <v>341607</v>
      </c>
      <c r="C341" s="36">
        <v>52890</v>
      </c>
      <c r="D341" s="74" t="s">
        <v>649</v>
      </c>
      <c r="E341" s="36"/>
      <c r="F341" s="74"/>
      <c r="G341" s="74" t="s">
        <v>730</v>
      </c>
      <c r="H341" s="36"/>
      <c r="I341" s="36"/>
      <c r="J341" s="36"/>
      <c r="K341" s="36"/>
      <c r="L341" s="36"/>
      <c r="M341" s="36"/>
      <c r="N341" s="36"/>
      <c r="O341" s="36"/>
      <c r="P341" s="36"/>
      <c r="Q341" s="36"/>
      <c r="R341" s="36"/>
      <c r="S341" s="36"/>
      <c r="T341" s="36"/>
      <c r="U341" s="36"/>
    </row>
    <row r="342" spans="1:21">
      <c r="A342" s="74" t="s">
        <v>250</v>
      </c>
      <c r="B342" s="36">
        <v>341609</v>
      </c>
      <c r="C342" s="36">
        <v>52890</v>
      </c>
      <c r="D342" s="74" t="s">
        <v>649</v>
      </c>
      <c r="E342" s="36"/>
      <c r="F342" s="74"/>
      <c r="G342" s="74" t="s">
        <v>730</v>
      </c>
      <c r="H342" s="36"/>
      <c r="I342" s="36"/>
      <c r="J342" s="36"/>
      <c r="K342" s="36"/>
      <c r="L342" s="36"/>
      <c r="M342" s="36"/>
      <c r="N342" s="36"/>
      <c r="O342" s="36"/>
      <c r="P342" s="36"/>
      <c r="Q342" s="36"/>
      <c r="R342" s="36"/>
      <c r="S342" s="36"/>
      <c r="T342" s="36"/>
      <c r="U342" s="36"/>
    </row>
    <row r="343" spans="1:21">
      <c r="A343" s="74" t="s">
        <v>250</v>
      </c>
      <c r="B343" s="36">
        <v>341601</v>
      </c>
      <c r="C343" s="36">
        <v>52890</v>
      </c>
      <c r="D343" s="74" t="s">
        <v>649</v>
      </c>
      <c r="E343" s="36"/>
      <c r="F343" s="74"/>
      <c r="G343" s="74" t="s">
        <v>730</v>
      </c>
      <c r="H343" s="36"/>
      <c r="I343" s="36"/>
      <c r="J343" s="36"/>
      <c r="K343" s="36"/>
      <c r="L343" s="36"/>
      <c r="M343" s="36"/>
      <c r="N343" s="36"/>
      <c r="O343" s="36"/>
      <c r="P343" s="36"/>
      <c r="Q343" s="36"/>
      <c r="R343" s="36"/>
      <c r="S343" s="36"/>
      <c r="T343" s="36"/>
      <c r="U343" s="36"/>
    </row>
    <row r="344" spans="1:21">
      <c r="A344" s="74" t="s">
        <v>250</v>
      </c>
      <c r="B344" s="36">
        <v>132659</v>
      </c>
      <c r="C344" s="36">
        <v>52890</v>
      </c>
      <c r="D344" s="74" t="s">
        <v>649</v>
      </c>
      <c r="E344" s="36"/>
      <c r="F344" s="74"/>
      <c r="G344" s="74" t="s">
        <v>730</v>
      </c>
      <c r="H344" s="36"/>
      <c r="I344" s="36"/>
      <c r="J344" s="36"/>
      <c r="K344" s="36"/>
      <c r="L344" s="36"/>
      <c r="M344" s="36"/>
      <c r="N344" s="36"/>
      <c r="O344" s="36"/>
      <c r="P344" s="36"/>
      <c r="Q344" s="36"/>
      <c r="R344" s="36"/>
      <c r="S344" s="36"/>
      <c r="T344" s="36"/>
      <c r="U344" s="36"/>
    </row>
    <row r="345" spans="1:21">
      <c r="A345" s="74" t="s">
        <v>250</v>
      </c>
      <c r="B345" s="36">
        <v>132660</v>
      </c>
      <c r="C345" s="36">
        <v>52890</v>
      </c>
      <c r="D345" s="74" t="s">
        <v>649</v>
      </c>
      <c r="E345" s="36"/>
      <c r="F345" s="74"/>
      <c r="G345" s="74" t="s">
        <v>730</v>
      </c>
      <c r="H345" s="36"/>
      <c r="I345" s="36"/>
      <c r="J345" s="36"/>
      <c r="K345" s="36"/>
      <c r="L345" s="36"/>
      <c r="M345" s="36"/>
      <c r="N345" s="36"/>
      <c r="O345" s="36"/>
      <c r="P345" s="36"/>
      <c r="Q345" s="36"/>
      <c r="R345" s="36"/>
      <c r="S345" s="36"/>
      <c r="T345" s="36"/>
      <c r="U345" s="36"/>
    </row>
    <row r="346" spans="1:21">
      <c r="A346" s="74" t="s">
        <v>250</v>
      </c>
      <c r="B346" s="36">
        <v>132661</v>
      </c>
      <c r="C346" s="36">
        <v>52890</v>
      </c>
      <c r="D346" s="74" t="s">
        <v>649</v>
      </c>
      <c r="E346" s="36"/>
      <c r="F346" s="74"/>
      <c r="G346" s="74" t="s">
        <v>730</v>
      </c>
      <c r="H346" s="36"/>
      <c r="I346" s="36"/>
      <c r="J346" s="36"/>
      <c r="K346" s="36"/>
      <c r="L346" s="36"/>
      <c r="M346" s="36"/>
      <c r="N346" s="36"/>
      <c r="O346" s="36"/>
      <c r="P346" s="36"/>
      <c r="Q346" s="36"/>
      <c r="R346" s="36"/>
      <c r="S346" s="36"/>
      <c r="T346" s="36"/>
      <c r="U346" s="36"/>
    </row>
    <row r="347" spans="1:21">
      <c r="A347" s="74" t="s">
        <v>250</v>
      </c>
      <c r="B347" s="36">
        <v>132662</v>
      </c>
      <c r="C347" s="36">
        <v>52890</v>
      </c>
      <c r="D347" s="74" t="s">
        <v>649</v>
      </c>
      <c r="E347" s="36"/>
      <c r="F347" s="74"/>
      <c r="G347" s="74" t="s">
        <v>730</v>
      </c>
      <c r="H347" s="36"/>
      <c r="I347" s="36"/>
      <c r="J347" s="36"/>
      <c r="K347" s="36"/>
      <c r="L347" s="36"/>
      <c r="M347" s="36"/>
      <c r="N347" s="36"/>
      <c r="O347" s="36"/>
      <c r="P347" s="36"/>
      <c r="Q347" s="36"/>
      <c r="R347" s="36"/>
      <c r="S347" s="36"/>
      <c r="T347" s="36"/>
      <c r="U347" s="36"/>
    </row>
    <row r="348" spans="1:21">
      <c r="A348" s="74" t="s">
        <v>250</v>
      </c>
      <c r="B348" s="36">
        <v>132663</v>
      </c>
      <c r="C348" s="36">
        <v>52890</v>
      </c>
      <c r="D348" s="74" t="s">
        <v>649</v>
      </c>
      <c r="E348" s="36"/>
      <c r="F348" s="74"/>
      <c r="G348" s="74" t="s">
        <v>730</v>
      </c>
      <c r="H348" s="36"/>
      <c r="I348" s="36"/>
      <c r="J348" s="36"/>
      <c r="K348" s="36"/>
      <c r="L348" s="36"/>
      <c r="M348" s="36"/>
      <c r="N348" s="36"/>
      <c r="O348" s="36"/>
      <c r="P348" s="36"/>
      <c r="Q348" s="36"/>
      <c r="R348" s="36"/>
      <c r="S348" s="36"/>
      <c r="T348" s="36"/>
      <c r="U348" s="36"/>
    </row>
    <row r="349" spans="1:21">
      <c r="A349" s="74" t="s">
        <v>250</v>
      </c>
      <c r="B349" s="36">
        <v>132664</v>
      </c>
      <c r="C349" s="36">
        <v>52890</v>
      </c>
      <c r="D349" s="74" t="s">
        <v>649</v>
      </c>
      <c r="E349" s="36"/>
      <c r="F349" s="74"/>
      <c r="G349" s="74" t="s">
        <v>730</v>
      </c>
      <c r="H349" s="36"/>
      <c r="I349" s="36"/>
      <c r="J349" s="36"/>
      <c r="K349" s="36"/>
      <c r="L349" s="36"/>
      <c r="M349" s="36"/>
      <c r="N349" s="36"/>
      <c r="O349" s="36"/>
      <c r="P349" s="36"/>
      <c r="Q349" s="36"/>
      <c r="R349" s="36"/>
      <c r="S349" s="36"/>
      <c r="T349" s="36"/>
      <c r="U349" s="36"/>
    </row>
    <row r="350" spans="1:21">
      <c r="A350" s="74" t="s">
        <v>250</v>
      </c>
      <c r="B350" s="36">
        <v>132665</v>
      </c>
      <c r="C350" s="36">
        <v>52890</v>
      </c>
      <c r="D350" s="74" t="s">
        <v>649</v>
      </c>
      <c r="E350" s="36"/>
      <c r="F350" s="74"/>
      <c r="G350" s="74" t="s">
        <v>730</v>
      </c>
      <c r="H350" s="36"/>
      <c r="I350" s="36"/>
      <c r="J350" s="36"/>
      <c r="K350" s="36"/>
      <c r="L350" s="36"/>
      <c r="M350" s="36"/>
      <c r="N350" s="36"/>
      <c r="O350" s="36"/>
      <c r="P350" s="36"/>
      <c r="Q350" s="36"/>
      <c r="R350" s="36"/>
      <c r="S350" s="36"/>
      <c r="T350" s="36"/>
      <c r="U350" s="36"/>
    </row>
    <row r="351" spans="1:21">
      <c r="A351" s="74" t="s">
        <v>250</v>
      </c>
      <c r="B351" s="36">
        <v>132666</v>
      </c>
      <c r="C351" s="36">
        <v>52890</v>
      </c>
      <c r="D351" s="74" t="s">
        <v>649</v>
      </c>
      <c r="E351" s="36"/>
      <c r="F351" s="74"/>
      <c r="G351" s="74" t="s">
        <v>730</v>
      </c>
      <c r="H351" s="36"/>
      <c r="I351" s="36"/>
      <c r="J351" s="36"/>
      <c r="K351" s="36"/>
      <c r="L351" s="36"/>
      <c r="M351" s="36"/>
      <c r="N351" s="36"/>
      <c r="O351" s="36"/>
      <c r="P351" s="36"/>
      <c r="Q351" s="36"/>
      <c r="R351" s="36"/>
      <c r="S351" s="36"/>
      <c r="T351" s="36"/>
      <c r="U351" s="36"/>
    </row>
    <row r="352" spans="1:21">
      <c r="A352" s="74" t="s">
        <v>250</v>
      </c>
      <c r="B352" s="36">
        <v>132667</v>
      </c>
      <c r="C352" s="36">
        <v>52890</v>
      </c>
      <c r="D352" s="74" t="s">
        <v>649</v>
      </c>
      <c r="E352" s="36"/>
      <c r="F352" s="74"/>
      <c r="G352" s="74" t="s">
        <v>730</v>
      </c>
      <c r="H352" s="36"/>
      <c r="I352" s="36"/>
      <c r="J352" s="36"/>
      <c r="K352" s="36"/>
      <c r="L352" s="36"/>
      <c r="M352" s="36"/>
      <c r="N352" s="36"/>
      <c r="O352" s="36"/>
      <c r="P352" s="36"/>
      <c r="Q352" s="36"/>
      <c r="R352" s="36"/>
      <c r="S352" s="36"/>
      <c r="T352" s="36"/>
      <c r="U352" s="36"/>
    </row>
    <row r="353" spans="1:21">
      <c r="A353" s="74" t="s">
        <v>250</v>
      </c>
      <c r="B353" s="36">
        <v>132668</v>
      </c>
      <c r="C353" s="36">
        <v>52890</v>
      </c>
      <c r="D353" s="74" t="s">
        <v>649</v>
      </c>
      <c r="E353" s="36"/>
      <c r="F353" s="74"/>
      <c r="G353" s="74" t="s">
        <v>730</v>
      </c>
      <c r="H353" s="36"/>
      <c r="I353" s="36"/>
      <c r="J353" s="36"/>
      <c r="K353" s="36"/>
      <c r="L353" s="36"/>
      <c r="M353" s="36"/>
      <c r="N353" s="36"/>
      <c r="O353" s="36"/>
      <c r="P353" s="36"/>
      <c r="Q353" s="36"/>
      <c r="R353" s="36"/>
      <c r="S353" s="36"/>
      <c r="T353" s="36"/>
      <c r="U353" s="36"/>
    </row>
    <row r="354" spans="1:21">
      <c r="A354" s="74" t="s">
        <v>250</v>
      </c>
      <c r="B354" s="36">
        <v>132669</v>
      </c>
      <c r="C354" s="36">
        <v>52890</v>
      </c>
      <c r="D354" s="74" t="s">
        <v>649</v>
      </c>
      <c r="E354" s="36"/>
      <c r="F354" s="74"/>
      <c r="G354" s="74" t="s">
        <v>730</v>
      </c>
      <c r="H354" s="36"/>
      <c r="I354" s="36"/>
      <c r="J354" s="36"/>
      <c r="K354" s="36"/>
      <c r="L354" s="36"/>
      <c r="M354" s="36"/>
      <c r="N354" s="36"/>
      <c r="O354" s="36"/>
      <c r="P354" s="36"/>
      <c r="Q354" s="36"/>
      <c r="R354" s="36"/>
      <c r="S354" s="36"/>
      <c r="T354" s="36"/>
      <c r="U354" s="36"/>
    </row>
    <row r="355" spans="1:21">
      <c r="A355" s="74" t="s">
        <v>250</v>
      </c>
      <c r="B355" s="36">
        <v>132670</v>
      </c>
      <c r="C355" s="36">
        <v>52890</v>
      </c>
      <c r="D355" s="74" t="s">
        <v>649</v>
      </c>
      <c r="E355" s="36"/>
      <c r="F355" s="74"/>
      <c r="G355" s="74" t="s">
        <v>730</v>
      </c>
      <c r="H355" s="36"/>
      <c r="I355" s="36"/>
      <c r="J355" s="36"/>
      <c r="K355" s="36"/>
      <c r="L355" s="36"/>
      <c r="M355" s="36"/>
      <c r="N355" s="36"/>
      <c r="O355" s="36"/>
      <c r="P355" s="36"/>
      <c r="Q355" s="36"/>
      <c r="R355" s="36"/>
      <c r="S355" s="36"/>
      <c r="T355" s="36"/>
      <c r="U355" s="36"/>
    </row>
    <row r="356" spans="1:21">
      <c r="A356" s="74" t="s">
        <v>250</v>
      </c>
      <c r="B356" s="36">
        <v>132685</v>
      </c>
      <c r="C356" s="36">
        <v>50890</v>
      </c>
      <c r="D356" s="74" t="s">
        <v>618</v>
      </c>
      <c r="E356" s="36"/>
      <c r="F356" s="74"/>
      <c r="G356" s="74" t="s">
        <v>695</v>
      </c>
      <c r="H356" s="36"/>
      <c r="I356" s="36"/>
      <c r="J356" s="36"/>
      <c r="K356" s="36"/>
      <c r="L356" s="36"/>
      <c r="M356" s="36"/>
      <c r="N356" s="36"/>
      <c r="O356" s="36"/>
      <c r="P356" s="36"/>
      <c r="Q356" s="36"/>
      <c r="R356" s="36"/>
      <c r="S356" s="36"/>
      <c r="T356" s="36"/>
      <c r="U356" s="36"/>
    </row>
    <row r="357" spans="1:21">
      <c r="A357" s="74" t="s">
        <v>250</v>
      </c>
      <c r="B357" s="36">
        <v>341619</v>
      </c>
      <c r="C357" s="36">
        <v>50890</v>
      </c>
      <c r="D357" s="74" t="s">
        <v>618</v>
      </c>
      <c r="E357" s="36"/>
      <c r="F357" s="74"/>
      <c r="G357" s="74" t="s">
        <v>695</v>
      </c>
      <c r="H357" s="36"/>
      <c r="I357" s="36"/>
      <c r="J357" s="36"/>
      <c r="K357" s="36"/>
      <c r="L357" s="36"/>
      <c r="M357" s="36"/>
      <c r="N357" s="36"/>
      <c r="O357" s="36"/>
      <c r="P357" s="36"/>
      <c r="Q357" s="36"/>
      <c r="R357" s="36"/>
      <c r="S357" s="36"/>
      <c r="T357" s="36"/>
      <c r="U357" s="36"/>
    </row>
    <row r="358" spans="1:21">
      <c r="A358" s="74" t="s">
        <v>250</v>
      </c>
      <c r="B358" s="36">
        <v>341618</v>
      </c>
      <c r="C358" s="36">
        <v>50890</v>
      </c>
      <c r="D358" s="74" t="s">
        <v>618</v>
      </c>
      <c r="E358" s="36"/>
      <c r="F358" s="74"/>
      <c r="G358" s="74" t="s">
        <v>695</v>
      </c>
      <c r="H358" s="36"/>
      <c r="I358" s="36"/>
      <c r="J358" s="36"/>
      <c r="K358" s="36"/>
      <c r="L358" s="36"/>
      <c r="M358" s="36"/>
      <c r="N358" s="36"/>
      <c r="O358" s="36"/>
      <c r="P358" s="36"/>
      <c r="Q358" s="36"/>
      <c r="R358" s="36"/>
      <c r="S358" s="36"/>
      <c r="T358" s="36"/>
      <c r="U358" s="36"/>
    </row>
    <row r="359" spans="1:21">
      <c r="A359" s="74" t="s">
        <v>250</v>
      </c>
      <c r="B359" s="36">
        <v>341630</v>
      </c>
      <c r="C359" s="36">
        <v>50890</v>
      </c>
      <c r="D359" s="74" t="s">
        <v>618</v>
      </c>
      <c r="E359" s="36"/>
      <c r="F359" s="74"/>
      <c r="G359" s="74" t="s">
        <v>695</v>
      </c>
      <c r="H359" s="36"/>
      <c r="I359" s="36"/>
      <c r="J359" s="36"/>
      <c r="K359" s="36"/>
      <c r="L359" s="36"/>
      <c r="M359" s="36"/>
      <c r="N359" s="36"/>
      <c r="O359" s="36"/>
      <c r="P359" s="36"/>
      <c r="Q359" s="36"/>
      <c r="R359" s="36"/>
      <c r="S359" s="36"/>
      <c r="T359" s="36"/>
      <c r="U359" s="36"/>
    </row>
    <row r="360" spans="1:21">
      <c r="A360" s="74" t="s">
        <v>250</v>
      </c>
      <c r="B360" s="36">
        <v>341629</v>
      </c>
      <c r="C360" s="36">
        <v>50890</v>
      </c>
      <c r="D360" s="74" t="s">
        <v>618</v>
      </c>
      <c r="E360" s="36"/>
      <c r="F360" s="74"/>
      <c r="G360" s="74" t="s">
        <v>695</v>
      </c>
      <c r="H360" s="36"/>
      <c r="I360" s="36"/>
      <c r="J360" s="36"/>
      <c r="K360" s="36"/>
      <c r="L360" s="36"/>
      <c r="M360" s="36"/>
      <c r="N360" s="36"/>
      <c r="O360" s="36"/>
      <c r="P360" s="36"/>
      <c r="Q360" s="36"/>
      <c r="R360" s="36"/>
      <c r="S360" s="36"/>
      <c r="T360" s="36"/>
      <c r="U360" s="36"/>
    </row>
    <row r="361" spans="1:21">
      <c r="A361" s="74" t="s">
        <v>250</v>
      </c>
      <c r="B361" s="36">
        <v>341621</v>
      </c>
      <c r="C361" s="36">
        <v>50890</v>
      </c>
      <c r="D361" s="74" t="s">
        <v>618</v>
      </c>
      <c r="E361" s="36"/>
      <c r="F361" s="74"/>
      <c r="G361" s="74" t="s">
        <v>695</v>
      </c>
      <c r="H361" s="36"/>
      <c r="I361" s="36"/>
      <c r="J361" s="36"/>
      <c r="K361" s="36"/>
      <c r="L361" s="36"/>
      <c r="M361" s="36"/>
      <c r="N361" s="36"/>
      <c r="O361" s="36"/>
      <c r="P361" s="36"/>
      <c r="Q361" s="36"/>
      <c r="R361" s="36"/>
      <c r="S361" s="36"/>
      <c r="T361" s="36"/>
      <c r="U361" s="36"/>
    </row>
    <row r="362" spans="1:21">
      <c r="A362" s="74" t="s">
        <v>250</v>
      </c>
      <c r="B362" s="36">
        <v>341622</v>
      </c>
      <c r="C362" s="36">
        <v>50890</v>
      </c>
      <c r="D362" s="74" t="s">
        <v>618</v>
      </c>
      <c r="E362" s="36"/>
      <c r="F362" s="74"/>
      <c r="G362" s="74" t="s">
        <v>695</v>
      </c>
      <c r="H362" s="36"/>
      <c r="I362" s="36"/>
      <c r="J362" s="36"/>
      <c r="K362" s="36"/>
      <c r="L362" s="36"/>
      <c r="M362" s="36"/>
      <c r="N362" s="36"/>
      <c r="O362" s="36"/>
      <c r="P362" s="36"/>
      <c r="Q362" s="36"/>
      <c r="R362" s="36"/>
      <c r="S362" s="36"/>
      <c r="T362" s="36"/>
      <c r="U362" s="36"/>
    </row>
    <row r="363" spans="1:21">
      <c r="A363" s="74" t="s">
        <v>250</v>
      </c>
      <c r="B363" s="36">
        <v>341623</v>
      </c>
      <c r="C363" s="36">
        <v>50890</v>
      </c>
      <c r="D363" s="74" t="s">
        <v>618</v>
      </c>
      <c r="E363" s="36"/>
      <c r="F363" s="74"/>
      <c r="G363" s="74" t="s">
        <v>695</v>
      </c>
      <c r="H363" s="36"/>
      <c r="I363" s="36"/>
      <c r="J363" s="36"/>
      <c r="K363" s="36"/>
      <c r="L363" s="36"/>
      <c r="M363" s="36"/>
      <c r="N363" s="36"/>
      <c r="O363" s="36"/>
      <c r="P363" s="36"/>
      <c r="Q363" s="36"/>
      <c r="R363" s="36"/>
      <c r="S363" s="36"/>
      <c r="T363" s="36"/>
      <c r="U363" s="36"/>
    </row>
    <row r="364" spans="1:21">
      <c r="A364" s="74" t="s">
        <v>250</v>
      </c>
      <c r="B364" s="36">
        <v>341624</v>
      </c>
      <c r="C364" s="36">
        <v>50890</v>
      </c>
      <c r="D364" s="74" t="s">
        <v>618</v>
      </c>
      <c r="E364" s="36"/>
      <c r="F364" s="74"/>
      <c r="G364" s="74" t="s">
        <v>695</v>
      </c>
      <c r="H364" s="36"/>
      <c r="I364" s="36"/>
      <c r="J364" s="36"/>
      <c r="K364" s="36"/>
      <c r="L364" s="36"/>
      <c r="M364" s="36"/>
      <c r="N364" s="36"/>
      <c r="O364" s="36"/>
      <c r="P364" s="36"/>
      <c r="Q364" s="36"/>
      <c r="R364" s="36"/>
      <c r="S364" s="36"/>
      <c r="T364" s="36"/>
      <c r="U364" s="36"/>
    </row>
    <row r="365" spans="1:21">
      <c r="A365" s="74" t="s">
        <v>250</v>
      </c>
      <c r="B365" s="36">
        <v>341627</v>
      </c>
      <c r="C365" s="36">
        <v>50890</v>
      </c>
      <c r="D365" s="74" t="s">
        <v>618</v>
      </c>
      <c r="E365" s="36"/>
      <c r="F365" s="74"/>
      <c r="G365" s="74" t="s">
        <v>695</v>
      </c>
      <c r="H365" s="36"/>
      <c r="I365" s="36"/>
      <c r="J365" s="36"/>
      <c r="K365" s="36"/>
      <c r="L365" s="36"/>
      <c r="M365" s="36"/>
      <c r="N365" s="36"/>
      <c r="O365" s="36"/>
      <c r="P365" s="36"/>
      <c r="Q365" s="36"/>
      <c r="R365" s="36"/>
      <c r="S365" s="36"/>
      <c r="T365" s="36"/>
      <c r="U365" s="36"/>
    </row>
    <row r="366" spans="1:21">
      <c r="A366" s="74" t="s">
        <v>250</v>
      </c>
      <c r="B366" s="36">
        <v>341625</v>
      </c>
      <c r="C366" s="36">
        <v>50890</v>
      </c>
      <c r="D366" s="74" t="s">
        <v>618</v>
      </c>
      <c r="E366" s="36"/>
      <c r="F366" s="74"/>
      <c r="G366" s="74" t="s">
        <v>695</v>
      </c>
      <c r="H366" s="36"/>
      <c r="I366" s="36"/>
      <c r="J366" s="36"/>
      <c r="K366" s="36"/>
      <c r="L366" s="36"/>
      <c r="M366" s="36"/>
      <c r="N366" s="36"/>
      <c r="O366" s="36"/>
      <c r="P366" s="36"/>
      <c r="Q366" s="36"/>
      <c r="R366" s="36"/>
      <c r="S366" s="36"/>
      <c r="T366" s="36"/>
      <c r="U366" s="36"/>
    </row>
    <row r="367" spans="1:21">
      <c r="A367" s="74" t="s">
        <v>250</v>
      </c>
      <c r="B367" s="36">
        <v>341626</v>
      </c>
      <c r="C367" s="36">
        <v>50890</v>
      </c>
      <c r="D367" s="74" t="s">
        <v>618</v>
      </c>
      <c r="E367" s="36"/>
      <c r="F367" s="74"/>
      <c r="G367" s="74" t="s">
        <v>695</v>
      </c>
      <c r="H367" s="36"/>
      <c r="I367" s="36"/>
      <c r="J367" s="36"/>
      <c r="K367" s="36"/>
      <c r="L367" s="36"/>
      <c r="M367" s="36"/>
      <c r="N367" s="36"/>
      <c r="O367" s="36"/>
      <c r="P367" s="36"/>
      <c r="Q367" s="36"/>
      <c r="R367" s="36"/>
      <c r="S367" s="36"/>
      <c r="T367" s="36"/>
      <c r="U367" s="36"/>
    </row>
    <row r="368" spans="1:21">
      <c r="A368" s="74" t="s">
        <v>250</v>
      </c>
      <c r="B368" s="36">
        <v>341628</v>
      </c>
      <c r="C368" s="36">
        <v>50890</v>
      </c>
      <c r="D368" s="74" t="s">
        <v>618</v>
      </c>
      <c r="E368" s="36"/>
      <c r="F368" s="74"/>
      <c r="G368" s="74" t="s">
        <v>695</v>
      </c>
      <c r="H368" s="36"/>
      <c r="I368" s="36"/>
      <c r="J368" s="36"/>
      <c r="K368" s="36"/>
      <c r="L368" s="36"/>
      <c r="M368" s="36"/>
      <c r="N368" s="36"/>
      <c r="O368" s="36"/>
      <c r="P368" s="36"/>
      <c r="Q368" s="36"/>
      <c r="R368" s="36"/>
      <c r="S368" s="36"/>
      <c r="T368" s="36"/>
      <c r="U368" s="36"/>
    </row>
    <row r="369" spans="1:21">
      <c r="A369" s="74" t="s">
        <v>250</v>
      </c>
      <c r="B369" s="36">
        <v>341620</v>
      </c>
      <c r="C369" s="36">
        <v>50890</v>
      </c>
      <c r="D369" s="74" t="s">
        <v>618</v>
      </c>
      <c r="E369" s="36"/>
      <c r="F369" s="74"/>
      <c r="G369" s="74" t="s">
        <v>695</v>
      </c>
      <c r="H369" s="36"/>
      <c r="I369" s="36"/>
      <c r="J369" s="36"/>
      <c r="K369" s="36"/>
      <c r="L369" s="36"/>
      <c r="M369" s="36"/>
      <c r="N369" s="36"/>
      <c r="O369" s="36"/>
      <c r="P369" s="36"/>
      <c r="Q369" s="36"/>
      <c r="R369" s="36"/>
      <c r="S369" s="36"/>
      <c r="T369" s="36"/>
      <c r="U369" s="36"/>
    </row>
    <row r="370" spans="1:21">
      <c r="A370" s="74" t="s">
        <v>250</v>
      </c>
      <c r="B370" s="36">
        <v>132674</v>
      </c>
      <c r="C370" s="36">
        <v>50890</v>
      </c>
      <c r="D370" s="74" t="s">
        <v>618</v>
      </c>
      <c r="E370" s="36"/>
      <c r="F370" s="74"/>
      <c r="G370" s="74" t="s">
        <v>695</v>
      </c>
      <c r="H370" s="36"/>
      <c r="I370" s="36"/>
      <c r="J370" s="36"/>
      <c r="K370" s="36"/>
      <c r="L370" s="36"/>
      <c r="M370" s="36"/>
      <c r="N370" s="36"/>
      <c r="O370" s="36"/>
      <c r="P370" s="36"/>
      <c r="Q370" s="36"/>
      <c r="R370" s="36"/>
      <c r="S370" s="36"/>
      <c r="T370" s="36"/>
      <c r="U370" s="36"/>
    </row>
    <row r="371" spans="1:21">
      <c r="A371" s="74" t="s">
        <v>250</v>
      </c>
      <c r="B371" s="36">
        <v>132675</v>
      </c>
      <c r="C371" s="36">
        <v>50890</v>
      </c>
      <c r="D371" s="74" t="s">
        <v>618</v>
      </c>
      <c r="E371" s="36"/>
      <c r="F371" s="74"/>
      <c r="G371" s="74" t="s">
        <v>695</v>
      </c>
      <c r="H371" s="36"/>
      <c r="I371" s="36"/>
      <c r="J371" s="36"/>
      <c r="K371" s="36"/>
      <c r="L371" s="36"/>
      <c r="M371" s="36"/>
      <c r="N371" s="36"/>
      <c r="O371" s="36"/>
      <c r="P371" s="36"/>
      <c r="Q371" s="36"/>
      <c r="R371" s="36"/>
      <c r="S371" s="36"/>
      <c r="T371" s="36"/>
      <c r="U371" s="36"/>
    </row>
    <row r="372" spans="1:21">
      <c r="A372" s="74" t="s">
        <v>250</v>
      </c>
      <c r="B372" s="36">
        <v>132676</v>
      </c>
      <c r="C372" s="36">
        <v>50890</v>
      </c>
      <c r="D372" s="74" t="s">
        <v>618</v>
      </c>
      <c r="E372" s="36"/>
      <c r="F372" s="74"/>
      <c r="G372" s="74" t="s">
        <v>695</v>
      </c>
      <c r="H372" s="36"/>
      <c r="I372" s="36"/>
      <c r="J372" s="36"/>
      <c r="K372" s="36"/>
      <c r="L372" s="36"/>
      <c r="M372" s="36"/>
      <c r="N372" s="36"/>
      <c r="O372" s="36"/>
      <c r="P372" s="36"/>
      <c r="Q372" s="36"/>
      <c r="R372" s="36"/>
      <c r="S372" s="36"/>
      <c r="T372" s="36"/>
      <c r="U372" s="36"/>
    </row>
    <row r="373" spans="1:21">
      <c r="A373" s="74" t="s">
        <v>250</v>
      </c>
      <c r="B373" s="36">
        <v>132677</v>
      </c>
      <c r="C373" s="36">
        <v>50890</v>
      </c>
      <c r="D373" s="74" t="s">
        <v>618</v>
      </c>
      <c r="E373" s="36"/>
      <c r="F373" s="74"/>
      <c r="G373" s="74" t="s">
        <v>695</v>
      </c>
      <c r="H373" s="36"/>
      <c r="I373" s="36"/>
      <c r="J373" s="36"/>
      <c r="K373" s="36"/>
      <c r="L373" s="36"/>
      <c r="M373" s="36"/>
      <c r="N373" s="36"/>
      <c r="O373" s="36"/>
      <c r="P373" s="36"/>
      <c r="Q373" s="36"/>
      <c r="R373" s="36"/>
      <c r="S373" s="36"/>
      <c r="T373" s="36"/>
      <c r="U373" s="36"/>
    </row>
    <row r="374" spans="1:21">
      <c r="A374" s="74" t="s">
        <v>250</v>
      </c>
      <c r="B374" s="36">
        <v>132678</v>
      </c>
      <c r="C374" s="36">
        <v>50890</v>
      </c>
      <c r="D374" s="74" t="s">
        <v>618</v>
      </c>
      <c r="E374" s="36"/>
      <c r="F374" s="74"/>
      <c r="G374" s="74" t="s">
        <v>695</v>
      </c>
      <c r="H374" s="36"/>
      <c r="I374" s="36"/>
      <c r="J374" s="36"/>
      <c r="K374" s="36"/>
      <c r="L374" s="36"/>
      <c r="M374" s="36"/>
      <c r="N374" s="36"/>
      <c r="O374" s="36"/>
      <c r="P374" s="36"/>
      <c r="Q374" s="36"/>
      <c r="R374" s="36"/>
      <c r="S374" s="36"/>
      <c r="T374" s="36"/>
      <c r="U374" s="36"/>
    </row>
    <row r="375" spans="1:21">
      <c r="A375" s="74" t="s">
        <v>250</v>
      </c>
      <c r="B375" s="36">
        <v>132679</v>
      </c>
      <c r="C375" s="36">
        <v>50890</v>
      </c>
      <c r="D375" s="74" t="s">
        <v>618</v>
      </c>
      <c r="E375" s="36"/>
      <c r="F375" s="74"/>
      <c r="G375" s="74" t="s">
        <v>695</v>
      </c>
      <c r="H375" s="36"/>
      <c r="I375" s="36"/>
      <c r="J375" s="36"/>
      <c r="K375" s="36"/>
      <c r="L375" s="36"/>
      <c r="M375" s="36"/>
      <c r="N375" s="36"/>
      <c r="O375" s="36"/>
      <c r="P375" s="36"/>
      <c r="Q375" s="36"/>
      <c r="R375" s="36"/>
      <c r="S375" s="36"/>
      <c r="T375" s="36"/>
      <c r="U375" s="36"/>
    </row>
    <row r="376" spans="1:21">
      <c r="A376" s="74" t="s">
        <v>250</v>
      </c>
      <c r="B376" s="36">
        <v>132680</v>
      </c>
      <c r="C376" s="36">
        <v>50890</v>
      </c>
      <c r="D376" s="74" t="s">
        <v>618</v>
      </c>
      <c r="E376" s="36"/>
      <c r="F376" s="74"/>
      <c r="G376" s="74" t="s">
        <v>695</v>
      </c>
      <c r="H376" s="36"/>
      <c r="I376" s="36"/>
      <c r="J376" s="36"/>
      <c r="K376" s="36"/>
      <c r="L376" s="36"/>
      <c r="M376" s="36"/>
      <c r="N376" s="36"/>
      <c r="O376" s="36"/>
      <c r="P376" s="36"/>
      <c r="Q376" s="36"/>
      <c r="R376" s="36"/>
      <c r="S376" s="36"/>
      <c r="T376" s="36"/>
      <c r="U376" s="36"/>
    </row>
    <row r="377" spans="1:21">
      <c r="A377" s="74" t="s">
        <v>250</v>
      </c>
      <c r="B377" s="36">
        <v>132681</v>
      </c>
      <c r="C377" s="36">
        <v>50890</v>
      </c>
      <c r="D377" s="74" t="s">
        <v>618</v>
      </c>
      <c r="E377" s="36"/>
      <c r="F377" s="74"/>
      <c r="G377" s="74" t="s">
        <v>695</v>
      </c>
      <c r="H377" s="36"/>
      <c r="I377" s="36"/>
      <c r="J377" s="36"/>
      <c r="K377" s="36"/>
      <c r="L377" s="36"/>
      <c r="M377" s="36"/>
      <c r="N377" s="36"/>
      <c r="O377" s="36"/>
      <c r="P377" s="36"/>
      <c r="Q377" s="36"/>
      <c r="R377" s="36"/>
      <c r="S377" s="36"/>
      <c r="T377" s="36"/>
      <c r="U377" s="36"/>
    </row>
    <row r="378" spans="1:21">
      <c r="A378" s="74" t="s">
        <v>250</v>
      </c>
      <c r="B378" s="36">
        <v>132682</v>
      </c>
      <c r="C378" s="36">
        <v>50890</v>
      </c>
      <c r="D378" s="74" t="s">
        <v>618</v>
      </c>
      <c r="E378" s="36"/>
      <c r="F378" s="74"/>
      <c r="G378" s="74" t="s">
        <v>695</v>
      </c>
      <c r="H378" s="36"/>
      <c r="I378" s="36"/>
      <c r="J378" s="36"/>
      <c r="K378" s="36"/>
      <c r="L378" s="36"/>
      <c r="M378" s="36"/>
      <c r="N378" s="36"/>
      <c r="O378" s="36"/>
      <c r="P378" s="36"/>
      <c r="Q378" s="36"/>
      <c r="R378" s="36"/>
      <c r="S378" s="36"/>
      <c r="T378" s="36"/>
      <c r="U378" s="36"/>
    </row>
    <row r="379" spans="1:21">
      <c r="A379" s="74" t="s">
        <v>250</v>
      </c>
      <c r="B379" s="36">
        <v>132683</v>
      </c>
      <c r="C379" s="36">
        <v>50890</v>
      </c>
      <c r="D379" s="74" t="s">
        <v>618</v>
      </c>
      <c r="E379" s="36"/>
      <c r="F379" s="74"/>
      <c r="G379" s="74" t="s">
        <v>695</v>
      </c>
      <c r="H379" s="36"/>
      <c r="I379" s="36"/>
      <c r="J379" s="36"/>
      <c r="K379" s="36"/>
      <c r="L379" s="36"/>
      <c r="M379" s="36"/>
      <c r="N379" s="36"/>
      <c r="O379" s="36"/>
      <c r="P379" s="36"/>
      <c r="Q379" s="36"/>
      <c r="R379" s="36"/>
      <c r="S379" s="36"/>
      <c r="T379" s="36"/>
      <c r="U379" s="36"/>
    </row>
    <row r="380" spans="1:21">
      <c r="A380" s="74" t="s">
        <v>250</v>
      </c>
      <c r="B380" s="36">
        <v>132684</v>
      </c>
      <c r="C380" s="36">
        <v>50890</v>
      </c>
      <c r="D380" s="74" t="s">
        <v>618</v>
      </c>
      <c r="E380" s="36"/>
      <c r="F380" s="74"/>
      <c r="G380" s="74" t="s">
        <v>695</v>
      </c>
      <c r="H380" s="36"/>
      <c r="I380" s="36"/>
      <c r="J380" s="36"/>
      <c r="K380" s="36"/>
      <c r="L380" s="36"/>
      <c r="M380" s="36"/>
      <c r="N380" s="36"/>
      <c r="O380" s="36"/>
      <c r="P380" s="36"/>
      <c r="Q380" s="36"/>
      <c r="R380" s="36"/>
      <c r="S380" s="36"/>
      <c r="T380" s="36"/>
      <c r="U380" s="36"/>
    </row>
    <row r="381" spans="1:21">
      <c r="A381" s="74" t="s">
        <v>250</v>
      </c>
      <c r="B381" s="36">
        <v>132673</v>
      </c>
      <c r="C381" s="36">
        <v>50890</v>
      </c>
      <c r="D381" s="74" t="s">
        <v>618</v>
      </c>
      <c r="E381" s="36"/>
      <c r="F381" s="74"/>
      <c r="G381" s="74" t="s">
        <v>695</v>
      </c>
      <c r="H381" s="36"/>
      <c r="I381" s="36"/>
      <c r="J381" s="36"/>
      <c r="K381" s="36"/>
      <c r="L381" s="36"/>
      <c r="M381" s="36"/>
      <c r="N381" s="36"/>
      <c r="O381" s="36"/>
      <c r="P381" s="36"/>
      <c r="Q381" s="36"/>
      <c r="R381" s="36"/>
      <c r="S381" s="36"/>
      <c r="T381" s="36"/>
      <c r="U381" s="36"/>
    </row>
    <row r="382" spans="1:21">
      <c r="A382" s="74" t="s">
        <v>250</v>
      </c>
      <c r="B382" s="36">
        <v>132699</v>
      </c>
      <c r="C382" s="36">
        <v>50290</v>
      </c>
      <c r="D382" s="74" t="s">
        <v>619</v>
      </c>
      <c r="E382" s="36"/>
      <c r="F382" s="74"/>
      <c r="G382" s="74" t="s">
        <v>693</v>
      </c>
      <c r="H382" s="36"/>
      <c r="I382" s="36"/>
      <c r="J382" s="36"/>
      <c r="K382" s="36"/>
      <c r="L382" s="36"/>
      <c r="M382" s="36"/>
      <c r="N382" s="36"/>
      <c r="O382" s="36"/>
      <c r="P382" s="36"/>
      <c r="Q382" s="36"/>
      <c r="R382" s="36"/>
      <c r="S382" s="36"/>
      <c r="T382" s="36"/>
      <c r="U382" s="36"/>
    </row>
    <row r="383" spans="1:21">
      <c r="A383" s="74" t="s">
        <v>250</v>
      </c>
      <c r="B383" s="36">
        <v>341633</v>
      </c>
      <c r="C383" s="36">
        <v>50290</v>
      </c>
      <c r="D383" s="74" t="s">
        <v>619</v>
      </c>
      <c r="E383" s="36"/>
      <c r="F383" s="74"/>
      <c r="G383" s="74" t="s">
        <v>693</v>
      </c>
      <c r="H383" s="36"/>
      <c r="I383" s="36"/>
      <c r="J383" s="36"/>
      <c r="K383" s="36"/>
      <c r="L383" s="36"/>
      <c r="M383" s="36"/>
      <c r="N383" s="36"/>
      <c r="O383" s="36"/>
      <c r="P383" s="36"/>
      <c r="Q383" s="36"/>
      <c r="R383" s="36"/>
      <c r="S383" s="36"/>
      <c r="T383" s="36"/>
      <c r="U383" s="36"/>
    </row>
    <row r="384" spans="1:21">
      <c r="A384" s="74" t="s">
        <v>250</v>
      </c>
      <c r="B384" s="36">
        <v>341632</v>
      </c>
      <c r="C384" s="36">
        <v>50290</v>
      </c>
      <c r="D384" s="74" t="s">
        <v>619</v>
      </c>
      <c r="E384" s="36"/>
      <c r="F384" s="74"/>
      <c r="G384" s="74" t="s">
        <v>693</v>
      </c>
      <c r="H384" s="36"/>
      <c r="I384" s="36"/>
      <c r="J384" s="36"/>
      <c r="K384" s="36"/>
      <c r="L384" s="36"/>
      <c r="M384" s="36"/>
      <c r="N384" s="36"/>
      <c r="O384" s="36"/>
      <c r="P384" s="36"/>
      <c r="Q384" s="36"/>
      <c r="R384" s="36"/>
      <c r="S384" s="36"/>
      <c r="T384" s="36"/>
      <c r="U384" s="36"/>
    </row>
    <row r="385" spans="1:21">
      <c r="A385" s="74" t="s">
        <v>250</v>
      </c>
      <c r="B385" s="36">
        <v>341644</v>
      </c>
      <c r="C385" s="36">
        <v>50290</v>
      </c>
      <c r="D385" s="74" t="s">
        <v>619</v>
      </c>
      <c r="E385" s="36"/>
      <c r="F385" s="74"/>
      <c r="G385" s="74" t="s">
        <v>693</v>
      </c>
      <c r="H385" s="36"/>
      <c r="I385" s="36"/>
      <c r="J385" s="36"/>
      <c r="K385" s="36"/>
      <c r="L385" s="36"/>
      <c r="M385" s="36"/>
      <c r="N385" s="36"/>
      <c r="O385" s="36"/>
      <c r="P385" s="36"/>
      <c r="Q385" s="36"/>
      <c r="R385" s="36"/>
      <c r="S385" s="36"/>
      <c r="T385" s="36"/>
      <c r="U385" s="36"/>
    </row>
    <row r="386" spans="1:21">
      <c r="A386" s="74" t="s">
        <v>250</v>
      </c>
      <c r="B386" s="36">
        <v>341643</v>
      </c>
      <c r="C386" s="36">
        <v>50290</v>
      </c>
      <c r="D386" s="74" t="s">
        <v>619</v>
      </c>
      <c r="E386" s="36"/>
      <c r="F386" s="74"/>
      <c r="G386" s="74" t="s">
        <v>693</v>
      </c>
      <c r="H386" s="36"/>
      <c r="I386" s="36"/>
      <c r="J386" s="36"/>
      <c r="K386" s="36"/>
      <c r="L386" s="36"/>
      <c r="M386" s="36"/>
      <c r="N386" s="36"/>
      <c r="O386" s="36"/>
      <c r="P386" s="36"/>
      <c r="Q386" s="36"/>
      <c r="R386" s="36"/>
      <c r="S386" s="36"/>
      <c r="T386" s="36"/>
      <c r="U386" s="36"/>
    </row>
    <row r="387" spans="1:21">
      <c r="A387" s="74" t="s">
        <v>250</v>
      </c>
      <c r="B387" s="36">
        <v>341635</v>
      </c>
      <c r="C387" s="36">
        <v>50290</v>
      </c>
      <c r="D387" s="74" t="s">
        <v>619</v>
      </c>
      <c r="E387" s="36"/>
      <c r="F387" s="74"/>
      <c r="G387" s="74" t="s">
        <v>693</v>
      </c>
      <c r="H387" s="36"/>
      <c r="I387" s="36"/>
      <c r="J387" s="36"/>
      <c r="K387" s="36"/>
      <c r="L387" s="36"/>
      <c r="M387" s="36"/>
      <c r="N387" s="36"/>
      <c r="O387" s="36"/>
      <c r="P387" s="36"/>
      <c r="Q387" s="36"/>
      <c r="R387" s="36"/>
      <c r="S387" s="36"/>
      <c r="T387" s="36"/>
      <c r="U387" s="36"/>
    </row>
    <row r="388" spans="1:21">
      <c r="A388" s="74" t="s">
        <v>250</v>
      </c>
      <c r="B388" s="36">
        <v>341636</v>
      </c>
      <c r="C388" s="36">
        <v>50290</v>
      </c>
      <c r="D388" s="74" t="s">
        <v>619</v>
      </c>
      <c r="E388" s="36"/>
      <c r="F388" s="74"/>
      <c r="G388" s="74" t="s">
        <v>693</v>
      </c>
      <c r="H388" s="36"/>
      <c r="I388" s="36"/>
      <c r="J388" s="36"/>
      <c r="K388" s="36"/>
      <c r="L388" s="36"/>
      <c r="M388" s="36"/>
      <c r="N388" s="36"/>
      <c r="O388" s="36"/>
      <c r="P388" s="36"/>
      <c r="Q388" s="36"/>
      <c r="R388" s="36"/>
      <c r="S388" s="36"/>
      <c r="T388" s="36"/>
      <c r="U388" s="36"/>
    </row>
    <row r="389" spans="1:21">
      <c r="A389" s="74" t="s">
        <v>250</v>
      </c>
      <c r="B389" s="36">
        <v>341637</v>
      </c>
      <c r="C389" s="36">
        <v>50290</v>
      </c>
      <c r="D389" s="74" t="s">
        <v>619</v>
      </c>
      <c r="E389" s="36"/>
      <c r="F389" s="74"/>
      <c r="G389" s="74" t="s">
        <v>693</v>
      </c>
      <c r="H389" s="36"/>
      <c r="I389" s="36"/>
      <c r="J389" s="36"/>
      <c r="K389" s="36"/>
      <c r="L389" s="36"/>
      <c r="M389" s="36"/>
      <c r="N389" s="36"/>
      <c r="O389" s="36"/>
      <c r="P389" s="36"/>
      <c r="Q389" s="36"/>
      <c r="R389" s="36"/>
      <c r="S389" s="36"/>
      <c r="T389" s="36"/>
      <c r="U389" s="36"/>
    </row>
    <row r="390" spans="1:21">
      <c r="A390" s="74" t="s">
        <v>250</v>
      </c>
      <c r="B390" s="36">
        <v>341638</v>
      </c>
      <c r="C390" s="36">
        <v>50290</v>
      </c>
      <c r="D390" s="74" t="s">
        <v>619</v>
      </c>
      <c r="E390" s="36"/>
      <c r="F390" s="74"/>
      <c r="G390" s="74" t="s">
        <v>693</v>
      </c>
      <c r="H390" s="36"/>
      <c r="I390" s="36"/>
      <c r="J390" s="36"/>
      <c r="K390" s="36"/>
      <c r="L390" s="36"/>
      <c r="M390" s="36"/>
      <c r="N390" s="36"/>
      <c r="O390" s="36"/>
      <c r="P390" s="36"/>
      <c r="Q390" s="36"/>
      <c r="R390" s="36"/>
      <c r="S390" s="36"/>
      <c r="T390" s="36"/>
      <c r="U390" s="36"/>
    </row>
    <row r="391" spans="1:21">
      <c r="A391" s="74" t="s">
        <v>250</v>
      </c>
      <c r="B391" s="36">
        <v>341641</v>
      </c>
      <c r="C391" s="36">
        <v>50290</v>
      </c>
      <c r="D391" s="74" t="s">
        <v>619</v>
      </c>
      <c r="E391" s="36"/>
      <c r="F391" s="74"/>
      <c r="G391" s="74" t="s">
        <v>693</v>
      </c>
      <c r="H391" s="36"/>
      <c r="I391" s="36"/>
      <c r="J391" s="36"/>
      <c r="K391" s="36"/>
      <c r="L391" s="36"/>
      <c r="M391" s="36"/>
      <c r="N391" s="36"/>
      <c r="O391" s="36"/>
      <c r="P391" s="36"/>
      <c r="Q391" s="36"/>
      <c r="R391" s="36"/>
      <c r="S391" s="36"/>
      <c r="T391" s="36"/>
      <c r="U391" s="36"/>
    </row>
    <row r="392" spans="1:21">
      <c r="A392" s="74" t="s">
        <v>250</v>
      </c>
      <c r="B392" s="36">
        <v>341639</v>
      </c>
      <c r="C392" s="36">
        <v>50290</v>
      </c>
      <c r="D392" s="74" t="s">
        <v>619</v>
      </c>
      <c r="E392" s="36"/>
      <c r="F392" s="74"/>
      <c r="G392" s="74" t="s">
        <v>693</v>
      </c>
      <c r="H392" s="36"/>
      <c r="I392" s="36"/>
      <c r="J392" s="36"/>
      <c r="K392" s="36"/>
      <c r="L392" s="36"/>
      <c r="M392" s="36"/>
      <c r="N392" s="36"/>
      <c r="O392" s="36"/>
      <c r="P392" s="36"/>
      <c r="Q392" s="36"/>
      <c r="R392" s="36"/>
      <c r="S392" s="36"/>
      <c r="T392" s="36"/>
      <c r="U392" s="36"/>
    </row>
    <row r="393" spans="1:21">
      <c r="A393" s="74" t="s">
        <v>250</v>
      </c>
      <c r="B393" s="36">
        <v>341640</v>
      </c>
      <c r="C393" s="36">
        <v>50290</v>
      </c>
      <c r="D393" s="74" t="s">
        <v>619</v>
      </c>
      <c r="E393" s="36"/>
      <c r="F393" s="74"/>
      <c r="G393" s="74" t="s">
        <v>693</v>
      </c>
      <c r="H393" s="36"/>
      <c r="I393" s="36"/>
      <c r="J393" s="36"/>
      <c r="K393" s="36"/>
      <c r="L393" s="36"/>
      <c r="M393" s="36"/>
      <c r="N393" s="36"/>
      <c r="O393" s="36"/>
      <c r="P393" s="36"/>
      <c r="Q393" s="36"/>
      <c r="R393" s="36"/>
      <c r="S393" s="36"/>
      <c r="T393" s="36"/>
      <c r="U393" s="36"/>
    </row>
    <row r="394" spans="1:21">
      <c r="A394" s="74" t="s">
        <v>250</v>
      </c>
      <c r="B394" s="36">
        <v>341642</v>
      </c>
      <c r="C394" s="36">
        <v>50290</v>
      </c>
      <c r="D394" s="74" t="s">
        <v>619</v>
      </c>
      <c r="E394" s="36"/>
      <c r="F394" s="74"/>
      <c r="G394" s="74" t="s">
        <v>693</v>
      </c>
      <c r="H394" s="36"/>
      <c r="I394" s="36"/>
      <c r="J394" s="36"/>
      <c r="K394" s="36"/>
      <c r="L394" s="36"/>
      <c r="M394" s="36"/>
      <c r="N394" s="36"/>
      <c r="O394" s="36"/>
      <c r="P394" s="36"/>
      <c r="Q394" s="36"/>
      <c r="R394" s="36"/>
      <c r="S394" s="36"/>
      <c r="T394" s="36"/>
      <c r="U394" s="36"/>
    </row>
    <row r="395" spans="1:21">
      <c r="A395" s="74" t="s">
        <v>250</v>
      </c>
      <c r="B395" s="36">
        <v>341634</v>
      </c>
      <c r="C395" s="36">
        <v>50290</v>
      </c>
      <c r="D395" s="74" t="s">
        <v>619</v>
      </c>
      <c r="E395" s="36"/>
      <c r="F395" s="74"/>
      <c r="G395" s="74" t="s">
        <v>693</v>
      </c>
      <c r="H395" s="36"/>
      <c r="I395" s="36"/>
      <c r="J395" s="36"/>
      <c r="K395" s="36"/>
      <c r="L395" s="36"/>
      <c r="M395" s="36"/>
      <c r="N395" s="36"/>
      <c r="O395" s="36"/>
      <c r="P395" s="36"/>
      <c r="Q395" s="36"/>
      <c r="R395" s="36"/>
      <c r="S395" s="36"/>
      <c r="T395" s="36"/>
      <c r="U395" s="36"/>
    </row>
    <row r="396" spans="1:21">
      <c r="A396" s="74" t="s">
        <v>250</v>
      </c>
      <c r="B396" s="36">
        <v>132688</v>
      </c>
      <c r="C396" s="36">
        <v>50290</v>
      </c>
      <c r="D396" s="74" t="s">
        <v>619</v>
      </c>
      <c r="E396" s="36"/>
      <c r="F396" s="74"/>
      <c r="G396" s="74" t="s">
        <v>693</v>
      </c>
      <c r="H396" s="36"/>
      <c r="I396" s="36"/>
      <c r="J396" s="36"/>
      <c r="K396" s="36"/>
      <c r="L396" s="36"/>
      <c r="M396" s="36"/>
      <c r="N396" s="36"/>
      <c r="O396" s="36"/>
      <c r="P396" s="36"/>
      <c r="Q396" s="36"/>
      <c r="R396" s="36"/>
      <c r="S396" s="36"/>
      <c r="T396" s="36"/>
      <c r="U396" s="36"/>
    </row>
    <row r="397" spans="1:21">
      <c r="A397" s="74" t="s">
        <v>250</v>
      </c>
      <c r="B397" s="36">
        <v>132689</v>
      </c>
      <c r="C397" s="36">
        <v>50290</v>
      </c>
      <c r="D397" s="74" t="s">
        <v>619</v>
      </c>
      <c r="E397" s="36"/>
      <c r="F397" s="74"/>
      <c r="G397" s="74" t="s">
        <v>693</v>
      </c>
      <c r="H397" s="36"/>
      <c r="I397" s="36"/>
      <c r="J397" s="36"/>
      <c r="K397" s="36"/>
      <c r="L397" s="36"/>
      <c r="M397" s="36"/>
      <c r="N397" s="36"/>
      <c r="O397" s="36"/>
      <c r="P397" s="36"/>
      <c r="Q397" s="36"/>
      <c r="R397" s="36"/>
      <c r="S397" s="36"/>
      <c r="T397" s="36"/>
      <c r="U397" s="36"/>
    </row>
    <row r="398" spans="1:21">
      <c r="A398" s="74" t="s">
        <v>250</v>
      </c>
      <c r="B398" s="36">
        <v>132690</v>
      </c>
      <c r="C398" s="36">
        <v>50290</v>
      </c>
      <c r="D398" s="74" t="s">
        <v>619</v>
      </c>
      <c r="E398" s="36"/>
      <c r="F398" s="74"/>
      <c r="G398" s="74" t="s">
        <v>693</v>
      </c>
      <c r="H398" s="36"/>
      <c r="I398" s="36"/>
      <c r="J398" s="36"/>
      <c r="K398" s="36"/>
      <c r="L398" s="36"/>
      <c r="M398" s="36"/>
      <c r="N398" s="36"/>
      <c r="O398" s="36"/>
      <c r="P398" s="36"/>
      <c r="Q398" s="36"/>
      <c r="R398" s="36"/>
      <c r="S398" s="36"/>
      <c r="T398" s="36"/>
      <c r="U398" s="36"/>
    </row>
    <row r="399" spans="1:21">
      <c r="A399" s="74" t="s">
        <v>250</v>
      </c>
      <c r="B399" s="36">
        <v>132691</v>
      </c>
      <c r="C399" s="36">
        <v>50290</v>
      </c>
      <c r="D399" s="74" t="s">
        <v>619</v>
      </c>
      <c r="E399" s="36"/>
      <c r="F399" s="74"/>
      <c r="G399" s="74" t="s">
        <v>693</v>
      </c>
      <c r="H399" s="36"/>
      <c r="I399" s="36"/>
      <c r="J399" s="36"/>
      <c r="K399" s="36"/>
      <c r="L399" s="36"/>
      <c r="M399" s="36"/>
      <c r="N399" s="36"/>
      <c r="O399" s="36"/>
      <c r="P399" s="36"/>
      <c r="Q399" s="36"/>
      <c r="R399" s="36"/>
      <c r="S399" s="36"/>
      <c r="T399" s="36"/>
      <c r="U399" s="36"/>
    </row>
    <row r="400" spans="1:21">
      <c r="A400" s="74" t="s">
        <v>250</v>
      </c>
      <c r="B400" s="36">
        <v>132692</v>
      </c>
      <c r="C400" s="36">
        <v>50290</v>
      </c>
      <c r="D400" s="74" t="s">
        <v>619</v>
      </c>
      <c r="E400" s="36"/>
      <c r="F400" s="74"/>
      <c r="G400" s="74" t="s">
        <v>693</v>
      </c>
      <c r="H400" s="36"/>
      <c r="I400" s="36"/>
      <c r="J400" s="36"/>
      <c r="K400" s="36"/>
      <c r="L400" s="36"/>
      <c r="M400" s="36"/>
      <c r="N400" s="36"/>
      <c r="O400" s="36"/>
      <c r="P400" s="36"/>
      <c r="Q400" s="36"/>
      <c r="R400" s="36"/>
      <c r="S400" s="36"/>
      <c r="T400" s="36"/>
      <c r="U400" s="36"/>
    </row>
    <row r="401" spans="1:21">
      <c r="A401" s="74" t="s">
        <v>250</v>
      </c>
      <c r="B401" s="36">
        <v>132693</v>
      </c>
      <c r="C401" s="36">
        <v>50290</v>
      </c>
      <c r="D401" s="74" t="s">
        <v>619</v>
      </c>
      <c r="E401" s="36"/>
      <c r="F401" s="74"/>
      <c r="G401" s="74" t="s">
        <v>693</v>
      </c>
      <c r="H401" s="36"/>
      <c r="I401" s="36"/>
      <c r="J401" s="36"/>
      <c r="K401" s="36"/>
      <c r="L401" s="36"/>
      <c r="M401" s="36"/>
      <c r="N401" s="36"/>
      <c r="O401" s="36"/>
      <c r="P401" s="36"/>
      <c r="Q401" s="36"/>
      <c r="R401" s="36"/>
      <c r="S401" s="36"/>
      <c r="T401" s="36"/>
      <c r="U401" s="36"/>
    </row>
    <row r="402" spans="1:21">
      <c r="A402" s="74" t="s">
        <v>250</v>
      </c>
      <c r="B402" s="36">
        <v>132694</v>
      </c>
      <c r="C402" s="36">
        <v>50290</v>
      </c>
      <c r="D402" s="74" t="s">
        <v>619</v>
      </c>
      <c r="E402" s="36"/>
      <c r="F402" s="74"/>
      <c r="G402" s="74" t="s">
        <v>693</v>
      </c>
      <c r="H402" s="36"/>
      <c r="I402" s="36"/>
      <c r="J402" s="36"/>
      <c r="K402" s="36"/>
      <c r="L402" s="36"/>
      <c r="M402" s="36"/>
      <c r="N402" s="36"/>
      <c r="O402" s="36"/>
      <c r="P402" s="36"/>
      <c r="Q402" s="36"/>
      <c r="R402" s="36"/>
      <c r="S402" s="36"/>
      <c r="T402" s="36"/>
      <c r="U402" s="36"/>
    </row>
    <row r="403" spans="1:21">
      <c r="A403" s="74" t="s">
        <v>250</v>
      </c>
      <c r="B403" s="36">
        <v>132695</v>
      </c>
      <c r="C403" s="36">
        <v>50290</v>
      </c>
      <c r="D403" s="74" t="s">
        <v>619</v>
      </c>
      <c r="E403" s="36"/>
      <c r="F403" s="74"/>
      <c r="G403" s="74" t="s">
        <v>693</v>
      </c>
      <c r="H403" s="36"/>
      <c r="I403" s="36"/>
      <c r="J403" s="36"/>
      <c r="K403" s="36"/>
      <c r="L403" s="36"/>
      <c r="M403" s="36"/>
      <c r="N403" s="36"/>
      <c r="O403" s="36"/>
      <c r="P403" s="36"/>
      <c r="Q403" s="36"/>
      <c r="R403" s="36"/>
      <c r="S403" s="36"/>
      <c r="T403" s="36"/>
      <c r="U403" s="36"/>
    </row>
    <row r="404" spans="1:21">
      <c r="A404" s="74" t="s">
        <v>250</v>
      </c>
      <c r="B404" s="36">
        <v>132696</v>
      </c>
      <c r="C404" s="36">
        <v>50290</v>
      </c>
      <c r="D404" s="74" t="s">
        <v>619</v>
      </c>
      <c r="E404" s="36"/>
      <c r="F404" s="74"/>
      <c r="G404" s="74" t="s">
        <v>693</v>
      </c>
      <c r="H404" s="36"/>
      <c r="I404" s="36"/>
      <c r="J404" s="36"/>
      <c r="K404" s="36"/>
      <c r="L404" s="36"/>
      <c r="M404" s="36"/>
      <c r="N404" s="36"/>
      <c r="O404" s="36"/>
      <c r="P404" s="36"/>
      <c r="Q404" s="36"/>
      <c r="R404" s="36"/>
      <c r="S404" s="36"/>
      <c r="T404" s="36"/>
      <c r="U404" s="36"/>
    </row>
    <row r="405" spans="1:21">
      <c r="A405" s="74" t="s">
        <v>250</v>
      </c>
      <c r="B405" s="36">
        <v>132697</v>
      </c>
      <c r="C405" s="36">
        <v>50290</v>
      </c>
      <c r="D405" s="74" t="s">
        <v>619</v>
      </c>
      <c r="E405" s="36"/>
      <c r="F405" s="74"/>
      <c r="G405" s="74" t="s">
        <v>693</v>
      </c>
      <c r="H405" s="36"/>
      <c r="I405" s="36"/>
      <c r="J405" s="36"/>
      <c r="K405" s="36"/>
      <c r="L405" s="36"/>
      <c r="M405" s="36"/>
      <c r="N405" s="36"/>
      <c r="O405" s="36"/>
      <c r="P405" s="36"/>
      <c r="Q405" s="36"/>
      <c r="R405" s="36"/>
      <c r="S405" s="36"/>
      <c r="T405" s="36"/>
      <c r="U405" s="36"/>
    </row>
    <row r="406" spans="1:21">
      <c r="A406" s="74" t="s">
        <v>250</v>
      </c>
      <c r="B406" s="36">
        <v>132698</v>
      </c>
      <c r="C406" s="36">
        <v>50290</v>
      </c>
      <c r="D406" s="74" t="s">
        <v>619</v>
      </c>
      <c r="E406" s="36"/>
      <c r="F406" s="74"/>
      <c r="G406" s="74" t="s">
        <v>693</v>
      </c>
      <c r="H406" s="36"/>
      <c r="I406" s="36"/>
      <c r="J406" s="36"/>
      <c r="K406" s="36"/>
      <c r="L406" s="36"/>
      <c r="M406" s="36"/>
      <c r="N406" s="36"/>
      <c r="O406" s="36"/>
      <c r="P406" s="36"/>
      <c r="Q406" s="36"/>
      <c r="R406" s="36"/>
      <c r="S406" s="36"/>
      <c r="T406" s="36"/>
      <c r="U406" s="36"/>
    </row>
    <row r="407" spans="1:21">
      <c r="A407" s="74" t="s">
        <v>250</v>
      </c>
      <c r="B407" s="36">
        <v>132687</v>
      </c>
      <c r="C407" s="36">
        <v>50290</v>
      </c>
      <c r="D407" s="74" t="s">
        <v>619</v>
      </c>
      <c r="E407" s="36"/>
      <c r="F407" s="74"/>
      <c r="G407" s="74" t="s">
        <v>693</v>
      </c>
      <c r="H407" s="36"/>
      <c r="I407" s="36"/>
      <c r="J407" s="36"/>
      <c r="K407" s="36"/>
      <c r="L407" s="36"/>
      <c r="M407" s="36"/>
      <c r="N407" s="36"/>
      <c r="O407" s="36"/>
      <c r="P407" s="36"/>
      <c r="Q407" s="36"/>
      <c r="R407" s="36"/>
      <c r="S407" s="36"/>
      <c r="T407" s="36"/>
      <c r="U407" s="36"/>
    </row>
    <row r="408" spans="1:21">
      <c r="A408" s="74" t="s">
        <v>250</v>
      </c>
      <c r="B408" s="36">
        <v>132713</v>
      </c>
      <c r="C408" s="36">
        <v>49090</v>
      </c>
      <c r="D408" s="74" t="s">
        <v>616</v>
      </c>
      <c r="E408" s="36"/>
      <c r="F408" s="74"/>
      <c r="G408" s="74" t="s">
        <v>692</v>
      </c>
      <c r="H408" s="36"/>
      <c r="I408" s="36"/>
      <c r="J408" s="36"/>
      <c r="K408" s="36"/>
      <c r="L408" s="36"/>
      <c r="M408" s="36"/>
      <c r="N408" s="36"/>
      <c r="O408" s="36"/>
      <c r="P408" s="36"/>
      <c r="Q408" s="36"/>
      <c r="R408" s="36"/>
      <c r="S408" s="36"/>
      <c r="T408" s="36"/>
      <c r="U408" s="36"/>
    </row>
    <row r="409" spans="1:21">
      <c r="A409" s="74" t="s">
        <v>250</v>
      </c>
      <c r="B409" s="36">
        <v>341651</v>
      </c>
      <c r="C409" s="36">
        <v>39990</v>
      </c>
      <c r="D409" s="74" t="s">
        <v>616</v>
      </c>
      <c r="E409" s="36"/>
      <c r="F409" s="74"/>
      <c r="G409" s="74" t="s">
        <v>692</v>
      </c>
      <c r="H409" s="36"/>
      <c r="I409" s="36"/>
      <c r="J409" s="36"/>
      <c r="K409" s="36"/>
      <c r="L409" s="36"/>
      <c r="M409" s="36"/>
      <c r="N409" s="36"/>
      <c r="O409" s="36"/>
      <c r="P409" s="36"/>
      <c r="Q409" s="36"/>
      <c r="R409" s="36"/>
      <c r="S409" s="36"/>
      <c r="T409" s="36"/>
      <c r="U409" s="36"/>
    </row>
    <row r="410" spans="1:21">
      <c r="A410" s="74" t="s">
        <v>250</v>
      </c>
      <c r="B410" s="36">
        <v>341650</v>
      </c>
      <c r="C410" s="36">
        <v>39990</v>
      </c>
      <c r="D410" s="74" t="s">
        <v>616</v>
      </c>
      <c r="E410" s="36"/>
      <c r="F410" s="74"/>
      <c r="G410" s="74" t="s">
        <v>692</v>
      </c>
      <c r="H410" s="36"/>
      <c r="I410" s="36"/>
      <c r="J410" s="36"/>
      <c r="K410" s="36"/>
      <c r="L410" s="36"/>
      <c r="M410" s="36"/>
      <c r="N410" s="36"/>
      <c r="O410" s="36"/>
      <c r="P410" s="36"/>
      <c r="Q410" s="36"/>
      <c r="R410" s="36"/>
      <c r="S410" s="36"/>
      <c r="T410" s="36"/>
      <c r="U410" s="36"/>
    </row>
    <row r="411" spans="1:21">
      <c r="A411" s="74" t="s">
        <v>250</v>
      </c>
      <c r="B411" s="36">
        <v>341662</v>
      </c>
      <c r="C411" s="36">
        <v>39990</v>
      </c>
      <c r="D411" s="74" t="s">
        <v>616</v>
      </c>
      <c r="E411" s="36"/>
      <c r="F411" s="74"/>
      <c r="G411" s="74" t="s">
        <v>692</v>
      </c>
      <c r="H411" s="36"/>
      <c r="I411" s="36"/>
      <c r="J411" s="36"/>
      <c r="K411" s="36"/>
      <c r="L411" s="36"/>
      <c r="M411" s="36"/>
      <c r="N411" s="36"/>
      <c r="O411" s="36"/>
      <c r="P411" s="36"/>
      <c r="Q411" s="36"/>
      <c r="R411" s="36"/>
      <c r="S411" s="36"/>
      <c r="T411" s="36"/>
      <c r="U411" s="36"/>
    </row>
    <row r="412" spans="1:21">
      <c r="A412" s="74" t="s">
        <v>250</v>
      </c>
      <c r="B412" s="36">
        <v>341661</v>
      </c>
      <c r="C412" s="36">
        <v>39990</v>
      </c>
      <c r="D412" s="74" t="s">
        <v>616</v>
      </c>
      <c r="E412" s="36"/>
      <c r="F412" s="74"/>
      <c r="G412" s="74" t="s">
        <v>692</v>
      </c>
      <c r="H412" s="36"/>
      <c r="I412" s="36"/>
      <c r="J412" s="36"/>
      <c r="K412" s="36"/>
      <c r="L412" s="36"/>
      <c r="M412" s="36"/>
      <c r="N412" s="36"/>
      <c r="O412" s="36"/>
      <c r="P412" s="36"/>
      <c r="Q412" s="36"/>
      <c r="R412" s="36"/>
      <c r="S412" s="36"/>
      <c r="T412" s="36"/>
      <c r="U412" s="36"/>
    </row>
    <row r="413" spans="1:21">
      <c r="A413" s="74" t="s">
        <v>250</v>
      </c>
      <c r="B413" s="36">
        <v>341653</v>
      </c>
      <c r="C413" s="36">
        <v>39990</v>
      </c>
      <c r="D413" s="74" t="s">
        <v>616</v>
      </c>
      <c r="E413" s="36"/>
      <c r="F413" s="74"/>
      <c r="G413" s="74" t="s">
        <v>692</v>
      </c>
      <c r="H413" s="36"/>
      <c r="I413" s="36"/>
      <c r="J413" s="36"/>
      <c r="K413" s="36"/>
      <c r="L413" s="36"/>
      <c r="M413" s="36"/>
      <c r="N413" s="36"/>
      <c r="O413" s="36"/>
      <c r="P413" s="36"/>
      <c r="Q413" s="36"/>
      <c r="R413" s="36"/>
      <c r="S413" s="36"/>
      <c r="T413" s="36"/>
      <c r="U413" s="36"/>
    </row>
    <row r="414" spans="1:21">
      <c r="A414" s="74" t="s">
        <v>250</v>
      </c>
      <c r="B414" s="36">
        <v>341654</v>
      </c>
      <c r="C414" s="36">
        <v>39990</v>
      </c>
      <c r="D414" s="74" t="s">
        <v>616</v>
      </c>
      <c r="E414" s="36"/>
      <c r="F414" s="74"/>
      <c r="G414" s="74" t="s">
        <v>692</v>
      </c>
      <c r="H414" s="36"/>
      <c r="I414" s="36"/>
      <c r="J414" s="36"/>
      <c r="K414" s="36"/>
      <c r="L414" s="36"/>
      <c r="M414" s="36"/>
      <c r="N414" s="36"/>
      <c r="O414" s="36"/>
      <c r="P414" s="36"/>
      <c r="Q414" s="36"/>
      <c r="R414" s="36"/>
      <c r="S414" s="36"/>
      <c r="T414" s="36"/>
      <c r="U414" s="36"/>
    </row>
    <row r="415" spans="1:21">
      <c r="A415" s="74" t="s">
        <v>250</v>
      </c>
      <c r="B415" s="36">
        <v>341655</v>
      </c>
      <c r="C415" s="36">
        <v>39990</v>
      </c>
      <c r="D415" s="74" t="s">
        <v>616</v>
      </c>
      <c r="E415" s="36"/>
      <c r="F415" s="74"/>
      <c r="G415" s="74" t="s">
        <v>692</v>
      </c>
      <c r="H415" s="36"/>
      <c r="I415" s="36"/>
      <c r="J415" s="36"/>
      <c r="K415" s="36"/>
      <c r="L415" s="36"/>
      <c r="M415" s="36"/>
      <c r="N415" s="36"/>
      <c r="O415" s="36"/>
      <c r="P415" s="36"/>
      <c r="Q415" s="36"/>
      <c r="R415" s="36"/>
      <c r="S415" s="36"/>
      <c r="T415" s="36"/>
      <c r="U415" s="36"/>
    </row>
    <row r="416" spans="1:21">
      <c r="A416" s="74" t="s">
        <v>250</v>
      </c>
      <c r="B416" s="36">
        <v>341656</v>
      </c>
      <c r="C416" s="36">
        <v>39990</v>
      </c>
      <c r="D416" s="74" t="s">
        <v>616</v>
      </c>
      <c r="E416" s="36"/>
      <c r="F416" s="74"/>
      <c r="G416" s="74" t="s">
        <v>692</v>
      </c>
      <c r="H416" s="36"/>
      <c r="I416" s="36"/>
      <c r="J416" s="36"/>
      <c r="K416" s="36"/>
      <c r="L416" s="36"/>
      <c r="M416" s="36"/>
      <c r="N416" s="36"/>
      <c r="O416" s="36"/>
      <c r="P416" s="36"/>
      <c r="Q416" s="36"/>
      <c r="R416" s="36"/>
      <c r="S416" s="36"/>
      <c r="T416" s="36"/>
      <c r="U416" s="36"/>
    </row>
    <row r="417" spans="1:21">
      <c r="A417" s="74" t="s">
        <v>250</v>
      </c>
      <c r="B417" s="36">
        <v>341659</v>
      </c>
      <c r="C417" s="36">
        <v>39990</v>
      </c>
      <c r="D417" s="74" t="s">
        <v>616</v>
      </c>
      <c r="E417" s="36"/>
      <c r="F417" s="74"/>
      <c r="G417" s="74" t="s">
        <v>692</v>
      </c>
      <c r="H417" s="36"/>
      <c r="I417" s="36"/>
      <c r="J417" s="36"/>
      <c r="K417" s="36"/>
      <c r="L417" s="36"/>
      <c r="M417" s="36"/>
      <c r="N417" s="36"/>
      <c r="O417" s="36"/>
      <c r="P417" s="36"/>
      <c r="Q417" s="36"/>
      <c r="R417" s="36"/>
      <c r="S417" s="36"/>
      <c r="T417" s="36"/>
      <c r="U417" s="36"/>
    </row>
    <row r="418" spans="1:21">
      <c r="A418" s="74" t="s">
        <v>250</v>
      </c>
      <c r="B418" s="36">
        <v>341657</v>
      </c>
      <c r="C418" s="36">
        <v>39990</v>
      </c>
      <c r="D418" s="74" t="s">
        <v>616</v>
      </c>
      <c r="E418" s="36"/>
      <c r="F418" s="74"/>
      <c r="G418" s="74" t="s">
        <v>692</v>
      </c>
      <c r="H418" s="36"/>
      <c r="I418" s="36"/>
      <c r="J418" s="36"/>
      <c r="K418" s="36"/>
      <c r="L418" s="36"/>
      <c r="M418" s="36"/>
      <c r="N418" s="36"/>
      <c r="O418" s="36"/>
      <c r="P418" s="36"/>
      <c r="Q418" s="36"/>
      <c r="R418" s="36"/>
      <c r="S418" s="36"/>
      <c r="T418" s="36"/>
      <c r="U418" s="36"/>
    </row>
    <row r="419" spans="1:21">
      <c r="A419" s="74" t="s">
        <v>250</v>
      </c>
      <c r="B419" s="36">
        <v>341658</v>
      </c>
      <c r="C419" s="36">
        <v>39990</v>
      </c>
      <c r="D419" s="74" t="s">
        <v>616</v>
      </c>
      <c r="E419" s="36"/>
      <c r="F419" s="74"/>
      <c r="G419" s="74" t="s">
        <v>692</v>
      </c>
      <c r="H419" s="36"/>
      <c r="I419" s="36"/>
      <c r="J419" s="36"/>
      <c r="K419" s="36"/>
      <c r="L419" s="36"/>
      <c r="M419" s="36"/>
      <c r="N419" s="36"/>
      <c r="O419" s="36"/>
      <c r="P419" s="36"/>
      <c r="Q419" s="36"/>
      <c r="R419" s="36"/>
      <c r="S419" s="36"/>
      <c r="T419" s="36"/>
      <c r="U419" s="36"/>
    </row>
    <row r="420" spans="1:21">
      <c r="A420" s="74" t="s">
        <v>250</v>
      </c>
      <c r="B420" s="36">
        <v>341660</v>
      </c>
      <c r="C420" s="36">
        <v>39990</v>
      </c>
      <c r="D420" s="74" t="s">
        <v>616</v>
      </c>
      <c r="E420" s="36"/>
      <c r="F420" s="74"/>
      <c r="G420" s="74" t="s">
        <v>692</v>
      </c>
      <c r="H420" s="36"/>
      <c r="I420" s="36"/>
      <c r="J420" s="36"/>
      <c r="K420" s="36"/>
      <c r="L420" s="36"/>
      <c r="M420" s="36"/>
      <c r="N420" s="36"/>
      <c r="O420" s="36"/>
      <c r="P420" s="36"/>
      <c r="Q420" s="36"/>
      <c r="R420" s="36"/>
      <c r="S420" s="36"/>
      <c r="T420" s="36"/>
      <c r="U420" s="36"/>
    </row>
    <row r="421" spans="1:21">
      <c r="A421" s="74" t="s">
        <v>250</v>
      </c>
      <c r="B421" s="36">
        <v>341652</v>
      </c>
      <c r="C421" s="36">
        <v>39990</v>
      </c>
      <c r="D421" s="74" t="s">
        <v>616</v>
      </c>
      <c r="E421" s="36"/>
      <c r="F421" s="74"/>
      <c r="G421" s="74" t="s">
        <v>692</v>
      </c>
      <c r="H421" s="36"/>
      <c r="I421" s="36"/>
      <c r="J421" s="36"/>
      <c r="K421" s="36"/>
      <c r="L421" s="36"/>
      <c r="M421" s="36"/>
      <c r="N421" s="36"/>
      <c r="O421" s="36"/>
      <c r="P421" s="36"/>
      <c r="Q421" s="36"/>
      <c r="R421" s="36"/>
      <c r="S421" s="36"/>
      <c r="T421" s="36"/>
      <c r="U421" s="36"/>
    </row>
    <row r="422" spans="1:21">
      <c r="A422" s="74" t="s">
        <v>250</v>
      </c>
      <c r="B422" s="36">
        <v>132702</v>
      </c>
      <c r="C422" s="36">
        <v>39990</v>
      </c>
      <c r="D422" s="74" t="s">
        <v>616</v>
      </c>
      <c r="E422" s="36"/>
      <c r="F422" s="74"/>
      <c r="G422" s="74" t="s">
        <v>692</v>
      </c>
      <c r="H422" s="36"/>
      <c r="I422" s="36"/>
      <c r="J422" s="36"/>
      <c r="K422" s="36"/>
      <c r="L422" s="36"/>
      <c r="M422" s="36"/>
      <c r="N422" s="36"/>
      <c r="O422" s="36"/>
      <c r="P422" s="36"/>
      <c r="Q422" s="36"/>
      <c r="R422" s="36"/>
      <c r="S422" s="36"/>
      <c r="T422" s="36"/>
      <c r="U422" s="36"/>
    </row>
    <row r="423" spans="1:21">
      <c r="A423" s="74" t="s">
        <v>250</v>
      </c>
      <c r="B423" s="36">
        <v>132703</v>
      </c>
      <c r="C423" s="36">
        <v>39990</v>
      </c>
      <c r="D423" s="74" t="s">
        <v>616</v>
      </c>
      <c r="E423" s="36"/>
      <c r="F423" s="74"/>
      <c r="G423" s="74" t="s">
        <v>692</v>
      </c>
      <c r="H423" s="36"/>
      <c r="I423" s="36"/>
      <c r="J423" s="36"/>
      <c r="K423" s="36"/>
      <c r="L423" s="36"/>
      <c r="M423" s="36"/>
      <c r="N423" s="36"/>
      <c r="O423" s="36"/>
      <c r="P423" s="36"/>
      <c r="Q423" s="36"/>
      <c r="R423" s="36"/>
      <c r="S423" s="36"/>
      <c r="T423" s="36"/>
      <c r="U423" s="36"/>
    </row>
    <row r="424" spans="1:21">
      <c r="A424" s="74" t="s">
        <v>250</v>
      </c>
      <c r="B424" s="36">
        <v>132704</v>
      </c>
      <c r="C424" s="36">
        <v>39990</v>
      </c>
      <c r="D424" s="74" t="s">
        <v>616</v>
      </c>
      <c r="E424" s="36"/>
      <c r="F424" s="74"/>
      <c r="G424" s="74" t="s">
        <v>692</v>
      </c>
      <c r="H424" s="36"/>
      <c r="I424" s="36"/>
      <c r="J424" s="36"/>
      <c r="K424" s="36"/>
      <c r="L424" s="36"/>
      <c r="M424" s="36"/>
      <c r="N424" s="36"/>
      <c r="O424" s="36"/>
      <c r="P424" s="36"/>
      <c r="Q424" s="36"/>
      <c r="R424" s="36"/>
      <c r="S424" s="36"/>
      <c r="T424" s="36"/>
      <c r="U424" s="36"/>
    </row>
    <row r="425" spans="1:21">
      <c r="A425" s="74" t="s">
        <v>250</v>
      </c>
      <c r="B425" s="36">
        <v>132705</v>
      </c>
      <c r="C425" s="36">
        <v>39990</v>
      </c>
      <c r="D425" s="74" t="s">
        <v>616</v>
      </c>
      <c r="E425" s="36"/>
      <c r="F425" s="74"/>
      <c r="G425" s="74" t="s">
        <v>692</v>
      </c>
      <c r="H425" s="36"/>
      <c r="I425" s="36"/>
      <c r="J425" s="36"/>
      <c r="K425" s="36"/>
      <c r="L425" s="36"/>
      <c r="M425" s="36"/>
      <c r="N425" s="36"/>
      <c r="O425" s="36"/>
      <c r="P425" s="36"/>
      <c r="Q425" s="36"/>
      <c r="R425" s="36"/>
      <c r="S425" s="36"/>
      <c r="T425" s="36"/>
      <c r="U425" s="36"/>
    </row>
    <row r="426" spans="1:21">
      <c r="A426" s="74" t="s">
        <v>250</v>
      </c>
      <c r="B426" s="36">
        <v>132706</v>
      </c>
      <c r="C426" s="36">
        <v>39990</v>
      </c>
      <c r="D426" s="74" t="s">
        <v>616</v>
      </c>
      <c r="E426" s="36"/>
      <c r="F426" s="74"/>
      <c r="G426" s="74" t="s">
        <v>692</v>
      </c>
      <c r="H426" s="36"/>
      <c r="I426" s="36"/>
      <c r="J426" s="36"/>
      <c r="K426" s="36"/>
      <c r="L426" s="36"/>
      <c r="M426" s="36"/>
      <c r="N426" s="36"/>
      <c r="O426" s="36"/>
      <c r="P426" s="36"/>
      <c r="Q426" s="36"/>
      <c r="R426" s="36"/>
      <c r="S426" s="36"/>
      <c r="T426" s="36"/>
      <c r="U426" s="36"/>
    </row>
    <row r="427" spans="1:21">
      <c r="A427" s="74" t="s">
        <v>250</v>
      </c>
      <c r="B427" s="36">
        <v>132707</v>
      </c>
      <c r="C427" s="36">
        <v>39990</v>
      </c>
      <c r="D427" s="74" t="s">
        <v>616</v>
      </c>
      <c r="E427" s="36"/>
      <c r="F427" s="74"/>
      <c r="G427" s="74" t="s">
        <v>692</v>
      </c>
      <c r="H427" s="36"/>
      <c r="I427" s="36"/>
      <c r="J427" s="36"/>
      <c r="K427" s="36"/>
      <c r="L427" s="36"/>
      <c r="M427" s="36"/>
      <c r="N427" s="36"/>
      <c r="O427" s="36"/>
      <c r="P427" s="36"/>
      <c r="Q427" s="36"/>
      <c r="R427" s="36"/>
      <c r="S427" s="36"/>
      <c r="T427" s="36"/>
      <c r="U427" s="36"/>
    </row>
    <row r="428" spans="1:21">
      <c r="A428" s="74" t="s">
        <v>250</v>
      </c>
      <c r="B428" s="36">
        <v>132708</v>
      </c>
      <c r="C428" s="36">
        <v>39990</v>
      </c>
      <c r="D428" s="74" t="s">
        <v>616</v>
      </c>
      <c r="E428" s="36"/>
      <c r="F428" s="74"/>
      <c r="G428" s="74" t="s">
        <v>692</v>
      </c>
      <c r="H428" s="36"/>
      <c r="I428" s="36"/>
      <c r="J428" s="36"/>
      <c r="K428" s="36"/>
      <c r="L428" s="36"/>
      <c r="M428" s="36"/>
      <c r="N428" s="36"/>
      <c r="O428" s="36"/>
      <c r="P428" s="36"/>
      <c r="Q428" s="36"/>
      <c r="R428" s="36"/>
      <c r="S428" s="36"/>
      <c r="T428" s="36"/>
      <c r="U428" s="36"/>
    </row>
    <row r="429" spans="1:21">
      <c r="A429" s="74" t="s">
        <v>250</v>
      </c>
      <c r="B429" s="36">
        <v>132709</v>
      </c>
      <c r="C429" s="36">
        <v>39990</v>
      </c>
      <c r="D429" s="74" t="s">
        <v>616</v>
      </c>
      <c r="E429" s="36"/>
      <c r="F429" s="74"/>
      <c r="G429" s="74" t="s">
        <v>692</v>
      </c>
      <c r="H429" s="36"/>
      <c r="I429" s="36"/>
      <c r="J429" s="36"/>
      <c r="K429" s="36"/>
      <c r="L429" s="36"/>
      <c r="M429" s="36"/>
      <c r="N429" s="36"/>
      <c r="O429" s="36"/>
      <c r="P429" s="36"/>
      <c r="Q429" s="36"/>
      <c r="R429" s="36"/>
      <c r="S429" s="36"/>
      <c r="T429" s="36"/>
      <c r="U429" s="36"/>
    </row>
    <row r="430" spans="1:21">
      <c r="A430" s="74" t="s">
        <v>250</v>
      </c>
      <c r="B430" s="36">
        <v>132710</v>
      </c>
      <c r="C430" s="36">
        <v>39990</v>
      </c>
      <c r="D430" s="74" t="s">
        <v>616</v>
      </c>
      <c r="E430" s="36"/>
      <c r="F430" s="74"/>
      <c r="G430" s="74" t="s">
        <v>692</v>
      </c>
      <c r="H430" s="36"/>
      <c r="I430" s="36"/>
      <c r="J430" s="36"/>
      <c r="K430" s="36"/>
      <c r="L430" s="36"/>
      <c r="M430" s="36"/>
      <c r="N430" s="36"/>
      <c r="O430" s="36"/>
      <c r="P430" s="36"/>
      <c r="Q430" s="36"/>
      <c r="R430" s="36"/>
      <c r="S430" s="36"/>
      <c r="T430" s="36"/>
      <c r="U430" s="36"/>
    </row>
    <row r="431" spans="1:21">
      <c r="A431" s="74" t="s">
        <v>250</v>
      </c>
      <c r="B431" s="36">
        <v>132711</v>
      </c>
      <c r="C431" s="36">
        <v>39990</v>
      </c>
      <c r="D431" s="74" t="s">
        <v>616</v>
      </c>
      <c r="E431" s="36"/>
      <c r="F431" s="74"/>
      <c r="G431" s="74" t="s">
        <v>692</v>
      </c>
      <c r="H431" s="36"/>
      <c r="I431" s="36"/>
      <c r="J431" s="36"/>
      <c r="K431" s="36"/>
      <c r="L431" s="36"/>
      <c r="M431" s="36"/>
      <c r="N431" s="36"/>
      <c r="O431" s="36"/>
      <c r="P431" s="36"/>
      <c r="Q431" s="36"/>
      <c r="R431" s="36"/>
      <c r="S431" s="36"/>
      <c r="T431" s="36"/>
      <c r="U431" s="36"/>
    </row>
    <row r="432" spans="1:21">
      <c r="A432" s="74" t="s">
        <v>250</v>
      </c>
      <c r="B432" s="36">
        <v>132712</v>
      </c>
      <c r="C432" s="36">
        <v>39990</v>
      </c>
      <c r="D432" s="74" t="s">
        <v>616</v>
      </c>
      <c r="E432" s="36"/>
      <c r="F432" s="74"/>
      <c r="G432" s="74" t="s">
        <v>692</v>
      </c>
      <c r="H432" s="36"/>
      <c r="I432" s="36"/>
      <c r="J432" s="36"/>
      <c r="K432" s="36"/>
      <c r="L432" s="36"/>
      <c r="M432" s="36"/>
      <c r="N432" s="36"/>
      <c r="O432" s="36"/>
      <c r="P432" s="36"/>
      <c r="Q432" s="36"/>
      <c r="R432" s="36"/>
      <c r="S432" s="36"/>
      <c r="T432" s="36"/>
      <c r="U432" s="36"/>
    </row>
    <row r="433" spans="1:21">
      <c r="A433" s="74" t="s">
        <v>250</v>
      </c>
      <c r="B433" s="36">
        <v>132701</v>
      </c>
      <c r="C433" s="36">
        <v>39990</v>
      </c>
      <c r="D433" s="74" t="s">
        <v>616</v>
      </c>
      <c r="E433" s="36"/>
      <c r="F433" s="74"/>
      <c r="G433" s="74" t="s">
        <v>692</v>
      </c>
      <c r="H433" s="36"/>
      <c r="I433" s="36"/>
      <c r="J433" s="36"/>
      <c r="K433" s="36"/>
      <c r="L433" s="36"/>
      <c r="M433" s="36"/>
      <c r="N433" s="36"/>
      <c r="O433" s="36"/>
      <c r="P433" s="36"/>
      <c r="Q433" s="36"/>
      <c r="R433" s="36"/>
      <c r="S433" s="36"/>
      <c r="T433" s="36"/>
      <c r="U433" s="36"/>
    </row>
    <row r="434" spans="1:21">
      <c r="A434" s="74" t="s">
        <v>250</v>
      </c>
      <c r="B434" s="36">
        <v>212272</v>
      </c>
      <c r="C434" s="36">
        <v>9090</v>
      </c>
      <c r="D434" s="74" t="s">
        <v>874</v>
      </c>
      <c r="E434" s="36"/>
      <c r="F434" s="74"/>
      <c r="G434" s="74" t="s">
        <v>1569</v>
      </c>
      <c r="H434" s="36"/>
      <c r="I434" s="36"/>
      <c r="J434" s="36"/>
      <c r="K434" s="36"/>
      <c r="L434" s="36"/>
      <c r="M434" s="36"/>
      <c r="N434" s="36"/>
      <c r="O434" s="36"/>
      <c r="P434" s="36"/>
      <c r="Q434" s="36"/>
      <c r="R434" s="36"/>
      <c r="S434" s="36"/>
      <c r="T434" s="36"/>
      <c r="U434" s="36"/>
    </row>
    <row r="435" spans="1:21">
      <c r="A435" s="74" t="s">
        <v>250</v>
      </c>
      <c r="B435" s="36">
        <v>212273</v>
      </c>
      <c r="C435" s="36">
        <v>9090</v>
      </c>
      <c r="D435" s="74" t="s">
        <v>874</v>
      </c>
      <c r="E435" s="36"/>
      <c r="F435" s="74"/>
      <c r="G435" s="74" t="s">
        <v>1569</v>
      </c>
      <c r="H435" s="36"/>
      <c r="I435" s="36"/>
      <c r="J435" s="36"/>
      <c r="K435" s="36"/>
      <c r="L435" s="36"/>
      <c r="M435" s="36"/>
      <c r="N435" s="36"/>
      <c r="O435" s="36"/>
      <c r="P435" s="36"/>
      <c r="Q435" s="36"/>
      <c r="R435" s="36"/>
      <c r="S435" s="36"/>
      <c r="T435" s="36"/>
      <c r="U435" s="36"/>
    </row>
    <row r="436" spans="1:21">
      <c r="A436" s="74" t="s">
        <v>250</v>
      </c>
      <c r="B436" s="36">
        <v>256868</v>
      </c>
      <c r="C436" s="36">
        <v>83190</v>
      </c>
      <c r="D436" s="74" t="s">
        <v>873</v>
      </c>
      <c r="E436" s="36"/>
      <c r="F436" s="74"/>
      <c r="G436" s="74" t="s">
        <v>1570</v>
      </c>
      <c r="H436" s="36"/>
      <c r="I436" s="36"/>
      <c r="J436" s="36"/>
      <c r="K436" s="36"/>
      <c r="L436" s="36"/>
      <c r="M436" s="36"/>
      <c r="N436" s="36"/>
      <c r="O436" s="36"/>
      <c r="P436" s="36"/>
      <c r="Q436" s="36"/>
      <c r="R436" s="36"/>
      <c r="S436" s="36"/>
      <c r="T436" s="36"/>
      <c r="U436" s="36"/>
    </row>
    <row r="437" spans="1:21">
      <c r="A437" s="74" t="s">
        <v>250</v>
      </c>
      <c r="B437" s="36">
        <v>256869</v>
      </c>
      <c r="C437" s="36">
        <v>83190</v>
      </c>
      <c r="D437" s="74" t="s">
        <v>873</v>
      </c>
      <c r="E437" s="36"/>
      <c r="F437" s="74"/>
      <c r="G437" s="74" t="s">
        <v>1570</v>
      </c>
      <c r="H437" s="36"/>
      <c r="I437" s="36"/>
      <c r="J437" s="36"/>
      <c r="K437" s="36"/>
      <c r="L437" s="36"/>
      <c r="M437" s="36"/>
      <c r="N437" s="36"/>
      <c r="O437" s="36"/>
      <c r="P437" s="36"/>
      <c r="Q437" s="36"/>
      <c r="R437" s="36"/>
      <c r="S437" s="36"/>
      <c r="T437" s="36"/>
      <c r="U437" s="36"/>
    </row>
    <row r="438" spans="1:21">
      <c r="A438" s="74" t="s">
        <v>250</v>
      </c>
      <c r="B438" s="36">
        <v>256870</v>
      </c>
      <c r="C438" s="36">
        <v>83190</v>
      </c>
      <c r="D438" s="74" t="s">
        <v>873</v>
      </c>
      <c r="E438" s="36"/>
      <c r="F438" s="74"/>
      <c r="G438" s="74" t="s">
        <v>1570</v>
      </c>
      <c r="H438" s="36"/>
      <c r="I438" s="36"/>
      <c r="J438" s="36"/>
      <c r="K438" s="36"/>
      <c r="L438" s="36"/>
      <c r="M438" s="36"/>
      <c r="N438" s="36"/>
      <c r="O438" s="36"/>
      <c r="P438" s="36"/>
      <c r="Q438" s="36"/>
      <c r="R438" s="36"/>
      <c r="S438" s="36"/>
      <c r="T438" s="36"/>
      <c r="U438" s="36"/>
    </row>
    <row r="439" spans="1:21">
      <c r="A439" s="74" t="s">
        <v>250</v>
      </c>
      <c r="B439" s="36">
        <v>248525</v>
      </c>
      <c r="C439" s="36">
        <v>2690</v>
      </c>
      <c r="D439" s="74" t="s">
        <v>870</v>
      </c>
      <c r="E439" s="36"/>
      <c r="F439" s="74"/>
      <c r="G439" s="74" t="s">
        <v>667</v>
      </c>
      <c r="H439" s="36"/>
      <c r="I439" s="36"/>
      <c r="J439" s="36"/>
      <c r="K439" s="36"/>
      <c r="L439" s="36"/>
      <c r="M439" s="36"/>
      <c r="N439" s="36"/>
      <c r="O439" s="36"/>
      <c r="P439" s="36"/>
      <c r="Q439" s="36"/>
      <c r="R439" s="36"/>
      <c r="S439" s="36"/>
      <c r="T439" s="36"/>
      <c r="U439" s="36"/>
    </row>
    <row r="440" spans="1:21">
      <c r="A440" s="74" t="s">
        <v>250</v>
      </c>
      <c r="B440" s="36">
        <v>248526</v>
      </c>
      <c r="C440" s="36">
        <v>3490</v>
      </c>
      <c r="D440" s="74" t="s">
        <v>870</v>
      </c>
      <c r="E440" s="36"/>
      <c r="F440" s="74"/>
      <c r="G440" s="74" t="s">
        <v>667</v>
      </c>
      <c r="H440" s="36"/>
      <c r="I440" s="36"/>
      <c r="J440" s="36"/>
      <c r="K440" s="36"/>
      <c r="L440" s="36"/>
      <c r="M440" s="36"/>
      <c r="N440" s="36"/>
      <c r="O440" s="36"/>
      <c r="P440" s="36"/>
      <c r="Q440" s="36"/>
      <c r="R440" s="36"/>
      <c r="S440" s="36"/>
      <c r="T440" s="36"/>
      <c r="U440" s="36"/>
    </row>
    <row r="441" spans="1:21">
      <c r="A441" s="74" t="s">
        <v>250</v>
      </c>
      <c r="B441" s="36">
        <v>248527</v>
      </c>
      <c r="C441" s="36">
        <v>3490</v>
      </c>
      <c r="D441" s="74" t="s">
        <v>870</v>
      </c>
      <c r="E441" s="36"/>
      <c r="F441" s="74"/>
      <c r="G441" s="74" t="s">
        <v>667</v>
      </c>
      <c r="H441" s="36"/>
      <c r="I441" s="36"/>
      <c r="J441" s="36"/>
      <c r="K441" s="36"/>
      <c r="L441" s="36"/>
      <c r="M441" s="36"/>
      <c r="N441" s="36"/>
      <c r="O441" s="36"/>
      <c r="P441" s="36"/>
      <c r="Q441" s="36"/>
      <c r="R441" s="36"/>
      <c r="S441" s="36"/>
      <c r="T441" s="36"/>
      <c r="U441" s="36"/>
    </row>
    <row r="442" spans="1:21">
      <c r="A442" s="74" t="s">
        <v>250</v>
      </c>
      <c r="B442" s="36">
        <v>248528</v>
      </c>
      <c r="C442" s="36">
        <v>3490</v>
      </c>
      <c r="D442" s="74" t="s">
        <v>870</v>
      </c>
      <c r="E442" s="36"/>
      <c r="F442" s="74"/>
      <c r="G442" s="74" t="s">
        <v>667</v>
      </c>
      <c r="H442" s="36"/>
      <c r="I442" s="36"/>
      <c r="J442" s="36"/>
      <c r="K442" s="36"/>
      <c r="L442" s="36"/>
      <c r="M442" s="36"/>
      <c r="N442" s="36"/>
      <c r="O442" s="36"/>
      <c r="P442" s="36"/>
      <c r="Q442" s="36"/>
      <c r="R442" s="36"/>
      <c r="S442" s="36"/>
      <c r="T442" s="36"/>
      <c r="U442" s="36"/>
    </row>
    <row r="443" spans="1:21">
      <c r="A443" s="74" t="s">
        <v>250</v>
      </c>
      <c r="B443" s="36">
        <v>248529</v>
      </c>
      <c r="C443" s="36">
        <v>3490</v>
      </c>
      <c r="D443" s="74" t="s">
        <v>870</v>
      </c>
      <c r="E443" s="36"/>
      <c r="F443" s="74"/>
      <c r="G443" s="74" t="s">
        <v>667</v>
      </c>
      <c r="H443" s="36"/>
      <c r="I443" s="36"/>
      <c r="J443" s="36"/>
      <c r="K443" s="36"/>
      <c r="L443" s="36"/>
      <c r="M443" s="36"/>
      <c r="N443" s="36"/>
      <c r="O443" s="36"/>
      <c r="P443" s="36"/>
      <c r="Q443" s="36"/>
      <c r="R443" s="36"/>
      <c r="S443" s="36"/>
      <c r="T443" s="36"/>
      <c r="U443" s="36"/>
    </row>
    <row r="444" spans="1:21">
      <c r="A444" s="74" t="s">
        <v>250</v>
      </c>
      <c r="B444" s="36">
        <v>248530</v>
      </c>
      <c r="C444" s="36">
        <v>3490</v>
      </c>
      <c r="D444" s="74" t="s">
        <v>870</v>
      </c>
      <c r="E444" s="36"/>
      <c r="F444" s="74"/>
      <c r="G444" s="74" t="s">
        <v>667</v>
      </c>
      <c r="H444" s="36"/>
      <c r="I444" s="36"/>
      <c r="J444" s="36"/>
      <c r="K444" s="36"/>
      <c r="L444" s="36"/>
      <c r="M444" s="36"/>
      <c r="N444" s="36"/>
      <c r="O444" s="36"/>
      <c r="P444" s="36"/>
      <c r="Q444" s="36"/>
      <c r="R444" s="36"/>
      <c r="S444" s="36"/>
      <c r="T444" s="36"/>
      <c r="U444" s="36"/>
    </row>
    <row r="445" spans="1:21">
      <c r="A445" s="74" t="s">
        <v>250</v>
      </c>
      <c r="B445" s="36">
        <v>248531</v>
      </c>
      <c r="C445" s="36">
        <v>3490</v>
      </c>
      <c r="D445" s="74" t="s">
        <v>870</v>
      </c>
      <c r="E445" s="36"/>
      <c r="F445" s="74"/>
      <c r="G445" s="74" t="s">
        <v>667</v>
      </c>
      <c r="H445" s="36"/>
      <c r="I445" s="36"/>
      <c r="J445" s="36"/>
      <c r="K445" s="36"/>
      <c r="L445" s="36"/>
      <c r="M445" s="36"/>
      <c r="N445" s="36"/>
      <c r="O445" s="36"/>
      <c r="P445" s="36"/>
      <c r="Q445" s="36"/>
      <c r="R445" s="36"/>
      <c r="S445" s="36"/>
      <c r="T445" s="36"/>
      <c r="U445" s="36"/>
    </row>
    <row r="446" spans="1:21">
      <c r="A446" s="74" t="s">
        <v>250</v>
      </c>
      <c r="B446" s="36">
        <v>248532</v>
      </c>
      <c r="C446" s="36">
        <v>3490</v>
      </c>
      <c r="D446" s="74" t="s">
        <v>870</v>
      </c>
      <c r="E446" s="36"/>
      <c r="F446" s="74"/>
      <c r="G446" s="74" t="s">
        <v>667</v>
      </c>
      <c r="H446" s="36"/>
      <c r="I446" s="36"/>
      <c r="J446" s="36"/>
      <c r="K446" s="36"/>
      <c r="L446" s="36"/>
      <c r="M446" s="36"/>
      <c r="N446" s="36"/>
      <c r="O446" s="36"/>
      <c r="P446" s="36"/>
      <c r="Q446" s="36"/>
      <c r="R446" s="36"/>
      <c r="S446" s="36"/>
      <c r="T446" s="36"/>
      <c r="U446" s="36"/>
    </row>
    <row r="447" spans="1:21">
      <c r="A447" s="74" t="s">
        <v>250</v>
      </c>
      <c r="B447" s="36">
        <v>248533</v>
      </c>
      <c r="C447" s="36">
        <v>3490</v>
      </c>
      <c r="D447" s="74" t="s">
        <v>870</v>
      </c>
      <c r="E447" s="36"/>
      <c r="F447" s="74"/>
      <c r="G447" s="74" t="s">
        <v>667</v>
      </c>
      <c r="H447" s="36"/>
      <c r="I447" s="36"/>
      <c r="J447" s="36"/>
      <c r="K447" s="36"/>
      <c r="L447" s="36"/>
      <c r="M447" s="36"/>
      <c r="N447" s="36"/>
      <c r="O447" s="36"/>
      <c r="P447" s="36"/>
      <c r="Q447" s="36"/>
      <c r="R447" s="36"/>
      <c r="S447" s="36"/>
      <c r="T447" s="36"/>
      <c r="U447" s="36"/>
    </row>
    <row r="448" spans="1:21">
      <c r="A448" s="74" t="s">
        <v>250</v>
      </c>
      <c r="B448" s="36">
        <v>248534</v>
      </c>
      <c r="C448" s="36">
        <v>3490</v>
      </c>
      <c r="D448" s="74" t="s">
        <v>870</v>
      </c>
      <c r="E448" s="36"/>
      <c r="F448" s="74"/>
      <c r="G448" s="74" t="s">
        <v>667</v>
      </c>
      <c r="H448" s="36"/>
      <c r="I448" s="36"/>
      <c r="J448" s="36"/>
      <c r="K448" s="36"/>
      <c r="L448" s="36"/>
      <c r="M448" s="36"/>
      <c r="N448" s="36"/>
      <c r="O448" s="36"/>
      <c r="P448" s="36"/>
      <c r="Q448" s="36"/>
      <c r="R448" s="36"/>
      <c r="S448" s="36"/>
      <c r="T448" s="36"/>
      <c r="U448" s="36"/>
    </row>
    <row r="449" spans="1:21">
      <c r="A449" s="74" t="s">
        <v>250</v>
      </c>
      <c r="B449" s="36">
        <v>248535</v>
      </c>
      <c r="C449" s="36">
        <v>3490</v>
      </c>
      <c r="D449" s="74" t="s">
        <v>870</v>
      </c>
      <c r="E449" s="36"/>
      <c r="F449" s="74"/>
      <c r="G449" s="74" t="s">
        <v>667</v>
      </c>
      <c r="H449" s="36"/>
      <c r="I449" s="36"/>
      <c r="J449" s="36"/>
      <c r="K449" s="36"/>
      <c r="L449" s="36"/>
      <c r="M449" s="36"/>
      <c r="N449" s="36"/>
      <c r="O449" s="36"/>
      <c r="P449" s="36"/>
      <c r="Q449" s="36"/>
      <c r="R449" s="36"/>
      <c r="S449" s="36"/>
      <c r="T449" s="36"/>
      <c r="U449" s="36"/>
    </row>
    <row r="450" spans="1:21">
      <c r="A450" s="74" t="s">
        <v>250</v>
      </c>
      <c r="B450" s="36">
        <v>248536</v>
      </c>
      <c r="C450" s="36">
        <v>3490</v>
      </c>
      <c r="D450" s="74" t="s">
        <v>870</v>
      </c>
      <c r="E450" s="36"/>
      <c r="F450" s="74"/>
      <c r="G450" s="74" t="s">
        <v>667</v>
      </c>
      <c r="H450" s="36"/>
      <c r="I450" s="36"/>
      <c r="J450" s="36"/>
      <c r="K450" s="36"/>
      <c r="L450" s="36"/>
      <c r="M450" s="36"/>
      <c r="N450" s="36"/>
      <c r="O450" s="36"/>
      <c r="P450" s="36"/>
      <c r="Q450" s="36"/>
      <c r="R450" s="36"/>
      <c r="S450" s="36"/>
      <c r="T450" s="36"/>
      <c r="U450" s="36"/>
    </row>
    <row r="451" spans="1:21">
      <c r="A451" s="74" t="s">
        <v>250</v>
      </c>
      <c r="B451" s="36">
        <v>248537</v>
      </c>
      <c r="C451" s="36">
        <v>3490</v>
      </c>
      <c r="D451" s="74" t="s">
        <v>870</v>
      </c>
      <c r="E451" s="36"/>
      <c r="F451" s="74"/>
      <c r="G451" s="74" t="s">
        <v>667</v>
      </c>
      <c r="H451" s="36"/>
      <c r="I451" s="36"/>
      <c r="J451" s="36"/>
      <c r="K451" s="36"/>
      <c r="L451" s="36"/>
      <c r="M451" s="36"/>
      <c r="N451" s="36"/>
      <c r="O451" s="36"/>
      <c r="P451" s="36"/>
      <c r="Q451" s="36"/>
      <c r="R451" s="36"/>
      <c r="S451" s="36"/>
      <c r="T451" s="36"/>
      <c r="U451" s="36"/>
    </row>
    <row r="452" spans="1:21">
      <c r="A452" s="74" t="s">
        <v>250</v>
      </c>
      <c r="B452" s="36">
        <v>248538</v>
      </c>
      <c r="C452" s="36">
        <v>3490</v>
      </c>
      <c r="D452" s="74" t="s">
        <v>870</v>
      </c>
      <c r="E452" s="36"/>
      <c r="F452" s="74"/>
      <c r="G452" s="74" t="s">
        <v>667</v>
      </c>
      <c r="H452" s="36"/>
      <c r="I452" s="36"/>
      <c r="J452" s="36"/>
      <c r="K452" s="36"/>
      <c r="L452" s="36"/>
      <c r="M452" s="36"/>
      <c r="N452" s="36"/>
      <c r="O452" s="36"/>
      <c r="P452" s="36"/>
      <c r="Q452" s="36"/>
      <c r="R452" s="36"/>
      <c r="S452" s="36"/>
      <c r="T452" s="36"/>
      <c r="U452" s="36"/>
    </row>
    <row r="453" spans="1:21">
      <c r="A453" s="74" t="s">
        <v>250</v>
      </c>
      <c r="B453" s="36">
        <v>248539</v>
      </c>
      <c r="C453" s="36">
        <v>3490</v>
      </c>
      <c r="D453" s="74" t="s">
        <v>870</v>
      </c>
      <c r="E453" s="36"/>
      <c r="F453" s="74"/>
      <c r="G453" s="74" t="s">
        <v>667</v>
      </c>
      <c r="H453" s="36"/>
      <c r="I453" s="36"/>
      <c r="J453" s="36"/>
      <c r="K453" s="36"/>
      <c r="L453" s="36"/>
      <c r="M453" s="36"/>
      <c r="N453" s="36"/>
      <c r="O453" s="36"/>
      <c r="P453" s="36"/>
      <c r="Q453" s="36"/>
      <c r="R453" s="36"/>
      <c r="S453" s="36"/>
      <c r="T453" s="36"/>
      <c r="U453" s="36"/>
    </row>
    <row r="454" spans="1:21">
      <c r="A454" s="74" t="s">
        <v>250</v>
      </c>
      <c r="B454" s="36">
        <v>248540</v>
      </c>
      <c r="C454" s="36">
        <v>3490</v>
      </c>
      <c r="D454" s="74" t="s">
        <v>870</v>
      </c>
      <c r="E454" s="36"/>
      <c r="F454" s="74"/>
      <c r="G454" s="74" t="s">
        <v>667</v>
      </c>
      <c r="H454" s="36"/>
      <c r="I454" s="36"/>
      <c r="J454" s="36"/>
      <c r="K454" s="36"/>
      <c r="L454" s="36"/>
      <c r="M454" s="36"/>
      <c r="N454" s="36"/>
      <c r="O454" s="36"/>
      <c r="P454" s="36"/>
      <c r="Q454" s="36"/>
      <c r="R454" s="36"/>
      <c r="S454" s="36"/>
      <c r="T454" s="36"/>
      <c r="U454" s="36"/>
    </row>
    <row r="455" spans="1:21">
      <c r="A455" s="74" t="s">
        <v>250</v>
      </c>
      <c r="B455" s="36">
        <v>248541</v>
      </c>
      <c r="C455" s="36">
        <v>3490</v>
      </c>
      <c r="D455" s="74" t="s">
        <v>870</v>
      </c>
      <c r="E455" s="36"/>
      <c r="F455" s="74"/>
      <c r="G455" s="74" t="s">
        <v>667</v>
      </c>
      <c r="H455" s="36"/>
      <c r="I455" s="36"/>
      <c r="J455" s="36"/>
      <c r="K455" s="36"/>
      <c r="L455" s="36"/>
      <c r="M455" s="36"/>
      <c r="N455" s="36"/>
      <c r="O455" s="36"/>
      <c r="P455" s="36"/>
      <c r="Q455" s="36"/>
      <c r="R455" s="36"/>
      <c r="S455" s="36"/>
      <c r="T455" s="36"/>
      <c r="U455" s="36"/>
    </row>
    <row r="456" spans="1:21">
      <c r="A456" s="74" t="s">
        <v>250</v>
      </c>
      <c r="B456" s="36">
        <v>248542</v>
      </c>
      <c r="C456" s="36">
        <v>3490</v>
      </c>
      <c r="D456" s="74" t="s">
        <v>870</v>
      </c>
      <c r="E456" s="36"/>
      <c r="F456" s="74"/>
      <c r="G456" s="74" t="s">
        <v>667</v>
      </c>
      <c r="H456" s="36"/>
      <c r="I456" s="36"/>
      <c r="J456" s="36"/>
      <c r="K456" s="36"/>
      <c r="L456" s="36"/>
      <c r="M456" s="36"/>
      <c r="N456" s="36"/>
      <c r="O456" s="36"/>
      <c r="P456" s="36"/>
      <c r="Q456" s="36"/>
      <c r="R456" s="36"/>
      <c r="S456" s="36"/>
      <c r="T456" s="36"/>
      <c r="U456" s="36"/>
    </row>
    <row r="457" spans="1:21">
      <c r="A457" s="74" t="s">
        <v>250</v>
      </c>
      <c r="B457" s="36">
        <v>256973</v>
      </c>
      <c r="C457" s="36">
        <v>51390</v>
      </c>
      <c r="D457" s="74" t="s">
        <v>648</v>
      </c>
      <c r="E457" s="36"/>
      <c r="F457" s="74"/>
      <c r="G457" s="74" t="s">
        <v>696</v>
      </c>
      <c r="H457" s="36"/>
      <c r="I457" s="36"/>
      <c r="J457" s="36"/>
      <c r="K457" s="36"/>
      <c r="L457" s="36"/>
      <c r="M457" s="36"/>
      <c r="N457" s="36"/>
      <c r="O457" s="36"/>
      <c r="P457" s="36"/>
      <c r="Q457" s="36"/>
      <c r="R457" s="36"/>
      <c r="S457" s="36"/>
      <c r="T457" s="36"/>
      <c r="U457" s="36"/>
    </row>
    <row r="458" spans="1:21">
      <c r="A458" s="74" t="s">
        <v>250</v>
      </c>
      <c r="B458" s="36">
        <v>341354</v>
      </c>
      <c r="C458" s="36">
        <v>51390</v>
      </c>
      <c r="D458" s="74" t="s">
        <v>648</v>
      </c>
      <c r="E458" s="36"/>
      <c r="F458" s="74"/>
      <c r="G458" s="74" t="s">
        <v>696</v>
      </c>
      <c r="H458" s="36"/>
      <c r="I458" s="36"/>
      <c r="J458" s="36"/>
      <c r="K458" s="36"/>
      <c r="L458" s="36"/>
      <c r="M458" s="36"/>
      <c r="N458" s="36"/>
      <c r="O458" s="36"/>
      <c r="P458" s="36"/>
      <c r="Q458" s="36"/>
      <c r="R458" s="36"/>
      <c r="S458" s="36"/>
      <c r="T458" s="36"/>
      <c r="U458" s="36"/>
    </row>
    <row r="459" spans="1:21">
      <c r="A459" s="74" t="s">
        <v>250</v>
      </c>
      <c r="B459" s="36">
        <v>341353</v>
      </c>
      <c r="C459" s="36">
        <v>51390</v>
      </c>
      <c r="D459" s="74" t="s">
        <v>648</v>
      </c>
      <c r="E459" s="36"/>
      <c r="F459" s="74"/>
      <c r="G459" s="74" t="s">
        <v>696</v>
      </c>
      <c r="H459" s="36"/>
      <c r="I459" s="36"/>
      <c r="J459" s="36"/>
      <c r="K459" s="36"/>
      <c r="L459" s="36"/>
      <c r="M459" s="36"/>
      <c r="N459" s="36"/>
      <c r="O459" s="36"/>
      <c r="P459" s="36"/>
      <c r="Q459" s="36"/>
      <c r="R459" s="36"/>
      <c r="S459" s="36"/>
      <c r="T459" s="36"/>
      <c r="U459" s="36"/>
    </row>
    <row r="460" spans="1:21">
      <c r="A460" s="74" t="s">
        <v>250</v>
      </c>
      <c r="B460" s="36">
        <v>341365</v>
      </c>
      <c r="C460" s="36">
        <v>51390</v>
      </c>
      <c r="D460" s="74" t="s">
        <v>648</v>
      </c>
      <c r="E460" s="36"/>
      <c r="F460" s="74"/>
      <c r="G460" s="74" t="s">
        <v>696</v>
      </c>
      <c r="H460" s="36"/>
      <c r="I460" s="36"/>
      <c r="J460" s="36"/>
      <c r="K460" s="36"/>
      <c r="L460" s="36"/>
      <c r="M460" s="36"/>
      <c r="N460" s="36"/>
      <c r="O460" s="36"/>
      <c r="P460" s="36"/>
      <c r="Q460" s="36"/>
      <c r="R460" s="36"/>
      <c r="S460" s="36"/>
      <c r="T460" s="36"/>
      <c r="U460" s="36"/>
    </row>
    <row r="461" spans="1:21">
      <c r="A461" s="74" t="s">
        <v>250</v>
      </c>
      <c r="B461" s="36">
        <v>341364</v>
      </c>
      <c r="C461" s="36">
        <v>51390</v>
      </c>
      <c r="D461" s="74" t="s">
        <v>648</v>
      </c>
      <c r="E461" s="36"/>
      <c r="F461" s="74"/>
      <c r="G461" s="74" t="s">
        <v>696</v>
      </c>
      <c r="H461" s="36"/>
      <c r="I461" s="36"/>
      <c r="J461" s="36"/>
      <c r="K461" s="36"/>
      <c r="L461" s="36"/>
      <c r="M461" s="36"/>
      <c r="N461" s="36"/>
      <c r="O461" s="36"/>
      <c r="P461" s="36"/>
      <c r="Q461" s="36"/>
      <c r="R461" s="36"/>
      <c r="S461" s="36"/>
      <c r="T461" s="36"/>
      <c r="U461" s="36"/>
    </row>
    <row r="462" spans="1:21">
      <c r="A462" s="74" t="s">
        <v>250</v>
      </c>
      <c r="B462" s="36">
        <v>341356</v>
      </c>
      <c r="C462" s="36">
        <v>51390</v>
      </c>
      <c r="D462" s="74" t="s">
        <v>648</v>
      </c>
      <c r="E462" s="36"/>
      <c r="F462" s="74"/>
      <c r="G462" s="74" t="s">
        <v>696</v>
      </c>
      <c r="H462" s="36"/>
      <c r="I462" s="36"/>
      <c r="J462" s="36"/>
      <c r="K462" s="36"/>
      <c r="L462" s="36"/>
      <c r="M462" s="36"/>
      <c r="N462" s="36"/>
      <c r="O462" s="36"/>
      <c r="P462" s="36"/>
      <c r="Q462" s="36"/>
      <c r="R462" s="36"/>
      <c r="S462" s="36"/>
      <c r="T462" s="36"/>
      <c r="U462" s="36"/>
    </row>
    <row r="463" spans="1:21">
      <c r="A463" s="74" t="s">
        <v>250</v>
      </c>
      <c r="B463" s="36">
        <v>341357</v>
      </c>
      <c r="C463" s="36">
        <v>51390</v>
      </c>
      <c r="D463" s="74" t="s">
        <v>648</v>
      </c>
      <c r="E463" s="36"/>
      <c r="F463" s="74"/>
      <c r="G463" s="74" t="s">
        <v>696</v>
      </c>
      <c r="H463" s="36"/>
      <c r="I463" s="36"/>
      <c r="J463" s="36"/>
      <c r="K463" s="36"/>
      <c r="L463" s="36"/>
      <c r="M463" s="36"/>
      <c r="N463" s="36"/>
      <c r="O463" s="36"/>
      <c r="P463" s="36"/>
      <c r="Q463" s="36"/>
      <c r="R463" s="36"/>
      <c r="S463" s="36"/>
      <c r="T463" s="36"/>
      <c r="U463" s="36"/>
    </row>
    <row r="464" spans="1:21">
      <c r="A464" s="74" t="s">
        <v>250</v>
      </c>
      <c r="B464" s="36">
        <v>341358</v>
      </c>
      <c r="C464" s="36">
        <v>51390</v>
      </c>
      <c r="D464" s="74" t="s">
        <v>648</v>
      </c>
      <c r="E464" s="36"/>
      <c r="F464" s="74"/>
      <c r="G464" s="74" t="s">
        <v>696</v>
      </c>
      <c r="H464" s="36"/>
      <c r="I464" s="36"/>
      <c r="J464" s="36"/>
      <c r="K464" s="36"/>
      <c r="L464" s="36"/>
      <c r="M464" s="36"/>
      <c r="N464" s="36"/>
      <c r="O464" s="36"/>
      <c r="P464" s="36"/>
      <c r="Q464" s="36"/>
      <c r="R464" s="36"/>
      <c r="S464" s="36"/>
      <c r="T464" s="36"/>
      <c r="U464" s="36"/>
    </row>
    <row r="465" spans="1:21">
      <c r="A465" s="74" t="s">
        <v>250</v>
      </c>
      <c r="B465" s="36">
        <v>341359</v>
      </c>
      <c r="C465" s="36">
        <v>51390</v>
      </c>
      <c r="D465" s="74" t="s">
        <v>648</v>
      </c>
      <c r="E465" s="36"/>
      <c r="F465" s="74"/>
      <c r="G465" s="74" t="s">
        <v>696</v>
      </c>
      <c r="H465" s="36"/>
      <c r="I465" s="36"/>
      <c r="J465" s="36"/>
      <c r="K465" s="36"/>
      <c r="L465" s="36"/>
      <c r="M465" s="36"/>
      <c r="N465" s="36"/>
      <c r="O465" s="36"/>
      <c r="P465" s="36"/>
      <c r="Q465" s="36"/>
      <c r="R465" s="36"/>
      <c r="S465" s="36"/>
      <c r="T465" s="36"/>
      <c r="U465" s="36"/>
    </row>
    <row r="466" spans="1:21">
      <c r="A466" s="74" t="s">
        <v>250</v>
      </c>
      <c r="B466" s="36">
        <v>341362</v>
      </c>
      <c r="C466" s="36">
        <v>51390</v>
      </c>
      <c r="D466" s="74" t="s">
        <v>648</v>
      </c>
      <c r="E466" s="36"/>
      <c r="F466" s="74"/>
      <c r="G466" s="74" t="s">
        <v>696</v>
      </c>
      <c r="H466" s="36"/>
      <c r="I466" s="36"/>
      <c r="J466" s="36"/>
      <c r="K466" s="36"/>
      <c r="L466" s="36"/>
      <c r="M466" s="36"/>
      <c r="N466" s="36"/>
      <c r="O466" s="36"/>
      <c r="P466" s="36"/>
      <c r="Q466" s="36"/>
      <c r="R466" s="36"/>
      <c r="S466" s="36"/>
      <c r="T466" s="36"/>
      <c r="U466" s="36"/>
    </row>
    <row r="467" spans="1:21">
      <c r="A467" s="74" t="s">
        <v>250</v>
      </c>
      <c r="B467" s="36">
        <v>341360</v>
      </c>
      <c r="C467" s="36">
        <v>51390</v>
      </c>
      <c r="D467" s="74" t="s">
        <v>648</v>
      </c>
      <c r="E467" s="36"/>
      <c r="F467" s="74"/>
      <c r="G467" s="74" t="s">
        <v>696</v>
      </c>
      <c r="H467" s="36"/>
      <c r="I467" s="36"/>
      <c r="J467" s="36"/>
      <c r="K467" s="36"/>
      <c r="L467" s="36"/>
      <c r="M467" s="36"/>
      <c r="N467" s="36"/>
      <c r="O467" s="36"/>
      <c r="P467" s="36"/>
      <c r="Q467" s="36"/>
      <c r="R467" s="36"/>
      <c r="S467" s="36"/>
      <c r="T467" s="36"/>
      <c r="U467" s="36"/>
    </row>
    <row r="468" spans="1:21">
      <c r="A468" s="74" t="s">
        <v>250</v>
      </c>
      <c r="B468" s="36">
        <v>341361</v>
      </c>
      <c r="C468" s="36">
        <v>51390</v>
      </c>
      <c r="D468" s="74" t="s">
        <v>648</v>
      </c>
      <c r="E468" s="36"/>
      <c r="F468" s="74"/>
      <c r="G468" s="74" t="s">
        <v>696</v>
      </c>
      <c r="H468" s="36"/>
      <c r="I468" s="36"/>
      <c r="J468" s="36"/>
      <c r="K468" s="36"/>
      <c r="L468" s="36"/>
      <c r="M468" s="36"/>
      <c r="N468" s="36"/>
      <c r="O468" s="36"/>
      <c r="P468" s="36"/>
      <c r="Q468" s="36"/>
      <c r="R468" s="36"/>
      <c r="S468" s="36"/>
      <c r="T468" s="36"/>
      <c r="U468" s="36"/>
    </row>
    <row r="469" spans="1:21">
      <c r="A469" s="74" t="s">
        <v>250</v>
      </c>
      <c r="B469" s="36">
        <v>341363</v>
      </c>
      <c r="C469" s="36">
        <v>51390</v>
      </c>
      <c r="D469" s="74" t="s">
        <v>648</v>
      </c>
      <c r="E469" s="36"/>
      <c r="F469" s="74"/>
      <c r="G469" s="74" t="s">
        <v>696</v>
      </c>
      <c r="H469" s="36"/>
      <c r="I469" s="36"/>
      <c r="J469" s="36"/>
      <c r="K469" s="36"/>
      <c r="L469" s="36"/>
      <c r="M469" s="36"/>
      <c r="N469" s="36"/>
      <c r="O469" s="36"/>
      <c r="P469" s="36"/>
      <c r="Q469" s="36"/>
      <c r="R469" s="36"/>
      <c r="S469" s="36"/>
      <c r="T469" s="36"/>
      <c r="U469" s="36"/>
    </row>
    <row r="470" spans="1:21">
      <c r="A470" s="74" t="s">
        <v>250</v>
      </c>
      <c r="B470" s="36">
        <v>341355</v>
      </c>
      <c r="C470" s="36">
        <v>51390</v>
      </c>
      <c r="D470" s="74" t="s">
        <v>648</v>
      </c>
      <c r="E470" s="36"/>
      <c r="F470" s="74"/>
      <c r="G470" s="74" t="s">
        <v>696</v>
      </c>
      <c r="H470" s="36"/>
      <c r="I470" s="36"/>
      <c r="J470" s="36"/>
      <c r="K470" s="36"/>
      <c r="L470" s="36"/>
      <c r="M470" s="36"/>
      <c r="N470" s="36"/>
      <c r="O470" s="36"/>
      <c r="P470" s="36"/>
      <c r="Q470" s="36"/>
      <c r="R470" s="36"/>
      <c r="S470" s="36"/>
      <c r="T470" s="36"/>
      <c r="U470" s="36"/>
    </row>
    <row r="471" spans="1:21">
      <c r="A471" s="74" t="s">
        <v>250</v>
      </c>
      <c r="B471" s="36">
        <v>256962</v>
      </c>
      <c r="C471" s="36">
        <v>51390</v>
      </c>
      <c r="D471" s="74" t="s">
        <v>648</v>
      </c>
      <c r="E471" s="36"/>
      <c r="F471" s="74"/>
      <c r="G471" s="74" t="s">
        <v>696</v>
      </c>
      <c r="H471" s="36"/>
      <c r="I471" s="36"/>
      <c r="J471" s="36"/>
      <c r="K471" s="36"/>
      <c r="L471" s="36"/>
      <c r="M471" s="36"/>
      <c r="N471" s="36"/>
      <c r="O471" s="36"/>
      <c r="P471" s="36"/>
      <c r="Q471" s="36"/>
      <c r="R471" s="36"/>
      <c r="S471" s="36"/>
      <c r="T471" s="36"/>
      <c r="U471" s="36"/>
    </row>
    <row r="472" spans="1:21">
      <c r="A472" s="74" t="s">
        <v>250</v>
      </c>
      <c r="B472" s="36">
        <v>256963</v>
      </c>
      <c r="C472" s="36">
        <v>51390</v>
      </c>
      <c r="D472" s="74" t="s">
        <v>648</v>
      </c>
      <c r="E472" s="36"/>
      <c r="F472" s="74"/>
      <c r="G472" s="74" t="s">
        <v>696</v>
      </c>
      <c r="H472" s="36"/>
      <c r="I472" s="36"/>
      <c r="J472" s="36"/>
      <c r="K472" s="36"/>
      <c r="L472" s="36"/>
      <c r="M472" s="36"/>
      <c r="N472" s="36"/>
      <c r="O472" s="36"/>
      <c r="P472" s="36"/>
      <c r="Q472" s="36"/>
      <c r="R472" s="36"/>
      <c r="S472" s="36"/>
      <c r="T472" s="36"/>
      <c r="U472" s="36"/>
    </row>
    <row r="473" spans="1:21">
      <c r="A473" s="74" t="s">
        <v>250</v>
      </c>
      <c r="B473" s="36">
        <v>256964</v>
      </c>
      <c r="C473" s="36">
        <v>51390</v>
      </c>
      <c r="D473" s="74" t="s">
        <v>648</v>
      </c>
      <c r="E473" s="36"/>
      <c r="F473" s="74"/>
      <c r="G473" s="74" t="s">
        <v>696</v>
      </c>
      <c r="H473" s="36"/>
      <c r="I473" s="36"/>
      <c r="J473" s="36"/>
      <c r="K473" s="36"/>
      <c r="L473" s="36"/>
      <c r="M473" s="36"/>
      <c r="N473" s="36"/>
      <c r="O473" s="36"/>
      <c r="P473" s="36"/>
      <c r="Q473" s="36"/>
      <c r="R473" s="36"/>
      <c r="S473" s="36"/>
      <c r="T473" s="36"/>
      <c r="U473" s="36"/>
    </row>
    <row r="474" spans="1:21">
      <c r="A474" s="74" t="s">
        <v>250</v>
      </c>
      <c r="B474" s="36">
        <v>256965</v>
      </c>
      <c r="C474" s="36">
        <v>51390</v>
      </c>
      <c r="D474" s="74" t="s">
        <v>648</v>
      </c>
      <c r="E474" s="36"/>
      <c r="F474" s="74"/>
      <c r="G474" s="74" t="s">
        <v>696</v>
      </c>
      <c r="H474" s="36"/>
      <c r="I474" s="36"/>
      <c r="J474" s="36"/>
      <c r="K474" s="36"/>
      <c r="L474" s="36"/>
      <c r="M474" s="36"/>
      <c r="N474" s="36"/>
      <c r="O474" s="36"/>
      <c r="P474" s="36"/>
      <c r="Q474" s="36"/>
      <c r="R474" s="36"/>
      <c r="S474" s="36"/>
      <c r="T474" s="36"/>
      <c r="U474" s="36"/>
    </row>
    <row r="475" spans="1:21">
      <c r="A475" s="74" t="s">
        <v>250</v>
      </c>
      <c r="B475" s="36">
        <v>256966</v>
      </c>
      <c r="C475" s="36">
        <v>51390</v>
      </c>
      <c r="D475" s="74" t="s">
        <v>648</v>
      </c>
      <c r="E475" s="36"/>
      <c r="F475" s="74"/>
      <c r="G475" s="74" t="s">
        <v>696</v>
      </c>
      <c r="H475" s="36"/>
      <c r="I475" s="36"/>
      <c r="J475" s="36"/>
      <c r="K475" s="36"/>
      <c r="L475" s="36"/>
      <c r="M475" s="36"/>
      <c r="N475" s="36"/>
      <c r="O475" s="36"/>
      <c r="P475" s="36"/>
      <c r="Q475" s="36"/>
      <c r="R475" s="36"/>
      <c r="S475" s="36"/>
      <c r="T475" s="36"/>
      <c r="U475" s="36"/>
    </row>
    <row r="476" spans="1:21">
      <c r="A476" s="74" t="s">
        <v>250</v>
      </c>
      <c r="B476" s="36">
        <v>256967</v>
      </c>
      <c r="C476" s="36">
        <v>51390</v>
      </c>
      <c r="D476" s="74" t="s">
        <v>648</v>
      </c>
      <c r="E476" s="36"/>
      <c r="F476" s="74"/>
      <c r="G476" s="74" t="s">
        <v>696</v>
      </c>
      <c r="H476" s="36"/>
      <c r="I476" s="36"/>
      <c r="J476" s="36"/>
      <c r="K476" s="36"/>
      <c r="L476" s="36"/>
      <c r="M476" s="36"/>
      <c r="N476" s="36"/>
      <c r="O476" s="36"/>
      <c r="P476" s="36"/>
      <c r="Q476" s="36"/>
      <c r="R476" s="36"/>
      <c r="S476" s="36"/>
      <c r="T476" s="36"/>
      <c r="U476" s="36"/>
    </row>
    <row r="477" spans="1:21">
      <c r="A477" s="74" t="s">
        <v>250</v>
      </c>
      <c r="B477" s="36">
        <v>256968</v>
      </c>
      <c r="C477" s="36">
        <v>51390</v>
      </c>
      <c r="D477" s="74" t="s">
        <v>648</v>
      </c>
      <c r="E477" s="36"/>
      <c r="F477" s="74"/>
      <c r="G477" s="74" t="s">
        <v>696</v>
      </c>
      <c r="H477" s="36"/>
      <c r="I477" s="36"/>
      <c r="J477" s="36"/>
      <c r="K477" s="36"/>
      <c r="L477" s="36"/>
      <c r="M477" s="36"/>
      <c r="N477" s="36"/>
      <c r="O477" s="36"/>
      <c r="P477" s="36"/>
      <c r="Q477" s="36"/>
      <c r="R477" s="36"/>
      <c r="S477" s="36"/>
      <c r="T477" s="36"/>
      <c r="U477" s="36"/>
    </row>
    <row r="478" spans="1:21">
      <c r="A478" s="74" t="s">
        <v>250</v>
      </c>
      <c r="B478" s="36">
        <v>256969</v>
      </c>
      <c r="C478" s="36">
        <v>51390</v>
      </c>
      <c r="D478" s="74" t="s">
        <v>648</v>
      </c>
      <c r="E478" s="36"/>
      <c r="F478" s="74"/>
      <c r="G478" s="74" t="s">
        <v>696</v>
      </c>
      <c r="H478" s="36"/>
      <c r="I478" s="36"/>
      <c r="J478" s="36"/>
      <c r="K478" s="36"/>
      <c r="L478" s="36"/>
      <c r="M478" s="36"/>
      <c r="N478" s="36"/>
      <c r="O478" s="36"/>
      <c r="P478" s="36"/>
      <c r="Q478" s="36"/>
      <c r="R478" s="36"/>
      <c r="S478" s="36"/>
      <c r="T478" s="36"/>
      <c r="U478" s="36"/>
    </row>
    <row r="479" spans="1:21">
      <c r="A479" s="74" t="s">
        <v>250</v>
      </c>
      <c r="B479" s="36">
        <v>256970</v>
      </c>
      <c r="C479" s="36">
        <v>51390</v>
      </c>
      <c r="D479" s="74" t="s">
        <v>648</v>
      </c>
      <c r="E479" s="36"/>
      <c r="F479" s="74"/>
      <c r="G479" s="74" t="s">
        <v>696</v>
      </c>
      <c r="H479" s="36"/>
      <c r="I479" s="36"/>
      <c r="J479" s="36"/>
      <c r="K479" s="36"/>
      <c r="L479" s="36"/>
      <c r="M479" s="36"/>
      <c r="N479" s="36"/>
      <c r="O479" s="36"/>
      <c r="P479" s="36"/>
      <c r="Q479" s="36"/>
      <c r="R479" s="36"/>
      <c r="S479" s="36"/>
      <c r="T479" s="36"/>
      <c r="U479" s="36"/>
    </row>
    <row r="480" spans="1:21">
      <c r="A480" s="74" t="s">
        <v>250</v>
      </c>
      <c r="B480" s="36">
        <v>256971</v>
      </c>
      <c r="C480" s="36">
        <v>51390</v>
      </c>
      <c r="D480" s="74" t="s">
        <v>648</v>
      </c>
      <c r="E480" s="36"/>
      <c r="F480" s="74"/>
      <c r="G480" s="74" t="s">
        <v>696</v>
      </c>
      <c r="H480" s="36"/>
      <c r="I480" s="36"/>
      <c r="J480" s="36"/>
      <c r="K480" s="36"/>
      <c r="L480" s="36"/>
      <c r="M480" s="36"/>
      <c r="N480" s="36"/>
      <c r="O480" s="36"/>
      <c r="P480" s="36"/>
      <c r="Q480" s="36"/>
      <c r="R480" s="36"/>
      <c r="S480" s="36"/>
      <c r="T480" s="36"/>
      <c r="U480" s="36"/>
    </row>
    <row r="481" spans="1:21">
      <c r="A481" s="74" t="s">
        <v>250</v>
      </c>
      <c r="B481" s="36">
        <v>256972</v>
      </c>
      <c r="C481" s="36">
        <v>51390</v>
      </c>
      <c r="D481" s="74" t="s">
        <v>648</v>
      </c>
      <c r="E481" s="36"/>
      <c r="F481" s="74"/>
      <c r="G481" s="74" t="s">
        <v>696</v>
      </c>
      <c r="H481" s="36"/>
      <c r="I481" s="36"/>
      <c r="J481" s="36"/>
      <c r="K481" s="36"/>
      <c r="L481" s="36"/>
      <c r="M481" s="36"/>
      <c r="N481" s="36"/>
      <c r="O481" s="36"/>
      <c r="P481" s="36"/>
      <c r="Q481" s="36"/>
      <c r="R481" s="36"/>
      <c r="S481" s="36"/>
      <c r="T481" s="36"/>
      <c r="U481" s="36"/>
    </row>
    <row r="482" spans="1:21">
      <c r="A482" s="74" t="s">
        <v>250</v>
      </c>
      <c r="B482" s="36">
        <v>256961</v>
      </c>
      <c r="C482" s="36">
        <v>51390</v>
      </c>
      <c r="D482" s="74" t="s">
        <v>648</v>
      </c>
      <c r="E482" s="36"/>
      <c r="F482" s="74"/>
      <c r="G482" s="74" t="s">
        <v>696</v>
      </c>
      <c r="H482" s="36"/>
      <c r="I482" s="36"/>
      <c r="J482" s="36"/>
      <c r="K482" s="36"/>
      <c r="L482" s="36"/>
      <c r="M482" s="36"/>
      <c r="N482" s="36"/>
      <c r="O482" s="36"/>
      <c r="P482" s="36"/>
      <c r="Q482" s="36"/>
      <c r="R482" s="36"/>
      <c r="S482" s="36"/>
      <c r="T482" s="36"/>
      <c r="U482" s="36"/>
    </row>
    <row r="483" spans="1:21">
      <c r="A483" s="74" t="s">
        <v>250</v>
      </c>
      <c r="B483" s="36">
        <v>322487</v>
      </c>
      <c r="C483" s="36"/>
      <c r="D483" s="74"/>
      <c r="E483" s="36"/>
      <c r="F483" s="74"/>
      <c r="G483" s="74" t="s">
        <v>661</v>
      </c>
      <c r="H483" s="36"/>
      <c r="I483" s="36"/>
      <c r="J483" s="36"/>
      <c r="K483" s="36"/>
      <c r="L483" s="36"/>
      <c r="M483" s="36"/>
      <c r="N483" s="36"/>
      <c r="O483" s="36"/>
      <c r="P483" s="36"/>
      <c r="Q483" s="36"/>
      <c r="R483" s="36"/>
      <c r="S483" s="36"/>
      <c r="T483" s="36"/>
      <c r="U483" s="36"/>
    </row>
    <row r="484" spans="1:21">
      <c r="A484" s="74" t="s">
        <v>250</v>
      </c>
      <c r="B484" s="36">
        <v>322488</v>
      </c>
      <c r="C484" s="36"/>
      <c r="D484" s="74"/>
      <c r="E484" s="36"/>
      <c r="F484" s="74"/>
      <c r="G484" s="74" t="s">
        <v>661</v>
      </c>
      <c r="H484" s="36"/>
      <c r="I484" s="36"/>
      <c r="J484" s="36"/>
      <c r="K484" s="36"/>
      <c r="L484" s="36"/>
      <c r="M484" s="36"/>
      <c r="N484" s="36"/>
      <c r="O484" s="36"/>
      <c r="P484" s="36"/>
      <c r="Q484" s="36"/>
      <c r="R484" s="36"/>
      <c r="S484" s="36"/>
      <c r="T484" s="36"/>
      <c r="U484" s="36"/>
    </row>
    <row r="485" spans="1:21">
      <c r="A485" s="74" t="s">
        <v>250</v>
      </c>
      <c r="B485" s="36">
        <v>322499</v>
      </c>
      <c r="C485" s="36"/>
      <c r="D485" s="74"/>
      <c r="E485" s="36"/>
      <c r="F485" s="74"/>
      <c r="G485" s="74" t="s">
        <v>661</v>
      </c>
      <c r="H485" s="36"/>
      <c r="I485" s="36"/>
      <c r="J485" s="36"/>
      <c r="K485" s="36"/>
      <c r="L485" s="36"/>
      <c r="M485" s="36"/>
      <c r="N485" s="36"/>
      <c r="O485" s="36"/>
      <c r="P485" s="36"/>
      <c r="Q485" s="36"/>
      <c r="R485" s="36"/>
      <c r="S485" s="36"/>
      <c r="T485" s="36"/>
      <c r="U485" s="36"/>
    </row>
    <row r="486" spans="1:21">
      <c r="A486" s="74" t="s">
        <v>250</v>
      </c>
      <c r="B486" s="36">
        <v>322498</v>
      </c>
      <c r="C486" s="36"/>
      <c r="D486" s="74"/>
      <c r="E486" s="36"/>
      <c r="F486" s="74"/>
      <c r="G486" s="74" t="s">
        <v>661</v>
      </c>
      <c r="H486" s="36"/>
      <c r="I486" s="36"/>
      <c r="J486" s="36"/>
      <c r="K486" s="36"/>
      <c r="L486" s="36"/>
      <c r="M486" s="36"/>
      <c r="N486" s="36"/>
      <c r="O486" s="36"/>
      <c r="P486" s="36"/>
      <c r="Q486" s="36"/>
      <c r="R486" s="36"/>
      <c r="S486" s="36"/>
      <c r="T486" s="36"/>
      <c r="U486" s="36"/>
    </row>
    <row r="487" spans="1:21">
      <c r="A487" s="74" t="s">
        <v>250</v>
      </c>
      <c r="B487" s="36">
        <v>322490</v>
      </c>
      <c r="C487" s="36"/>
      <c r="D487" s="74"/>
      <c r="E487" s="36"/>
      <c r="F487" s="74"/>
      <c r="G487" s="74" t="s">
        <v>661</v>
      </c>
      <c r="H487" s="36"/>
      <c r="I487" s="36"/>
      <c r="J487" s="36"/>
      <c r="K487" s="36"/>
      <c r="L487" s="36"/>
      <c r="M487" s="36"/>
      <c r="N487" s="36"/>
      <c r="O487" s="36"/>
      <c r="P487" s="36"/>
      <c r="Q487" s="36"/>
      <c r="R487" s="36"/>
      <c r="S487" s="36"/>
      <c r="T487" s="36"/>
      <c r="U487" s="36"/>
    </row>
    <row r="488" spans="1:21">
      <c r="A488" s="74" t="s">
        <v>250</v>
      </c>
      <c r="B488" s="36">
        <v>322491</v>
      </c>
      <c r="C488" s="36"/>
      <c r="D488" s="74"/>
      <c r="E488" s="36"/>
      <c r="F488" s="74"/>
      <c r="G488" s="74" t="s">
        <v>661</v>
      </c>
      <c r="H488" s="36"/>
      <c r="I488" s="36"/>
      <c r="J488" s="36"/>
      <c r="K488" s="36"/>
      <c r="L488" s="36"/>
      <c r="M488" s="36"/>
      <c r="N488" s="36"/>
      <c r="O488" s="36"/>
      <c r="P488" s="36"/>
      <c r="Q488" s="36"/>
      <c r="R488" s="36"/>
      <c r="S488" s="36"/>
      <c r="T488" s="36"/>
      <c r="U488" s="36"/>
    </row>
    <row r="489" spans="1:21">
      <c r="A489" s="74" t="s">
        <v>250</v>
      </c>
      <c r="B489" s="36">
        <v>322492</v>
      </c>
      <c r="C489" s="36"/>
      <c r="D489" s="74"/>
      <c r="E489" s="36"/>
      <c r="F489" s="74"/>
      <c r="G489" s="74" t="s">
        <v>661</v>
      </c>
      <c r="H489" s="36"/>
      <c r="I489" s="36"/>
      <c r="J489" s="36"/>
      <c r="K489" s="36"/>
      <c r="L489" s="36"/>
      <c r="M489" s="36"/>
      <c r="N489" s="36"/>
      <c r="O489" s="36"/>
      <c r="P489" s="36"/>
      <c r="Q489" s="36"/>
      <c r="R489" s="36"/>
      <c r="S489" s="36"/>
      <c r="T489" s="36"/>
      <c r="U489" s="36"/>
    </row>
    <row r="490" spans="1:21">
      <c r="A490" s="74" t="s">
        <v>250</v>
      </c>
      <c r="B490" s="36">
        <v>322493</v>
      </c>
      <c r="C490" s="36"/>
      <c r="D490" s="74"/>
      <c r="E490" s="36"/>
      <c r="F490" s="74"/>
      <c r="G490" s="74" t="s">
        <v>661</v>
      </c>
      <c r="H490" s="36"/>
      <c r="I490" s="36"/>
      <c r="J490" s="36"/>
      <c r="K490" s="36"/>
      <c r="L490" s="36"/>
      <c r="M490" s="36"/>
      <c r="N490" s="36"/>
      <c r="O490" s="36"/>
      <c r="P490" s="36"/>
      <c r="Q490" s="36"/>
      <c r="R490" s="36"/>
      <c r="S490" s="36"/>
      <c r="T490" s="36"/>
      <c r="U490" s="36"/>
    </row>
    <row r="491" spans="1:21">
      <c r="A491" s="74" t="s">
        <v>250</v>
      </c>
      <c r="B491" s="36">
        <v>322496</v>
      </c>
      <c r="C491" s="36"/>
      <c r="D491" s="74"/>
      <c r="E491" s="36"/>
      <c r="F491" s="74"/>
      <c r="G491" s="74" t="s">
        <v>661</v>
      </c>
      <c r="H491" s="36"/>
      <c r="I491" s="36"/>
      <c r="J491" s="36"/>
      <c r="K491" s="36"/>
      <c r="L491" s="36"/>
      <c r="M491" s="36"/>
      <c r="N491" s="36"/>
      <c r="O491" s="36"/>
      <c r="P491" s="36"/>
      <c r="Q491" s="36"/>
      <c r="R491" s="36"/>
      <c r="S491" s="36"/>
      <c r="T491" s="36"/>
      <c r="U491" s="36"/>
    </row>
    <row r="492" spans="1:21">
      <c r="A492" s="74" t="s">
        <v>250</v>
      </c>
      <c r="B492" s="36">
        <v>322494</v>
      </c>
      <c r="C492" s="36"/>
      <c r="D492" s="74"/>
      <c r="E492" s="36"/>
      <c r="F492" s="74"/>
      <c r="G492" s="74" t="s">
        <v>661</v>
      </c>
      <c r="H492" s="36"/>
      <c r="I492" s="36"/>
      <c r="J492" s="36"/>
      <c r="K492" s="36"/>
      <c r="L492" s="36"/>
      <c r="M492" s="36"/>
      <c r="N492" s="36"/>
      <c r="O492" s="36"/>
      <c r="P492" s="36"/>
      <c r="Q492" s="36"/>
      <c r="R492" s="36"/>
      <c r="S492" s="36"/>
      <c r="T492" s="36"/>
      <c r="U492" s="36"/>
    </row>
    <row r="493" spans="1:21">
      <c r="A493" s="74" t="s">
        <v>250</v>
      </c>
      <c r="B493" s="36">
        <v>322495</v>
      </c>
      <c r="C493" s="36"/>
      <c r="D493" s="74"/>
      <c r="E493" s="36"/>
      <c r="F493" s="74"/>
      <c r="G493" s="74" t="s">
        <v>661</v>
      </c>
      <c r="H493" s="36"/>
      <c r="I493" s="36"/>
      <c r="J493" s="36"/>
      <c r="K493" s="36"/>
      <c r="L493" s="36"/>
      <c r="M493" s="36"/>
      <c r="N493" s="36"/>
      <c r="O493" s="36"/>
      <c r="P493" s="36"/>
      <c r="Q493" s="36"/>
      <c r="R493" s="36"/>
      <c r="S493" s="36"/>
      <c r="T493" s="36"/>
      <c r="U493" s="36"/>
    </row>
    <row r="494" spans="1:21">
      <c r="A494" s="74" t="s">
        <v>250</v>
      </c>
      <c r="B494" s="36">
        <v>322497</v>
      </c>
      <c r="C494" s="36"/>
      <c r="D494" s="74"/>
      <c r="E494" s="36"/>
      <c r="F494" s="74"/>
      <c r="G494" s="74" t="s">
        <v>661</v>
      </c>
      <c r="H494" s="36"/>
      <c r="I494" s="36"/>
      <c r="J494" s="36"/>
      <c r="K494" s="36"/>
      <c r="L494" s="36"/>
      <c r="M494" s="36"/>
      <c r="N494" s="36"/>
      <c r="O494" s="36"/>
      <c r="P494" s="36"/>
      <c r="Q494" s="36"/>
      <c r="R494" s="36"/>
      <c r="S494" s="36"/>
      <c r="T494" s="36"/>
      <c r="U494" s="36"/>
    </row>
    <row r="495" spans="1:21">
      <c r="A495" s="74" t="s">
        <v>250</v>
      </c>
      <c r="B495" s="36">
        <v>322489</v>
      </c>
      <c r="C495" s="36"/>
      <c r="D495" s="74"/>
      <c r="E495" s="36"/>
      <c r="F495" s="74"/>
      <c r="G495" s="74" t="s">
        <v>661</v>
      </c>
      <c r="H495" s="36"/>
      <c r="I495" s="36"/>
      <c r="J495" s="36"/>
      <c r="K495" s="36"/>
      <c r="L495" s="36"/>
      <c r="M495" s="36"/>
      <c r="N495" s="36"/>
      <c r="O495" s="36"/>
      <c r="P495" s="36"/>
      <c r="Q495" s="36"/>
      <c r="R495" s="36"/>
      <c r="S495" s="36"/>
      <c r="T495" s="36"/>
      <c r="U495" s="36"/>
    </row>
    <row r="496" spans="1:21">
      <c r="A496" s="74" t="s">
        <v>250</v>
      </c>
      <c r="B496" s="36">
        <v>323222</v>
      </c>
      <c r="C496" s="36">
        <v>50590</v>
      </c>
      <c r="D496" s="74" t="s">
        <v>615</v>
      </c>
      <c r="E496" s="36"/>
      <c r="F496" s="74"/>
      <c r="G496" s="74" t="s">
        <v>694</v>
      </c>
      <c r="H496" s="36"/>
      <c r="I496" s="36"/>
      <c r="J496" s="36"/>
      <c r="K496" s="36"/>
      <c r="L496" s="36"/>
      <c r="M496" s="36"/>
      <c r="N496" s="36"/>
      <c r="O496" s="36"/>
      <c r="P496" s="36"/>
      <c r="Q496" s="36"/>
      <c r="R496" s="36"/>
      <c r="S496" s="36"/>
      <c r="T496" s="36"/>
      <c r="U496" s="36"/>
    </row>
    <row r="497" spans="1:21">
      <c r="A497" s="74" t="s">
        <v>250</v>
      </c>
      <c r="B497" s="36">
        <v>341664</v>
      </c>
      <c r="C497" s="36">
        <v>41490</v>
      </c>
      <c r="D497" s="74" t="s">
        <v>615</v>
      </c>
      <c r="E497" s="36"/>
      <c r="F497" s="74"/>
      <c r="G497" s="74" t="s">
        <v>694</v>
      </c>
      <c r="H497" s="36"/>
      <c r="I497" s="36"/>
      <c r="J497" s="36"/>
      <c r="K497" s="36"/>
      <c r="L497" s="36"/>
      <c r="M497" s="36"/>
      <c r="N497" s="36"/>
      <c r="O497" s="36"/>
      <c r="P497" s="36"/>
      <c r="Q497" s="36"/>
      <c r="R497" s="36"/>
      <c r="S497" s="36"/>
      <c r="T497" s="36"/>
      <c r="U497" s="36"/>
    </row>
    <row r="498" spans="1:21">
      <c r="A498" s="74" t="s">
        <v>250</v>
      </c>
      <c r="B498" s="36">
        <v>341663</v>
      </c>
      <c r="C498" s="36">
        <v>41490</v>
      </c>
      <c r="D498" s="74" t="s">
        <v>615</v>
      </c>
      <c r="E498" s="36"/>
      <c r="F498" s="74"/>
      <c r="G498" s="74" t="s">
        <v>694</v>
      </c>
      <c r="H498" s="36"/>
      <c r="I498" s="36"/>
      <c r="J498" s="36"/>
      <c r="K498" s="36"/>
      <c r="L498" s="36"/>
      <c r="M498" s="36"/>
      <c r="N498" s="36"/>
      <c r="O498" s="36"/>
      <c r="P498" s="36"/>
      <c r="Q498" s="36"/>
      <c r="R498" s="36"/>
      <c r="S498" s="36"/>
      <c r="T498" s="36"/>
      <c r="U498" s="36"/>
    </row>
    <row r="499" spans="1:21">
      <c r="A499" s="74" t="s">
        <v>250</v>
      </c>
      <c r="B499" s="36">
        <v>341675</v>
      </c>
      <c r="C499" s="36">
        <v>41490</v>
      </c>
      <c r="D499" s="74" t="s">
        <v>615</v>
      </c>
      <c r="E499" s="36"/>
      <c r="F499" s="74"/>
      <c r="G499" s="74" t="s">
        <v>694</v>
      </c>
      <c r="H499" s="36"/>
      <c r="I499" s="36"/>
      <c r="J499" s="36"/>
      <c r="K499" s="36"/>
      <c r="L499" s="36"/>
      <c r="M499" s="36"/>
      <c r="N499" s="36"/>
      <c r="O499" s="36"/>
      <c r="P499" s="36"/>
      <c r="Q499" s="36"/>
      <c r="R499" s="36"/>
      <c r="S499" s="36"/>
      <c r="T499" s="36"/>
      <c r="U499" s="36"/>
    </row>
    <row r="500" spans="1:21">
      <c r="A500" s="74" t="s">
        <v>250</v>
      </c>
      <c r="B500" s="36">
        <v>341674</v>
      </c>
      <c r="C500" s="36">
        <v>41490</v>
      </c>
      <c r="D500" s="74" t="s">
        <v>615</v>
      </c>
      <c r="E500" s="36"/>
      <c r="F500" s="74"/>
      <c r="G500" s="74" t="s">
        <v>694</v>
      </c>
      <c r="H500" s="36"/>
      <c r="I500" s="36"/>
      <c r="J500" s="36"/>
      <c r="K500" s="36"/>
      <c r="L500" s="36"/>
      <c r="M500" s="36"/>
      <c r="N500" s="36"/>
      <c r="O500" s="36"/>
      <c r="P500" s="36"/>
      <c r="Q500" s="36"/>
      <c r="R500" s="36"/>
      <c r="S500" s="36"/>
      <c r="T500" s="36"/>
      <c r="U500" s="36"/>
    </row>
    <row r="501" spans="1:21">
      <c r="A501" s="74" t="s">
        <v>250</v>
      </c>
      <c r="B501" s="36">
        <v>341666</v>
      </c>
      <c r="C501" s="36">
        <v>41490</v>
      </c>
      <c r="D501" s="74" t="s">
        <v>615</v>
      </c>
      <c r="E501" s="36"/>
      <c r="F501" s="74"/>
      <c r="G501" s="74" t="s">
        <v>694</v>
      </c>
      <c r="H501" s="36"/>
      <c r="I501" s="36"/>
      <c r="J501" s="36"/>
      <c r="K501" s="36"/>
      <c r="L501" s="36"/>
      <c r="M501" s="36"/>
      <c r="N501" s="36"/>
      <c r="O501" s="36"/>
      <c r="P501" s="36"/>
      <c r="Q501" s="36"/>
      <c r="R501" s="36"/>
      <c r="S501" s="36"/>
      <c r="T501" s="36"/>
      <c r="U501" s="36"/>
    </row>
    <row r="502" spans="1:21">
      <c r="A502" s="74" t="s">
        <v>250</v>
      </c>
      <c r="B502" s="36">
        <v>341667</v>
      </c>
      <c r="C502" s="36">
        <v>41490</v>
      </c>
      <c r="D502" s="74" t="s">
        <v>615</v>
      </c>
      <c r="E502" s="36"/>
      <c r="F502" s="74"/>
      <c r="G502" s="74" t="s">
        <v>694</v>
      </c>
      <c r="H502" s="36"/>
      <c r="I502" s="36"/>
      <c r="J502" s="36"/>
      <c r="K502" s="36"/>
      <c r="L502" s="36"/>
      <c r="M502" s="36"/>
      <c r="N502" s="36"/>
      <c r="O502" s="36"/>
      <c r="P502" s="36"/>
      <c r="Q502" s="36"/>
      <c r="R502" s="36"/>
      <c r="S502" s="36"/>
      <c r="T502" s="36"/>
      <c r="U502" s="36"/>
    </row>
    <row r="503" spans="1:21">
      <c r="A503" s="74" t="s">
        <v>250</v>
      </c>
      <c r="B503" s="36">
        <v>341668</v>
      </c>
      <c r="C503" s="36">
        <v>41490</v>
      </c>
      <c r="D503" s="74" t="s">
        <v>615</v>
      </c>
      <c r="E503" s="36"/>
      <c r="F503" s="74"/>
      <c r="G503" s="74" t="s">
        <v>694</v>
      </c>
      <c r="H503" s="36"/>
      <c r="I503" s="36"/>
      <c r="J503" s="36"/>
      <c r="K503" s="36"/>
      <c r="L503" s="36"/>
      <c r="M503" s="36"/>
      <c r="N503" s="36"/>
      <c r="O503" s="36"/>
      <c r="P503" s="36"/>
      <c r="Q503" s="36"/>
      <c r="R503" s="36"/>
      <c r="S503" s="36"/>
      <c r="T503" s="36"/>
      <c r="U503" s="36"/>
    </row>
    <row r="504" spans="1:21">
      <c r="A504" s="74" t="s">
        <v>250</v>
      </c>
      <c r="B504" s="36">
        <v>341669</v>
      </c>
      <c r="C504" s="36">
        <v>41490</v>
      </c>
      <c r="D504" s="74" t="s">
        <v>615</v>
      </c>
      <c r="E504" s="36"/>
      <c r="F504" s="74"/>
      <c r="G504" s="74" t="s">
        <v>694</v>
      </c>
      <c r="H504" s="36"/>
      <c r="I504" s="36"/>
      <c r="J504" s="36"/>
      <c r="K504" s="36"/>
      <c r="L504" s="36"/>
      <c r="M504" s="36"/>
      <c r="N504" s="36"/>
      <c r="O504" s="36"/>
      <c r="P504" s="36"/>
      <c r="Q504" s="36"/>
      <c r="R504" s="36"/>
      <c r="S504" s="36"/>
      <c r="T504" s="36"/>
      <c r="U504" s="36"/>
    </row>
    <row r="505" spans="1:21">
      <c r="A505" s="74" t="s">
        <v>250</v>
      </c>
      <c r="B505" s="36">
        <v>341672</v>
      </c>
      <c r="C505" s="36">
        <v>41490</v>
      </c>
      <c r="D505" s="74" t="s">
        <v>615</v>
      </c>
      <c r="E505" s="36"/>
      <c r="F505" s="74"/>
      <c r="G505" s="74" t="s">
        <v>694</v>
      </c>
      <c r="H505" s="36"/>
      <c r="I505" s="36"/>
      <c r="J505" s="36"/>
      <c r="K505" s="36"/>
      <c r="L505" s="36"/>
      <c r="M505" s="36"/>
      <c r="N505" s="36"/>
      <c r="O505" s="36"/>
      <c r="P505" s="36"/>
      <c r="Q505" s="36"/>
      <c r="R505" s="36"/>
      <c r="S505" s="36"/>
      <c r="T505" s="36"/>
      <c r="U505" s="36"/>
    </row>
    <row r="506" spans="1:21">
      <c r="A506" s="74" t="s">
        <v>250</v>
      </c>
      <c r="B506" s="36">
        <v>341670</v>
      </c>
      <c r="C506" s="36">
        <v>41490</v>
      </c>
      <c r="D506" s="74" t="s">
        <v>615</v>
      </c>
      <c r="E506" s="36"/>
      <c r="F506" s="74"/>
      <c r="G506" s="74" t="s">
        <v>694</v>
      </c>
      <c r="H506" s="36"/>
      <c r="I506" s="36"/>
      <c r="J506" s="36"/>
      <c r="K506" s="36"/>
      <c r="L506" s="36"/>
      <c r="M506" s="36"/>
      <c r="N506" s="36"/>
      <c r="O506" s="36"/>
      <c r="P506" s="36"/>
      <c r="Q506" s="36"/>
      <c r="R506" s="36"/>
      <c r="S506" s="36"/>
      <c r="T506" s="36"/>
      <c r="U506" s="36"/>
    </row>
    <row r="507" spans="1:21">
      <c r="A507" s="74" t="s">
        <v>250</v>
      </c>
      <c r="B507" s="36">
        <v>341671</v>
      </c>
      <c r="C507" s="36">
        <v>41490</v>
      </c>
      <c r="D507" s="74" t="s">
        <v>615</v>
      </c>
      <c r="E507" s="36"/>
      <c r="F507" s="74"/>
      <c r="G507" s="74" t="s">
        <v>694</v>
      </c>
      <c r="H507" s="36"/>
      <c r="I507" s="36"/>
      <c r="J507" s="36"/>
      <c r="K507" s="36"/>
      <c r="L507" s="36"/>
      <c r="M507" s="36"/>
      <c r="N507" s="36"/>
      <c r="O507" s="36"/>
      <c r="P507" s="36"/>
      <c r="Q507" s="36"/>
      <c r="R507" s="36"/>
      <c r="S507" s="36"/>
      <c r="T507" s="36"/>
      <c r="U507" s="36"/>
    </row>
    <row r="508" spans="1:21">
      <c r="A508" s="74" t="s">
        <v>250</v>
      </c>
      <c r="B508" s="36">
        <v>341673</v>
      </c>
      <c r="C508" s="36">
        <v>41490</v>
      </c>
      <c r="D508" s="74" t="s">
        <v>615</v>
      </c>
      <c r="E508" s="36"/>
      <c r="F508" s="74"/>
      <c r="G508" s="74" t="s">
        <v>694</v>
      </c>
      <c r="H508" s="36"/>
      <c r="I508" s="36"/>
      <c r="J508" s="36"/>
      <c r="K508" s="36"/>
      <c r="L508" s="36"/>
      <c r="M508" s="36"/>
      <c r="N508" s="36"/>
      <c r="O508" s="36"/>
      <c r="P508" s="36"/>
      <c r="Q508" s="36"/>
      <c r="R508" s="36"/>
      <c r="S508" s="36"/>
      <c r="T508" s="36"/>
      <c r="U508" s="36"/>
    </row>
    <row r="509" spans="1:21">
      <c r="A509" s="74" t="s">
        <v>250</v>
      </c>
      <c r="B509" s="36">
        <v>341665</v>
      </c>
      <c r="C509" s="36">
        <v>41490</v>
      </c>
      <c r="D509" s="74" t="s">
        <v>615</v>
      </c>
      <c r="E509" s="36"/>
      <c r="F509" s="74"/>
      <c r="G509" s="74" t="s">
        <v>694</v>
      </c>
      <c r="H509" s="36"/>
      <c r="I509" s="36"/>
      <c r="J509" s="36"/>
      <c r="K509" s="36"/>
      <c r="L509" s="36"/>
      <c r="M509" s="36"/>
      <c r="N509" s="36"/>
      <c r="O509" s="36"/>
      <c r="P509" s="36"/>
      <c r="Q509" s="36"/>
      <c r="R509" s="36"/>
      <c r="S509" s="36"/>
      <c r="T509" s="36"/>
      <c r="U509" s="36"/>
    </row>
    <row r="510" spans="1:21">
      <c r="A510" s="74" t="s">
        <v>250</v>
      </c>
      <c r="B510" s="36">
        <v>323224</v>
      </c>
      <c r="C510" s="36">
        <v>41490</v>
      </c>
      <c r="D510" s="74" t="s">
        <v>615</v>
      </c>
      <c r="E510" s="36"/>
      <c r="F510" s="74"/>
      <c r="G510" s="74" t="s">
        <v>694</v>
      </c>
      <c r="H510" s="36"/>
      <c r="I510" s="36"/>
      <c r="J510" s="36"/>
      <c r="K510" s="36"/>
      <c r="L510" s="36"/>
      <c r="M510" s="36"/>
      <c r="N510" s="36"/>
      <c r="O510" s="36"/>
      <c r="P510" s="36"/>
      <c r="Q510" s="36"/>
      <c r="R510" s="36"/>
      <c r="S510" s="36"/>
      <c r="T510" s="36"/>
      <c r="U510" s="36"/>
    </row>
    <row r="511" spans="1:21">
      <c r="A511" s="74" t="s">
        <v>250</v>
      </c>
      <c r="B511" s="36">
        <v>323235</v>
      </c>
      <c r="C511" s="36">
        <v>41490</v>
      </c>
      <c r="D511" s="74" t="s">
        <v>615</v>
      </c>
      <c r="E511" s="36"/>
      <c r="F511" s="74"/>
      <c r="G511" s="74" t="s">
        <v>694</v>
      </c>
      <c r="H511" s="36"/>
      <c r="I511" s="36"/>
      <c r="J511" s="36"/>
      <c r="K511" s="36"/>
      <c r="L511" s="36"/>
      <c r="M511" s="36"/>
      <c r="N511" s="36"/>
      <c r="O511" s="36"/>
      <c r="P511" s="36"/>
      <c r="Q511" s="36"/>
      <c r="R511" s="36"/>
      <c r="S511" s="36"/>
      <c r="T511" s="36"/>
      <c r="U511" s="36"/>
    </row>
    <row r="512" spans="1:21">
      <c r="A512" s="74" t="s">
        <v>250</v>
      </c>
      <c r="B512" s="36">
        <v>323234</v>
      </c>
      <c r="C512" s="36">
        <v>41490</v>
      </c>
      <c r="D512" s="74" t="s">
        <v>615</v>
      </c>
      <c r="E512" s="36"/>
      <c r="F512" s="74"/>
      <c r="G512" s="74" t="s">
        <v>694</v>
      </c>
      <c r="H512" s="36"/>
      <c r="I512" s="36"/>
      <c r="J512" s="36"/>
      <c r="K512" s="36"/>
      <c r="L512" s="36"/>
      <c r="M512" s="36"/>
      <c r="N512" s="36"/>
      <c r="O512" s="36"/>
      <c r="P512" s="36"/>
      <c r="Q512" s="36"/>
      <c r="R512" s="36"/>
      <c r="S512" s="36"/>
      <c r="T512" s="36"/>
      <c r="U512" s="36"/>
    </row>
    <row r="513" spans="1:21">
      <c r="A513" s="74" t="s">
        <v>250</v>
      </c>
      <c r="B513" s="36">
        <v>323226</v>
      </c>
      <c r="C513" s="36">
        <v>41490</v>
      </c>
      <c r="D513" s="74" t="s">
        <v>615</v>
      </c>
      <c r="E513" s="36"/>
      <c r="F513" s="74"/>
      <c r="G513" s="74" t="s">
        <v>694</v>
      </c>
      <c r="H513" s="36"/>
      <c r="I513" s="36"/>
      <c r="J513" s="36"/>
      <c r="K513" s="36"/>
      <c r="L513" s="36"/>
      <c r="M513" s="36"/>
      <c r="N513" s="36"/>
      <c r="O513" s="36"/>
      <c r="P513" s="36"/>
      <c r="Q513" s="36"/>
      <c r="R513" s="36"/>
      <c r="S513" s="36"/>
      <c r="T513" s="36"/>
      <c r="U513" s="36"/>
    </row>
    <row r="514" spans="1:21">
      <c r="A514" s="74" t="s">
        <v>250</v>
      </c>
      <c r="B514" s="36">
        <v>323227</v>
      </c>
      <c r="C514" s="36">
        <v>41490</v>
      </c>
      <c r="D514" s="74" t="s">
        <v>615</v>
      </c>
      <c r="E514" s="36"/>
      <c r="F514" s="74"/>
      <c r="G514" s="74" t="s">
        <v>694</v>
      </c>
      <c r="H514" s="36"/>
      <c r="I514" s="36"/>
      <c r="J514" s="36"/>
      <c r="K514" s="36"/>
      <c r="L514" s="36"/>
      <c r="M514" s="36"/>
      <c r="N514" s="36"/>
      <c r="O514" s="36"/>
      <c r="P514" s="36"/>
      <c r="Q514" s="36"/>
      <c r="R514" s="36"/>
      <c r="S514" s="36"/>
      <c r="T514" s="36"/>
      <c r="U514" s="36"/>
    </row>
    <row r="515" spans="1:21">
      <c r="A515" s="74" t="s">
        <v>250</v>
      </c>
      <c r="B515" s="36">
        <v>323228</v>
      </c>
      <c r="C515" s="36">
        <v>41490</v>
      </c>
      <c r="D515" s="74" t="s">
        <v>615</v>
      </c>
      <c r="E515" s="36"/>
      <c r="F515" s="74"/>
      <c r="G515" s="74" t="s">
        <v>694</v>
      </c>
      <c r="H515" s="36"/>
      <c r="I515" s="36"/>
      <c r="J515" s="36"/>
      <c r="K515" s="36"/>
      <c r="L515" s="36"/>
      <c r="M515" s="36"/>
      <c r="N515" s="36"/>
      <c r="O515" s="36"/>
      <c r="P515" s="36"/>
      <c r="Q515" s="36"/>
      <c r="R515" s="36"/>
      <c r="S515" s="36"/>
      <c r="T515" s="36"/>
      <c r="U515" s="36"/>
    </row>
    <row r="516" spans="1:21">
      <c r="A516" s="74" t="s">
        <v>250</v>
      </c>
      <c r="B516" s="36">
        <v>323229</v>
      </c>
      <c r="C516" s="36">
        <v>41490</v>
      </c>
      <c r="D516" s="74" t="s">
        <v>615</v>
      </c>
      <c r="E516" s="36"/>
      <c r="F516" s="74"/>
      <c r="G516" s="74" t="s">
        <v>694</v>
      </c>
      <c r="H516" s="36"/>
      <c r="I516" s="36"/>
      <c r="J516" s="36"/>
      <c r="K516" s="36"/>
      <c r="L516" s="36"/>
      <c r="M516" s="36"/>
      <c r="N516" s="36"/>
      <c r="O516" s="36"/>
      <c r="P516" s="36"/>
      <c r="Q516" s="36"/>
      <c r="R516" s="36"/>
      <c r="S516" s="36"/>
      <c r="T516" s="36"/>
      <c r="U516" s="36"/>
    </row>
    <row r="517" spans="1:21">
      <c r="A517" s="74" t="s">
        <v>250</v>
      </c>
      <c r="B517" s="36">
        <v>323232</v>
      </c>
      <c r="C517" s="36">
        <v>41490</v>
      </c>
      <c r="D517" s="74" t="s">
        <v>615</v>
      </c>
      <c r="E517" s="36"/>
      <c r="F517" s="74"/>
      <c r="G517" s="74" t="s">
        <v>694</v>
      </c>
      <c r="H517" s="36"/>
      <c r="I517" s="36"/>
      <c r="J517" s="36"/>
      <c r="K517" s="36"/>
      <c r="L517" s="36"/>
      <c r="M517" s="36"/>
      <c r="N517" s="36"/>
      <c r="O517" s="36"/>
      <c r="P517" s="36"/>
      <c r="Q517" s="36"/>
      <c r="R517" s="36"/>
      <c r="S517" s="36"/>
      <c r="T517" s="36"/>
      <c r="U517" s="36"/>
    </row>
    <row r="518" spans="1:21">
      <c r="A518" s="74" t="s">
        <v>250</v>
      </c>
      <c r="B518" s="36">
        <v>323230</v>
      </c>
      <c r="C518" s="36">
        <v>41490</v>
      </c>
      <c r="D518" s="74" t="s">
        <v>615</v>
      </c>
      <c r="E518" s="36"/>
      <c r="F518" s="74"/>
      <c r="G518" s="74" t="s">
        <v>694</v>
      </c>
      <c r="H518" s="36"/>
      <c r="I518" s="36"/>
      <c r="J518" s="36"/>
      <c r="K518" s="36"/>
      <c r="L518" s="36"/>
      <c r="M518" s="36"/>
      <c r="N518" s="36"/>
      <c r="O518" s="36"/>
      <c r="P518" s="36"/>
      <c r="Q518" s="36"/>
      <c r="R518" s="36"/>
      <c r="S518" s="36"/>
      <c r="T518" s="36"/>
      <c r="U518" s="36"/>
    </row>
    <row r="519" spans="1:21">
      <c r="A519" s="74" t="s">
        <v>250</v>
      </c>
      <c r="B519" s="36">
        <v>323231</v>
      </c>
      <c r="C519" s="36">
        <v>41490</v>
      </c>
      <c r="D519" s="74" t="s">
        <v>615</v>
      </c>
      <c r="E519" s="36"/>
      <c r="F519" s="74"/>
      <c r="G519" s="74" t="s">
        <v>694</v>
      </c>
      <c r="H519" s="36"/>
      <c r="I519" s="36"/>
      <c r="J519" s="36"/>
      <c r="K519" s="36"/>
      <c r="L519" s="36"/>
      <c r="M519" s="36"/>
      <c r="N519" s="36"/>
      <c r="O519" s="36"/>
      <c r="P519" s="36"/>
      <c r="Q519" s="36"/>
      <c r="R519" s="36"/>
      <c r="S519" s="36"/>
      <c r="T519" s="36"/>
      <c r="U519" s="36"/>
    </row>
    <row r="520" spans="1:21">
      <c r="A520" s="74" t="s">
        <v>250</v>
      </c>
      <c r="B520" s="36">
        <v>323233</v>
      </c>
      <c r="C520" s="36">
        <v>41490</v>
      </c>
      <c r="D520" s="74" t="s">
        <v>615</v>
      </c>
      <c r="E520" s="36"/>
      <c r="F520" s="74"/>
      <c r="G520" s="74" t="s">
        <v>694</v>
      </c>
      <c r="H520" s="36"/>
      <c r="I520" s="36"/>
      <c r="J520" s="36"/>
      <c r="K520" s="36"/>
      <c r="L520" s="36"/>
      <c r="M520" s="36"/>
      <c r="N520" s="36"/>
      <c r="O520" s="36"/>
      <c r="P520" s="36"/>
      <c r="Q520" s="36"/>
      <c r="R520" s="36"/>
      <c r="S520" s="36"/>
      <c r="T520" s="36"/>
      <c r="U520" s="36"/>
    </row>
    <row r="521" spans="1:21">
      <c r="A521" s="74" t="s">
        <v>250</v>
      </c>
      <c r="B521" s="36">
        <v>323225</v>
      </c>
      <c r="C521" s="36">
        <v>41490</v>
      </c>
      <c r="D521" s="74" t="s">
        <v>615</v>
      </c>
      <c r="E521" s="36"/>
      <c r="F521" s="74"/>
      <c r="G521" s="74" t="s">
        <v>694</v>
      </c>
      <c r="H521" s="36"/>
      <c r="I521" s="36"/>
      <c r="J521" s="36"/>
      <c r="K521" s="36"/>
      <c r="L521" s="36"/>
      <c r="M521" s="36"/>
      <c r="N521" s="36"/>
      <c r="O521" s="36"/>
      <c r="P521" s="36"/>
      <c r="Q521" s="36"/>
      <c r="R521" s="36"/>
      <c r="S521" s="36"/>
      <c r="T521" s="36"/>
      <c r="U521" s="36"/>
    </row>
    <row r="522" spans="1:21">
      <c r="A522" s="74" t="s">
        <v>250</v>
      </c>
      <c r="B522" s="36">
        <v>322913</v>
      </c>
      <c r="C522" s="36">
        <v>50290</v>
      </c>
      <c r="D522" s="74" t="s">
        <v>619</v>
      </c>
      <c r="E522" s="36"/>
      <c r="F522" s="74"/>
      <c r="G522" s="74" t="s">
        <v>693</v>
      </c>
      <c r="H522" s="36"/>
      <c r="I522" s="36"/>
      <c r="J522" s="36"/>
      <c r="K522" s="36"/>
      <c r="L522" s="36"/>
      <c r="M522" s="36"/>
      <c r="N522" s="36"/>
      <c r="O522" s="36"/>
      <c r="P522" s="36"/>
      <c r="Q522" s="36"/>
      <c r="R522" s="36"/>
      <c r="S522" s="36"/>
      <c r="T522" s="36"/>
      <c r="U522" s="36"/>
    </row>
    <row r="523" spans="1:21">
      <c r="A523" s="74" t="s">
        <v>250</v>
      </c>
      <c r="B523" s="36">
        <v>342047</v>
      </c>
      <c r="C523" s="36">
        <v>41190</v>
      </c>
      <c r="D523" s="74" t="s">
        <v>619</v>
      </c>
      <c r="E523" s="36"/>
      <c r="F523" s="74"/>
      <c r="G523" s="74" t="s">
        <v>693</v>
      </c>
      <c r="H523" s="36"/>
      <c r="I523" s="36"/>
      <c r="J523" s="36"/>
      <c r="K523" s="36"/>
      <c r="L523" s="36"/>
      <c r="M523" s="36"/>
      <c r="N523" s="36"/>
      <c r="O523" s="36"/>
      <c r="P523" s="36"/>
      <c r="Q523" s="36"/>
      <c r="R523" s="36"/>
      <c r="S523" s="36"/>
      <c r="T523" s="36"/>
      <c r="U523" s="36"/>
    </row>
    <row r="524" spans="1:21">
      <c r="A524" s="74" t="s">
        <v>250</v>
      </c>
      <c r="B524" s="36">
        <v>342059</v>
      </c>
      <c r="C524" s="36">
        <v>41190</v>
      </c>
      <c r="D524" s="74" t="s">
        <v>619</v>
      </c>
      <c r="E524" s="36"/>
      <c r="F524" s="74"/>
      <c r="G524" s="74" t="s">
        <v>693</v>
      </c>
      <c r="H524" s="36"/>
      <c r="I524" s="36"/>
      <c r="J524" s="36"/>
      <c r="K524" s="36"/>
      <c r="L524" s="36"/>
      <c r="M524" s="36"/>
      <c r="N524" s="36"/>
      <c r="O524" s="36"/>
      <c r="P524" s="36"/>
      <c r="Q524" s="36"/>
      <c r="R524" s="36"/>
      <c r="S524" s="36"/>
      <c r="T524" s="36"/>
      <c r="U524" s="36"/>
    </row>
    <row r="525" spans="1:21">
      <c r="A525" s="74" t="s">
        <v>250</v>
      </c>
      <c r="B525" s="36">
        <v>342058</v>
      </c>
      <c r="C525" s="36">
        <v>41190</v>
      </c>
      <c r="D525" s="74" t="s">
        <v>619</v>
      </c>
      <c r="E525" s="36"/>
      <c r="F525" s="74"/>
      <c r="G525" s="74" t="s">
        <v>693</v>
      </c>
      <c r="H525" s="36"/>
      <c r="I525" s="36"/>
      <c r="J525" s="36"/>
      <c r="K525" s="36"/>
      <c r="L525" s="36"/>
      <c r="M525" s="36"/>
      <c r="N525" s="36"/>
      <c r="O525" s="36"/>
      <c r="P525" s="36"/>
      <c r="Q525" s="36"/>
      <c r="R525" s="36"/>
      <c r="S525" s="36"/>
      <c r="T525" s="36"/>
      <c r="U525" s="36"/>
    </row>
    <row r="526" spans="1:21">
      <c r="A526" s="74" t="s">
        <v>250</v>
      </c>
      <c r="B526" s="36">
        <v>342050</v>
      </c>
      <c r="C526" s="36">
        <v>41190</v>
      </c>
      <c r="D526" s="74" t="s">
        <v>619</v>
      </c>
      <c r="E526" s="36"/>
      <c r="F526" s="74"/>
      <c r="G526" s="74" t="s">
        <v>693</v>
      </c>
      <c r="H526" s="36"/>
      <c r="I526" s="36"/>
      <c r="J526" s="36"/>
      <c r="K526" s="36"/>
      <c r="L526" s="36"/>
      <c r="M526" s="36"/>
      <c r="N526" s="36"/>
      <c r="O526" s="36"/>
      <c r="P526" s="36"/>
      <c r="Q526" s="36"/>
      <c r="R526" s="36"/>
      <c r="S526" s="36"/>
      <c r="T526" s="36"/>
      <c r="U526" s="36"/>
    </row>
    <row r="527" spans="1:21">
      <c r="A527" s="74" t="s">
        <v>250</v>
      </c>
      <c r="B527" s="36">
        <v>342051</v>
      </c>
      <c r="C527" s="36">
        <v>41190</v>
      </c>
      <c r="D527" s="74" t="s">
        <v>619</v>
      </c>
      <c r="E527" s="36"/>
      <c r="F527" s="74"/>
      <c r="G527" s="74" t="s">
        <v>693</v>
      </c>
      <c r="H527" s="36"/>
      <c r="I527" s="36"/>
      <c r="J527" s="36"/>
      <c r="K527" s="36"/>
      <c r="L527" s="36"/>
      <c r="M527" s="36"/>
      <c r="N527" s="36"/>
      <c r="O527" s="36"/>
      <c r="P527" s="36"/>
      <c r="Q527" s="36"/>
      <c r="R527" s="36"/>
      <c r="S527" s="36"/>
      <c r="T527" s="36"/>
      <c r="U527" s="36"/>
    </row>
    <row r="528" spans="1:21">
      <c r="A528" s="74" t="s">
        <v>250</v>
      </c>
      <c r="B528" s="36">
        <v>342052</v>
      </c>
      <c r="C528" s="36">
        <v>41190</v>
      </c>
      <c r="D528" s="74" t="s">
        <v>619</v>
      </c>
      <c r="E528" s="36"/>
      <c r="F528" s="74"/>
      <c r="G528" s="74" t="s">
        <v>693</v>
      </c>
      <c r="H528" s="36"/>
      <c r="I528" s="36"/>
      <c r="J528" s="36"/>
      <c r="K528" s="36"/>
      <c r="L528" s="36"/>
      <c r="M528" s="36"/>
      <c r="N528" s="36"/>
      <c r="O528" s="36"/>
      <c r="P528" s="36"/>
      <c r="Q528" s="36"/>
      <c r="R528" s="36"/>
      <c r="S528" s="36"/>
      <c r="T528" s="36"/>
      <c r="U528" s="36"/>
    </row>
    <row r="529" spans="1:21">
      <c r="A529" s="74" t="s">
        <v>250</v>
      </c>
      <c r="B529" s="36">
        <v>342053</v>
      </c>
      <c r="C529" s="36">
        <v>41190</v>
      </c>
      <c r="D529" s="74" t="s">
        <v>619</v>
      </c>
      <c r="E529" s="36"/>
      <c r="F529" s="74"/>
      <c r="G529" s="74" t="s">
        <v>693</v>
      </c>
      <c r="H529" s="36"/>
      <c r="I529" s="36"/>
      <c r="J529" s="36"/>
      <c r="K529" s="36"/>
      <c r="L529" s="36"/>
      <c r="M529" s="36"/>
      <c r="N529" s="36"/>
      <c r="O529" s="36"/>
      <c r="P529" s="36"/>
      <c r="Q529" s="36"/>
      <c r="R529" s="36"/>
      <c r="S529" s="36"/>
      <c r="T529" s="36"/>
      <c r="U529" s="36"/>
    </row>
    <row r="530" spans="1:21">
      <c r="A530" s="74" t="s">
        <v>250</v>
      </c>
      <c r="B530" s="36">
        <v>342056</v>
      </c>
      <c r="C530" s="36">
        <v>41190</v>
      </c>
      <c r="D530" s="74" t="s">
        <v>619</v>
      </c>
      <c r="E530" s="36"/>
      <c r="F530" s="74"/>
      <c r="G530" s="74" t="s">
        <v>693</v>
      </c>
      <c r="H530" s="36"/>
      <c r="I530" s="36"/>
      <c r="J530" s="36"/>
      <c r="K530" s="36"/>
      <c r="L530" s="36"/>
      <c r="M530" s="36"/>
      <c r="N530" s="36"/>
      <c r="O530" s="36"/>
      <c r="P530" s="36"/>
      <c r="Q530" s="36"/>
      <c r="R530" s="36"/>
      <c r="S530" s="36"/>
      <c r="T530" s="36"/>
      <c r="U530" s="36"/>
    </row>
    <row r="531" spans="1:21">
      <c r="A531" s="74" t="s">
        <v>250</v>
      </c>
      <c r="B531" s="36">
        <v>342054</v>
      </c>
      <c r="C531" s="36">
        <v>41190</v>
      </c>
      <c r="D531" s="74" t="s">
        <v>619</v>
      </c>
      <c r="E531" s="36"/>
      <c r="F531" s="74"/>
      <c r="G531" s="74" t="s">
        <v>693</v>
      </c>
      <c r="H531" s="36"/>
      <c r="I531" s="36"/>
      <c r="J531" s="36"/>
      <c r="K531" s="36"/>
      <c r="L531" s="36"/>
      <c r="M531" s="36"/>
      <c r="N531" s="36"/>
      <c r="O531" s="36"/>
      <c r="P531" s="36"/>
      <c r="Q531" s="36"/>
      <c r="R531" s="36"/>
      <c r="S531" s="36"/>
      <c r="T531" s="36"/>
      <c r="U531" s="36"/>
    </row>
    <row r="532" spans="1:21">
      <c r="A532" s="74" t="s">
        <v>250</v>
      </c>
      <c r="B532" s="36">
        <v>342055</v>
      </c>
      <c r="C532" s="36">
        <v>41190</v>
      </c>
      <c r="D532" s="74" t="s">
        <v>619</v>
      </c>
      <c r="E532" s="36"/>
      <c r="F532" s="74"/>
      <c r="G532" s="74" t="s">
        <v>693</v>
      </c>
      <c r="H532" s="36"/>
      <c r="I532" s="36"/>
      <c r="J532" s="36"/>
      <c r="K532" s="36"/>
      <c r="L532" s="36"/>
      <c r="M532" s="36"/>
      <c r="N532" s="36"/>
      <c r="O532" s="36"/>
      <c r="P532" s="36"/>
      <c r="Q532" s="36"/>
      <c r="R532" s="36"/>
      <c r="S532" s="36"/>
      <c r="T532" s="36"/>
      <c r="U532" s="36"/>
    </row>
    <row r="533" spans="1:21">
      <c r="A533" s="74" t="s">
        <v>250</v>
      </c>
      <c r="B533" s="36">
        <v>342057</v>
      </c>
      <c r="C533" s="36">
        <v>41190</v>
      </c>
      <c r="D533" s="74" t="s">
        <v>619</v>
      </c>
      <c r="E533" s="36"/>
      <c r="F533" s="74"/>
      <c r="G533" s="74" t="s">
        <v>693</v>
      </c>
      <c r="H533" s="36"/>
      <c r="I533" s="36"/>
      <c r="J533" s="36"/>
      <c r="K533" s="36"/>
      <c r="L533" s="36"/>
      <c r="M533" s="36"/>
      <c r="N533" s="36"/>
      <c r="O533" s="36"/>
      <c r="P533" s="36"/>
      <c r="Q533" s="36"/>
      <c r="R533" s="36"/>
      <c r="S533" s="36"/>
      <c r="T533" s="36"/>
      <c r="U533" s="36"/>
    </row>
    <row r="534" spans="1:21">
      <c r="A534" s="74" t="s">
        <v>250</v>
      </c>
      <c r="B534" s="36">
        <v>342049</v>
      </c>
      <c r="C534" s="36">
        <v>41190</v>
      </c>
      <c r="D534" s="74" t="s">
        <v>619</v>
      </c>
      <c r="E534" s="36"/>
      <c r="F534" s="74"/>
      <c r="G534" s="74" t="s">
        <v>693</v>
      </c>
      <c r="H534" s="36"/>
      <c r="I534" s="36"/>
      <c r="J534" s="36"/>
      <c r="K534" s="36"/>
      <c r="L534" s="36"/>
      <c r="M534" s="36"/>
      <c r="N534" s="36"/>
      <c r="O534" s="36"/>
      <c r="P534" s="36"/>
      <c r="Q534" s="36"/>
      <c r="R534" s="36"/>
      <c r="S534" s="36"/>
      <c r="T534" s="36"/>
      <c r="U534" s="36"/>
    </row>
    <row r="535" spans="1:21">
      <c r="A535" s="74" t="s">
        <v>250</v>
      </c>
      <c r="B535" s="36">
        <v>342048</v>
      </c>
      <c r="C535" s="36">
        <v>41190</v>
      </c>
      <c r="D535" s="74" t="s">
        <v>619</v>
      </c>
      <c r="E535" s="36"/>
      <c r="F535" s="74"/>
      <c r="G535" s="74" t="s">
        <v>693</v>
      </c>
      <c r="H535" s="36"/>
      <c r="I535" s="36"/>
      <c r="J535" s="36"/>
      <c r="K535" s="36"/>
      <c r="L535" s="36"/>
      <c r="M535" s="36"/>
      <c r="N535" s="36"/>
      <c r="O535" s="36"/>
      <c r="P535" s="36"/>
      <c r="Q535" s="36"/>
      <c r="R535" s="36"/>
      <c r="S535" s="36"/>
      <c r="T535" s="36"/>
      <c r="U535" s="36"/>
    </row>
    <row r="536" spans="1:21">
      <c r="A536" s="74" t="s">
        <v>250</v>
      </c>
      <c r="B536" s="36">
        <v>322916</v>
      </c>
      <c r="C536" s="36">
        <v>41190</v>
      </c>
      <c r="D536" s="74" t="s">
        <v>619</v>
      </c>
      <c r="E536" s="36"/>
      <c r="F536" s="74"/>
      <c r="G536" s="74" t="s">
        <v>693</v>
      </c>
      <c r="H536" s="36"/>
      <c r="I536" s="36"/>
      <c r="J536" s="36"/>
      <c r="K536" s="36"/>
      <c r="L536" s="36"/>
      <c r="M536" s="36"/>
      <c r="N536" s="36"/>
      <c r="O536" s="36"/>
      <c r="P536" s="36"/>
      <c r="Q536" s="36"/>
      <c r="R536" s="36"/>
      <c r="S536" s="36"/>
      <c r="T536" s="36"/>
      <c r="U536" s="36"/>
    </row>
    <row r="537" spans="1:21">
      <c r="A537" s="74" t="s">
        <v>250</v>
      </c>
      <c r="B537" s="36">
        <v>322927</v>
      </c>
      <c r="C537" s="36">
        <v>41190</v>
      </c>
      <c r="D537" s="74" t="s">
        <v>619</v>
      </c>
      <c r="E537" s="36"/>
      <c r="F537" s="74"/>
      <c r="G537" s="74" t="s">
        <v>693</v>
      </c>
      <c r="H537" s="36"/>
      <c r="I537" s="36"/>
      <c r="J537" s="36"/>
      <c r="K537" s="36"/>
      <c r="L537" s="36"/>
      <c r="M537" s="36"/>
      <c r="N537" s="36"/>
      <c r="O537" s="36"/>
      <c r="P537" s="36"/>
      <c r="Q537" s="36"/>
      <c r="R537" s="36"/>
      <c r="S537" s="36"/>
      <c r="T537" s="36"/>
      <c r="U537" s="36"/>
    </row>
    <row r="538" spans="1:21">
      <c r="A538" s="74" t="s">
        <v>250</v>
      </c>
      <c r="B538" s="36">
        <v>322926</v>
      </c>
      <c r="C538" s="36">
        <v>41190</v>
      </c>
      <c r="D538" s="74" t="s">
        <v>619</v>
      </c>
      <c r="E538" s="36"/>
      <c r="F538" s="74"/>
      <c r="G538" s="74" t="s">
        <v>693</v>
      </c>
      <c r="H538" s="36"/>
      <c r="I538" s="36"/>
      <c r="J538" s="36"/>
      <c r="K538" s="36"/>
      <c r="L538" s="36"/>
      <c r="M538" s="36"/>
      <c r="N538" s="36"/>
      <c r="O538" s="36"/>
      <c r="P538" s="36"/>
      <c r="Q538" s="36"/>
      <c r="R538" s="36"/>
      <c r="S538" s="36"/>
      <c r="T538" s="36"/>
      <c r="U538" s="36"/>
    </row>
    <row r="539" spans="1:21">
      <c r="A539" s="74" t="s">
        <v>250</v>
      </c>
      <c r="B539" s="36">
        <v>322918</v>
      </c>
      <c r="C539" s="36">
        <v>41190</v>
      </c>
      <c r="D539" s="74" t="s">
        <v>619</v>
      </c>
      <c r="E539" s="36"/>
      <c r="F539" s="74"/>
      <c r="G539" s="74" t="s">
        <v>693</v>
      </c>
      <c r="H539" s="36"/>
      <c r="I539" s="36"/>
      <c r="J539" s="36"/>
      <c r="K539" s="36"/>
      <c r="L539" s="36"/>
      <c r="M539" s="36"/>
      <c r="N539" s="36"/>
      <c r="O539" s="36"/>
      <c r="P539" s="36"/>
      <c r="Q539" s="36"/>
      <c r="R539" s="36"/>
      <c r="S539" s="36"/>
      <c r="T539" s="36"/>
      <c r="U539" s="36"/>
    </row>
    <row r="540" spans="1:21">
      <c r="A540" s="74" t="s">
        <v>250</v>
      </c>
      <c r="B540" s="36">
        <v>322919</v>
      </c>
      <c r="C540" s="36">
        <v>41190</v>
      </c>
      <c r="D540" s="74" t="s">
        <v>619</v>
      </c>
      <c r="E540" s="36"/>
      <c r="F540" s="74"/>
      <c r="G540" s="74" t="s">
        <v>693</v>
      </c>
      <c r="H540" s="36"/>
      <c r="I540" s="36"/>
      <c r="J540" s="36"/>
      <c r="K540" s="36"/>
      <c r="L540" s="36"/>
      <c r="M540" s="36"/>
      <c r="N540" s="36"/>
      <c r="O540" s="36"/>
      <c r="P540" s="36"/>
      <c r="Q540" s="36"/>
      <c r="R540" s="36"/>
      <c r="S540" s="36"/>
      <c r="T540" s="36"/>
      <c r="U540" s="36"/>
    </row>
    <row r="541" spans="1:21">
      <c r="A541" s="74" t="s">
        <v>250</v>
      </c>
      <c r="B541" s="36">
        <v>322920</v>
      </c>
      <c r="C541" s="36">
        <v>41190</v>
      </c>
      <c r="D541" s="74" t="s">
        <v>619</v>
      </c>
      <c r="E541" s="36"/>
      <c r="F541" s="74"/>
      <c r="G541" s="74" t="s">
        <v>693</v>
      </c>
      <c r="H541" s="36"/>
      <c r="I541" s="36"/>
      <c r="J541" s="36"/>
      <c r="K541" s="36"/>
      <c r="L541" s="36"/>
      <c r="M541" s="36"/>
      <c r="N541" s="36"/>
      <c r="O541" s="36"/>
      <c r="P541" s="36"/>
      <c r="Q541" s="36"/>
      <c r="R541" s="36"/>
      <c r="S541" s="36"/>
      <c r="T541" s="36"/>
      <c r="U541" s="36"/>
    </row>
    <row r="542" spans="1:21">
      <c r="A542" s="74" t="s">
        <v>250</v>
      </c>
      <c r="B542" s="36">
        <v>322921</v>
      </c>
      <c r="C542" s="36">
        <v>41190</v>
      </c>
      <c r="D542" s="74" t="s">
        <v>619</v>
      </c>
      <c r="E542" s="36"/>
      <c r="F542" s="74"/>
      <c r="G542" s="74" t="s">
        <v>693</v>
      </c>
      <c r="H542" s="36"/>
      <c r="I542" s="36"/>
      <c r="J542" s="36"/>
      <c r="K542" s="36"/>
      <c r="L542" s="36"/>
      <c r="M542" s="36"/>
      <c r="N542" s="36"/>
      <c r="O542" s="36"/>
      <c r="P542" s="36"/>
      <c r="Q542" s="36"/>
      <c r="R542" s="36"/>
      <c r="S542" s="36"/>
      <c r="T542" s="36"/>
      <c r="U542" s="36"/>
    </row>
    <row r="543" spans="1:21">
      <c r="A543" s="74" t="s">
        <v>250</v>
      </c>
      <c r="B543" s="36">
        <v>322924</v>
      </c>
      <c r="C543" s="36">
        <v>41190</v>
      </c>
      <c r="D543" s="74" t="s">
        <v>619</v>
      </c>
      <c r="E543" s="36"/>
      <c r="F543" s="74"/>
      <c r="G543" s="74" t="s">
        <v>693</v>
      </c>
      <c r="H543" s="36"/>
      <c r="I543" s="36"/>
      <c r="J543" s="36"/>
      <c r="K543" s="36"/>
      <c r="L543" s="36"/>
      <c r="M543" s="36"/>
      <c r="N543" s="36"/>
      <c r="O543" s="36"/>
      <c r="P543" s="36"/>
      <c r="Q543" s="36"/>
      <c r="R543" s="36"/>
      <c r="S543" s="36"/>
      <c r="T543" s="36"/>
      <c r="U543" s="36"/>
    </row>
    <row r="544" spans="1:21">
      <c r="A544" s="74" t="s">
        <v>250</v>
      </c>
      <c r="B544" s="36">
        <v>322922</v>
      </c>
      <c r="C544" s="36">
        <v>41190</v>
      </c>
      <c r="D544" s="74" t="s">
        <v>619</v>
      </c>
      <c r="E544" s="36"/>
      <c r="F544" s="74"/>
      <c r="G544" s="74" t="s">
        <v>693</v>
      </c>
      <c r="H544" s="36"/>
      <c r="I544" s="36"/>
      <c r="J544" s="36"/>
      <c r="K544" s="36"/>
      <c r="L544" s="36"/>
      <c r="M544" s="36"/>
      <c r="N544" s="36"/>
      <c r="O544" s="36"/>
      <c r="P544" s="36"/>
      <c r="Q544" s="36"/>
      <c r="R544" s="36"/>
      <c r="S544" s="36"/>
      <c r="T544" s="36"/>
      <c r="U544" s="36"/>
    </row>
    <row r="545" spans="1:21">
      <c r="A545" s="74" t="s">
        <v>250</v>
      </c>
      <c r="B545" s="36">
        <v>322923</v>
      </c>
      <c r="C545" s="36">
        <v>41190</v>
      </c>
      <c r="D545" s="74" t="s">
        <v>619</v>
      </c>
      <c r="E545" s="36"/>
      <c r="F545" s="74"/>
      <c r="G545" s="74" t="s">
        <v>693</v>
      </c>
      <c r="H545" s="36"/>
      <c r="I545" s="36"/>
      <c r="J545" s="36"/>
      <c r="K545" s="36"/>
      <c r="L545" s="36"/>
      <c r="M545" s="36"/>
      <c r="N545" s="36"/>
      <c r="O545" s="36"/>
      <c r="P545" s="36"/>
      <c r="Q545" s="36"/>
      <c r="R545" s="36"/>
      <c r="S545" s="36"/>
      <c r="T545" s="36"/>
      <c r="U545" s="36"/>
    </row>
    <row r="546" spans="1:21">
      <c r="A546" s="74" t="s">
        <v>250</v>
      </c>
      <c r="B546" s="36">
        <v>322925</v>
      </c>
      <c r="C546" s="36">
        <v>41190</v>
      </c>
      <c r="D546" s="74" t="s">
        <v>619</v>
      </c>
      <c r="E546" s="36"/>
      <c r="F546" s="74"/>
      <c r="G546" s="74" t="s">
        <v>693</v>
      </c>
      <c r="H546" s="36"/>
      <c r="I546" s="36"/>
      <c r="J546" s="36"/>
      <c r="K546" s="36"/>
      <c r="L546" s="36"/>
      <c r="M546" s="36"/>
      <c r="N546" s="36"/>
      <c r="O546" s="36"/>
      <c r="P546" s="36"/>
      <c r="Q546" s="36"/>
      <c r="R546" s="36"/>
      <c r="S546" s="36"/>
      <c r="T546" s="36"/>
      <c r="U546" s="36"/>
    </row>
    <row r="547" spans="1:21">
      <c r="A547" s="74" t="s">
        <v>250</v>
      </c>
      <c r="B547" s="36">
        <v>322917</v>
      </c>
      <c r="C547" s="36">
        <v>41190</v>
      </c>
      <c r="D547" s="74" t="s">
        <v>619</v>
      </c>
      <c r="E547" s="36"/>
      <c r="F547" s="74"/>
      <c r="G547" s="74" t="s">
        <v>693</v>
      </c>
      <c r="H547" s="36"/>
      <c r="I547" s="36"/>
      <c r="J547" s="36"/>
      <c r="K547" s="36"/>
      <c r="L547" s="36"/>
      <c r="M547" s="36"/>
      <c r="N547" s="36"/>
      <c r="O547" s="36"/>
      <c r="P547" s="36"/>
      <c r="Q547" s="36"/>
      <c r="R547" s="36"/>
      <c r="S547" s="36"/>
      <c r="T547" s="36"/>
      <c r="U547" s="36"/>
    </row>
    <row r="548" spans="1:21">
      <c r="A548" s="74" t="s">
        <v>250</v>
      </c>
      <c r="B548" s="36">
        <v>322928</v>
      </c>
      <c r="C548" s="36">
        <v>49090</v>
      </c>
      <c r="D548" s="74" t="s">
        <v>616</v>
      </c>
      <c r="E548" s="36"/>
      <c r="F548" s="74"/>
      <c r="G548" s="74" t="s">
        <v>692</v>
      </c>
      <c r="H548" s="36"/>
      <c r="I548" s="36"/>
      <c r="J548" s="36"/>
      <c r="K548" s="36"/>
      <c r="L548" s="36"/>
      <c r="M548" s="36"/>
      <c r="N548" s="36"/>
      <c r="O548" s="36"/>
      <c r="P548" s="36"/>
      <c r="Q548" s="36"/>
      <c r="R548" s="36"/>
      <c r="S548" s="36"/>
      <c r="T548" s="36"/>
      <c r="U548" s="36"/>
    </row>
    <row r="549" spans="1:21">
      <c r="A549" s="74" t="s">
        <v>250</v>
      </c>
      <c r="B549" s="36">
        <v>342070</v>
      </c>
      <c r="C549" s="36">
        <v>39990</v>
      </c>
      <c r="D549" s="74" t="s">
        <v>616</v>
      </c>
      <c r="E549" s="36"/>
      <c r="F549" s="74"/>
      <c r="G549" s="74" t="s">
        <v>692</v>
      </c>
      <c r="H549" s="36"/>
      <c r="I549" s="36"/>
      <c r="J549" s="36"/>
      <c r="K549" s="36"/>
      <c r="L549" s="36"/>
      <c r="M549" s="36"/>
      <c r="N549" s="36"/>
      <c r="O549" s="36"/>
      <c r="P549" s="36"/>
      <c r="Q549" s="36"/>
      <c r="R549" s="36"/>
      <c r="S549" s="36"/>
      <c r="T549" s="36"/>
      <c r="U549" s="36"/>
    </row>
    <row r="550" spans="1:21">
      <c r="A550" s="74" t="s">
        <v>250</v>
      </c>
      <c r="B550" s="36">
        <v>342082</v>
      </c>
      <c r="C550" s="36">
        <v>39990</v>
      </c>
      <c r="D550" s="74" t="s">
        <v>616</v>
      </c>
      <c r="E550" s="36"/>
      <c r="F550" s="74"/>
      <c r="G550" s="74" t="s">
        <v>692</v>
      </c>
      <c r="H550" s="36"/>
      <c r="I550" s="36"/>
      <c r="J550" s="36"/>
      <c r="K550" s="36"/>
      <c r="L550" s="36"/>
      <c r="M550" s="36"/>
      <c r="N550" s="36"/>
      <c r="O550" s="36"/>
      <c r="P550" s="36"/>
      <c r="Q550" s="36"/>
      <c r="R550" s="36"/>
      <c r="S550" s="36"/>
      <c r="T550" s="36"/>
      <c r="U550" s="36"/>
    </row>
    <row r="551" spans="1:21">
      <c r="A551" s="74" t="s">
        <v>250</v>
      </c>
      <c r="B551" s="36">
        <v>342081</v>
      </c>
      <c r="C551" s="36">
        <v>39990</v>
      </c>
      <c r="D551" s="74" t="s">
        <v>616</v>
      </c>
      <c r="E551" s="36"/>
      <c r="F551" s="74"/>
      <c r="G551" s="74" t="s">
        <v>692</v>
      </c>
      <c r="H551" s="36"/>
      <c r="I551" s="36"/>
      <c r="J551" s="36"/>
      <c r="K551" s="36"/>
      <c r="L551" s="36"/>
      <c r="M551" s="36"/>
      <c r="N551" s="36"/>
      <c r="O551" s="36"/>
      <c r="P551" s="36"/>
      <c r="Q551" s="36"/>
      <c r="R551" s="36"/>
      <c r="S551" s="36"/>
      <c r="T551" s="36"/>
      <c r="U551" s="36"/>
    </row>
    <row r="552" spans="1:21">
      <c r="A552" s="74" t="s">
        <v>250</v>
      </c>
      <c r="B552" s="36">
        <v>342073</v>
      </c>
      <c r="C552" s="36">
        <v>39990</v>
      </c>
      <c r="D552" s="74" t="s">
        <v>616</v>
      </c>
      <c r="E552" s="36"/>
      <c r="F552" s="74"/>
      <c r="G552" s="74" t="s">
        <v>692</v>
      </c>
      <c r="H552" s="36"/>
      <c r="I552" s="36"/>
      <c r="J552" s="36"/>
      <c r="K552" s="36"/>
      <c r="L552" s="36"/>
      <c r="M552" s="36"/>
      <c r="N552" s="36"/>
      <c r="O552" s="36"/>
      <c r="P552" s="36"/>
      <c r="Q552" s="36"/>
      <c r="R552" s="36"/>
      <c r="S552" s="36"/>
      <c r="T552" s="36"/>
      <c r="U552" s="36"/>
    </row>
    <row r="553" spans="1:21">
      <c r="A553" s="74" t="s">
        <v>250</v>
      </c>
      <c r="B553" s="36">
        <v>342074</v>
      </c>
      <c r="C553" s="36">
        <v>39990</v>
      </c>
      <c r="D553" s="74" t="s">
        <v>616</v>
      </c>
      <c r="E553" s="36"/>
      <c r="F553" s="74"/>
      <c r="G553" s="74" t="s">
        <v>692</v>
      </c>
      <c r="H553" s="36"/>
      <c r="I553" s="36"/>
      <c r="J553" s="36"/>
      <c r="K553" s="36"/>
      <c r="L553" s="36"/>
      <c r="M553" s="36"/>
      <c r="N553" s="36"/>
      <c r="O553" s="36"/>
      <c r="P553" s="36"/>
      <c r="Q553" s="36"/>
      <c r="R553" s="36"/>
      <c r="S553" s="36"/>
      <c r="T553" s="36"/>
      <c r="U553" s="36"/>
    </row>
    <row r="554" spans="1:21">
      <c r="A554" s="74" t="s">
        <v>250</v>
      </c>
      <c r="B554" s="36">
        <v>342075</v>
      </c>
      <c r="C554" s="36">
        <v>39990</v>
      </c>
      <c r="D554" s="74" t="s">
        <v>616</v>
      </c>
      <c r="E554" s="36"/>
      <c r="F554" s="74"/>
      <c r="G554" s="74" t="s">
        <v>692</v>
      </c>
      <c r="H554" s="36"/>
      <c r="I554" s="36"/>
      <c r="J554" s="36"/>
      <c r="K554" s="36"/>
      <c r="L554" s="36"/>
      <c r="M554" s="36"/>
      <c r="N554" s="36"/>
      <c r="O554" s="36"/>
      <c r="P554" s="36"/>
      <c r="Q554" s="36"/>
      <c r="R554" s="36"/>
      <c r="S554" s="36"/>
      <c r="T554" s="36"/>
      <c r="U554" s="36"/>
    </row>
    <row r="555" spans="1:21">
      <c r="A555" s="74" t="s">
        <v>250</v>
      </c>
      <c r="B555" s="36">
        <v>342076</v>
      </c>
      <c r="C555" s="36">
        <v>39990</v>
      </c>
      <c r="D555" s="74" t="s">
        <v>616</v>
      </c>
      <c r="E555" s="36"/>
      <c r="F555" s="74"/>
      <c r="G555" s="74" t="s">
        <v>692</v>
      </c>
      <c r="H555" s="36"/>
      <c r="I555" s="36"/>
      <c r="J555" s="36"/>
      <c r="K555" s="36"/>
      <c r="L555" s="36"/>
      <c r="M555" s="36"/>
      <c r="N555" s="36"/>
      <c r="O555" s="36"/>
      <c r="P555" s="36"/>
      <c r="Q555" s="36"/>
      <c r="R555" s="36"/>
      <c r="S555" s="36"/>
      <c r="T555" s="36"/>
      <c r="U555" s="36"/>
    </row>
    <row r="556" spans="1:21">
      <c r="A556" s="74" t="s">
        <v>250</v>
      </c>
      <c r="B556" s="36">
        <v>342079</v>
      </c>
      <c r="C556" s="36">
        <v>39990</v>
      </c>
      <c r="D556" s="74" t="s">
        <v>616</v>
      </c>
      <c r="E556" s="36"/>
      <c r="F556" s="74"/>
      <c r="G556" s="74" t="s">
        <v>692</v>
      </c>
      <c r="H556" s="36"/>
      <c r="I556" s="36"/>
      <c r="J556" s="36"/>
      <c r="K556" s="36"/>
      <c r="L556" s="36"/>
      <c r="M556" s="36"/>
      <c r="N556" s="36"/>
      <c r="O556" s="36"/>
      <c r="P556" s="36"/>
      <c r="Q556" s="36"/>
      <c r="R556" s="36"/>
      <c r="S556" s="36"/>
      <c r="T556" s="36"/>
      <c r="U556" s="36"/>
    </row>
    <row r="557" spans="1:21">
      <c r="A557" s="74" t="s">
        <v>250</v>
      </c>
      <c r="B557" s="36">
        <v>342077</v>
      </c>
      <c r="C557" s="36">
        <v>39990</v>
      </c>
      <c r="D557" s="74" t="s">
        <v>616</v>
      </c>
      <c r="E557" s="36"/>
      <c r="F557" s="74"/>
      <c r="G557" s="74" t="s">
        <v>692</v>
      </c>
      <c r="H557" s="36"/>
      <c r="I557" s="36"/>
      <c r="J557" s="36"/>
      <c r="K557" s="36"/>
      <c r="L557" s="36"/>
      <c r="M557" s="36"/>
      <c r="N557" s="36"/>
      <c r="O557" s="36"/>
      <c r="P557" s="36"/>
      <c r="Q557" s="36"/>
      <c r="R557" s="36"/>
      <c r="S557" s="36"/>
      <c r="T557" s="36"/>
      <c r="U557" s="36"/>
    </row>
    <row r="558" spans="1:21">
      <c r="A558" s="74" t="s">
        <v>250</v>
      </c>
      <c r="B558" s="36">
        <v>342078</v>
      </c>
      <c r="C558" s="36">
        <v>39990</v>
      </c>
      <c r="D558" s="74" t="s">
        <v>616</v>
      </c>
      <c r="E558" s="36"/>
      <c r="F558" s="74"/>
      <c r="G558" s="74" t="s">
        <v>692</v>
      </c>
      <c r="H558" s="36"/>
      <c r="I558" s="36"/>
      <c r="J558" s="36"/>
      <c r="K558" s="36"/>
      <c r="L558" s="36"/>
      <c r="M558" s="36"/>
      <c r="N558" s="36"/>
      <c r="O558" s="36"/>
      <c r="P558" s="36"/>
      <c r="Q558" s="36"/>
      <c r="R558" s="36"/>
      <c r="S558" s="36"/>
      <c r="T558" s="36"/>
      <c r="U558" s="36"/>
    </row>
    <row r="559" spans="1:21">
      <c r="A559" s="74" t="s">
        <v>250</v>
      </c>
      <c r="B559" s="36">
        <v>342080</v>
      </c>
      <c r="C559" s="36">
        <v>39990</v>
      </c>
      <c r="D559" s="74" t="s">
        <v>616</v>
      </c>
      <c r="E559" s="36"/>
      <c r="F559" s="74"/>
      <c r="G559" s="74" t="s">
        <v>692</v>
      </c>
      <c r="H559" s="36"/>
      <c r="I559" s="36"/>
      <c r="J559" s="36"/>
      <c r="K559" s="36"/>
      <c r="L559" s="36"/>
      <c r="M559" s="36"/>
      <c r="N559" s="36"/>
      <c r="O559" s="36"/>
      <c r="P559" s="36"/>
      <c r="Q559" s="36"/>
      <c r="R559" s="36"/>
      <c r="S559" s="36"/>
      <c r="T559" s="36"/>
      <c r="U559" s="36"/>
    </row>
    <row r="560" spans="1:21">
      <c r="A560" s="74" t="s">
        <v>250</v>
      </c>
      <c r="B560" s="36">
        <v>342072</v>
      </c>
      <c r="C560" s="36">
        <v>39990</v>
      </c>
      <c r="D560" s="74" t="s">
        <v>616</v>
      </c>
      <c r="E560" s="36"/>
      <c r="F560" s="74"/>
      <c r="G560" s="74" t="s">
        <v>692</v>
      </c>
      <c r="H560" s="36"/>
      <c r="I560" s="36"/>
      <c r="J560" s="36"/>
      <c r="K560" s="36"/>
      <c r="L560" s="36"/>
      <c r="M560" s="36"/>
      <c r="N560" s="36"/>
      <c r="O560" s="36"/>
      <c r="P560" s="36"/>
      <c r="Q560" s="36"/>
      <c r="R560" s="36"/>
      <c r="S560" s="36"/>
      <c r="T560" s="36"/>
      <c r="U560" s="36"/>
    </row>
    <row r="561" spans="1:21">
      <c r="A561" s="74" t="s">
        <v>250</v>
      </c>
      <c r="B561" s="36">
        <v>342071</v>
      </c>
      <c r="C561" s="36">
        <v>39990</v>
      </c>
      <c r="D561" s="74" t="s">
        <v>616</v>
      </c>
      <c r="E561" s="36"/>
      <c r="F561" s="74"/>
      <c r="G561" s="74" t="s">
        <v>692</v>
      </c>
      <c r="H561" s="36"/>
      <c r="I561" s="36"/>
      <c r="J561" s="36"/>
      <c r="K561" s="36"/>
      <c r="L561" s="36"/>
      <c r="M561" s="36"/>
      <c r="N561" s="36"/>
      <c r="O561" s="36"/>
      <c r="P561" s="36"/>
      <c r="Q561" s="36"/>
      <c r="R561" s="36"/>
      <c r="S561" s="36"/>
      <c r="T561" s="36"/>
      <c r="U561" s="36"/>
    </row>
    <row r="562" spans="1:21">
      <c r="A562" s="74" t="s">
        <v>250</v>
      </c>
      <c r="B562" s="36">
        <v>322929</v>
      </c>
      <c r="C562" s="36">
        <v>39990</v>
      </c>
      <c r="D562" s="74" t="s">
        <v>616</v>
      </c>
      <c r="E562" s="36"/>
      <c r="F562" s="74"/>
      <c r="G562" s="74" t="s">
        <v>692</v>
      </c>
      <c r="H562" s="36"/>
      <c r="I562" s="36"/>
      <c r="J562" s="36"/>
      <c r="K562" s="36"/>
      <c r="L562" s="36"/>
      <c r="M562" s="36"/>
      <c r="N562" s="36"/>
      <c r="O562" s="36"/>
      <c r="P562" s="36"/>
      <c r="Q562" s="36"/>
      <c r="R562" s="36"/>
      <c r="S562" s="36"/>
      <c r="T562" s="36"/>
      <c r="U562" s="36"/>
    </row>
    <row r="563" spans="1:21">
      <c r="A563" s="74" t="s">
        <v>250</v>
      </c>
      <c r="B563" s="36">
        <v>322940</v>
      </c>
      <c r="C563" s="36">
        <v>39990</v>
      </c>
      <c r="D563" s="74" t="s">
        <v>616</v>
      </c>
      <c r="E563" s="36"/>
      <c r="F563" s="74"/>
      <c r="G563" s="74" t="s">
        <v>692</v>
      </c>
      <c r="H563" s="36"/>
      <c r="I563" s="36"/>
      <c r="J563" s="36"/>
      <c r="K563" s="36"/>
      <c r="L563" s="36"/>
      <c r="M563" s="36"/>
      <c r="N563" s="36"/>
      <c r="O563" s="36"/>
      <c r="P563" s="36"/>
      <c r="Q563" s="36"/>
      <c r="R563" s="36"/>
      <c r="S563" s="36"/>
      <c r="T563" s="36"/>
      <c r="U563" s="36"/>
    </row>
    <row r="564" spans="1:21">
      <c r="A564" s="74" t="s">
        <v>250</v>
      </c>
      <c r="B564" s="36">
        <v>322939</v>
      </c>
      <c r="C564" s="36">
        <v>39990</v>
      </c>
      <c r="D564" s="74" t="s">
        <v>616</v>
      </c>
      <c r="E564" s="36"/>
      <c r="F564" s="74"/>
      <c r="G564" s="74" t="s">
        <v>692</v>
      </c>
      <c r="H564" s="36"/>
      <c r="I564" s="36"/>
      <c r="J564" s="36"/>
      <c r="K564" s="36"/>
      <c r="L564" s="36"/>
      <c r="M564" s="36"/>
      <c r="N564" s="36"/>
      <c r="O564" s="36"/>
      <c r="P564" s="36"/>
      <c r="Q564" s="36"/>
      <c r="R564" s="36"/>
      <c r="S564" s="36"/>
      <c r="T564" s="36"/>
      <c r="U564" s="36"/>
    </row>
    <row r="565" spans="1:21">
      <c r="A565" s="74" t="s">
        <v>250</v>
      </c>
      <c r="B565" s="36">
        <v>322931</v>
      </c>
      <c r="C565" s="36">
        <v>39990</v>
      </c>
      <c r="D565" s="74" t="s">
        <v>616</v>
      </c>
      <c r="E565" s="36"/>
      <c r="F565" s="74"/>
      <c r="G565" s="74" t="s">
        <v>692</v>
      </c>
      <c r="H565" s="36"/>
      <c r="I565" s="36"/>
      <c r="J565" s="36"/>
      <c r="K565" s="36"/>
      <c r="L565" s="36"/>
      <c r="M565" s="36"/>
      <c r="N565" s="36"/>
      <c r="O565" s="36"/>
      <c r="P565" s="36"/>
      <c r="Q565" s="36"/>
      <c r="R565" s="36"/>
      <c r="S565" s="36"/>
      <c r="T565" s="36"/>
      <c r="U565" s="36"/>
    </row>
    <row r="566" spans="1:21">
      <c r="A566" s="74" t="s">
        <v>250</v>
      </c>
      <c r="B566" s="36">
        <v>322932</v>
      </c>
      <c r="C566" s="36">
        <v>39990</v>
      </c>
      <c r="D566" s="74" t="s">
        <v>616</v>
      </c>
      <c r="E566" s="36"/>
      <c r="F566" s="74"/>
      <c r="G566" s="74" t="s">
        <v>692</v>
      </c>
      <c r="H566" s="36"/>
      <c r="I566" s="36"/>
      <c r="J566" s="36"/>
      <c r="K566" s="36"/>
      <c r="L566" s="36"/>
      <c r="M566" s="36"/>
      <c r="N566" s="36"/>
      <c r="O566" s="36"/>
      <c r="P566" s="36"/>
      <c r="Q566" s="36"/>
      <c r="R566" s="36"/>
      <c r="S566" s="36"/>
      <c r="T566" s="36"/>
      <c r="U566" s="36"/>
    </row>
    <row r="567" spans="1:21">
      <c r="A567" s="74" t="s">
        <v>250</v>
      </c>
      <c r="B567" s="36">
        <v>322933</v>
      </c>
      <c r="C567" s="36">
        <v>39990</v>
      </c>
      <c r="D567" s="74" t="s">
        <v>616</v>
      </c>
      <c r="E567" s="36"/>
      <c r="F567" s="74"/>
      <c r="G567" s="74" t="s">
        <v>692</v>
      </c>
      <c r="H567" s="36"/>
      <c r="I567" s="36"/>
      <c r="J567" s="36"/>
      <c r="K567" s="36"/>
      <c r="L567" s="36"/>
      <c r="M567" s="36"/>
      <c r="N567" s="36"/>
      <c r="O567" s="36"/>
      <c r="P567" s="36"/>
      <c r="Q567" s="36"/>
      <c r="R567" s="36"/>
      <c r="S567" s="36"/>
      <c r="T567" s="36"/>
      <c r="U567" s="36"/>
    </row>
    <row r="568" spans="1:21">
      <c r="A568" s="74" t="s">
        <v>250</v>
      </c>
      <c r="B568" s="36">
        <v>322934</v>
      </c>
      <c r="C568" s="36">
        <v>39990</v>
      </c>
      <c r="D568" s="74" t="s">
        <v>616</v>
      </c>
      <c r="E568" s="36"/>
      <c r="F568" s="74"/>
      <c r="G568" s="74" t="s">
        <v>692</v>
      </c>
      <c r="H568" s="36"/>
      <c r="I568" s="36"/>
      <c r="J568" s="36"/>
      <c r="K568" s="36"/>
      <c r="L568" s="36"/>
      <c r="M568" s="36"/>
      <c r="N568" s="36"/>
      <c r="O568" s="36"/>
      <c r="P568" s="36"/>
      <c r="Q568" s="36"/>
      <c r="R568" s="36"/>
      <c r="S568" s="36"/>
      <c r="T568" s="36"/>
      <c r="U568" s="36"/>
    </row>
    <row r="569" spans="1:21">
      <c r="A569" s="74" t="s">
        <v>250</v>
      </c>
      <c r="B569" s="36">
        <v>322937</v>
      </c>
      <c r="C569" s="36">
        <v>39990</v>
      </c>
      <c r="D569" s="74" t="s">
        <v>616</v>
      </c>
      <c r="E569" s="36"/>
      <c r="F569" s="74"/>
      <c r="G569" s="74" t="s">
        <v>692</v>
      </c>
      <c r="H569" s="36"/>
      <c r="I569" s="36"/>
      <c r="J569" s="36"/>
      <c r="K569" s="36"/>
      <c r="L569" s="36"/>
      <c r="M569" s="36"/>
      <c r="N569" s="36"/>
      <c r="O569" s="36"/>
      <c r="P569" s="36"/>
      <c r="Q569" s="36"/>
      <c r="R569" s="36"/>
      <c r="S569" s="36"/>
      <c r="T569" s="36"/>
      <c r="U569" s="36"/>
    </row>
    <row r="570" spans="1:21">
      <c r="A570" s="74" t="s">
        <v>250</v>
      </c>
      <c r="B570" s="36">
        <v>322935</v>
      </c>
      <c r="C570" s="36">
        <v>39990</v>
      </c>
      <c r="D570" s="74" t="s">
        <v>616</v>
      </c>
      <c r="E570" s="36"/>
      <c r="F570" s="74"/>
      <c r="G570" s="74" t="s">
        <v>692</v>
      </c>
      <c r="H570" s="36"/>
      <c r="I570" s="36"/>
      <c r="J570" s="36"/>
      <c r="K570" s="36"/>
      <c r="L570" s="36"/>
      <c r="M570" s="36"/>
      <c r="N570" s="36"/>
      <c r="O570" s="36"/>
      <c r="P570" s="36"/>
      <c r="Q570" s="36"/>
      <c r="R570" s="36"/>
      <c r="S570" s="36"/>
      <c r="T570" s="36"/>
      <c r="U570" s="36"/>
    </row>
    <row r="571" spans="1:21">
      <c r="A571" s="74" t="s">
        <v>250</v>
      </c>
      <c r="B571" s="36">
        <v>322936</v>
      </c>
      <c r="C571" s="36">
        <v>39990</v>
      </c>
      <c r="D571" s="74" t="s">
        <v>616</v>
      </c>
      <c r="E571" s="36"/>
      <c r="F571" s="74"/>
      <c r="G571" s="74" t="s">
        <v>692</v>
      </c>
      <c r="H571" s="36"/>
      <c r="I571" s="36"/>
      <c r="J571" s="36"/>
      <c r="K571" s="36"/>
      <c r="L571" s="36"/>
      <c r="M571" s="36"/>
      <c r="N571" s="36"/>
      <c r="O571" s="36"/>
      <c r="P571" s="36"/>
      <c r="Q571" s="36"/>
      <c r="R571" s="36"/>
      <c r="S571" s="36"/>
      <c r="T571" s="36"/>
      <c r="U571" s="36"/>
    </row>
    <row r="572" spans="1:21">
      <c r="A572" s="74" t="s">
        <v>250</v>
      </c>
      <c r="B572" s="36">
        <v>322938</v>
      </c>
      <c r="C572" s="36">
        <v>39990</v>
      </c>
      <c r="D572" s="74" t="s">
        <v>616</v>
      </c>
      <c r="E572" s="36"/>
      <c r="F572" s="74"/>
      <c r="G572" s="74" t="s">
        <v>692</v>
      </c>
      <c r="H572" s="36"/>
      <c r="I572" s="36"/>
      <c r="J572" s="36"/>
      <c r="K572" s="36"/>
      <c r="L572" s="36"/>
      <c r="M572" s="36"/>
      <c r="N572" s="36"/>
      <c r="O572" s="36"/>
      <c r="P572" s="36"/>
      <c r="Q572" s="36"/>
      <c r="R572" s="36"/>
      <c r="S572" s="36"/>
      <c r="T572" s="36"/>
      <c r="U572" s="36"/>
    </row>
    <row r="573" spans="1:21">
      <c r="A573" s="74" t="s">
        <v>250</v>
      </c>
      <c r="B573" s="36">
        <v>322930</v>
      </c>
      <c r="C573" s="36">
        <v>39990</v>
      </c>
      <c r="D573" s="74" t="s">
        <v>616</v>
      </c>
      <c r="E573" s="36"/>
      <c r="F573" s="74"/>
      <c r="G573" s="74" t="s">
        <v>692</v>
      </c>
      <c r="H573" s="36"/>
      <c r="I573" s="36"/>
      <c r="J573" s="36"/>
      <c r="K573" s="36"/>
      <c r="L573" s="36"/>
      <c r="M573" s="36"/>
      <c r="N573" s="36"/>
      <c r="O573" s="36"/>
      <c r="P573" s="36"/>
      <c r="Q573" s="36"/>
      <c r="R573" s="36"/>
      <c r="S573" s="36"/>
      <c r="T573" s="36"/>
      <c r="U573" s="36"/>
    </row>
    <row r="574" spans="1:21">
      <c r="A574" s="74" t="s">
        <v>250</v>
      </c>
      <c r="B574" s="36">
        <v>311717</v>
      </c>
      <c r="C574" s="36"/>
      <c r="D574" s="74"/>
      <c r="E574" s="36"/>
      <c r="F574" s="74"/>
      <c r="G574" s="74" t="s">
        <v>661</v>
      </c>
      <c r="H574" s="36"/>
      <c r="I574" s="36"/>
      <c r="J574" s="36"/>
      <c r="K574" s="36"/>
      <c r="L574" s="36"/>
      <c r="M574" s="36"/>
      <c r="N574" s="36"/>
      <c r="O574" s="36"/>
      <c r="P574" s="36"/>
      <c r="Q574" s="36"/>
      <c r="R574" s="36"/>
      <c r="S574" s="36"/>
      <c r="T574" s="36"/>
      <c r="U574" s="36"/>
    </row>
    <row r="575" spans="1:21">
      <c r="A575" s="74" t="s">
        <v>250</v>
      </c>
      <c r="B575" s="36">
        <v>311718</v>
      </c>
      <c r="C575" s="36"/>
      <c r="D575" s="74"/>
      <c r="E575" s="36"/>
      <c r="F575" s="74"/>
      <c r="G575" s="74" t="s">
        <v>661</v>
      </c>
      <c r="H575" s="36"/>
      <c r="I575" s="36"/>
      <c r="J575" s="36"/>
      <c r="K575" s="36"/>
      <c r="L575" s="36"/>
      <c r="M575" s="36"/>
      <c r="N575" s="36"/>
      <c r="O575" s="36"/>
      <c r="P575" s="36"/>
      <c r="Q575" s="36"/>
      <c r="R575" s="36"/>
      <c r="S575" s="36"/>
      <c r="T575" s="36"/>
      <c r="U575" s="36"/>
    </row>
    <row r="576" spans="1:21">
      <c r="A576" s="74" t="s">
        <v>250</v>
      </c>
      <c r="B576" s="36">
        <v>341366</v>
      </c>
      <c r="C576" s="36">
        <v>11790</v>
      </c>
      <c r="D576" s="74" t="s">
        <v>625</v>
      </c>
      <c r="E576" s="36"/>
      <c r="F576" s="74"/>
      <c r="G576" s="74" t="s">
        <v>726</v>
      </c>
      <c r="H576" s="36"/>
      <c r="I576" s="36"/>
      <c r="J576" s="36"/>
      <c r="K576" s="36"/>
      <c r="L576" s="36"/>
      <c r="M576" s="36"/>
      <c r="N576" s="36"/>
      <c r="O576" s="36"/>
      <c r="P576" s="36"/>
      <c r="Q576" s="36"/>
      <c r="R576" s="36"/>
      <c r="S576" s="36"/>
      <c r="T576" s="36"/>
      <c r="U576" s="36"/>
    </row>
    <row r="577" spans="1:21">
      <c r="A577" s="74" t="s">
        <v>250</v>
      </c>
      <c r="B577" s="36">
        <v>300693</v>
      </c>
      <c r="C577" s="36">
        <v>11790</v>
      </c>
      <c r="D577" s="74" t="s">
        <v>625</v>
      </c>
      <c r="E577" s="36"/>
      <c r="F577" s="74"/>
      <c r="G577" s="74" t="s">
        <v>726</v>
      </c>
      <c r="H577" s="36"/>
      <c r="I577" s="36"/>
      <c r="J577" s="36"/>
      <c r="K577" s="36"/>
      <c r="L577" s="36"/>
      <c r="M577" s="36"/>
      <c r="N577" s="36"/>
      <c r="O577" s="36"/>
      <c r="P577" s="36"/>
      <c r="Q577" s="36"/>
      <c r="R577" s="36"/>
      <c r="S577" s="36"/>
      <c r="T577" s="36"/>
      <c r="U577" s="36"/>
    </row>
    <row r="578" spans="1:21">
      <c r="A578" s="74" t="s">
        <v>250</v>
      </c>
      <c r="B578" s="36">
        <v>300694</v>
      </c>
      <c r="C578" s="36">
        <v>11790</v>
      </c>
      <c r="D578" s="74" t="s">
        <v>876</v>
      </c>
      <c r="E578" s="36"/>
      <c r="F578" s="74"/>
      <c r="G578" s="74" t="s">
        <v>726</v>
      </c>
      <c r="H578" s="36"/>
      <c r="I578" s="36"/>
      <c r="J578" s="36"/>
      <c r="K578" s="36"/>
      <c r="L578" s="36"/>
      <c r="M578" s="36"/>
      <c r="N578" s="36"/>
      <c r="O578" s="36"/>
      <c r="P578" s="36"/>
      <c r="Q578" s="36"/>
      <c r="R578" s="36"/>
      <c r="S578" s="36"/>
      <c r="T578" s="36"/>
      <c r="U578" s="36"/>
    </row>
    <row r="579" spans="1:21">
      <c r="A579" s="74" t="s">
        <v>250</v>
      </c>
      <c r="B579" s="36">
        <v>300695</v>
      </c>
      <c r="C579" s="36">
        <v>11790</v>
      </c>
      <c r="D579" s="74" t="s">
        <v>878</v>
      </c>
      <c r="E579" s="36"/>
      <c r="F579" s="74"/>
      <c r="G579" s="74" t="s">
        <v>726</v>
      </c>
      <c r="H579" s="36"/>
      <c r="I579" s="36"/>
      <c r="J579" s="36"/>
      <c r="K579" s="36"/>
      <c r="L579" s="36"/>
      <c r="M579" s="36"/>
      <c r="N579" s="36"/>
      <c r="O579" s="36"/>
      <c r="P579" s="36"/>
      <c r="Q579" s="36"/>
      <c r="R579" s="36"/>
      <c r="S579" s="36"/>
      <c r="T579" s="36"/>
      <c r="U579" s="36"/>
    </row>
    <row r="580" spans="1:21">
      <c r="A580" s="74" t="s">
        <v>250</v>
      </c>
      <c r="B580" s="36">
        <v>300696</v>
      </c>
      <c r="C580" s="36">
        <v>11790</v>
      </c>
      <c r="D580" s="74" t="s">
        <v>877</v>
      </c>
      <c r="E580" s="36"/>
      <c r="F580" s="74"/>
      <c r="G580" s="74" t="s">
        <v>726</v>
      </c>
      <c r="H580" s="36"/>
      <c r="I580" s="36"/>
      <c r="J580" s="36"/>
      <c r="K580" s="36"/>
      <c r="L580" s="36"/>
      <c r="M580" s="36"/>
      <c r="N580" s="36"/>
      <c r="O580" s="36"/>
      <c r="P580" s="36"/>
      <c r="Q580" s="36"/>
      <c r="R580" s="36"/>
      <c r="S580" s="36"/>
      <c r="T580" s="36"/>
      <c r="U580" s="36"/>
    </row>
    <row r="581" spans="1:21">
      <c r="A581" s="74" t="s">
        <v>250</v>
      </c>
      <c r="B581" s="36">
        <v>274813</v>
      </c>
      <c r="C581" s="36">
        <v>51390</v>
      </c>
      <c r="D581" s="74" t="s">
        <v>623</v>
      </c>
      <c r="E581" s="36"/>
      <c r="F581" s="74"/>
      <c r="G581" s="74" t="s">
        <v>696</v>
      </c>
      <c r="H581" s="36"/>
      <c r="I581" s="36"/>
      <c r="J581" s="36"/>
      <c r="K581" s="36"/>
      <c r="L581" s="36"/>
      <c r="M581" s="36"/>
      <c r="N581" s="36"/>
      <c r="O581" s="36"/>
      <c r="P581" s="36"/>
      <c r="Q581" s="36"/>
      <c r="R581" s="36"/>
      <c r="S581" s="36"/>
      <c r="T581" s="36"/>
      <c r="U581" s="36"/>
    </row>
    <row r="582" spans="1:21">
      <c r="A582" s="74" t="s">
        <v>250</v>
      </c>
      <c r="B582" s="36">
        <v>274814</v>
      </c>
      <c r="C582" s="36">
        <v>43369</v>
      </c>
      <c r="D582" s="74" t="s">
        <v>623</v>
      </c>
      <c r="E582" s="36"/>
      <c r="F582" s="74"/>
      <c r="G582" s="74" t="s">
        <v>696</v>
      </c>
      <c r="H582" s="36"/>
      <c r="I582" s="36"/>
      <c r="J582" s="36"/>
      <c r="K582" s="36"/>
      <c r="L582" s="36"/>
      <c r="M582" s="36"/>
      <c r="N582" s="36"/>
      <c r="O582" s="36"/>
      <c r="P582" s="36"/>
      <c r="Q582" s="36"/>
      <c r="R582" s="36"/>
      <c r="S582" s="36"/>
      <c r="T582" s="36"/>
      <c r="U582" s="36"/>
    </row>
    <row r="583" spans="1:21">
      <c r="A583" s="74" t="s">
        <v>250</v>
      </c>
      <c r="B583" s="36">
        <v>274815</v>
      </c>
      <c r="C583" s="36">
        <v>42290</v>
      </c>
      <c r="D583" s="74" t="s">
        <v>623</v>
      </c>
      <c r="E583" s="36"/>
      <c r="F583" s="74"/>
      <c r="G583" s="74" t="s">
        <v>696</v>
      </c>
      <c r="H583" s="36"/>
      <c r="I583" s="36"/>
      <c r="J583" s="36"/>
      <c r="K583" s="36"/>
      <c r="L583" s="36"/>
      <c r="M583" s="36"/>
      <c r="N583" s="36"/>
      <c r="O583" s="36"/>
      <c r="P583" s="36"/>
      <c r="Q583" s="36"/>
      <c r="R583" s="36"/>
      <c r="S583" s="36"/>
      <c r="T583" s="36"/>
      <c r="U583" s="36"/>
    </row>
    <row r="584" spans="1:21">
      <c r="A584" s="74" t="s">
        <v>250</v>
      </c>
      <c r="B584" s="36">
        <v>274827</v>
      </c>
      <c r="C584" s="36">
        <v>42290</v>
      </c>
      <c r="D584" s="74" t="s">
        <v>623</v>
      </c>
      <c r="E584" s="36"/>
      <c r="F584" s="74"/>
      <c r="G584" s="74" t="s">
        <v>696</v>
      </c>
      <c r="H584" s="36"/>
      <c r="I584" s="36"/>
      <c r="J584" s="36"/>
      <c r="K584" s="36"/>
      <c r="L584" s="36"/>
      <c r="M584" s="36"/>
      <c r="N584" s="36"/>
      <c r="O584" s="36"/>
      <c r="P584" s="36"/>
      <c r="Q584" s="36"/>
      <c r="R584" s="36"/>
      <c r="S584" s="36"/>
      <c r="T584" s="36"/>
      <c r="U584" s="36"/>
    </row>
    <row r="585" spans="1:21">
      <c r="A585" s="74" t="s">
        <v>250</v>
      </c>
      <c r="B585" s="36">
        <v>274826</v>
      </c>
      <c r="C585" s="36">
        <v>42290</v>
      </c>
      <c r="D585" s="74" t="s">
        <v>623</v>
      </c>
      <c r="E585" s="36"/>
      <c r="F585" s="74"/>
      <c r="G585" s="74" t="s">
        <v>696</v>
      </c>
      <c r="H585" s="36"/>
      <c r="I585" s="36"/>
      <c r="J585" s="36"/>
      <c r="K585" s="36"/>
      <c r="L585" s="36"/>
      <c r="M585" s="36"/>
      <c r="N585" s="36"/>
      <c r="O585" s="36"/>
      <c r="P585" s="36"/>
      <c r="Q585" s="36"/>
      <c r="R585" s="36"/>
      <c r="S585" s="36"/>
      <c r="T585" s="36"/>
      <c r="U585" s="36"/>
    </row>
    <row r="586" spans="1:21">
      <c r="A586" s="74" t="s">
        <v>250</v>
      </c>
      <c r="B586" s="36">
        <v>274838</v>
      </c>
      <c r="C586" s="36">
        <v>42290</v>
      </c>
      <c r="D586" s="74" t="s">
        <v>623</v>
      </c>
      <c r="E586" s="36"/>
      <c r="F586" s="74"/>
      <c r="G586" s="74" t="s">
        <v>696</v>
      </c>
      <c r="H586" s="36"/>
      <c r="I586" s="36"/>
      <c r="J586" s="36"/>
      <c r="K586" s="36"/>
      <c r="L586" s="36"/>
      <c r="M586" s="36"/>
      <c r="N586" s="36"/>
      <c r="O586" s="36"/>
      <c r="P586" s="36"/>
      <c r="Q586" s="36"/>
      <c r="R586" s="36"/>
      <c r="S586" s="36"/>
      <c r="T586" s="36"/>
      <c r="U586" s="36"/>
    </row>
    <row r="587" spans="1:21">
      <c r="A587" s="74" t="s">
        <v>250</v>
      </c>
      <c r="B587" s="36">
        <v>274825</v>
      </c>
      <c r="C587" s="36">
        <v>42290</v>
      </c>
      <c r="D587" s="74" t="s">
        <v>623</v>
      </c>
      <c r="E587" s="36"/>
      <c r="F587" s="74"/>
      <c r="G587" s="74" t="s">
        <v>696</v>
      </c>
      <c r="H587" s="36"/>
      <c r="I587" s="36"/>
      <c r="J587" s="36"/>
      <c r="K587" s="36"/>
      <c r="L587" s="36"/>
      <c r="M587" s="36"/>
      <c r="N587" s="36"/>
      <c r="O587" s="36"/>
      <c r="P587" s="36"/>
      <c r="Q587" s="36"/>
      <c r="R587" s="36"/>
      <c r="S587" s="36"/>
      <c r="T587" s="36"/>
      <c r="U587" s="36"/>
    </row>
    <row r="588" spans="1:21">
      <c r="A588" s="74" t="s">
        <v>250</v>
      </c>
      <c r="B588" s="36">
        <v>274837</v>
      </c>
      <c r="C588" s="36">
        <v>42290</v>
      </c>
      <c r="D588" s="74" t="s">
        <v>623</v>
      </c>
      <c r="E588" s="36"/>
      <c r="F588" s="74"/>
      <c r="G588" s="74" t="s">
        <v>696</v>
      </c>
      <c r="H588" s="36"/>
      <c r="I588" s="36"/>
      <c r="J588" s="36"/>
      <c r="K588" s="36"/>
      <c r="L588" s="36"/>
      <c r="M588" s="36"/>
      <c r="N588" s="36"/>
      <c r="O588" s="36"/>
      <c r="P588" s="36"/>
      <c r="Q588" s="36"/>
      <c r="R588" s="36"/>
      <c r="S588" s="36"/>
      <c r="T588" s="36"/>
      <c r="U588" s="36"/>
    </row>
    <row r="589" spans="1:21">
      <c r="A589" s="74" t="s">
        <v>250</v>
      </c>
      <c r="B589" s="36">
        <v>274817</v>
      </c>
      <c r="C589" s="36">
        <v>42290</v>
      </c>
      <c r="D589" s="74" t="s">
        <v>623</v>
      </c>
      <c r="E589" s="36"/>
      <c r="F589" s="74"/>
      <c r="G589" s="74" t="s">
        <v>696</v>
      </c>
      <c r="H589" s="36"/>
      <c r="I589" s="36"/>
      <c r="J589" s="36"/>
      <c r="K589" s="36"/>
      <c r="L589" s="36"/>
      <c r="M589" s="36"/>
      <c r="N589" s="36"/>
      <c r="O589" s="36"/>
      <c r="P589" s="36"/>
      <c r="Q589" s="36"/>
      <c r="R589" s="36"/>
      <c r="S589" s="36"/>
      <c r="T589" s="36"/>
      <c r="U589" s="36"/>
    </row>
    <row r="590" spans="1:21">
      <c r="A590" s="74" t="s">
        <v>250</v>
      </c>
      <c r="B590" s="36">
        <v>274829</v>
      </c>
      <c r="C590" s="36">
        <v>42290</v>
      </c>
      <c r="D590" s="74" t="s">
        <v>623</v>
      </c>
      <c r="E590" s="36"/>
      <c r="F590" s="74"/>
      <c r="G590" s="74" t="s">
        <v>696</v>
      </c>
      <c r="H590" s="36"/>
      <c r="I590" s="36"/>
      <c r="J590" s="36"/>
      <c r="K590" s="36"/>
      <c r="L590" s="36"/>
      <c r="M590" s="36"/>
      <c r="N590" s="36"/>
      <c r="O590" s="36"/>
      <c r="P590" s="36"/>
      <c r="Q590" s="36"/>
      <c r="R590" s="36"/>
      <c r="S590" s="36"/>
      <c r="T590" s="36"/>
      <c r="U590" s="36"/>
    </row>
    <row r="591" spans="1:21">
      <c r="A591" s="74" t="s">
        <v>250</v>
      </c>
      <c r="B591" s="36">
        <v>274818</v>
      </c>
      <c r="C591" s="36">
        <v>42290</v>
      </c>
      <c r="D591" s="74" t="s">
        <v>623</v>
      </c>
      <c r="E591" s="36"/>
      <c r="F591" s="74"/>
      <c r="G591" s="74" t="s">
        <v>696</v>
      </c>
      <c r="H591" s="36"/>
      <c r="I591" s="36"/>
      <c r="J591" s="36"/>
      <c r="K591" s="36"/>
      <c r="L591" s="36"/>
      <c r="M591" s="36"/>
      <c r="N591" s="36"/>
      <c r="O591" s="36"/>
      <c r="P591" s="36"/>
      <c r="Q591" s="36"/>
      <c r="R591" s="36"/>
      <c r="S591" s="36"/>
      <c r="T591" s="36"/>
      <c r="U591" s="36"/>
    </row>
    <row r="592" spans="1:21">
      <c r="A592" s="74" t="s">
        <v>250</v>
      </c>
      <c r="B592" s="36">
        <v>274830</v>
      </c>
      <c r="C592" s="36">
        <v>42290</v>
      </c>
      <c r="D592" s="74" t="s">
        <v>623</v>
      </c>
      <c r="E592" s="36"/>
      <c r="F592" s="74"/>
      <c r="G592" s="74" t="s">
        <v>696</v>
      </c>
      <c r="H592" s="36"/>
      <c r="I592" s="36"/>
      <c r="J592" s="36"/>
      <c r="K592" s="36"/>
      <c r="L592" s="36"/>
      <c r="M592" s="36"/>
      <c r="N592" s="36"/>
      <c r="O592" s="36"/>
      <c r="P592" s="36"/>
      <c r="Q592" s="36"/>
      <c r="R592" s="36"/>
      <c r="S592" s="36"/>
      <c r="T592" s="36"/>
      <c r="U592" s="36"/>
    </row>
    <row r="593" spans="1:21">
      <c r="A593" s="74" t="s">
        <v>250</v>
      </c>
      <c r="B593" s="36">
        <v>274819</v>
      </c>
      <c r="C593" s="36">
        <v>42290</v>
      </c>
      <c r="D593" s="74" t="s">
        <v>623</v>
      </c>
      <c r="E593" s="36"/>
      <c r="F593" s="74"/>
      <c r="G593" s="74" t="s">
        <v>696</v>
      </c>
      <c r="H593" s="36"/>
      <c r="I593" s="36"/>
      <c r="J593" s="36"/>
      <c r="K593" s="36"/>
      <c r="L593" s="36"/>
      <c r="M593" s="36"/>
      <c r="N593" s="36"/>
      <c r="O593" s="36"/>
      <c r="P593" s="36"/>
      <c r="Q593" s="36"/>
      <c r="R593" s="36"/>
      <c r="S593" s="36"/>
      <c r="T593" s="36"/>
      <c r="U593" s="36"/>
    </row>
    <row r="594" spans="1:21">
      <c r="A594" s="74" t="s">
        <v>250</v>
      </c>
      <c r="B594" s="36">
        <v>274831</v>
      </c>
      <c r="C594" s="36">
        <v>42290</v>
      </c>
      <c r="D594" s="74" t="s">
        <v>623</v>
      </c>
      <c r="E594" s="36"/>
      <c r="F594" s="74"/>
      <c r="G594" s="74" t="s">
        <v>696</v>
      </c>
      <c r="H594" s="36"/>
      <c r="I594" s="36"/>
      <c r="J594" s="36"/>
      <c r="K594" s="36"/>
      <c r="L594" s="36"/>
      <c r="M594" s="36"/>
      <c r="N594" s="36"/>
      <c r="O594" s="36"/>
      <c r="P594" s="36"/>
      <c r="Q594" s="36"/>
      <c r="R594" s="36"/>
      <c r="S594" s="36"/>
      <c r="T594" s="36"/>
      <c r="U594" s="36"/>
    </row>
    <row r="595" spans="1:21">
      <c r="A595" s="74" t="s">
        <v>250</v>
      </c>
      <c r="B595" s="36">
        <v>274820</v>
      </c>
      <c r="C595" s="36">
        <v>42290</v>
      </c>
      <c r="D595" s="74" t="s">
        <v>623</v>
      </c>
      <c r="E595" s="36"/>
      <c r="F595" s="74"/>
      <c r="G595" s="74" t="s">
        <v>696</v>
      </c>
      <c r="H595" s="36"/>
      <c r="I595" s="36"/>
      <c r="J595" s="36"/>
      <c r="K595" s="36"/>
      <c r="L595" s="36"/>
      <c r="M595" s="36"/>
      <c r="N595" s="36"/>
      <c r="O595" s="36"/>
      <c r="P595" s="36"/>
      <c r="Q595" s="36"/>
      <c r="R595" s="36"/>
      <c r="S595" s="36"/>
      <c r="T595" s="36"/>
      <c r="U595" s="36"/>
    </row>
    <row r="596" spans="1:21">
      <c r="A596" s="74" t="s">
        <v>250</v>
      </c>
      <c r="B596" s="36">
        <v>274832</v>
      </c>
      <c r="C596" s="36">
        <v>42290</v>
      </c>
      <c r="D596" s="74" t="s">
        <v>623</v>
      </c>
      <c r="E596" s="36"/>
      <c r="F596" s="74"/>
      <c r="G596" s="74" t="s">
        <v>696</v>
      </c>
      <c r="H596" s="36"/>
      <c r="I596" s="36"/>
      <c r="J596" s="36"/>
      <c r="K596" s="36"/>
      <c r="L596" s="36"/>
      <c r="M596" s="36"/>
      <c r="N596" s="36"/>
      <c r="O596" s="36"/>
      <c r="P596" s="36"/>
      <c r="Q596" s="36"/>
      <c r="R596" s="36"/>
      <c r="S596" s="36"/>
      <c r="T596" s="36"/>
      <c r="U596" s="36"/>
    </row>
    <row r="597" spans="1:21">
      <c r="A597" s="74" t="s">
        <v>250</v>
      </c>
      <c r="B597" s="36">
        <v>274823</v>
      </c>
      <c r="C597" s="36">
        <v>42290</v>
      </c>
      <c r="D597" s="74" t="s">
        <v>623</v>
      </c>
      <c r="E597" s="36"/>
      <c r="F597" s="74"/>
      <c r="G597" s="74" t="s">
        <v>696</v>
      </c>
      <c r="H597" s="36"/>
      <c r="I597" s="36"/>
      <c r="J597" s="36"/>
      <c r="K597" s="36"/>
      <c r="L597" s="36"/>
      <c r="M597" s="36"/>
      <c r="N597" s="36"/>
      <c r="O597" s="36"/>
      <c r="P597" s="36"/>
      <c r="Q597" s="36"/>
      <c r="R597" s="36"/>
      <c r="S597" s="36"/>
      <c r="T597" s="36"/>
      <c r="U597" s="36"/>
    </row>
    <row r="598" spans="1:21">
      <c r="A598" s="74" t="s">
        <v>250</v>
      </c>
      <c r="B598" s="36">
        <v>274835</v>
      </c>
      <c r="C598" s="36">
        <v>42290</v>
      </c>
      <c r="D598" s="74" t="s">
        <v>623</v>
      </c>
      <c r="E598" s="36"/>
      <c r="F598" s="74"/>
      <c r="G598" s="74" t="s">
        <v>696</v>
      </c>
      <c r="H598" s="36"/>
      <c r="I598" s="36"/>
      <c r="J598" s="36"/>
      <c r="K598" s="36"/>
      <c r="L598" s="36"/>
      <c r="M598" s="36"/>
      <c r="N598" s="36"/>
      <c r="O598" s="36"/>
      <c r="P598" s="36"/>
      <c r="Q598" s="36"/>
      <c r="R598" s="36"/>
      <c r="S598" s="36"/>
      <c r="T598" s="36"/>
      <c r="U598" s="36"/>
    </row>
    <row r="599" spans="1:21">
      <c r="A599" s="74" t="s">
        <v>250</v>
      </c>
      <c r="B599" s="36">
        <v>274821</v>
      </c>
      <c r="C599" s="36">
        <v>42290</v>
      </c>
      <c r="D599" s="74" t="s">
        <v>623</v>
      </c>
      <c r="E599" s="36"/>
      <c r="F599" s="74"/>
      <c r="G599" s="74" t="s">
        <v>696</v>
      </c>
      <c r="H599" s="36"/>
      <c r="I599" s="36"/>
      <c r="J599" s="36"/>
      <c r="K599" s="36"/>
      <c r="L599" s="36"/>
      <c r="M599" s="36"/>
      <c r="N599" s="36"/>
      <c r="O599" s="36"/>
      <c r="P599" s="36"/>
      <c r="Q599" s="36"/>
      <c r="R599" s="36"/>
      <c r="S599" s="36"/>
      <c r="T599" s="36"/>
      <c r="U599" s="36"/>
    </row>
    <row r="600" spans="1:21">
      <c r="A600" s="74" t="s">
        <v>250</v>
      </c>
      <c r="B600" s="36">
        <v>274833</v>
      </c>
      <c r="C600" s="36">
        <v>42290</v>
      </c>
      <c r="D600" s="74" t="s">
        <v>623</v>
      </c>
      <c r="E600" s="36"/>
      <c r="F600" s="74"/>
      <c r="G600" s="74" t="s">
        <v>696</v>
      </c>
      <c r="H600" s="36"/>
      <c r="I600" s="36"/>
      <c r="J600" s="36"/>
      <c r="K600" s="36"/>
      <c r="L600" s="36"/>
      <c r="M600" s="36"/>
      <c r="N600" s="36"/>
      <c r="O600" s="36"/>
      <c r="P600" s="36"/>
      <c r="Q600" s="36"/>
      <c r="R600" s="36"/>
      <c r="S600" s="36"/>
      <c r="T600" s="36"/>
      <c r="U600" s="36"/>
    </row>
    <row r="601" spans="1:21">
      <c r="A601" s="74" t="s">
        <v>250</v>
      </c>
      <c r="B601" s="36">
        <v>274822</v>
      </c>
      <c r="C601" s="36">
        <v>42290</v>
      </c>
      <c r="D601" s="74" t="s">
        <v>623</v>
      </c>
      <c r="E601" s="36"/>
      <c r="F601" s="74"/>
      <c r="G601" s="74" t="s">
        <v>696</v>
      </c>
      <c r="H601" s="36"/>
      <c r="I601" s="36"/>
      <c r="J601" s="36"/>
      <c r="K601" s="36"/>
      <c r="L601" s="36"/>
      <c r="M601" s="36"/>
      <c r="N601" s="36"/>
      <c r="O601" s="36"/>
      <c r="P601" s="36"/>
      <c r="Q601" s="36"/>
      <c r="R601" s="36"/>
      <c r="S601" s="36"/>
      <c r="T601" s="36"/>
      <c r="U601" s="36"/>
    </row>
    <row r="602" spans="1:21">
      <c r="A602" s="74" t="s">
        <v>250</v>
      </c>
      <c r="B602" s="36">
        <v>274834</v>
      </c>
      <c r="C602" s="36">
        <v>42290</v>
      </c>
      <c r="D602" s="74" t="s">
        <v>623</v>
      </c>
      <c r="E602" s="36"/>
      <c r="F602" s="74"/>
      <c r="G602" s="74" t="s">
        <v>696</v>
      </c>
      <c r="H602" s="36"/>
      <c r="I602" s="36"/>
      <c r="J602" s="36"/>
      <c r="K602" s="36"/>
      <c r="L602" s="36"/>
      <c r="M602" s="36"/>
      <c r="N602" s="36"/>
      <c r="O602" s="36"/>
      <c r="P602" s="36"/>
      <c r="Q602" s="36"/>
      <c r="R602" s="36"/>
      <c r="S602" s="36"/>
      <c r="T602" s="36"/>
      <c r="U602" s="36"/>
    </row>
    <row r="603" spans="1:21">
      <c r="A603" s="74" t="s">
        <v>250</v>
      </c>
      <c r="B603" s="36">
        <v>274824</v>
      </c>
      <c r="C603" s="36">
        <v>42290</v>
      </c>
      <c r="D603" s="74" t="s">
        <v>623</v>
      </c>
      <c r="E603" s="36"/>
      <c r="F603" s="74"/>
      <c r="G603" s="74" t="s">
        <v>696</v>
      </c>
      <c r="H603" s="36"/>
      <c r="I603" s="36"/>
      <c r="J603" s="36"/>
      <c r="K603" s="36"/>
      <c r="L603" s="36"/>
      <c r="M603" s="36"/>
      <c r="N603" s="36"/>
      <c r="O603" s="36"/>
      <c r="P603" s="36"/>
      <c r="Q603" s="36"/>
      <c r="R603" s="36"/>
      <c r="S603" s="36"/>
      <c r="T603" s="36"/>
      <c r="U603" s="36"/>
    </row>
    <row r="604" spans="1:21">
      <c r="A604" s="74" t="s">
        <v>250</v>
      </c>
      <c r="B604" s="36">
        <v>274836</v>
      </c>
      <c r="C604" s="36">
        <v>42290</v>
      </c>
      <c r="D604" s="74" t="s">
        <v>623</v>
      </c>
      <c r="E604" s="36"/>
      <c r="F604" s="74"/>
      <c r="G604" s="74" t="s">
        <v>696</v>
      </c>
      <c r="H604" s="36"/>
      <c r="I604" s="36"/>
      <c r="J604" s="36"/>
      <c r="K604" s="36"/>
      <c r="L604" s="36"/>
      <c r="M604" s="36"/>
      <c r="N604" s="36"/>
      <c r="O604" s="36"/>
      <c r="P604" s="36"/>
      <c r="Q604" s="36"/>
      <c r="R604" s="36"/>
      <c r="S604" s="36"/>
      <c r="T604" s="36"/>
      <c r="U604" s="36"/>
    </row>
    <row r="605" spans="1:21">
      <c r="A605" s="74" t="s">
        <v>250</v>
      </c>
      <c r="B605" s="36">
        <v>274816</v>
      </c>
      <c r="C605" s="36">
        <v>42290</v>
      </c>
      <c r="D605" s="74" t="s">
        <v>623</v>
      </c>
      <c r="E605" s="36"/>
      <c r="F605" s="74"/>
      <c r="G605" s="74" t="s">
        <v>696</v>
      </c>
      <c r="H605" s="36"/>
      <c r="I605" s="36"/>
      <c r="J605" s="36"/>
      <c r="K605" s="36"/>
      <c r="L605" s="36"/>
      <c r="M605" s="36"/>
      <c r="N605" s="36"/>
      <c r="O605" s="36"/>
      <c r="P605" s="36"/>
      <c r="Q605" s="36"/>
      <c r="R605" s="36"/>
      <c r="S605" s="36"/>
      <c r="T605" s="36"/>
      <c r="U605" s="36"/>
    </row>
    <row r="606" spans="1:21">
      <c r="A606" s="74" t="s">
        <v>250</v>
      </c>
      <c r="B606" s="36">
        <v>274828</v>
      </c>
      <c r="C606" s="36">
        <v>42290</v>
      </c>
      <c r="D606" s="74" t="s">
        <v>623</v>
      </c>
      <c r="E606" s="36"/>
      <c r="F606" s="74"/>
      <c r="G606" s="74" t="s">
        <v>696</v>
      </c>
      <c r="H606" s="36"/>
      <c r="I606" s="36"/>
      <c r="J606" s="36"/>
      <c r="K606" s="36"/>
      <c r="L606" s="36"/>
      <c r="M606" s="36"/>
      <c r="N606" s="36"/>
      <c r="O606" s="36"/>
      <c r="P606" s="36"/>
      <c r="Q606" s="36"/>
      <c r="R606" s="36"/>
      <c r="S606" s="36"/>
      <c r="T606" s="36"/>
      <c r="U606" s="36"/>
    </row>
    <row r="607" spans="1:21">
      <c r="A607" s="74" t="s">
        <v>250</v>
      </c>
      <c r="B607" s="36">
        <v>274922</v>
      </c>
      <c r="C607" s="36">
        <v>51390</v>
      </c>
      <c r="D607" s="74" t="s">
        <v>621</v>
      </c>
      <c r="E607" s="36"/>
      <c r="F607" s="74"/>
      <c r="G607" s="74" t="s">
        <v>696</v>
      </c>
      <c r="H607" s="36"/>
      <c r="I607" s="36"/>
      <c r="J607" s="36"/>
      <c r="K607" s="36"/>
      <c r="L607" s="36"/>
      <c r="M607" s="36"/>
      <c r="N607" s="36"/>
      <c r="O607" s="36"/>
      <c r="P607" s="36"/>
      <c r="Q607" s="36"/>
      <c r="R607" s="36"/>
      <c r="S607" s="36"/>
      <c r="T607" s="36"/>
      <c r="U607" s="36"/>
    </row>
    <row r="608" spans="1:21">
      <c r="A608" s="74" t="s">
        <v>250</v>
      </c>
      <c r="B608" s="36">
        <v>274923</v>
      </c>
      <c r="C608" s="36">
        <v>43369</v>
      </c>
      <c r="D608" s="74" t="s">
        <v>621</v>
      </c>
      <c r="E608" s="36"/>
      <c r="F608" s="74"/>
      <c r="G608" s="74" t="s">
        <v>696</v>
      </c>
      <c r="H608" s="36"/>
      <c r="I608" s="36"/>
      <c r="J608" s="36"/>
      <c r="K608" s="36"/>
      <c r="L608" s="36"/>
      <c r="M608" s="36"/>
      <c r="N608" s="36"/>
      <c r="O608" s="36"/>
      <c r="P608" s="36"/>
      <c r="Q608" s="36"/>
      <c r="R608" s="36"/>
      <c r="S608" s="36"/>
      <c r="T608" s="36"/>
      <c r="U608" s="36"/>
    </row>
    <row r="609" spans="1:21">
      <c r="A609" s="74" t="s">
        <v>250</v>
      </c>
      <c r="B609" s="36">
        <v>274924</v>
      </c>
      <c r="C609" s="36">
        <v>42290</v>
      </c>
      <c r="D609" s="74" t="s">
        <v>621</v>
      </c>
      <c r="E609" s="36"/>
      <c r="F609" s="74"/>
      <c r="G609" s="74" t="s">
        <v>696</v>
      </c>
      <c r="H609" s="36"/>
      <c r="I609" s="36"/>
      <c r="J609" s="36"/>
      <c r="K609" s="36"/>
      <c r="L609" s="36"/>
      <c r="M609" s="36"/>
      <c r="N609" s="36"/>
      <c r="O609" s="36"/>
      <c r="P609" s="36"/>
      <c r="Q609" s="36"/>
      <c r="R609" s="36"/>
      <c r="S609" s="36"/>
      <c r="T609" s="36"/>
      <c r="U609" s="36"/>
    </row>
    <row r="610" spans="1:21">
      <c r="A610" s="74" t="s">
        <v>250</v>
      </c>
      <c r="B610" s="36">
        <v>274936</v>
      </c>
      <c r="C610" s="36">
        <v>42290</v>
      </c>
      <c r="D610" s="74" t="s">
        <v>621</v>
      </c>
      <c r="E610" s="36"/>
      <c r="F610" s="74"/>
      <c r="G610" s="74" t="s">
        <v>696</v>
      </c>
      <c r="H610" s="36"/>
      <c r="I610" s="36"/>
      <c r="J610" s="36"/>
      <c r="K610" s="36"/>
      <c r="L610" s="36"/>
      <c r="M610" s="36"/>
      <c r="N610" s="36"/>
      <c r="O610" s="36"/>
      <c r="P610" s="36"/>
      <c r="Q610" s="36"/>
      <c r="R610" s="36"/>
      <c r="S610" s="36"/>
      <c r="T610" s="36"/>
      <c r="U610" s="36"/>
    </row>
    <row r="611" spans="1:21">
      <c r="A611" s="74" t="s">
        <v>250</v>
      </c>
      <c r="B611" s="36">
        <v>274935</v>
      </c>
      <c r="C611" s="36">
        <v>42290</v>
      </c>
      <c r="D611" s="74" t="s">
        <v>621</v>
      </c>
      <c r="E611" s="36"/>
      <c r="F611" s="74"/>
      <c r="G611" s="74" t="s">
        <v>696</v>
      </c>
      <c r="H611" s="36"/>
      <c r="I611" s="36"/>
      <c r="J611" s="36"/>
      <c r="K611" s="36"/>
      <c r="L611" s="36"/>
      <c r="M611" s="36"/>
      <c r="N611" s="36"/>
      <c r="O611" s="36"/>
      <c r="P611" s="36"/>
      <c r="Q611" s="36"/>
      <c r="R611" s="36"/>
      <c r="S611" s="36"/>
      <c r="T611" s="36"/>
      <c r="U611" s="36"/>
    </row>
    <row r="612" spans="1:21">
      <c r="A612" s="74" t="s">
        <v>250</v>
      </c>
      <c r="B612" s="36">
        <v>274947</v>
      </c>
      <c r="C612" s="36">
        <v>42290</v>
      </c>
      <c r="D612" s="74" t="s">
        <v>621</v>
      </c>
      <c r="E612" s="36"/>
      <c r="F612" s="74"/>
      <c r="G612" s="74" t="s">
        <v>696</v>
      </c>
      <c r="H612" s="36"/>
      <c r="I612" s="36"/>
      <c r="J612" s="36"/>
      <c r="K612" s="36"/>
      <c r="L612" s="36"/>
      <c r="M612" s="36"/>
      <c r="N612" s="36"/>
      <c r="O612" s="36"/>
      <c r="P612" s="36"/>
      <c r="Q612" s="36"/>
      <c r="R612" s="36"/>
      <c r="S612" s="36"/>
      <c r="T612" s="36"/>
      <c r="U612" s="36"/>
    </row>
    <row r="613" spans="1:21">
      <c r="A613" s="74" t="s">
        <v>250</v>
      </c>
      <c r="B613" s="36">
        <v>274934</v>
      </c>
      <c r="C613" s="36">
        <v>42290</v>
      </c>
      <c r="D613" s="74" t="s">
        <v>621</v>
      </c>
      <c r="E613" s="36"/>
      <c r="F613" s="74"/>
      <c r="G613" s="74" t="s">
        <v>696</v>
      </c>
      <c r="H613" s="36"/>
      <c r="I613" s="36"/>
      <c r="J613" s="36"/>
      <c r="K613" s="36"/>
      <c r="L613" s="36"/>
      <c r="M613" s="36"/>
      <c r="N613" s="36"/>
      <c r="O613" s="36"/>
      <c r="P613" s="36"/>
      <c r="Q613" s="36"/>
      <c r="R613" s="36"/>
      <c r="S613" s="36"/>
      <c r="T613" s="36"/>
      <c r="U613" s="36"/>
    </row>
    <row r="614" spans="1:21">
      <c r="A614" s="74" t="s">
        <v>250</v>
      </c>
      <c r="B614" s="36">
        <v>274946</v>
      </c>
      <c r="C614" s="36">
        <v>42290</v>
      </c>
      <c r="D614" s="74" t="s">
        <v>621</v>
      </c>
      <c r="E614" s="36"/>
      <c r="F614" s="74"/>
      <c r="G614" s="74" t="s">
        <v>696</v>
      </c>
      <c r="H614" s="36"/>
      <c r="I614" s="36"/>
      <c r="J614" s="36"/>
      <c r="K614" s="36"/>
      <c r="L614" s="36"/>
      <c r="M614" s="36"/>
      <c r="N614" s="36"/>
      <c r="O614" s="36"/>
      <c r="P614" s="36"/>
      <c r="Q614" s="36"/>
      <c r="R614" s="36"/>
      <c r="S614" s="36"/>
      <c r="T614" s="36"/>
      <c r="U614" s="36"/>
    </row>
    <row r="615" spans="1:21">
      <c r="A615" s="74" t="s">
        <v>250</v>
      </c>
      <c r="B615" s="36">
        <v>274926</v>
      </c>
      <c r="C615" s="36">
        <v>42290</v>
      </c>
      <c r="D615" s="74" t="s">
        <v>621</v>
      </c>
      <c r="E615" s="36"/>
      <c r="F615" s="74"/>
      <c r="G615" s="74" t="s">
        <v>696</v>
      </c>
      <c r="H615" s="36"/>
      <c r="I615" s="36"/>
      <c r="J615" s="36"/>
      <c r="K615" s="36"/>
      <c r="L615" s="36"/>
      <c r="M615" s="36"/>
      <c r="N615" s="36"/>
      <c r="O615" s="36"/>
      <c r="P615" s="36"/>
      <c r="Q615" s="36"/>
      <c r="R615" s="36"/>
      <c r="S615" s="36"/>
      <c r="T615" s="36"/>
      <c r="U615" s="36"/>
    </row>
    <row r="616" spans="1:21">
      <c r="A616" s="74" t="s">
        <v>250</v>
      </c>
      <c r="B616" s="36">
        <v>274938</v>
      </c>
      <c r="C616" s="36">
        <v>42290</v>
      </c>
      <c r="D616" s="74" t="s">
        <v>621</v>
      </c>
      <c r="E616" s="36"/>
      <c r="F616" s="74"/>
      <c r="G616" s="74" t="s">
        <v>696</v>
      </c>
      <c r="H616" s="36"/>
      <c r="I616" s="36"/>
      <c r="J616" s="36"/>
      <c r="K616" s="36"/>
      <c r="L616" s="36"/>
      <c r="M616" s="36"/>
      <c r="N616" s="36"/>
      <c r="O616" s="36"/>
      <c r="P616" s="36"/>
      <c r="Q616" s="36"/>
      <c r="R616" s="36"/>
      <c r="S616" s="36"/>
      <c r="T616" s="36"/>
      <c r="U616" s="36"/>
    </row>
    <row r="617" spans="1:21">
      <c r="A617" s="74" t="s">
        <v>250</v>
      </c>
      <c r="B617" s="36">
        <v>274927</v>
      </c>
      <c r="C617" s="36">
        <v>42290</v>
      </c>
      <c r="D617" s="74" t="s">
        <v>621</v>
      </c>
      <c r="E617" s="36"/>
      <c r="F617" s="74"/>
      <c r="G617" s="74" t="s">
        <v>696</v>
      </c>
      <c r="H617" s="36"/>
      <c r="I617" s="36"/>
      <c r="J617" s="36"/>
      <c r="K617" s="36"/>
      <c r="L617" s="36"/>
      <c r="M617" s="36"/>
      <c r="N617" s="36"/>
      <c r="O617" s="36"/>
      <c r="P617" s="36"/>
      <c r="Q617" s="36"/>
      <c r="R617" s="36"/>
      <c r="S617" s="36"/>
      <c r="T617" s="36"/>
      <c r="U617" s="36"/>
    </row>
    <row r="618" spans="1:21">
      <c r="A618" s="74" t="s">
        <v>250</v>
      </c>
      <c r="B618" s="36">
        <v>274939</v>
      </c>
      <c r="C618" s="36">
        <v>42290</v>
      </c>
      <c r="D618" s="74" t="s">
        <v>621</v>
      </c>
      <c r="E618" s="36"/>
      <c r="F618" s="74"/>
      <c r="G618" s="74" t="s">
        <v>696</v>
      </c>
      <c r="H618" s="36"/>
      <c r="I618" s="36"/>
      <c r="J618" s="36"/>
      <c r="K618" s="36"/>
      <c r="L618" s="36"/>
      <c r="M618" s="36"/>
      <c r="N618" s="36"/>
      <c r="O618" s="36"/>
      <c r="P618" s="36"/>
      <c r="Q618" s="36"/>
      <c r="R618" s="36"/>
      <c r="S618" s="36"/>
      <c r="T618" s="36"/>
      <c r="U618" s="36"/>
    </row>
    <row r="619" spans="1:21">
      <c r="A619" s="74" t="s">
        <v>250</v>
      </c>
      <c r="B619" s="36">
        <v>274928</v>
      </c>
      <c r="C619" s="36">
        <v>42290</v>
      </c>
      <c r="D619" s="74" t="s">
        <v>621</v>
      </c>
      <c r="E619" s="36"/>
      <c r="F619" s="74"/>
      <c r="G619" s="74" t="s">
        <v>696</v>
      </c>
      <c r="H619" s="36"/>
      <c r="I619" s="36"/>
      <c r="J619" s="36"/>
      <c r="K619" s="36"/>
      <c r="L619" s="36"/>
      <c r="M619" s="36"/>
      <c r="N619" s="36"/>
      <c r="O619" s="36"/>
      <c r="P619" s="36"/>
      <c r="Q619" s="36"/>
      <c r="R619" s="36"/>
      <c r="S619" s="36"/>
      <c r="T619" s="36"/>
      <c r="U619" s="36"/>
    </row>
    <row r="620" spans="1:21">
      <c r="A620" s="74" t="s">
        <v>250</v>
      </c>
      <c r="B620" s="36">
        <v>274940</v>
      </c>
      <c r="C620" s="36">
        <v>42290</v>
      </c>
      <c r="D620" s="74" t="s">
        <v>621</v>
      </c>
      <c r="E620" s="36"/>
      <c r="F620" s="74"/>
      <c r="G620" s="74" t="s">
        <v>696</v>
      </c>
      <c r="H620" s="36"/>
      <c r="I620" s="36"/>
      <c r="J620" s="36"/>
      <c r="K620" s="36"/>
      <c r="L620" s="36"/>
      <c r="M620" s="36"/>
      <c r="N620" s="36"/>
      <c r="O620" s="36"/>
      <c r="P620" s="36"/>
      <c r="Q620" s="36"/>
      <c r="R620" s="36"/>
      <c r="S620" s="36"/>
      <c r="T620" s="36"/>
      <c r="U620" s="36"/>
    </row>
    <row r="621" spans="1:21">
      <c r="A621" s="74" t="s">
        <v>250</v>
      </c>
      <c r="B621" s="36">
        <v>274929</v>
      </c>
      <c r="C621" s="36">
        <v>42290</v>
      </c>
      <c r="D621" s="74" t="s">
        <v>621</v>
      </c>
      <c r="E621" s="36"/>
      <c r="F621" s="74"/>
      <c r="G621" s="74" t="s">
        <v>696</v>
      </c>
      <c r="H621" s="36"/>
      <c r="I621" s="36"/>
      <c r="J621" s="36"/>
      <c r="K621" s="36"/>
      <c r="L621" s="36"/>
      <c r="M621" s="36"/>
      <c r="N621" s="36"/>
      <c r="O621" s="36"/>
      <c r="P621" s="36"/>
      <c r="Q621" s="36"/>
      <c r="R621" s="36"/>
      <c r="S621" s="36"/>
      <c r="T621" s="36"/>
      <c r="U621" s="36"/>
    </row>
    <row r="622" spans="1:21">
      <c r="A622" s="74" t="s">
        <v>250</v>
      </c>
      <c r="B622" s="36">
        <v>274941</v>
      </c>
      <c r="C622" s="36">
        <v>42290</v>
      </c>
      <c r="D622" s="74" t="s">
        <v>621</v>
      </c>
      <c r="E622" s="36"/>
      <c r="F622" s="74"/>
      <c r="G622" s="74" t="s">
        <v>696</v>
      </c>
      <c r="H622" s="36"/>
      <c r="I622" s="36"/>
      <c r="J622" s="36"/>
      <c r="K622" s="36"/>
      <c r="L622" s="36"/>
      <c r="M622" s="36"/>
      <c r="N622" s="36"/>
      <c r="O622" s="36"/>
      <c r="P622" s="36"/>
      <c r="Q622" s="36"/>
      <c r="R622" s="36"/>
      <c r="S622" s="36"/>
      <c r="T622" s="36"/>
      <c r="U622" s="36"/>
    </row>
    <row r="623" spans="1:21">
      <c r="A623" s="74" t="s">
        <v>250</v>
      </c>
      <c r="B623" s="36">
        <v>274932</v>
      </c>
      <c r="C623" s="36">
        <v>42290</v>
      </c>
      <c r="D623" s="74" t="s">
        <v>621</v>
      </c>
      <c r="E623" s="36"/>
      <c r="F623" s="74"/>
      <c r="G623" s="74" t="s">
        <v>696</v>
      </c>
      <c r="H623" s="36"/>
      <c r="I623" s="36"/>
      <c r="J623" s="36"/>
      <c r="K623" s="36"/>
      <c r="L623" s="36"/>
      <c r="M623" s="36"/>
      <c r="N623" s="36"/>
      <c r="O623" s="36"/>
      <c r="P623" s="36"/>
      <c r="Q623" s="36"/>
      <c r="R623" s="36"/>
      <c r="S623" s="36"/>
      <c r="T623" s="36"/>
      <c r="U623" s="36"/>
    </row>
    <row r="624" spans="1:21">
      <c r="A624" s="74" t="s">
        <v>250</v>
      </c>
      <c r="B624" s="36">
        <v>274944</v>
      </c>
      <c r="C624" s="36">
        <v>42290</v>
      </c>
      <c r="D624" s="74" t="s">
        <v>621</v>
      </c>
      <c r="E624" s="36"/>
      <c r="F624" s="74"/>
      <c r="G624" s="74" t="s">
        <v>696</v>
      </c>
      <c r="H624" s="36"/>
      <c r="I624" s="36"/>
      <c r="J624" s="36"/>
      <c r="K624" s="36"/>
      <c r="L624" s="36"/>
      <c r="M624" s="36"/>
      <c r="N624" s="36"/>
      <c r="O624" s="36"/>
      <c r="P624" s="36"/>
      <c r="Q624" s="36"/>
      <c r="R624" s="36"/>
      <c r="S624" s="36"/>
      <c r="T624" s="36"/>
      <c r="U624" s="36"/>
    </row>
    <row r="625" spans="1:21">
      <c r="A625" s="74" t="s">
        <v>250</v>
      </c>
      <c r="B625" s="36">
        <v>274930</v>
      </c>
      <c r="C625" s="36">
        <v>42290</v>
      </c>
      <c r="D625" s="74" t="s">
        <v>621</v>
      </c>
      <c r="E625" s="36"/>
      <c r="F625" s="74"/>
      <c r="G625" s="74" t="s">
        <v>696</v>
      </c>
      <c r="H625" s="36"/>
      <c r="I625" s="36"/>
      <c r="J625" s="36"/>
      <c r="K625" s="36"/>
      <c r="L625" s="36"/>
      <c r="M625" s="36"/>
      <c r="N625" s="36"/>
      <c r="O625" s="36"/>
      <c r="P625" s="36"/>
      <c r="Q625" s="36"/>
      <c r="R625" s="36"/>
      <c r="S625" s="36"/>
      <c r="T625" s="36"/>
      <c r="U625" s="36"/>
    </row>
    <row r="626" spans="1:21">
      <c r="A626" s="74" t="s">
        <v>250</v>
      </c>
      <c r="B626" s="36">
        <v>274942</v>
      </c>
      <c r="C626" s="36">
        <v>42290</v>
      </c>
      <c r="D626" s="74" t="s">
        <v>621</v>
      </c>
      <c r="E626" s="36"/>
      <c r="F626" s="74"/>
      <c r="G626" s="74" t="s">
        <v>696</v>
      </c>
      <c r="H626" s="36"/>
      <c r="I626" s="36"/>
      <c r="J626" s="36"/>
      <c r="K626" s="36"/>
      <c r="L626" s="36"/>
      <c r="M626" s="36"/>
      <c r="N626" s="36"/>
      <c r="O626" s="36"/>
      <c r="P626" s="36"/>
      <c r="Q626" s="36"/>
      <c r="R626" s="36"/>
      <c r="S626" s="36"/>
      <c r="T626" s="36"/>
      <c r="U626" s="36"/>
    </row>
    <row r="627" spans="1:21">
      <c r="A627" s="74" t="s">
        <v>250</v>
      </c>
      <c r="B627" s="36">
        <v>274931</v>
      </c>
      <c r="C627" s="36">
        <v>42290</v>
      </c>
      <c r="D627" s="74" t="s">
        <v>621</v>
      </c>
      <c r="E627" s="36"/>
      <c r="F627" s="74"/>
      <c r="G627" s="74" t="s">
        <v>696</v>
      </c>
      <c r="H627" s="36"/>
      <c r="I627" s="36"/>
      <c r="J627" s="36"/>
      <c r="K627" s="36"/>
      <c r="L627" s="36"/>
      <c r="M627" s="36"/>
      <c r="N627" s="36"/>
      <c r="O627" s="36"/>
      <c r="P627" s="36"/>
      <c r="Q627" s="36"/>
      <c r="R627" s="36"/>
      <c r="S627" s="36"/>
      <c r="T627" s="36"/>
      <c r="U627" s="36"/>
    </row>
    <row r="628" spans="1:21">
      <c r="A628" s="74" t="s">
        <v>250</v>
      </c>
      <c r="B628" s="36">
        <v>274943</v>
      </c>
      <c r="C628" s="36">
        <v>42290</v>
      </c>
      <c r="D628" s="74" t="s">
        <v>621</v>
      </c>
      <c r="E628" s="36"/>
      <c r="F628" s="74"/>
      <c r="G628" s="74" t="s">
        <v>696</v>
      </c>
      <c r="H628" s="36"/>
      <c r="I628" s="36"/>
      <c r="J628" s="36"/>
      <c r="K628" s="36"/>
      <c r="L628" s="36"/>
      <c r="M628" s="36"/>
      <c r="N628" s="36"/>
      <c r="O628" s="36"/>
      <c r="P628" s="36"/>
      <c r="Q628" s="36"/>
      <c r="R628" s="36"/>
      <c r="S628" s="36"/>
      <c r="T628" s="36"/>
      <c r="U628" s="36"/>
    </row>
    <row r="629" spans="1:21">
      <c r="A629" s="74" t="s">
        <v>250</v>
      </c>
      <c r="B629" s="36">
        <v>274933</v>
      </c>
      <c r="C629" s="36">
        <v>42290</v>
      </c>
      <c r="D629" s="74" t="s">
        <v>621</v>
      </c>
      <c r="E629" s="36"/>
      <c r="F629" s="74"/>
      <c r="G629" s="74" t="s">
        <v>696</v>
      </c>
      <c r="H629" s="36"/>
      <c r="I629" s="36"/>
      <c r="J629" s="36"/>
      <c r="K629" s="36"/>
      <c r="L629" s="36"/>
      <c r="M629" s="36"/>
      <c r="N629" s="36"/>
      <c r="O629" s="36"/>
      <c r="P629" s="36"/>
      <c r="Q629" s="36"/>
      <c r="R629" s="36"/>
      <c r="S629" s="36"/>
      <c r="T629" s="36"/>
      <c r="U629" s="36"/>
    </row>
    <row r="630" spans="1:21">
      <c r="A630" s="74" t="s">
        <v>250</v>
      </c>
      <c r="B630" s="36">
        <v>274945</v>
      </c>
      <c r="C630" s="36">
        <v>42290</v>
      </c>
      <c r="D630" s="74" t="s">
        <v>621</v>
      </c>
      <c r="E630" s="36"/>
      <c r="F630" s="74"/>
      <c r="G630" s="74" t="s">
        <v>696</v>
      </c>
      <c r="H630" s="36"/>
      <c r="I630" s="36"/>
      <c r="J630" s="36"/>
      <c r="K630" s="36"/>
      <c r="L630" s="36"/>
      <c r="M630" s="36"/>
      <c r="N630" s="36"/>
      <c r="O630" s="36"/>
      <c r="P630" s="36"/>
      <c r="Q630" s="36"/>
      <c r="R630" s="36"/>
      <c r="S630" s="36"/>
      <c r="T630" s="36"/>
      <c r="U630" s="36"/>
    </row>
    <row r="631" spans="1:21">
      <c r="A631" s="74" t="s">
        <v>250</v>
      </c>
      <c r="B631" s="36">
        <v>274925</v>
      </c>
      <c r="C631" s="36">
        <v>42290</v>
      </c>
      <c r="D631" s="74" t="s">
        <v>621</v>
      </c>
      <c r="E631" s="36"/>
      <c r="F631" s="74"/>
      <c r="G631" s="74" t="s">
        <v>696</v>
      </c>
      <c r="H631" s="36"/>
      <c r="I631" s="36"/>
      <c r="J631" s="36"/>
      <c r="K631" s="36"/>
      <c r="L631" s="36"/>
      <c r="M631" s="36"/>
      <c r="N631" s="36"/>
      <c r="O631" s="36"/>
      <c r="P631" s="36"/>
      <c r="Q631" s="36"/>
      <c r="R631" s="36"/>
      <c r="S631" s="36"/>
      <c r="T631" s="36"/>
      <c r="U631" s="36"/>
    </row>
    <row r="632" spans="1:21">
      <c r="A632" s="74" t="s">
        <v>250</v>
      </c>
      <c r="B632" s="36">
        <v>274937</v>
      </c>
      <c r="C632" s="36">
        <v>42290</v>
      </c>
      <c r="D632" s="74" t="s">
        <v>621</v>
      </c>
      <c r="E632" s="36"/>
      <c r="F632" s="74"/>
      <c r="G632" s="74" t="s">
        <v>696</v>
      </c>
      <c r="H632" s="36"/>
      <c r="I632" s="36"/>
      <c r="J632" s="36"/>
      <c r="K632" s="36"/>
      <c r="L632" s="36"/>
      <c r="M632" s="36"/>
      <c r="N632" s="36"/>
      <c r="O632" s="36"/>
      <c r="P632" s="36"/>
      <c r="Q632" s="36"/>
      <c r="R632" s="36"/>
      <c r="S632" s="36"/>
      <c r="T632" s="36"/>
      <c r="U632" s="36"/>
    </row>
    <row r="633" spans="1:21">
      <c r="A633" s="74" t="s">
        <v>250</v>
      </c>
      <c r="B633" s="36">
        <v>275060</v>
      </c>
      <c r="C633" s="36">
        <v>50590</v>
      </c>
      <c r="D633" s="74" t="s">
        <v>617</v>
      </c>
      <c r="E633" s="36"/>
      <c r="F633" s="74"/>
      <c r="G633" s="74" t="s">
        <v>694</v>
      </c>
      <c r="H633" s="36"/>
      <c r="I633" s="36"/>
      <c r="J633" s="36"/>
      <c r="K633" s="36"/>
      <c r="L633" s="36"/>
      <c r="M633" s="36"/>
      <c r="N633" s="36"/>
      <c r="O633" s="36"/>
      <c r="P633" s="36"/>
      <c r="Q633" s="36"/>
      <c r="R633" s="36"/>
      <c r="S633" s="36"/>
      <c r="T633" s="36"/>
      <c r="U633" s="36"/>
    </row>
    <row r="634" spans="1:21">
      <c r="A634" s="74" t="s">
        <v>250</v>
      </c>
      <c r="B634" s="36">
        <v>275061</v>
      </c>
      <c r="C634" s="36">
        <v>42569</v>
      </c>
      <c r="D634" s="74" t="s">
        <v>617</v>
      </c>
      <c r="E634" s="36"/>
      <c r="F634" s="74"/>
      <c r="G634" s="74" t="s">
        <v>694</v>
      </c>
      <c r="H634" s="36"/>
      <c r="I634" s="36"/>
      <c r="J634" s="36"/>
      <c r="K634" s="36"/>
      <c r="L634" s="36"/>
      <c r="M634" s="36"/>
      <c r="N634" s="36"/>
      <c r="O634" s="36"/>
      <c r="P634" s="36"/>
      <c r="Q634" s="36"/>
      <c r="R634" s="36"/>
      <c r="S634" s="36"/>
      <c r="T634" s="36"/>
      <c r="U634" s="36"/>
    </row>
    <row r="635" spans="1:21">
      <c r="A635" s="74" t="s">
        <v>250</v>
      </c>
      <c r="B635" s="36">
        <v>275062</v>
      </c>
      <c r="C635" s="36">
        <v>41490</v>
      </c>
      <c r="D635" s="74" t="s">
        <v>617</v>
      </c>
      <c r="E635" s="36"/>
      <c r="F635" s="74"/>
      <c r="G635" s="74" t="s">
        <v>694</v>
      </c>
      <c r="H635" s="36"/>
      <c r="I635" s="36"/>
      <c r="J635" s="36"/>
      <c r="K635" s="36"/>
      <c r="L635" s="36"/>
      <c r="M635" s="36"/>
      <c r="N635" s="36"/>
      <c r="O635" s="36"/>
      <c r="P635" s="36"/>
      <c r="Q635" s="36"/>
      <c r="R635" s="36"/>
      <c r="S635" s="36"/>
      <c r="T635" s="36"/>
      <c r="U635" s="36"/>
    </row>
    <row r="636" spans="1:21">
      <c r="A636" s="74" t="s">
        <v>250</v>
      </c>
      <c r="B636" s="36">
        <v>275074</v>
      </c>
      <c r="C636" s="36">
        <v>41490</v>
      </c>
      <c r="D636" s="74" t="s">
        <v>617</v>
      </c>
      <c r="E636" s="36"/>
      <c r="F636" s="74"/>
      <c r="G636" s="74" t="s">
        <v>694</v>
      </c>
      <c r="H636" s="36"/>
      <c r="I636" s="36"/>
      <c r="J636" s="36"/>
      <c r="K636" s="36"/>
      <c r="L636" s="36"/>
      <c r="M636" s="36"/>
      <c r="N636" s="36"/>
      <c r="O636" s="36"/>
      <c r="P636" s="36"/>
      <c r="Q636" s="36"/>
      <c r="R636" s="36"/>
      <c r="S636" s="36"/>
      <c r="T636" s="36"/>
      <c r="U636" s="36"/>
    </row>
    <row r="637" spans="1:21">
      <c r="A637" s="74" t="s">
        <v>250</v>
      </c>
      <c r="B637" s="36">
        <v>275073</v>
      </c>
      <c r="C637" s="36">
        <v>41490</v>
      </c>
      <c r="D637" s="74" t="s">
        <v>617</v>
      </c>
      <c r="E637" s="36"/>
      <c r="F637" s="74"/>
      <c r="G637" s="74" t="s">
        <v>694</v>
      </c>
      <c r="H637" s="36"/>
      <c r="I637" s="36"/>
      <c r="J637" s="36"/>
      <c r="K637" s="36"/>
      <c r="L637" s="36"/>
      <c r="M637" s="36"/>
      <c r="N637" s="36"/>
      <c r="O637" s="36"/>
      <c r="P637" s="36"/>
      <c r="Q637" s="36"/>
      <c r="R637" s="36"/>
      <c r="S637" s="36"/>
      <c r="T637" s="36"/>
      <c r="U637" s="36"/>
    </row>
    <row r="638" spans="1:21">
      <c r="A638" s="74" t="s">
        <v>250</v>
      </c>
      <c r="B638" s="36">
        <v>275085</v>
      </c>
      <c r="C638" s="36">
        <v>41490</v>
      </c>
      <c r="D638" s="74" t="s">
        <v>617</v>
      </c>
      <c r="E638" s="36"/>
      <c r="F638" s="74"/>
      <c r="G638" s="74" t="s">
        <v>694</v>
      </c>
      <c r="H638" s="36"/>
      <c r="I638" s="36"/>
      <c r="J638" s="36"/>
      <c r="K638" s="36"/>
      <c r="L638" s="36"/>
      <c r="M638" s="36"/>
      <c r="N638" s="36"/>
      <c r="O638" s="36"/>
      <c r="P638" s="36"/>
      <c r="Q638" s="36"/>
      <c r="R638" s="36"/>
      <c r="S638" s="36"/>
      <c r="T638" s="36"/>
      <c r="U638" s="36"/>
    </row>
    <row r="639" spans="1:21">
      <c r="A639" s="74" t="s">
        <v>250</v>
      </c>
      <c r="B639" s="36">
        <v>275072</v>
      </c>
      <c r="C639" s="36">
        <v>41490</v>
      </c>
      <c r="D639" s="74" t="s">
        <v>617</v>
      </c>
      <c r="E639" s="36"/>
      <c r="F639" s="74"/>
      <c r="G639" s="74" t="s">
        <v>694</v>
      </c>
      <c r="H639" s="36"/>
      <c r="I639" s="36"/>
      <c r="J639" s="36"/>
      <c r="K639" s="36"/>
      <c r="L639" s="36"/>
      <c r="M639" s="36"/>
      <c r="N639" s="36"/>
      <c r="O639" s="36"/>
      <c r="P639" s="36"/>
      <c r="Q639" s="36"/>
      <c r="R639" s="36"/>
      <c r="S639" s="36"/>
      <c r="T639" s="36"/>
      <c r="U639" s="36"/>
    </row>
    <row r="640" spans="1:21">
      <c r="A640" s="74" t="s">
        <v>250</v>
      </c>
      <c r="B640" s="36">
        <v>275084</v>
      </c>
      <c r="C640" s="36">
        <v>41490</v>
      </c>
      <c r="D640" s="74" t="s">
        <v>617</v>
      </c>
      <c r="E640" s="36"/>
      <c r="F640" s="74"/>
      <c r="G640" s="74" t="s">
        <v>694</v>
      </c>
      <c r="H640" s="36"/>
      <c r="I640" s="36"/>
      <c r="J640" s="36"/>
      <c r="K640" s="36"/>
      <c r="L640" s="36"/>
      <c r="M640" s="36"/>
      <c r="N640" s="36"/>
      <c r="O640" s="36"/>
      <c r="P640" s="36"/>
      <c r="Q640" s="36"/>
      <c r="R640" s="36"/>
      <c r="S640" s="36"/>
      <c r="T640" s="36"/>
      <c r="U640" s="36"/>
    </row>
    <row r="641" spans="1:21">
      <c r="A641" s="74" t="s">
        <v>250</v>
      </c>
      <c r="B641" s="36">
        <v>275064</v>
      </c>
      <c r="C641" s="36">
        <v>41490</v>
      </c>
      <c r="D641" s="74" t="s">
        <v>617</v>
      </c>
      <c r="E641" s="36"/>
      <c r="F641" s="74"/>
      <c r="G641" s="74" t="s">
        <v>694</v>
      </c>
      <c r="H641" s="36"/>
      <c r="I641" s="36"/>
      <c r="J641" s="36"/>
      <c r="K641" s="36"/>
      <c r="L641" s="36"/>
      <c r="M641" s="36"/>
      <c r="N641" s="36"/>
      <c r="O641" s="36"/>
      <c r="P641" s="36"/>
      <c r="Q641" s="36"/>
      <c r="R641" s="36"/>
      <c r="S641" s="36"/>
      <c r="T641" s="36"/>
      <c r="U641" s="36"/>
    </row>
    <row r="642" spans="1:21">
      <c r="A642" s="74" t="s">
        <v>250</v>
      </c>
      <c r="B642" s="36">
        <v>275076</v>
      </c>
      <c r="C642" s="36">
        <v>41490</v>
      </c>
      <c r="D642" s="74" t="s">
        <v>617</v>
      </c>
      <c r="E642" s="36"/>
      <c r="F642" s="74"/>
      <c r="G642" s="74" t="s">
        <v>694</v>
      </c>
      <c r="H642" s="36"/>
      <c r="I642" s="36"/>
      <c r="J642" s="36"/>
      <c r="K642" s="36"/>
      <c r="L642" s="36"/>
      <c r="M642" s="36"/>
      <c r="N642" s="36"/>
      <c r="O642" s="36"/>
      <c r="P642" s="36"/>
      <c r="Q642" s="36"/>
      <c r="R642" s="36"/>
      <c r="S642" s="36"/>
      <c r="T642" s="36"/>
      <c r="U642" s="36"/>
    </row>
    <row r="643" spans="1:21">
      <c r="A643" s="74" t="s">
        <v>250</v>
      </c>
      <c r="B643" s="36">
        <v>275065</v>
      </c>
      <c r="C643" s="36">
        <v>41490</v>
      </c>
      <c r="D643" s="74" t="s">
        <v>617</v>
      </c>
      <c r="E643" s="36"/>
      <c r="F643" s="74"/>
      <c r="G643" s="74" t="s">
        <v>694</v>
      </c>
      <c r="H643" s="36"/>
      <c r="I643" s="36"/>
      <c r="J643" s="36"/>
      <c r="K643" s="36"/>
      <c r="L643" s="36"/>
      <c r="M643" s="36"/>
      <c r="N643" s="36"/>
      <c r="O643" s="36"/>
      <c r="P643" s="36"/>
      <c r="Q643" s="36"/>
      <c r="R643" s="36"/>
      <c r="S643" s="36"/>
      <c r="T643" s="36"/>
      <c r="U643" s="36"/>
    </row>
    <row r="644" spans="1:21">
      <c r="A644" s="74" t="s">
        <v>250</v>
      </c>
      <c r="B644" s="36">
        <v>275077</v>
      </c>
      <c r="C644" s="36">
        <v>41490</v>
      </c>
      <c r="D644" s="74" t="s">
        <v>617</v>
      </c>
      <c r="E644" s="36"/>
      <c r="F644" s="74"/>
      <c r="G644" s="74" t="s">
        <v>694</v>
      </c>
      <c r="H644" s="36"/>
      <c r="I644" s="36"/>
      <c r="J644" s="36"/>
      <c r="K644" s="36"/>
      <c r="L644" s="36"/>
      <c r="M644" s="36"/>
      <c r="N644" s="36"/>
      <c r="O644" s="36"/>
      <c r="P644" s="36"/>
      <c r="Q644" s="36"/>
      <c r="R644" s="36"/>
      <c r="S644" s="36"/>
      <c r="T644" s="36"/>
      <c r="U644" s="36"/>
    </row>
    <row r="645" spans="1:21">
      <c r="A645" s="74" t="s">
        <v>250</v>
      </c>
      <c r="B645" s="36">
        <v>275066</v>
      </c>
      <c r="C645" s="36">
        <v>41490</v>
      </c>
      <c r="D645" s="74" t="s">
        <v>617</v>
      </c>
      <c r="E645" s="36"/>
      <c r="F645" s="74"/>
      <c r="G645" s="74" t="s">
        <v>694</v>
      </c>
      <c r="H645" s="36"/>
      <c r="I645" s="36"/>
      <c r="J645" s="36"/>
      <c r="K645" s="36"/>
      <c r="L645" s="36"/>
      <c r="M645" s="36"/>
      <c r="N645" s="36"/>
      <c r="O645" s="36"/>
      <c r="P645" s="36"/>
      <c r="Q645" s="36"/>
      <c r="R645" s="36"/>
      <c r="S645" s="36"/>
      <c r="T645" s="36"/>
      <c r="U645" s="36"/>
    </row>
    <row r="646" spans="1:21">
      <c r="A646" s="74" t="s">
        <v>250</v>
      </c>
      <c r="B646" s="36">
        <v>275078</v>
      </c>
      <c r="C646" s="36">
        <v>41490</v>
      </c>
      <c r="D646" s="74" t="s">
        <v>617</v>
      </c>
      <c r="E646" s="36"/>
      <c r="F646" s="74"/>
      <c r="G646" s="74" t="s">
        <v>694</v>
      </c>
      <c r="H646" s="36"/>
      <c r="I646" s="36"/>
      <c r="J646" s="36"/>
      <c r="K646" s="36"/>
      <c r="L646" s="36"/>
      <c r="M646" s="36"/>
      <c r="N646" s="36"/>
      <c r="O646" s="36"/>
      <c r="P646" s="36"/>
      <c r="Q646" s="36"/>
      <c r="R646" s="36"/>
      <c r="S646" s="36"/>
      <c r="T646" s="36"/>
      <c r="U646" s="36"/>
    </row>
    <row r="647" spans="1:21">
      <c r="A647" s="74" t="s">
        <v>250</v>
      </c>
      <c r="B647" s="36">
        <v>275067</v>
      </c>
      <c r="C647" s="36">
        <v>41490</v>
      </c>
      <c r="D647" s="74" t="s">
        <v>617</v>
      </c>
      <c r="E647" s="36"/>
      <c r="F647" s="74"/>
      <c r="G647" s="74" t="s">
        <v>694</v>
      </c>
      <c r="H647" s="36"/>
      <c r="I647" s="36"/>
      <c r="J647" s="36"/>
      <c r="K647" s="36"/>
      <c r="L647" s="36"/>
      <c r="M647" s="36"/>
      <c r="N647" s="36"/>
      <c r="O647" s="36"/>
      <c r="P647" s="36"/>
      <c r="Q647" s="36"/>
      <c r="R647" s="36"/>
      <c r="S647" s="36"/>
      <c r="T647" s="36"/>
      <c r="U647" s="36"/>
    </row>
    <row r="648" spans="1:21">
      <c r="A648" s="74" t="s">
        <v>250</v>
      </c>
      <c r="B648" s="36">
        <v>275079</v>
      </c>
      <c r="C648" s="36">
        <v>41490</v>
      </c>
      <c r="D648" s="74" t="s">
        <v>617</v>
      </c>
      <c r="E648" s="36"/>
      <c r="F648" s="74"/>
      <c r="G648" s="74" t="s">
        <v>694</v>
      </c>
      <c r="H648" s="36"/>
      <c r="I648" s="36"/>
      <c r="J648" s="36"/>
      <c r="K648" s="36"/>
      <c r="L648" s="36"/>
      <c r="M648" s="36"/>
      <c r="N648" s="36"/>
      <c r="O648" s="36"/>
      <c r="P648" s="36"/>
      <c r="Q648" s="36"/>
      <c r="R648" s="36"/>
      <c r="S648" s="36"/>
      <c r="T648" s="36"/>
      <c r="U648" s="36"/>
    </row>
    <row r="649" spans="1:21">
      <c r="A649" s="74" t="s">
        <v>250</v>
      </c>
      <c r="B649" s="36">
        <v>275070</v>
      </c>
      <c r="C649" s="36">
        <v>41490</v>
      </c>
      <c r="D649" s="74" t="s">
        <v>617</v>
      </c>
      <c r="E649" s="36"/>
      <c r="F649" s="74"/>
      <c r="G649" s="74" t="s">
        <v>694</v>
      </c>
      <c r="H649" s="36"/>
      <c r="I649" s="36"/>
      <c r="J649" s="36"/>
      <c r="K649" s="36"/>
      <c r="L649" s="36"/>
      <c r="M649" s="36"/>
      <c r="N649" s="36"/>
      <c r="O649" s="36"/>
      <c r="P649" s="36"/>
      <c r="Q649" s="36"/>
      <c r="R649" s="36"/>
      <c r="S649" s="36"/>
      <c r="T649" s="36"/>
      <c r="U649" s="36"/>
    </row>
    <row r="650" spans="1:21">
      <c r="A650" s="74" t="s">
        <v>250</v>
      </c>
      <c r="B650" s="36">
        <v>275082</v>
      </c>
      <c r="C650" s="36">
        <v>41490</v>
      </c>
      <c r="D650" s="74" t="s">
        <v>617</v>
      </c>
      <c r="E650" s="36"/>
      <c r="F650" s="74"/>
      <c r="G650" s="74" t="s">
        <v>694</v>
      </c>
      <c r="H650" s="36"/>
      <c r="I650" s="36"/>
      <c r="J650" s="36"/>
      <c r="K650" s="36"/>
      <c r="L650" s="36"/>
      <c r="M650" s="36"/>
      <c r="N650" s="36"/>
      <c r="O650" s="36"/>
      <c r="P650" s="36"/>
      <c r="Q650" s="36"/>
      <c r="R650" s="36"/>
      <c r="S650" s="36"/>
      <c r="T650" s="36"/>
      <c r="U650" s="36"/>
    </row>
    <row r="651" spans="1:21">
      <c r="A651" s="74" t="s">
        <v>250</v>
      </c>
      <c r="B651" s="36">
        <v>275068</v>
      </c>
      <c r="C651" s="36">
        <v>41490</v>
      </c>
      <c r="D651" s="74" t="s">
        <v>617</v>
      </c>
      <c r="E651" s="36"/>
      <c r="F651" s="74"/>
      <c r="G651" s="74" t="s">
        <v>694</v>
      </c>
      <c r="H651" s="36"/>
      <c r="I651" s="36"/>
      <c r="J651" s="36"/>
      <c r="K651" s="36"/>
      <c r="L651" s="36"/>
      <c r="M651" s="36"/>
      <c r="N651" s="36"/>
      <c r="O651" s="36"/>
      <c r="P651" s="36"/>
      <c r="Q651" s="36"/>
      <c r="R651" s="36"/>
      <c r="S651" s="36"/>
      <c r="T651" s="36"/>
      <c r="U651" s="36"/>
    </row>
    <row r="652" spans="1:21">
      <c r="A652" s="74" t="s">
        <v>250</v>
      </c>
      <c r="B652" s="36">
        <v>275080</v>
      </c>
      <c r="C652" s="36">
        <v>41490</v>
      </c>
      <c r="D652" s="74" t="s">
        <v>617</v>
      </c>
      <c r="E652" s="36"/>
      <c r="F652" s="74"/>
      <c r="G652" s="74" t="s">
        <v>694</v>
      </c>
      <c r="H652" s="36"/>
      <c r="I652" s="36"/>
      <c r="J652" s="36"/>
      <c r="K652" s="36"/>
      <c r="L652" s="36"/>
      <c r="M652" s="36"/>
      <c r="N652" s="36"/>
      <c r="O652" s="36"/>
      <c r="P652" s="36"/>
      <c r="Q652" s="36"/>
      <c r="R652" s="36"/>
      <c r="S652" s="36"/>
      <c r="T652" s="36"/>
      <c r="U652" s="36"/>
    </row>
    <row r="653" spans="1:21">
      <c r="A653" s="74" t="s">
        <v>250</v>
      </c>
      <c r="B653" s="36">
        <v>275069</v>
      </c>
      <c r="C653" s="36">
        <v>41490</v>
      </c>
      <c r="D653" s="74" t="s">
        <v>617</v>
      </c>
      <c r="E653" s="36"/>
      <c r="F653" s="74"/>
      <c r="G653" s="74" t="s">
        <v>694</v>
      </c>
      <c r="H653" s="36"/>
      <c r="I653" s="36"/>
      <c r="J653" s="36"/>
      <c r="K653" s="36"/>
      <c r="L653" s="36"/>
      <c r="M653" s="36"/>
      <c r="N653" s="36"/>
      <c r="O653" s="36"/>
      <c r="P653" s="36"/>
      <c r="Q653" s="36"/>
      <c r="R653" s="36"/>
      <c r="S653" s="36"/>
      <c r="T653" s="36"/>
      <c r="U653" s="36"/>
    </row>
    <row r="654" spans="1:21">
      <c r="A654" s="74" t="s">
        <v>250</v>
      </c>
      <c r="B654" s="36">
        <v>275081</v>
      </c>
      <c r="C654" s="36">
        <v>41490</v>
      </c>
      <c r="D654" s="74" t="s">
        <v>617</v>
      </c>
      <c r="E654" s="36"/>
      <c r="F654" s="74"/>
      <c r="G654" s="74" t="s">
        <v>694</v>
      </c>
      <c r="H654" s="36"/>
      <c r="I654" s="36"/>
      <c r="J654" s="36"/>
      <c r="K654" s="36"/>
      <c r="L654" s="36"/>
      <c r="M654" s="36"/>
      <c r="N654" s="36"/>
      <c r="O654" s="36"/>
      <c r="P654" s="36"/>
      <c r="Q654" s="36"/>
      <c r="R654" s="36"/>
      <c r="S654" s="36"/>
      <c r="T654" s="36"/>
      <c r="U654" s="36"/>
    </row>
    <row r="655" spans="1:21">
      <c r="A655" s="74" t="s">
        <v>250</v>
      </c>
      <c r="B655" s="36">
        <v>275071</v>
      </c>
      <c r="C655" s="36">
        <v>41490</v>
      </c>
      <c r="D655" s="74" t="s">
        <v>617</v>
      </c>
      <c r="E655" s="36"/>
      <c r="F655" s="74"/>
      <c r="G655" s="74" t="s">
        <v>694</v>
      </c>
      <c r="H655" s="36"/>
      <c r="I655" s="36"/>
      <c r="J655" s="36"/>
      <c r="K655" s="36"/>
      <c r="L655" s="36"/>
      <c r="M655" s="36"/>
      <c r="N655" s="36"/>
      <c r="O655" s="36"/>
      <c r="P655" s="36"/>
      <c r="Q655" s="36"/>
      <c r="R655" s="36"/>
      <c r="S655" s="36"/>
      <c r="T655" s="36"/>
      <c r="U655" s="36"/>
    </row>
    <row r="656" spans="1:21">
      <c r="A656" s="74" t="s">
        <v>250</v>
      </c>
      <c r="B656" s="36">
        <v>275083</v>
      </c>
      <c r="C656" s="36">
        <v>41490</v>
      </c>
      <c r="D656" s="74" t="s">
        <v>617</v>
      </c>
      <c r="E656" s="36"/>
      <c r="F656" s="74"/>
      <c r="G656" s="74" t="s">
        <v>694</v>
      </c>
      <c r="H656" s="36"/>
      <c r="I656" s="36"/>
      <c r="J656" s="36"/>
      <c r="K656" s="36"/>
      <c r="L656" s="36"/>
      <c r="M656" s="36"/>
      <c r="N656" s="36"/>
      <c r="O656" s="36"/>
      <c r="P656" s="36"/>
      <c r="Q656" s="36"/>
      <c r="R656" s="36"/>
      <c r="S656" s="36"/>
      <c r="T656" s="36"/>
      <c r="U656" s="36"/>
    </row>
    <row r="657" spans="1:21">
      <c r="A657" s="74" t="s">
        <v>250</v>
      </c>
      <c r="B657" s="36">
        <v>275063</v>
      </c>
      <c r="C657" s="36">
        <v>41490</v>
      </c>
      <c r="D657" s="74" t="s">
        <v>617</v>
      </c>
      <c r="E657" s="36"/>
      <c r="F657" s="74"/>
      <c r="G657" s="74" t="s">
        <v>694</v>
      </c>
      <c r="H657" s="36"/>
      <c r="I657" s="36"/>
      <c r="J657" s="36"/>
      <c r="K657" s="36"/>
      <c r="L657" s="36"/>
      <c r="M657" s="36"/>
      <c r="N657" s="36"/>
      <c r="O657" s="36"/>
      <c r="P657" s="36"/>
      <c r="Q657" s="36"/>
      <c r="R657" s="36"/>
      <c r="S657" s="36"/>
      <c r="T657" s="36"/>
      <c r="U657" s="36"/>
    </row>
    <row r="658" spans="1:21">
      <c r="A658" s="74" t="s">
        <v>250</v>
      </c>
      <c r="B658" s="36">
        <v>275075</v>
      </c>
      <c r="C658" s="36">
        <v>41490</v>
      </c>
      <c r="D658" s="74" t="s">
        <v>617</v>
      </c>
      <c r="E658" s="36"/>
      <c r="F658" s="74"/>
      <c r="G658" s="74" t="s">
        <v>694</v>
      </c>
      <c r="H658" s="36"/>
      <c r="I658" s="36"/>
      <c r="J658" s="36"/>
      <c r="K658" s="36"/>
      <c r="L658" s="36"/>
      <c r="M658" s="36"/>
      <c r="N658" s="36"/>
      <c r="O658" s="36"/>
      <c r="P658" s="36"/>
      <c r="Q658" s="36"/>
      <c r="R658" s="36"/>
      <c r="S658" s="36"/>
      <c r="T658" s="36"/>
      <c r="U658" s="36"/>
    </row>
    <row r="659" spans="1:21">
      <c r="A659" s="74" t="s">
        <v>250</v>
      </c>
      <c r="B659" s="36">
        <v>322897</v>
      </c>
      <c r="C659" s="36">
        <v>49090</v>
      </c>
      <c r="D659" s="74" t="s">
        <v>614</v>
      </c>
      <c r="E659" s="36"/>
      <c r="F659" s="74"/>
      <c r="G659" s="74" t="s">
        <v>692</v>
      </c>
      <c r="H659" s="36"/>
      <c r="I659" s="36"/>
      <c r="J659" s="36"/>
      <c r="K659" s="36"/>
      <c r="L659" s="36"/>
      <c r="M659" s="36"/>
      <c r="N659" s="36"/>
      <c r="O659" s="36"/>
      <c r="P659" s="36"/>
      <c r="Q659" s="36"/>
      <c r="R659" s="36"/>
      <c r="S659" s="36"/>
      <c r="T659" s="36"/>
      <c r="U659" s="36"/>
    </row>
    <row r="660" spans="1:21">
      <c r="A660" s="74" t="s">
        <v>250</v>
      </c>
      <c r="B660" s="36">
        <v>341939</v>
      </c>
      <c r="C660" s="36">
        <v>39990</v>
      </c>
      <c r="D660" s="74" t="s">
        <v>614</v>
      </c>
      <c r="E660" s="36"/>
      <c r="F660" s="74"/>
      <c r="G660" s="74" t="s">
        <v>692</v>
      </c>
      <c r="H660" s="36"/>
      <c r="I660" s="36"/>
      <c r="J660" s="36"/>
      <c r="K660" s="36"/>
      <c r="L660" s="36"/>
      <c r="M660" s="36"/>
      <c r="N660" s="36"/>
      <c r="O660" s="36"/>
      <c r="P660" s="36"/>
      <c r="Q660" s="36"/>
      <c r="R660" s="36"/>
      <c r="S660" s="36"/>
      <c r="T660" s="36"/>
      <c r="U660" s="36"/>
    </row>
    <row r="661" spans="1:21">
      <c r="A661" s="74" t="s">
        <v>250</v>
      </c>
      <c r="B661" s="36">
        <v>341938</v>
      </c>
      <c r="C661" s="36">
        <v>39990</v>
      </c>
      <c r="D661" s="74" t="s">
        <v>614</v>
      </c>
      <c r="E661" s="36"/>
      <c r="F661" s="74"/>
      <c r="G661" s="74" t="s">
        <v>692</v>
      </c>
      <c r="H661" s="36"/>
      <c r="I661" s="36"/>
      <c r="J661" s="36"/>
      <c r="K661" s="36"/>
      <c r="L661" s="36"/>
      <c r="M661" s="36"/>
      <c r="N661" s="36"/>
      <c r="O661" s="36"/>
      <c r="P661" s="36"/>
      <c r="Q661" s="36"/>
      <c r="R661" s="36"/>
      <c r="S661" s="36"/>
      <c r="T661" s="36"/>
      <c r="U661" s="36"/>
    </row>
    <row r="662" spans="1:21">
      <c r="A662" s="74" t="s">
        <v>250</v>
      </c>
      <c r="B662" s="36">
        <v>341950</v>
      </c>
      <c r="C662" s="36">
        <v>39990</v>
      </c>
      <c r="D662" s="74" t="s">
        <v>614</v>
      </c>
      <c r="E662" s="36"/>
      <c r="F662" s="74"/>
      <c r="G662" s="74" t="s">
        <v>692</v>
      </c>
      <c r="H662" s="36"/>
      <c r="I662" s="36"/>
      <c r="J662" s="36"/>
      <c r="K662" s="36"/>
      <c r="L662" s="36"/>
      <c r="M662" s="36"/>
      <c r="N662" s="36"/>
      <c r="O662" s="36"/>
      <c r="P662" s="36"/>
      <c r="Q662" s="36"/>
      <c r="R662" s="36"/>
      <c r="S662" s="36"/>
      <c r="T662" s="36"/>
      <c r="U662" s="36"/>
    </row>
    <row r="663" spans="1:21">
      <c r="A663" s="74" t="s">
        <v>250</v>
      </c>
      <c r="B663" s="36">
        <v>341949</v>
      </c>
      <c r="C663" s="36">
        <v>39990</v>
      </c>
      <c r="D663" s="74" t="s">
        <v>614</v>
      </c>
      <c r="E663" s="36"/>
      <c r="F663" s="74"/>
      <c r="G663" s="74" t="s">
        <v>692</v>
      </c>
      <c r="H663" s="36"/>
      <c r="I663" s="36"/>
      <c r="J663" s="36"/>
      <c r="K663" s="36"/>
      <c r="L663" s="36"/>
      <c r="M663" s="36"/>
      <c r="N663" s="36"/>
      <c r="O663" s="36"/>
      <c r="P663" s="36"/>
      <c r="Q663" s="36"/>
      <c r="R663" s="36"/>
      <c r="S663" s="36"/>
      <c r="T663" s="36"/>
      <c r="U663" s="36"/>
    </row>
    <row r="664" spans="1:21">
      <c r="A664" s="74" t="s">
        <v>250</v>
      </c>
      <c r="B664" s="36">
        <v>341941</v>
      </c>
      <c r="C664" s="36">
        <v>39990</v>
      </c>
      <c r="D664" s="74" t="s">
        <v>614</v>
      </c>
      <c r="E664" s="36"/>
      <c r="F664" s="74"/>
      <c r="G664" s="74" t="s">
        <v>692</v>
      </c>
      <c r="H664" s="36"/>
      <c r="I664" s="36"/>
      <c r="J664" s="36"/>
      <c r="K664" s="36"/>
      <c r="L664" s="36"/>
      <c r="M664" s="36"/>
      <c r="N664" s="36"/>
      <c r="O664" s="36"/>
      <c r="P664" s="36"/>
      <c r="Q664" s="36"/>
      <c r="R664" s="36"/>
      <c r="S664" s="36"/>
      <c r="T664" s="36"/>
      <c r="U664" s="36"/>
    </row>
    <row r="665" spans="1:21">
      <c r="A665" s="74" t="s">
        <v>250</v>
      </c>
      <c r="B665" s="36">
        <v>341942</v>
      </c>
      <c r="C665" s="36">
        <v>39990</v>
      </c>
      <c r="D665" s="74" t="s">
        <v>614</v>
      </c>
      <c r="E665" s="36"/>
      <c r="F665" s="74"/>
      <c r="G665" s="74" t="s">
        <v>692</v>
      </c>
      <c r="H665" s="36"/>
      <c r="I665" s="36"/>
      <c r="J665" s="36"/>
      <c r="K665" s="36"/>
      <c r="L665" s="36"/>
      <c r="M665" s="36"/>
      <c r="N665" s="36"/>
      <c r="O665" s="36"/>
      <c r="P665" s="36"/>
      <c r="Q665" s="36"/>
      <c r="R665" s="36"/>
      <c r="S665" s="36"/>
      <c r="T665" s="36"/>
      <c r="U665" s="36"/>
    </row>
    <row r="666" spans="1:21">
      <c r="A666" s="74" t="s">
        <v>250</v>
      </c>
      <c r="B666" s="36">
        <v>341943</v>
      </c>
      <c r="C666" s="36">
        <v>39990</v>
      </c>
      <c r="D666" s="74" t="s">
        <v>614</v>
      </c>
      <c r="E666" s="36"/>
      <c r="F666" s="74"/>
      <c r="G666" s="74" t="s">
        <v>692</v>
      </c>
      <c r="H666" s="36"/>
      <c r="I666" s="36"/>
      <c r="J666" s="36"/>
      <c r="K666" s="36"/>
      <c r="L666" s="36"/>
      <c r="M666" s="36"/>
      <c r="N666" s="36"/>
      <c r="O666" s="36"/>
      <c r="P666" s="36"/>
      <c r="Q666" s="36"/>
      <c r="R666" s="36"/>
      <c r="S666" s="36"/>
      <c r="T666" s="36"/>
      <c r="U666" s="36"/>
    </row>
    <row r="667" spans="1:21">
      <c r="A667" s="74" t="s">
        <v>250</v>
      </c>
      <c r="B667" s="36">
        <v>341944</v>
      </c>
      <c r="C667" s="36">
        <v>39990</v>
      </c>
      <c r="D667" s="74" t="s">
        <v>614</v>
      </c>
      <c r="E667" s="36"/>
      <c r="F667" s="74"/>
      <c r="G667" s="74" t="s">
        <v>692</v>
      </c>
      <c r="H667" s="36"/>
      <c r="I667" s="36"/>
      <c r="J667" s="36"/>
      <c r="K667" s="36"/>
      <c r="L667" s="36"/>
      <c r="M667" s="36"/>
      <c r="N667" s="36"/>
      <c r="O667" s="36"/>
      <c r="P667" s="36"/>
      <c r="Q667" s="36"/>
      <c r="R667" s="36"/>
      <c r="S667" s="36"/>
      <c r="T667" s="36"/>
      <c r="U667" s="36"/>
    </row>
    <row r="668" spans="1:21">
      <c r="A668" s="74" t="s">
        <v>250</v>
      </c>
      <c r="B668" s="36">
        <v>341947</v>
      </c>
      <c r="C668" s="36">
        <v>39990</v>
      </c>
      <c r="D668" s="74" t="s">
        <v>614</v>
      </c>
      <c r="E668" s="36"/>
      <c r="F668" s="74"/>
      <c r="G668" s="74" t="s">
        <v>692</v>
      </c>
      <c r="H668" s="36"/>
      <c r="I668" s="36"/>
      <c r="J668" s="36"/>
      <c r="K668" s="36"/>
      <c r="L668" s="36"/>
      <c r="M668" s="36"/>
      <c r="N668" s="36"/>
      <c r="O668" s="36"/>
      <c r="P668" s="36"/>
      <c r="Q668" s="36"/>
      <c r="R668" s="36"/>
      <c r="S668" s="36"/>
      <c r="T668" s="36"/>
      <c r="U668" s="36"/>
    </row>
    <row r="669" spans="1:21">
      <c r="A669" s="74" t="s">
        <v>250</v>
      </c>
      <c r="B669" s="36">
        <v>341945</v>
      </c>
      <c r="C669" s="36">
        <v>39990</v>
      </c>
      <c r="D669" s="74" t="s">
        <v>614</v>
      </c>
      <c r="E669" s="36"/>
      <c r="F669" s="74"/>
      <c r="G669" s="74" t="s">
        <v>692</v>
      </c>
      <c r="H669" s="36"/>
      <c r="I669" s="36"/>
      <c r="J669" s="36"/>
      <c r="K669" s="36"/>
      <c r="L669" s="36"/>
      <c r="M669" s="36"/>
      <c r="N669" s="36"/>
      <c r="O669" s="36"/>
      <c r="P669" s="36"/>
      <c r="Q669" s="36"/>
      <c r="R669" s="36"/>
      <c r="S669" s="36"/>
      <c r="T669" s="36"/>
      <c r="U669" s="36"/>
    </row>
    <row r="670" spans="1:21">
      <c r="A670" s="74" t="s">
        <v>250</v>
      </c>
      <c r="B670" s="36">
        <v>341946</v>
      </c>
      <c r="C670" s="36">
        <v>39990</v>
      </c>
      <c r="D670" s="74" t="s">
        <v>614</v>
      </c>
      <c r="E670" s="36"/>
      <c r="F670" s="74"/>
      <c r="G670" s="74" t="s">
        <v>692</v>
      </c>
      <c r="H670" s="36"/>
      <c r="I670" s="36"/>
      <c r="J670" s="36"/>
      <c r="K670" s="36"/>
      <c r="L670" s="36"/>
      <c r="M670" s="36"/>
      <c r="N670" s="36"/>
      <c r="O670" s="36"/>
      <c r="P670" s="36"/>
      <c r="Q670" s="36"/>
      <c r="R670" s="36"/>
      <c r="S670" s="36"/>
      <c r="T670" s="36"/>
      <c r="U670" s="36"/>
    </row>
    <row r="671" spans="1:21">
      <c r="A671" s="74" t="s">
        <v>250</v>
      </c>
      <c r="B671" s="36">
        <v>341948</v>
      </c>
      <c r="C671" s="36">
        <v>39990</v>
      </c>
      <c r="D671" s="74" t="s">
        <v>614</v>
      </c>
      <c r="E671" s="36"/>
      <c r="F671" s="74"/>
      <c r="G671" s="74" t="s">
        <v>692</v>
      </c>
      <c r="H671" s="36"/>
      <c r="I671" s="36"/>
      <c r="J671" s="36"/>
      <c r="K671" s="36"/>
      <c r="L671" s="36"/>
      <c r="M671" s="36"/>
      <c r="N671" s="36"/>
      <c r="O671" s="36"/>
      <c r="P671" s="36"/>
      <c r="Q671" s="36"/>
      <c r="R671" s="36"/>
      <c r="S671" s="36"/>
      <c r="T671" s="36"/>
      <c r="U671" s="36"/>
    </row>
    <row r="672" spans="1:21">
      <c r="A672" s="74" t="s">
        <v>250</v>
      </c>
      <c r="B672" s="36">
        <v>341940</v>
      </c>
      <c r="C672" s="36">
        <v>39990</v>
      </c>
      <c r="D672" s="74" t="s">
        <v>614</v>
      </c>
      <c r="E672" s="36"/>
      <c r="F672" s="74"/>
      <c r="G672" s="74" t="s">
        <v>692</v>
      </c>
      <c r="H672" s="36"/>
      <c r="I672" s="36"/>
      <c r="J672" s="36"/>
      <c r="K672" s="36"/>
      <c r="L672" s="36"/>
      <c r="M672" s="36"/>
      <c r="N672" s="36"/>
      <c r="O672" s="36"/>
      <c r="P672" s="36"/>
      <c r="Q672" s="36"/>
      <c r="R672" s="36"/>
      <c r="S672" s="36"/>
      <c r="T672" s="36"/>
      <c r="U672" s="36"/>
    </row>
    <row r="673" spans="1:21">
      <c r="A673" s="74" t="s">
        <v>250</v>
      </c>
      <c r="B673" s="36">
        <v>322898</v>
      </c>
      <c r="C673" s="36">
        <v>39990</v>
      </c>
      <c r="D673" s="74" t="s">
        <v>614</v>
      </c>
      <c r="E673" s="36"/>
      <c r="F673" s="74"/>
      <c r="G673" s="74" t="s">
        <v>692</v>
      </c>
      <c r="H673" s="36"/>
      <c r="I673" s="36"/>
      <c r="J673" s="36"/>
      <c r="K673" s="36"/>
      <c r="L673" s="36"/>
      <c r="M673" s="36"/>
      <c r="N673" s="36"/>
      <c r="O673" s="36"/>
      <c r="P673" s="36"/>
      <c r="Q673" s="36"/>
      <c r="R673" s="36"/>
      <c r="S673" s="36"/>
      <c r="T673" s="36"/>
      <c r="U673" s="36"/>
    </row>
    <row r="674" spans="1:21">
      <c r="A674" s="74" t="s">
        <v>250</v>
      </c>
      <c r="B674" s="36">
        <v>322909</v>
      </c>
      <c r="C674" s="36">
        <v>39990</v>
      </c>
      <c r="D674" s="74" t="s">
        <v>614</v>
      </c>
      <c r="E674" s="36"/>
      <c r="F674" s="74"/>
      <c r="G674" s="74" t="s">
        <v>692</v>
      </c>
      <c r="H674" s="36"/>
      <c r="I674" s="36"/>
      <c r="J674" s="36"/>
      <c r="K674" s="36"/>
      <c r="L674" s="36"/>
      <c r="M674" s="36"/>
      <c r="N674" s="36"/>
      <c r="O674" s="36"/>
      <c r="P674" s="36"/>
      <c r="Q674" s="36"/>
      <c r="R674" s="36"/>
      <c r="S674" s="36"/>
      <c r="T674" s="36"/>
      <c r="U674" s="36"/>
    </row>
    <row r="675" spans="1:21">
      <c r="A675" s="74" t="s">
        <v>250</v>
      </c>
      <c r="B675" s="36">
        <v>322908</v>
      </c>
      <c r="C675" s="36">
        <v>39990</v>
      </c>
      <c r="D675" s="74" t="s">
        <v>614</v>
      </c>
      <c r="E675" s="36"/>
      <c r="F675" s="74"/>
      <c r="G675" s="74" t="s">
        <v>692</v>
      </c>
      <c r="H675" s="36"/>
      <c r="I675" s="36"/>
      <c r="J675" s="36"/>
      <c r="K675" s="36"/>
      <c r="L675" s="36"/>
      <c r="M675" s="36"/>
      <c r="N675" s="36"/>
      <c r="O675" s="36"/>
      <c r="P675" s="36"/>
      <c r="Q675" s="36"/>
      <c r="R675" s="36"/>
      <c r="S675" s="36"/>
      <c r="T675" s="36"/>
      <c r="U675" s="36"/>
    </row>
    <row r="676" spans="1:21">
      <c r="A676" s="74" t="s">
        <v>250</v>
      </c>
      <c r="B676" s="36">
        <v>322900</v>
      </c>
      <c r="C676" s="36">
        <v>39990</v>
      </c>
      <c r="D676" s="74" t="s">
        <v>614</v>
      </c>
      <c r="E676" s="36"/>
      <c r="F676" s="74"/>
      <c r="G676" s="74" t="s">
        <v>692</v>
      </c>
      <c r="H676" s="36"/>
      <c r="I676" s="36"/>
      <c r="J676" s="36"/>
      <c r="K676" s="36"/>
      <c r="L676" s="36"/>
      <c r="M676" s="36"/>
      <c r="N676" s="36"/>
      <c r="O676" s="36"/>
      <c r="P676" s="36"/>
      <c r="Q676" s="36"/>
      <c r="R676" s="36"/>
      <c r="S676" s="36"/>
      <c r="T676" s="36"/>
      <c r="U676" s="36"/>
    </row>
    <row r="677" spans="1:21">
      <c r="A677" s="74" t="s">
        <v>250</v>
      </c>
      <c r="B677" s="36">
        <v>322901</v>
      </c>
      <c r="C677" s="36">
        <v>39990</v>
      </c>
      <c r="D677" s="74" t="s">
        <v>614</v>
      </c>
      <c r="E677" s="36"/>
      <c r="F677" s="74"/>
      <c r="G677" s="74" t="s">
        <v>692</v>
      </c>
      <c r="H677" s="36"/>
      <c r="I677" s="36"/>
      <c r="J677" s="36"/>
      <c r="K677" s="36"/>
      <c r="L677" s="36"/>
      <c r="M677" s="36"/>
      <c r="N677" s="36"/>
      <c r="O677" s="36"/>
      <c r="P677" s="36"/>
      <c r="Q677" s="36"/>
      <c r="R677" s="36"/>
      <c r="S677" s="36"/>
      <c r="T677" s="36"/>
      <c r="U677" s="36"/>
    </row>
    <row r="678" spans="1:21">
      <c r="A678" s="74" t="s">
        <v>250</v>
      </c>
      <c r="B678" s="36">
        <v>322902</v>
      </c>
      <c r="C678" s="36">
        <v>39990</v>
      </c>
      <c r="D678" s="74" t="s">
        <v>614</v>
      </c>
      <c r="E678" s="36"/>
      <c r="F678" s="74"/>
      <c r="G678" s="74" t="s">
        <v>692</v>
      </c>
      <c r="H678" s="36"/>
      <c r="I678" s="36"/>
      <c r="J678" s="36"/>
      <c r="K678" s="36"/>
      <c r="L678" s="36"/>
      <c r="M678" s="36"/>
      <c r="N678" s="36"/>
      <c r="O678" s="36"/>
      <c r="P678" s="36"/>
      <c r="Q678" s="36"/>
      <c r="R678" s="36"/>
      <c r="S678" s="36"/>
      <c r="T678" s="36"/>
      <c r="U678" s="36"/>
    </row>
    <row r="679" spans="1:21">
      <c r="A679" s="74" t="s">
        <v>250</v>
      </c>
      <c r="B679" s="36">
        <v>322903</v>
      </c>
      <c r="C679" s="36">
        <v>39990</v>
      </c>
      <c r="D679" s="74" t="s">
        <v>614</v>
      </c>
      <c r="E679" s="36"/>
      <c r="F679" s="74"/>
      <c r="G679" s="74" t="s">
        <v>692</v>
      </c>
      <c r="H679" s="36"/>
      <c r="I679" s="36"/>
      <c r="J679" s="36"/>
      <c r="K679" s="36"/>
      <c r="L679" s="36"/>
      <c r="M679" s="36"/>
      <c r="N679" s="36"/>
      <c r="O679" s="36"/>
      <c r="P679" s="36"/>
      <c r="Q679" s="36"/>
      <c r="R679" s="36"/>
      <c r="S679" s="36"/>
      <c r="T679" s="36"/>
      <c r="U679" s="36"/>
    </row>
    <row r="680" spans="1:21">
      <c r="A680" s="74" t="s">
        <v>250</v>
      </c>
      <c r="B680" s="36">
        <v>322906</v>
      </c>
      <c r="C680" s="36">
        <v>39990</v>
      </c>
      <c r="D680" s="74" t="s">
        <v>614</v>
      </c>
      <c r="E680" s="36"/>
      <c r="F680" s="74"/>
      <c r="G680" s="74" t="s">
        <v>692</v>
      </c>
      <c r="H680" s="36"/>
      <c r="I680" s="36"/>
      <c r="J680" s="36"/>
      <c r="K680" s="36"/>
      <c r="L680" s="36"/>
      <c r="M680" s="36"/>
      <c r="N680" s="36"/>
      <c r="O680" s="36"/>
      <c r="P680" s="36"/>
      <c r="Q680" s="36"/>
      <c r="R680" s="36"/>
      <c r="S680" s="36"/>
      <c r="T680" s="36"/>
      <c r="U680" s="36"/>
    </row>
    <row r="681" spans="1:21">
      <c r="A681" s="74" t="s">
        <v>250</v>
      </c>
      <c r="B681" s="36">
        <v>322904</v>
      </c>
      <c r="C681" s="36">
        <v>39990</v>
      </c>
      <c r="D681" s="74" t="s">
        <v>614</v>
      </c>
      <c r="E681" s="36"/>
      <c r="F681" s="74"/>
      <c r="G681" s="74" t="s">
        <v>692</v>
      </c>
      <c r="H681" s="36"/>
      <c r="I681" s="36"/>
      <c r="J681" s="36"/>
      <c r="K681" s="36"/>
      <c r="L681" s="36"/>
      <c r="M681" s="36"/>
      <c r="N681" s="36"/>
      <c r="O681" s="36"/>
      <c r="P681" s="36"/>
      <c r="Q681" s="36"/>
      <c r="R681" s="36"/>
      <c r="S681" s="36"/>
      <c r="T681" s="36"/>
      <c r="U681" s="36"/>
    </row>
    <row r="682" spans="1:21">
      <c r="A682" s="74" t="s">
        <v>250</v>
      </c>
      <c r="B682" s="36">
        <v>322905</v>
      </c>
      <c r="C682" s="36">
        <v>39990</v>
      </c>
      <c r="D682" s="74" t="s">
        <v>614</v>
      </c>
      <c r="E682" s="36"/>
      <c r="F682" s="74"/>
      <c r="G682" s="74" t="s">
        <v>692</v>
      </c>
      <c r="H682" s="36"/>
      <c r="I682" s="36"/>
      <c r="J682" s="36"/>
      <c r="K682" s="36"/>
      <c r="L682" s="36"/>
      <c r="M682" s="36"/>
      <c r="N682" s="36"/>
      <c r="O682" s="36"/>
      <c r="P682" s="36"/>
      <c r="Q682" s="36"/>
      <c r="R682" s="36"/>
      <c r="S682" s="36"/>
      <c r="T682" s="36"/>
      <c r="U682" s="36"/>
    </row>
    <row r="683" spans="1:21">
      <c r="A683" s="74" t="s">
        <v>250</v>
      </c>
      <c r="B683" s="36">
        <v>322907</v>
      </c>
      <c r="C683" s="36">
        <v>39990</v>
      </c>
      <c r="D683" s="74" t="s">
        <v>614</v>
      </c>
      <c r="E683" s="36"/>
      <c r="F683" s="74"/>
      <c r="G683" s="74" t="s">
        <v>692</v>
      </c>
      <c r="H683" s="36"/>
      <c r="I683" s="36"/>
      <c r="J683" s="36"/>
      <c r="K683" s="36"/>
      <c r="L683" s="36"/>
      <c r="M683" s="36"/>
      <c r="N683" s="36"/>
      <c r="O683" s="36"/>
      <c r="P683" s="36"/>
      <c r="Q683" s="36"/>
      <c r="R683" s="36"/>
      <c r="S683" s="36"/>
      <c r="T683" s="36"/>
      <c r="U683" s="36"/>
    </row>
    <row r="684" spans="1:21">
      <c r="A684" s="74" t="s">
        <v>250</v>
      </c>
      <c r="B684" s="36">
        <v>322899</v>
      </c>
      <c r="C684" s="36">
        <v>39990</v>
      </c>
      <c r="D684" s="74" t="s">
        <v>614</v>
      </c>
      <c r="E684" s="36"/>
      <c r="F684" s="74"/>
      <c r="G684" s="74" t="s">
        <v>692</v>
      </c>
      <c r="H684" s="36"/>
      <c r="I684" s="36"/>
      <c r="J684" s="36"/>
      <c r="K684" s="36"/>
      <c r="L684" s="36"/>
      <c r="M684" s="36"/>
      <c r="N684" s="36"/>
      <c r="O684" s="36"/>
      <c r="P684" s="36"/>
      <c r="Q684" s="36"/>
      <c r="R684" s="36"/>
      <c r="S684" s="36"/>
      <c r="T684" s="36"/>
      <c r="U684" s="36"/>
    </row>
    <row r="685" spans="1:21">
      <c r="A685" s="74" t="s">
        <v>250</v>
      </c>
      <c r="B685" s="36">
        <v>322867</v>
      </c>
      <c r="C685" s="36">
        <v>2690</v>
      </c>
      <c r="D685" s="74" t="s">
        <v>514</v>
      </c>
      <c r="E685" s="36"/>
      <c r="F685" s="74"/>
      <c r="G685" s="74" t="s">
        <v>667</v>
      </c>
      <c r="H685" s="36"/>
      <c r="I685" s="36"/>
      <c r="J685" s="36"/>
      <c r="K685" s="36"/>
      <c r="L685" s="36"/>
      <c r="M685" s="36"/>
      <c r="N685" s="36"/>
      <c r="O685" s="36"/>
      <c r="P685" s="36"/>
      <c r="Q685" s="36"/>
      <c r="R685" s="36"/>
      <c r="S685" s="36"/>
      <c r="T685" s="36"/>
      <c r="U685" s="36"/>
    </row>
    <row r="686" spans="1:21">
      <c r="A686" s="74" t="s">
        <v>250</v>
      </c>
      <c r="B686" s="36">
        <v>322868</v>
      </c>
      <c r="C686" s="36">
        <v>2690</v>
      </c>
      <c r="D686" s="74" t="s">
        <v>514</v>
      </c>
      <c r="E686" s="36"/>
      <c r="F686" s="74"/>
      <c r="G686" s="74" t="s">
        <v>667</v>
      </c>
      <c r="H686" s="36"/>
      <c r="I686" s="36"/>
      <c r="J686" s="36"/>
      <c r="K686" s="36"/>
      <c r="L686" s="36"/>
      <c r="M686" s="36"/>
      <c r="N686" s="36"/>
      <c r="O686" s="36"/>
      <c r="P686" s="36"/>
      <c r="Q686" s="36"/>
      <c r="R686" s="36"/>
      <c r="S686" s="36"/>
      <c r="T686" s="36"/>
      <c r="U686" s="36"/>
    </row>
    <row r="687" spans="1:21">
      <c r="A687" s="74" t="s">
        <v>250</v>
      </c>
      <c r="B687" s="36">
        <v>322855</v>
      </c>
      <c r="C687" s="36">
        <v>2690</v>
      </c>
      <c r="D687" s="74" t="s">
        <v>513</v>
      </c>
      <c r="E687" s="36"/>
      <c r="F687" s="74"/>
      <c r="G687" s="74" t="s">
        <v>667</v>
      </c>
      <c r="H687" s="36"/>
      <c r="I687" s="36"/>
      <c r="J687" s="36"/>
      <c r="K687" s="36"/>
      <c r="L687" s="36"/>
      <c r="M687" s="36"/>
      <c r="N687" s="36"/>
      <c r="O687" s="36"/>
      <c r="P687" s="36"/>
      <c r="Q687" s="36"/>
      <c r="R687" s="36"/>
      <c r="S687" s="36"/>
      <c r="T687" s="36"/>
      <c r="U687" s="36"/>
    </row>
    <row r="688" spans="1:21">
      <c r="A688" s="74" t="s">
        <v>250</v>
      </c>
      <c r="B688" s="36">
        <v>322856</v>
      </c>
      <c r="C688" s="36">
        <v>2690</v>
      </c>
      <c r="D688" s="74" t="s">
        <v>511</v>
      </c>
      <c r="E688" s="36"/>
      <c r="F688" s="74"/>
      <c r="G688" s="74" t="s">
        <v>667</v>
      </c>
      <c r="H688" s="36"/>
      <c r="I688" s="36"/>
      <c r="J688" s="36"/>
      <c r="K688" s="36"/>
      <c r="L688" s="36"/>
      <c r="M688" s="36"/>
      <c r="N688" s="36"/>
      <c r="O688" s="36"/>
      <c r="P688" s="36"/>
      <c r="Q688" s="36"/>
      <c r="R688" s="36"/>
      <c r="S688" s="36"/>
      <c r="T688" s="36"/>
      <c r="U688" s="36"/>
    </row>
    <row r="689" spans="1:21">
      <c r="A689" s="74" t="s">
        <v>250</v>
      </c>
      <c r="B689" s="36">
        <v>322857</v>
      </c>
      <c r="C689" s="36">
        <v>2690</v>
      </c>
      <c r="D689" s="74" t="s">
        <v>512</v>
      </c>
      <c r="E689" s="36"/>
      <c r="F689" s="74"/>
      <c r="G689" s="74" t="s">
        <v>667</v>
      </c>
      <c r="H689" s="36"/>
      <c r="I689" s="36"/>
      <c r="J689" s="36"/>
      <c r="K689" s="36"/>
      <c r="L689" s="36"/>
      <c r="M689" s="36"/>
      <c r="N689" s="36"/>
      <c r="O689" s="36"/>
      <c r="P689" s="36"/>
      <c r="Q689" s="36"/>
      <c r="R689" s="36"/>
      <c r="S689" s="36"/>
      <c r="T689" s="36"/>
      <c r="U689" s="36"/>
    </row>
    <row r="690" spans="1:21">
      <c r="A690" s="74" t="s">
        <v>250</v>
      </c>
      <c r="B690" s="36">
        <v>319796</v>
      </c>
      <c r="C690" s="36">
        <v>85890</v>
      </c>
      <c r="D690" s="74" t="s">
        <v>643</v>
      </c>
      <c r="E690" s="36"/>
      <c r="F690" s="74"/>
      <c r="G690" s="74" t="s">
        <v>715</v>
      </c>
      <c r="H690" s="36"/>
      <c r="I690" s="36"/>
      <c r="J690" s="36"/>
      <c r="K690" s="36"/>
      <c r="L690" s="36"/>
      <c r="M690" s="36"/>
      <c r="N690" s="36"/>
      <c r="O690" s="36"/>
      <c r="P690" s="36"/>
      <c r="Q690" s="36"/>
      <c r="R690" s="36"/>
      <c r="S690" s="36"/>
      <c r="T690" s="36"/>
      <c r="U690" s="36"/>
    </row>
    <row r="691" spans="1:21">
      <c r="A691" s="74" t="s">
        <v>250</v>
      </c>
      <c r="B691" s="36">
        <v>319795</v>
      </c>
      <c r="C691" s="36">
        <v>85890</v>
      </c>
      <c r="D691" s="74" t="s">
        <v>643</v>
      </c>
      <c r="E691" s="36"/>
      <c r="F691" s="74"/>
      <c r="G691" s="74" t="s">
        <v>715</v>
      </c>
      <c r="H691" s="36"/>
      <c r="I691" s="36"/>
      <c r="J691" s="36"/>
      <c r="K691" s="36"/>
      <c r="L691" s="36"/>
      <c r="M691" s="36"/>
      <c r="N691" s="36"/>
      <c r="O691" s="36"/>
      <c r="P691" s="36"/>
      <c r="Q691" s="36"/>
      <c r="R691" s="36"/>
      <c r="S691" s="36"/>
      <c r="T691" s="36"/>
      <c r="U691" s="36"/>
    </row>
    <row r="692" spans="1:21">
      <c r="A692" s="74" t="s">
        <v>250</v>
      </c>
      <c r="B692" s="36">
        <v>319794</v>
      </c>
      <c r="C692" s="36">
        <v>85890</v>
      </c>
      <c r="D692" s="74" t="s">
        <v>643</v>
      </c>
      <c r="E692" s="36"/>
      <c r="F692" s="74"/>
      <c r="G692" s="74" t="s">
        <v>715</v>
      </c>
      <c r="H692" s="36"/>
      <c r="I692" s="36"/>
      <c r="J692" s="36"/>
      <c r="K692" s="36"/>
      <c r="L692" s="36"/>
      <c r="M692" s="36"/>
      <c r="N692" s="36"/>
      <c r="O692" s="36"/>
      <c r="P692" s="36"/>
      <c r="Q692" s="36"/>
      <c r="R692" s="36"/>
      <c r="S692" s="36"/>
      <c r="T692" s="36"/>
      <c r="U692" s="36"/>
    </row>
    <row r="693" spans="1:21">
      <c r="A693" s="74" t="s">
        <v>250</v>
      </c>
      <c r="B693" s="36">
        <v>319793</v>
      </c>
      <c r="C693" s="36">
        <v>85890</v>
      </c>
      <c r="D693" s="74" t="s">
        <v>643</v>
      </c>
      <c r="E693" s="36"/>
      <c r="F693" s="74"/>
      <c r="G693" s="74" t="s">
        <v>715</v>
      </c>
      <c r="H693" s="36"/>
      <c r="I693" s="36"/>
      <c r="J693" s="36"/>
      <c r="K693" s="36"/>
      <c r="L693" s="36"/>
      <c r="M693" s="36"/>
      <c r="N693" s="36"/>
      <c r="O693" s="36"/>
      <c r="P693" s="36"/>
      <c r="Q693" s="36"/>
      <c r="R693" s="36"/>
      <c r="S693" s="36"/>
      <c r="T693" s="36"/>
      <c r="U693" s="36"/>
    </row>
    <row r="694" spans="1:21">
      <c r="A694" s="74" t="s">
        <v>250</v>
      </c>
      <c r="B694" s="36">
        <v>319807</v>
      </c>
      <c r="C694" s="36">
        <v>85890</v>
      </c>
      <c r="D694" s="74" t="s">
        <v>645</v>
      </c>
      <c r="E694" s="36"/>
      <c r="F694" s="74"/>
      <c r="G694" s="74" t="s">
        <v>715</v>
      </c>
      <c r="H694" s="36"/>
      <c r="I694" s="36"/>
      <c r="J694" s="36"/>
      <c r="K694" s="36"/>
      <c r="L694" s="36"/>
      <c r="M694" s="36"/>
      <c r="N694" s="36"/>
      <c r="O694" s="36"/>
      <c r="P694" s="36"/>
      <c r="Q694" s="36"/>
      <c r="R694" s="36"/>
      <c r="S694" s="36"/>
      <c r="T694" s="36"/>
      <c r="U694" s="36"/>
    </row>
    <row r="695" spans="1:21">
      <c r="A695" s="74" t="s">
        <v>250</v>
      </c>
      <c r="B695" s="36">
        <v>319806</v>
      </c>
      <c r="C695" s="36">
        <v>85890</v>
      </c>
      <c r="D695" s="74" t="s">
        <v>645</v>
      </c>
      <c r="E695" s="36"/>
      <c r="F695" s="74"/>
      <c r="G695" s="74" t="s">
        <v>715</v>
      </c>
      <c r="H695" s="36"/>
      <c r="I695" s="36"/>
      <c r="J695" s="36"/>
      <c r="K695" s="36"/>
      <c r="L695" s="36"/>
      <c r="M695" s="36"/>
      <c r="N695" s="36"/>
      <c r="O695" s="36"/>
      <c r="P695" s="36"/>
      <c r="Q695" s="36"/>
      <c r="R695" s="36"/>
      <c r="S695" s="36"/>
      <c r="T695" s="36"/>
      <c r="U695" s="36"/>
    </row>
    <row r="696" spans="1:21">
      <c r="A696" s="74" t="s">
        <v>250</v>
      </c>
      <c r="B696" s="36">
        <v>319805</v>
      </c>
      <c r="C696" s="36">
        <v>85890</v>
      </c>
      <c r="D696" s="74" t="s">
        <v>645</v>
      </c>
      <c r="E696" s="36"/>
      <c r="F696" s="74"/>
      <c r="G696" s="74" t="s">
        <v>715</v>
      </c>
      <c r="H696" s="36"/>
      <c r="I696" s="36"/>
      <c r="J696" s="36"/>
      <c r="K696" s="36"/>
      <c r="L696" s="36"/>
      <c r="M696" s="36"/>
      <c r="N696" s="36"/>
      <c r="O696" s="36"/>
      <c r="P696" s="36"/>
      <c r="Q696" s="36"/>
      <c r="R696" s="36"/>
      <c r="S696" s="36"/>
      <c r="T696" s="36"/>
      <c r="U696" s="36"/>
    </row>
    <row r="697" spans="1:21">
      <c r="A697" s="74" t="s">
        <v>250</v>
      </c>
      <c r="B697" s="36">
        <v>319804</v>
      </c>
      <c r="C697" s="36">
        <v>85890</v>
      </c>
      <c r="D697" s="74" t="s">
        <v>645</v>
      </c>
      <c r="E697" s="36"/>
      <c r="F697" s="74"/>
      <c r="G697" s="74" t="s">
        <v>715</v>
      </c>
      <c r="H697" s="36"/>
      <c r="I697" s="36"/>
      <c r="J697" s="36"/>
      <c r="K697" s="36"/>
      <c r="L697" s="36"/>
      <c r="M697" s="36"/>
      <c r="N697" s="36"/>
      <c r="O697" s="36"/>
      <c r="P697" s="36"/>
      <c r="Q697" s="36"/>
      <c r="R697" s="36"/>
      <c r="S697" s="36"/>
      <c r="T697" s="36"/>
      <c r="U697" s="36"/>
    </row>
    <row r="698" spans="1:21">
      <c r="A698" s="74" t="s">
        <v>250</v>
      </c>
      <c r="B698" s="36">
        <v>319839</v>
      </c>
      <c r="C698" s="36">
        <v>85890</v>
      </c>
      <c r="D698" s="74" t="s">
        <v>644</v>
      </c>
      <c r="E698" s="36"/>
      <c r="F698" s="74"/>
      <c r="G698" s="74" t="s">
        <v>715</v>
      </c>
      <c r="H698" s="36"/>
      <c r="I698" s="36"/>
      <c r="J698" s="36"/>
      <c r="K698" s="36"/>
      <c r="L698" s="36"/>
      <c r="M698" s="36"/>
      <c r="N698" s="36"/>
      <c r="O698" s="36"/>
      <c r="P698" s="36"/>
      <c r="Q698" s="36"/>
      <c r="R698" s="36"/>
      <c r="S698" s="36"/>
      <c r="T698" s="36"/>
      <c r="U698" s="36"/>
    </row>
    <row r="699" spans="1:21">
      <c r="A699" s="74" t="s">
        <v>250</v>
      </c>
      <c r="B699" s="36">
        <v>319838</v>
      </c>
      <c r="C699" s="36">
        <v>85890</v>
      </c>
      <c r="D699" s="74" t="s">
        <v>644</v>
      </c>
      <c r="E699" s="36"/>
      <c r="F699" s="74"/>
      <c r="G699" s="74" t="s">
        <v>715</v>
      </c>
      <c r="H699" s="36"/>
      <c r="I699" s="36"/>
      <c r="J699" s="36"/>
      <c r="K699" s="36"/>
      <c r="L699" s="36"/>
      <c r="M699" s="36"/>
      <c r="N699" s="36"/>
      <c r="O699" s="36"/>
      <c r="P699" s="36"/>
      <c r="Q699" s="36"/>
      <c r="R699" s="36"/>
      <c r="S699" s="36"/>
      <c r="T699" s="36"/>
      <c r="U699" s="36"/>
    </row>
    <row r="700" spans="1:21">
      <c r="A700" s="74" t="s">
        <v>250</v>
      </c>
      <c r="B700" s="36">
        <v>319837</v>
      </c>
      <c r="C700" s="36">
        <v>85890</v>
      </c>
      <c r="D700" s="74" t="s">
        <v>644</v>
      </c>
      <c r="E700" s="36"/>
      <c r="F700" s="74"/>
      <c r="G700" s="74" t="s">
        <v>715</v>
      </c>
      <c r="H700" s="36"/>
      <c r="I700" s="36"/>
      <c r="J700" s="36"/>
      <c r="K700" s="36"/>
      <c r="L700" s="36"/>
      <c r="M700" s="36"/>
      <c r="N700" s="36"/>
      <c r="O700" s="36"/>
      <c r="P700" s="36"/>
      <c r="Q700" s="36"/>
      <c r="R700" s="36"/>
      <c r="S700" s="36"/>
      <c r="T700" s="36"/>
      <c r="U700" s="36"/>
    </row>
    <row r="701" spans="1:21">
      <c r="A701" s="74" t="s">
        <v>250</v>
      </c>
      <c r="B701" s="36">
        <v>319836</v>
      </c>
      <c r="C701" s="36">
        <v>85890</v>
      </c>
      <c r="D701" s="74" t="s">
        <v>644</v>
      </c>
      <c r="E701" s="36"/>
      <c r="F701" s="74"/>
      <c r="G701" s="74" t="s">
        <v>715</v>
      </c>
      <c r="H701" s="36"/>
      <c r="I701" s="36"/>
      <c r="J701" s="36"/>
      <c r="K701" s="36"/>
      <c r="L701" s="36"/>
      <c r="M701" s="36"/>
      <c r="N701" s="36"/>
      <c r="O701" s="36"/>
      <c r="P701" s="36"/>
      <c r="Q701" s="36"/>
      <c r="R701" s="36"/>
      <c r="S701" s="36"/>
      <c r="T701" s="36"/>
      <c r="U701" s="36"/>
    </row>
    <row r="702" spans="1:21">
      <c r="A702" s="74" t="s">
        <v>250</v>
      </c>
      <c r="B702" s="36">
        <v>320059</v>
      </c>
      <c r="C702" s="36">
        <v>88190</v>
      </c>
      <c r="D702" s="74" t="s">
        <v>875</v>
      </c>
      <c r="E702" s="36"/>
      <c r="F702" s="74"/>
      <c r="G702" s="74" t="s">
        <v>717</v>
      </c>
      <c r="H702" s="36"/>
      <c r="I702" s="36"/>
      <c r="J702" s="36"/>
      <c r="K702" s="36"/>
      <c r="L702" s="36"/>
      <c r="M702" s="36"/>
      <c r="N702" s="36"/>
      <c r="O702" s="36"/>
      <c r="P702" s="36"/>
      <c r="Q702" s="36"/>
      <c r="R702" s="36"/>
      <c r="S702" s="36"/>
      <c r="T702" s="36"/>
      <c r="U702" s="36"/>
    </row>
    <row r="703" spans="1:21">
      <c r="A703" s="74" t="s">
        <v>250</v>
      </c>
      <c r="B703" s="36">
        <v>320058</v>
      </c>
      <c r="C703" s="36">
        <v>88190</v>
      </c>
      <c r="D703" s="74" t="s">
        <v>875</v>
      </c>
      <c r="E703" s="36"/>
      <c r="F703" s="74"/>
      <c r="G703" s="74" t="s">
        <v>717</v>
      </c>
      <c r="H703" s="36"/>
      <c r="I703" s="36"/>
      <c r="J703" s="36"/>
      <c r="K703" s="36"/>
      <c r="L703" s="36"/>
      <c r="M703" s="36"/>
      <c r="N703" s="36"/>
      <c r="O703" s="36"/>
      <c r="P703" s="36"/>
      <c r="Q703" s="36"/>
      <c r="R703" s="36"/>
      <c r="S703" s="36"/>
      <c r="T703" s="36"/>
      <c r="U703" s="36"/>
    </row>
    <row r="704" spans="1:21">
      <c r="A704" s="74" t="s">
        <v>250</v>
      </c>
      <c r="B704" s="36">
        <v>320076</v>
      </c>
      <c r="C704" s="36">
        <v>82990</v>
      </c>
      <c r="D704" s="74" t="s">
        <v>560</v>
      </c>
      <c r="E704" s="36"/>
      <c r="F704" s="74"/>
      <c r="G704" s="74" t="s">
        <v>711</v>
      </c>
      <c r="H704" s="36"/>
      <c r="I704" s="36"/>
      <c r="J704" s="36"/>
      <c r="K704" s="36"/>
      <c r="L704" s="36"/>
      <c r="M704" s="36"/>
      <c r="N704" s="36"/>
      <c r="O704" s="36"/>
      <c r="P704" s="36"/>
      <c r="Q704" s="36"/>
      <c r="R704" s="36"/>
      <c r="S704" s="36"/>
      <c r="T704" s="36"/>
      <c r="U704" s="36"/>
    </row>
    <row r="705" spans="1:21">
      <c r="A705" s="74" t="s">
        <v>250</v>
      </c>
      <c r="B705" s="36">
        <v>320077</v>
      </c>
      <c r="C705" s="36">
        <v>82990</v>
      </c>
      <c r="D705" s="74" t="s">
        <v>560</v>
      </c>
      <c r="E705" s="36"/>
      <c r="F705" s="74"/>
      <c r="G705" s="74" t="s">
        <v>711</v>
      </c>
      <c r="H705" s="36"/>
      <c r="I705" s="36"/>
      <c r="J705" s="36"/>
      <c r="K705" s="36"/>
      <c r="L705" s="36"/>
      <c r="M705" s="36"/>
      <c r="N705" s="36"/>
      <c r="O705" s="36"/>
      <c r="P705" s="36"/>
      <c r="Q705" s="36"/>
      <c r="R705" s="36"/>
      <c r="S705" s="36"/>
      <c r="T705" s="36"/>
      <c r="U705" s="36"/>
    </row>
    <row r="706" spans="1:21">
      <c r="A706" s="74" t="s">
        <v>250</v>
      </c>
      <c r="B706" s="36">
        <v>320074</v>
      </c>
      <c r="C706" s="36">
        <v>82990</v>
      </c>
      <c r="D706" s="74" t="s">
        <v>560</v>
      </c>
      <c r="E706" s="36"/>
      <c r="F706" s="74"/>
      <c r="G706" s="74" t="s">
        <v>711</v>
      </c>
      <c r="H706" s="36"/>
      <c r="I706" s="36"/>
      <c r="J706" s="36"/>
      <c r="K706" s="36"/>
      <c r="L706" s="36"/>
      <c r="M706" s="36"/>
      <c r="N706" s="36"/>
      <c r="O706" s="36"/>
      <c r="P706" s="36"/>
      <c r="Q706" s="36"/>
      <c r="R706" s="36"/>
      <c r="S706" s="36"/>
      <c r="T706" s="36"/>
      <c r="U706" s="36"/>
    </row>
    <row r="707" spans="1:21">
      <c r="A707" s="74" t="s">
        <v>250</v>
      </c>
      <c r="B707" s="36">
        <v>320075</v>
      </c>
      <c r="C707" s="36">
        <v>82990</v>
      </c>
      <c r="D707" s="74" t="s">
        <v>560</v>
      </c>
      <c r="E707" s="36"/>
      <c r="F707" s="74"/>
      <c r="G707" s="74" t="s">
        <v>711</v>
      </c>
      <c r="H707" s="36"/>
      <c r="I707" s="36"/>
      <c r="J707" s="36"/>
      <c r="K707" s="36"/>
      <c r="L707" s="36"/>
      <c r="M707" s="36"/>
      <c r="N707" s="36"/>
      <c r="O707" s="36"/>
      <c r="P707" s="36"/>
      <c r="Q707" s="36"/>
      <c r="R707" s="36"/>
      <c r="S707" s="36"/>
      <c r="T707" s="36"/>
      <c r="U707" s="36"/>
    </row>
    <row r="708" spans="1:21">
      <c r="A708" s="74" t="s">
        <v>250</v>
      </c>
      <c r="B708" s="36">
        <v>320078</v>
      </c>
      <c r="C708" s="36">
        <v>82990</v>
      </c>
      <c r="D708" s="74" t="s">
        <v>560</v>
      </c>
      <c r="E708" s="36"/>
      <c r="F708" s="74"/>
      <c r="G708" s="74" t="s">
        <v>711</v>
      </c>
      <c r="H708" s="36"/>
      <c r="I708" s="36"/>
      <c r="J708" s="36"/>
      <c r="K708" s="36"/>
      <c r="L708" s="36"/>
      <c r="M708" s="36"/>
      <c r="N708" s="36"/>
      <c r="O708" s="36"/>
      <c r="P708" s="36"/>
      <c r="Q708" s="36"/>
      <c r="R708" s="36"/>
      <c r="S708" s="36"/>
      <c r="T708" s="36"/>
      <c r="U708" s="36"/>
    </row>
    <row r="709" spans="1:21">
      <c r="A709" s="74" t="s">
        <v>250</v>
      </c>
      <c r="B709" s="36">
        <v>320079</v>
      </c>
      <c r="C709" s="36">
        <v>82990</v>
      </c>
      <c r="D709" s="74" t="s">
        <v>560</v>
      </c>
      <c r="E709" s="36"/>
      <c r="F709" s="74"/>
      <c r="G709" s="74" t="s">
        <v>711</v>
      </c>
      <c r="H709" s="36"/>
      <c r="I709" s="36"/>
      <c r="J709" s="36"/>
      <c r="K709" s="36"/>
      <c r="L709" s="36"/>
      <c r="M709" s="36"/>
      <c r="N709" s="36"/>
      <c r="O709" s="36"/>
      <c r="P709" s="36"/>
      <c r="Q709" s="36"/>
      <c r="R709" s="36"/>
      <c r="S709" s="36"/>
      <c r="T709" s="36"/>
      <c r="U709" s="36"/>
    </row>
    <row r="710" spans="1:21">
      <c r="A710" s="74" t="s">
        <v>250</v>
      </c>
      <c r="B710" s="36">
        <v>320120</v>
      </c>
      <c r="C710" s="36">
        <v>85990</v>
      </c>
      <c r="D710" s="74" t="s">
        <v>566</v>
      </c>
      <c r="E710" s="36"/>
      <c r="F710" s="74"/>
      <c r="G710" s="74" t="s">
        <v>719</v>
      </c>
      <c r="H710" s="36"/>
      <c r="I710" s="36"/>
      <c r="J710" s="36"/>
      <c r="K710" s="36"/>
      <c r="L710" s="36"/>
      <c r="M710" s="36"/>
      <c r="N710" s="36"/>
      <c r="O710" s="36"/>
      <c r="P710" s="36"/>
      <c r="Q710" s="36"/>
      <c r="R710" s="36"/>
      <c r="S710" s="36"/>
      <c r="T710" s="36"/>
      <c r="U710" s="36"/>
    </row>
    <row r="711" spans="1:21">
      <c r="A711" s="74" t="s">
        <v>250</v>
      </c>
      <c r="B711" s="36">
        <v>320119</v>
      </c>
      <c r="C711" s="36">
        <v>85990</v>
      </c>
      <c r="D711" s="74" t="s">
        <v>566</v>
      </c>
      <c r="E711" s="36"/>
      <c r="F711" s="74"/>
      <c r="G711" s="74" t="s">
        <v>719</v>
      </c>
      <c r="H711" s="36"/>
      <c r="I711" s="36"/>
      <c r="J711" s="36"/>
      <c r="K711" s="36"/>
      <c r="L711" s="36"/>
      <c r="M711" s="36"/>
      <c r="N711" s="36"/>
      <c r="O711" s="36"/>
      <c r="P711" s="36"/>
      <c r="Q711" s="36"/>
      <c r="R711" s="36"/>
      <c r="S711" s="36"/>
      <c r="T711" s="36"/>
      <c r="U711" s="36"/>
    </row>
    <row r="712" spans="1:21">
      <c r="A712" s="74" t="s">
        <v>250</v>
      </c>
      <c r="B712" s="36">
        <v>320118</v>
      </c>
      <c r="C712" s="36">
        <v>85990</v>
      </c>
      <c r="D712" s="74" t="s">
        <v>566</v>
      </c>
      <c r="E712" s="36"/>
      <c r="F712" s="74"/>
      <c r="G712" s="74" t="s">
        <v>719</v>
      </c>
      <c r="H712" s="36"/>
      <c r="I712" s="36"/>
      <c r="J712" s="36"/>
      <c r="K712" s="36"/>
      <c r="L712" s="36"/>
      <c r="M712" s="36"/>
      <c r="N712" s="36"/>
      <c r="O712" s="36"/>
      <c r="P712" s="36"/>
      <c r="Q712" s="36"/>
      <c r="R712" s="36"/>
      <c r="S712" s="36"/>
      <c r="T712" s="36"/>
      <c r="U712" s="36"/>
    </row>
    <row r="713" spans="1:21">
      <c r="A713" s="74" t="s">
        <v>250</v>
      </c>
      <c r="B713" s="36">
        <v>320117</v>
      </c>
      <c r="C713" s="36">
        <v>85990</v>
      </c>
      <c r="D713" s="74" t="s">
        <v>566</v>
      </c>
      <c r="E713" s="36"/>
      <c r="F713" s="74"/>
      <c r="G713" s="74" t="s">
        <v>719</v>
      </c>
      <c r="H713" s="36"/>
      <c r="I713" s="36"/>
      <c r="J713" s="36"/>
      <c r="K713" s="36"/>
      <c r="L713" s="36"/>
      <c r="M713" s="36"/>
      <c r="N713" s="36"/>
      <c r="O713" s="36"/>
      <c r="P713" s="36"/>
      <c r="Q713" s="36"/>
      <c r="R713" s="36"/>
      <c r="S713" s="36"/>
      <c r="T713" s="36"/>
      <c r="U713" s="36"/>
    </row>
    <row r="714" spans="1:21">
      <c r="A714" s="74" t="s">
        <v>250</v>
      </c>
      <c r="B714" s="36">
        <v>320122</v>
      </c>
      <c r="C714" s="36">
        <v>85990</v>
      </c>
      <c r="D714" s="74" t="s">
        <v>566</v>
      </c>
      <c r="E714" s="36"/>
      <c r="F714" s="74"/>
      <c r="G714" s="74" t="s">
        <v>719</v>
      </c>
      <c r="H714" s="36"/>
      <c r="I714" s="36"/>
      <c r="J714" s="36"/>
      <c r="K714" s="36"/>
      <c r="L714" s="36"/>
      <c r="M714" s="36"/>
      <c r="N714" s="36"/>
      <c r="O714" s="36"/>
      <c r="P714" s="36"/>
      <c r="Q714" s="36"/>
      <c r="R714" s="36"/>
      <c r="S714" s="36"/>
      <c r="T714" s="36"/>
      <c r="U714" s="36"/>
    </row>
    <row r="715" spans="1:21">
      <c r="A715" s="74" t="s">
        <v>250</v>
      </c>
      <c r="B715" s="36">
        <v>320121</v>
      </c>
      <c r="C715" s="36">
        <v>85990</v>
      </c>
      <c r="D715" s="74" t="s">
        <v>566</v>
      </c>
      <c r="E715" s="36"/>
      <c r="F715" s="74"/>
      <c r="G715" s="74" t="s">
        <v>719</v>
      </c>
      <c r="H715" s="36"/>
      <c r="I715" s="36"/>
      <c r="J715" s="36"/>
      <c r="K715" s="36"/>
      <c r="L715" s="36"/>
      <c r="M715" s="36"/>
      <c r="N715" s="36"/>
      <c r="O715" s="36"/>
      <c r="P715" s="36"/>
      <c r="Q715" s="36"/>
      <c r="R715" s="36"/>
      <c r="S715" s="36"/>
      <c r="T715" s="36"/>
      <c r="U715" s="36"/>
    </row>
    <row r="716" spans="1:21">
      <c r="A716" s="74" t="s">
        <v>250</v>
      </c>
      <c r="B716" s="36">
        <v>320083</v>
      </c>
      <c r="C716" s="36">
        <v>87590</v>
      </c>
      <c r="D716" s="74" t="s">
        <v>569</v>
      </c>
      <c r="E716" s="36"/>
      <c r="F716" s="74"/>
      <c r="G716" s="74" t="s">
        <v>721</v>
      </c>
      <c r="H716" s="36"/>
      <c r="I716" s="36"/>
      <c r="J716" s="36"/>
      <c r="K716" s="36"/>
      <c r="L716" s="36"/>
      <c r="M716" s="36"/>
      <c r="N716" s="36"/>
      <c r="O716" s="36"/>
      <c r="P716" s="36"/>
      <c r="Q716" s="36"/>
      <c r="R716" s="36"/>
      <c r="S716" s="36"/>
      <c r="T716" s="36"/>
      <c r="U716" s="36"/>
    </row>
    <row r="717" spans="1:21">
      <c r="A717" s="74" t="s">
        <v>250</v>
      </c>
      <c r="B717" s="36">
        <v>320084</v>
      </c>
      <c r="C717" s="36">
        <v>87590</v>
      </c>
      <c r="D717" s="74" t="s">
        <v>569</v>
      </c>
      <c r="E717" s="36"/>
      <c r="F717" s="74"/>
      <c r="G717" s="74" t="s">
        <v>721</v>
      </c>
      <c r="H717" s="36"/>
      <c r="I717" s="36"/>
      <c r="J717" s="36"/>
      <c r="K717" s="36"/>
      <c r="L717" s="36"/>
      <c r="M717" s="36"/>
      <c r="N717" s="36"/>
      <c r="O717" s="36"/>
      <c r="P717" s="36"/>
      <c r="Q717" s="36"/>
      <c r="R717" s="36"/>
      <c r="S717" s="36"/>
      <c r="T717" s="36"/>
      <c r="U717" s="36"/>
    </row>
    <row r="718" spans="1:21">
      <c r="A718" s="74" t="s">
        <v>250</v>
      </c>
      <c r="B718" s="36">
        <v>320081</v>
      </c>
      <c r="C718" s="36">
        <v>87590</v>
      </c>
      <c r="D718" s="74" t="s">
        <v>569</v>
      </c>
      <c r="E718" s="36"/>
      <c r="F718" s="74"/>
      <c r="G718" s="74" t="s">
        <v>721</v>
      </c>
      <c r="H718" s="36"/>
      <c r="I718" s="36"/>
      <c r="J718" s="36"/>
      <c r="K718" s="36"/>
      <c r="L718" s="36"/>
      <c r="M718" s="36"/>
      <c r="N718" s="36"/>
      <c r="O718" s="36"/>
      <c r="P718" s="36"/>
      <c r="Q718" s="36"/>
      <c r="R718" s="36"/>
      <c r="S718" s="36"/>
      <c r="T718" s="36"/>
      <c r="U718" s="36"/>
    </row>
    <row r="719" spans="1:21">
      <c r="A719" s="74" t="s">
        <v>250</v>
      </c>
      <c r="B719" s="36">
        <v>320082</v>
      </c>
      <c r="C719" s="36">
        <v>87590</v>
      </c>
      <c r="D719" s="74" t="s">
        <v>569</v>
      </c>
      <c r="E719" s="36"/>
      <c r="F719" s="74"/>
      <c r="G719" s="74" t="s">
        <v>721</v>
      </c>
      <c r="H719" s="36"/>
      <c r="I719" s="36"/>
      <c r="J719" s="36"/>
      <c r="K719" s="36"/>
      <c r="L719" s="36"/>
      <c r="M719" s="36"/>
      <c r="N719" s="36"/>
      <c r="O719" s="36"/>
      <c r="P719" s="36"/>
      <c r="Q719" s="36"/>
      <c r="R719" s="36"/>
      <c r="S719" s="36"/>
      <c r="T719" s="36"/>
      <c r="U719" s="36"/>
    </row>
    <row r="720" spans="1:21">
      <c r="A720" s="74" t="s">
        <v>250</v>
      </c>
      <c r="B720" s="36">
        <v>320085</v>
      </c>
      <c r="C720" s="36">
        <v>87590</v>
      </c>
      <c r="D720" s="74" t="s">
        <v>569</v>
      </c>
      <c r="E720" s="36"/>
      <c r="F720" s="74"/>
      <c r="G720" s="74" t="s">
        <v>721</v>
      </c>
      <c r="H720" s="36"/>
      <c r="I720" s="36"/>
      <c r="J720" s="36"/>
      <c r="K720" s="36"/>
      <c r="L720" s="36"/>
      <c r="M720" s="36"/>
      <c r="N720" s="36"/>
      <c r="O720" s="36"/>
      <c r="P720" s="36"/>
      <c r="Q720" s="36"/>
      <c r="R720" s="36"/>
      <c r="S720" s="36"/>
      <c r="T720" s="36"/>
      <c r="U720" s="36"/>
    </row>
    <row r="721" spans="1:21">
      <c r="A721" s="74" t="s">
        <v>250</v>
      </c>
      <c r="B721" s="36">
        <v>320086</v>
      </c>
      <c r="C721" s="36">
        <v>87590</v>
      </c>
      <c r="D721" s="74" t="s">
        <v>569</v>
      </c>
      <c r="E721" s="36"/>
      <c r="F721" s="74"/>
      <c r="G721" s="74" t="s">
        <v>721</v>
      </c>
      <c r="H721" s="36"/>
      <c r="I721" s="36"/>
      <c r="J721" s="36"/>
      <c r="K721" s="36"/>
      <c r="L721" s="36"/>
      <c r="M721" s="36"/>
      <c r="N721" s="36"/>
      <c r="O721" s="36"/>
      <c r="P721" s="36"/>
      <c r="Q721" s="36"/>
      <c r="R721" s="36"/>
      <c r="S721" s="36"/>
      <c r="T721" s="36"/>
      <c r="U721" s="36"/>
    </row>
    <row r="722" spans="1:21">
      <c r="A722" s="74" t="s">
        <v>250</v>
      </c>
      <c r="B722" s="36">
        <v>320100</v>
      </c>
      <c r="C722" s="36">
        <v>87690</v>
      </c>
      <c r="D722" s="74" t="s">
        <v>577</v>
      </c>
      <c r="E722" s="36"/>
      <c r="F722" s="74"/>
      <c r="G722" s="74" t="s">
        <v>722</v>
      </c>
      <c r="H722" s="36"/>
      <c r="I722" s="36"/>
      <c r="J722" s="36"/>
      <c r="K722" s="36"/>
      <c r="L722" s="36"/>
      <c r="M722" s="36"/>
      <c r="N722" s="36"/>
      <c r="O722" s="36"/>
      <c r="P722" s="36"/>
      <c r="Q722" s="36"/>
      <c r="R722" s="36"/>
      <c r="S722" s="36"/>
      <c r="T722" s="36"/>
      <c r="U722" s="36"/>
    </row>
    <row r="723" spans="1:21">
      <c r="A723" s="74" t="s">
        <v>250</v>
      </c>
      <c r="B723" s="36">
        <v>320099</v>
      </c>
      <c r="C723" s="36">
        <v>87690</v>
      </c>
      <c r="D723" s="74" t="s">
        <v>577</v>
      </c>
      <c r="E723" s="36"/>
      <c r="F723" s="74"/>
      <c r="G723" s="74" t="s">
        <v>722</v>
      </c>
      <c r="H723" s="36"/>
      <c r="I723" s="36"/>
      <c r="J723" s="36"/>
      <c r="K723" s="36"/>
      <c r="L723" s="36"/>
      <c r="M723" s="36"/>
      <c r="N723" s="36"/>
      <c r="O723" s="36"/>
      <c r="P723" s="36"/>
      <c r="Q723" s="36"/>
      <c r="R723" s="36"/>
      <c r="S723" s="36"/>
      <c r="T723" s="36"/>
      <c r="U723" s="36"/>
    </row>
    <row r="724" spans="1:21">
      <c r="A724" s="74" t="s">
        <v>250</v>
      </c>
      <c r="B724" s="36">
        <v>320101</v>
      </c>
      <c r="C724" s="36">
        <v>87690</v>
      </c>
      <c r="D724" s="74" t="s">
        <v>577</v>
      </c>
      <c r="E724" s="36"/>
      <c r="F724" s="74"/>
      <c r="G724" s="74" t="s">
        <v>722</v>
      </c>
      <c r="H724" s="36"/>
      <c r="I724" s="36"/>
      <c r="J724" s="36"/>
      <c r="K724" s="36"/>
      <c r="L724" s="36"/>
      <c r="M724" s="36"/>
      <c r="N724" s="36"/>
      <c r="O724" s="36"/>
      <c r="P724" s="36"/>
      <c r="Q724" s="36"/>
      <c r="R724" s="36"/>
      <c r="S724" s="36"/>
      <c r="T724" s="36"/>
      <c r="U724" s="36"/>
    </row>
    <row r="725" spans="1:21">
      <c r="A725" s="74" t="s">
        <v>250</v>
      </c>
      <c r="B725" s="36">
        <v>320106</v>
      </c>
      <c r="C725" s="36">
        <v>87890</v>
      </c>
      <c r="D725" s="74" t="s">
        <v>578</v>
      </c>
      <c r="E725" s="36"/>
      <c r="F725" s="74"/>
      <c r="G725" s="74" t="s">
        <v>723</v>
      </c>
      <c r="H725" s="36"/>
      <c r="I725" s="36"/>
      <c r="J725" s="36"/>
      <c r="K725" s="36"/>
      <c r="L725" s="36"/>
      <c r="M725" s="36"/>
      <c r="N725" s="36"/>
      <c r="O725" s="36"/>
      <c r="P725" s="36"/>
      <c r="Q725" s="36"/>
      <c r="R725" s="36"/>
      <c r="S725" s="36"/>
      <c r="T725" s="36"/>
      <c r="U725" s="36"/>
    </row>
    <row r="726" spans="1:21">
      <c r="A726" s="74" t="s">
        <v>250</v>
      </c>
      <c r="B726" s="36">
        <v>320105</v>
      </c>
      <c r="C726" s="36">
        <v>87890</v>
      </c>
      <c r="D726" s="74" t="s">
        <v>578</v>
      </c>
      <c r="E726" s="36"/>
      <c r="F726" s="74"/>
      <c r="G726" s="74" t="s">
        <v>723</v>
      </c>
      <c r="H726" s="36"/>
      <c r="I726" s="36"/>
      <c r="J726" s="36"/>
      <c r="K726" s="36"/>
      <c r="L726" s="36"/>
      <c r="M726" s="36"/>
      <c r="N726" s="36"/>
      <c r="O726" s="36"/>
      <c r="P726" s="36"/>
      <c r="Q726" s="36"/>
      <c r="R726" s="36"/>
      <c r="S726" s="36"/>
      <c r="T726" s="36"/>
      <c r="U726" s="36"/>
    </row>
    <row r="727" spans="1:21">
      <c r="A727" s="74" t="s">
        <v>250</v>
      </c>
      <c r="B727" s="36">
        <v>320107</v>
      </c>
      <c r="C727" s="36">
        <v>87890</v>
      </c>
      <c r="D727" s="74" t="s">
        <v>578</v>
      </c>
      <c r="E727" s="36"/>
      <c r="F727" s="74"/>
      <c r="G727" s="74" t="s">
        <v>723</v>
      </c>
      <c r="H727" s="36"/>
      <c r="I727" s="36"/>
      <c r="J727" s="36"/>
      <c r="K727" s="36"/>
      <c r="L727" s="36"/>
      <c r="M727" s="36"/>
      <c r="N727" s="36"/>
      <c r="O727" s="36"/>
      <c r="P727" s="36"/>
      <c r="Q727" s="36"/>
      <c r="R727" s="36"/>
      <c r="S727" s="36"/>
      <c r="T727" s="36"/>
      <c r="U727" s="36"/>
    </row>
    <row r="728" spans="1:21">
      <c r="A728" s="74" t="s">
        <v>250</v>
      </c>
      <c r="B728" s="36">
        <v>320109</v>
      </c>
      <c r="C728" s="36">
        <v>85890</v>
      </c>
      <c r="D728" s="74" t="s">
        <v>565</v>
      </c>
      <c r="E728" s="36"/>
      <c r="F728" s="74"/>
      <c r="G728" s="74" t="s">
        <v>715</v>
      </c>
      <c r="H728" s="36"/>
      <c r="I728" s="36"/>
      <c r="J728" s="36"/>
      <c r="K728" s="36"/>
      <c r="L728" s="36"/>
      <c r="M728" s="36"/>
      <c r="N728" s="36"/>
      <c r="O728" s="36"/>
      <c r="P728" s="36"/>
      <c r="Q728" s="36"/>
      <c r="R728" s="36"/>
      <c r="S728" s="36"/>
      <c r="T728" s="36"/>
      <c r="U728" s="36"/>
    </row>
    <row r="729" spans="1:21">
      <c r="A729" s="74" t="s">
        <v>250</v>
      </c>
      <c r="B729" s="36">
        <v>320108</v>
      </c>
      <c r="C729" s="36">
        <v>85890</v>
      </c>
      <c r="D729" s="74" t="s">
        <v>565</v>
      </c>
      <c r="E729" s="36"/>
      <c r="F729" s="74"/>
      <c r="G729" s="74" t="s">
        <v>715</v>
      </c>
      <c r="H729" s="36"/>
      <c r="I729" s="36"/>
      <c r="J729" s="36"/>
      <c r="K729" s="36"/>
      <c r="L729" s="36"/>
      <c r="M729" s="36"/>
      <c r="N729" s="36"/>
      <c r="O729" s="36"/>
      <c r="P729" s="36"/>
      <c r="Q729" s="36"/>
      <c r="R729" s="36"/>
      <c r="S729" s="36"/>
      <c r="T729" s="36"/>
      <c r="U729" s="36"/>
    </row>
    <row r="730" spans="1:21">
      <c r="A730" s="74" t="s">
        <v>250</v>
      </c>
      <c r="B730" s="36">
        <v>320110</v>
      </c>
      <c r="C730" s="36">
        <v>85890</v>
      </c>
      <c r="D730" s="74" t="s">
        <v>565</v>
      </c>
      <c r="E730" s="36"/>
      <c r="F730" s="74"/>
      <c r="G730" s="74" t="s">
        <v>715</v>
      </c>
      <c r="H730" s="36"/>
      <c r="I730" s="36"/>
      <c r="J730" s="36"/>
      <c r="K730" s="36"/>
      <c r="L730" s="36"/>
      <c r="M730" s="36"/>
      <c r="N730" s="36"/>
      <c r="O730" s="36"/>
      <c r="P730" s="36"/>
      <c r="Q730" s="36"/>
      <c r="R730" s="36"/>
      <c r="S730" s="36"/>
      <c r="T730" s="36"/>
      <c r="U730" s="36"/>
    </row>
    <row r="731" spans="1:21">
      <c r="A731" s="74" t="s">
        <v>250</v>
      </c>
      <c r="B731" s="36">
        <v>320114</v>
      </c>
      <c r="C731" s="36">
        <v>87390</v>
      </c>
      <c r="D731" s="74" t="s">
        <v>576</v>
      </c>
      <c r="E731" s="36"/>
      <c r="F731" s="74"/>
      <c r="G731" s="74" t="s">
        <v>709</v>
      </c>
      <c r="H731" s="36"/>
      <c r="I731" s="36"/>
      <c r="J731" s="36"/>
      <c r="K731" s="36"/>
      <c r="L731" s="36"/>
      <c r="M731" s="36"/>
      <c r="N731" s="36"/>
      <c r="O731" s="36"/>
      <c r="P731" s="36"/>
      <c r="Q731" s="36"/>
      <c r="R731" s="36"/>
      <c r="S731" s="36"/>
      <c r="T731" s="36"/>
      <c r="U731" s="36"/>
    </row>
    <row r="732" spans="1:21">
      <c r="A732" s="74" t="s">
        <v>250</v>
      </c>
      <c r="B732" s="36">
        <v>320113</v>
      </c>
      <c r="C732" s="36">
        <v>87390</v>
      </c>
      <c r="D732" s="74" t="s">
        <v>576</v>
      </c>
      <c r="E732" s="36"/>
      <c r="F732" s="74"/>
      <c r="G732" s="74" t="s">
        <v>709</v>
      </c>
      <c r="H732" s="36"/>
      <c r="I732" s="36"/>
      <c r="J732" s="36"/>
      <c r="K732" s="36"/>
      <c r="L732" s="36"/>
      <c r="M732" s="36"/>
      <c r="N732" s="36"/>
      <c r="O732" s="36"/>
      <c r="P732" s="36"/>
      <c r="Q732" s="36"/>
      <c r="R732" s="36"/>
      <c r="S732" s="36"/>
      <c r="T732" s="36"/>
      <c r="U732" s="36"/>
    </row>
    <row r="733" spans="1:21">
      <c r="A733" s="74" t="s">
        <v>250</v>
      </c>
      <c r="B733" s="36">
        <v>320115</v>
      </c>
      <c r="C733" s="36">
        <v>87390</v>
      </c>
      <c r="D733" s="74" t="s">
        <v>576</v>
      </c>
      <c r="E733" s="36"/>
      <c r="F733" s="74"/>
      <c r="G733" s="74" t="s">
        <v>709</v>
      </c>
      <c r="H733" s="36"/>
      <c r="I733" s="36"/>
      <c r="J733" s="36"/>
      <c r="K733" s="36"/>
      <c r="L733" s="36"/>
      <c r="M733" s="36"/>
      <c r="N733" s="36"/>
      <c r="O733" s="36"/>
      <c r="P733" s="36"/>
      <c r="Q733" s="36"/>
      <c r="R733" s="36"/>
      <c r="S733" s="36"/>
      <c r="T733" s="36"/>
      <c r="U733" s="36"/>
    </row>
    <row r="734" spans="1:21">
      <c r="A734" s="74" t="s">
        <v>250</v>
      </c>
      <c r="B734" s="36">
        <v>341514</v>
      </c>
      <c r="C734" s="36">
        <v>42290</v>
      </c>
      <c r="D734" s="74" t="s">
        <v>622</v>
      </c>
      <c r="E734" s="36"/>
      <c r="F734" s="74"/>
      <c r="G734" s="74" t="s">
        <v>696</v>
      </c>
      <c r="H734" s="36"/>
      <c r="I734" s="36"/>
      <c r="J734" s="36"/>
      <c r="K734" s="36"/>
      <c r="L734" s="36"/>
      <c r="M734" s="36"/>
      <c r="N734" s="36"/>
      <c r="O734" s="36"/>
      <c r="P734" s="36"/>
      <c r="Q734" s="36"/>
      <c r="R734" s="36"/>
      <c r="S734" s="36"/>
      <c r="T734" s="36"/>
      <c r="U734" s="36"/>
    </row>
    <row r="735" spans="1:21">
      <c r="A735" s="74" t="s">
        <v>250</v>
      </c>
      <c r="B735" s="36">
        <v>341527</v>
      </c>
      <c r="C735" s="36">
        <v>42290</v>
      </c>
      <c r="D735" s="74" t="s">
        <v>622</v>
      </c>
      <c r="E735" s="36"/>
      <c r="F735" s="74"/>
      <c r="G735" s="74" t="s">
        <v>696</v>
      </c>
      <c r="H735" s="36"/>
      <c r="I735" s="36"/>
      <c r="J735" s="36"/>
      <c r="K735" s="36"/>
      <c r="L735" s="36"/>
      <c r="M735" s="36"/>
      <c r="N735" s="36"/>
      <c r="O735" s="36"/>
      <c r="P735" s="36"/>
      <c r="Q735" s="36"/>
      <c r="R735" s="36"/>
      <c r="S735" s="36"/>
      <c r="T735" s="36"/>
      <c r="U735" s="36"/>
    </row>
    <row r="736" spans="1:21">
      <c r="A736" s="74" t="s">
        <v>250</v>
      </c>
      <c r="B736" s="36">
        <v>341513</v>
      </c>
      <c r="C736" s="36">
        <v>42290</v>
      </c>
      <c r="D736" s="74" t="s">
        <v>622</v>
      </c>
      <c r="E736" s="36"/>
      <c r="F736" s="74"/>
      <c r="G736" s="74" t="s">
        <v>696</v>
      </c>
      <c r="H736" s="36"/>
      <c r="I736" s="36"/>
      <c r="J736" s="36"/>
      <c r="K736" s="36"/>
      <c r="L736" s="36"/>
      <c r="M736" s="36"/>
      <c r="N736" s="36"/>
      <c r="O736" s="36"/>
      <c r="P736" s="36"/>
      <c r="Q736" s="36"/>
      <c r="R736" s="36"/>
      <c r="S736" s="36"/>
      <c r="T736" s="36"/>
      <c r="U736" s="36"/>
    </row>
    <row r="737" spans="1:21">
      <c r="A737" s="74" t="s">
        <v>250</v>
      </c>
      <c r="B737" s="36">
        <v>341526</v>
      </c>
      <c r="C737" s="36">
        <v>42290</v>
      </c>
      <c r="D737" s="74" t="s">
        <v>622</v>
      </c>
      <c r="E737" s="36"/>
      <c r="F737" s="74"/>
      <c r="G737" s="74" t="s">
        <v>696</v>
      </c>
      <c r="H737" s="36"/>
      <c r="I737" s="36"/>
      <c r="J737" s="36"/>
      <c r="K737" s="36"/>
      <c r="L737" s="36"/>
      <c r="M737" s="36"/>
      <c r="N737" s="36"/>
      <c r="O737" s="36"/>
      <c r="P737" s="36"/>
      <c r="Q737" s="36"/>
      <c r="R737" s="36"/>
      <c r="S737" s="36"/>
      <c r="T737" s="36"/>
      <c r="U737" s="36"/>
    </row>
    <row r="738" spans="1:21">
      <c r="A738" s="74" t="s">
        <v>250</v>
      </c>
      <c r="B738" s="36">
        <v>341525</v>
      </c>
      <c r="C738" s="36">
        <v>42290</v>
      </c>
      <c r="D738" s="74" t="s">
        <v>622</v>
      </c>
      <c r="E738" s="36"/>
      <c r="F738" s="74"/>
      <c r="G738" s="74" t="s">
        <v>696</v>
      </c>
      <c r="H738" s="36"/>
      <c r="I738" s="36"/>
      <c r="J738" s="36"/>
      <c r="K738" s="36"/>
      <c r="L738" s="36"/>
      <c r="M738" s="36"/>
      <c r="N738" s="36"/>
      <c r="O738" s="36"/>
      <c r="P738" s="36"/>
      <c r="Q738" s="36"/>
      <c r="R738" s="36"/>
      <c r="S738" s="36"/>
      <c r="T738" s="36"/>
      <c r="U738" s="36"/>
    </row>
    <row r="739" spans="1:21">
      <c r="A739" s="74" t="s">
        <v>250</v>
      </c>
      <c r="B739" s="36">
        <v>341538</v>
      </c>
      <c r="C739" s="36">
        <v>42290</v>
      </c>
      <c r="D739" s="74" t="s">
        <v>622</v>
      </c>
      <c r="E739" s="36"/>
      <c r="F739" s="74"/>
      <c r="G739" s="74" t="s">
        <v>696</v>
      </c>
      <c r="H739" s="36"/>
      <c r="I739" s="36"/>
      <c r="J739" s="36"/>
      <c r="K739" s="36"/>
      <c r="L739" s="36"/>
      <c r="M739" s="36"/>
      <c r="N739" s="36"/>
      <c r="O739" s="36"/>
      <c r="P739" s="36"/>
      <c r="Q739" s="36"/>
      <c r="R739" s="36"/>
      <c r="S739" s="36"/>
      <c r="T739" s="36"/>
      <c r="U739" s="36"/>
    </row>
    <row r="740" spans="1:21">
      <c r="A740" s="74" t="s">
        <v>250</v>
      </c>
      <c r="B740" s="36">
        <v>341524</v>
      </c>
      <c r="C740" s="36">
        <v>42290</v>
      </c>
      <c r="D740" s="74" t="s">
        <v>622</v>
      </c>
      <c r="E740" s="36"/>
      <c r="F740" s="74"/>
      <c r="G740" s="74" t="s">
        <v>696</v>
      </c>
      <c r="H740" s="36"/>
      <c r="I740" s="36"/>
      <c r="J740" s="36"/>
      <c r="K740" s="36"/>
      <c r="L740" s="36"/>
      <c r="M740" s="36"/>
      <c r="N740" s="36"/>
      <c r="O740" s="36"/>
      <c r="P740" s="36"/>
      <c r="Q740" s="36"/>
      <c r="R740" s="36"/>
      <c r="S740" s="36"/>
      <c r="T740" s="36"/>
      <c r="U740" s="36"/>
    </row>
    <row r="741" spans="1:21">
      <c r="A741" s="74" t="s">
        <v>250</v>
      </c>
      <c r="B741" s="36">
        <v>341537</v>
      </c>
      <c r="C741" s="36">
        <v>42290</v>
      </c>
      <c r="D741" s="74" t="s">
        <v>622</v>
      </c>
      <c r="E741" s="36"/>
      <c r="F741" s="74"/>
      <c r="G741" s="74" t="s">
        <v>696</v>
      </c>
      <c r="H741" s="36"/>
      <c r="I741" s="36"/>
      <c r="J741" s="36"/>
      <c r="K741" s="36"/>
      <c r="L741" s="36"/>
      <c r="M741" s="36"/>
      <c r="N741" s="36"/>
      <c r="O741" s="36"/>
      <c r="P741" s="36"/>
      <c r="Q741" s="36"/>
      <c r="R741" s="36"/>
      <c r="S741" s="36"/>
      <c r="T741" s="36"/>
      <c r="U741" s="36"/>
    </row>
    <row r="742" spans="1:21">
      <c r="A742" s="74" t="s">
        <v>250</v>
      </c>
      <c r="B742" s="36">
        <v>341516</v>
      </c>
      <c r="C742" s="36">
        <v>42290</v>
      </c>
      <c r="D742" s="74" t="s">
        <v>622</v>
      </c>
      <c r="E742" s="36"/>
      <c r="F742" s="74"/>
      <c r="G742" s="74" t="s">
        <v>696</v>
      </c>
      <c r="H742" s="36"/>
      <c r="I742" s="36"/>
      <c r="J742" s="36"/>
      <c r="K742" s="36"/>
      <c r="L742" s="36"/>
      <c r="M742" s="36"/>
      <c r="N742" s="36"/>
      <c r="O742" s="36"/>
      <c r="P742" s="36"/>
      <c r="Q742" s="36"/>
      <c r="R742" s="36"/>
      <c r="S742" s="36"/>
      <c r="T742" s="36"/>
      <c r="U742" s="36"/>
    </row>
    <row r="743" spans="1:21">
      <c r="A743" s="74" t="s">
        <v>250</v>
      </c>
      <c r="B743" s="36">
        <v>341529</v>
      </c>
      <c r="C743" s="36">
        <v>42290</v>
      </c>
      <c r="D743" s="74" t="s">
        <v>622</v>
      </c>
      <c r="E743" s="36"/>
      <c r="F743" s="74"/>
      <c r="G743" s="74" t="s">
        <v>696</v>
      </c>
      <c r="H743" s="36"/>
      <c r="I743" s="36"/>
      <c r="J743" s="36"/>
      <c r="K743" s="36"/>
      <c r="L743" s="36"/>
      <c r="M743" s="36"/>
      <c r="N743" s="36"/>
      <c r="O743" s="36"/>
      <c r="P743" s="36"/>
      <c r="Q743" s="36"/>
      <c r="R743" s="36"/>
      <c r="S743" s="36"/>
      <c r="T743" s="36"/>
      <c r="U743" s="36"/>
    </row>
    <row r="744" spans="1:21">
      <c r="A744" s="74" t="s">
        <v>250</v>
      </c>
      <c r="B744" s="36">
        <v>341517</v>
      </c>
      <c r="C744" s="36">
        <v>42290</v>
      </c>
      <c r="D744" s="74" t="s">
        <v>622</v>
      </c>
      <c r="E744" s="36"/>
      <c r="F744" s="74"/>
      <c r="G744" s="74" t="s">
        <v>696</v>
      </c>
      <c r="H744" s="36"/>
      <c r="I744" s="36"/>
      <c r="J744" s="36"/>
      <c r="K744" s="36"/>
      <c r="L744" s="36"/>
      <c r="M744" s="36"/>
      <c r="N744" s="36"/>
      <c r="O744" s="36"/>
      <c r="P744" s="36"/>
      <c r="Q744" s="36"/>
      <c r="R744" s="36"/>
      <c r="S744" s="36"/>
      <c r="T744" s="36"/>
      <c r="U744" s="36"/>
    </row>
    <row r="745" spans="1:21">
      <c r="A745" s="74" t="s">
        <v>250</v>
      </c>
      <c r="B745" s="36">
        <v>341530</v>
      </c>
      <c r="C745" s="36">
        <v>42290</v>
      </c>
      <c r="D745" s="74" t="s">
        <v>622</v>
      </c>
      <c r="E745" s="36"/>
      <c r="F745" s="74"/>
      <c r="G745" s="74" t="s">
        <v>696</v>
      </c>
      <c r="H745" s="36"/>
      <c r="I745" s="36"/>
      <c r="J745" s="36"/>
      <c r="K745" s="36"/>
      <c r="L745" s="36"/>
      <c r="M745" s="36"/>
      <c r="N745" s="36"/>
      <c r="O745" s="36"/>
      <c r="P745" s="36"/>
      <c r="Q745" s="36"/>
      <c r="R745" s="36"/>
      <c r="S745" s="36"/>
      <c r="T745" s="36"/>
      <c r="U745" s="36"/>
    </row>
    <row r="746" spans="1:21">
      <c r="A746" s="74" t="s">
        <v>250</v>
      </c>
      <c r="B746" s="36">
        <v>341518</v>
      </c>
      <c r="C746" s="36">
        <v>42290</v>
      </c>
      <c r="D746" s="74" t="s">
        <v>622</v>
      </c>
      <c r="E746" s="36"/>
      <c r="F746" s="74"/>
      <c r="G746" s="74" t="s">
        <v>696</v>
      </c>
      <c r="H746" s="36"/>
      <c r="I746" s="36"/>
      <c r="J746" s="36"/>
      <c r="K746" s="36"/>
      <c r="L746" s="36"/>
      <c r="M746" s="36"/>
      <c r="N746" s="36"/>
      <c r="O746" s="36"/>
      <c r="P746" s="36"/>
      <c r="Q746" s="36"/>
      <c r="R746" s="36"/>
      <c r="S746" s="36"/>
      <c r="T746" s="36"/>
      <c r="U746" s="36"/>
    </row>
    <row r="747" spans="1:21">
      <c r="A747" s="74" t="s">
        <v>250</v>
      </c>
      <c r="B747" s="36">
        <v>341531</v>
      </c>
      <c r="C747" s="36">
        <v>42290</v>
      </c>
      <c r="D747" s="74" t="s">
        <v>622</v>
      </c>
      <c r="E747" s="36"/>
      <c r="F747" s="74"/>
      <c r="G747" s="74" t="s">
        <v>696</v>
      </c>
      <c r="H747" s="36"/>
      <c r="I747" s="36"/>
      <c r="J747" s="36"/>
      <c r="K747" s="36"/>
      <c r="L747" s="36"/>
      <c r="M747" s="36"/>
      <c r="N747" s="36"/>
      <c r="O747" s="36"/>
      <c r="P747" s="36"/>
      <c r="Q747" s="36"/>
      <c r="R747" s="36"/>
      <c r="S747" s="36"/>
      <c r="T747" s="36"/>
      <c r="U747" s="36"/>
    </row>
    <row r="748" spans="1:21">
      <c r="A748" s="74" t="s">
        <v>250</v>
      </c>
      <c r="B748" s="36">
        <v>341519</v>
      </c>
      <c r="C748" s="36">
        <v>42290</v>
      </c>
      <c r="D748" s="74" t="s">
        <v>622</v>
      </c>
      <c r="E748" s="36"/>
      <c r="F748" s="74"/>
      <c r="G748" s="74" t="s">
        <v>696</v>
      </c>
      <c r="H748" s="36"/>
      <c r="I748" s="36"/>
      <c r="J748" s="36"/>
      <c r="K748" s="36"/>
      <c r="L748" s="36"/>
      <c r="M748" s="36"/>
      <c r="N748" s="36"/>
      <c r="O748" s="36"/>
      <c r="P748" s="36"/>
      <c r="Q748" s="36"/>
      <c r="R748" s="36"/>
      <c r="S748" s="36"/>
      <c r="T748" s="36"/>
      <c r="U748" s="36"/>
    </row>
    <row r="749" spans="1:21">
      <c r="A749" s="74" t="s">
        <v>250</v>
      </c>
      <c r="B749" s="36">
        <v>341532</v>
      </c>
      <c r="C749" s="36">
        <v>42290</v>
      </c>
      <c r="D749" s="74" t="s">
        <v>622</v>
      </c>
      <c r="E749" s="36"/>
      <c r="F749" s="74"/>
      <c r="G749" s="74" t="s">
        <v>696</v>
      </c>
      <c r="H749" s="36"/>
      <c r="I749" s="36"/>
      <c r="J749" s="36"/>
      <c r="K749" s="36"/>
      <c r="L749" s="36"/>
      <c r="M749" s="36"/>
      <c r="N749" s="36"/>
      <c r="O749" s="36"/>
      <c r="P749" s="36"/>
      <c r="Q749" s="36"/>
      <c r="R749" s="36"/>
      <c r="S749" s="36"/>
      <c r="T749" s="36"/>
      <c r="U749" s="36"/>
    </row>
    <row r="750" spans="1:21">
      <c r="A750" s="74" t="s">
        <v>250</v>
      </c>
      <c r="B750" s="36">
        <v>341522</v>
      </c>
      <c r="C750" s="36">
        <v>42290</v>
      </c>
      <c r="D750" s="74" t="s">
        <v>622</v>
      </c>
      <c r="E750" s="36"/>
      <c r="F750" s="74"/>
      <c r="G750" s="74" t="s">
        <v>696</v>
      </c>
      <c r="H750" s="36"/>
      <c r="I750" s="36"/>
      <c r="J750" s="36"/>
      <c r="K750" s="36"/>
      <c r="L750" s="36"/>
      <c r="M750" s="36"/>
      <c r="N750" s="36"/>
      <c r="O750" s="36"/>
      <c r="P750" s="36"/>
      <c r="Q750" s="36"/>
      <c r="R750" s="36"/>
      <c r="S750" s="36"/>
      <c r="T750" s="36"/>
      <c r="U750" s="36"/>
    </row>
    <row r="751" spans="1:21">
      <c r="A751" s="74" t="s">
        <v>250</v>
      </c>
      <c r="B751" s="36">
        <v>341535</v>
      </c>
      <c r="C751" s="36">
        <v>42290</v>
      </c>
      <c r="D751" s="74" t="s">
        <v>622</v>
      </c>
      <c r="E751" s="36"/>
      <c r="F751" s="74"/>
      <c r="G751" s="74" t="s">
        <v>696</v>
      </c>
      <c r="H751" s="36"/>
      <c r="I751" s="36"/>
      <c r="J751" s="36"/>
      <c r="K751" s="36"/>
      <c r="L751" s="36"/>
      <c r="M751" s="36"/>
      <c r="N751" s="36"/>
      <c r="O751" s="36"/>
      <c r="P751" s="36"/>
      <c r="Q751" s="36"/>
      <c r="R751" s="36"/>
      <c r="S751" s="36"/>
      <c r="T751" s="36"/>
      <c r="U751" s="36"/>
    </row>
    <row r="752" spans="1:21">
      <c r="A752" s="74" t="s">
        <v>250</v>
      </c>
      <c r="B752" s="36">
        <v>341520</v>
      </c>
      <c r="C752" s="36">
        <v>42290</v>
      </c>
      <c r="D752" s="74" t="s">
        <v>622</v>
      </c>
      <c r="E752" s="36"/>
      <c r="F752" s="74"/>
      <c r="G752" s="74" t="s">
        <v>696</v>
      </c>
      <c r="H752" s="36"/>
      <c r="I752" s="36"/>
      <c r="J752" s="36"/>
      <c r="K752" s="36"/>
      <c r="L752" s="36"/>
      <c r="M752" s="36"/>
      <c r="N752" s="36"/>
      <c r="O752" s="36"/>
      <c r="P752" s="36"/>
      <c r="Q752" s="36"/>
      <c r="R752" s="36"/>
      <c r="S752" s="36"/>
      <c r="T752" s="36"/>
      <c r="U752" s="36"/>
    </row>
    <row r="753" spans="1:21">
      <c r="A753" s="74" t="s">
        <v>250</v>
      </c>
      <c r="B753" s="36">
        <v>341533</v>
      </c>
      <c r="C753" s="36">
        <v>42290</v>
      </c>
      <c r="D753" s="74" t="s">
        <v>622</v>
      </c>
      <c r="E753" s="36"/>
      <c r="F753" s="74"/>
      <c r="G753" s="74" t="s">
        <v>696</v>
      </c>
      <c r="H753" s="36"/>
      <c r="I753" s="36"/>
      <c r="J753" s="36"/>
      <c r="K753" s="36"/>
      <c r="L753" s="36"/>
      <c r="M753" s="36"/>
      <c r="N753" s="36"/>
      <c r="O753" s="36"/>
      <c r="P753" s="36"/>
      <c r="Q753" s="36"/>
      <c r="R753" s="36"/>
      <c r="S753" s="36"/>
      <c r="T753" s="36"/>
      <c r="U753" s="36"/>
    </row>
    <row r="754" spans="1:21">
      <c r="A754" s="74" t="s">
        <v>250</v>
      </c>
      <c r="B754" s="36">
        <v>341521</v>
      </c>
      <c r="C754" s="36">
        <v>42290</v>
      </c>
      <c r="D754" s="74" t="s">
        <v>622</v>
      </c>
      <c r="E754" s="36"/>
      <c r="F754" s="74"/>
      <c r="G754" s="74" t="s">
        <v>696</v>
      </c>
      <c r="H754" s="36"/>
      <c r="I754" s="36"/>
      <c r="J754" s="36"/>
      <c r="K754" s="36"/>
      <c r="L754" s="36"/>
      <c r="M754" s="36"/>
      <c r="N754" s="36"/>
      <c r="O754" s="36"/>
      <c r="P754" s="36"/>
      <c r="Q754" s="36"/>
      <c r="R754" s="36"/>
      <c r="S754" s="36"/>
      <c r="T754" s="36"/>
      <c r="U754" s="36"/>
    </row>
    <row r="755" spans="1:21">
      <c r="A755" s="74" t="s">
        <v>250</v>
      </c>
      <c r="B755" s="36">
        <v>341534</v>
      </c>
      <c r="C755" s="36">
        <v>42290</v>
      </c>
      <c r="D755" s="74" t="s">
        <v>622</v>
      </c>
      <c r="E755" s="36"/>
      <c r="F755" s="74"/>
      <c r="G755" s="74" t="s">
        <v>696</v>
      </c>
      <c r="H755" s="36"/>
      <c r="I755" s="36"/>
      <c r="J755" s="36"/>
      <c r="K755" s="36"/>
      <c r="L755" s="36"/>
      <c r="M755" s="36"/>
      <c r="N755" s="36"/>
      <c r="O755" s="36"/>
      <c r="P755" s="36"/>
      <c r="Q755" s="36"/>
      <c r="R755" s="36"/>
      <c r="S755" s="36"/>
      <c r="T755" s="36"/>
      <c r="U755" s="36"/>
    </row>
    <row r="756" spans="1:21">
      <c r="A756" s="74" t="s">
        <v>250</v>
      </c>
      <c r="B756" s="36">
        <v>341523</v>
      </c>
      <c r="C756" s="36">
        <v>42290</v>
      </c>
      <c r="D756" s="74" t="s">
        <v>622</v>
      </c>
      <c r="E756" s="36"/>
      <c r="F756" s="74"/>
      <c r="G756" s="74" t="s">
        <v>696</v>
      </c>
      <c r="H756" s="36"/>
      <c r="I756" s="36"/>
      <c r="J756" s="36"/>
      <c r="K756" s="36"/>
      <c r="L756" s="36"/>
      <c r="M756" s="36"/>
      <c r="N756" s="36"/>
      <c r="O756" s="36"/>
      <c r="P756" s="36"/>
      <c r="Q756" s="36"/>
      <c r="R756" s="36"/>
      <c r="S756" s="36"/>
      <c r="T756" s="36"/>
      <c r="U756" s="36"/>
    </row>
    <row r="757" spans="1:21">
      <c r="A757" s="74" t="s">
        <v>250</v>
      </c>
      <c r="B757" s="36">
        <v>341536</v>
      </c>
      <c r="C757" s="36">
        <v>42290</v>
      </c>
      <c r="D757" s="74" t="s">
        <v>622</v>
      </c>
      <c r="E757" s="36"/>
      <c r="F757" s="74"/>
      <c r="G757" s="74" t="s">
        <v>696</v>
      </c>
      <c r="H757" s="36"/>
      <c r="I757" s="36"/>
      <c r="J757" s="36"/>
      <c r="K757" s="36"/>
      <c r="L757" s="36"/>
      <c r="M757" s="36"/>
      <c r="N757" s="36"/>
      <c r="O757" s="36"/>
      <c r="P757" s="36"/>
      <c r="Q757" s="36"/>
      <c r="R757" s="36"/>
      <c r="S757" s="36"/>
      <c r="T757" s="36"/>
      <c r="U757" s="36"/>
    </row>
    <row r="758" spans="1:21">
      <c r="A758" s="74" t="s">
        <v>250</v>
      </c>
      <c r="B758" s="36">
        <v>341515</v>
      </c>
      <c r="C758" s="36">
        <v>42290</v>
      </c>
      <c r="D758" s="74" t="s">
        <v>622</v>
      </c>
      <c r="E758" s="36"/>
      <c r="F758" s="74"/>
      <c r="G758" s="74" t="s">
        <v>696</v>
      </c>
      <c r="H758" s="36"/>
      <c r="I758" s="36"/>
      <c r="J758" s="36"/>
      <c r="K758" s="36"/>
      <c r="L758" s="36"/>
      <c r="M758" s="36"/>
      <c r="N758" s="36"/>
      <c r="O758" s="36"/>
      <c r="P758" s="36"/>
      <c r="Q758" s="36"/>
      <c r="R758" s="36"/>
      <c r="S758" s="36"/>
      <c r="T758" s="36"/>
      <c r="U758" s="36"/>
    </row>
    <row r="759" spans="1:21">
      <c r="A759" s="74" t="s">
        <v>250</v>
      </c>
      <c r="B759" s="36">
        <v>341528</v>
      </c>
      <c r="C759" s="36">
        <v>42290</v>
      </c>
      <c r="D759" s="74" t="s">
        <v>622</v>
      </c>
      <c r="E759" s="36"/>
      <c r="F759" s="74"/>
      <c r="G759" s="74" t="s">
        <v>696</v>
      </c>
      <c r="H759" s="36"/>
      <c r="I759" s="36"/>
      <c r="J759" s="36"/>
      <c r="K759" s="36"/>
      <c r="L759" s="36"/>
      <c r="M759" s="36"/>
      <c r="N759" s="36"/>
      <c r="O759" s="36"/>
      <c r="P759" s="36"/>
      <c r="Q759" s="36"/>
      <c r="R759" s="36"/>
      <c r="S759" s="36"/>
      <c r="T759" s="36"/>
      <c r="U759" s="36"/>
    </row>
    <row r="760" spans="1:21">
      <c r="A760" s="74" t="s">
        <v>250</v>
      </c>
      <c r="B760" s="36">
        <v>341956</v>
      </c>
      <c r="C760" s="36">
        <v>42290</v>
      </c>
      <c r="D760" s="74" t="s">
        <v>624</v>
      </c>
      <c r="E760" s="36"/>
      <c r="F760" s="74"/>
      <c r="G760" s="74" t="s">
        <v>696</v>
      </c>
      <c r="H760" s="36"/>
      <c r="I760" s="36"/>
      <c r="J760" s="36"/>
      <c r="K760" s="36"/>
      <c r="L760" s="36"/>
      <c r="M760" s="36"/>
      <c r="N760" s="36"/>
      <c r="O760" s="36"/>
      <c r="P760" s="36"/>
      <c r="Q760" s="36"/>
      <c r="R760" s="36"/>
      <c r="S760" s="36"/>
      <c r="T760" s="36"/>
      <c r="U760" s="36"/>
    </row>
    <row r="761" spans="1:21">
      <c r="A761" s="74" t="s">
        <v>250</v>
      </c>
      <c r="B761" s="36">
        <v>341969</v>
      </c>
      <c r="C761" s="36">
        <v>42290</v>
      </c>
      <c r="D761" s="74" t="s">
        <v>624</v>
      </c>
      <c r="E761" s="36"/>
      <c r="F761" s="74"/>
      <c r="G761" s="74" t="s">
        <v>696</v>
      </c>
      <c r="H761" s="36"/>
      <c r="I761" s="36"/>
      <c r="J761" s="36"/>
      <c r="K761" s="36"/>
      <c r="L761" s="36"/>
      <c r="M761" s="36"/>
      <c r="N761" s="36"/>
      <c r="O761" s="36"/>
      <c r="P761" s="36"/>
      <c r="Q761" s="36"/>
      <c r="R761" s="36"/>
      <c r="S761" s="36"/>
      <c r="T761" s="36"/>
      <c r="U761" s="36"/>
    </row>
    <row r="762" spans="1:21">
      <c r="A762" s="74" t="s">
        <v>250</v>
      </c>
      <c r="B762" s="36">
        <v>341955</v>
      </c>
      <c r="C762" s="36">
        <v>42290</v>
      </c>
      <c r="D762" s="74" t="s">
        <v>624</v>
      </c>
      <c r="E762" s="36"/>
      <c r="F762" s="74"/>
      <c r="G762" s="74" t="s">
        <v>696</v>
      </c>
      <c r="H762" s="36"/>
      <c r="I762" s="36"/>
      <c r="J762" s="36"/>
      <c r="K762" s="36"/>
      <c r="L762" s="36"/>
      <c r="M762" s="36"/>
      <c r="N762" s="36"/>
      <c r="O762" s="36"/>
      <c r="P762" s="36"/>
      <c r="Q762" s="36"/>
      <c r="R762" s="36"/>
      <c r="S762" s="36"/>
      <c r="T762" s="36"/>
      <c r="U762" s="36"/>
    </row>
    <row r="763" spans="1:21">
      <c r="A763" s="74" t="s">
        <v>250</v>
      </c>
      <c r="B763" s="36">
        <v>341968</v>
      </c>
      <c r="C763" s="36">
        <v>42290</v>
      </c>
      <c r="D763" s="74" t="s">
        <v>624</v>
      </c>
      <c r="E763" s="36"/>
      <c r="F763" s="74"/>
      <c r="G763" s="74" t="s">
        <v>696</v>
      </c>
      <c r="H763" s="36"/>
      <c r="I763" s="36"/>
      <c r="J763" s="36"/>
      <c r="K763" s="36"/>
      <c r="L763" s="36"/>
      <c r="M763" s="36"/>
      <c r="N763" s="36"/>
      <c r="O763" s="36"/>
      <c r="P763" s="36"/>
      <c r="Q763" s="36"/>
      <c r="R763" s="36"/>
      <c r="S763" s="36"/>
      <c r="T763" s="36"/>
      <c r="U763" s="36"/>
    </row>
    <row r="764" spans="1:21">
      <c r="A764" s="74" t="s">
        <v>250</v>
      </c>
      <c r="B764" s="36">
        <v>341967</v>
      </c>
      <c r="C764" s="36">
        <v>42290</v>
      </c>
      <c r="D764" s="74" t="s">
        <v>624</v>
      </c>
      <c r="E764" s="36"/>
      <c r="F764" s="74"/>
      <c r="G764" s="74" t="s">
        <v>696</v>
      </c>
      <c r="H764" s="36"/>
      <c r="I764" s="36"/>
      <c r="J764" s="36"/>
      <c r="K764" s="36"/>
      <c r="L764" s="36"/>
      <c r="M764" s="36"/>
      <c r="N764" s="36"/>
      <c r="O764" s="36"/>
      <c r="P764" s="36"/>
      <c r="Q764" s="36"/>
      <c r="R764" s="36"/>
      <c r="S764" s="36"/>
      <c r="T764" s="36"/>
      <c r="U764" s="36"/>
    </row>
    <row r="765" spans="1:21">
      <c r="A765" s="74" t="s">
        <v>250</v>
      </c>
      <c r="B765" s="36">
        <v>341980</v>
      </c>
      <c r="C765" s="36">
        <v>42290</v>
      </c>
      <c r="D765" s="74" t="s">
        <v>624</v>
      </c>
      <c r="E765" s="36"/>
      <c r="F765" s="74"/>
      <c r="G765" s="74" t="s">
        <v>696</v>
      </c>
      <c r="H765" s="36"/>
      <c r="I765" s="36"/>
      <c r="J765" s="36"/>
      <c r="K765" s="36"/>
      <c r="L765" s="36"/>
      <c r="M765" s="36"/>
      <c r="N765" s="36"/>
      <c r="O765" s="36"/>
      <c r="P765" s="36"/>
      <c r="Q765" s="36"/>
      <c r="R765" s="36"/>
      <c r="S765" s="36"/>
      <c r="T765" s="36"/>
      <c r="U765" s="36"/>
    </row>
    <row r="766" spans="1:21">
      <c r="A766" s="74" t="s">
        <v>250</v>
      </c>
      <c r="B766" s="36">
        <v>341966</v>
      </c>
      <c r="C766" s="36">
        <v>42290</v>
      </c>
      <c r="D766" s="74" t="s">
        <v>624</v>
      </c>
      <c r="E766" s="36"/>
      <c r="F766" s="74"/>
      <c r="G766" s="74" t="s">
        <v>696</v>
      </c>
      <c r="H766" s="36"/>
      <c r="I766" s="36"/>
      <c r="J766" s="36"/>
      <c r="K766" s="36"/>
      <c r="L766" s="36"/>
      <c r="M766" s="36"/>
      <c r="N766" s="36"/>
      <c r="O766" s="36"/>
      <c r="P766" s="36"/>
      <c r="Q766" s="36"/>
      <c r="R766" s="36"/>
      <c r="S766" s="36"/>
      <c r="T766" s="36"/>
      <c r="U766" s="36"/>
    </row>
    <row r="767" spans="1:21">
      <c r="A767" s="74" t="s">
        <v>250</v>
      </c>
      <c r="B767" s="36">
        <v>341979</v>
      </c>
      <c r="C767" s="36">
        <v>42290</v>
      </c>
      <c r="D767" s="74" t="s">
        <v>624</v>
      </c>
      <c r="E767" s="36"/>
      <c r="F767" s="74"/>
      <c r="G767" s="74" t="s">
        <v>696</v>
      </c>
      <c r="H767" s="36"/>
      <c r="I767" s="36"/>
      <c r="J767" s="36"/>
      <c r="K767" s="36"/>
      <c r="L767" s="36"/>
      <c r="M767" s="36"/>
      <c r="N767" s="36"/>
      <c r="O767" s="36"/>
      <c r="P767" s="36"/>
      <c r="Q767" s="36"/>
      <c r="R767" s="36"/>
      <c r="S767" s="36"/>
      <c r="T767" s="36"/>
      <c r="U767" s="36"/>
    </row>
    <row r="768" spans="1:21">
      <c r="A768" s="74" t="s">
        <v>250</v>
      </c>
      <c r="B768" s="36">
        <v>341958</v>
      </c>
      <c r="C768" s="36">
        <v>42290</v>
      </c>
      <c r="D768" s="74" t="s">
        <v>624</v>
      </c>
      <c r="E768" s="36"/>
      <c r="F768" s="74"/>
      <c r="G768" s="74" t="s">
        <v>696</v>
      </c>
      <c r="H768" s="36"/>
      <c r="I768" s="36"/>
      <c r="J768" s="36"/>
      <c r="K768" s="36"/>
      <c r="L768" s="36"/>
      <c r="M768" s="36"/>
      <c r="N768" s="36"/>
      <c r="O768" s="36"/>
      <c r="P768" s="36"/>
      <c r="Q768" s="36"/>
      <c r="R768" s="36"/>
      <c r="S768" s="36"/>
      <c r="T768" s="36"/>
      <c r="U768" s="36"/>
    </row>
    <row r="769" spans="1:21">
      <c r="A769" s="74" t="s">
        <v>250</v>
      </c>
      <c r="B769" s="36">
        <v>341971</v>
      </c>
      <c r="C769" s="36">
        <v>42290</v>
      </c>
      <c r="D769" s="74" t="s">
        <v>624</v>
      </c>
      <c r="E769" s="36"/>
      <c r="F769" s="74"/>
      <c r="G769" s="74" t="s">
        <v>696</v>
      </c>
      <c r="H769" s="36"/>
      <c r="I769" s="36"/>
      <c r="J769" s="36"/>
      <c r="K769" s="36"/>
      <c r="L769" s="36"/>
      <c r="M769" s="36"/>
      <c r="N769" s="36"/>
      <c r="O769" s="36"/>
      <c r="P769" s="36"/>
      <c r="Q769" s="36"/>
      <c r="R769" s="36"/>
      <c r="S769" s="36"/>
      <c r="T769" s="36"/>
      <c r="U769" s="36"/>
    </row>
    <row r="770" spans="1:21">
      <c r="A770" s="74" t="s">
        <v>250</v>
      </c>
      <c r="B770" s="36">
        <v>341959</v>
      </c>
      <c r="C770" s="36">
        <v>42290</v>
      </c>
      <c r="D770" s="74" t="s">
        <v>624</v>
      </c>
      <c r="E770" s="36"/>
      <c r="F770" s="74"/>
      <c r="G770" s="74" t="s">
        <v>696</v>
      </c>
      <c r="H770" s="36"/>
      <c r="I770" s="36"/>
      <c r="J770" s="36"/>
      <c r="K770" s="36"/>
      <c r="L770" s="36"/>
      <c r="M770" s="36"/>
      <c r="N770" s="36"/>
      <c r="O770" s="36"/>
      <c r="P770" s="36"/>
      <c r="Q770" s="36"/>
      <c r="R770" s="36"/>
      <c r="S770" s="36"/>
      <c r="T770" s="36"/>
      <c r="U770" s="36"/>
    </row>
    <row r="771" spans="1:21">
      <c r="A771" s="74" t="s">
        <v>250</v>
      </c>
      <c r="B771" s="36">
        <v>341972</v>
      </c>
      <c r="C771" s="36">
        <v>42290</v>
      </c>
      <c r="D771" s="74" t="s">
        <v>624</v>
      </c>
      <c r="E771" s="36"/>
      <c r="F771" s="74"/>
      <c r="G771" s="74" t="s">
        <v>696</v>
      </c>
      <c r="H771" s="36"/>
      <c r="I771" s="36"/>
      <c r="J771" s="36"/>
      <c r="K771" s="36"/>
      <c r="L771" s="36"/>
      <c r="M771" s="36"/>
      <c r="N771" s="36"/>
      <c r="O771" s="36"/>
      <c r="P771" s="36"/>
      <c r="Q771" s="36"/>
      <c r="R771" s="36"/>
      <c r="S771" s="36"/>
      <c r="T771" s="36"/>
      <c r="U771" s="36"/>
    </row>
    <row r="772" spans="1:21">
      <c r="A772" s="74" t="s">
        <v>250</v>
      </c>
      <c r="B772" s="36">
        <v>341960</v>
      </c>
      <c r="C772" s="36">
        <v>42290</v>
      </c>
      <c r="D772" s="74" t="s">
        <v>624</v>
      </c>
      <c r="E772" s="36"/>
      <c r="F772" s="74"/>
      <c r="G772" s="74" t="s">
        <v>696</v>
      </c>
      <c r="H772" s="36"/>
      <c r="I772" s="36"/>
      <c r="J772" s="36"/>
      <c r="K772" s="36"/>
      <c r="L772" s="36"/>
      <c r="M772" s="36"/>
      <c r="N772" s="36"/>
      <c r="O772" s="36"/>
      <c r="P772" s="36"/>
      <c r="Q772" s="36"/>
      <c r="R772" s="36"/>
      <c r="S772" s="36"/>
      <c r="T772" s="36"/>
      <c r="U772" s="36"/>
    </row>
    <row r="773" spans="1:21">
      <c r="A773" s="74" t="s">
        <v>250</v>
      </c>
      <c r="B773" s="36">
        <v>341973</v>
      </c>
      <c r="C773" s="36">
        <v>42290</v>
      </c>
      <c r="D773" s="74" t="s">
        <v>624</v>
      </c>
      <c r="E773" s="36"/>
      <c r="F773" s="74"/>
      <c r="G773" s="74" t="s">
        <v>696</v>
      </c>
      <c r="H773" s="36"/>
      <c r="I773" s="36"/>
      <c r="J773" s="36"/>
      <c r="K773" s="36"/>
      <c r="L773" s="36"/>
      <c r="M773" s="36"/>
      <c r="N773" s="36"/>
      <c r="O773" s="36"/>
      <c r="P773" s="36"/>
      <c r="Q773" s="36"/>
      <c r="R773" s="36"/>
      <c r="S773" s="36"/>
      <c r="T773" s="36"/>
      <c r="U773" s="36"/>
    </row>
    <row r="774" spans="1:21">
      <c r="A774" s="74" t="s">
        <v>250</v>
      </c>
      <c r="B774" s="36">
        <v>341961</v>
      </c>
      <c r="C774" s="36">
        <v>42290</v>
      </c>
      <c r="D774" s="74" t="s">
        <v>624</v>
      </c>
      <c r="E774" s="36"/>
      <c r="F774" s="74"/>
      <c r="G774" s="74" t="s">
        <v>696</v>
      </c>
      <c r="H774" s="36"/>
      <c r="I774" s="36"/>
      <c r="J774" s="36"/>
      <c r="K774" s="36"/>
      <c r="L774" s="36"/>
      <c r="M774" s="36"/>
      <c r="N774" s="36"/>
      <c r="O774" s="36"/>
      <c r="P774" s="36"/>
      <c r="Q774" s="36"/>
      <c r="R774" s="36"/>
      <c r="S774" s="36"/>
      <c r="T774" s="36"/>
      <c r="U774" s="36"/>
    </row>
    <row r="775" spans="1:21">
      <c r="A775" s="74" t="s">
        <v>250</v>
      </c>
      <c r="B775" s="36">
        <v>341974</v>
      </c>
      <c r="C775" s="36">
        <v>42290</v>
      </c>
      <c r="D775" s="74" t="s">
        <v>624</v>
      </c>
      <c r="E775" s="36"/>
      <c r="F775" s="74"/>
      <c r="G775" s="74" t="s">
        <v>696</v>
      </c>
      <c r="H775" s="36"/>
      <c r="I775" s="36"/>
      <c r="J775" s="36"/>
      <c r="K775" s="36"/>
      <c r="L775" s="36"/>
      <c r="M775" s="36"/>
      <c r="N775" s="36"/>
      <c r="O775" s="36"/>
      <c r="P775" s="36"/>
      <c r="Q775" s="36"/>
      <c r="R775" s="36"/>
      <c r="S775" s="36"/>
      <c r="T775" s="36"/>
      <c r="U775" s="36"/>
    </row>
    <row r="776" spans="1:21">
      <c r="A776" s="74" t="s">
        <v>250</v>
      </c>
      <c r="B776" s="36">
        <v>341964</v>
      </c>
      <c r="C776" s="36">
        <v>42290</v>
      </c>
      <c r="D776" s="74" t="s">
        <v>624</v>
      </c>
      <c r="E776" s="36"/>
      <c r="F776" s="74"/>
      <c r="G776" s="74" t="s">
        <v>696</v>
      </c>
      <c r="H776" s="36"/>
      <c r="I776" s="36"/>
      <c r="J776" s="36"/>
      <c r="K776" s="36"/>
      <c r="L776" s="36"/>
      <c r="M776" s="36"/>
      <c r="N776" s="36"/>
      <c r="O776" s="36"/>
      <c r="P776" s="36"/>
      <c r="Q776" s="36"/>
      <c r="R776" s="36"/>
      <c r="S776" s="36"/>
      <c r="T776" s="36"/>
      <c r="U776" s="36"/>
    </row>
    <row r="777" spans="1:21">
      <c r="A777" s="74" t="s">
        <v>250</v>
      </c>
      <c r="B777" s="36">
        <v>341977</v>
      </c>
      <c r="C777" s="36">
        <v>42290</v>
      </c>
      <c r="D777" s="74" t="s">
        <v>624</v>
      </c>
      <c r="E777" s="36"/>
      <c r="F777" s="74"/>
      <c r="G777" s="74" t="s">
        <v>696</v>
      </c>
      <c r="H777" s="36"/>
      <c r="I777" s="36"/>
      <c r="J777" s="36"/>
      <c r="K777" s="36"/>
      <c r="L777" s="36"/>
      <c r="M777" s="36"/>
      <c r="N777" s="36"/>
      <c r="O777" s="36"/>
      <c r="P777" s="36"/>
      <c r="Q777" s="36"/>
      <c r="R777" s="36"/>
      <c r="S777" s="36"/>
      <c r="T777" s="36"/>
      <c r="U777" s="36"/>
    </row>
    <row r="778" spans="1:21">
      <c r="A778" s="74" t="s">
        <v>250</v>
      </c>
      <c r="B778" s="36">
        <v>341962</v>
      </c>
      <c r="C778" s="36">
        <v>42290</v>
      </c>
      <c r="D778" s="74" t="s">
        <v>624</v>
      </c>
      <c r="E778" s="36"/>
      <c r="F778" s="74"/>
      <c r="G778" s="74" t="s">
        <v>696</v>
      </c>
      <c r="H778" s="36"/>
      <c r="I778" s="36"/>
      <c r="J778" s="36"/>
      <c r="K778" s="36"/>
      <c r="L778" s="36"/>
      <c r="M778" s="36"/>
      <c r="N778" s="36"/>
      <c r="O778" s="36"/>
      <c r="P778" s="36"/>
      <c r="Q778" s="36"/>
      <c r="R778" s="36"/>
      <c r="S778" s="36"/>
      <c r="T778" s="36"/>
      <c r="U778" s="36"/>
    </row>
    <row r="779" spans="1:21">
      <c r="A779" s="74" t="s">
        <v>250</v>
      </c>
      <c r="B779" s="36">
        <v>341975</v>
      </c>
      <c r="C779" s="36">
        <v>42290</v>
      </c>
      <c r="D779" s="74" t="s">
        <v>624</v>
      </c>
      <c r="E779" s="36"/>
      <c r="F779" s="74"/>
      <c r="G779" s="74" t="s">
        <v>696</v>
      </c>
      <c r="H779" s="36"/>
      <c r="I779" s="36"/>
      <c r="J779" s="36"/>
      <c r="K779" s="36"/>
      <c r="L779" s="36"/>
      <c r="M779" s="36"/>
      <c r="N779" s="36"/>
      <c r="O779" s="36"/>
      <c r="P779" s="36"/>
      <c r="Q779" s="36"/>
      <c r="R779" s="36"/>
      <c r="S779" s="36"/>
      <c r="T779" s="36"/>
      <c r="U779" s="36"/>
    </row>
    <row r="780" spans="1:21">
      <c r="A780" s="74" t="s">
        <v>250</v>
      </c>
      <c r="B780" s="36">
        <v>341963</v>
      </c>
      <c r="C780" s="36">
        <v>42290</v>
      </c>
      <c r="D780" s="74" t="s">
        <v>624</v>
      </c>
      <c r="E780" s="36"/>
      <c r="F780" s="74"/>
      <c r="G780" s="74" t="s">
        <v>696</v>
      </c>
      <c r="H780" s="36"/>
      <c r="I780" s="36"/>
      <c r="J780" s="36"/>
      <c r="K780" s="36"/>
      <c r="L780" s="36"/>
      <c r="M780" s="36"/>
      <c r="N780" s="36"/>
      <c r="O780" s="36"/>
      <c r="P780" s="36"/>
      <c r="Q780" s="36"/>
      <c r="R780" s="36"/>
      <c r="S780" s="36"/>
      <c r="T780" s="36"/>
      <c r="U780" s="36"/>
    </row>
    <row r="781" spans="1:21">
      <c r="A781" s="74" t="s">
        <v>250</v>
      </c>
      <c r="B781" s="36">
        <v>341976</v>
      </c>
      <c r="C781" s="36">
        <v>42290</v>
      </c>
      <c r="D781" s="74" t="s">
        <v>624</v>
      </c>
      <c r="E781" s="36"/>
      <c r="F781" s="74"/>
      <c r="G781" s="74" t="s">
        <v>696</v>
      </c>
      <c r="H781" s="36"/>
      <c r="I781" s="36"/>
      <c r="J781" s="36"/>
      <c r="K781" s="36"/>
      <c r="L781" s="36"/>
      <c r="M781" s="36"/>
      <c r="N781" s="36"/>
      <c r="O781" s="36"/>
      <c r="P781" s="36"/>
      <c r="Q781" s="36"/>
      <c r="R781" s="36"/>
      <c r="S781" s="36"/>
      <c r="T781" s="36"/>
      <c r="U781" s="36"/>
    </row>
    <row r="782" spans="1:21">
      <c r="A782" s="74" t="s">
        <v>250</v>
      </c>
      <c r="B782" s="36">
        <v>341965</v>
      </c>
      <c r="C782" s="36">
        <v>42290</v>
      </c>
      <c r="D782" s="74" t="s">
        <v>624</v>
      </c>
      <c r="E782" s="36"/>
      <c r="F782" s="74"/>
      <c r="G782" s="74" t="s">
        <v>696</v>
      </c>
      <c r="H782" s="36"/>
      <c r="I782" s="36"/>
      <c r="J782" s="36"/>
      <c r="K782" s="36"/>
      <c r="L782" s="36"/>
      <c r="M782" s="36"/>
      <c r="N782" s="36"/>
      <c r="O782" s="36"/>
      <c r="P782" s="36"/>
      <c r="Q782" s="36"/>
      <c r="R782" s="36"/>
      <c r="S782" s="36"/>
      <c r="T782" s="36"/>
      <c r="U782" s="36"/>
    </row>
    <row r="783" spans="1:21">
      <c r="A783" s="74" t="s">
        <v>250</v>
      </c>
      <c r="B783" s="36">
        <v>341978</v>
      </c>
      <c r="C783" s="36">
        <v>42290</v>
      </c>
      <c r="D783" s="74" t="s">
        <v>624</v>
      </c>
      <c r="E783" s="36"/>
      <c r="F783" s="74"/>
      <c r="G783" s="74" t="s">
        <v>696</v>
      </c>
      <c r="H783" s="36"/>
      <c r="I783" s="36"/>
      <c r="J783" s="36"/>
      <c r="K783" s="36"/>
      <c r="L783" s="36"/>
      <c r="M783" s="36"/>
      <c r="N783" s="36"/>
      <c r="O783" s="36"/>
      <c r="P783" s="36"/>
      <c r="Q783" s="36"/>
      <c r="R783" s="36"/>
      <c r="S783" s="36"/>
      <c r="T783" s="36"/>
      <c r="U783" s="36"/>
    </row>
    <row r="784" spans="1:21">
      <c r="A784" s="74" t="s">
        <v>250</v>
      </c>
      <c r="B784" s="36">
        <v>341957</v>
      </c>
      <c r="C784" s="36">
        <v>42290</v>
      </c>
      <c r="D784" s="74" t="s">
        <v>624</v>
      </c>
      <c r="E784" s="36"/>
      <c r="F784" s="74"/>
      <c r="G784" s="74" t="s">
        <v>696</v>
      </c>
      <c r="H784" s="36"/>
      <c r="I784" s="36"/>
      <c r="J784" s="36"/>
      <c r="K784" s="36"/>
      <c r="L784" s="36"/>
      <c r="M784" s="36"/>
      <c r="N784" s="36"/>
      <c r="O784" s="36"/>
      <c r="P784" s="36"/>
      <c r="Q784" s="36"/>
      <c r="R784" s="36"/>
      <c r="S784" s="36"/>
      <c r="T784" s="36"/>
      <c r="U784" s="36"/>
    </row>
    <row r="785" spans="1:21">
      <c r="A785" s="74" t="s">
        <v>250</v>
      </c>
      <c r="B785" s="36">
        <v>341970</v>
      </c>
      <c r="C785" s="36">
        <v>42290</v>
      </c>
      <c r="D785" s="74" t="s">
        <v>624</v>
      </c>
      <c r="E785" s="36"/>
      <c r="F785" s="74"/>
      <c r="G785" s="74" t="s">
        <v>696</v>
      </c>
      <c r="H785" s="36"/>
      <c r="I785" s="36"/>
      <c r="J785" s="36"/>
      <c r="K785" s="36"/>
      <c r="L785" s="36"/>
      <c r="M785" s="36"/>
      <c r="N785" s="36"/>
      <c r="O785" s="36"/>
      <c r="P785" s="36"/>
      <c r="Q785" s="36"/>
      <c r="R785" s="36"/>
      <c r="S785" s="36"/>
      <c r="T785" s="36"/>
      <c r="U785" s="36"/>
    </row>
    <row r="786" spans="1:21">
      <c r="A786" s="74" t="s">
        <v>250</v>
      </c>
      <c r="B786" s="36">
        <v>341990</v>
      </c>
      <c r="C786" s="36">
        <v>41490</v>
      </c>
      <c r="D786" s="74" t="s">
        <v>620</v>
      </c>
      <c r="E786" s="36"/>
      <c r="F786" s="74"/>
      <c r="G786" s="74" t="s">
        <v>694</v>
      </c>
      <c r="H786" s="36"/>
      <c r="I786" s="36"/>
      <c r="J786" s="36"/>
      <c r="K786" s="36"/>
      <c r="L786" s="36"/>
      <c r="M786" s="36"/>
      <c r="N786" s="36"/>
      <c r="O786" s="36"/>
      <c r="P786" s="36"/>
      <c r="Q786" s="36"/>
      <c r="R786" s="36"/>
      <c r="S786" s="36"/>
      <c r="T786" s="36"/>
      <c r="U786" s="36"/>
    </row>
    <row r="787" spans="1:21">
      <c r="A787" s="74" t="s">
        <v>250</v>
      </c>
      <c r="B787" s="36">
        <v>342003</v>
      </c>
      <c r="C787" s="36">
        <v>41490</v>
      </c>
      <c r="D787" s="74" t="s">
        <v>620</v>
      </c>
      <c r="E787" s="36"/>
      <c r="F787" s="74"/>
      <c r="G787" s="74" t="s">
        <v>694</v>
      </c>
      <c r="H787" s="36"/>
      <c r="I787" s="36"/>
      <c r="J787" s="36"/>
      <c r="K787" s="36"/>
      <c r="L787" s="36"/>
      <c r="M787" s="36"/>
      <c r="N787" s="36"/>
      <c r="O787" s="36"/>
      <c r="P787" s="36"/>
      <c r="Q787" s="36"/>
      <c r="R787" s="36"/>
      <c r="S787" s="36"/>
      <c r="T787" s="36"/>
      <c r="U787" s="36"/>
    </row>
    <row r="788" spans="1:21">
      <c r="A788" s="74" t="s">
        <v>250</v>
      </c>
      <c r="B788" s="36">
        <v>341989</v>
      </c>
      <c r="C788" s="36">
        <v>41490</v>
      </c>
      <c r="D788" s="74" t="s">
        <v>620</v>
      </c>
      <c r="E788" s="36"/>
      <c r="F788" s="74"/>
      <c r="G788" s="74" t="s">
        <v>694</v>
      </c>
      <c r="H788" s="36"/>
      <c r="I788" s="36"/>
      <c r="J788" s="36"/>
      <c r="K788" s="36"/>
      <c r="L788" s="36"/>
      <c r="M788" s="36"/>
      <c r="N788" s="36"/>
      <c r="O788" s="36"/>
      <c r="P788" s="36"/>
      <c r="Q788" s="36"/>
      <c r="R788" s="36"/>
      <c r="S788" s="36"/>
      <c r="T788" s="36"/>
      <c r="U788" s="36"/>
    </row>
    <row r="789" spans="1:21">
      <c r="A789" s="74" t="s">
        <v>250</v>
      </c>
      <c r="B789" s="36">
        <v>342002</v>
      </c>
      <c r="C789" s="36">
        <v>41490</v>
      </c>
      <c r="D789" s="74" t="s">
        <v>620</v>
      </c>
      <c r="E789" s="36"/>
      <c r="F789" s="74"/>
      <c r="G789" s="74" t="s">
        <v>694</v>
      </c>
      <c r="H789" s="36"/>
      <c r="I789" s="36"/>
      <c r="J789" s="36"/>
      <c r="K789" s="36"/>
      <c r="L789" s="36"/>
      <c r="M789" s="36"/>
      <c r="N789" s="36"/>
      <c r="O789" s="36"/>
      <c r="P789" s="36"/>
      <c r="Q789" s="36"/>
      <c r="R789" s="36"/>
      <c r="S789" s="36"/>
      <c r="T789" s="36"/>
      <c r="U789" s="36"/>
    </row>
    <row r="790" spans="1:21">
      <c r="A790" s="74" t="s">
        <v>250</v>
      </c>
      <c r="B790" s="36">
        <v>342001</v>
      </c>
      <c r="C790" s="36">
        <v>41490</v>
      </c>
      <c r="D790" s="74" t="s">
        <v>620</v>
      </c>
      <c r="E790" s="36"/>
      <c r="F790" s="74"/>
      <c r="G790" s="74" t="s">
        <v>694</v>
      </c>
      <c r="H790" s="36"/>
      <c r="I790" s="36"/>
      <c r="J790" s="36"/>
      <c r="K790" s="36"/>
      <c r="L790" s="36"/>
      <c r="M790" s="36"/>
      <c r="N790" s="36"/>
      <c r="O790" s="36"/>
      <c r="P790" s="36"/>
      <c r="Q790" s="36"/>
      <c r="R790" s="36"/>
      <c r="S790" s="36"/>
      <c r="T790" s="36"/>
      <c r="U790" s="36"/>
    </row>
    <row r="791" spans="1:21">
      <c r="A791" s="74" t="s">
        <v>250</v>
      </c>
      <c r="B791" s="36">
        <v>342014</v>
      </c>
      <c r="C791" s="36">
        <v>41490</v>
      </c>
      <c r="D791" s="74" t="s">
        <v>620</v>
      </c>
      <c r="E791" s="36"/>
      <c r="F791" s="74"/>
      <c r="G791" s="74" t="s">
        <v>694</v>
      </c>
      <c r="H791" s="36"/>
      <c r="I791" s="36"/>
      <c r="J791" s="36"/>
      <c r="K791" s="36"/>
      <c r="L791" s="36"/>
      <c r="M791" s="36"/>
      <c r="N791" s="36"/>
      <c r="O791" s="36"/>
      <c r="P791" s="36"/>
      <c r="Q791" s="36"/>
      <c r="R791" s="36"/>
      <c r="S791" s="36"/>
      <c r="T791" s="36"/>
      <c r="U791" s="36"/>
    </row>
    <row r="792" spans="1:21">
      <c r="A792" s="74" t="s">
        <v>250</v>
      </c>
      <c r="B792" s="36">
        <v>342000</v>
      </c>
      <c r="C792" s="36">
        <v>41490</v>
      </c>
      <c r="D792" s="74" t="s">
        <v>620</v>
      </c>
      <c r="E792" s="36"/>
      <c r="F792" s="74"/>
      <c r="G792" s="74" t="s">
        <v>694</v>
      </c>
      <c r="H792" s="36"/>
      <c r="I792" s="36"/>
      <c r="J792" s="36"/>
      <c r="K792" s="36"/>
      <c r="L792" s="36"/>
      <c r="M792" s="36"/>
      <c r="N792" s="36"/>
      <c r="O792" s="36"/>
      <c r="P792" s="36"/>
      <c r="Q792" s="36"/>
      <c r="R792" s="36"/>
      <c r="S792" s="36"/>
      <c r="T792" s="36"/>
      <c r="U792" s="36"/>
    </row>
    <row r="793" spans="1:21">
      <c r="A793" s="74" t="s">
        <v>250</v>
      </c>
      <c r="B793" s="36">
        <v>342013</v>
      </c>
      <c r="C793" s="36">
        <v>41490</v>
      </c>
      <c r="D793" s="74" t="s">
        <v>620</v>
      </c>
      <c r="E793" s="36"/>
      <c r="F793" s="74"/>
      <c r="G793" s="74" t="s">
        <v>694</v>
      </c>
      <c r="H793" s="36"/>
      <c r="I793" s="36"/>
      <c r="J793" s="36"/>
      <c r="K793" s="36"/>
      <c r="L793" s="36"/>
      <c r="M793" s="36"/>
      <c r="N793" s="36"/>
      <c r="O793" s="36"/>
      <c r="P793" s="36"/>
      <c r="Q793" s="36"/>
      <c r="R793" s="36"/>
      <c r="S793" s="36"/>
      <c r="T793" s="36"/>
      <c r="U793" s="36"/>
    </row>
    <row r="794" spans="1:21">
      <c r="A794" s="74" t="s">
        <v>250</v>
      </c>
      <c r="B794" s="36">
        <v>341992</v>
      </c>
      <c r="C794" s="36">
        <v>41490</v>
      </c>
      <c r="D794" s="74" t="s">
        <v>620</v>
      </c>
      <c r="E794" s="36"/>
      <c r="F794" s="74"/>
      <c r="G794" s="74" t="s">
        <v>694</v>
      </c>
      <c r="H794" s="36"/>
      <c r="I794" s="36"/>
      <c r="J794" s="36"/>
      <c r="K794" s="36"/>
      <c r="L794" s="36"/>
      <c r="M794" s="36"/>
      <c r="N794" s="36"/>
      <c r="O794" s="36"/>
      <c r="P794" s="36"/>
      <c r="Q794" s="36"/>
      <c r="R794" s="36"/>
      <c r="S794" s="36"/>
      <c r="T794" s="36"/>
      <c r="U794" s="36"/>
    </row>
    <row r="795" spans="1:21">
      <c r="A795" s="74" t="s">
        <v>250</v>
      </c>
      <c r="B795" s="36">
        <v>342005</v>
      </c>
      <c r="C795" s="36">
        <v>41490</v>
      </c>
      <c r="D795" s="74" t="s">
        <v>620</v>
      </c>
      <c r="E795" s="36"/>
      <c r="F795" s="74"/>
      <c r="G795" s="74" t="s">
        <v>694</v>
      </c>
      <c r="H795" s="36"/>
      <c r="I795" s="36"/>
      <c r="J795" s="36"/>
      <c r="K795" s="36"/>
      <c r="L795" s="36"/>
      <c r="M795" s="36"/>
      <c r="N795" s="36"/>
      <c r="O795" s="36"/>
      <c r="P795" s="36"/>
      <c r="Q795" s="36"/>
      <c r="R795" s="36"/>
      <c r="S795" s="36"/>
      <c r="T795" s="36"/>
      <c r="U795" s="36"/>
    </row>
    <row r="796" spans="1:21">
      <c r="A796" s="74" t="s">
        <v>250</v>
      </c>
      <c r="B796" s="36">
        <v>341993</v>
      </c>
      <c r="C796" s="36">
        <v>41490</v>
      </c>
      <c r="D796" s="74" t="s">
        <v>620</v>
      </c>
      <c r="E796" s="36"/>
      <c r="F796" s="74"/>
      <c r="G796" s="74" t="s">
        <v>694</v>
      </c>
      <c r="H796" s="36"/>
      <c r="I796" s="36"/>
      <c r="J796" s="36"/>
      <c r="K796" s="36"/>
      <c r="L796" s="36"/>
      <c r="M796" s="36"/>
      <c r="N796" s="36"/>
      <c r="O796" s="36"/>
      <c r="P796" s="36"/>
      <c r="Q796" s="36"/>
      <c r="R796" s="36"/>
      <c r="S796" s="36"/>
      <c r="T796" s="36"/>
      <c r="U796" s="36"/>
    </row>
    <row r="797" spans="1:21">
      <c r="A797" s="74" t="s">
        <v>250</v>
      </c>
      <c r="B797" s="36">
        <v>342006</v>
      </c>
      <c r="C797" s="36">
        <v>41490</v>
      </c>
      <c r="D797" s="74" t="s">
        <v>620</v>
      </c>
      <c r="E797" s="36"/>
      <c r="F797" s="74"/>
      <c r="G797" s="74" t="s">
        <v>694</v>
      </c>
      <c r="H797" s="36"/>
      <c r="I797" s="36"/>
      <c r="J797" s="36"/>
      <c r="K797" s="36"/>
      <c r="L797" s="36"/>
      <c r="M797" s="36"/>
      <c r="N797" s="36"/>
      <c r="O797" s="36"/>
      <c r="P797" s="36"/>
      <c r="Q797" s="36"/>
      <c r="R797" s="36"/>
      <c r="S797" s="36"/>
      <c r="T797" s="36"/>
      <c r="U797" s="36"/>
    </row>
    <row r="798" spans="1:21">
      <c r="A798" s="74" t="s">
        <v>250</v>
      </c>
      <c r="B798" s="36">
        <v>341994</v>
      </c>
      <c r="C798" s="36">
        <v>41490</v>
      </c>
      <c r="D798" s="74" t="s">
        <v>620</v>
      </c>
      <c r="E798" s="36"/>
      <c r="F798" s="74"/>
      <c r="G798" s="74" t="s">
        <v>694</v>
      </c>
      <c r="H798" s="36"/>
      <c r="I798" s="36"/>
      <c r="J798" s="36"/>
      <c r="K798" s="36"/>
      <c r="L798" s="36"/>
      <c r="M798" s="36"/>
      <c r="N798" s="36"/>
      <c r="O798" s="36"/>
      <c r="P798" s="36"/>
      <c r="Q798" s="36"/>
      <c r="R798" s="36"/>
      <c r="S798" s="36"/>
      <c r="T798" s="36"/>
      <c r="U798" s="36"/>
    </row>
    <row r="799" spans="1:21">
      <c r="A799" s="74" t="s">
        <v>250</v>
      </c>
      <c r="B799" s="36">
        <v>342007</v>
      </c>
      <c r="C799" s="36">
        <v>41490</v>
      </c>
      <c r="D799" s="74" t="s">
        <v>620</v>
      </c>
      <c r="E799" s="36"/>
      <c r="F799" s="74"/>
      <c r="G799" s="74" t="s">
        <v>694</v>
      </c>
      <c r="H799" s="36"/>
      <c r="I799" s="36"/>
      <c r="J799" s="36"/>
      <c r="K799" s="36"/>
      <c r="L799" s="36"/>
      <c r="M799" s="36"/>
      <c r="N799" s="36"/>
      <c r="O799" s="36"/>
      <c r="P799" s="36"/>
      <c r="Q799" s="36"/>
      <c r="R799" s="36"/>
      <c r="S799" s="36"/>
      <c r="T799" s="36"/>
      <c r="U799" s="36"/>
    </row>
    <row r="800" spans="1:21">
      <c r="A800" s="74" t="s">
        <v>250</v>
      </c>
      <c r="B800" s="36">
        <v>341995</v>
      </c>
      <c r="C800" s="36">
        <v>41490</v>
      </c>
      <c r="D800" s="74" t="s">
        <v>620</v>
      </c>
      <c r="E800" s="36"/>
      <c r="F800" s="74"/>
      <c r="G800" s="74" t="s">
        <v>694</v>
      </c>
      <c r="H800" s="36"/>
      <c r="I800" s="36"/>
      <c r="J800" s="36"/>
      <c r="K800" s="36"/>
      <c r="L800" s="36"/>
      <c r="M800" s="36"/>
      <c r="N800" s="36"/>
      <c r="O800" s="36"/>
      <c r="P800" s="36"/>
      <c r="Q800" s="36"/>
      <c r="R800" s="36"/>
      <c r="S800" s="36"/>
      <c r="T800" s="36"/>
      <c r="U800" s="36"/>
    </row>
    <row r="801" spans="1:21">
      <c r="A801" s="74" t="s">
        <v>250</v>
      </c>
      <c r="B801" s="36">
        <v>342008</v>
      </c>
      <c r="C801" s="36">
        <v>41490</v>
      </c>
      <c r="D801" s="74" t="s">
        <v>620</v>
      </c>
      <c r="E801" s="36"/>
      <c r="F801" s="74"/>
      <c r="G801" s="74" t="s">
        <v>694</v>
      </c>
      <c r="H801" s="36"/>
      <c r="I801" s="36"/>
      <c r="J801" s="36"/>
      <c r="K801" s="36"/>
      <c r="L801" s="36"/>
      <c r="M801" s="36"/>
      <c r="N801" s="36"/>
      <c r="O801" s="36"/>
      <c r="P801" s="36"/>
      <c r="Q801" s="36"/>
      <c r="R801" s="36"/>
      <c r="S801" s="36"/>
      <c r="T801" s="36"/>
      <c r="U801" s="36"/>
    </row>
    <row r="802" spans="1:21">
      <c r="A802" s="74" t="s">
        <v>250</v>
      </c>
      <c r="B802" s="36">
        <v>341998</v>
      </c>
      <c r="C802" s="36">
        <v>41490</v>
      </c>
      <c r="D802" s="74" t="s">
        <v>620</v>
      </c>
      <c r="E802" s="36"/>
      <c r="F802" s="74"/>
      <c r="G802" s="74" t="s">
        <v>694</v>
      </c>
      <c r="H802" s="36"/>
      <c r="I802" s="36"/>
      <c r="J802" s="36"/>
      <c r="K802" s="36"/>
      <c r="L802" s="36"/>
      <c r="M802" s="36"/>
      <c r="N802" s="36"/>
      <c r="O802" s="36"/>
      <c r="P802" s="36"/>
      <c r="Q802" s="36"/>
      <c r="R802" s="36"/>
      <c r="S802" s="36"/>
      <c r="T802" s="36"/>
      <c r="U802" s="36"/>
    </row>
    <row r="803" spans="1:21">
      <c r="A803" s="74" t="s">
        <v>250</v>
      </c>
      <c r="B803" s="36">
        <v>342011</v>
      </c>
      <c r="C803" s="36">
        <v>41490</v>
      </c>
      <c r="D803" s="74" t="s">
        <v>620</v>
      </c>
      <c r="E803" s="36"/>
      <c r="F803" s="74"/>
      <c r="G803" s="74" t="s">
        <v>694</v>
      </c>
      <c r="H803" s="36"/>
      <c r="I803" s="36"/>
      <c r="J803" s="36"/>
      <c r="K803" s="36"/>
      <c r="L803" s="36"/>
      <c r="M803" s="36"/>
      <c r="N803" s="36"/>
      <c r="O803" s="36"/>
      <c r="P803" s="36"/>
      <c r="Q803" s="36"/>
      <c r="R803" s="36"/>
      <c r="S803" s="36"/>
      <c r="T803" s="36"/>
      <c r="U803" s="36"/>
    </row>
    <row r="804" spans="1:21">
      <c r="A804" s="74" t="s">
        <v>250</v>
      </c>
      <c r="B804" s="36">
        <v>341996</v>
      </c>
      <c r="C804" s="36">
        <v>41490</v>
      </c>
      <c r="D804" s="74" t="s">
        <v>620</v>
      </c>
      <c r="E804" s="36"/>
      <c r="F804" s="74"/>
      <c r="G804" s="74" t="s">
        <v>694</v>
      </c>
      <c r="H804" s="36"/>
      <c r="I804" s="36"/>
      <c r="J804" s="36"/>
      <c r="K804" s="36"/>
      <c r="L804" s="36"/>
      <c r="M804" s="36"/>
      <c r="N804" s="36"/>
      <c r="O804" s="36"/>
      <c r="P804" s="36"/>
      <c r="Q804" s="36"/>
      <c r="R804" s="36"/>
      <c r="S804" s="36"/>
      <c r="T804" s="36"/>
      <c r="U804" s="36"/>
    </row>
    <row r="805" spans="1:21">
      <c r="A805" s="74" t="s">
        <v>250</v>
      </c>
      <c r="B805" s="36">
        <v>342009</v>
      </c>
      <c r="C805" s="36">
        <v>41490</v>
      </c>
      <c r="D805" s="74" t="s">
        <v>620</v>
      </c>
      <c r="E805" s="36"/>
      <c r="F805" s="74"/>
      <c r="G805" s="74" t="s">
        <v>694</v>
      </c>
      <c r="H805" s="36"/>
      <c r="I805" s="36"/>
      <c r="J805" s="36"/>
      <c r="K805" s="36"/>
      <c r="L805" s="36"/>
      <c r="M805" s="36"/>
      <c r="N805" s="36"/>
      <c r="O805" s="36"/>
      <c r="P805" s="36"/>
      <c r="Q805" s="36"/>
      <c r="R805" s="36"/>
      <c r="S805" s="36"/>
      <c r="T805" s="36"/>
      <c r="U805" s="36"/>
    </row>
    <row r="806" spans="1:21">
      <c r="A806" s="74" t="s">
        <v>250</v>
      </c>
      <c r="B806" s="36">
        <v>341997</v>
      </c>
      <c r="C806" s="36">
        <v>41490</v>
      </c>
      <c r="D806" s="74" t="s">
        <v>620</v>
      </c>
      <c r="E806" s="36"/>
      <c r="F806" s="74"/>
      <c r="G806" s="74" t="s">
        <v>694</v>
      </c>
      <c r="H806" s="36"/>
      <c r="I806" s="36"/>
      <c r="J806" s="36"/>
      <c r="K806" s="36"/>
      <c r="L806" s="36"/>
      <c r="M806" s="36"/>
      <c r="N806" s="36"/>
      <c r="O806" s="36"/>
      <c r="P806" s="36"/>
      <c r="Q806" s="36"/>
      <c r="R806" s="36"/>
      <c r="S806" s="36"/>
      <c r="T806" s="36"/>
      <c r="U806" s="36"/>
    </row>
    <row r="807" spans="1:21">
      <c r="A807" s="74" t="s">
        <v>250</v>
      </c>
      <c r="B807" s="36">
        <v>342010</v>
      </c>
      <c r="C807" s="36">
        <v>41490</v>
      </c>
      <c r="D807" s="74" t="s">
        <v>620</v>
      </c>
      <c r="E807" s="36"/>
      <c r="F807" s="74"/>
      <c r="G807" s="74" t="s">
        <v>694</v>
      </c>
      <c r="H807" s="36"/>
      <c r="I807" s="36"/>
      <c r="J807" s="36"/>
      <c r="K807" s="36"/>
      <c r="L807" s="36"/>
      <c r="M807" s="36"/>
      <c r="N807" s="36"/>
      <c r="O807" s="36"/>
      <c r="P807" s="36"/>
      <c r="Q807" s="36"/>
      <c r="R807" s="36"/>
      <c r="S807" s="36"/>
      <c r="T807" s="36"/>
      <c r="U807" s="36"/>
    </row>
    <row r="808" spans="1:21">
      <c r="A808" s="74" t="s">
        <v>250</v>
      </c>
      <c r="B808" s="36">
        <v>341999</v>
      </c>
      <c r="C808" s="36">
        <v>41490</v>
      </c>
      <c r="D808" s="74" t="s">
        <v>620</v>
      </c>
      <c r="E808" s="36"/>
      <c r="F808" s="74"/>
      <c r="G808" s="74" t="s">
        <v>694</v>
      </c>
      <c r="H808" s="36"/>
      <c r="I808" s="36"/>
      <c r="J808" s="36"/>
      <c r="K808" s="36"/>
      <c r="L808" s="36"/>
      <c r="M808" s="36"/>
      <c r="N808" s="36"/>
      <c r="O808" s="36"/>
      <c r="P808" s="36"/>
      <c r="Q808" s="36"/>
      <c r="R808" s="36"/>
      <c r="S808" s="36"/>
      <c r="T808" s="36"/>
      <c r="U808" s="36"/>
    </row>
    <row r="809" spans="1:21">
      <c r="A809" s="74" t="s">
        <v>250</v>
      </c>
      <c r="B809" s="36">
        <v>342012</v>
      </c>
      <c r="C809" s="36">
        <v>41490</v>
      </c>
      <c r="D809" s="74" t="s">
        <v>620</v>
      </c>
      <c r="E809" s="36"/>
      <c r="F809" s="74"/>
      <c r="G809" s="74" t="s">
        <v>694</v>
      </c>
      <c r="H809" s="36"/>
      <c r="I809" s="36"/>
      <c r="J809" s="36"/>
      <c r="K809" s="36"/>
      <c r="L809" s="36"/>
      <c r="M809" s="36"/>
      <c r="N809" s="36"/>
      <c r="O809" s="36"/>
      <c r="P809" s="36"/>
      <c r="Q809" s="36"/>
      <c r="R809" s="36"/>
      <c r="S809" s="36"/>
      <c r="T809" s="36"/>
      <c r="U809" s="36"/>
    </row>
    <row r="810" spans="1:21">
      <c r="A810" s="74" t="s">
        <v>250</v>
      </c>
      <c r="B810" s="36">
        <v>341991</v>
      </c>
      <c r="C810" s="36">
        <v>41490</v>
      </c>
      <c r="D810" s="74" t="s">
        <v>620</v>
      </c>
      <c r="E810" s="36"/>
      <c r="F810" s="74"/>
      <c r="G810" s="74" t="s">
        <v>694</v>
      </c>
      <c r="H810" s="36"/>
      <c r="I810" s="36"/>
      <c r="J810" s="36"/>
      <c r="K810" s="36"/>
      <c r="L810" s="36"/>
      <c r="M810" s="36"/>
      <c r="N810" s="36"/>
      <c r="O810" s="36"/>
      <c r="P810" s="36"/>
      <c r="Q810" s="36"/>
      <c r="R810" s="36"/>
      <c r="S810" s="36"/>
      <c r="T810" s="36"/>
      <c r="U810" s="36"/>
    </row>
    <row r="811" spans="1:21">
      <c r="A811" s="74" t="s">
        <v>250</v>
      </c>
      <c r="B811" s="36">
        <v>342004</v>
      </c>
      <c r="C811" s="36">
        <v>41490</v>
      </c>
      <c r="D811" s="74" t="s">
        <v>620</v>
      </c>
      <c r="E811" s="36"/>
      <c r="F811" s="74"/>
      <c r="G811" s="74" t="s">
        <v>694</v>
      </c>
      <c r="H811" s="36"/>
      <c r="I811" s="36"/>
      <c r="J811" s="36"/>
      <c r="K811" s="36"/>
      <c r="L811" s="36"/>
      <c r="M811" s="36"/>
      <c r="N811" s="36"/>
      <c r="O811" s="36"/>
      <c r="P811" s="36"/>
      <c r="Q811" s="36"/>
      <c r="R811" s="36"/>
      <c r="S811" s="36"/>
      <c r="T811" s="36"/>
      <c r="U811" s="36"/>
    </row>
    <row r="812" spans="1:21">
      <c r="A812" s="74" t="s">
        <v>250</v>
      </c>
      <c r="B812" s="36">
        <v>342019</v>
      </c>
      <c r="C812" s="36">
        <v>41790</v>
      </c>
      <c r="D812" s="74" t="s">
        <v>618</v>
      </c>
      <c r="E812" s="36"/>
      <c r="F812" s="74"/>
      <c r="G812" s="74" t="s">
        <v>695</v>
      </c>
      <c r="H812" s="36"/>
      <c r="I812" s="36"/>
      <c r="J812" s="36"/>
      <c r="K812" s="36"/>
      <c r="L812" s="36"/>
      <c r="M812" s="36"/>
      <c r="N812" s="36"/>
      <c r="O812" s="36"/>
      <c r="P812" s="36"/>
      <c r="Q812" s="36"/>
      <c r="R812" s="36"/>
      <c r="S812" s="36"/>
      <c r="T812" s="36"/>
      <c r="U812" s="36"/>
    </row>
    <row r="813" spans="1:21">
      <c r="A813" s="74" t="s">
        <v>250</v>
      </c>
      <c r="B813" s="36">
        <v>342032</v>
      </c>
      <c r="C813" s="36">
        <v>41790</v>
      </c>
      <c r="D813" s="74" t="s">
        <v>618</v>
      </c>
      <c r="E813" s="36"/>
      <c r="F813" s="74"/>
      <c r="G813" s="74" t="s">
        <v>695</v>
      </c>
      <c r="H813" s="36"/>
      <c r="I813" s="36"/>
      <c r="J813" s="36"/>
      <c r="K813" s="36"/>
      <c r="L813" s="36"/>
      <c r="M813" s="36"/>
      <c r="N813" s="36"/>
      <c r="O813" s="36"/>
      <c r="P813" s="36"/>
      <c r="Q813" s="36"/>
      <c r="R813" s="36"/>
      <c r="S813" s="36"/>
      <c r="T813" s="36"/>
      <c r="U813" s="36"/>
    </row>
    <row r="814" spans="1:21">
      <c r="A814" s="74" t="s">
        <v>250</v>
      </c>
      <c r="B814" s="36">
        <v>342018</v>
      </c>
      <c r="C814" s="36">
        <v>41790</v>
      </c>
      <c r="D814" s="74" t="s">
        <v>618</v>
      </c>
      <c r="E814" s="36"/>
      <c r="F814" s="74"/>
      <c r="G814" s="74" t="s">
        <v>695</v>
      </c>
      <c r="H814" s="36"/>
      <c r="I814" s="36"/>
      <c r="J814" s="36"/>
      <c r="K814" s="36"/>
      <c r="L814" s="36"/>
      <c r="M814" s="36"/>
      <c r="N814" s="36"/>
      <c r="O814" s="36"/>
      <c r="P814" s="36"/>
      <c r="Q814" s="36"/>
      <c r="R814" s="36"/>
      <c r="S814" s="36"/>
      <c r="T814" s="36"/>
      <c r="U814" s="36"/>
    </row>
    <row r="815" spans="1:21">
      <c r="A815" s="74" t="s">
        <v>250</v>
      </c>
      <c r="B815" s="36">
        <v>342031</v>
      </c>
      <c r="C815" s="36">
        <v>41790</v>
      </c>
      <c r="D815" s="74" t="s">
        <v>618</v>
      </c>
      <c r="E815" s="36"/>
      <c r="F815" s="74"/>
      <c r="G815" s="74" t="s">
        <v>695</v>
      </c>
      <c r="H815" s="36"/>
      <c r="I815" s="36"/>
      <c r="J815" s="36"/>
      <c r="K815" s="36"/>
      <c r="L815" s="36"/>
      <c r="M815" s="36"/>
      <c r="N815" s="36"/>
      <c r="O815" s="36"/>
      <c r="P815" s="36"/>
      <c r="Q815" s="36"/>
      <c r="R815" s="36"/>
      <c r="S815" s="36"/>
      <c r="T815" s="36"/>
      <c r="U815" s="36"/>
    </row>
    <row r="816" spans="1:21">
      <c r="A816" s="74" t="s">
        <v>250</v>
      </c>
      <c r="B816" s="36">
        <v>342030</v>
      </c>
      <c r="C816" s="36">
        <v>41790</v>
      </c>
      <c r="D816" s="74" t="s">
        <v>618</v>
      </c>
      <c r="E816" s="36"/>
      <c r="F816" s="74"/>
      <c r="G816" s="74" t="s">
        <v>695</v>
      </c>
      <c r="H816" s="36"/>
      <c r="I816" s="36"/>
      <c r="J816" s="36"/>
      <c r="K816" s="36"/>
      <c r="L816" s="36"/>
      <c r="M816" s="36"/>
      <c r="N816" s="36"/>
      <c r="O816" s="36"/>
      <c r="P816" s="36"/>
      <c r="Q816" s="36"/>
      <c r="R816" s="36"/>
      <c r="S816" s="36"/>
      <c r="T816" s="36"/>
      <c r="U816" s="36"/>
    </row>
    <row r="817" spans="1:21">
      <c r="A817" s="74" t="s">
        <v>250</v>
      </c>
      <c r="B817" s="36">
        <v>342043</v>
      </c>
      <c r="C817" s="36">
        <v>41790</v>
      </c>
      <c r="D817" s="74" t="s">
        <v>618</v>
      </c>
      <c r="E817" s="36"/>
      <c r="F817" s="74"/>
      <c r="G817" s="74" t="s">
        <v>695</v>
      </c>
      <c r="H817" s="36"/>
      <c r="I817" s="36"/>
      <c r="J817" s="36"/>
      <c r="K817" s="36"/>
      <c r="L817" s="36"/>
      <c r="M817" s="36"/>
      <c r="N817" s="36"/>
      <c r="O817" s="36"/>
      <c r="P817" s="36"/>
      <c r="Q817" s="36"/>
      <c r="R817" s="36"/>
      <c r="S817" s="36"/>
      <c r="T817" s="36"/>
      <c r="U817" s="36"/>
    </row>
    <row r="818" spans="1:21">
      <c r="A818" s="74" t="s">
        <v>250</v>
      </c>
      <c r="B818" s="36">
        <v>342029</v>
      </c>
      <c r="C818" s="36">
        <v>41790</v>
      </c>
      <c r="D818" s="74" t="s">
        <v>618</v>
      </c>
      <c r="E818" s="36"/>
      <c r="F818" s="74"/>
      <c r="G818" s="74" t="s">
        <v>695</v>
      </c>
      <c r="H818" s="36"/>
      <c r="I818" s="36"/>
      <c r="J818" s="36"/>
      <c r="K818" s="36"/>
      <c r="L818" s="36"/>
      <c r="M818" s="36"/>
      <c r="N818" s="36"/>
      <c r="O818" s="36"/>
      <c r="P818" s="36"/>
      <c r="Q818" s="36"/>
      <c r="R818" s="36"/>
      <c r="S818" s="36"/>
      <c r="T818" s="36"/>
      <c r="U818" s="36"/>
    </row>
    <row r="819" spans="1:21">
      <c r="A819" s="74" t="s">
        <v>250</v>
      </c>
      <c r="B819" s="36">
        <v>342042</v>
      </c>
      <c r="C819" s="36">
        <v>41790</v>
      </c>
      <c r="D819" s="74" t="s">
        <v>618</v>
      </c>
      <c r="E819" s="36"/>
      <c r="F819" s="74"/>
      <c r="G819" s="74" t="s">
        <v>695</v>
      </c>
      <c r="H819" s="36"/>
      <c r="I819" s="36"/>
      <c r="J819" s="36"/>
      <c r="K819" s="36"/>
      <c r="L819" s="36"/>
      <c r="M819" s="36"/>
      <c r="N819" s="36"/>
      <c r="O819" s="36"/>
      <c r="P819" s="36"/>
      <c r="Q819" s="36"/>
      <c r="R819" s="36"/>
      <c r="S819" s="36"/>
      <c r="T819" s="36"/>
      <c r="U819" s="36"/>
    </row>
    <row r="820" spans="1:21">
      <c r="A820" s="74" t="s">
        <v>250</v>
      </c>
      <c r="B820" s="36">
        <v>342021</v>
      </c>
      <c r="C820" s="36">
        <v>41790</v>
      </c>
      <c r="D820" s="74" t="s">
        <v>618</v>
      </c>
      <c r="E820" s="36"/>
      <c r="F820" s="74"/>
      <c r="G820" s="74" t="s">
        <v>695</v>
      </c>
      <c r="H820" s="36"/>
      <c r="I820" s="36"/>
      <c r="J820" s="36"/>
      <c r="K820" s="36"/>
      <c r="L820" s="36"/>
      <c r="M820" s="36"/>
      <c r="N820" s="36"/>
      <c r="O820" s="36"/>
      <c r="P820" s="36"/>
      <c r="Q820" s="36"/>
      <c r="R820" s="36"/>
      <c r="S820" s="36"/>
      <c r="T820" s="36"/>
      <c r="U820" s="36"/>
    </row>
    <row r="821" spans="1:21">
      <c r="A821" s="74" t="s">
        <v>250</v>
      </c>
      <c r="B821" s="36">
        <v>342034</v>
      </c>
      <c r="C821" s="36">
        <v>41790</v>
      </c>
      <c r="D821" s="74" t="s">
        <v>618</v>
      </c>
      <c r="E821" s="36"/>
      <c r="F821" s="74"/>
      <c r="G821" s="74" t="s">
        <v>695</v>
      </c>
      <c r="H821" s="36"/>
      <c r="I821" s="36"/>
      <c r="J821" s="36"/>
      <c r="K821" s="36"/>
      <c r="L821" s="36"/>
      <c r="M821" s="36"/>
      <c r="N821" s="36"/>
      <c r="O821" s="36"/>
      <c r="P821" s="36"/>
      <c r="Q821" s="36"/>
      <c r="R821" s="36"/>
      <c r="S821" s="36"/>
      <c r="T821" s="36"/>
      <c r="U821" s="36"/>
    </row>
    <row r="822" spans="1:21">
      <c r="A822" s="74" t="s">
        <v>250</v>
      </c>
      <c r="B822" s="36">
        <v>342022</v>
      </c>
      <c r="C822" s="36">
        <v>41790</v>
      </c>
      <c r="D822" s="74" t="s">
        <v>618</v>
      </c>
      <c r="E822" s="36"/>
      <c r="F822" s="74"/>
      <c r="G822" s="74" t="s">
        <v>695</v>
      </c>
      <c r="H822" s="36"/>
      <c r="I822" s="36"/>
      <c r="J822" s="36"/>
      <c r="K822" s="36"/>
      <c r="L822" s="36"/>
      <c r="M822" s="36"/>
      <c r="N822" s="36"/>
      <c r="O822" s="36"/>
      <c r="P822" s="36"/>
      <c r="Q822" s="36"/>
      <c r="R822" s="36"/>
      <c r="S822" s="36"/>
      <c r="T822" s="36"/>
      <c r="U822" s="36"/>
    </row>
    <row r="823" spans="1:21">
      <c r="A823" s="74" t="s">
        <v>250</v>
      </c>
      <c r="B823" s="36">
        <v>342035</v>
      </c>
      <c r="C823" s="36">
        <v>41790</v>
      </c>
      <c r="D823" s="74" t="s">
        <v>618</v>
      </c>
      <c r="E823" s="36"/>
      <c r="F823" s="74"/>
      <c r="G823" s="74" t="s">
        <v>695</v>
      </c>
      <c r="H823" s="36"/>
      <c r="I823" s="36"/>
      <c r="J823" s="36"/>
      <c r="K823" s="36"/>
      <c r="L823" s="36"/>
      <c r="M823" s="36"/>
      <c r="N823" s="36"/>
      <c r="O823" s="36"/>
      <c r="P823" s="36"/>
      <c r="Q823" s="36"/>
      <c r="R823" s="36"/>
      <c r="S823" s="36"/>
      <c r="T823" s="36"/>
      <c r="U823" s="36"/>
    </row>
    <row r="824" spans="1:21">
      <c r="A824" s="74" t="s">
        <v>250</v>
      </c>
      <c r="B824" s="36">
        <v>342023</v>
      </c>
      <c r="C824" s="36">
        <v>41790</v>
      </c>
      <c r="D824" s="74" t="s">
        <v>618</v>
      </c>
      <c r="E824" s="36"/>
      <c r="F824" s="74"/>
      <c r="G824" s="74" t="s">
        <v>695</v>
      </c>
      <c r="H824" s="36"/>
      <c r="I824" s="36"/>
      <c r="J824" s="36"/>
      <c r="K824" s="36"/>
      <c r="L824" s="36"/>
      <c r="M824" s="36"/>
      <c r="N824" s="36"/>
      <c r="O824" s="36"/>
      <c r="P824" s="36"/>
      <c r="Q824" s="36"/>
      <c r="R824" s="36"/>
      <c r="S824" s="36"/>
      <c r="T824" s="36"/>
      <c r="U824" s="36"/>
    </row>
    <row r="825" spans="1:21">
      <c r="A825" s="74" t="s">
        <v>250</v>
      </c>
      <c r="B825" s="36">
        <v>342036</v>
      </c>
      <c r="C825" s="36">
        <v>41790</v>
      </c>
      <c r="D825" s="74" t="s">
        <v>618</v>
      </c>
      <c r="E825" s="36"/>
      <c r="F825" s="74"/>
      <c r="G825" s="74" t="s">
        <v>695</v>
      </c>
      <c r="H825" s="36"/>
      <c r="I825" s="36"/>
      <c r="J825" s="36"/>
      <c r="K825" s="36"/>
      <c r="L825" s="36"/>
      <c r="M825" s="36"/>
      <c r="N825" s="36"/>
      <c r="O825" s="36"/>
      <c r="P825" s="36"/>
      <c r="Q825" s="36"/>
      <c r="R825" s="36"/>
      <c r="S825" s="36"/>
      <c r="T825" s="36"/>
      <c r="U825" s="36"/>
    </row>
    <row r="826" spans="1:21">
      <c r="A826" s="74" t="s">
        <v>250</v>
      </c>
      <c r="B826" s="36">
        <v>342024</v>
      </c>
      <c r="C826" s="36">
        <v>41790</v>
      </c>
      <c r="D826" s="74" t="s">
        <v>618</v>
      </c>
      <c r="E826" s="36"/>
      <c r="F826" s="74"/>
      <c r="G826" s="74" t="s">
        <v>695</v>
      </c>
      <c r="H826" s="36"/>
      <c r="I826" s="36"/>
      <c r="J826" s="36"/>
      <c r="K826" s="36"/>
      <c r="L826" s="36"/>
      <c r="M826" s="36"/>
      <c r="N826" s="36"/>
      <c r="O826" s="36"/>
      <c r="P826" s="36"/>
      <c r="Q826" s="36"/>
      <c r="R826" s="36"/>
      <c r="S826" s="36"/>
      <c r="T826" s="36"/>
      <c r="U826" s="36"/>
    </row>
    <row r="827" spans="1:21">
      <c r="A827" s="74" t="s">
        <v>250</v>
      </c>
      <c r="B827" s="36">
        <v>342037</v>
      </c>
      <c r="C827" s="36">
        <v>41790</v>
      </c>
      <c r="D827" s="74" t="s">
        <v>618</v>
      </c>
      <c r="E827" s="36"/>
      <c r="F827" s="74"/>
      <c r="G827" s="74" t="s">
        <v>695</v>
      </c>
      <c r="H827" s="36"/>
      <c r="I827" s="36"/>
      <c r="J827" s="36"/>
      <c r="K827" s="36"/>
      <c r="L827" s="36"/>
      <c r="M827" s="36"/>
      <c r="N827" s="36"/>
      <c r="O827" s="36"/>
      <c r="P827" s="36"/>
      <c r="Q827" s="36"/>
      <c r="R827" s="36"/>
      <c r="S827" s="36"/>
      <c r="T827" s="36"/>
      <c r="U827" s="36"/>
    </row>
    <row r="828" spans="1:21">
      <c r="A828" s="74" t="s">
        <v>250</v>
      </c>
      <c r="B828" s="36">
        <v>342027</v>
      </c>
      <c r="C828" s="36">
        <v>41790</v>
      </c>
      <c r="D828" s="74" t="s">
        <v>618</v>
      </c>
      <c r="E828" s="36"/>
      <c r="F828" s="74"/>
      <c r="G828" s="74" t="s">
        <v>695</v>
      </c>
      <c r="H828" s="36"/>
      <c r="I828" s="36"/>
      <c r="J828" s="36"/>
      <c r="K828" s="36"/>
      <c r="L828" s="36"/>
      <c r="M828" s="36"/>
      <c r="N828" s="36"/>
      <c r="O828" s="36"/>
      <c r="P828" s="36"/>
      <c r="Q828" s="36"/>
      <c r="R828" s="36"/>
      <c r="S828" s="36"/>
      <c r="T828" s="36"/>
      <c r="U828" s="36"/>
    </row>
    <row r="829" spans="1:21">
      <c r="A829" s="74" t="s">
        <v>250</v>
      </c>
      <c r="B829" s="36">
        <v>342040</v>
      </c>
      <c r="C829" s="36">
        <v>41790</v>
      </c>
      <c r="D829" s="74" t="s">
        <v>618</v>
      </c>
      <c r="E829" s="36"/>
      <c r="F829" s="74"/>
      <c r="G829" s="74" t="s">
        <v>695</v>
      </c>
      <c r="H829" s="36"/>
      <c r="I829" s="36"/>
      <c r="J829" s="36"/>
      <c r="K829" s="36"/>
      <c r="L829" s="36"/>
      <c r="M829" s="36"/>
      <c r="N829" s="36"/>
      <c r="O829" s="36"/>
      <c r="P829" s="36"/>
      <c r="Q829" s="36"/>
      <c r="R829" s="36"/>
      <c r="S829" s="36"/>
      <c r="T829" s="36"/>
      <c r="U829" s="36"/>
    </row>
    <row r="830" spans="1:21">
      <c r="A830" s="74" t="s">
        <v>250</v>
      </c>
      <c r="B830" s="36">
        <v>342025</v>
      </c>
      <c r="C830" s="36">
        <v>41790</v>
      </c>
      <c r="D830" s="74" t="s">
        <v>618</v>
      </c>
      <c r="E830" s="36"/>
      <c r="F830" s="74"/>
      <c r="G830" s="74" t="s">
        <v>695</v>
      </c>
      <c r="H830" s="36"/>
      <c r="I830" s="36"/>
      <c r="J830" s="36"/>
      <c r="K830" s="36"/>
      <c r="L830" s="36"/>
      <c r="M830" s="36"/>
      <c r="N830" s="36"/>
      <c r="O830" s="36"/>
      <c r="P830" s="36"/>
      <c r="Q830" s="36"/>
      <c r="R830" s="36"/>
      <c r="S830" s="36"/>
      <c r="T830" s="36"/>
      <c r="U830" s="36"/>
    </row>
    <row r="831" spans="1:21">
      <c r="A831" s="74" t="s">
        <v>250</v>
      </c>
      <c r="B831" s="36">
        <v>342038</v>
      </c>
      <c r="C831" s="36">
        <v>41790</v>
      </c>
      <c r="D831" s="74" t="s">
        <v>618</v>
      </c>
      <c r="E831" s="36"/>
      <c r="F831" s="74"/>
      <c r="G831" s="74" t="s">
        <v>695</v>
      </c>
      <c r="H831" s="36"/>
      <c r="I831" s="36"/>
      <c r="J831" s="36"/>
      <c r="K831" s="36"/>
      <c r="L831" s="36"/>
      <c r="M831" s="36"/>
      <c r="N831" s="36"/>
      <c r="O831" s="36"/>
      <c r="P831" s="36"/>
      <c r="Q831" s="36"/>
      <c r="R831" s="36"/>
      <c r="S831" s="36"/>
      <c r="T831" s="36"/>
      <c r="U831" s="36"/>
    </row>
    <row r="832" spans="1:21">
      <c r="A832" s="74" t="s">
        <v>250</v>
      </c>
      <c r="B832" s="36">
        <v>342026</v>
      </c>
      <c r="C832" s="36">
        <v>41790</v>
      </c>
      <c r="D832" s="74" t="s">
        <v>618</v>
      </c>
      <c r="E832" s="36"/>
      <c r="F832" s="74"/>
      <c r="G832" s="74" t="s">
        <v>695</v>
      </c>
      <c r="H832" s="36"/>
      <c r="I832" s="36"/>
      <c r="J832" s="36"/>
      <c r="K832" s="36"/>
      <c r="L832" s="36"/>
      <c r="M832" s="36"/>
      <c r="N832" s="36"/>
      <c r="O832" s="36"/>
      <c r="P832" s="36"/>
      <c r="Q832" s="36"/>
      <c r="R832" s="36"/>
      <c r="S832" s="36"/>
      <c r="T832" s="36"/>
      <c r="U832" s="36"/>
    </row>
    <row r="833" spans="1:21">
      <c r="A833" s="74" t="s">
        <v>250</v>
      </c>
      <c r="B833" s="36">
        <v>342039</v>
      </c>
      <c r="C833" s="36">
        <v>41790</v>
      </c>
      <c r="D833" s="74" t="s">
        <v>618</v>
      </c>
      <c r="E833" s="36"/>
      <c r="F833" s="74"/>
      <c r="G833" s="74" t="s">
        <v>695</v>
      </c>
      <c r="H833" s="36"/>
      <c r="I833" s="36"/>
      <c r="J833" s="36"/>
      <c r="K833" s="36"/>
      <c r="L833" s="36"/>
      <c r="M833" s="36"/>
      <c r="N833" s="36"/>
      <c r="O833" s="36"/>
      <c r="P833" s="36"/>
      <c r="Q833" s="36"/>
      <c r="R833" s="36"/>
      <c r="S833" s="36"/>
      <c r="T833" s="36"/>
      <c r="U833" s="36"/>
    </row>
    <row r="834" spans="1:21">
      <c r="A834" s="74" t="s">
        <v>250</v>
      </c>
      <c r="B834" s="36">
        <v>342028</v>
      </c>
      <c r="C834" s="36">
        <v>41790</v>
      </c>
      <c r="D834" s="74" t="s">
        <v>618</v>
      </c>
      <c r="E834" s="36"/>
      <c r="F834" s="74"/>
      <c r="G834" s="74" t="s">
        <v>695</v>
      </c>
      <c r="H834" s="36"/>
      <c r="I834" s="36"/>
      <c r="J834" s="36"/>
      <c r="K834" s="36"/>
      <c r="L834" s="36"/>
      <c r="M834" s="36"/>
      <c r="N834" s="36"/>
      <c r="O834" s="36"/>
      <c r="P834" s="36"/>
      <c r="Q834" s="36"/>
      <c r="R834" s="36"/>
      <c r="S834" s="36"/>
      <c r="T834" s="36"/>
      <c r="U834" s="36"/>
    </row>
    <row r="835" spans="1:21">
      <c r="A835" s="74" t="s">
        <v>250</v>
      </c>
      <c r="B835" s="36">
        <v>342041</v>
      </c>
      <c r="C835" s="36">
        <v>41790</v>
      </c>
      <c r="D835" s="74" t="s">
        <v>618</v>
      </c>
      <c r="E835" s="36"/>
      <c r="F835" s="74"/>
      <c r="G835" s="74" t="s">
        <v>695</v>
      </c>
      <c r="H835" s="36"/>
      <c r="I835" s="36"/>
      <c r="J835" s="36"/>
      <c r="K835" s="36"/>
      <c r="L835" s="36"/>
      <c r="M835" s="36"/>
      <c r="N835" s="36"/>
      <c r="O835" s="36"/>
      <c r="P835" s="36"/>
      <c r="Q835" s="36"/>
      <c r="R835" s="36"/>
      <c r="S835" s="36"/>
      <c r="T835" s="36"/>
      <c r="U835" s="36"/>
    </row>
    <row r="836" spans="1:21">
      <c r="A836" s="74" t="s">
        <v>250</v>
      </c>
      <c r="B836" s="36">
        <v>342020</v>
      </c>
      <c r="C836" s="36">
        <v>41790</v>
      </c>
      <c r="D836" s="74" t="s">
        <v>618</v>
      </c>
      <c r="E836" s="36"/>
      <c r="F836" s="74"/>
      <c r="G836" s="74" t="s">
        <v>695</v>
      </c>
      <c r="H836" s="36"/>
      <c r="I836" s="36"/>
      <c r="J836" s="36"/>
      <c r="K836" s="36"/>
      <c r="L836" s="36"/>
      <c r="M836" s="36"/>
      <c r="N836" s="36"/>
      <c r="O836" s="36"/>
      <c r="P836" s="36"/>
      <c r="Q836" s="36"/>
      <c r="R836" s="36"/>
      <c r="S836" s="36"/>
      <c r="T836" s="36"/>
      <c r="U836" s="36"/>
    </row>
    <row r="837" spans="1:21">
      <c r="A837" s="74" t="s">
        <v>250</v>
      </c>
      <c r="B837" s="36">
        <v>342033</v>
      </c>
      <c r="C837" s="36">
        <v>41790</v>
      </c>
      <c r="D837" s="74" t="s">
        <v>618</v>
      </c>
      <c r="E837" s="36"/>
      <c r="F837" s="74"/>
      <c r="G837" s="74" t="s">
        <v>695</v>
      </c>
      <c r="H837" s="36"/>
      <c r="I837" s="36"/>
      <c r="J837" s="36"/>
      <c r="K837" s="36"/>
      <c r="L837" s="36"/>
      <c r="M837" s="36"/>
      <c r="N837" s="36"/>
      <c r="O837" s="36"/>
      <c r="P837" s="36"/>
      <c r="Q837" s="36"/>
      <c r="R837" s="36"/>
      <c r="S837" s="36"/>
      <c r="T837" s="36"/>
      <c r="U837" s="36"/>
    </row>
    <row r="838" spans="1:21">
      <c r="A838" s="74" t="s">
        <v>250</v>
      </c>
      <c r="B838" s="36" t="s">
        <v>0</v>
      </c>
      <c r="C838" s="36"/>
      <c r="D838" s="74"/>
      <c r="E838" s="36"/>
      <c r="F838" s="74"/>
      <c r="G838" s="74" t="s">
        <v>603</v>
      </c>
      <c r="H838" s="36"/>
      <c r="I838" s="36"/>
      <c r="J838" s="36"/>
      <c r="K838" s="36"/>
      <c r="L838" s="36"/>
      <c r="M838" s="36"/>
      <c r="N838" s="36"/>
      <c r="O838" s="36"/>
      <c r="P838" s="36"/>
      <c r="Q838" s="36"/>
      <c r="R838" s="36"/>
      <c r="S838" s="36"/>
      <c r="T838" s="36"/>
      <c r="U838" s="36"/>
    </row>
    <row r="839" spans="1:21">
      <c r="A839" s="74" t="s">
        <v>250</v>
      </c>
      <c r="B839" s="36">
        <v>225793</v>
      </c>
      <c r="C839" s="36">
        <v>1990</v>
      </c>
      <c r="D839" s="74" t="s">
        <v>505</v>
      </c>
      <c r="E839" s="36"/>
      <c r="F839" s="74"/>
      <c r="G839" s="74" t="s">
        <v>662</v>
      </c>
      <c r="H839" s="36"/>
      <c r="I839" s="36"/>
      <c r="J839" s="36"/>
      <c r="K839" s="36"/>
      <c r="L839" s="36"/>
      <c r="M839" s="36"/>
      <c r="N839" s="36"/>
      <c r="O839" s="36"/>
      <c r="P839" s="36"/>
      <c r="Q839" s="36"/>
      <c r="R839" s="36"/>
      <c r="S839" s="36"/>
      <c r="T839" s="36"/>
      <c r="U839" s="36"/>
    </row>
    <row r="840" spans="1:21">
      <c r="A840" s="74" t="s">
        <v>250</v>
      </c>
      <c r="B840" s="36">
        <v>181920</v>
      </c>
      <c r="C840" s="36">
        <v>1849</v>
      </c>
      <c r="D840" s="74" t="s">
        <v>504</v>
      </c>
      <c r="E840" s="36"/>
      <c r="F840" s="74"/>
      <c r="G840" s="74" t="s">
        <v>663</v>
      </c>
      <c r="H840" s="36"/>
      <c r="I840" s="36"/>
      <c r="J840" s="36"/>
      <c r="K840" s="36"/>
      <c r="L840" s="36"/>
      <c r="M840" s="36"/>
      <c r="N840" s="36"/>
      <c r="O840" s="36"/>
      <c r="P840" s="36"/>
      <c r="Q840" s="36"/>
      <c r="R840" s="36"/>
      <c r="S840" s="36"/>
      <c r="T840" s="36"/>
      <c r="U840" s="36"/>
    </row>
    <row r="841" spans="1:21">
      <c r="A841" s="74" t="s">
        <v>250</v>
      </c>
      <c r="B841" s="36">
        <v>201301</v>
      </c>
      <c r="C841" s="36">
        <v>1890</v>
      </c>
      <c r="D841" s="74" t="s">
        <v>516</v>
      </c>
      <c r="E841" s="36"/>
      <c r="F841" s="74"/>
      <c r="G841" s="74" t="s">
        <v>664</v>
      </c>
      <c r="H841" s="36"/>
      <c r="I841" s="36"/>
      <c r="J841" s="36"/>
      <c r="K841" s="36"/>
      <c r="L841" s="36"/>
      <c r="M841" s="36"/>
      <c r="N841" s="36"/>
      <c r="O841" s="36"/>
      <c r="P841" s="36"/>
      <c r="Q841" s="36"/>
      <c r="R841" s="36"/>
      <c r="S841" s="36"/>
      <c r="T841" s="36"/>
      <c r="U841" s="36"/>
    </row>
    <row r="842" spans="1:21">
      <c r="A842" s="74" t="s">
        <v>250</v>
      </c>
      <c r="B842" s="36">
        <v>201302</v>
      </c>
      <c r="C842" s="36">
        <v>2190</v>
      </c>
      <c r="D842" s="74" t="s">
        <v>515</v>
      </c>
      <c r="E842" s="36"/>
      <c r="F842" s="74"/>
      <c r="G842" s="74" t="s">
        <v>665</v>
      </c>
      <c r="H842" s="36"/>
      <c r="I842" s="36"/>
      <c r="J842" s="36"/>
      <c r="K842" s="36"/>
      <c r="L842" s="36"/>
      <c r="M842" s="36"/>
      <c r="N842" s="36"/>
      <c r="O842" s="36"/>
      <c r="P842" s="36"/>
      <c r="Q842" s="36"/>
      <c r="R842" s="36"/>
      <c r="S842" s="36"/>
      <c r="T842" s="36"/>
      <c r="U842" s="36"/>
    </row>
    <row r="843" spans="1:21">
      <c r="A843" s="74" t="s">
        <v>250</v>
      </c>
      <c r="B843" s="36">
        <v>212893</v>
      </c>
      <c r="C843" s="36">
        <v>3190</v>
      </c>
      <c r="D843" s="74" t="s">
        <v>506</v>
      </c>
      <c r="E843" s="36"/>
      <c r="F843" s="74"/>
      <c r="G843" s="74" t="s">
        <v>666</v>
      </c>
      <c r="H843" s="36"/>
      <c r="I843" s="36"/>
      <c r="J843" s="36"/>
      <c r="K843" s="36"/>
      <c r="L843" s="36"/>
      <c r="M843" s="36"/>
      <c r="N843" s="36"/>
      <c r="O843" s="36"/>
      <c r="P843" s="36"/>
      <c r="Q843" s="36"/>
      <c r="R843" s="36"/>
      <c r="S843" s="36"/>
      <c r="T843" s="36"/>
      <c r="U843" s="36"/>
    </row>
    <row r="844" spans="1:21">
      <c r="A844" s="74" t="s">
        <v>250</v>
      </c>
      <c r="B844" s="36">
        <v>212888</v>
      </c>
      <c r="C844" s="36">
        <v>2690</v>
      </c>
      <c r="D844" s="74" t="s">
        <v>513</v>
      </c>
      <c r="E844" s="36"/>
      <c r="F844" s="74"/>
      <c r="G844" s="74" t="s">
        <v>667</v>
      </c>
      <c r="H844" s="36"/>
      <c r="I844" s="36"/>
      <c r="J844" s="36"/>
      <c r="K844" s="36"/>
      <c r="L844" s="36"/>
      <c r="M844" s="36"/>
      <c r="N844" s="36"/>
      <c r="O844" s="36"/>
      <c r="P844" s="36"/>
      <c r="Q844" s="36"/>
      <c r="R844" s="36"/>
      <c r="S844" s="36"/>
      <c r="T844" s="36"/>
      <c r="U844" s="36"/>
    </row>
    <row r="845" spans="1:21">
      <c r="A845" s="74" t="s">
        <v>250</v>
      </c>
      <c r="B845" s="36">
        <v>212890</v>
      </c>
      <c r="C845" s="36">
        <v>2690</v>
      </c>
      <c r="D845" s="74" t="s">
        <v>512</v>
      </c>
      <c r="E845" s="36"/>
      <c r="F845" s="74"/>
      <c r="G845" s="74" t="s">
        <v>667</v>
      </c>
      <c r="H845" s="36"/>
      <c r="I845" s="36"/>
      <c r="J845" s="36"/>
      <c r="K845" s="36"/>
      <c r="L845" s="36"/>
      <c r="M845" s="36"/>
      <c r="N845" s="36"/>
      <c r="O845" s="36"/>
      <c r="P845" s="36"/>
      <c r="Q845" s="36"/>
      <c r="R845" s="36"/>
      <c r="S845" s="36"/>
      <c r="T845" s="36"/>
      <c r="U845" s="36"/>
    </row>
    <row r="846" spans="1:21">
      <c r="A846" s="74" t="s">
        <v>250</v>
      </c>
      <c r="B846" s="36">
        <v>212886</v>
      </c>
      <c r="C846" s="36">
        <v>2690</v>
      </c>
      <c r="D846" s="74" t="s">
        <v>514</v>
      </c>
      <c r="E846" s="36"/>
      <c r="F846" s="74"/>
      <c r="G846" s="74" t="s">
        <v>667</v>
      </c>
      <c r="H846" s="36"/>
      <c r="I846" s="36"/>
      <c r="J846" s="36"/>
      <c r="K846" s="36"/>
      <c r="L846" s="36"/>
      <c r="M846" s="36"/>
      <c r="N846" s="36"/>
      <c r="O846" s="36"/>
      <c r="P846" s="36"/>
      <c r="Q846" s="36"/>
      <c r="R846" s="36"/>
      <c r="S846" s="36"/>
      <c r="T846" s="36"/>
      <c r="U846" s="36"/>
    </row>
    <row r="847" spans="1:21">
      <c r="A847" s="74" t="s">
        <v>250</v>
      </c>
      <c r="B847" s="36">
        <v>212885</v>
      </c>
      <c r="C847" s="36">
        <v>2890</v>
      </c>
      <c r="D847" s="74" t="s">
        <v>508</v>
      </c>
      <c r="E847" s="36"/>
      <c r="F847" s="74"/>
      <c r="G847" s="74" t="s">
        <v>668</v>
      </c>
      <c r="H847" s="36"/>
      <c r="I847" s="36"/>
      <c r="J847" s="36"/>
      <c r="K847" s="36"/>
      <c r="L847" s="36"/>
      <c r="M847" s="36"/>
      <c r="N847" s="36"/>
      <c r="O847" s="36"/>
      <c r="P847" s="36"/>
      <c r="Q847" s="36"/>
      <c r="R847" s="36"/>
      <c r="S847" s="36"/>
      <c r="T847" s="36"/>
      <c r="U847" s="36"/>
    </row>
    <row r="848" spans="1:21">
      <c r="A848" s="74" t="s">
        <v>250</v>
      </c>
      <c r="B848" s="36">
        <v>212884</v>
      </c>
      <c r="C848" s="36"/>
      <c r="D848" s="74"/>
      <c r="E848" s="36"/>
      <c r="F848" s="74"/>
      <c r="G848" s="74" t="s">
        <v>661</v>
      </c>
      <c r="H848" s="36"/>
      <c r="I848" s="36"/>
      <c r="J848" s="36"/>
      <c r="K848" s="36"/>
      <c r="L848" s="36"/>
      <c r="M848" s="36"/>
      <c r="N848" s="36"/>
      <c r="O848" s="36"/>
      <c r="P848" s="36"/>
      <c r="Q848" s="36"/>
      <c r="R848" s="36"/>
      <c r="S848" s="36"/>
      <c r="T848" s="36"/>
      <c r="U848" s="36"/>
    </row>
    <row r="849" spans="1:21">
      <c r="A849" s="74" t="s">
        <v>250</v>
      </c>
      <c r="B849" s="36">
        <v>212892</v>
      </c>
      <c r="C849" s="36">
        <v>3790</v>
      </c>
      <c r="D849" s="74" t="s">
        <v>507</v>
      </c>
      <c r="E849" s="36"/>
      <c r="F849" s="74"/>
      <c r="G849" s="74" t="s">
        <v>669</v>
      </c>
      <c r="H849" s="36"/>
      <c r="I849" s="36"/>
      <c r="J849" s="36"/>
      <c r="K849" s="36"/>
      <c r="L849" s="36"/>
      <c r="M849" s="36"/>
      <c r="N849" s="36"/>
      <c r="O849" s="36"/>
      <c r="P849" s="36"/>
      <c r="Q849" s="36"/>
      <c r="R849" s="36"/>
      <c r="S849" s="36"/>
      <c r="T849" s="36"/>
      <c r="U849" s="36"/>
    </row>
    <row r="850" spans="1:21">
      <c r="A850" s="74" t="s">
        <v>250</v>
      </c>
      <c r="B850" s="36">
        <v>212887</v>
      </c>
      <c r="C850" s="36">
        <v>3290</v>
      </c>
      <c r="D850" s="74" t="s">
        <v>510</v>
      </c>
      <c r="E850" s="36"/>
      <c r="F850" s="74"/>
      <c r="G850" s="74" t="s">
        <v>670</v>
      </c>
      <c r="H850" s="36"/>
      <c r="I850" s="36"/>
      <c r="J850" s="36"/>
      <c r="K850" s="36"/>
      <c r="L850" s="36"/>
      <c r="M850" s="36"/>
      <c r="N850" s="36"/>
      <c r="O850" s="36"/>
      <c r="P850" s="36"/>
      <c r="Q850" s="36"/>
      <c r="R850" s="36"/>
      <c r="S850" s="36"/>
      <c r="T850" s="36"/>
      <c r="U850" s="36"/>
    </row>
    <row r="851" spans="1:21">
      <c r="A851" s="74" t="s">
        <v>250</v>
      </c>
      <c r="B851" s="36">
        <v>212891</v>
      </c>
      <c r="C851" s="36">
        <v>3290</v>
      </c>
      <c r="D851" s="74" t="s">
        <v>509</v>
      </c>
      <c r="E851" s="36"/>
      <c r="F851" s="74"/>
      <c r="G851" s="74" t="s">
        <v>670</v>
      </c>
      <c r="H851" s="36"/>
      <c r="I851" s="36"/>
      <c r="J851" s="36"/>
      <c r="K851" s="36"/>
      <c r="L851" s="36"/>
      <c r="M851" s="36"/>
      <c r="N851" s="36"/>
      <c r="O851" s="36"/>
      <c r="P851" s="36"/>
      <c r="Q851" s="36"/>
      <c r="R851" s="36"/>
      <c r="S851" s="36"/>
      <c r="T851" s="36"/>
      <c r="U851" s="36"/>
    </row>
    <row r="852" spans="1:21">
      <c r="A852" s="74" t="s">
        <v>250</v>
      </c>
      <c r="B852" s="36">
        <v>158824</v>
      </c>
      <c r="C852" s="36">
        <v>4290</v>
      </c>
      <c r="D852" s="74" t="s">
        <v>517</v>
      </c>
      <c r="E852" s="36"/>
      <c r="F852" s="74"/>
      <c r="G852" s="74" t="s">
        <v>671</v>
      </c>
      <c r="H852" s="36"/>
      <c r="I852" s="36"/>
      <c r="J852" s="36"/>
      <c r="K852" s="36"/>
      <c r="L852" s="36"/>
      <c r="M852" s="36"/>
      <c r="N852" s="36"/>
      <c r="O852" s="36"/>
      <c r="P852" s="36"/>
      <c r="Q852" s="36"/>
      <c r="R852" s="36"/>
      <c r="S852" s="36"/>
      <c r="T852" s="36"/>
      <c r="U852" s="36"/>
    </row>
    <row r="853" spans="1:21">
      <c r="A853" s="74" t="s">
        <v>250</v>
      </c>
      <c r="B853" s="36">
        <v>158823</v>
      </c>
      <c r="C853" s="36">
        <v>4290</v>
      </c>
      <c r="D853" s="74" t="s">
        <v>518</v>
      </c>
      <c r="E853" s="36"/>
      <c r="F853" s="74"/>
      <c r="G853" s="74" t="s">
        <v>671</v>
      </c>
      <c r="H853" s="36"/>
      <c r="I853" s="36"/>
      <c r="J853" s="36"/>
      <c r="K853" s="36"/>
      <c r="L853" s="36"/>
      <c r="M853" s="36"/>
      <c r="N853" s="36"/>
      <c r="O853" s="36"/>
      <c r="P853" s="36"/>
      <c r="Q853" s="36"/>
      <c r="R853" s="36"/>
      <c r="S853" s="36"/>
      <c r="T853" s="36"/>
      <c r="U853" s="36"/>
    </row>
    <row r="854" spans="1:21">
      <c r="A854" s="74" t="s">
        <v>250</v>
      </c>
      <c r="B854" s="36">
        <v>158825</v>
      </c>
      <c r="C854" s="36">
        <v>4290</v>
      </c>
      <c r="D854" s="74" t="s">
        <v>519</v>
      </c>
      <c r="E854" s="36"/>
      <c r="F854" s="74"/>
      <c r="G854" s="74" t="s">
        <v>671</v>
      </c>
      <c r="H854" s="36"/>
      <c r="I854" s="36"/>
      <c r="J854" s="36"/>
      <c r="K854" s="36"/>
      <c r="L854" s="36"/>
      <c r="M854" s="36"/>
      <c r="N854" s="36"/>
      <c r="O854" s="36"/>
      <c r="P854" s="36"/>
      <c r="Q854" s="36"/>
      <c r="R854" s="36"/>
      <c r="S854" s="36"/>
      <c r="T854" s="36"/>
      <c r="U854" s="36"/>
    </row>
    <row r="855" spans="1:21">
      <c r="A855" s="74" t="s">
        <v>250</v>
      </c>
      <c r="B855" s="36">
        <v>158826</v>
      </c>
      <c r="C855" s="36">
        <v>4290</v>
      </c>
      <c r="D855" s="74" t="s">
        <v>520</v>
      </c>
      <c r="E855" s="36"/>
      <c r="F855" s="74"/>
      <c r="G855" s="74" t="s">
        <v>671</v>
      </c>
      <c r="H855" s="36"/>
      <c r="I855" s="36"/>
      <c r="J855" s="36"/>
      <c r="K855" s="36"/>
      <c r="L855" s="36"/>
      <c r="M855" s="36"/>
      <c r="N855" s="36"/>
      <c r="O855" s="36"/>
      <c r="P855" s="36"/>
      <c r="Q855" s="36"/>
      <c r="R855" s="36"/>
      <c r="S855" s="36"/>
      <c r="T855" s="36"/>
      <c r="U855" s="36"/>
    </row>
    <row r="856" spans="1:21">
      <c r="A856" s="74" t="s">
        <v>250</v>
      </c>
      <c r="B856" s="36">
        <v>163999</v>
      </c>
      <c r="C856" s="36">
        <v>7290</v>
      </c>
      <c r="D856" s="74" t="s">
        <v>636</v>
      </c>
      <c r="E856" s="36"/>
      <c r="F856" s="74"/>
      <c r="G856" s="74" t="s">
        <v>672</v>
      </c>
      <c r="H856" s="36"/>
      <c r="I856" s="36"/>
      <c r="J856" s="36"/>
      <c r="K856" s="36"/>
      <c r="L856" s="36"/>
      <c r="M856" s="36"/>
      <c r="N856" s="36"/>
      <c r="O856" s="36"/>
      <c r="P856" s="36"/>
      <c r="Q856" s="36"/>
      <c r="R856" s="36"/>
      <c r="S856" s="36"/>
      <c r="T856" s="36"/>
      <c r="U856" s="36"/>
    </row>
    <row r="857" spans="1:21">
      <c r="A857" s="74" t="s">
        <v>250</v>
      </c>
      <c r="B857" s="36">
        <v>193593</v>
      </c>
      <c r="C857" s="36">
        <v>5090</v>
      </c>
      <c r="D857" s="74" t="s">
        <v>521</v>
      </c>
      <c r="E857" s="36"/>
      <c r="F857" s="74"/>
      <c r="G857" s="74" t="s">
        <v>673</v>
      </c>
      <c r="H857" s="36"/>
      <c r="I857" s="36"/>
      <c r="J857" s="36"/>
      <c r="K857" s="36"/>
      <c r="L857" s="36"/>
      <c r="M857" s="36"/>
      <c r="N857" s="36"/>
      <c r="O857" s="36"/>
      <c r="P857" s="36"/>
      <c r="Q857" s="36"/>
      <c r="R857" s="36"/>
      <c r="S857" s="36"/>
      <c r="T857" s="36"/>
      <c r="U857" s="36"/>
    </row>
    <row r="858" spans="1:21">
      <c r="A858" s="74" t="s">
        <v>250</v>
      </c>
      <c r="B858" s="36">
        <v>163986</v>
      </c>
      <c r="C858" s="36"/>
      <c r="D858" s="74"/>
      <c r="E858" s="36"/>
      <c r="F858" s="74"/>
      <c r="G858" s="74" t="s">
        <v>661</v>
      </c>
      <c r="H858" s="36"/>
      <c r="I858" s="36"/>
      <c r="J858" s="36"/>
      <c r="K858" s="36"/>
      <c r="L858" s="36"/>
      <c r="M858" s="36"/>
      <c r="N858" s="36"/>
      <c r="O858" s="36"/>
      <c r="P858" s="36"/>
      <c r="Q858" s="36"/>
      <c r="R858" s="36"/>
      <c r="S858" s="36"/>
      <c r="T858" s="36"/>
      <c r="U858" s="36"/>
    </row>
    <row r="859" spans="1:21">
      <c r="A859" s="74" t="s">
        <v>250</v>
      </c>
      <c r="B859" s="36">
        <v>163983</v>
      </c>
      <c r="C859" s="36"/>
      <c r="D859" s="74"/>
      <c r="E859" s="36"/>
      <c r="F859" s="74"/>
      <c r="G859" s="74" t="s">
        <v>661</v>
      </c>
      <c r="H859" s="36"/>
      <c r="I859" s="36"/>
      <c r="J859" s="36"/>
      <c r="K859" s="36"/>
      <c r="L859" s="36"/>
      <c r="M859" s="36"/>
      <c r="N859" s="36"/>
      <c r="O859" s="36"/>
      <c r="P859" s="36"/>
      <c r="Q859" s="36"/>
      <c r="R859" s="36"/>
      <c r="S859" s="36"/>
      <c r="T859" s="36"/>
      <c r="U859" s="36"/>
    </row>
    <row r="860" spans="1:21">
      <c r="A860" s="74" t="s">
        <v>250</v>
      </c>
      <c r="B860" s="36">
        <v>163989</v>
      </c>
      <c r="C860" s="36">
        <v>7890</v>
      </c>
      <c r="D860" s="74" t="s">
        <v>635</v>
      </c>
      <c r="E860" s="36"/>
      <c r="F860" s="74"/>
      <c r="G860" s="74" t="s">
        <v>674</v>
      </c>
      <c r="H860" s="36"/>
      <c r="I860" s="36"/>
      <c r="J860" s="36"/>
      <c r="K860" s="36"/>
      <c r="L860" s="36"/>
      <c r="M860" s="36"/>
      <c r="N860" s="36"/>
      <c r="O860" s="36"/>
      <c r="P860" s="36"/>
      <c r="Q860" s="36"/>
      <c r="R860" s="36"/>
      <c r="S860" s="36"/>
      <c r="T860" s="36"/>
      <c r="U860" s="36"/>
    </row>
    <row r="861" spans="1:21">
      <c r="A861" s="74" t="s">
        <v>250</v>
      </c>
      <c r="B861" s="36">
        <v>163991</v>
      </c>
      <c r="C861" s="36">
        <v>7890</v>
      </c>
      <c r="D861" s="74" t="s">
        <v>634</v>
      </c>
      <c r="E861" s="36"/>
      <c r="F861" s="74"/>
      <c r="G861" s="74" t="s">
        <v>674</v>
      </c>
      <c r="H861" s="36"/>
      <c r="I861" s="36"/>
      <c r="J861" s="36"/>
      <c r="K861" s="36"/>
      <c r="L861" s="36"/>
      <c r="M861" s="36"/>
      <c r="N861" s="36"/>
      <c r="O861" s="36"/>
      <c r="P861" s="36"/>
      <c r="Q861" s="36"/>
      <c r="R861" s="36"/>
      <c r="S861" s="36"/>
      <c r="T861" s="36"/>
      <c r="U861" s="36"/>
    </row>
    <row r="862" spans="1:21">
      <c r="A862" s="74" t="s">
        <v>250</v>
      </c>
      <c r="B862" s="36">
        <v>163993</v>
      </c>
      <c r="C862" s="36">
        <v>7890</v>
      </c>
      <c r="D862" s="74" t="s">
        <v>629</v>
      </c>
      <c r="E862" s="36"/>
      <c r="F862" s="74"/>
      <c r="G862" s="74" t="s">
        <v>674</v>
      </c>
      <c r="H862" s="36"/>
      <c r="I862" s="36"/>
      <c r="J862" s="36"/>
      <c r="K862" s="36"/>
      <c r="L862" s="36"/>
      <c r="M862" s="36"/>
      <c r="N862" s="36"/>
      <c r="O862" s="36"/>
      <c r="P862" s="36"/>
      <c r="Q862" s="36"/>
      <c r="R862" s="36"/>
      <c r="S862" s="36"/>
      <c r="T862" s="36"/>
      <c r="U862" s="36"/>
    </row>
    <row r="863" spans="1:21">
      <c r="A863" s="74" t="s">
        <v>250</v>
      </c>
      <c r="B863" s="36">
        <v>138626</v>
      </c>
      <c r="C863" s="36">
        <v>6790</v>
      </c>
      <c r="D863" s="74" t="s">
        <v>522</v>
      </c>
      <c r="E863" s="36"/>
      <c r="F863" s="74"/>
      <c r="G863" s="74" t="s">
        <v>675</v>
      </c>
      <c r="H863" s="36"/>
      <c r="I863" s="36"/>
      <c r="J863" s="36"/>
      <c r="K863" s="36"/>
      <c r="L863" s="36"/>
      <c r="M863" s="36"/>
      <c r="N863" s="36"/>
      <c r="O863" s="36"/>
      <c r="P863" s="36"/>
      <c r="Q863" s="36"/>
      <c r="R863" s="36"/>
      <c r="S863" s="36"/>
      <c r="T863" s="36"/>
      <c r="U863" s="36"/>
    </row>
    <row r="864" spans="1:21">
      <c r="A864" s="74" t="s">
        <v>250</v>
      </c>
      <c r="B864" s="36">
        <v>212269</v>
      </c>
      <c r="C864" s="36">
        <v>8790</v>
      </c>
      <c r="D864" s="74" t="s">
        <v>523</v>
      </c>
      <c r="E864" s="36"/>
      <c r="F864" s="74"/>
      <c r="G864" s="74" t="s">
        <v>676</v>
      </c>
      <c r="H864" s="36"/>
      <c r="I864" s="36"/>
      <c r="J864" s="36"/>
      <c r="K864" s="36"/>
      <c r="L864" s="36"/>
      <c r="M864" s="36"/>
      <c r="N864" s="36"/>
      <c r="O864" s="36"/>
      <c r="P864" s="36"/>
      <c r="Q864" s="36"/>
      <c r="R864" s="36"/>
      <c r="S864" s="36"/>
      <c r="T864" s="36"/>
      <c r="U864" s="36"/>
    </row>
    <row r="865" spans="1:21">
      <c r="A865" s="74" t="s">
        <v>250</v>
      </c>
      <c r="B865" s="36">
        <v>212268</v>
      </c>
      <c r="C865" s="36">
        <v>8790</v>
      </c>
      <c r="D865" s="74" t="s">
        <v>524</v>
      </c>
      <c r="E865" s="36"/>
      <c r="F865" s="74"/>
      <c r="G865" s="74" t="s">
        <v>676</v>
      </c>
      <c r="H865" s="36"/>
      <c r="I865" s="36"/>
      <c r="J865" s="36"/>
      <c r="K865" s="36"/>
      <c r="L865" s="36"/>
      <c r="M865" s="36"/>
      <c r="N865" s="36"/>
      <c r="O865" s="36"/>
      <c r="P865" s="36"/>
      <c r="Q865" s="36"/>
      <c r="R865" s="36"/>
      <c r="S865" s="36"/>
      <c r="T865" s="36"/>
      <c r="U865" s="36"/>
    </row>
    <row r="866" spans="1:21">
      <c r="A866" s="74" t="s">
        <v>250</v>
      </c>
      <c r="B866" s="36">
        <v>212274</v>
      </c>
      <c r="C866" s="36">
        <v>8790</v>
      </c>
      <c r="D866" s="74" t="s">
        <v>633</v>
      </c>
      <c r="E866" s="36"/>
      <c r="F866" s="74"/>
      <c r="G866" s="74" t="s">
        <v>676</v>
      </c>
      <c r="H866" s="36"/>
      <c r="I866" s="36"/>
      <c r="J866" s="36"/>
      <c r="K866" s="36"/>
      <c r="L866" s="36"/>
      <c r="M866" s="36"/>
      <c r="N866" s="36"/>
      <c r="O866" s="36"/>
      <c r="P866" s="36"/>
      <c r="Q866" s="36"/>
      <c r="R866" s="36"/>
      <c r="S866" s="36"/>
      <c r="T866" s="36"/>
      <c r="U866" s="36"/>
    </row>
    <row r="867" spans="1:21">
      <c r="A867" s="74" t="s">
        <v>250</v>
      </c>
      <c r="B867" s="36">
        <v>212270</v>
      </c>
      <c r="C867" s="36">
        <v>8790</v>
      </c>
      <c r="D867" s="74" t="s">
        <v>523</v>
      </c>
      <c r="E867" s="36"/>
      <c r="F867" s="74"/>
      <c r="G867" s="74" t="s">
        <v>676</v>
      </c>
      <c r="H867" s="36"/>
      <c r="I867" s="36"/>
      <c r="J867" s="36"/>
      <c r="K867" s="36"/>
      <c r="L867" s="36"/>
      <c r="M867" s="36"/>
      <c r="N867" s="36"/>
      <c r="O867" s="36"/>
      <c r="P867" s="36"/>
      <c r="Q867" s="36"/>
      <c r="R867" s="36"/>
      <c r="S867" s="36"/>
      <c r="T867" s="36"/>
      <c r="U867" s="36"/>
    </row>
    <row r="868" spans="1:21">
      <c r="A868" s="74" t="s">
        <v>250</v>
      </c>
      <c r="B868" s="36">
        <v>158827</v>
      </c>
      <c r="C868" s="36">
        <v>5180</v>
      </c>
      <c r="D868" s="74" t="s">
        <v>525</v>
      </c>
      <c r="E868" s="36"/>
      <c r="F868" s="74"/>
      <c r="G868" s="74" t="s">
        <v>677</v>
      </c>
      <c r="H868" s="36"/>
      <c r="I868" s="36"/>
      <c r="J868" s="36"/>
      <c r="K868" s="36"/>
      <c r="L868" s="36"/>
      <c r="M868" s="36"/>
      <c r="N868" s="36"/>
      <c r="O868" s="36"/>
      <c r="P868" s="36"/>
      <c r="Q868" s="36"/>
      <c r="R868" s="36"/>
      <c r="S868" s="36"/>
      <c r="T868" s="36"/>
      <c r="U868" s="36"/>
    </row>
    <row r="869" spans="1:21">
      <c r="A869" s="74" t="s">
        <v>250</v>
      </c>
      <c r="B869" s="36">
        <v>169735</v>
      </c>
      <c r="C869" s="36">
        <v>5890</v>
      </c>
      <c r="D869" s="74" t="s">
        <v>527</v>
      </c>
      <c r="E869" s="36"/>
      <c r="F869" s="74"/>
      <c r="G869" s="74" t="s">
        <v>678</v>
      </c>
      <c r="H869" s="36"/>
      <c r="I869" s="36"/>
      <c r="J869" s="36"/>
      <c r="K869" s="36"/>
      <c r="L869" s="36"/>
      <c r="M869" s="36"/>
      <c r="N869" s="36"/>
      <c r="O869" s="36"/>
      <c r="P869" s="36"/>
      <c r="Q869" s="36"/>
      <c r="R869" s="36"/>
      <c r="S869" s="36"/>
      <c r="T869" s="36"/>
      <c r="U869" s="36"/>
    </row>
    <row r="870" spans="1:21">
      <c r="A870" s="74" t="s">
        <v>250</v>
      </c>
      <c r="B870" s="36">
        <v>169736</v>
      </c>
      <c r="C870" s="36">
        <v>6490</v>
      </c>
      <c r="D870" s="74" t="s">
        <v>526</v>
      </c>
      <c r="E870" s="36"/>
      <c r="F870" s="74"/>
      <c r="G870" s="74" t="s">
        <v>679</v>
      </c>
      <c r="H870" s="36"/>
      <c r="I870" s="36"/>
      <c r="J870" s="36"/>
      <c r="K870" s="36"/>
      <c r="L870" s="36"/>
      <c r="M870" s="36"/>
      <c r="N870" s="36"/>
      <c r="O870" s="36"/>
      <c r="P870" s="36"/>
      <c r="Q870" s="36"/>
      <c r="R870" s="36"/>
      <c r="S870" s="36"/>
      <c r="T870" s="36"/>
      <c r="U870" s="36"/>
    </row>
    <row r="871" spans="1:21">
      <c r="A871" s="74" t="s">
        <v>250</v>
      </c>
      <c r="B871" s="36">
        <v>169732</v>
      </c>
      <c r="C871" s="36">
        <v>6490</v>
      </c>
      <c r="D871" s="74" t="s">
        <v>528</v>
      </c>
      <c r="E871" s="36"/>
      <c r="F871" s="74"/>
      <c r="G871" s="74" t="s">
        <v>679</v>
      </c>
      <c r="H871" s="36"/>
      <c r="I871" s="36"/>
      <c r="J871" s="36"/>
      <c r="K871" s="36"/>
      <c r="L871" s="36"/>
      <c r="M871" s="36"/>
      <c r="N871" s="36"/>
      <c r="O871" s="36"/>
      <c r="P871" s="36"/>
      <c r="Q871" s="36"/>
      <c r="R871" s="36"/>
      <c r="S871" s="36"/>
      <c r="T871" s="36"/>
      <c r="U871" s="36"/>
    </row>
    <row r="872" spans="1:21">
      <c r="A872" s="74" t="s">
        <v>250</v>
      </c>
      <c r="B872" s="36">
        <v>226780</v>
      </c>
      <c r="C872" s="36">
        <v>6490</v>
      </c>
      <c r="D872" s="74" t="s">
        <v>532</v>
      </c>
      <c r="E872" s="36"/>
      <c r="F872" s="74"/>
      <c r="G872" s="74" t="s">
        <v>679</v>
      </c>
      <c r="H872" s="36"/>
      <c r="I872" s="36"/>
      <c r="J872" s="36"/>
      <c r="K872" s="36"/>
      <c r="L872" s="36"/>
      <c r="M872" s="36"/>
      <c r="N872" s="36"/>
      <c r="O872" s="36"/>
      <c r="P872" s="36"/>
      <c r="Q872" s="36"/>
      <c r="R872" s="36"/>
      <c r="S872" s="36"/>
      <c r="T872" s="36"/>
      <c r="U872" s="36"/>
    </row>
    <row r="873" spans="1:21">
      <c r="A873" s="74" t="s">
        <v>250</v>
      </c>
      <c r="B873" s="36">
        <v>226787</v>
      </c>
      <c r="C873" s="36">
        <v>6490</v>
      </c>
      <c r="D873" s="74" t="s">
        <v>531</v>
      </c>
      <c r="E873" s="36"/>
      <c r="F873" s="74"/>
      <c r="G873" s="74" t="s">
        <v>679</v>
      </c>
      <c r="H873" s="36"/>
      <c r="I873" s="36"/>
      <c r="J873" s="36"/>
      <c r="K873" s="36"/>
      <c r="L873" s="36"/>
      <c r="M873" s="36"/>
      <c r="N873" s="36"/>
      <c r="O873" s="36"/>
      <c r="P873" s="36"/>
      <c r="Q873" s="36"/>
      <c r="R873" s="36"/>
      <c r="S873" s="36"/>
      <c r="T873" s="36"/>
      <c r="U873" s="36"/>
    </row>
    <row r="874" spans="1:21">
      <c r="A874" s="74" t="s">
        <v>250</v>
      </c>
      <c r="B874" s="36">
        <v>169734</v>
      </c>
      <c r="C874" s="36">
        <v>6890</v>
      </c>
      <c r="D874" s="74" t="s">
        <v>529</v>
      </c>
      <c r="E874" s="36"/>
      <c r="F874" s="74"/>
      <c r="G874" s="74" t="s">
        <v>680</v>
      </c>
      <c r="H874" s="36"/>
      <c r="I874" s="36"/>
      <c r="J874" s="36"/>
      <c r="K874" s="36"/>
      <c r="L874" s="36"/>
      <c r="M874" s="36"/>
      <c r="N874" s="36"/>
      <c r="O874" s="36"/>
      <c r="P874" s="36"/>
      <c r="Q874" s="36"/>
      <c r="R874" s="36"/>
      <c r="S874" s="36"/>
      <c r="T874" s="36"/>
      <c r="U874" s="36"/>
    </row>
    <row r="875" spans="1:21">
      <c r="A875" s="74" t="s">
        <v>250</v>
      </c>
      <c r="B875" s="36">
        <v>169731</v>
      </c>
      <c r="C875" s="36"/>
      <c r="D875" s="74"/>
      <c r="E875" s="36"/>
      <c r="F875" s="74"/>
      <c r="G875" s="74" t="s">
        <v>661</v>
      </c>
      <c r="H875" s="36"/>
      <c r="I875" s="36"/>
      <c r="J875" s="36"/>
      <c r="K875" s="36"/>
      <c r="L875" s="36"/>
      <c r="M875" s="36"/>
      <c r="N875" s="36"/>
      <c r="O875" s="36"/>
      <c r="P875" s="36"/>
      <c r="Q875" s="36"/>
      <c r="R875" s="36"/>
      <c r="S875" s="36"/>
      <c r="T875" s="36"/>
      <c r="U875" s="36"/>
    </row>
    <row r="876" spans="1:21">
      <c r="A876" s="74" t="s">
        <v>250</v>
      </c>
      <c r="B876" s="36">
        <v>138622</v>
      </c>
      <c r="C876" s="36">
        <v>8590</v>
      </c>
      <c r="D876" s="74" t="s">
        <v>534</v>
      </c>
      <c r="E876" s="36"/>
      <c r="F876" s="74"/>
      <c r="G876" s="74" t="s">
        <v>681</v>
      </c>
      <c r="H876" s="36"/>
      <c r="I876" s="36"/>
      <c r="J876" s="36"/>
      <c r="K876" s="36"/>
      <c r="L876" s="36"/>
      <c r="M876" s="36"/>
      <c r="N876" s="36"/>
      <c r="O876" s="36"/>
      <c r="P876" s="36"/>
      <c r="Q876" s="36"/>
      <c r="R876" s="36"/>
      <c r="S876" s="36"/>
      <c r="T876" s="36"/>
      <c r="U876" s="36"/>
    </row>
    <row r="877" spans="1:21">
      <c r="A877" s="74" t="s">
        <v>250</v>
      </c>
      <c r="B877" s="36">
        <v>138623</v>
      </c>
      <c r="C877" s="36">
        <v>8590</v>
      </c>
      <c r="D877" s="74" t="s">
        <v>533</v>
      </c>
      <c r="E877" s="36"/>
      <c r="F877" s="74"/>
      <c r="G877" s="74" t="s">
        <v>681</v>
      </c>
      <c r="H877" s="36"/>
      <c r="I877" s="36"/>
      <c r="J877" s="36"/>
      <c r="K877" s="36"/>
      <c r="L877" s="36"/>
      <c r="M877" s="36"/>
      <c r="N877" s="36"/>
      <c r="O877" s="36"/>
      <c r="P877" s="36"/>
      <c r="Q877" s="36"/>
      <c r="R877" s="36"/>
      <c r="S877" s="36"/>
      <c r="T877" s="36"/>
      <c r="U877" s="36"/>
    </row>
    <row r="878" spans="1:21">
      <c r="A878" s="74" t="s">
        <v>250</v>
      </c>
      <c r="B878" s="36">
        <v>163996</v>
      </c>
      <c r="C878" s="36">
        <v>7290</v>
      </c>
      <c r="D878" s="74" t="s">
        <v>530</v>
      </c>
      <c r="E878" s="36"/>
      <c r="F878" s="74"/>
      <c r="G878" s="74" t="s">
        <v>672</v>
      </c>
      <c r="H878" s="36"/>
      <c r="I878" s="36"/>
      <c r="J878" s="36"/>
      <c r="K878" s="36"/>
      <c r="L878" s="36"/>
      <c r="M878" s="36"/>
      <c r="N878" s="36"/>
      <c r="O878" s="36"/>
      <c r="P878" s="36"/>
      <c r="Q878" s="36"/>
      <c r="R878" s="36"/>
      <c r="S878" s="36"/>
      <c r="T878" s="36"/>
      <c r="U878" s="36"/>
    </row>
    <row r="879" spans="1:21">
      <c r="A879" s="74" t="s">
        <v>250</v>
      </c>
      <c r="B879" s="36">
        <v>163984</v>
      </c>
      <c r="C879" s="36">
        <v>9690</v>
      </c>
      <c r="D879" s="74" t="s">
        <v>630</v>
      </c>
      <c r="E879" s="36"/>
      <c r="F879" s="74"/>
      <c r="G879" s="74" t="s">
        <v>682</v>
      </c>
      <c r="H879" s="36"/>
      <c r="I879" s="36"/>
      <c r="J879" s="36"/>
      <c r="K879" s="36"/>
      <c r="L879" s="36"/>
      <c r="M879" s="36"/>
      <c r="N879" s="36"/>
      <c r="O879" s="36"/>
      <c r="P879" s="36"/>
      <c r="Q879" s="36"/>
      <c r="R879" s="36"/>
      <c r="S879" s="36"/>
      <c r="T879" s="36"/>
      <c r="U879" s="36"/>
    </row>
    <row r="880" spans="1:21">
      <c r="A880" s="74" t="s">
        <v>250</v>
      </c>
      <c r="B880" s="36">
        <v>163985</v>
      </c>
      <c r="C880" s="36"/>
      <c r="D880" s="74"/>
      <c r="E880" s="36"/>
      <c r="F880" s="74"/>
      <c r="G880" s="74" t="s">
        <v>661</v>
      </c>
      <c r="H880" s="36"/>
      <c r="I880" s="36"/>
      <c r="J880" s="36"/>
      <c r="K880" s="36"/>
      <c r="L880" s="36"/>
      <c r="M880" s="36"/>
      <c r="N880" s="36"/>
      <c r="O880" s="36"/>
      <c r="P880" s="36"/>
      <c r="Q880" s="36"/>
      <c r="R880" s="36"/>
      <c r="S880" s="36"/>
      <c r="T880" s="36"/>
      <c r="U880" s="36"/>
    </row>
    <row r="881" spans="1:21">
      <c r="A881" s="74" t="s">
        <v>250</v>
      </c>
      <c r="B881" s="36">
        <v>163987</v>
      </c>
      <c r="C881" s="36">
        <v>9690</v>
      </c>
      <c r="D881" s="74" t="s">
        <v>631</v>
      </c>
      <c r="E881" s="36"/>
      <c r="F881" s="74"/>
      <c r="G881" s="74" t="s">
        <v>682</v>
      </c>
      <c r="H881" s="36"/>
      <c r="I881" s="36"/>
      <c r="J881" s="36"/>
      <c r="K881" s="36"/>
      <c r="L881" s="36"/>
      <c r="M881" s="36"/>
      <c r="N881" s="36"/>
      <c r="O881" s="36"/>
      <c r="P881" s="36"/>
      <c r="Q881" s="36"/>
      <c r="R881" s="36"/>
      <c r="S881" s="36"/>
      <c r="T881" s="36"/>
      <c r="U881" s="36"/>
    </row>
    <row r="882" spans="1:21">
      <c r="A882" s="74" t="s">
        <v>250</v>
      </c>
      <c r="B882" s="36">
        <v>163988</v>
      </c>
      <c r="C882" s="36"/>
      <c r="D882" s="74"/>
      <c r="E882" s="36"/>
      <c r="F882" s="74"/>
      <c r="G882" s="74" t="s">
        <v>661</v>
      </c>
      <c r="H882" s="36"/>
      <c r="I882" s="36"/>
      <c r="J882" s="36"/>
      <c r="K882" s="36"/>
      <c r="L882" s="36"/>
      <c r="M882" s="36"/>
      <c r="N882" s="36"/>
      <c r="O882" s="36"/>
      <c r="P882" s="36"/>
      <c r="Q882" s="36"/>
      <c r="R882" s="36"/>
      <c r="S882" s="36"/>
      <c r="T882" s="36"/>
      <c r="U882" s="36"/>
    </row>
    <row r="883" spans="1:21">
      <c r="A883" s="74" t="s">
        <v>250</v>
      </c>
      <c r="B883" s="36">
        <v>163990</v>
      </c>
      <c r="C883" s="36"/>
      <c r="D883" s="74"/>
      <c r="E883" s="36"/>
      <c r="F883" s="74"/>
      <c r="G883" s="74" t="s">
        <v>661</v>
      </c>
      <c r="H883" s="36"/>
      <c r="I883" s="36"/>
      <c r="J883" s="36"/>
      <c r="K883" s="36"/>
      <c r="L883" s="36"/>
      <c r="M883" s="36"/>
      <c r="N883" s="36"/>
      <c r="O883" s="36"/>
      <c r="P883" s="36"/>
      <c r="Q883" s="36"/>
      <c r="R883" s="36"/>
      <c r="S883" s="36"/>
      <c r="T883" s="36"/>
      <c r="U883" s="36"/>
    </row>
    <row r="884" spans="1:21">
      <c r="A884" s="74" t="s">
        <v>250</v>
      </c>
      <c r="B884" s="36">
        <v>163992</v>
      </c>
      <c r="C884" s="36">
        <v>9690</v>
      </c>
      <c r="D884" s="74" t="s">
        <v>632</v>
      </c>
      <c r="E884" s="36"/>
      <c r="F884" s="74"/>
      <c r="G884" s="74" t="s">
        <v>682</v>
      </c>
      <c r="H884" s="36"/>
      <c r="I884" s="36"/>
      <c r="J884" s="36"/>
      <c r="K884" s="36"/>
      <c r="L884" s="36"/>
      <c r="M884" s="36"/>
      <c r="N884" s="36"/>
      <c r="O884" s="36"/>
      <c r="P884" s="36"/>
      <c r="Q884" s="36"/>
      <c r="R884" s="36"/>
      <c r="S884" s="36"/>
      <c r="T884" s="36"/>
      <c r="U884" s="36"/>
    </row>
    <row r="885" spans="1:21">
      <c r="A885" s="74" t="s">
        <v>250</v>
      </c>
      <c r="B885" s="36">
        <v>163995</v>
      </c>
      <c r="C885" s="36"/>
      <c r="D885" s="74"/>
      <c r="E885" s="36"/>
      <c r="F885" s="74"/>
      <c r="G885" s="74" t="s">
        <v>661</v>
      </c>
      <c r="H885" s="36"/>
      <c r="I885" s="36"/>
      <c r="J885" s="36"/>
      <c r="K885" s="36"/>
      <c r="L885" s="36"/>
      <c r="M885" s="36"/>
      <c r="N885" s="36"/>
      <c r="O885" s="36"/>
      <c r="P885" s="36"/>
      <c r="Q885" s="36"/>
      <c r="R885" s="36"/>
      <c r="S885" s="36"/>
      <c r="T885" s="36"/>
      <c r="U885" s="36"/>
    </row>
    <row r="886" spans="1:21">
      <c r="A886" s="74" t="s">
        <v>250</v>
      </c>
      <c r="B886" s="36">
        <v>163994</v>
      </c>
      <c r="C886" s="36">
        <v>7890</v>
      </c>
      <c r="D886" s="74" t="s">
        <v>629</v>
      </c>
      <c r="E886" s="36"/>
      <c r="F886" s="74"/>
      <c r="G886" s="74" t="s">
        <v>674</v>
      </c>
      <c r="H886" s="36"/>
      <c r="I886" s="36"/>
      <c r="J886" s="36"/>
      <c r="K886" s="36"/>
      <c r="L886" s="36"/>
      <c r="M886" s="36"/>
      <c r="N886" s="36"/>
      <c r="O886" s="36"/>
      <c r="P886" s="36"/>
      <c r="Q886" s="36"/>
      <c r="R886" s="36"/>
      <c r="S886" s="36"/>
      <c r="T886" s="36"/>
      <c r="U886" s="36"/>
    </row>
    <row r="887" spans="1:21">
      <c r="A887" s="74" t="s">
        <v>250</v>
      </c>
      <c r="B887" s="36">
        <v>136922</v>
      </c>
      <c r="C887" s="36">
        <v>9190</v>
      </c>
      <c r="D887" s="74" t="s">
        <v>628</v>
      </c>
      <c r="E887" s="36"/>
      <c r="F887" s="74"/>
      <c r="G887" s="74" t="s">
        <v>683</v>
      </c>
      <c r="H887" s="36"/>
      <c r="I887" s="36"/>
      <c r="J887" s="36"/>
      <c r="K887" s="36"/>
      <c r="L887" s="36"/>
      <c r="M887" s="36"/>
      <c r="N887" s="36"/>
      <c r="O887" s="36"/>
      <c r="P887" s="36"/>
      <c r="Q887" s="36"/>
      <c r="R887" s="36"/>
      <c r="S887" s="36"/>
      <c r="T887" s="36"/>
      <c r="U887" s="36"/>
    </row>
    <row r="888" spans="1:21">
      <c r="A888" s="74" t="s">
        <v>250</v>
      </c>
      <c r="B888" s="36">
        <v>212267</v>
      </c>
      <c r="C888" s="36">
        <v>11190</v>
      </c>
      <c r="D888" s="74" t="s">
        <v>627</v>
      </c>
      <c r="E888" s="36"/>
      <c r="F888" s="74"/>
      <c r="G888" s="74" t="s">
        <v>684</v>
      </c>
      <c r="H888" s="36"/>
      <c r="I888" s="36"/>
      <c r="J888" s="36"/>
      <c r="K888" s="36"/>
      <c r="L888" s="36"/>
      <c r="M888" s="36"/>
      <c r="N888" s="36"/>
      <c r="O888" s="36"/>
      <c r="P888" s="36"/>
      <c r="Q888" s="36"/>
      <c r="R888" s="36"/>
      <c r="S888" s="36"/>
      <c r="T888" s="36"/>
      <c r="U888" s="36"/>
    </row>
    <row r="889" spans="1:21">
      <c r="A889" s="74" t="s">
        <v>250</v>
      </c>
      <c r="B889" s="36">
        <v>138649</v>
      </c>
      <c r="C889" s="36">
        <v>9890</v>
      </c>
      <c r="D889" s="74" t="s">
        <v>535</v>
      </c>
      <c r="E889" s="36"/>
      <c r="F889" s="74"/>
      <c r="G889" s="74" t="s">
        <v>685</v>
      </c>
      <c r="H889" s="36"/>
      <c r="I889" s="36"/>
      <c r="J889" s="36"/>
      <c r="K889" s="36"/>
      <c r="L889" s="36"/>
      <c r="M889" s="36"/>
      <c r="N889" s="36"/>
      <c r="O889" s="36"/>
      <c r="P889" s="36"/>
      <c r="Q889" s="36"/>
      <c r="R889" s="36"/>
      <c r="S889" s="36"/>
      <c r="T889" s="36"/>
      <c r="U889" s="36"/>
    </row>
    <row r="890" spans="1:21">
      <c r="A890" s="74" t="s">
        <v>250</v>
      </c>
      <c r="B890" s="36">
        <v>138624</v>
      </c>
      <c r="C890" s="36">
        <v>10290</v>
      </c>
      <c r="D890" s="74" t="s">
        <v>536</v>
      </c>
      <c r="E890" s="36"/>
      <c r="F890" s="74"/>
      <c r="G890" s="74" t="s">
        <v>686</v>
      </c>
      <c r="H890" s="36"/>
      <c r="I890" s="36"/>
      <c r="J890" s="36"/>
      <c r="K890" s="36"/>
      <c r="L890" s="36"/>
      <c r="M890" s="36"/>
      <c r="N890" s="36"/>
      <c r="O890" s="36"/>
      <c r="P890" s="36"/>
      <c r="Q890" s="36"/>
      <c r="R890" s="36"/>
      <c r="S890" s="36"/>
      <c r="T890" s="36"/>
      <c r="U890" s="36"/>
    </row>
    <row r="891" spans="1:21">
      <c r="A891" s="74" t="s">
        <v>250</v>
      </c>
      <c r="B891" s="36">
        <v>138625</v>
      </c>
      <c r="C891" s="36">
        <v>10290</v>
      </c>
      <c r="D891" s="74" t="s">
        <v>537</v>
      </c>
      <c r="E891" s="36"/>
      <c r="F891" s="74"/>
      <c r="G891" s="74" t="s">
        <v>686</v>
      </c>
      <c r="H891" s="36"/>
      <c r="I891" s="36"/>
      <c r="J891" s="36"/>
      <c r="K891" s="36"/>
      <c r="L891" s="36"/>
      <c r="M891" s="36"/>
      <c r="N891" s="36"/>
      <c r="O891" s="36"/>
      <c r="P891" s="36"/>
      <c r="Q891" s="36"/>
      <c r="R891" s="36"/>
      <c r="S891" s="36"/>
      <c r="T891" s="36"/>
      <c r="U891" s="36"/>
    </row>
    <row r="892" spans="1:21">
      <c r="A892" s="74" t="s">
        <v>250</v>
      </c>
      <c r="B892" s="36">
        <v>186323</v>
      </c>
      <c r="C892" s="36">
        <v>11290</v>
      </c>
      <c r="D892" s="74" t="s">
        <v>538</v>
      </c>
      <c r="E892" s="36"/>
      <c r="F892" s="74"/>
      <c r="G892" s="74" t="s">
        <v>687</v>
      </c>
      <c r="H892" s="36"/>
      <c r="I892" s="36"/>
      <c r="J892" s="36"/>
      <c r="K892" s="36"/>
      <c r="L892" s="36"/>
      <c r="M892" s="36"/>
      <c r="N892" s="36"/>
      <c r="O892" s="36"/>
      <c r="P892" s="36"/>
      <c r="Q892" s="36"/>
      <c r="R892" s="36"/>
      <c r="S892" s="36"/>
      <c r="T892" s="36"/>
      <c r="U892" s="36"/>
    </row>
    <row r="893" spans="1:21">
      <c r="A893" s="74" t="s">
        <v>250</v>
      </c>
      <c r="B893" s="36">
        <v>193349</v>
      </c>
      <c r="C893" s="36"/>
      <c r="D893" s="74"/>
      <c r="E893" s="36"/>
      <c r="F893" s="74"/>
      <c r="G893" s="74" t="s">
        <v>661</v>
      </c>
      <c r="H893" s="36"/>
      <c r="I893" s="36"/>
      <c r="J893" s="36"/>
      <c r="K893" s="36"/>
      <c r="L893" s="36"/>
      <c r="M893" s="36"/>
      <c r="N893" s="36"/>
      <c r="O893" s="36"/>
      <c r="P893" s="36"/>
      <c r="Q893" s="36"/>
      <c r="R893" s="36"/>
      <c r="S893" s="36"/>
      <c r="T893" s="36"/>
      <c r="U893" s="36"/>
    </row>
    <row r="894" spans="1:21">
      <c r="A894" s="74" t="s">
        <v>250</v>
      </c>
      <c r="B894" s="36">
        <v>193350</v>
      </c>
      <c r="C894" s="36">
        <v>11290</v>
      </c>
      <c r="D894" s="74" t="s">
        <v>538</v>
      </c>
      <c r="E894" s="36"/>
      <c r="F894" s="74"/>
      <c r="G894" s="74" t="s">
        <v>687</v>
      </c>
      <c r="H894" s="36"/>
      <c r="I894" s="36"/>
      <c r="J894" s="36"/>
      <c r="K894" s="36"/>
      <c r="L894" s="36"/>
      <c r="M894" s="36"/>
      <c r="N894" s="36"/>
      <c r="O894" s="36"/>
      <c r="P894" s="36"/>
      <c r="Q894" s="36"/>
      <c r="R894" s="36"/>
      <c r="S894" s="36"/>
      <c r="T894" s="36"/>
      <c r="U894" s="36"/>
    </row>
    <row r="895" spans="1:21">
      <c r="A895" s="74" t="s">
        <v>250</v>
      </c>
      <c r="B895" s="36">
        <v>138629</v>
      </c>
      <c r="C895" s="36">
        <v>13490</v>
      </c>
      <c r="D895" s="74" t="s">
        <v>539</v>
      </c>
      <c r="E895" s="36"/>
      <c r="F895" s="74"/>
      <c r="G895" s="74" t="s">
        <v>688</v>
      </c>
      <c r="H895" s="36"/>
      <c r="I895" s="36"/>
      <c r="J895" s="36"/>
      <c r="K895" s="36"/>
      <c r="L895" s="36"/>
      <c r="M895" s="36"/>
      <c r="N895" s="36"/>
      <c r="O895" s="36"/>
      <c r="P895" s="36"/>
      <c r="Q895" s="36"/>
      <c r="R895" s="36"/>
      <c r="S895" s="36"/>
      <c r="T895" s="36"/>
      <c r="U895" s="36"/>
    </row>
    <row r="896" spans="1:21">
      <c r="A896" s="74" t="s">
        <v>250</v>
      </c>
      <c r="B896" s="36">
        <v>138627</v>
      </c>
      <c r="C896" s="36">
        <v>13590</v>
      </c>
      <c r="D896" s="74" t="s">
        <v>540</v>
      </c>
      <c r="E896" s="36"/>
      <c r="F896" s="74"/>
      <c r="G896" s="74" t="s">
        <v>689</v>
      </c>
      <c r="H896" s="36"/>
      <c r="I896" s="36"/>
      <c r="J896" s="36"/>
      <c r="K896" s="36"/>
      <c r="L896" s="36"/>
      <c r="M896" s="36"/>
      <c r="N896" s="36"/>
      <c r="O896" s="36"/>
      <c r="P896" s="36"/>
      <c r="Q896" s="36"/>
      <c r="R896" s="36"/>
      <c r="S896" s="36"/>
      <c r="T896" s="36"/>
      <c r="U896" s="36"/>
    </row>
    <row r="897" spans="1:21">
      <c r="A897" s="74" t="s">
        <v>250</v>
      </c>
      <c r="B897" s="36">
        <v>142192</v>
      </c>
      <c r="C897" s="36">
        <v>14090</v>
      </c>
      <c r="D897" s="74" t="s">
        <v>626</v>
      </c>
      <c r="E897" s="36"/>
      <c r="F897" s="74"/>
      <c r="G897" s="74" t="s">
        <v>690</v>
      </c>
      <c r="H897" s="36"/>
      <c r="I897" s="36"/>
      <c r="J897" s="36"/>
      <c r="K897" s="36"/>
      <c r="L897" s="36"/>
      <c r="M897" s="36"/>
      <c r="N897" s="36"/>
      <c r="O897" s="36"/>
      <c r="P897" s="36"/>
      <c r="Q897" s="36"/>
      <c r="R897" s="36"/>
      <c r="S897" s="36"/>
      <c r="T897" s="36"/>
      <c r="U897" s="36"/>
    </row>
    <row r="898" spans="1:21">
      <c r="A898" s="74" t="s">
        <v>250</v>
      </c>
      <c r="B898" s="36">
        <v>226926</v>
      </c>
      <c r="C898" s="36">
        <v>49390</v>
      </c>
      <c r="D898" s="74" t="s">
        <v>541</v>
      </c>
      <c r="E898" s="36"/>
      <c r="F898" s="74"/>
      <c r="G898" s="74" t="s">
        <v>691</v>
      </c>
      <c r="H898" s="36"/>
      <c r="I898" s="36"/>
      <c r="J898" s="36"/>
      <c r="K898" s="36"/>
      <c r="L898" s="36"/>
      <c r="M898" s="36"/>
      <c r="N898" s="36"/>
      <c r="O898" s="36"/>
      <c r="P898" s="36"/>
      <c r="Q898" s="36"/>
      <c r="R898" s="36"/>
      <c r="S898" s="36"/>
      <c r="T898" s="36"/>
      <c r="U898" s="36"/>
    </row>
    <row r="899" spans="1:21">
      <c r="A899" s="74" t="s">
        <v>250</v>
      </c>
      <c r="B899" s="36">
        <v>132588</v>
      </c>
      <c r="C899" s="36"/>
      <c r="D899" s="74"/>
      <c r="E899" s="36"/>
      <c r="F899" s="74"/>
      <c r="G899" s="74" t="s">
        <v>661</v>
      </c>
      <c r="H899" s="36"/>
      <c r="I899" s="36"/>
      <c r="J899" s="36"/>
      <c r="K899" s="36"/>
      <c r="L899" s="36"/>
      <c r="M899" s="36"/>
      <c r="N899" s="36"/>
      <c r="O899" s="36"/>
      <c r="P899" s="36"/>
      <c r="Q899" s="36"/>
      <c r="R899" s="36"/>
      <c r="S899" s="36"/>
      <c r="T899" s="36"/>
      <c r="U899" s="36"/>
    </row>
    <row r="900" spans="1:21">
      <c r="A900" s="74" t="s">
        <v>250</v>
      </c>
      <c r="B900" s="36">
        <v>226925</v>
      </c>
      <c r="C900" s="36">
        <v>56790</v>
      </c>
      <c r="D900" s="74" t="s">
        <v>542</v>
      </c>
      <c r="E900" s="36"/>
      <c r="F900" s="74"/>
      <c r="G900" s="74" t="s">
        <v>697</v>
      </c>
      <c r="H900" s="36"/>
      <c r="I900" s="36"/>
      <c r="J900" s="36"/>
      <c r="K900" s="36"/>
      <c r="L900" s="36"/>
      <c r="M900" s="36"/>
      <c r="N900" s="36"/>
      <c r="O900" s="36"/>
      <c r="P900" s="36"/>
      <c r="Q900" s="36"/>
      <c r="R900" s="36"/>
      <c r="S900" s="36"/>
      <c r="T900" s="36"/>
      <c r="U900" s="36"/>
    </row>
    <row r="901" spans="1:21">
      <c r="A901" s="74" t="s">
        <v>250</v>
      </c>
      <c r="B901" s="36">
        <v>226996</v>
      </c>
      <c r="C901" s="36">
        <v>60590</v>
      </c>
      <c r="D901" s="74" t="s">
        <v>544</v>
      </c>
      <c r="E901" s="36"/>
      <c r="F901" s="74"/>
      <c r="G901" s="74" t="s">
        <v>698</v>
      </c>
      <c r="H901" s="36"/>
      <c r="I901" s="36"/>
      <c r="J901" s="36"/>
      <c r="K901" s="36"/>
      <c r="L901" s="36"/>
      <c r="M901" s="36"/>
      <c r="N901" s="36"/>
      <c r="O901" s="36"/>
      <c r="P901" s="36"/>
      <c r="Q901" s="36"/>
      <c r="R901" s="36"/>
      <c r="S901" s="36"/>
      <c r="T901" s="36"/>
      <c r="U901" s="36"/>
    </row>
    <row r="902" spans="1:21">
      <c r="A902" s="74" t="s">
        <v>250</v>
      </c>
      <c r="B902" s="36">
        <v>226929</v>
      </c>
      <c r="C902" s="36">
        <v>60590</v>
      </c>
      <c r="D902" s="74" t="s">
        <v>543</v>
      </c>
      <c r="E902" s="36"/>
      <c r="F902" s="74"/>
      <c r="G902" s="74" t="s">
        <v>698</v>
      </c>
      <c r="H902" s="36"/>
      <c r="I902" s="36"/>
      <c r="J902" s="36"/>
      <c r="K902" s="36"/>
      <c r="L902" s="36"/>
      <c r="M902" s="36"/>
      <c r="N902" s="36"/>
      <c r="O902" s="36"/>
      <c r="P902" s="36"/>
      <c r="Q902" s="36"/>
      <c r="R902" s="36"/>
      <c r="S902" s="36"/>
      <c r="T902" s="36"/>
      <c r="U902" s="36"/>
    </row>
    <row r="903" spans="1:21">
      <c r="A903" s="74" t="s">
        <v>250</v>
      </c>
      <c r="B903" s="36">
        <v>226930</v>
      </c>
      <c r="C903" s="36">
        <v>68190</v>
      </c>
      <c r="D903" s="74" t="s">
        <v>545</v>
      </c>
      <c r="E903" s="36"/>
      <c r="F903" s="74"/>
      <c r="G903" s="74" t="s">
        <v>699</v>
      </c>
      <c r="H903" s="36"/>
      <c r="I903" s="36"/>
      <c r="J903" s="36"/>
      <c r="K903" s="36"/>
      <c r="L903" s="36"/>
      <c r="M903" s="36"/>
      <c r="N903" s="36"/>
      <c r="O903" s="36"/>
      <c r="P903" s="36"/>
      <c r="Q903" s="36"/>
      <c r="R903" s="36"/>
      <c r="S903" s="36"/>
      <c r="T903" s="36"/>
      <c r="U903" s="36"/>
    </row>
    <row r="904" spans="1:21">
      <c r="A904" s="74" t="s">
        <v>250</v>
      </c>
      <c r="B904" s="36">
        <v>226922</v>
      </c>
      <c r="C904" s="36">
        <v>65190</v>
      </c>
      <c r="D904" s="74" t="s">
        <v>546</v>
      </c>
      <c r="E904" s="36"/>
      <c r="F904" s="74"/>
      <c r="G904" s="74" t="s">
        <v>700</v>
      </c>
      <c r="H904" s="36"/>
      <c r="I904" s="36"/>
      <c r="J904" s="36"/>
      <c r="K904" s="36"/>
      <c r="L904" s="36"/>
      <c r="M904" s="36"/>
      <c r="N904" s="36"/>
      <c r="O904" s="36"/>
      <c r="P904" s="36"/>
      <c r="Q904" s="36"/>
      <c r="R904" s="36"/>
      <c r="S904" s="36"/>
      <c r="T904" s="36"/>
      <c r="U904" s="36"/>
    </row>
    <row r="905" spans="1:21">
      <c r="A905" s="74" t="s">
        <v>250</v>
      </c>
      <c r="B905" s="36">
        <v>226923</v>
      </c>
      <c r="C905" s="36">
        <v>65190</v>
      </c>
      <c r="D905" s="74" t="s">
        <v>547</v>
      </c>
      <c r="E905" s="36"/>
      <c r="F905" s="74"/>
      <c r="G905" s="74" t="s">
        <v>700</v>
      </c>
      <c r="H905" s="36"/>
      <c r="I905" s="36"/>
      <c r="J905" s="36"/>
      <c r="K905" s="36"/>
      <c r="L905" s="36"/>
      <c r="M905" s="36"/>
      <c r="N905" s="36"/>
      <c r="O905" s="36"/>
      <c r="P905" s="36"/>
      <c r="Q905" s="36"/>
      <c r="R905" s="36"/>
      <c r="S905" s="36"/>
      <c r="T905" s="36"/>
      <c r="U905" s="36"/>
    </row>
    <row r="906" spans="1:21">
      <c r="A906" s="74" t="s">
        <v>250</v>
      </c>
      <c r="B906" s="36">
        <v>226924</v>
      </c>
      <c r="C906" s="36">
        <v>65190</v>
      </c>
      <c r="D906" s="74" t="s">
        <v>548</v>
      </c>
      <c r="E906" s="36"/>
      <c r="F906" s="74"/>
      <c r="G906" s="74" t="s">
        <v>700</v>
      </c>
      <c r="H906" s="36"/>
      <c r="I906" s="36"/>
      <c r="J906" s="36"/>
      <c r="K906" s="36"/>
      <c r="L906" s="36"/>
      <c r="M906" s="36"/>
      <c r="N906" s="36"/>
      <c r="O906" s="36"/>
      <c r="P906" s="36"/>
      <c r="Q906" s="36"/>
      <c r="R906" s="36"/>
      <c r="S906" s="36"/>
      <c r="T906" s="36"/>
      <c r="U906" s="36"/>
    </row>
    <row r="907" spans="1:21">
      <c r="A907" s="74" t="s">
        <v>250</v>
      </c>
      <c r="B907" s="36">
        <v>226931</v>
      </c>
      <c r="C907" s="36">
        <v>68190</v>
      </c>
      <c r="D907" s="74" t="s">
        <v>549</v>
      </c>
      <c r="E907" s="36"/>
      <c r="F907" s="74"/>
      <c r="G907" s="74" t="s">
        <v>699</v>
      </c>
      <c r="H907" s="36"/>
      <c r="I907" s="36"/>
      <c r="J907" s="36"/>
      <c r="K907" s="36"/>
      <c r="L907" s="36"/>
      <c r="M907" s="36"/>
      <c r="N907" s="36"/>
      <c r="O907" s="36"/>
      <c r="P907" s="36"/>
      <c r="Q907" s="36"/>
      <c r="R907" s="36"/>
      <c r="S907" s="36"/>
      <c r="T907" s="36"/>
      <c r="U907" s="36"/>
    </row>
    <row r="908" spans="1:21">
      <c r="A908" s="74" t="s">
        <v>250</v>
      </c>
      <c r="B908" s="36">
        <v>226936</v>
      </c>
      <c r="C908" s="36">
        <v>74390</v>
      </c>
      <c r="D908" s="74" t="s">
        <v>552</v>
      </c>
      <c r="E908" s="36"/>
      <c r="F908" s="74"/>
      <c r="G908" s="74" t="s">
        <v>701</v>
      </c>
      <c r="H908" s="36"/>
      <c r="I908" s="36"/>
      <c r="J908" s="36"/>
      <c r="K908" s="36"/>
      <c r="L908" s="36"/>
      <c r="M908" s="36"/>
      <c r="N908" s="36"/>
      <c r="O908" s="36"/>
      <c r="P908" s="36"/>
      <c r="Q908" s="36"/>
      <c r="R908" s="36"/>
      <c r="S908" s="36"/>
      <c r="T908" s="36"/>
      <c r="U908" s="36"/>
    </row>
    <row r="909" spans="1:21">
      <c r="A909" s="74" t="s">
        <v>250</v>
      </c>
      <c r="B909" s="36">
        <v>226921</v>
      </c>
      <c r="C909" s="36">
        <v>70790</v>
      </c>
      <c r="D909" s="74" t="s">
        <v>553</v>
      </c>
      <c r="E909" s="36"/>
      <c r="F909" s="74"/>
      <c r="G909" s="74" t="s">
        <v>702</v>
      </c>
      <c r="H909" s="36"/>
      <c r="I909" s="36"/>
      <c r="J909" s="36"/>
      <c r="K909" s="36"/>
      <c r="L909" s="36"/>
      <c r="M909" s="36"/>
      <c r="N909" s="36"/>
      <c r="O909" s="36"/>
      <c r="P909" s="36"/>
      <c r="Q909" s="36"/>
      <c r="R909" s="36"/>
      <c r="S909" s="36"/>
      <c r="T909" s="36"/>
      <c r="U909" s="36"/>
    </row>
    <row r="910" spans="1:21">
      <c r="A910" s="74" t="s">
        <v>250</v>
      </c>
      <c r="B910" s="36">
        <v>226938</v>
      </c>
      <c r="C910" s="36">
        <v>75190</v>
      </c>
      <c r="D910" s="74" t="s">
        <v>550</v>
      </c>
      <c r="E910" s="36"/>
      <c r="F910" s="74"/>
      <c r="G910" s="74" t="s">
        <v>703</v>
      </c>
      <c r="H910" s="36"/>
      <c r="I910" s="36"/>
      <c r="J910" s="36"/>
      <c r="K910" s="36"/>
      <c r="L910" s="36"/>
      <c r="M910" s="36"/>
      <c r="N910" s="36"/>
      <c r="O910" s="36"/>
      <c r="P910" s="36"/>
      <c r="Q910" s="36"/>
      <c r="R910" s="36"/>
      <c r="S910" s="36"/>
      <c r="T910" s="36"/>
      <c r="U910" s="36"/>
    </row>
    <row r="911" spans="1:21">
      <c r="A911" s="74" t="s">
        <v>250</v>
      </c>
      <c r="B911" s="36">
        <v>226932</v>
      </c>
      <c r="C911" s="36">
        <v>75790</v>
      </c>
      <c r="D911" s="74" t="s">
        <v>554</v>
      </c>
      <c r="E911" s="36"/>
      <c r="F911" s="74"/>
      <c r="G911" s="74" t="s">
        <v>704</v>
      </c>
      <c r="H911" s="36"/>
      <c r="I911" s="36"/>
      <c r="J911" s="36"/>
      <c r="K911" s="36"/>
      <c r="L911" s="36"/>
      <c r="M911" s="36"/>
      <c r="N911" s="36"/>
      <c r="O911" s="36"/>
      <c r="P911" s="36"/>
      <c r="Q911" s="36"/>
      <c r="R911" s="36"/>
      <c r="S911" s="36"/>
      <c r="T911" s="36"/>
      <c r="U911" s="36"/>
    </row>
    <row r="912" spans="1:21">
      <c r="A912" s="74" t="s">
        <v>250</v>
      </c>
      <c r="B912" s="36">
        <v>226937</v>
      </c>
      <c r="C912" s="36">
        <v>76190</v>
      </c>
      <c r="D912" s="74" t="s">
        <v>551</v>
      </c>
      <c r="E912" s="36"/>
      <c r="F912" s="74"/>
      <c r="G912" s="74" t="s">
        <v>705</v>
      </c>
      <c r="H912" s="36"/>
      <c r="I912" s="36"/>
      <c r="J912" s="36"/>
      <c r="K912" s="36"/>
      <c r="L912" s="36"/>
      <c r="M912" s="36"/>
      <c r="N912" s="36"/>
      <c r="O912" s="36"/>
      <c r="P912" s="36"/>
      <c r="Q912" s="36"/>
      <c r="R912" s="36"/>
      <c r="S912" s="36"/>
      <c r="T912" s="36"/>
      <c r="U912" s="36"/>
    </row>
    <row r="913" spans="1:21">
      <c r="A913" s="74" t="s">
        <v>250</v>
      </c>
      <c r="B913" s="36">
        <v>226927</v>
      </c>
      <c r="C913" s="36">
        <v>70190</v>
      </c>
      <c r="D913" s="74" t="s">
        <v>555</v>
      </c>
      <c r="E913" s="36"/>
      <c r="F913" s="74"/>
      <c r="G913" s="74" t="s">
        <v>706</v>
      </c>
      <c r="H913" s="36"/>
      <c r="I913" s="36"/>
      <c r="J913" s="36"/>
      <c r="K913" s="36"/>
      <c r="L913" s="36"/>
      <c r="M913" s="36"/>
      <c r="N913" s="36"/>
      <c r="O913" s="36"/>
      <c r="P913" s="36"/>
      <c r="Q913" s="36"/>
      <c r="R913" s="36"/>
      <c r="S913" s="36"/>
      <c r="T913" s="36"/>
      <c r="U913" s="36"/>
    </row>
    <row r="914" spans="1:21">
      <c r="A914" s="74" t="s">
        <v>250</v>
      </c>
      <c r="B914" s="36">
        <v>226946</v>
      </c>
      <c r="C914" s="36">
        <v>78690</v>
      </c>
      <c r="D914" s="74" t="s">
        <v>556</v>
      </c>
      <c r="E914" s="36"/>
      <c r="F914" s="74"/>
      <c r="G914" s="74" t="s">
        <v>707</v>
      </c>
      <c r="H914" s="36"/>
      <c r="I914" s="36"/>
      <c r="J914" s="36"/>
      <c r="K914" s="36"/>
      <c r="L914" s="36"/>
      <c r="M914" s="36"/>
      <c r="N914" s="36"/>
      <c r="O914" s="36"/>
      <c r="P914" s="36"/>
      <c r="Q914" s="36"/>
      <c r="R914" s="36"/>
      <c r="S914" s="36"/>
      <c r="T914" s="36"/>
      <c r="U914" s="36"/>
    </row>
    <row r="915" spans="1:21">
      <c r="A915" s="74" t="s">
        <v>250</v>
      </c>
      <c r="B915" s="36">
        <v>226933</v>
      </c>
      <c r="C915" s="36">
        <v>80790</v>
      </c>
      <c r="D915" s="74" t="s">
        <v>557</v>
      </c>
      <c r="E915" s="36"/>
      <c r="F915" s="74"/>
      <c r="G915" s="74" t="s">
        <v>708</v>
      </c>
      <c r="H915" s="36"/>
      <c r="I915" s="36"/>
      <c r="J915" s="36"/>
      <c r="K915" s="36"/>
      <c r="L915" s="36"/>
      <c r="M915" s="36"/>
      <c r="N915" s="36"/>
      <c r="O915" s="36"/>
      <c r="P915" s="36"/>
      <c r="Q915" s="36"/>
      <c r="R915" s="36"/>
      <c r="S915" s="36"/>
      <c r="T915" s="36"/>
      <c r="U915" s="36"/>
    </row>
    <row r="916" spans="1:21">
      <c r="A916" s="74" t="s">
        <v>250</v>
      </c>
      <c r="B916" s="36">
        <v>226943</v>
      </c>
      <c r="C916" s="36">
        <v>87390</v>
      </c>
      <c r="D916" s="74" t="s">
        <v>559</v>
      </c>
      <c r="E916" s="36"/>
      <c r="F916" s="74"/>
      <c r="G916" s="74" t="s">
        <v>709</v>
      </c>
      <c r="H916" s="36"/>
      <c r="I916" s="36"/>
      <c r="J916" s="36"/>
      <c r="K916" s="36"/>
      <c r="L916" s="36"/>
      <c r="M916" s="36"/>
      <c r="N916" s="36"/>
      <c r="O916" s="36"/>
      <c r="P916" s="36"/>
      <c r="Q916" s="36"/>
      <c r="R916" s="36"/>
      <c r="S916" s="36"/>
      <c r="T916" s="36"/>
      <c r="U916" s="36"/>
    </row>
    <row r="917" spans="1:21">
      <c r="A917" s="74" t="s">
        <v>250</v>
      </c>
      <c r="B917" s="36">
        <v>226971</v>
      </c>
      <c r="C917" s="36">
        <v>86390</v>
      </c>
      <c r="D917" s="74" t="s">
        <v>583</v>
      </c>
      <c r="E917" s="36"/>
      <c r="F917" s="74"/>
      <c r="G917" s="74" t="s">
        <v>710</v>
      </c>
      <c r="H917" s="36"/>
      <c r="I917" s="36"/>
      <c r="J917" s="36"/>
      <c r="K917" s="36"/>
      <c r="L917" s="36"/>
      <c r="M917" s="36"/>
      <c r="N917" s="36"/>
      <c r="O917" s="36"/>
      <c r="P917" s="36"/>
      <c r="Q917" s="36"/>
      <c r="R917" s="36"/>
      <c r="S917" s="36"/>
      <c r="T917" s="36"/>
      <c r="U917" s="36"/>
    </row>
    <row r="918" spans="1:21">
      <c r="A918" s="74" t="s">
        <v>250</v>
      </c>
      <c r="B918" s="36">
        <v>226941</v>
      </c>
      <c r="C918" s="36">
        <v>87390</v>
      </c>
      <c r="D918" s="74" t="s">
        <v>584</v>
      </c>
      <c r="E918" s="36"/>
      <c r="F918" s="74"/>
      <c r="G918" s="74" t="s">
        <v>709</v>
      </c>
      <c r="H918" s="36"/>
      <c r="I918" s="36"/>
      <c r="J918" s="36"/>
      <c r="K918" s="36"/>
      <c r="L918" s="36"/>
      <c r="M918" s="36"/>
      <c r="N918" s="36"/>
      <c r="O918" s="36"/>
      <c r="P918" s="36"/>
      <c r="Q918" s="36"/>
      <c r="R918" s="36"/>
      <c r="S918" s="36"/>
      <c r="T918" s="36"/>
      <c r="U918" s="36"/>
    </row>
    <row r="919" spans="1:21">
      <c r="A919" s="74" t="s">
        <v>250</v>
      </c>
      <c r="B919" s="36">
        <v>226945</v>
      </c>
      <c r="C919" s="36">
        <v>87390</v>
      </c>
      <c r="D919" s="74" t="s">
        <v>582</v>
      </c>
      <c r="E919" s="36"/>
      <c r="F919" s="74"/>
      <c r="G919" s="74" t="s">
        <v>709</v>
      </c>
      <c r="H919" s="36"/>
      <c r="I919" s="36"/>
      <c r="J919" s="36"/>
      <c r="K919" s="36"/>
      <c r="L919" s="36"/>
      <c r="M919" s="36"/>
      <c r="N919" s="36"/>
      <c r="O919" s="36"/>
      <c r="P919" s="36"/>
      <c r="Q919" s="36"/>
      <c r="R919" s="36"/>
      <c r="S919" s="36"/>
      <c r="T919" s="36"/>
      <c r="U919" s="36"/>
    </row>
    <row r="920" spans="1:21">
      <c r="A920" s="74" t="s">
        <v>250</v>
      </c>
      <c r="B920" s="36">
        <v>226940</v>
      </c>
      <c r="C920" s="36">
        <v>87390</v>
      </c>
      <c r="D920" s="74" t="s">
        <v>585</v>
      </c>
      <c r="E920" s="36"/>
      <c r="F920" s="74"/>
      <c r="G920" s="74" t="s">
        <v>709</v>
      </c>
      <c r="H920" s="36"/>
      <c r="I920" s="36"/>
      <c r="J920" s="36"/>
      <c r="K920" s="36"/>
      <c r="L920" s="36"/>
      <c r="M920" s="36"/>
      <c r="N920" s="36"/>
      <c r="O920" s="36"/>
      <c r="P920" s="36"/>
      <c r="Q920" s="36"/>
      <c r="R920" s="36"/>
      <c r="S920" s="36"/>
      <c r="T920" s="36"/>
      <c r="U920" s="36"/>
    </row>
    <row r="921" spans="1:21">
      <c r="A921" s="74" t="s">
        <v>250</v>
      </c>
      <c r="B921" s="36">
        <v>226944</v>
      </c>
      <c r="C921" s="36">
        <v>87390</v>
      </c>
      <c r="D921" s="74" t="s">
        <v>580</v>
      </c>
      <c r="E921" s="36"/>
      <c r="F921" s="74"/>
      <c r="G921" s="74" t="s">
        <v>709</v>
      </c>
      <c r="H921" s="36"/>
      <c r="I921" s="36"/>
      <c r="J921" s="36"/>
      <c r="K921" s="36"/>
      <c r="L921" s="36"/>
      <c r="M921" s="36"/>
      <c r="N921" s="36"/>
      <c r="O921" s="36"/>
      <c r="P921" s="36"/>
      <c r="Q921" s="36"/>
      <c r="R921" s="36"/>
      <c r="S921" s="36"/>
      <c r="T921" s="36"/>
      <c r="U921" s="36"/>
    </row>
    <row r="922" spans="1:21">
      <c r="A922" s="74" t="s">
        <v>250</v>
      </c>
      <c r="B922" s="36">
        <v>226939</v>
      </c>
      <c r="C922" s="36">
        <v>87390</v>
      </c>
      <c r="D922" s="74" t="s">
        <v>581</v>
      </c>
      <c r="E922" s="36"/>
      <c r="F922" s="74"/>
      <c r="G922" s="74" t="s">
        <v>709</v>
      </c>
      <c r="H922" s="36"/>
      <c r="I922" s="36"/>
      <c r="J922" s="36"/>
      <c r="K922" s="36"/>
      <c r="L922" s="36"/>
      <c r="M922" s="36"/>
      <c r="N922" s="36"/>
      <c r="O922" s="36"/>
      <c r="P922" s="36"/>
      <c r="Q922" s="36"/>
      <c r="R922" s="36"/>
      <c r="S922" s="36"/>
      <c r="T922" s="36"/>
      <c r="U922" s="36"/>
    </row>
    <row r="923" spans="1:21">
      <c r="A923" s="74" t="s">
        <v>250</v>
      </c>
      <c r="B923" s="36">
        <v>226934</v>
      </c>
      <c r="C923" s="36">
        <v>83890</v>
      </c>
      <c r="D923" s="74" t="s">
        <v>558</v>
      </c>
      <c r="E923" s="36"/>
      <c r="F923" s="74"/>
      <c r="G923" s="74" t="s">
        <v>712</v>
      </c>
      <c r="H923" s="36"/>
      <c r="I923" s="36"/>
      <c r="J923" s="36"/>
      <c r="K923" s="36"/>
      <c r="L923" s="36"/>
      <c r="M923" s="36"/>
      <c r="N923" s="36"/>
      <c r="O923" s="36"/>
      <c r="P923" s="36"/>
      <c r="Q923" s="36"/>
      <c r="R923" s="36"/>
      <c r="S923" s="36"/>
      <c r="T923" s="36"/>
      <c r="U923" s="36"/>
    </row>
    <row r="924" spans="1:21">
      <c r="A924" s="74" t="s">
        <v>250</v>
      </c>
      <c r="B924" s="36">
        <v>226935</v>
      </c>
      <c r="C924" s="36">
        <v>86190</v>
      </c>
      <c r="D924" s="74" t="s">
        <v>561</v>
      </c>
      <c r="E924" s="36"/>
      <c r="F924" s="74"/>
      <c r="G924" s="74" t="s">
        <v>713</v>
      </c>
      <c r="H924" s="36"/>
      <c r="I924" s="36"/>
      <c r="J924" s="36"/>
      <c r="K924" s="36"/>
      <c r="L924" s="36"/>
      <c r="M924" s="36"/>
      <c r="N924" s="36"/>
      <c r="O924" s="36"/>
      <c r="P924" s="36"/>
      <c r="Q924" s="36"/>
      <c r="R924" s="36"/>
      <c r="S924" s="36"/>
      <c r="T924" s="36"/>
      <c r="U924" s="36"/>
    </row>
    <row r="925" spans="1:21">
      <c r="A925" s="74" t="s">
        <v>250</v>
      </c>
      <c r="B925" s="36">
        <v>226951</v>
      </c>
      <c r="C925" s="36">
        <v>85190</v>
      </c>
      <c r="D925" s="74" t="s">
        <v>639</v>
      </c>
      <c r="E925" s="36"/>
      <c r="F925" s="74"/>
      <c r="G925" s="74" t="s">
        <v>714</v>
      </c>
      <c r="H925" s="36"/>
      <c r="I925" s="36"/>
      <c r="J925" s="36"/>
      <c r="K925" s="36"/>
      <c r="L925" s="36"/>
      <c r="M925" s="36"/>
      <c r="N925" s="36"/>
      <c r="O925" s="36"/>
      <c r="P925" s="36"/>
      <c r="Q925" s="36"/>
      <c r="R925" s="36"/>
      <c r="S925" s="36"/>
      <c r="T925" s="36"/>
      <c r="U925" s="36"/>
    </row>
    <row r="926" spans="1:21">
      <c r="A926" s="74" t="s">
        <v>250</v>
      </c>
      <c r="B926" s="36">
        <v>226948</v>
      </c>
      <c r="C926" s="36">
        <v>84590</v>
      </c>
      <c r="D926" s="74" t="s">
        <v>562</v>
      </c>
      <c r="E926" s="36"/>
      <c r="F926" s="74"/>
      <c r="G926" s="74" t="s">
        <v>716</v>
      </c>
      <c r="H926" s="36"/>
      <c r="I926" s="36"/>
      <c r="J926" s="36"/>
      <c r="K926" s="36"/>
      <c r="L926" s="36"/>
      <c r="M926" s="36"/>
      <c r="N926" s="36"/>
      <c r="O926" s="36"/>
      <c r="P926" s="36"/>
      <c r="Q926" s="36"/>
      <c r="R926" s="36"/>
      <c r="S926" s="36"/>
      <c r="T926" s="36"/>
      <c r="U926" s="36"/>
    </row>
    <row r="927" spans="1:21">
      <c r="A927" s="74" t="s">
        <v>250</v>
      </c>
      <c r="B927" s="36">
        <v>226949</v>
      </c>
      <c r="C927" s="36">
        <v>85190</v>
      </c>
      <c r="D927" s="74" t="s">
        <v>637</v>
      </c>
      <c r="E927" s="36"/>
      <c r="F927" s="74"/>
      <c r="G927" s="74" t="s">
        <v>714</v>
      </c>
      <c r="H927" s="36"/>
      <c r="I927" s="36"/>
      <c r="J927" s="36"/>
      <c r="K927" s="36"/>
      <c r="L927" s="36"/>
      <c r="M927" s="36"/>
      <c r="N927" s="36"/>
      <c r="O927" s="36"/>
      <c r="P927" s="36"/>
      <c r="Q927" s="36"/>
      <c r="R927" s="36"/>
      <c r="S927" s="36"/>
      <c r="T927" s="36"/>
      <c r="U927" s="36"/>
    </row>
    <row r="928" spans="1:21">
      <c r="A928" s="74" t="s">
        <v>250</v>
      </c>
      <c r="B928" s="36">
        <v>226954</v>
      </c>
      <c r="C928" s="36">
        <v>88190</v>
      </c>
      <c r="D928" s="74" t="s">
        <v>640</v>
      </c>
      <c r="E928" s="36"/>
      <c r="F928" s="74"/>
      <c r="G928" s="74" t="s">
        <v>717</v>
      </c>
      <c r="H928" s="36"/>
      <c r="I928" s="36"/>
      <c r="J928" s="36"/>
      <c r="K928" s="36"/>
      <c r="L928" s="36"/>
      <c r="M928" s="36"/>
      <c r="N928" s="36"/>
      <c r="O928" s="36"/>
      <c r="P928" s="36"/>
      <c r="Q928" s="36"/>
      <c r="R928" s="36"/>
      <c r="S928" s="36"/>
      <c r="T928" s="36"/>
      <c r="U928" s="36"/>
    </row>
    <row r="929" spans="1:21">
      <c r="A929" s="74" t="s">
        <v>250</v>
      </c>
      <c r="B929" s="36">
        <v>226997</v>
      </c>
      <c r="C929" s="36">
        <v>85790</v>
      </c>
      <c r="D929" s="74" t="s">
        <v>563</v>
      </c>
      <c r="E929" s="36"/>
      <c r="F929" s="74"/>
      <c r="G929" s="74" t="s">
        <v>718</v>
      </c>
      <c r="H929" s="36"/>
      <c r="I929" s="36"/>
      <c r="J929" s="36"/>
      <c r="K929" s="36"/>
      <c r="L929" s="36"/>
      <c r="M929" s="36"/>
      <c r="N929" s="36"/>
      <c r="O929" s="36"/>
      <c r="P929" s="36"/>
      <c r="Q929" s="36"/>
      <c r="R929" s="36"/>
      <c r="S929" s="36"/>
      <c r="T929" s="36"/>
      <c r="U929" s="36"/>
    </row>
    <row r="930" spans="1:21">
      <c r="A930" s="74" t="s">
        <v>250</v>
      </c>
      <c r="B930" s="36">
        <v>226998</v>
      </c>
      <c r="C930" s="36">
        <v>85790</v>
      </c>
      <c r="D930" s="74" t="s">
        <v>564</v>
      </c>
      <c r="E930" s="36"/>
      <c r="F930" s="74"/>
      <c r="G930" s="74" t="s">
        <v>718</v>
      </c>
      <c r="H930" s="36"/>
      <c r="I930" s="36"/>
      <c r="J930" s="36"/>
      <c r="K930" s="36"/>
      <c r="L930" s="36"/>
      <c r="M930" s="36"/>
      <c r="N930" s="36"/>
      <c r="O930" s="36"/>
      <c r="P930" s="36"/>
      <c r="Q930" s="36"/>
      <c r="R930" s="36"/>
      <c r="S930" s="36"/>
      <c r="T930" s="36"/>
      <c r="U930" s="36"/>
    </row>
    <row r="931" spans="1:21">
      <c r="A931" s="74" t="s">
        <v>250</v>
      </c>
      <c r="B931" s="36">
        <v>226950</v>
      </c>
      <c r="C931" s="36">
        <v>85190</v>
      </c>
      <c r="D931" s="74" t="s">
        <v>638</v>
      </c>
      <c r="E931" s="36"/>
      <c r="F931" s="74"/>
      <c r="G931" s="74" t="s">
        <v>714</v>
      </c>
      <c r="H931" s="36"/>
      <c r="I931" s="36"/>
      <c r="J931" s="36"/>
      <c r="K931" s="36"/>
      <c r="L931" s="36"/>
      <c r="M931" s="36"/>
      <c r="N931" s="36"/>
      <c r="O931" s="36"/>
      <c r="P931" s="36"/>
      <c r="Q931" s="36"/>
      <c r="R931" s="36"/>
      <c r="S931" s="36"/>
      <c r="T931" s="36"/>
      <c r="U931" s="36"/>
    </row>
    <row r="932" spans="1:21">
      <c r="A932" s="74" t="s">
        <v>250</v>
      </c>
      <c r="B932" s="36">
        <v>226963</v>
      </c>
      <c r="C932" s="36">
        <v>85990</v>
      </c>
      <c r="D932" s="74" t="s">
        <v>566</v>
      </c>
      <c r="E932" s="36"/>
      <c r="F932" s="74"/>
      <c r="G932" s="74" t="s">
        <v>719</v>
      </c>
      <c r="H932" s="36"/>
      <c r="I932" s="36"/>
      <c r="J932" s="36"/>
      <c r="K932" s="36"/>
      <c r="L932" s="36"/>
      <c r="M932" s="36"/>
      <c r="N932" s="36"/>
      <c r="O932" s="36"/>
      <c r="P932" s="36"/>
      <c r="Q932" s="36"/>
      <c r="R932" s="36"/>
      <c r="S932" s="36"/>
      <c r="T932" s="36"/>
      <c r="U932" s="36"/>
    </row>
    <row r="933" spans="1:21">
      <c r="A933" s="74" t="s">
        <v>250</v>
      </c>
      <c r="B933" s="36">
        <v>226947</v>
      </c>
      <c r="C933" s="36">
        <v>84590</v>
      </c>
      <c r="D933" s="74" t="s">
        <v>567</v>
      </c>
      <c r="E933" s="36"/>
      <c r="F933" s="74"/>
      <c r="G933" s="74" t="s">
        <v>716</v>
      </c>
      <c r="H933" s="36"/>
      <c r="I933" s="36"/>
      <c r="J933" s="36"/>
      <c r="K933" s="36"/>
      <c r="L933" s="36"/>
      <c r="M933" s="36"/>
      <c r="N933" s="36"/>
      <c r="O933" s="36"/>
      <c r="P933" s="36"/>
      <c r="Q933" s="36"/>
      <c r="R933" s="36"/>
      <c r="S933" s="36"/>
      <c r="T933" s="36"/>
      <c r="U933" s="36"/>
    </row>
    <row r="934" spans="1:21">
      <c r="A934" s="74" t="s">
        <v>250</v>
      </c>
      <c r="B934" s="36">
        <v>226953</v>
      </c>
      <c r="C934" s="36">
        <v>85190</v>
      </c>
      <c r="D934" s="74" t="s">
        <v>641</v>
      </c>
      <c r="E934" s="36"/>
      <c r="F934" s="74"/>
      <c r="G934" s="74" t="s">
        <v>714</v>
      </c>
      <c r="H934" s="36"/>
      <c r="I934" s="36"/>
      <c r="J934" s="36"/>
      <c r="K934" s="36"/>
      <c r="L934" s="36"/>
      <c r="M934" s="36"/>
      <c r="N934" s="36"/>
      <c r="O934" s="36"/>
      <c r="P934" s="36"/>
      <c r="Q934" s="36"/>
      <c r="R934" s="36"/>
      <c r="S934" s="36"/>
      <c r="T934" s="36"/>
      <c r="U934" s="36"/>
    </row>
    <row r="935" spans="1:21">
      <c r="A935" s="74" t="s">
        <v>250</v>
      </c>
      <c r="B935" s="36">
        <v>226959</v>
      </c>
      <c r="C935" s="36">
        <v>87490</v>
      </c>
      <c r="D935" s="74" t="s">
        <v>568</v>
      </c>
      <c r="E935" s="36"/>
      <c r="F935" s="74"/>
      <c r="G935" s="74" t="s">
        <v>720</v>
      </c>
      <c r="H935" s="36"/>
      <c r="I935" s="36"/>
      <c r="J935" s="36"/>
      <c r="K935" s="36"/>
      <c r="L935" s="36"/>
      <c r="M935" s="36"/>
      <c r="N935" s="36"/>
      <c r="O935" s="36"/>
      <c r="P935" s="36"/>
      <c r="Q935" s="36"/>
      <c r="R935" s="36"/>
      <c r="S935" s="36"/>
      <c r="T935" s="36"/>
      <c r="U935" s="36"/>
    </row>
    <row r="936" spans="1:21">
      <c r="A936" s="74" t="s">
        <v>250</v>
      </c>
      <c r="B936" s="36">
        <v>226952</v>
      </c>
      <c r="C936" s="36">
        <v>88190</v>
      </c>
      <c r="D936" s="74" t="s">
        <v>642</v>
      </c>
      <c r="E936" s="36"/>
      <c r="F936" s="74"/>
      <c r="G936" s="74" t="s">
        <v>717</v>
      </c>
      <c r="H936" s="36"/>
      <c r="I936" s="36"/>
      <c r="J936" s="36"/>
      <c r="K936" s="36"/>
      <c r="L936" s="36"/>
      <c r="M936" s="36"/>
      <c r="N936" s="36"/>
      <c r="O936" s="36"/>
      <c r="P936" s="36"/>
      <c r="Q936" s="36"/>
      <c r="R936" s="36"/>
      <c r="S936" s="36"/>
      <c r="T936" s="36"/>
      <c r="U936" s="36"/>
    </row>
    <row r="937" spans="1:21">
      <c r="A937" s="74" t="s">
        <v>250</v>
      </c>
      <c r="B937" s="36">
        <v>226960</v>
      </c>
      <c r="C937" s="36">
        <v>87690</v>
      </c>
      <c r="D937" s="74" t="s">
        <v>570</v>
      </c>
      <c r="E937" s="36"/>
      <c r="F937" s="74"/>
      <c r="G937" s="74" t="s">
        <v>722</v>
      </c>
      <c r="H937" s="36"/>
      <c r="I937" s="36"/>
      <c r="J937" s="36"/>
      <c r="K937" s="36"/>
      <c r="L937" s="36"/>
      <c r="M937" s="36"/>
      <c r="N937" s="36"/>
      <c r="O937" s="36"/>
      <c r="P937" s="36"/>
      <c r="Q937" s="36"/>
      <c r="R937" s="36"/>
      <c r="S937" s="36"/>
      <c r="T937" s="36"/>
      <c r="U937" s="36"/>
    </row>
    <row r="938" spans="1:21">
      <c r="A938" s="74" t="s">
        <v>250</v>
      </c>
      <c r="B938" s="36">
        <v>226962</v>
      </c>
      <c r="C938" s="36">
        <v>93590</v>
      </c>
      <c r="D938" s="74" t="s">
        <v>571</v>
      </c>
      <c r="E938" s="36"/>
      <c r="F938" s="74"/>
      <c r="G938" s="74" t="s">
        <v>724</v>
      </c>
      <c r="H938" s="36"/>
      <c r="I938" s="36"/>
      <c r="J938" s="36"/>
      <c r="K938" s="36"/>
      <c r="L938" s="36"/>
      <c r="M938" s="36"/>
      <c r="N938" s="36"/>
      <c r="O938" s="36"/>
      <c r="P938" s="36"/>
      <c r="Q938" s="36"/>
      <c r="R938" s="36"/>
      <c r="S938" s="36"/>
      <c r="T938" s="36"/>
      <c r="U938" s="36"/>
    </row>
    <row r="939" spans="1:21">
      <c r="A939" s="74" t="s">
        <v>250</v>
      </c>
      <c r="B939" s="36">
        <v>217600</v>
      </c>
      <c r="C939" s="36">
        <v>11990</v>
      </c>
      <c r="D939" s="74" t="s">
        <v>572</v>
      </c>
      <c r="E939" s="36"/>
      <c r="F939" s="74"/>
      <c r="G939" s="74" t="s">
        <v>725</v>
      </c>
      <c r="H939" s="36"/>
      <c r="I939" s="36"/>
      <c r="J939" s="36"/>
      <c r="K939" s="36"/>
      <c r="L939" s="36"/>
      <c r="M939" s="36"/>
      <c r="N939" s="36"/>
      <c r="O939" s="36"/>
      <c r="P939" s="36"/>
      <c r="Q939" s="36"/>
      <c r="R939" s="36"/>
      <c r="S939" s="36"/>
      <c r="T939" s="36"/>
      <c r="U939" s="36"/>
    </row>
    <row r="940" spans="1:21">
      <c r="A940" s="74" t="s">
        <v>250</v>
      </c>
      <c r="B940" s="36">
        <v>163982</v>
      </c>
      <c r="C940" s="36"/>
      <c r="D940" s="74"/>
      <c r="E940" s="36"/>
      <c r="F940" s="74"/>
      <c r="G940" s="74" t="s">
        <v>661</v>
      </c>
      <c r="H940" s="36"/>
      <c r="I940" s="36"/>
      <c r="J940" s="36"/>
      <c r="K940" s="36"/>
      <c r="L940" s="36"/>
      <c r="M940" s="36"/>
      <c r="N940" s="36"/>
      <c r="O940" s="36"/>
      <c r="P940" s="36"/>
      <c r="Q940" s="36"/>
      <c r="R940" s="36"/>
      <c r="S940" s="36"/>
      <c r="T940" s="36"/>
      <c r="U940" s="36"/>
    </row>
    <row r="941" spans="1:21">
      <c r="A941" s="74" t="s">
        <v>250</v>
      </c>
      <c r="B941" s="36">
        <v>226965</v>
      </c>
      <c r="C941" s="36">
        <v>103690</v>
      </c>
      <c r="D941" s="74" t="s">
        <v>573</v>
      </c>
      <c r="E941" s="36"/>
      <c r="F941" s="74"/>
      <c r="G941" s="74" t="s">
        <v>727</v>
      </c>
      <c r="H941" s="36"/>
      <c r="I941" s="36"/>
      <c r="J941" s="36"/>
      <c r="K941" s="36"/>
      <c r="L941" s="36"/>
      <c r="M941" s="36"/>
      <c r="N941" s="36"/>
      <c r="O941" s="36"/>
      <c r="P941" s="36"/>
      <c r="Q941" s="36"/>
      <c r="R941" s="36"/>
      <c r="S941" s="36"/>
      <c r="T941" s="36"/>
      <c r="U941" s="36"/>
    </row>
    <row r="942" spans="1:21">
      <c r="A942" s="74" t="s">
        <v>250</v>
      </c>
      <c r="B942" s="36">
        <v>226970</v>
      </c>
      <c r="C942" s="36">
        <v>101190</v>
      </c>
      <c r="D942" s="74" t="s">
        <v>575</v>
      </c>
      <c r="E942" s="36"/>
      <c r="F942" s="74"/>
      <c r="G942" s="74" t="s">
        <v>728</v>
      </c>
      <c r="H942" s="36"/>
      <c r="I942" s="36"/>
      <c r="J942" s="36"/>
      <c r="K942" s="36"/>
      <c r="L942" s="36"/>
      <c r="M942" s="36"/>
      <c r="N942" s="36"/>
      <c r="O942" s="36"/>
      <c r="P942" s="36"/>
      <c r="Q942" s="36"/>
      <c r="R942" s="36"/>
      <c r="S942" s="36"/>
      <c r="T942" s="36"/>
      <c r="U942" s="36"/>
    </row>
    <row r="943" spans="1:21">
      <c r="A943" s="74" t="s">
        <v>250</v>
      </c>
      <c r="B943" s="36">
        <v>169887</v>
      </c>
      <c r="C943" s="36">
        <v>6890</v>
      </c>
      <c r="D943" s="74" t="s">
        <v>574</v>
      </c>
      <c r="E943" s="36"/>
      <c r="F943" s="74"/>
      <c r="G943" s="74" t="s">
        <v>680</v>
      </c>
      <c r="H943" s="36"/>
      <c r="I943" s="36"/>
      <c r="J943" s="36"/>
      <c r="K943" s="36"/>
      <c r="L943" s="36"/>
      <c r="M943" s="36"/>
      <c r="N943" s="36"/>
      <c r="O943" s="36"/>
      <c r="P943" s="36"/>
      <c r="Q943" s="36"/>
      <c r="R943" s="36"/>
      <c r="S943" s="36"/>
      <c r="T943" s="36"/>
      <c r="U943" s="36"/>
    </row>
    <row r="944" spans="1:21">
      <c r="A944" s="74" t="s">
        <v>250</v>
      </c>
      <c r="B944" s="36">
        <v>256871</v>
      </c>
      <c r="C944" s="36">
        <v>86390</v>
      </c>
      <c r="D944" s="74" t="s">
        <v>583</v>
      </c>
      <c r="E944" s="36"/>
      <c r="F944" s="74"/>
      <c r="G944" s="74" t="s">
        <v>710</v>
      </c>
      <c r="H944" s="36"/>
      <c r="I944" s="36"/>
      <c r="J944" s="36"/>
      <c r="K944" s="36"/>
      <c r="L944" s="36"/>
      <c r="M944" s="36"/>
      <c r="N944" s="36"/>
      <c r="O944" s="36"/>
      <c r="P944" s="36"/>
      <c r="Q944" s="36"/>
      <c r="R944" s="36"/>
      <c r="S944" s="36"/>
      <c r="T944" s="36"/>
      <c r="U944" s="36"/>
    </row>
    <row r="945" spans="1:21">
      <c r="A945" s="74" t="s">
        <v>250</v>
      </c>
      <c r="B945" s="36">
        <v>256867</v>
      </c>
      <c r="C945" s="36">
        <v>86990</v>
      </c>
      <c r="D945" s="74" t="s">
        <v>579</v>
      </c>
      <c r="E945" s="36"/>
      <c r="F945" s="74"/>
      <c r="G945" s="74" t="s">
        <v>729</v>
      </c>
      <c r="H945" s="36"/>
      <c r="I945" s="36"/>
      <c r="J945" s="36"/>
      <c r="K945" s="36"/>
      <c r="L945" s="36"/>
      <c r="M945" s="36"/>
      <c r="N945" s="36"/>
      <c r="O945" s="36"/>
      <c r="P945" s="36"/>
      <c r="Q945" s="36"/>
      <c r="R945" s="36"/>
      <c r="S945" s="36"/>
      <c r="T945" s="36"/>
      <c r="U945" s="36"/>
    </row>
    <row r="946" spans="1:21">
      <c r="A946" s="74" t="s">
        <v>250</v>
      </c>
      <c r="B946" s="36">
        <v>169733</v>
      </c>
      <c r="C946" s="36"/>
      <c r="D946" s="74"/>
      <c r="E946" s="36"/>
      <c r="F946" s="74"/>
      <c r="G946" s="74" t="s">
        <v>661</v>
      </c>
      <c r="H946" s="36"/>
      <c r="I946" s="36"/>
      <c r="J946" s="36"/>
      <c r="K946" s="36"/>
      <c r="L946" s="36"/>
      <c r="M946" s="36"/>
      <c r="N946" s="36"/>
      <c r="O946" s="36"/>
      <c r="P946" s="36"/>
      <c r="Q946" s="36"/>
      <c r="R946" s="36"/>
      <c r="S946" s="36"/>
      <c r="T946" s="36"/>
      <c r="U946" s="36"/>
    </row>
    <row r="947" spans="1:21">
      <c r="A947" s="74" t="s">
        <v>250</v>
      </c>
      <c r="B947" s="36">
        <v>158689</v>
      </c>
      <c r="C947" s="36"/>
      <c r="D947" s="74"/>
      <c r="E947" s="36"/>
      <c r="F947" s="74"/>
      <c r="G947" s="74" t="s">
        <v>661</v>
      </c>
      <c r="H947" s="36"/>
      <c r="I947" s="36"/>
      <c r="J947" s="36"/>
      <c r="K947" s="36"/>
      <c r="L947" s="36"/>
      <c r="M947" s="36"/>
      <c r="N947" s="36"/>
      <c r="O947" s="36"/>
      <c r="P947" s="36"/>
      <c r="Q947" s="36"/>
      <c r="R947" s="36"/>
      <c r="S947" s="36"/>
      <c r="T947" s="36"/>
      <c r="U947" s="36"/>
    </row>
    <row r="948" spans="1:21">
      <c r="A948" s="74" t="s">
        <v>250</v>
      </c>
      <c r="B948" s="36">
        <v>138631</v>
      </c>
      <c r="C948" s="36"/>
      <c r="D948" s="74"/>
      <c r="E948" s="36"/>
      <c r="F948" s="74"/>
      <c r="G948" s="74" t="s">
        <v>661</v>
      </c>
      <c r="H948" s="36"/>
      <c r="I948" s="36"/>
      <c r="J948" s="36"/>
      <c r="K948" s="36"/>
      <c r="L948" s="36"/>
      <c r="M948" s="36"/>
      <c r="N948" s="36"/>
      <c r="O948" s="36"/>
      <c r="P948" s="36"/>
      <c r="Q948" s="36"/>
      <c r="R948" s="36"/>
      <c r="S948" s="36"/>
      <c r="T948" s="36"/>
      <c r="U948" s="36"/>
    </row>
    <row r="949" spans="1:21">
      <c r="A949" s="74" t="s">
        <v>250</v>
      </c>
      <c r="B949" s="36">
        <v>212479</v>
      </c>
      <c r="C949" s="36"/>
      <c r="D949" s="74"/>
      <c r="E949" s="36"/>
      <c r="F949" s="74"/>
      <c r="G949" s="74" t="s">
        <v>661</v>
      </c>
      <c r="H949" s="36"/>
      <c r="I949" s="36"/>
      <c r="J949" s="36"/>
      <c r="K949" s="36"/>
      <c r="L949" s="36"/>
      <c r="M949" s="36"/>
      <c r="N949" s="36"/>
      <c r="O949" s="36"/>
      <c r="P949" s="36"/>
      <c r="Q949" s="36"/>
      <c r="R949" s="36"/>
      <c r="S949" s="36"/>
      <c r="T949" s="36"/>
      <c r="U949" s="36"/>
    </row>
    <row r="950" spans="1:21">
      <c r="A950" s="74" t="s">
        <v>250</v>
      </c>
      <c r="B950" s="36">
        <v>212480</v>
      </c>
      <c r="C950" s="36"/>
      <c r="D950" s="74"/>
      <c r="E950" s="36"/>
      <c r="F950" s="74"/>
      <c r="G950" s="74" t="s">
        <v>661</v>
      </c>
      <c r="H950" s="36"/>
      <c r="I950" s="36"/>
      <c r="J950" s="36"/>
      <c r="K950" s="36"/>
      <c r="L950" s="36"/>
      <c r="M950" s="36"/>
      <c r="N950" s="36"/>
      <c r="O950" s="36"/>
      <c r="P950" s="36"/>
      <c r="Q950" s="36"/>
      <c r="R950" s="36"/>
      <c r="S950" s="36"/>
      <c r="T950" s="36"/>
      <c r="U950" s="36"/>
    </row>
    <row r="951" spans="1:21">
      <c r="A951" s="74" t="s">
        <v>250</v>
      </c>
      <c r="B951" s="36">
        <v>212481</v>
      </c>
      <c r="C951" s="36"/>
      <c r="D951" s="74"/>
      <c r="E951" s="36"/>
      <c r="F951" s="74"/>
      <c r="G951" s="74" t="s">
        <v>661</v>
      </c>
      <c r="H951" s="36"/>
      <c r="I951" s="36"/>
      <c r="J951" s="36"/>
      <c r="K951" s="36"/>
      <c r="L951" s="36"/>
      <c r="M951" s="36"/>
      <c r="N951" s="36"/>
      <c r="O951" s="36"/>
      <c r="P951" s="36"/>
      <c r="Q951" s="36"/>
      <c r="R951" s="36"/>
      <c r="S951" s="36"/>
      <c r="T951" s="36"/>
      <c r="U951" s="36"/>
    </row>
    <row r="952" spans="1:21">
      <c r="A952" s="74" t="s">
        <v>250</v>
      </c>
      <c r="B952" s="36">
        <v>212482</v>
      </c>
      <c r="C952" s="36"/>
      <c r="D952" s="74"/>
      <c r="E952" s="36"/>
      <c r="F952" s="74"/>
      <c r="G952" s="74" t="s">
        <v>661</v>
      </c>
      <c r="H952" s="36"/>
      <c r="I952" s="36"/>
      <c r="J952" s="36"/>
      <c r="K952" s="36"/>
      <c r="L952" s="36"/>
      <c r="M952" s="36"/>
      <c r="N952" s="36"/>
      <c r="O952" s="36"/>
      <c r="P952" s="36"/>
      <c r="Q952" s="36"/>
      <c r="R952" s="36"/>
      <c r="S952" s="36"/>
      <c r="T952" s="36"/>
      <c r="U952" s="36"/>
    </row>
    <row r="953" spans="1:21">
      <c r="A953" s="74" t="s">
        <v>250</v>
      </c>
      <c r="B953" s="36">
        <v>212484</v>
      </c>
      <c r="C953" s="36"/>
      <c r="D953" s="74"/>
      <c r="E953" s="36"/>
      <c r="F953" s="74"/>
      <c r="G953" s="74" t="s">
        <v>661</v>
      </c>
      <c r="H953" s="36"/>
      <c r="I953" s="36"/>
      <c r="J953" s="36"/>
      <c r="K953" s="36"/>
      <c r="L953" s="36"/>
      <c r="M953" s="36"/>
      <c r="N953" s="36"/>
      <c r="O953" s="36"/>
      <c r="P953" s="36"/>
      <c r="Q953" s="36"/>
      <c r="R953" s="36"/>
      <c r="S953" s="36"/>
      <c r="T953" s="36"/>
      <c r="U953" s="36"/>
    </row>
    <row r="954" spans="1:21">
      <c r="A954" s="74" t="s">
        <v>250</v>
      </c>
      <c r="B954" s="36">
        <v>212483</v>
      </c>
      <c r="C954" s="36"/>
      <c r="D954" s="74"/>
      <c r="E954" s="36"/>
      <c r="F954" s="74"/>
      <c r="G954" s="74" t="s">
        <v>661</v>
      </c>
      <c r="H954" s="36"/>
      <c r="I954" s="36"/>
      <c r="J954" s="36"/>
      <c r="K954" s="36"/>
      <c r="L954" s="36"/>
      <c r="M954" s="36"/>
      <c r="N954" s="36"/>
      <c r="O954" s="36"/>
      <c r="P954" s="36"/>
      <c r="Q954" s="36"/>
      <c r="R954" s="36"/>
      <c r="S954" s="36"/>
      <c r="T954" s="36"/>
      <c r="U954" s="36"/>
    </row>
    <row r="955" spans="1:21">
      <c r="A955" s="74" t="s">
        <v>250</v>
      </c>
      <c r="B955" s="36">
        <v>212485</v>
      </c>
      <c r="C955" s="36"/>
      <c r="D955" s="74"/>
      <c r="E955" s="36"/>
      <c r="F955" s="74"/>
      <c r="G955" s="74" t="s">
        <v>661</v>
      </c>
      <c r="H955" s="36"/>
      <c r="I955" s="36"/>
      <c r="J955" s="36"/>
      <c r="K955" s="36"/>
      <c r="L955" s="36"/>
      <c r="M955" s="36"/>
      <c r="N955" s="36"/>
      <c r="O955" s="36"/>
      <c r="P955" s="36"/>
      <c r="Q955" s="36"/>
      <c r="R955" s="36"/>
      <c r="S955" s="36"/>
      <c r="T955" s="36"/>
      <c r="U955" s="36"/>
    </row>
    <row r="956" spans="1:21">
      <c r="A956" s="74" t="s">
        <v>250</v>
      </c>
      <c r="B956" s="36">
        <v>138630</v>
      </c>
      <c r="C956" s="36"/>
      <c r="D956" s="74"/>
      <c r="E956" s="36"/>
      <c r="F956" s="74"/>
      <c r="G956" s="74" t="s">
        <v>661</v>
      </c>
      <c r="H956" s="36"/>
      <c r="I956" s="36"/>
      <c r="J956" s="36"/>
      <c r="K956" s="36"/>
      <c r="L956" s="36"/>
      <c r="M956" s="36"/>
      <c r="N956" s="36"/>
      <c r="O956" s="36"/>
      <c r="P956" s="36"/>
      <c r="Q956" s="36"/>
      <c r="R956" s="36"/>
      <c r="S956" s="36"/>
      <c r="T956" s="36"/>
      <c r="U956" s="36"/>
    </row>
    <row r="957" spans="1:21">
      <c r="A957" s="74" t="s">
        <v>250</v>
      </c>
      <c r="B957" s="36">
        <v>212894</v>
      </c>
      <c r="C957" s="36"/>
      <c r="D957" s="74"/>
      <c r="E957" s="36"/>
      <c r="F957" s="74"/>
      <c r="G957" s="74" t="s">
        <v>661</v>
      </c>
      <c r="H957" s="36"/>
      <c r="I957" s="36"/>
      <c r="J957" s="36"/>
      <c r="K957" s="36"/>
      <c r="L957" s="36"/>
      <c r="M957" s="36"/>
      <c r="N957" s="36"/>
      <c r="O957" s="36"/>
      <c r="P957" s="36"/>
      <c r="Q957" s="36"/>
      <c r="R957" s="36"/>
      <c r="S957" s="36"/>
      <c r="T957" s="36"/>
      <c r="U957" s="36"/>
    </row>
    <row r="958" spans="1:21">
      <c r="A958" s="74" t="s">
        <v>250</v>
      </c>
      <c r="B958" s="36">
        <v>212901</v>
      </c>
      <c r="C958" s="36"/>
      <c r="D958" s="74"/>
      <c r="E958" s="36"/>
      <c r="F958" s="74"/>
      <c r="G958" s="74" t="s">
        <v>661</v>
      </c>
      <c r="H958" s="36"/>
      <c r="I958" s="36"/>
      <c r="J958" s="36"/>
      <c r="K958" s="36"/>
      <c r="L958" s="36"/>
      <c r="M958" s="36"/>
      <c r="N958" s="36"/>
      <c r="O958" s="36"/>
      <c r="P958" s="36"/>
      <c r="Q958" s="36"/>
      <c r="R958" s="36"/>
      <c r="S958" s="36"/>
      <c r="T958" s="36"/>
      <c r="U958" s="36"/>
    </row>
    <row r="959" spans="1:21">
      <c r="A959" s="74" t="s">
        <v>250</v>
      </c>
      <c r="B959" s="36">
        <v>214014</v>
      </c>
      <c r="C959" s="36"/>
      <c r="D959" s="74"/>
      <c r="E959" s="36"/>
      <c r="F959" s="74"/>
      <c r="G959" s="74" t="s">
        <v>661</v>
      </c>
      <c r="H959" s="36"/>
      <c r="I959" s="36"/>
      <c r="J959" s="36"/>
      <c r="K959" s="36"/>
      <c r="L959" s="36"/>
      <c r="M959" s="36"/>
      <c r="N959" s="36"/>
      <c r="O959" s="36"/>
      <c r="P959" s="36"/>
      <c r="Q959" s="36"/>
      <c r="R959" s="36"/>
      <c r="S959" s="36"/>
      <c r="T959" s="36"/>
      <c r="U959" s="36"/>
    </row>
    <row r="960" spans="1:21">
      <c r="A960" s="74" t="s">
        <v>250</v>
      </c>
      <c r="B960" s="36">
        <v>218628</v>
      </c>
      <c r="C960" s="36"/>
      <c r="D960" s="74"/>
      <c r="E960" s="36"/>
      <c r="F960" s="74"/>
      <c r="G960" s="74" t="s">
        <v>661</v>
      </c>
      <c r="H960" s="36"/>
      <c r="I960" s="36"/>
      <c r="J960" s="36"/>
      <c r="K960" s="36"/>
      <c r="L960" s="36"/>
      <c r="M960" s="36"/>
      <c r="N960" s="36"/>
      <c r="O960" s="36"/>
      <c r="P960" s="36"/>
      <c r="Q960" s="36"/>
      <c r="R960" s="36"/>
      <c r="S960" s="36"/>
      <c r="T960" s="36"/>
      <c r="U960" s="36"/>
    </row>
    <row r="961" spans="1:21">
      <c r="A961" s="74" t="s">
        <v>250</v>
      </c>
      <c r="B961" s="36">
        <v>221518</v>
      </c>
      <c r="C961" s="36"/>
      <c r="D961" s="74"/>
      <c r="E961" s="36"/>
      <c r="F961" s="74"/>
      <c r="G961" s="74" t="s">
        <v>661</v>
      </c>
      <c r="H961" s="36"/>
      <c r="I961" s="36"/>
      <c r="J961" s="36"/>
      <c r="K961" s="36"/>
      <c r="L961" s="36"/>
      <c r="M961" s="36"/>
      <c r="N961" s="36"/>
      <c r="O961" s="36"/>
      <c r="P961" s="36"/>
      <c r="Q961" s="36"/>
      <c r="R961" s="36"/>
      <c r="S961" s="36"/>
      <c r="T961" s="36"/>
      <c r="U961" s="36"/>
    </row>
    <row r="962" spans="1:21">
      <c r="A962" s="74" t="s">
        <v>250</v>
      </c>
      <c r="B962" s="36">
        <v>226786</v>
      </c>
      <c r="C962" s="36"/>
      <c r="D962" s="74"/>
      <c r="E962" s="36"/>
      <c r="F962" s="74"/>
      <c r="G962" s="74" t="s">
        <v>661</v>
      </c>
      <c r="H962" s="36"/>
      <c r="I962" s="36"/>
      <c r="J962" s="36"/>
      <c r="K962" s="36"/>
      <c r="L962" s="36"/>
      <c r="M962" s="36"/>
      <c r="N962" s="36"/>
      <c r="O962" s="36"/>
      <c r="P962" s="36"/>
      <c r="Q962" s="36"/>
      <c r="R962" s="36"/>
      <c r="S962" s="36"/>
      <c r="T962" s="36"/>
      <c r="U962" s="36"/>
    </row>
    <row r="963" spans="1:21">
      <c r="A963" s="74" t="s">
        <v>250</v>
      </c>
      <c r="B963" s="36">
        <v>226983</v>
      </c>
      <c r="C963" s="36"/>
      <c r="D963" s="74"/>
      <c r="E963" s="36"/>
      <c r="F963" s="74"/>
      <c r="G963" s="74" t="s">
        <v>661</v>
      </c>
      <c r="H963" s="36"/>
      <c r="I963" s="36"/>
      <c r="J963" s="36"/>
      <c r="K963" s="36"/>
      <c r="L963" s="36"/>
      <c r="M963" s="36"/>
      <c r="N963" s="36"/>
      <c r="O963" s="36"/>
      <c r="P963" s="36"/>
      <c r="Q963" s="36"/>
      <c r="R963" s="36"/>
      <c r="S963" s="36"/>
      <c r="T963" s="36"/>
      <c r="U963" s="36"/>
    </row>
    <row r="964" spans="1:21">
      <c r="A964" s="74" t="s">
        <v>250</v>
      </c>
      <c r="B964" s="36">
        <v>226984</v>
      </c>
      <c r="C964" s="36"/>
      <c r="D964" s="74"/>
      <c r="E964" s="36"/>
      <c r="F964" s="74"/>
      <c r="G964" s="74" t="s">
        <v>661</v>
      </c>
      <c r="H964" s="36"/>
      <c r="I964" s="36"/>
      <c r="J964" s="36"/>
      <c r="K964" s="36"/>
      <c r="L964" s="36"/>
      <c r="M964" s="36"/>
      <c r="N964" s="36"/>
      <c r="O964" s="36"/>
      <c r="P964" s="36"/>
      <c r="Q964" s="36"/>
      <c r="R964" s="36"/>
      <c r="S964" s="36"/>
      <c r="T964" s="36"/>
      <c r="U964" s="36"/>
    </row>
    <row r="965" spans="1:21">
      <c r="A965" s="74" t="s">
        <v>250</v>
      </c>
      <c r="B965" s="36">
        <v>226985</v>
      </c>
      <c r="C965" s="36"/>
      <c r="D965" s="74"/>
      <c r="E965" s="36"/>
      <c r="F965" s="74"/>
      <c r="G965" s="74" t="s">
        <v>661</v>
      </c>
      <c r="H965" s="36"/>
      <c r="I965" s="36"/>
      <c r="J965" s="36"/>
      <c r="K965" s="36"/>
      <c r="L965" s="36"/>
      <c r="M965" s="36"/>
      <c r="N965" s="36"/>
      <c r="O965" s="36"/>
      <c r="P965" s="36"/>
      <c r="Q965" s="36"/>
      <c r="R965" s="36"/>
      <c r="S965" s="36"/>
      <c r="T965" s="36"/>
      <c r="U965" s="36"/>
    </row>
    <row r="966" spans="1:21">
      <c r="A966" s="74" t="s">
        <v>250</v>
      </c>
      <c r="B966" s="36">
        <v>226986</v>
      </c>
      <c r="C966" s="36"/>
      <c r="D966" s="74"/>
      <c r="E966" s="36"/>
      <c r="F966" s="74"/>
      <c r="G966" s="74" t="s">
        <v>661</v>
      </c>
      <c r="H966" s="36"/>
      <c r="I966" s="36"/>
      <c r="J966" s="36"/>
      <c r="K966" s="36"/>
      <c r="L966" s="36"/>
      <c r="M966" s="36"/>
      <c r="N966" s="36"/>
      <c r="O966" s="36"/>
      <c r="P966" s="36"/>
      <c r="Q966" s="36"/>
      <c r="R966" s="36"/>
      <c r="S966" s="36"/>
      <c r="T966" s="36"/>
      <c r="U966" s="36"/>
    </row>
    <row r="967" spans="1:21">
      <c r="A967" s="74" t="s">
        <v>250</v>
      </c>
      <c r="B967" s="36">
        <v>226987</v>
      </c>
      <c r="C967" s="36"/>
      <c r="D967" s="74"/>
      <c r="E967" s="36"/>
      <c r="F967" s="74"/>
      <c r="G967" s="74" t="s">
        <v>661</v>
      </c>
      <c r="H967" s="36"/>
      <c r="I967" s="36"/>
      <c r="J967" s="36"/>
      <c r="K967" s="36"/>
      <c r="L967" s="36"/>
      <c r="M967" s="36"/>
      <c r="N967" s="36"/>
      <c r="O967" s="36"/>
      <c r="P967" s="36"/>
      <c r="Q967" s="36"/>
      <c r="R967" s="36"/>
      <c r="S967" s="36"/>
      <c r="T967" s="36"/>
      <c r="U967" s="36"/>
    </row>
    <row r="968" spans="1:21">
      <c r="A968" s="74" t="s">
        <v>250</v>
      </c>
      <c r="B968" s="36">
        <v>226988</v>
      </c>
      <c r="C968" s="36"/>
      <c r="D968" s="74"/>
      <c r="E968" s="36"/>
      <c r="F968" s="74"/>
      <c r="G968" s="74" t="s">
        <v>661</v>
      </c>
      <c r="H968" s="36"/>
      <c r="I968" s="36"/>
      <c r="J968" s="36"/>
      <c r="K968" s="36"/>
      <c r="L968" s="36"/>
      <c r="M968" s="36"/>
      <c r="N968" s="36"/>
      <c r="O968" s="36"/>
      <c r="P968" s="36"/>
      <c r="Q968" s="36"/>
      <c r="R968" s="36"/>
      <c r="S968" s="36"/>
      <c r="T968" s="36"/>
      <c r="U968" s="36"/>
    </row>
    <row r="969" spans="1:21">
      <c r="A969" s="74" t="s">
        <v>250</v>
      </c>
      <c r="B969" s="36">
        <v>226989</v>
      </c>
      <c r="C969" s="36"/>
      <c r="D969" s="74"/>
      <c r="E969" s="36"/>
      <c r="F969" s="74"/>
      <c r="G969" s="74" t="s">
        <v>661</v>
      </c>
      <c r="H969" s="36"/>
      <c r="I969" s="36"/>
      <c r="J969" s="36"/>
      <c r="K969" s="36"/>
      <c r="L969" s="36"/>
      <c r="M969" s="36"/>
      <c r="N969" s="36"/>
      <c r="O969" s="36"/>
      <c r="P969" s="36"/>
      <c r="Q969" s="36"/>
      <c r="R969" s="36"/>
      <c r="S969" s="36"/>
      <c r="T969" s="36"/>
      <c r="U969" s="36"/>
    </row>
    <row r="970" spans="1:21">
      <c r="A970" s="74" t="s">
        <v>250</v>
      </c>
      <c r="B970" s="36">
        <v>226990</v>
      </c>
      <c r="C970" s="36"/>
      <c r="D970" s="74"/>
      <c r="E970" s="36"/>
      <c r="F970" s="74"/>
      <c r="G970" s="74" t="s">
        <v>661</v>
      </c>
      <c r="H970" s="36"/>
      <c r="I970" s="36"/>
      <c r="J970" s="36"/>
      <c r="K970" s="36"/>
      <c r="L970" s="36"/>
      <c r="M970" s="36"/>
      <c r="N970" s="36"/>
      <c r="O970" s="36"/>
      <c r="P970" s="36"/>
      <c r="Q970" s="36"/>
      <c r="R970" s="36"/>
      <c r="S970" s="36"/>
      <c r="T970" s="36"/>
      <c r="U970" s="36"/>
    </row>
    <row r="971" spans="1:21">
      <c r="A971" s="74" t="s">
        <v>250</v>
      </c>
      <c r="B971" s="36">
        <v>226992</v>
      </c>
      <c r="C971" s="36"/>
      <c r="D971" s="74"/>
      <c r="E971" s="36"/>
      <c r="F971" s="74"/>
      <c r="G971" s="74" t="s">
        <v>661</v>
      </c>
      <c r="H971" s="36"/>
      <c r="I971" s="36"/>
      <c r="J971" s="36"/>
      <c r="K971" s="36"/>
      <c r="L971" s="36"/>
      <c r="M971" s="36"/>
      <c r="N971" s="36"/>
      <c r="O971" s="36"/>
      <c r="P971" s="36"/>
      <c r="Q971" s="36"/>
      <c r="R971" s="36"/>
      <c r="S971" s="36"/>
      <c r="T971" s="36"/>
      <c r="U971" s="36"/>
    </row>
    <row r="972" spans="1:21">
      <c r="A972" s="74" t="s">
        <v>250</v>
      </c>
      <c r="B972" s="36">
        <v>226993</v>
      </c>
      <c r="C972" s="36"/>
      <c r="D972" s="74"/>
      <c r="E972" s="36"/>
      <c r="F972" s="74"/>
      <c r="G972" s="74" t="s">
        <v>661</v>
      </c>
      <c r="H972" s="36"/>
      <c r="I972" s="36"/>
      <c r="J972" s="36"/>
      <c r="K972" s="36"/>
      <c r="L972" s="36"/>
      <c r="M972" s="36"/>
      <c r="N972" s="36"/>
      <c r="O972" s="36"/>
      <c r="P972" s="36"/>
      <c r="Q972" s="36"/>
      <c r="R972" s="36"/>
      <c r="S972" s="36"/>
      <c r="T972" s="36"/>
      <c r="U972" s="36"/>
    </row>
    <row r="973" spans="1:21">
      <c r="A973" s="74" t="s">
        <v>250</v>
      </c>
      <c r="B973" s="36">
        <v>226994</v>
      </c>
      <c r="C973" s="36"/>
      <c r="D973" s="74"/>
      <c r="E973" s="36"/>
      <c r="F973" s="74"/>
      <c r="G973" s="74" t="s">
        <v>661</v>
      </c>
      <c r="H973" s="36"/>
      <c r="I973" s="36"/>
      <c r="J973" s="36"/>
      <c r="K973" s="36"/>
      <c r="L973" s="36"/>
      <c r="M973" s="36"/>
      <c r="N973" s="36"/>
      <c r="O973" s="36"/>
      <c r="P973" s="36"/>
      <c r="Q973" s="36"/>
      <c r="R973" s="36"/>
      <c r="S973" s="36"/>
      <c r="T973" s="36"/>
      <c r="U973" s="36"/>
    </row>
    <row r="974" spans="1:21">
      <c r="A974" s="74" t="s">
        <v>250</v>
      </c>
      <c r="B974" s="36">
        <v>226928</v>
      </c>
      <c r="C974" s="36"/>
      <c r="D974" s="74"/>
      <c r="E974" s="36"/>
      <c r="F974" s="74"/>
      <c r="G974" s="74" t="s">
        <v>661</v>
      </c>
      <c r="H974" s="36"/>
      <c r="I974" s="36"/>
      <c r="J974" s="36"/>
      <c r="K974" s="36"/>
      <c r="L974" s="36"/>
      <c r="M974" s="36"/>
      <c r="N974" s="36"/>
      <c r="O974" s="36"/>
      <c r="P974" s="36"/>
      <c r="Q974" s="36"/>
      <c r="R974" s="36"/>
      <c r="S974" s="36"/>
      <c r="T974" s="36"/>
      <c r="U974" s="36"/>
    </row>
    <row r="975" spans="1:21">
      <c r="A975" s="74" t="s">
        <v>250</v>
      </c>
      <c r="B975" s="36">
        <v>226995</v>
      </c>
      <c r="C975" s="36"/>
      <c r="D975" s="74"/>
      <c r="E975" s="36"/>
      <c r="F975" s="74"/>
      <c r="G975" s="74" t="s">
        <v>661</v>
      </c>
      <c r="H975" s="36"/>
      <c r="I975" s="36"/>
      <c r="J975" s="36"/>
      <c r="K975" s="36"/>
      <c r="L975" s="36"/>
      <c r="M975" s="36"/>
      <c r="N975" s="36"/>
      <c r="O975" s="36"/>
      <c r="P975" s="36"/>
      <c r="Q975" s="36"/>
      <c r="R975" s="36"/>
      <c r="S975" s="36"/>
      <c r="T975" s="36"/>
      <c r="U975" s="36"/>
    </row>
    <row r="976" spans="1:21">
      <c r="A976" s="74" t="s">
        <v>250</v>
      </c>
      <c r="B976" s="36">
        <v>138621</v>
      </c>
      <c r="C976" s="36"/>
      <c r="D976" s="74"/>
      <c r="E976" s="36"/>
      <c r="F976" s="74"/>
      <c r="G976" s="74" t="s">
        <v>661</v>
      </c>
      <c r="H976" s="36"/>
      <c r="I976" s="36"/>
      <c r="J976" s="36"/>
      <c r="K976" s="36"/>
      <c r="L976" s="36"/>
      <c r="M976" s="36"/>
      <c r="N976" s="36"/>
      <c r="O976" s="36"/>
      <c r="P976" s="36"/>
      <c r="Q976" s="36"/>
      <c r="R976" s="36"/>
      <c r="S976" s="36"/>
      <c r="T976" s="36"/>
      <c r="U976" s="36"/>
    </row>
    <row r="977" spans="1:21">
      <c r="A977" s="74" t="s">
        <v>250</v>
      </c>
      <c r="B977" s="36">
        <v>138645</v>
      </c>
      <c r="C977" s="36"/>
      <c r="D977" s="74"/>
      <c r="E977" s="36"/>
      <c r="F977" s="74"/>
      <c r="G977" s="74" t="s">
        <v>661</v>
      </c>
      <c r="H977" s="36"/>
      <c r="I977" s="36"/>
      <c r="J977" s="36"/>
      <c r="K977" s="36"/>
      <c r="L977" s="36"/>
      <c r="M977" s="36"/>
      <c r="N977" s="36"/>
      <c r="O977" s="36"/>
      <c r="P977" s="36"/>
      <c r="Q977" s="36"/>
      <c r="R977" s="36"/>
      <c r="S977" s="36"/>
      <c r="T977" s="36"/>
      <c r="U977" s="36"/>
    </row>
    <row r="978" spans="1:21">
      <c r="A978" s="74" t="s">
        <v>250</v>
      </c>
      <c r="B978" s="36">
        <v>138646</v>
      </c>
      <c r="C978" s="36"/>
      <c r="D978" s="74"/>
      <c r="E978" s="36"/>
      <c r="F978" s="74"/>
      <c r="G978" s="74" t="s">
        <v>661</v>
      </c>
      <c r="H978" s="36"/>
      <c r="I978" s="36"/>
      <c r="J978" s="36"/>
      <c r="K978" s="36"/>
      <c r="L978" s="36"/>
      <c r="M978" s="36"/>
      <c r="N978" s="36"/>
      <c r="O978" s="36"/>
      <c r="P978" s="36"/>
      <c r="Q978" s="36"/>
      <c r="R978" s="36"/>
      <c r="S978" s="36"/>
      <c r="T978" s="36"/>
      <c r="U978" s="36"/>
    </row>
    <row r="979" spans="1:21">
      <c r="A979" s="74" t="s">
        <v>250</v>
      </c>
      <c r="B979" s="36">
        <v>138647</v>
      </c>
      <c r="C979" s="36"/>
      <c r="D979" s="74"/>
      <c r="E979" s="36"/>
      <c r="F979" s="74"/>
      <c r="G979" s="74" t="s">
        <v>661</v>
      </c>
      <c r="H979" s="36"/>
      <c r="I979" s="36"/>
      <c r="J979" s="36"/>
      <c r="K979" s="36"/>
      <c r="L979" s="36"/>
      <c r="M979" s="36"/>
      <c r="N979" s="36"/>
      <c r="O979" s="36"/>
      <c r="P979" s="36"/>
      <c r="Q979" s="36"/>
      <c r="R979" s="36"/>
      <c r="S979" s="36"/>
      <c r="T979" s="36"/>
      <c r="U979" s="36"/>
    </row>
    <row r="980" spans="1:21">
      <c r="A980" s="74" t="s">
        <v>250</v>
      </c>
      <c r="B980" s="36">
        <v>138648</v>
      </c>
      <c r="C980" s="36"/>
      <c r="D980" s="74"/>
      <c r="E980" s="36"/>
      <c r="F980" s="74"/>
      <c r="G980" s="74" t="s">
        <v>661</v>
      </c>
      <c r="H980" s="36"/>
      <c r="I980" s="36"/>
      <c r="J980" s="36"/>
      <c r="K980" s="36"/>
      <c r="L980" s="36"/>
      <c r="M980" s="36"/>
      <c r="N980" s="36"/>
      <c r="O980" s="36"/>
      <c r="P980" s="36"/>
      <c r="Q980" s="36"/>
      <c r="R980" s="36"/>
      <c r="S980" s="36"/>
      <c r="T980" s="36"/>
      <c r="U980" s="36"/>
    </row>
    <row r="981" spans="1:21">
      <c r="A981" s="74" t="s">
        <v>250</v>
      </c>
      <c r="B981" s="36">
        <v>138628</v>
      </c>
      <c r="C981" s="36"/>
      <c r="D981" s="74"/>
      <c r="E981" s="36"/>
      <c r="F981" s="74"/>
      <c r="G981" s="74" t="s">
        <v>661</v>
      </c>
      <c r="H981" s="36"/>
      <c r="I981" s="36"/>
      <c r="J981" s="36"/>
      <c r="K981" s="36"/>
      <c r="L981" s="36"/>
      <c r="M981" s="36"/>
      <c r="N981" s="36"/>
      <c r="O981" s="36"/>
      <c r="P981" s="36"/>
      <c r="Q981" s="36"/>
      <c r="R981" s="36"/>
      <c r="S981" s="36"/>
      <c r="T981" s="36"/>
      <c r="U981" s="36"/>
    </row>
    <row r="982" spans="1:21">
      <c r="A982" s="74" t="s">
        <v>250</v>
      </c>
      <c r="B982" s="36">
        <v>138650</v>
      </c>
      <c r="C982" s="36"/>
      <c r="D982" s="74"/>
      <c r="E982" s="36"/>
      <c r="F982" s="74"/>
      <c r="G982" s="74" t="s">
        <v>661</v>
      </c>
      <c r="H982" s="36"/>
      <c r="I982" s="36"/>
      <c r="J982" s="36"/>
      <c r="K982" s="36"/>
      <c r="L982" s="36"/>
      <c r="M982" s="36"/>
      <c r="N982" s="36"/>
      <c r="O982" s="36"/>
      <c r="P982" s="36"/>
      <c r="Q982" s="36"/>
      <c r="R982" s="36"/>
      <c r="S982" s="36"/>
      <c r="T982" s="36"/>
      <c r="U982" s="36"/>
    </row>
    <row r="983" spans="1:21">
      <c r="A983" s="74" t="s">
        <v>250</v>
      </c>
      <c r="B983" s="36">
        <v>138651</v>
      </c>
      <c r="C983" s="36"/>
      <c r="D983" s="74"/>
      <c r="E983" s="36"/>
      <c r="F983" s="74"/>
      <c r="G983" s="74" t="s">
        <v>661</v>
      </c>
      <c r="H983" s="36"/>
      <c r="I983" s="36"/>
      <c r="J983" s="36"/>
      <c r="K983" s="36"/>
      <c r="L983" s="36"/>
      <c r="M983" s="36"/>
      <c r="N983" s="36"/>
      <c r="O983" s="36"/>
      <c r="P983" s="36"/>
      <c r="Q983" s="36"/>
      <c r="R983" s="36"/>
      <c r="S983" s="36"/>
      <c r="T983" s="36"/>
      <c r="U983" s="36"/>
    </row>
    <row r="984" spans="1:21">
      <c r="A984" s="74" t="s">
        <v>250</v>
      </c>
      <c r="B984" s="36">
        <v>160011</v>
      </c>
      <c r="C984" s="36"/>
      <c r="D984" s="74"/>
      <c r="E984" s="36"/>
      <c r="F984" s="74"/>
      <c r="G984" s="74" t="s">
        <v>661</v>
      </c>
      <c r="H984" s="36"/>
      <c r="I984" s="36"/>
      <c r="J984" s="36"/>
      <c r="K984" s="36"/>
      <c r="L984" s="36"/>
      <c r="M984" s="36"/>
      <c r="N984" s="36"/>
      <c r="O984" s="36"/>
      <c r="P984" s="36"/>
      <c r="Q984" s="36"/>
      <c r="R984" s="36"/>
      <c r="S984" s="36"/>
      <c r="T984" s="36"/>
      <c r="U984" s="36"/>
    </row>
    <row r="985" spans="1:21">
      <c r="A985" s="74" t="s">
        <v>250</v>
      </c>
      <c r="B985" s="36">
        <v>164699</v>
      </c>
      <c r="C985" s="36"/>
      <c r="D985" s="74"/>
      <c r="E985" s="36"/>
      <c r="F985" s="74"/>
      <c r="G985" s="74" t="s">
        <v>661</v>
      </c>
      <c r="H985" s="36"/>
      <c r="I985" s="36"/>
      <c r="J985" s="36"/>
      <c r="K985" s="36"/>
      <c r="L985" s="36"/>
      <c r="M985" s="36"/>
      <c r="N985" s="36"/>
      <c r="O985" s="36"/>
      <c r="P985" s="36"/>
      <c r="Q985" s="36"/>
      <c r="R985" s="36"/>
      <c r="S985" s="36"/>
      <c r="T985" s="36"/>
      <c r="U985" s="36"/>
    </row>
    <row r="986" spans="1:21">
      <c r="A986" s="74" t="s">
        <v>250</v>
      </c>
      <c r="B986" s="36">
        <v>181919</v>
      </c>
      <c r="C986" s="36"/>
      <c r="D986" s="74"/>
      <c r="E986" s="36"/>
      <c r="F986" s="74"/>
      <c r="G986" s="74" t="s">
        <v>661</v>
      </c>
      <c r="H986" s="36"/>
      <c r="I986" s="36"/>
      <c r="J986" s="36"/>
      <c r="K986" s="36"/>
      <c r="L986" s="36"/>
      <c r="M986" s="36"/>
      <c r="N986" s="36"/>
      <c r="O986" s="36"/>
      <c r="P986" s="36"/>
      <c r="Q986" s="36"/>
      <c r="R986" s="36"/>
      <c r="S986" s="36"/>
      <c r="T986" s="36"/>
      <c r="U986" s="36"/>
    </row>
    <row r="987" spans="1:21">
      <c r="A987" s="74" t="s">
        <v>250</v>
      </c>
      <c r="B987" s="36">
        <v>205828</v>
      </c>
      <c r="C987" s="36"/>
      <c r="D987" s="74"/>
      <c r="E987" s="36"/>
      <c r="F987" s="74"/>
      <c r="G987" s="74" t="s">
        <v>661</v>
      </c>
      <c r="H987" s="36"/>
      <c r="I987" s="36"/>
      <c r="J987" s="36"/>
      <c r="K987" s="36"/>
      <c r="L987" s="36"/>
      <c r="M987" s="36"/>
      <c r="N987" s="36"/>
      <c r="O987" s="36"/>
      <c r="P987" s="36"/>
      <c r="Q987" s="36"/>
      <c r="R987" s="36"/>
      <c r="S987" s="36"/>
      <c r="T987" s="36"/>
      <c r="U987" s="36"/>
    </row>
    <row r="988" spans="1:21">
      <c r="A988" s="74" t="s">
        <v>250</v>
      </c>
      <c r="B988" s="36">
        <v>212266</v>
      </c>
      <c r="C988" s="36"/>
      <c r="D988" s="74"/>
      <c r="E988" s="36"/>
      <c r="F988" s="74"/>
      <c r="G988" s="74" t="s">
        <v>661</v>
      </c>
      <c r="H988" s="36"/>
      <c r="I988" s="36"/>
      <c r="J988" s="36"/>
      <c r="K988" s="36"/>
      <c r="L988" s="36"/>
      <c r="M988" s="36"/>
      <c r="N988" s="36"/>
      <c r="O988" s="36"/>
      <c r="P988" s="36"/>
      <c r="Q988" s="36"/>
      <c r="R988" s="36"/>
      <c r="S988" s="36"/>
      <c r="T988" s="36"/>
      <c r="U988" s="36"/>
    </row>
    <row r="989" spans="1:21">
      <c r="A989" s="74" t="s">
        <v>250</v>
      </c>
      <c r="B989" s="36">
        <v>364030</v>
      </c>
      <c r="C989" s="36"/>
      <c r="D989" s="74" t="s">
        <v>545</v>
      </c>
      <c r="E989" s="36"/>
      <c r="F989" s="74"/>
      <c r="G989" s="74" t="s">
        <v>699</v>
      </c>
      <c r="H989" s="36"/>
      <c r="I989" s="36"/>
      <c r="J989" s="36"/>
      <c r="K989" s="36"/>
      <c r="L989" s="36"/>
      <c r="M989" s="36"/>
      <c r="N989" s="36"/>
      <c r="O989" s="36"/>
      <c r="P989" s="36"/>
      <c r="Q989" s="36"/>
      <c r="R989" s="36"/>
      <c r="S989" s="36"/>
      <c r="T989" s="36"/>
      <c r="U989" s="36"/>
    </row>
    <row r="990" spans="1:21">
      <c r="A990" s="74" t="s">
        <v>250</v>
      </c>
      <c r="B990" s="36">
        <v>364031</v>
      </c>
      <c r="C990" s="36"/>
      <c r="D990" s="74" t="s">
        <v>549</v>
      </c>
      <c r="E990" s="36"/>
      <c r="F990" s="74"/>
      <c r="G990" s="74" t="s">
        <v>699</v>
      </c>
      <c r="H990" s="36"/>
      <c r="I990" s="36"/>
      <c r="J990" s="36"/>
      <c r="K990" s="36"/>
      <c r="L990" s="36"/>
      <c r="M990" s="36"/>
      <c r="N990" s="36"/>
      <c r="O990" s="36"/>
      <c r="P990" s="36"/>
      <c r="Q990" s="36"/>
      <c r="R990" s="36"/>
      <c r="S990" s="36"/>
      <c r="T990" s="36"/>
      <c r="U990" s="36"/>
    </row>
    <row r="991" spans="1:21">
      <c r="A991" s="74" t="s">
        <v>250</v>
      </c>
      <c r="B991" s="36">
        <v>364045</v>
      </c>
      <c r="C991" s="36"/>
      <c r="D991" s="74" t="s">
        <v>581</v>
      </c>
      <c r="E991" s="36"/>
      <c r="F991" s="74"/>
      <c r="G991" s="74" t="s">
        <v>709</v>
      </c>
      <c r="H991" s="36"/>
      <c r="I991" s="36"/>
      <c r="J991" s="36"/>
      <c r="K991" s="36"/>
      <c r="L991" s="36"/>
      <c r="M991" s="36"/>
      <c r="N991" s="36"/>
      <c r="O991" s="36"/>
      <c r="P991" s="36"/>
      <c r="Q991" s="36"/>
      <c r="R991" s="36"/>
      <c r="S991" s="36"/>
      <c r="T991" s="36"/>
      <c r="U991" s="36"/>
    </row>
    <row r="992" spans="1:21">
      <c r="A992" s="74" t="s">
        <v>250</v>
      </c>
      <c r="B992" s="36">
        <v>364047</v>
      </c>
      <c r="C992" s="36"/>
      <c r="D992" s="74" t="s">
        <v>559</v>
      </c>
      <c r="E992" s="36"/>
      <c r="F992" s="74"/>
      <c r="G992" s="74" t="s">
        <v>709</v>
      </c>
      <c r="H992" s="36"/>
      <c r="I992" s="36"/>
      <c r="J992" s="36"/>
      <c r="K992" s="36"/>
      <c r="L992" s="36"/>
      <c r="M992" s="36"/>
      <c r="N992" s="36"/>
      <c r="O992" s="36"/>
      <c r="P992" s="36"/>
      <c r="Q992" s="36"/>
      <c r="R992" s="36"/>
      <c r="S992" s="36"/>
      <c r="T992" s="36"/>
      <c r="U992" s="36"/>
    </row>
    <row r="993" spans="1:21">
      <c r="A993" s="74" t="s">
        <v>250</v>
      </c>
      <c r="B993" s="36">
        <v>364044</v>
      </c>
      <c r="C993" s="36"/>
      <c r="D993" s="74" t="s">
        <v>581</v>
      </c>
      <c r="E993" s="36"/>
      <c r="F993" s="74"/>
      <c r="G993" s="74" t="s">
        <v>709</v>
      </c>
      <c r="H993" s="36"/>
      <c r="I993" s="36"/>
      <c r="J993" s="36"/>
      <c r="K993" s="36"/>
      <c r="L993" s="36"/>
      <c r="M993" s="36"/>
      <c r="N993" s="36"/>
      <c r="O993" s="36"/>
      <c r="P993" s="36"/>
      <c r="Q993" s="36"/>
      <c r="R993" s="36"/>
      <c r="S993" s="36"/>
      <c r="T993" s="36"/>
      <c r="U993" s="36"/>
    </row>
    <row r="994" spans="1:21">
      <c r="A994" s="74" t="s">
        <v>250</v>
      </c>
      <c r="B994" s="36">
        <v>364046</v>
      </c>
      <c r="C994" s="36"/>
      <c r="D994" s="74" t="s">
        <v>559</v>
      </c>
      <c r="E994" s="36"/>
      <c r="F994" s="74"/>
      <c r="G994" s="74" t="s">
        <v>709</v>
      </c>
      <c r="H994" s="36"/>
      <c r="I994" s="36"/>
      <c r="J994" s="36"/>
      <c r="K994" s="36"/>
      <c r="L994" s="36"/>
      <c r="M994" s="36"/>
      <c r="N994" s="36"/>
      <c r="O994" s="36"/>
      <c r="P994" s="36"/>
      <c r="Q994" s="36"/>
      <c r="R994" s="36"/>
      <c r="S994" s="36"/>
      <c r="T994" s="36"/>
      <c r="U994" s="36"/>
    </row>
    <row r="995" spans="1:21">
      <c r="A995" s="74" t="s">
        <v>250</v>
      </c>
      <c r="B995" s="36">
        <v>364052</v>
      </c>
      <c r="C995" s="36"/>
      <c r="D995" s="74" t="s">
        <v>585</v>
      </c>
      <c r="E995" s="36"/>
      <c r="F995" s="74"/>
      <c r="G995" s="74" t="s">
        <v>709</v>
      </c>
      <c r="H995" s="36"/>
      <c r="I995" s="36"/>
      <c r="J995" s="36"/>
      <c r="K995" s="36"/>
      <c r="L995" s="36"/>
      <c r="M995" s="36"/>
      <c r="N995" s="36"/>
      <c r="O995" s="36"/>
      <c r="P995" s="36"/>
      <c r="Q995" s="36"/>
      <c r="R995" s="36"/>
      <c r="S995" s="36"/>
      <c r="T995" s="36"/>
      <c r="U995" s="36"/>
    </row>
    <row r="996" spans="1:21">
      <c r="A996" s="74" t="s">
        <v>250</v>
      </c>
      <c r="B996" s="36">
        <v>364054</v>
      </c>
      <c r="C996" s="36"/>
      <c r="D996" s="74" t="s">
        <v>580</v>
      </c>
      <c r="E996" s="36"/>
      <c r="F996" s="74"/>
      <c r="G996" s="74" t="s">
        <v>709</v>
      </c>
      <c r="H996" s="36"/>
      <c r="I996" s="36"/>
      <c r="J996" s="36"/>
      <c r="K996" s="36"/>
      <c r="L996" s="36"/>
      <c r="M996" s="36"/>
      <c r="N996" s="36"/>
      <c r="O996" s="36"/>
      <c r="P996" s="36"/>
      <c r="Q996" s="36"/>
      <c r="R996" s="36"/>
      <c r="S996" s="36"/>
      <c r="T996" s="36"/>
      <c r="U996" s="36"/>
    </row>
    <row r="997" spans="1:21">
      <c r="A997" s="74" t="s">
        <v>250</v>
      </c>
      <c r="B997" s="36">
        <v>364051</v>
      </c>
      <c r="C997" s="36"/>
      <c r="D997" s="74" t="s">
        <v>585</v>
      </c>
      <c r="E997" s="36"/>
      <c r="F997" s="74"/>
      <c r="G997" s="74" t="s">
        <v>709</v>
      </c>
      <c r="H997" s="36"/>
      <c r="I997" s="36"/>
      <c r="J997" s="36"/>
      <c r="K997" s="36"/>
      <c r="L997" s="36"/>
      <c r="M997" s="36"/>
      <c r="N997" s="36"/>
      <c r="O997" s="36"/>
      <c r="P997" s="36"/>
      <c r="Q997" s="36"/>
      <c r="R997" s="36"/>
      <c r="S997" s="36"/>
      <c r="T997" s="36"/>
      <c r="U997" s="36"/>
    </row>
    <row r="998" spans="1:21">
      <c r="A998" s="74" t="s">
        <v>250</v>
      </c>
      <c r="B998" s="36">
        <v>364053</v>
      </c>
      <c r="C998" s="36"/>
      <c r="D998" s="74" t="s">
        <v>580</v>
      </c>
      <c r="E998" s="36"/>
      <c r="F998" s="74"/>
      <c r="G998" s="74" t="s">
        <v>709</v>
      </c>
      <c r="H998" s="36"/>
      <c r="I998" s="36"/>
      <c r="J998" s="36"/>
      <c r="K998" s="36"/>
      <c r="L998" s="36"/>
      <c r="M998" s="36"/>
      <c r="N998" s="36"/>
      <c r="O998" s="36"/>
      <c r="P998" s="36"/>
      <c r="Q998" s="36"/>
      <c r="R998" s="36"/>
      <c r="S998" s="36"/>
      <c r="T998" s="36"/>
      <c r="U998" s="36"/>
    </row>
    <row r="999" spans="1:21">
      <c r="A999" s="74" t="s">
        <v>250</v>
      </c>
      <c r="B999" s="36">
        <v>364061</v>
      </c>
      <c r="C999" s="36"/>
      <c r="D999" s="74" t="s">
        <v>584</v>
      </c>
      <c r="E999" s="36"/>
      <c r="F999" s="74"/>
      <c r="G999" s="74" t="s">
        <v>709</v>
      </c>
      <c r="H999" s="36"/>
      <c r="I999" s="36"/>
      <c r="J999" s="36"/>
      <c r="K999" s="36"/>
      <c r="L999" s="36"/>
      <c r="M999" s="36"/>
      <c r="N999" s="36"/>
      <c r="O999" s="36"/>
      <c r="P999" s="36"/>
      <c r="Q999" s="36"/>
      <c r="R999" s="36"/>
      <c r="S999" s="36"/>
      <c r="T999" s="36"/>
      <c r="U999" s="36"/>
    </row>
    <row r="1000" spans="1:21">
      <c r="A1000" s="74" t="s">
        <v>250</v>
      </c>
      <c r="B1000" s="36">
        <v>364063</v>
      </c>
      <c r="C1000" s="36"/>
      <c r="D1000" s="74" t="s">
        <v>582</v>
      </c>
      <c r="E1000" s="36"/>
      <c r="F1000" s="74"/>
      <c r="G1000" s="74" t="s">
        <v>709</v>
      </c>
      <c r="H1000" s="36"/>
      <c r="I1000" s="36"/>
      <c r="J1000" s="36"/>
      <c r="K1000" s="36"/>
      <c r="L1000" s="36"/>
      <c r="M1000" s="36"/>
      <c r="N1000" s="36"/>
      <c r="O1000" s="36"/>
      <c r="P1000" s="36"/>
      <c r="Q1000" s="36"/>
      <c r="R1000" s="36"/>
      <c r="S1000" s="36"/>
      <c r="T1000" s="36"/>
      <c r="U1000" s="36"/>
    </row>
    <row r="1001" spans="1:21">
      <c r="A1001" s="74" t="s">
        <v>250</v>
      </c>
      <c r="B1001" s="36">
        <v>364060</v>
      </c>
      <c r="C1001" s="36"/>
      <c r="D1001" s="74" t="s">
        <v>584</v>
      </c>
      <c r="E1001" s="36"/>
      <c r="F1001" s="74"/>
      <c r="G1001" s="74" t="s">
        <v>709</v>
      </c>
      <c r="H1001" s="36"/>
      <c r="I1001" s="36"/>
      <c r="J1001" s="36"/>
      <c r="K1001" s="36"/>
      <c r="L1001" s="36"/>
      <c r="M1001" s="36"/>
      <c r="N1001" s="36"/>
      <c r="O1001" s="36"/>
      <c r="P1001" s="36"/>
      <c r="Q1001" s="36"/>
      <c r="R1001" s="36"/>
      <c r="S1001" s="36"/>
      <c r="T1001" s="36"/>
      <c r="U1001" s="36"/>
    </row>
    <row r="1002" spans="1:21">
      <c r="A1002" s="74" t="s">
        <v>250</v>
      </c>
      <c r="B1002" s="36">
        <v>364062</v>
      </c>
      <c r="C1002" s="36"/>
      <c r="D1002" s="74" t="s">
        <v>582</v>
      </c>
      <c r="E1002" s="36"/>
      <c r="F1002" s="74"/>
      <c r="G1002" s="74" t="s">
        <v>709</v>
      </c>
      <c r="H1002" s="36"/>
      <c r="I1002" s="36"/>
      <c r="J1002" s="36"/>
      <c r="K1002" s="36"/>
      <c r="L1002" s="36"/>
      <c r="M1002" s="36"/>
      <c r="N1002" s="36"/>
      <c r="O1002" s="36"/>
      <c r="P1002" s="36"/>
      <c r="Q1002" s="36"/>
      <c r="R1002" s="36"/>
      <c r="S1002" s="36"/>
      <c r="T1002" s="36"/>
      <c r="U1002" s="36"/>
    </row>
    <row r="1003" spans="1:21">
      <c r="A1003" s="74"/>
      <c r="B1003" s="36"/>
      <c r="C1003" s="36"/>
      <c r="D1003" s="74"/>
      <c r="E1003" s="36"/>
      <c r="F1003" s="74"/>
      <c r="G1003" s="74"/>
      <c r="H1003" s="36"/>
      <c r="I1003" s="36"/>
      <c r="J1003" s="36"/>
      <c r="K1003" s="36"/>
      <c r="L1003" s="36"/>
      <c r="M1003" s="36"/>
      <c r="N1003" s="36"/>
      <c r="O1003" s="36"/>
      <c r="P1003" s="36"/>
      <c r="Q1003" s="36"/>
      <c r="R1003" s="36"/>
      <c r="S1003" s="36"/>
      <c r="T1003" s="36"/>
      <c r="U1003" s="36"/>
    </row>
    <row r="1004" spans="1:21">
      <c r="A1004" s="74"/>
      <c r="B1004" s="36"/>
      <c r="C1004" s="36"/>
      <c r="D1004" s="74"/>
      <c r="E1004" s="36"/>
      <c r="F1004" s="74"/>
      <c r="G1004" s="74"/>
      <c r="H1004" s="36"/>
      <c r="I1004" s="36"/>
      <c r="J1004" s="36"/>
      <c r="K1004" s="36"/>
      <c r="L1004" s="36"/>
      <c r="M1004" s="36"/>
      <c r="N1004" s="36"/>
      <c r="O1004" s="36"/>
      <c r="P1004" s="36"/>
      <c r="Q1004" s="36"/>
      <c r="R1004" s="36"/>
      <c r="S1004" s="36"/>
      <c r="T1004" s="36"/>
      <c r="U1004" s="3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2D19339-AF33-494D-921B-2D95C0D162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Кат</vt:lpstr>
      <vt:lpstr>Торг</vt:lpstr>
      <vt:lpstr>Прайс Gamma</vt:lpstr>
      <vt:lpstr>Выгр Кат</vt:lpstr>
      <vt:lpstr>Выгр Торг</vt:lpstr>
      <vt:lpstr>Ссылки</vt:lpstr>
      <vt:lpstr>Из ГУГЛа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User947</dc:creator>
  <cp:lastModifiedBy>Snab TimeTurbo</cp:lastModifiedBy>
  <dcterms:created xsi:type="dcterms:W3CDTF">2022-05-24T14:04:41Z</dcterms:created>
  <dcterms:modified xsi:type="dcterms:W3CDTF">2024-07-02T06:53:29Z</dcterms:modified>
</cp:coreProperties>
</file>