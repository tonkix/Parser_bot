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dmin\tonk1x\TT data\Прайс-листы\"/>
    </mc:Choice>
  </mc:AlternateContent>
  <xr:revisionPtr revIDLastSave="0" documentId="13_ncr:1_{9FF6821D-70E3-45EA-B019-34958C2CD1D7}" xr6:coauthVersionLast="47" xr6:coauthVersionMax="47" xr10:uidLastSave="{00000000-0000-0000-0000-000000000000}"/>
  <bookViews>
    <workbookView xWindow="28680" yWindow="-120" windowWidth="29040" windowHeight="15990" xr2:uid="{00000000-000D-0000-FFFF-FFFF00000000}"/>
  </bookViews>
  <sheets>
    <sheet name="Кат" sheetId="1" r:id="rId1"/>
    <sheet name="ПРАЙС" sheetId="2" r:id="rId2"/>
    <sheet name="НАЦЕНКА" sheetId="3" r:id="rId3"/>
    <sheet name="Выгр Кат" sheetId="6" r:id="rId4"/>
    <sheet name="Ссылки" sheetId="7" r:id="rId5"/>
    <sheet name="Из ГУГЛа" sheetId="8" r:id="rId6"/>
  </sheets>
  <definedNames>
    <definedName name="_xlnm._FilterDatabase" localSheetId="3" hidden="1">'Выгр Кат'!$A$1:$O$211</definedName>
    <definedName name="_xlnm._FilterDatabase" localSheetId="0" hidden="1">Кат!$A$2:$AB$212</definedName>
    <definedName name="_xlnm._FilterDatabase" localSheetId="1" hidden="1">ПРАЙС!$A$1:$J$169</definedName>
    <definedName name="ExternalData_1" localSheetId="5" hidden="1">'Из ГУГЛа'!$A$1:$T$1001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74" i="1" l="1"/>
  <c r="I172" i="1"/>
  <c r="I171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0" i="1"/>
  <c r="I149" i="1"/>
  <c r="I148" i="1"/>
  <c r="I146" i="1"/>
  <c r="I145" i="1"/>
  <c r="I144" i="1"/>
  <c r="I143" i="1"/>
  <c r="I142" i="1"/>
  <c r="I137" i="1"/>
  <c r="I136" i="1"/>
  <c r="I135" i="1"/>
  <c r="I134" i="1"/>
  <c r="I132" i="1"/>
  <c r="I131" i="1"/>
  <c r="I129" i="1"/>
  <c r="I128" i="1"/>
  <c r="I127" i="1"/>
  <c r="I126" i="1"/>
  <c r="I125" i="1"/>
  <c r="I124" i="1"/>
  <c r="I123" i="1"/>
  <c r="I121" i="1"/>
  <c r="I120" i="1"/>
  <c r="I118" i="1"/>
  <c r="I117" i="1"/>
  <c r="I116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5" i="1"/>
  <c r="I93" i="1"/>
  <c r="I92" i="1"/>
  <c r="I91" i="1"/>
  <c r="I90" i="1"/>
  <c r="I89" i="1"/>
  <c r="I87" i="1"/>
  <c r="I86" i="1"/>
  <c r="I85" i="1"/>
  <c r="I84" i="1"/>
  <c r="I83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3" i="1"/>
  <c r="I62" i="1"/>
  <c r="I61" i="1"/>
  <c r="I60" i="1"/>
  <c r="I59" i="1"/>
  <c r="I58" i="1"/>
  <c r="I57" i="1"/>
  <c r="I56" i="1"/>
  <c r="I55" i="1"/>
  <c r="I53" i="1"/>
  <c r="I52" i="1"/>
  <c r="I51" i="1"/>
  <c r="I50" i="1"/>
  <c r="I49" i="1"/>
  <c r="I48" i="1"/>
  <c r="I47" i="1"/>
  <c r="I45" i="1"/>
  <c r="I44" i="1"/>
  <c r="I43" i="1"/>
  <c r="I42" i="1"/>
  <c r="I41" i="1"/>
  <c r="I40" i="1"/>
  <c r="I39" i="1"/>
  <c r="I38" i="1"/>
  <c r="I37" i="1"/>
  <c r="I36" i="1"/>
  <c r="I35" i="1"/>
  <c r="I34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J170" i="2"/>
  <c r="I170" i="2"/>
  <c r="M214" i="1"/>
  <c r="M222" i="1"/>
  <c r="M218" i="1"/>
  <c r="M215" i="1"/>
  <c r="M221" i="1"/>
  <c r="M220" i="1"/>
  <c r="M219" i="1"/>
  <c r="M217" i="1"/>
  <c r="M216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3" i="1"/>
  <c r="K212" i="1" l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69" i="1"/>
  <c r="K180" i="1"/>
  <c r="K179" i="1"/>
  <c r="K178" i="1"/>
  <c r="K177" i="1"/>
  <c r="K176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75" i="1"/>
  <c r="K174" i="1"/>
  <c r="K173" i="1"/>
  <c r="K172" i="1"/>
  <c r="K171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170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I3" i="2"/>
  <c r="J3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I18" i="2"/>
  <c r="J18" i="2"/>
  <c r="I19" i="2"/>
  <c r="J19" i="2"/>
  <c r="I20" i="2"/>
  <c r="J20" i="2"/>
  <c r="I21" i="2"/>
  <c r="J21" i="2"/>
  <c r="I22" i="2"/>
  <c r="J22" i="2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37" i="2"/>
  <c r="J37" i="2"/>
  <c r="I38" i="2"/>
  <c r="J38" i="2"/>
  <c r="I39" i="2"/>
  <c r="J39" i="2"/>
  <c r="I40" i="2"/>
  <c r="J40" i="2"/>
  <c r="I41" i="2"/>
  <c r="J41" i="2"/>
  <c r="I42" i="2"/>
  <c r="J42" i="2"/>
  <c r="I43" i="2"/>
  <c r="J43" i="2"/>
  <c r="I44" i="2"/>
  <c r="J44" i="2"/>
  <c r="I45" i="2"/>
  <c r="J45" i="2"/>
  <c r="I46" i="2"/>
  <c r="J46" i="2"/>
  <c r="I47" i="2"/>
  <c r="J47" i="2"/>
  <c r="I48" i="2"/>
  <c r="J48" i="2"/>
  <c r="I49" i="2"/>
  <c r="J49" i="2"/>
  <c r="I50" i="2"/>
  <c r="J50" i="2"/>
  <c r="I51" i="2"/>
  <c r="J51" i="2"/>
  <c r="I52" i="2"/>
  <c r="J52" i="2"/>
  <c r="I53" i="2"/>
  <c r="J53" i="2"/>
  <c r="I54" i="2"/>
  <c r="J54" i="2"/>
  <c r="I55" i="2"/>
  <c r="J55" i="2"/>
  <c r="I56" i="2"/>
  <c r="J56" i="2"/>
  <c r="I57" i="2"/>
  <c r="J57" i="2"/>
  <c r="I58" i="2"/>
  <c r="J58" i="2"/>
  <c r="I59" i="2"/>
  <c r="J59" i="2"/>
  <c r="I60" i="2"/>
  <c r="J60" i="2"/>
  <c r="I61" i="2"/>
  <c r="J61" i="2"/>
  <c r="I62" i="2"/>
  <c r="J62" i="2"/>
  <c r="I63" i="2"/>
  <c r="J63" i="2"/>
  <c r="I64" i="2"/>
  <c r="J64" i="2"/>
  <c r="I65" i="2"/>
  <c r="J65" i="2"/>
  <c r="I66" i="2"/>
  <c r="J66" i="2"/>
  <c r="I67" i="2"/>
  <c r="J67" i="2"/>
  <c r="I68" i="2"/>
  <c r="J68" i="2"/>
  <c r="I69" i="2"/>
  <c r="J69" i="2"/>
  <c r="I70" i="2"/>
  <c r="J70" i="2"/>
  <c r="I71" i="2"/>
  <c r="J71" i="2"/>
  <c r="I72" i="2"/>
  <c r="J72" i="2"/>
  <c r="I73" i="2"/>
  <c r="J73" i="2"/>
  <c r="I74" i="2"/>
  <c r="J74" i="2"/>
  <c r="I75" i="2"/>
  <c r="J75" i="2"/>
  <c r="I76" i="2"/>
  <c r="J76" i="2"/>
  <c r="I77" i="2"/>
  <c r="J77" i="2"/>
  <c r="I78" i="2"/>
  <c r="J78" i="2"/>
  <c r="I79" i="2"/>
  <c r="J79" i="2"/>
  <c r="I80" i="2"/>
  <c r="J80" i="2"/>
  <c r="I81" i="2"/>
  <c r="J81" i="2"/>
  <c r="I82" i="2"/>
  <c r="J82" i="2"/>
  <c r="I83" i="2"/>
  <c r="J83" i="2"/>
  <c r="I84" i="2"/>
  <c r="J84" i="2"/>
  <c r="I85" i="2"/>
  <c r="J85" i="2"/>
  <c r="I86" i="2"/>
  <c r="J86" i="2"/>
  <c r="I87" i="2"/>
  <c r="J87" i="2"/>
  <c r="I88" i="2"/>
  <c r="J88" i="2"/>
  <c r="I89" i="2"/>
  <c r="J89" i="2"/>
  <c r="I90" i="2"/>
  <c r="J90" i="2"/>
  <c r="I91" i="2"/>
  <c r="J91" i="2"/>
  <c r="I92" i="2"/>
  <c r="J92" i="2"/>
  <c r="I93" i="2"/>
  <c r="J93" i="2"/>
  <c r="I94" i="2"/>
  <c r="J94" i="2"/>
  <c r="I95" i="2"/>
  <c r="J95" i="2"/>
  <c r="I96" i="2"/>
  <c r="J96" i="2"/>
  <c r="I97" i="2"/>
  <c r="J97" i="2"/>
  <c r="I98" i="2"/>
  <c r="J98" i="2"/>
  <c r="I99" i="2"/>
  <c r="J99" i="2"/>
  <c r="I100" i="2"/>
  <c r="J100" i="2"/>
  <c r="I101" i="2"/>
  <c r="J101" i="2"/>
  <c r="I102" i="2"/>
  <c r="J102" i="2"/>
  <c r="I103" i="2"/>
  <c r="J103" i="2"/>
  <c r="I104" i="2"/>
  <c r="J104" i="2"/>
  <c r="I105" i="2"/>
  <c r="J105" i="2"/>
  <c r="I106" i="2"/>
  <c r="J106" i="2"/>
  <c r="I107" i="2"/>
  <c r="J107" i="2"/>
  <c r="I108" i="2"/>
  <c r="J108" i="2"/>
  <c r="I109" i="2"/>
  <c r="J109" i="2"/>
  <c r="I110" i="2"/>
  <c r="J110" i="2"/>
  <c r="I111" i="2"/>
  <c r="J111" i="2"/>
  <c r="I112" i="2"/>
  <c r="J112" i="2"/>
  <c r="I113" i="2"/>
  <c r="J113" i="2"/>
  <c r="I114" i="2"/>
  <c r="J114" i="2"/>
  <c r="I115" i="2"/>
  <c r="J115" i="2"/>
  <c r="I116" i="2"/>
  <c r="J116" i="2"/>
  <c r="I117" i="2"/>
  <c r="J117" i="2"/>
  <c r="I118" i="2"/>
  <c r="J118" i="2"/>
  <c r="I119" i="2"/>
  <c r="J119" i="2"/>
  <c r="I120" i="2"/>
  <c r="J120" i="2"/>
  <c r="I121" i="2"/>
  <c r="J121" i="2"/>
  <c r="I122" i="2"/>
  <c r="J122" i="2"/>
  <c r="I123" i="2"/>
  <c r="J123" i="2"/>
  <c r="I124" i="2"/>
  <c r="J124" i="2"/>
  <c r="I125" i="2"/>
  <c r="J125" i="2"/>
  <c r="I126" i="2"/>
  <c r="J126" i="2"/>
  <c r="I127" i="2"/>
  <c r="J127" i="2"/>
  <c r="I128" i="2"/>
  <c r="J128" i="2"/>
  <c r="I129" i="2"/>
  <c r="J129" i="2"/>
  <c r="I130" i="2"/>
  <c r="J130" i="2"/>
  <c r="I131" i="2"/>
  <c r="J131" i="2"/>
  <c r="I132" i="2"/>
  <c r="J132" i="2"/>
  <c r="I133" i="2"/>
  <c r="J133" i="2"/>
  <c r="I134" i="2"/>
  <c r="J134" i="2"/>
  <c r="I135" i="2"/>
  <c r="J135" i="2"/>
  <c r="I136" i="2"/>
  <c r="J136" i="2"/>
  <c r="I137" i="2"/>
  <c r="J137" i="2"/>
  <c r="I138" i="2"/>
  <c r="J138" i="2"/>
  <c r="I139" i="2"/>
  <c r="J139" i="2"/>
  <c r="I140" i="2"/>
  <c r="J140" i="2"/>
  <c r="I141" i="2"/>
  <c r="J141" i="2"/>
  <c r="I142" i="2"/>
  <c r="J142" i="2"/>
  <c r="I143" i="2"/>
  <c r="J143" i="2"/>
  <c r="I144" i="2"/>
  <c r="J144" i="2"/>
  <c r="I145" i="2"/>
  <c r="J145" i="2"/>
  <c r="I146" i="2"/>
  <c r="J146" i="2"/>
  <c r="I147" i="2"/>
  <c r="J147" i="2"/>
  <c r="I148" i="2"/>
  <c r="J148" i="2"/>
  <c r="I149" i="2"/>
  <c r="J149" i="2"/>
  <c r="I150" i="2"/>
  <c r="J150" i="2"/>
  <c r="I151" i="2"/>
  <c r="J151" i="2"/>
  <c r="I152" i="2"/>
  <c r="J152" i="2"/>
  <c r="I153" i="2"/>
  <c r="J153" i="2"/>
  <c r="I154" i="2"/>
  <c r="J154" i="2"/>
  <c r="I155" i="2"/>
  <c r="J155" i="2"/>
  <c r="I156" i="2"/>
  <c r="J156" i="2"/>
  <c r="I157" i="2"/>
  <c r="J157" i="2"/>
  <c r="I158" i="2"/>
  <c r="J158" i="2"/>
  <c r="I159" i="2"/>
  <c r="J159" i="2"/>
  <c r="I160" i="2"/>
  <c r="J160" i="2"/>
  <c r="I161" i="2"/>
  <c r="J161" i="2"/>
  <c r="I162" i="2"/>
  <c r="J162" i="2"/>
  <c r="I163" i="2"/>
  <c r="J163" i="2"/>
  <c r="I164" i="2"/>
  <c r="J164" i="2"/>
  <c r="I165" i="2"/>
  <c r="J165" i="2"/>
  <c r="I166" i="2"/>
  <c r="J166" i="2"/>
  <c r="I167" i="2"/>
  <c r="J167" i="2"/>
  <c r="I168" i="2"/>
  <c r="J168" i="2"/>
  <c r="I169" i="2"/>
  <c r="J169" i="2"/>
  <c r="J2" i="2"/>
  <c r="I2" i="2"/>
  <c r="B166" i="1"/>
  <c r="B167" i="1"/>
  <c r="B168" i="1"/>
  <c r="B176" i="1"/>
  <c r="B177" i="1"/>
  <c r="B178" i="1"/>
  <c r="B179" i="1"/>
  <c r="B180" i="1"/>
  <c r="B169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170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71" i="1"/>
  <c r="B172" i="1"/>
  <c r="B173" i="1"/>
  <c r="B174" i="1"/>
  <c r="B175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3" i="1"/>
  <c r="C4" i="1"/>
  <c r="D4" i="1"/>
  <c r="F4" i="1"/>
  <c r="C5" i="1"/>
  <c r="D5" i="1"/>
  <c r="F5" i="1"/>
  <c r="C6" i="1"/>
  <c r="D6" i="1"/>
  <c r="F6" i="1"/>
  <c r="C7" i="1"/>
  <c r="D7" i="1"/>
  <c r="F7" i="1"/>
  <c r="C8" i="1"/>
  <c r="D8" i="1"/>
  <c r="F8" i="1"/>
  <c r="C9" i="1"/>
  <c r="D9" i="1"/>
  <c r="F9" i="1"/>
  <c r="C10" i="1"/>
  <c r="D10" i="1"/>
  <c r="F10" i="1"/>
  <c r="C11" i="1"/>
  <c r="D11" i="1"/>
  <c r="F11" i="1"/>
  <c r="C12" i="1"/>
  <c r="D12" i="1"/>
  <c r="F12" i="1"/>
  <c r="C13" i="1"/>
  <c r="D13" i="1"/>
  <c r="F13" i="1"/>
  <c r="C14" i="1"/>
  <c r="D14" i="1"/>
  <c r="F14" i="1"/>
  <c r="C15" i="1"/>
  <c r="D15" i="1"/>
  <c r="F15" i="1"/>
  <c r="C16" i="1"/>
  <c r="D16" i="1"/>
  <c r="F16" i="1"/>
  <c r="C17" i="1"/>
  <c r="D17" i="1"/>
  <c r="F17" i="1"/>
  <c r="C18" i="1"/>
  <c r="D18" i="1"/>
  <c r="F18" i="1"/>
  <c r="C19" i="1"/>
  <c r="D19" i="1"/>
  <c r="F19" i="1"/>
  <c r="C20" i="1"/>
  <c r="D20" i="1"/>
  <c r="F20" i="1"/>
  <c r="C21" i="1"/>
  <c r="D21" i="1"/>
  <c r="F21" i="1"/>
  <c r="C22" i="1"/>
  <c r="D22" i="1"/>
  <c r="F22" i="1"/>
  <c r="C23" i="1"/>
  <c r="D23" i="1"/>
  <c r="F23" i="1"/>
  <c r="C24" i="1"/>
  <c r="D24" i="1"/>
  <c r="F24" i="1"/>
  <c r="C25" i="1"/>
  <c r="D25" i="1"/>
  <c r="F25" i="1"/>
  <c r="C26" i="1"/>
  <c r="D26" i="1"/>
  <c r="F26" i="1"/>
  <c r="C27" i="1"/>
  <c r="D27" i="1"/>
  <c r="F27" i="1"/>
  <c r="C28" i="1"/>
  <c r="D28" i="1"/>
  <c r="F28" i="1"/>
  <c r="C29" i="1"/>
  <c r="D29" i="1"/>
  <c r="F29" i="1"/>
  <c r="C30" i="1"/>
  <c r="D30" i="1"/>
  <c r="F30" i="1"/>
  <c r="C31" i="1"/>
  <c r="D31" i="1"/>
  <c r="F31" i="1"/>
  <c r="C32" i="1"/>
  <c r="D32" i="1"/>
  <c r="F32" i="1"/>
  <c r="C33" i="1"/>
  <c r="D33" i="1"/>
  <c r="F33" i="1"/>
  <c r="C34" i="1"/>
  <c r="D34" i="1"/>
  <c r="F34" i="1"/>
  <c r="C35" i="1"/>
  <c r="D35" i="1"/>
  <c r="F35" i="1"/>
  <c r="C36" i="1"/>
  <c r="D36" i="1"/>
  <c r="F36" i="1"/>
  <c r="C37" i="1"/>
  <c r="D37" i="1"/>
  <c r="F37" i="1"/>
  <c r="C38" i="1"/>
  <c r="D38" i="1"/>
  <c r="F38" i="1"/>
  <c r="C39" i="1"/>
  <c r="D39" i="1"/>
  <c r="F39" i="1"/>
  <c r="C40" i="1"/>
  <c r="D40" i="1"/>
  <c r="F40" i="1"/>
  <c r="C41" i="1"/>
  <c r="D41" i="1"/>
  <c r="F41" i="1"/>
  <c r="C42" i="1"/>
  <c r="D42" i="1"/>
  <c r="F42" i="1"/>
  <c r="C43" i="1"/>
  <c r="D43" i="1"/>
  <c r="F43" i="1"/>
  <c r="C44" i="1"/>
  <c r="D44" i="1"/>
  <c r="F44" i="1"/>
  <c r="C45" i="1"/>
  <c r="D45" i="1"/>
  <c r="F45" i="1"/>
  <c r="C46" i="1"/>
  <c r="D46" i="1"/>
  <c r="F46" i="1"/>
  <c r="C47" i="1"/>
  <c r="D47" i="1"/>
  <c r="F47" i="1"/>
  <c r="C48" i="1"/>
  <c r="D48" i="1"/>
  <c r="F48" i="1"/>
  <c r="C49" i="1"/>
  <c r="D49" i="1"/>
  <c r="F49" i="1"/>
  <c r="C50" i="1"/>
  <c r="D50" i="1"/>
  <c r="F50" i="1"/>
  <c r="C51" i="1"/>
  <c r="D51" i="1"/>
  <c r="F51" i="1"/>
  <c r="C52" i="1"/>
  <c r="D52" i="1"/>
  <c r="F52" i="1"/>
  <c r="C53" i="1"/>
  <c r="D53" i="1"/>
  <c r="F53" i="1"/>
  <c r="C54" i="1"/>
  <c r="D54" i="1"/>
  <c r="F54" i="1"/>
  <c r="C55" i="1"/>
  <c r="D55" i="1"/>
  <c r="F55" i="1"/>
  <c r="C56" i="1"/>
  <c r="D56" i="1"/>
  <c r="F56" i="1"/>
  <c r="C57" i="1"/>
  <c r="D57" i="1"/>
  <c r="F57" i="1"/>
  <c r="C58" i="1"/>
  <c r="D58" i="1"/>
  <c r="F58" i="1"/>
  <c r="C59" i="1"/>
  <c r="D59" i="1"/>
  <c r="F59" i="1"/>
  <c r="C60" i="1"/>
  <c r="D60" i="1"/>
  <c r="F60" i="1"/>
  <c r="C61" i="1"/>
  <c r="D61" i="1"/>
  <c r="F61" i="1"/>
  <c r="C62" i="1"/>
  <c r="D62" i="1"/>
  <c r="F62" i="1"/>
  <c r="C63" i="1"/>
  <c r="D63" i="1"/>
  <c r="F63" i="1"/>
  <c r="C64" i="1"/>
  <c r="D64" i="1"/>
  <c r="F64" i="1"/>
  <c r="C65" i="1"/>
  <c r="D65" i="1"/>
  <c r="F65" i="1"/>
  <c r="C66" i="1"/>
  <c r="D66" i="1"/>
  <c r="F66" i="1"/>
  <c r="C67" i="1"/>
  <c r="D67" i="1"/>
  <c r="F67" i="1"/>
  <c r="C68" i="1"/>
  <c r="D68" i="1"/>
  <c r="F68" i="1"/>
  <c r="C69" i="1"/>
  <c r="D69" i="1"/>
  <c r="F69" i="1"/>
  <c r="C70" i="1"/>
  <c r="D70" i="1"/>
  <c r="F70" i="1"/>
  <c r="C71" i="1"/>
  <c r="D71" i="1"/>
  <c r="F71" i="1"/>
  <c r="C72" i="1"/>
  <c r="D72" i="1"/>
  <c r="F72" i="1"/>
  <c r="C73" i="1"/>
  <c r="D73" i="1"/>
  <c r="F73" i="1"/>
  <c r="C170" i="1"/>
  <c r="D170" i="1"/>
  <c r="F170" i="1"/>
  <c r="C74" i="1"/>
  <c r="D74" i="1"/>
  <c r="F74" i="1"/>
  <c r="C75" i="1"/>
  <c r="D75" i="1"/>
  <c r="F75" i="1"/>
  <c r="C76" i="1"/>
  <c r="D76" i="1"/>
  <c r="F76" i="1"/>
  <c r="C77" i="1"/>
  <c r="D77" i="1"/>
  <c r="F77" i="1"/>
  <c r="C78" i="1"/>
  <c r="D78" i="1"/>
  <c r="F78" i="1"/>
  <c r="C79" i="1"/>
  <c r="D79" i="1"/>
  <c r="F79" i="1"/>
  <c r="C80" i="1"/>
  <c r="D80" i="1"/>
  <c r="F80" i="1"/>
  <c r="C81" i="1"/>
  <c r="D81" i="1"/>
  <c r="F81" i="1"/>
  <c r="C82" i="1"/>
  <c r="D82" i="1"/>
  <c r="F82" i="1"/>
  <c r="C83" i="1"/>
  <c r="D83" i="1"/>
  <c r="F83" i="1"/>
  <c r="C84" i="1"/>
  <c r="D84" i="1"/>
  <c r="F84" i="1"/>
  <c r="C85" i="1"/>
  <c r="D85" i="1"/>
  <c r="F85" i="1"/>
  <c r="C86" i="1"/>
  <c r="D86" i="1"/>
  <c r="F86" i="1"/>
  <c r="C87" i="1"/>
  <c r="D87" i="1"/>
  <c r="F87" i="1"/>
  <c r="C88" i="1"/>
  <c r="D88" i="1"/>
  <c r="F88" i="1"/>
  <c r="C89" i="1"/>
  <c r="D89" i="1"/>
  <c r="F89" i="1"/>
  <c r="C90" i="1"/>
  <c r="D90" i="1"/>
  <c r="F90" i="1"/>
  <c r="C91" i="1"/>
  <c r="D91" i="1"/>
  <c r="F91" i="1"/>
  <c r="C92" i="1"/>
  <c r="D92" i="1"/>
  <c r="F92" i="1"/>
  <c r="C93" i="1"/>
  <c r="D93" i="1"/>
  <c r="F93" i="1"/>
  <c r="C94" i="1"/>
  <c r="D94" i="1"/>
  <c r="F94" i="1"/>
  <c r="C95" i="1"/>
  <c r="D95" i="1"/>
  <c r="F95" i="1"/>
  <c r="C96" i="1"/>
  <c r="D96" i="1"/>
  <c r="F96" i="1"/>
  <c r="C97" i="1"/>
  <c r="D97" i="1"/>
  <c r="F97" i="1"/>
  <c r="C98" i="1"/>
  <c r="D98" i="1"/>
  <c r="F98" i="1"/>
  <c r="C99" i="1"/>
  <c r="D99" i="1"/>
  <c r="F99" i="1"/>
  <c r="C100" i="1"/>
  <c r="D100" i="1"/>
  <c r="F100" i="1"/>
  <c r="C101" i="1"/>
  <c r="D101" i="1"/>
  <c r="F101" i="1"/>
  <c r="C102" i="1"/>
  <c r="D102" i="1"/>
  <c r="F102" i="1"/>
  <c r="C103" i="1"/>
  <c r="D103" i="1"/>
  <c r="F103" i="1"/>
  <c r="C104" i="1"/>
  <c r="D104" i="1"/>
  <c r="F104" i="1"/>
  <c r="C105" i="1"/>
  <c r="D105" i="1"/>
  <c r="F105" i="1"/>
  <c r="C106" i="1"/>
  <c r="D106" i="1"/>
  <c r="F106" i="1"/>
  <c r="C107" i="1"/>
  <c r="D107" i="1"/>
  <c r="F107" i="1"/>
  <c r="C108" i="1"/>
  <c r="D108" i="1"/>
  <c r="F108" i="1"/>
  <c r="C109" i="1"/>
  <c r="D109" i="1"/>
  <c r="F109" i="1"/>
  <c r="C110" i="1"/>
  <c r="D110" i="1"/>
  <c r="F110" i="1"/>
  <c r="C111" i="1"/>
  <c r="D111" i="1"/>
  <c r="F111" i="1"/>
  <c r="C112" i="1"/>
  <c r="D112" i="1"/>
  <c r="F112" i="1"/>
  <c r="C113" i="1"/>
  <c r="D113" i="1"/>
  <c r="F113" i="1"/>
  <c r="C114" i="1"/>
  <c r="D114" i="1"/>
  <c r="F114" i="1"/>
  <c r="C115" i="1"/>
  <c r="D115" i="1"/>
  <c r="F115" i="1"/>
  <c r="C116" i="1"/>
  <c r="D116" i="1"/>
  <c r="F116" i="1"/>
  <c r="C117" i="1"/>
  <c r="D117" i="1"/>
  <c r="F117" i="1"/>
  <c r="C118" i="1"/>
  <c r="D118" i="1"/>
  <c r="F118" i="1"/>
  <c r="C119" i="1"/>
  <c r="D119" i="1"/>
  <c r="F119" i="1"/>
  <c r="C120" i="1"/>
  <c r="D120" i="1"/>
  <c r="F120" i="1"/>
  <c r="C121" i="1"/>
  <c r="D121" i="1"/>
  <c r="F121" i="1"/>
  <c r="C122" i="1"/>
  <c r="D122" i="1"/>
  <c r="F122" i="1"/>
  <c r="C123" i="1"/>
  <c r="D123" i="1"/>
  <c r="F123" i="1"/>
  <c r="C124" i="1"/>
  <c r="D124" i="1"/>
  <c r="F124" i="1"/>
  <c r="C125" i="1"/>
  <c r="D125" i="1"/>
  <c r="F125" i="1"/>
  <c r="C126" i="1"/>
  <c r="D126" i="1"/>
  <c r="F126" i="1"/>
  <c r="C127" i="1"/>
  <c r="D127" i="1"/>
  <c r="F127" i="1"/>
  <c r="C128" i="1"/>
  <c r="D128" i="1"/>
  <c r="F128" i="1"/>
  <c r="C129" i="1"/>
  <c r="D129" i="1"/>
  <c r="F129" i="1"/>
  <c r="C130" i="1"/>
  <c r="D130" i="1"/>
  <c r="F130" i="1"/>
  <c r="C131" i="1"/>
  <c r="D131" i="1"/>
  <c r="F131" i="1"/>
  <c r="C132" i="1"/>
  <c r="D132" i="1"/>
  <c r="F132" i="1"/>
  <c r="C133" i="1"/>
  <c r="D133" i="1"/>
  <c r="F133" i="1"/>
  <c r="C171" i="1"/>
  <c r="D171" i="1"/>
  <c r="F171" i="1"/>
  <c r="C172" i="1"/>
  <c r="D172" i="1"/>
  <c r="F172" i="1"/>
  <c r="C173" i="1"/>
  <c r="D173" i="1"/>
  <c r="F173" i="1"/>
  <c r="C174" i="1"/>
  <c r="D174" i="1"/>
  <c r="F174" i="1"/>
  <c r="C175" i="1"/>
  <c r="D175" i="1"/>
  <c r="F175" i="1"/>
  <c r="C134" i="1"/>
  <c r="D134" i="1"/>
  <c r="F134" i="1"/>
  <c r="C135" i="1"/>
  <c r="D135" i="1"/>
  <c r="F135" i="1"/>
  <c r="C136" i="1"/>
  <c r="D136" i="1"/>
  <c r="F136" i="1"/>
  <c r="C137" i="1"/>
  <c r="D137" i="1"/>
  <c r="F137" i="1"/>
  <c r="C138" i="1"/>
  <c r="D138" i="1"/>
  <c r="F138" i="1"/>
  <c r="C139" i="1"/>
  <c r="D139" i="1"/>
  <c r="F139" i="1"/>
  <c r="C140" i="1"/>
  <c r="D140" i="1"/>
  <c r="F140" i="1"/>
  <c r="C141" i="1"/>
  <c r="D141" i="1"/>
  <c r="F141" i="1"/>
  <c r="C142" i="1"/>
  <c r="D142" i="1"/>
  <c r="F142" i="1"/>
  <c r="C143" i="1"/>
  <c r="D143" i="1"/>
  <c r="F143" i="1"/>
  <c r="C144" i="1"/>
  <c r="D144" i="1"/>
  <c r="F144" i="1"/>
  <c r="C145" i="1"/>
  <c r="D145" i="1"/>
  <c r="F145" i="1"/>
  <c r="C146" i="1"/>
  <c r="D146" i="1"/>
  <c r="F146" i="1"/>
  <c r="C147" i="1"/>
  <c r="D147" i="1"/>
  <c r="F147" i="1"/>
  <c r="C148" i="1"/>
  <c r="D148" i="1"/>
  <c r="F148" i="1"/>
  <c r="C149" i="1"/>
  <c r="D149" i="1"/>
  <c r="F149" i="1"/>
  <c r="C150" i="1"/>
  <c r="D150" i="1"/>
  <c r="F150" i="1"/>
  <c r="C151" i="1"/>
  <c r="D151" i="1"/>
  <c r="F151" i="1"/>
  <c r="C152" i="1"/>
  <c r="D152" i="1"/>
  <c r="F152" i="1"/>
  <c r="C153" i="1"/>
  <c r="D153" i="1"/>
  <c r="F153" i="1"/>
  <c r="C154" i="1"/>
  <c r="D154" i="1"/>
  <c r="F154" i="1"/>
  <c r="C155" i="1"/>
  <c r="D155" i="1"/>
  <c r="F155" i="1"/>
  <c r="C156" i="1"/>
  <c r="D156" i="1"/>
  <c r="F156" i="1"/>
  <c r="C157" i="1"/>
  <c r="D157" i="1"/>
  <c r="F157" i="1"/>
  <c r="C158" i="1"/>
  <c r="D158" i="1"/>
  <c r="F158" i="1"/>
  <c r="C159" i="1"/>
  <c r="D159" i="1"/>
  <c r="F159" i="1"/>
  <c r="C160" i="1"/>
  <c r="D160" i="1"/>
  <c r="F160" i="1"/>
  <c r="C161" i="1"/>
  <c r="D161" i="1"/>
  <c r="F161" i="1"/>
  <c r="C162" i="1"/>
  <c r="D162" i="1"/>
  <c r="F162" i="1"/>
  <c r="C163" i="1"/>
  <c r="D163" i="1"/>
  <c r="F163" i="1"/>
  <c r="C164" i="1"/>
  <c r="D164" i="1"/>
  <c r="F164" i="1"/>
  <c r="C165" i="1"/>
  <c r="D165" i="1"/>
  <c r="F165" i="1"/>
  <c r="C166" i="1"/>
  <c r="D166" i="1"/>
  <c r="F166" i="1"/>
  <c r="C167" i="1"/>
  <c r="D167" i="1"/>
  <c r="F167" i="1"/>
  <c r="C168" i="1"/>
  <c r="D168" i="1"/>
  <c r="F168" i="1"/>
  <c r="C176" i="1"/>
  <c r="D176" i="1"/>
  <c r="F176" i="1"/>
  <c r="C177" i="1"/>
  <c r="D177" i="1"/>
  <c r="F177" i="1"/>
  <c r="C178" i="1"/>
  <c r="D178" i="1"/>
  <c r="F178" i="1"/>
  <c r="C179" i="1"/>
  <c r="D179" i="1"/>
  <c r="F179" i="1"/>
  <c r="C180" i="1"/>
  <c r="D180" i="1"/>
  <c r="F180" i="1"/>
  <c r="C169" i="1"/>
  <c r="D169" i="1"/>
  <c r="F169" i="1"/>
  <c r="C181" i="1"/>
  <c r="D181" i="1"/>
  <c r="F181" i="1"/>
  <c r="C182" i="1"/>
  <c r="D182" i="1"/>
  <c r="F182" i="1"/>
  <c r="C183" i="1"/>
  <c r="D183" i="1"/>
  <c r="F183" i="1"/>
  <c r="C184" i="1"/>
  <c r="D184" i="1"/>
  <c r="F184" i="1"/>
  <c r="C185" i="1"/>
  <c r="D185" i="1"/>
  <c r="F185" i="1"/>
  <c r="C186" i="1"/>
  <c r="D186" i="1"/>
  <c r="F186" i="1"/>
  <c r="C187" i="1"/>
  <c r="D187" i="1"/>
  <c r="F187" i="1"/>
  <c r="C188" i="1"/>
  <c r="D188" i="1"/>
  <c r="F188" i="1"/>
  <c r="C189" i="1"/>
  <c r="D189" i="1"/>
  <c r="F189" i="1"/>
  <c r="C190" i="1"/>
  <c r="D190" i="1"/>
  <c r="F190" i="1"/>
  <c r="C191" i="1"/>
  <c r="D191" i="1"/>
  <c r="F191" i="1"/>
  <c r="C192" i="1"/>
  <c r="D192" i="1"/>
  <c r="F192" i="1"/>
  <c r="C193" i="1"/>
  <c r="D193" i="1"/>
  <c r="F193" i="1"/>
  <c r="C194" i="1"/>
  <c r="D194" i="1"/>
  <c r="F194" i="1"/>
  <c r="C195" i="1"/>
  <c r="D195" i="1"/>
  <c r="F195" i="1"/>
  <c r="C196" i="1"/>
  <c r="D196" i="1"/>
  <c r="F196" i="1"/>
  <c r="C197" i="1"/>
  <c r="D197" i="1"/>
  <c r="F197" i="1"/>
  <c r="C198" i="1"/>
  <c r="D198" i="1"/>
  <c r="F198" i="1"/>
  <c r="C199" i="1"/>
  <c r="D199" i="1"/>
  <c r="F199" i="1"/>
  <c r="C200" i="1"/>
  <c r="D200" i="1"/>
  <c r="F200" i="1"/>
  <c r="C201" i="1"/>
  <c r="D201" i="1"/>
  <c r="F201" i="1"/>
  <c r="C202" i="1"/>
  <c r="D202" i="1"/>
  <c r="F202" i="1"/>
  <c r="C203" i="1"/>
  <c r="D203" i="1"/>
  <c r="F203" i="1"/>
  <c r="C204" i="1"/>
  <c r="D204" i="1"/>
  <c r="F204" i="1"/>
  <c r="C205" i="1"/>
  <c r="D205" i="1"/>
  <c r="F205" i="1"/>
  <c r="C206" i="1"/>
  <c r="D206" i="1"/>
  <c r="F206" i="1"/>
  <c r="C207" i="1"/>
  <c r="D207" i="1"/>
  <c r="F207" i="1"/>
  <c r="C208" i="1"/>
  <c r="D208" i="1"/>
  <c r="F208" i="1"/>
  <c r="C209" i="1"/>
  <c r="D209" i="1"/>
  <c r="F209" i="1"/>
  <c r="C210" i="1"/>
  <c r="D210" i="1"/>
  <c r="F210" i="1"/>
  <c r="C211" i="1"/>
  <c r="D211" i="1"/>
  <c r="F211" i="1"/>
  <c r="C212" i="1"/>
  <c r="D212" i="1"/>
  <c r="F212" i="1"/>
  <c r="P212" i="1"/>
  <c r="M212" i="1" s="1"/>
  <c r="O212" i="1"/>
  <c r="I212" i="1" s="1"/>
  <c r="P211" i="1"/>
  <c r="M211" i="1" s="1"/>
  <c r="O211" i="1"/>
  <c r="I211" i="1" s="1"/>
  <c r="P210" i="1"/>
  <c r="M210" i="1" s="1"/>
  <c r="O210" i="1"/>
  <c r="I210" i="1" s="1"/>
  <c r="P209" i="1"/>
  <c r="M209" i="1" s="1"/>
  <c r="O209" i="1"/>
  <c r="I209" i="1" s="1"/>
  <c r="P208" i="1"/>
  <c r="M208" i="1" s="1"/>
  <c r="O208" i="1"/>
  <c r="I208" i="1" s="1"/>
  <c r="P207" i="1"/>
  <c r="M207" i="1" s="1"/>
  <c r="O207" i="1"/>
  <c r="I207" i="1" s="1"/>
  <c r="P206" i="1"/>
  <c r="M206" i="1" s="1"/>
  <c r="O206" i="1"/>
  <c r="I206" i="1" s="1"/>
  <c r="P205" i="1"/>
  <c r="M205" i="1" s="1"/>
  <c r="O205" i="1"/>
  <c r="I205" i="1" s="1"/>
  <c r="P204" i="1"/>
  <c r="M204" i="1" s="1"/>
  <c r="O204" i="1"/>
  <c r="I204" i="1" s="1"/>
  <c r="P203" i="1"/>
  <c r="M203" i="1" s="1"/>
  <c r="O203" i="1"/>
  <c r="I203" i="1" s="1"/>
  <c r="P202" i="1"/>
  <c r="M202" i="1" s="1"/>
  <c r="O202" i="1"/>
  <c r="I202" i="1" s="1"/>
  <c r="P201" i="1"/>
  <c r="M201" i="1" s="1"/>
  <c r="O201" i="1"/>
  <c r="I201" i="1" s="1"/>
  <c r="P200" i="1"/>
  <c r="M200" i="1" s="1"/>
  <c r="O200" i="1"/>
  <c r="I200" i="1" s="1"/>
  <c r="P199" i="1"/>
  <c r="M199" i="1" s="1"/>
  <c r="O199" i="1"/>
  <c r="I199" i="1" s="1"/>
  <c r="P198" i="1"/>
  <c r="M198" i="1" s="1"/>
  <c r="O198" i="1"/>
  <c r="I198" i="1" s="1"/>
  <c r="P197" i="1"/>
  <c r="M197" i="1" s="1"/>
  <c r="O197" i="1"/>
  <c r="I197" i="1" s="1"/>
  <c r="P196" i="1"/>
  <c r="M196" i="1" s="1"/>
  <c r="O196" i="1"/>
  <c r="I196" i="1" s="1"/>
  <c r="P195" i="1"/>
  <c r="M195" i="1" s="1"/>
  <c r="O195" i="1"/>
  <c r="P194" i="1"/>
  <c r="M194" i="1" s="1"/>
  <c r="O194" i="1"/>
  <c r="I194" i="1" s="1"/>
  <c r="P193" i="1"/>
  <c r="M193" i="1" s="1"/>
  <c r="O193" i="1"/>
  <c r="I193" i="1" s="1"/>
  <c r="P192" i="1"/>
  <c r="M192" i="1" s="1"/>
  <c r="O192" i="1"/>
  <c r="I192" i="1" s="1"/>
  <c r="P191" i="1"/>
  <c r="M191" i="1" s="1"/>
  <c r="O191" i="1"/>
  <c r="I191" i="1" s="1"/>
  <c r="P190" i="1"/>
  <c r="M190" i="1" s="1"/>
  <c r="O190" i="1"/>
  <c r="I190" i="1" s="1"/>
  <c r="P189" i="1"/>
  <c r="M189" i="1" s="1"/>
  <c r="O189" i="1"/>
  <c r="I189" i="1" s="1"/>
  <c r="P188" i="1"/>
  <c r="M188" i="1" s="1"/>
  <c r="O188" i="1"/>
  <c r="I188" i="1" s="1"/>
  <c r="P187" i="1"/>
  <c r="M187" i="1" s="1"/>
  <c r="O187" i="1"/>
  <c r="I187" i="1" s="1"/>
  <c r="P186" i="1"/>
  <c r="M186" i="1" s="1"/>
  <c r="O186" i="1"/>
  <c r="I186" i="1" s="1"/>
  <c r="P185" i="1"/>
  <c r="M185" i="1" s="1"/>
  <c r="O185" i="1"/>
  <c r="I185" i="1" s="1"/>
  <c r="P184" i="1"/>
  <c r="M184" i="1" s="1"/>
  <c r="O184" i="1"/>
  <c r="I184" i="1" s="1"/>
  <c r="P183" i="1"/>
  <c r="M183" i="1" s="1"/>
  <c r="O183" i="1"/>
  <c r="I183" i="1" s="1"/>
  <c r="P182" i="1"/>
  <c r="M182" i="1" s="1"/>
  <c r="O182" i="1"/>
  <c r="I182" i="1" s="1"/>
  <c r="P181" i="1"/>
  <c r="M181" i="1" s="1"/>
  <c r="O181" i="1"/>
  <c r="I181" i="1" s="1"/>
  <c r="P169" i="1"/>
  <c r="M169" i="1" s="1"/>
  <c r="O169" i="1"/>
  <c r="I169" i="1" s="1"/>
  <c r="P180" i="1"/>
  <c r="M180" i="1" s="1"/>
  <c r="O180" i="1"/>
  <c r="I180" i="1" s="1"/>
  <c r="P179" i="1"/>
  <c r="M179" i="1" s="1"/>
  <c r="O179" i="1"/>
  <c r="I179" i="1" s="1"/>
  <c r="P178" i="1"/>
  <c r="M178" i="1" s="1"/>
  <c r="O178" i="1"/>
  <c r="I178" i="1" s="1"/>
  <c r="P177" i="1"/>
  <c r="M177" i="1" s="1"/>
  <c r="O177" i="1"/>
  <c r="I177" i="1" s="1"/>
  <c r="P176" i="1"/>
  <c r="M176" i="1" s="1"/>
  <c r="O176" i="1"/>
  <c r="I176" i="1" s="1"/>
  <c r="P168" i="1"/>
  <c r="O168" i="1"/>
  <c r="P167" i="1"/>
  <c r="O167" i="1"/>
  <c r="P166" i="1"/>
  <c r="O166" i="1"/>
  <c r="P165" i="1"/>
  <c r="O165" i="1"/>
  <c r="P164" i="1"/>
  <c r="O164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P155" i="1"/>
  <c r="O155" i="1"/>
  <c r="P154" i="1"/>
  <c r="O154" i="1"/>
  <c r="P153" i="1"/>
  <c r="O153" i="1"/>
  <c r="P152" i="1"/>
  <c r="O152" i="1"/>
  <c r="P151" i="1"/>
  <c r="M151" i="1" s="1"/>
  <c r="O151" i="1"/>
  <c r="I151" i="1" s="1"/>
  <c r="P150" i="1"/>
  <c r="O150" i="1"/>
  <c r="P149" i="1"/>
  <c r="O149" i="1"/>
  <c r="P148" i="1"/>
  <c r="O148" i="1"/>
  <c r="P147" i="1"/>
  <c r="M147" i="1" s="1"/>
  <c r="O147" i="1"/>
  <c r="I147" i="1" s="1"/>
  <c r="P146" i="1"/>
  <c r="O146" i="1"/>
  <c r="P145" i="1"/>
  <c r="O145" i="1"/>
  <c r="P144" i="1"/>
  <c r="O144" i="1"/>
  <c r="P143" i="1"/>
  <c r="O143" i="1"/>
  <c r="P142" i="1"/>
  <c r="O142" i="1"/>
  <c r="P141" i="1"/>
  <c r="M141" i="1" s="1"/>
  <c r="O141" i="1"/>
  <c r="I141" i="1" s="1"/>
  <c r="P140" i="1"/>
  <c r="M140" i="1" s="1"/>
  <c r="O140" i="1"/>
  <c r="I140" i="1" s="1"/>
  <c r="P139" i="1"/>
  <c r="M139" i="1" s="1"/>
  <c r="O139" i="1"/>
  <c r="I139" i="1" s="1"/>
  <c r="P138" i="1"/>
  <c r="M138" i="1" s="1"/>
  <c r="O138" i="1"/>
  <c r="I138" i="1" s="1"/>
  <c r="P137" i="1"/>
  <c r="O137" i="1"/>
  <c r="P136" i="1"/>
  <c r="O136" i="1"/>
  <c r="P135" i="1"/>
  <c r="O135" i="1"/>
  <c r="P134" i="1"/>
  <c r="O134" i="1"/>
  <c r="P175" i="1"/>
  <c r="M175" i="1" s="1"/>
  <c r="O175" i="1"/>
  <c r="I175" i="1" s="1"/>
  <c r="P174" i="1"/>
  <c r="O174" i="1"/>
  <c r="P173" i="1"/>
  <c r="M173" i="1" s="1"/>
  <c r="O173" i="1"/>
  <c r="P172" i="1"/>
  <c r="O172" i="1"/>
  <c r="P171" i="1"/>
  <c r="O171" i="1"/>
  <c r="P133" i="1"/>
  <c r="M133" i="1" s="1"/>
  <c r="O133" i="1"/>
  <c r="I133" i="1" s="1"/>
  <c r="P132" i="1"/>
  <c r="O132" i="1"/>
  <c r="P131" i="1"/>
  <c r="O131" i="1"/>
  <c r="P130" i="1"/>
  <c r="M130" i="1" s="1"/>
  <c r="O130" i="1"/>
  <c r="I130" i="1" s="1"/>
  <c r="P129" i="1"/>
  <c r="O129" i="1"/>
  <c r="P128" i="1"/>
  <c r="O128" i="1"/>
  <c r="P127" i="1"/>
  <c r="O127" i="1"/>
  <c r="P126" i="1"/>
  <c r="O126" i="1"/>
  <c r="P125" i="1"/>
  <c r="O125" i="1"/>
  <c r="P124" i="1"/>
  <c r="O124" i="1"/>
  <c r="P123" i="1"/>
  <c r="O123" i="1"/>
  <c r="P122" i="1"/>
  <c r="M122" i="1" s="1"/>
  <c r="O122" i="1"/>
  <c r="I122" i="1" s="1"/>
  <c r="P121" i="1"/>
  <c r="O121" i="1"/>
  <c r="P120" i="1"/>
  <c r="O120" i="1"/>
  <c r="P119" i="1"/>
  <c r="M119" i="1" s="1"/>
  <c r="O119" i="1"/>
  <c r="I119" i="1" s="1"/>
  <c r="P118" i="1"/>
  <c r="O118" i="1"/>
  <c r="P117" i="1"/>
  <c r="O117" i="1"/>
  <c r="P116" i="1"/>
  <c r="O116" i="1"/>
  <c r="P115" i="1"/>
  <c r="M115" i="1" s="1"/>
  <c r="O115" i="1"/>
  <c r="I115" i="1" s="1"/>
  <c r="P114" i="1"/>
  <c r="O114" i="1"/>
  <c r="P113" i="1"/>
  <c r="O113" i="1"/>
  <c r="P112" i="1"/>
  <c r="O112" i="1"/>
  <c r="P111" i="1"/>
  <c r="O111" i="1"/>
  <c r="P110" i="1"/>
  <c r="O110" i="1"/>
  <c r="P109" i="1"/>
  <c r="O109" i="1"/>
  <c r="P108" i="1"/>
  <c r="O108" i="1"/>
  <c r="P107" i="1"/>
  <c r="O107" i="1"/>
  <c r="P106" i="1"/>
  <c r="O106" i="1"/>
  <c r="P105" i="1"/>
  <c r="O105" i="1"/>
  <c r="P104" i="1"/>
  <c r="O104" i="1"/>
  <c r="P103" i="1"/>
  <c r="O103" i="1"/>
  <c r="P102" i="1"/>
  <c r="O102" i="1"/>
  <c r="P101" i="1"/>
  <c r="O101" i="1"/>
  <c r="P100" i="1"/>
  <c r="O100" i="1"/>
  <c r="P99" i="1"/>
  <c r="O99" i="1"/>
  <c r="P98" i="1"/>
  <c r="O98" i="1"/>
  <c r="P97" i="1"/>
  <c r="O97" i="1"/>
  <c r="P96" i="1"/>
  <c r="M96" i="1" s="1"/>
  <c r="O96" i="1"/>
  <c r="I96" i="1" s="1"/>
  <c r="P95" i="1"/>
  <c r="O95" i="1"/>
  <c r="P94" i="1"/>
  <c r="M94" i="1" s="1"/>
  <c r="O94" i="1"/>
  <c r="I94" i="1" s="1"/>
  <c r="P93" i="1"/>
  <c r="O93" i="1"/>
  <c r="P92" i="1"/>
  <c r="O92" i="1"/>
  <c r="P91" i="1"/>
  <c r="O91" i="1"/>
  <c r="P90" i="1"/>
  <c r="O90" i="1"/>
  <c r="P89" i="1"/>
  <c r="O89" i="1"/>
  <c r="P88" i="1"/>
  <c r="M88" i="1" s="1"/>
  <c r="O88" i="1"/>
  <c r="I88" i="1" s="1"/>
  <c r="P87" i="1"/>
  <c r="O87" i="1"/>
  <c r="P86" i="1"/>
  <c r="O86" i="1"/>
  <c r="P85" i="1"/>
  <c r="O85" i="1"/>
  <c r="P84" i="1"/>
  <c r="O84" i="1"/>
  <c r="P83" i="1"/>
  <c r="O83" i="1"/>
  <c r="P82" i="1"/>
  <c r="M82" i="1" s="1"/>
  <c r="O82" i="1"/>
  <c r="I82" i="1" s="1"/>
  <c r="P81" i="1"/>
  <c r="O81" i="1"/>
  <c r="P80" i="1"/>
  <c r="O80" i="1"/>
  <c r="P79" i="1"/>
  <c r="O79" i="1"/>
  <c r="P78" i="1"/>
  <c r="O78" i="1"/>
  <c r="P77" i="1"/>
  <c r="O77" i="1"/>
  <c r="P76" i="1"/>
  <c r="O76" i="1"/>
  <c r="P75" i="1"/>
  <c r="O75" i="1"/>
  <c r="P74" i="1"/>
  <c r="O74" i="1"/>
  <c r="P170" i="1"/>
  <c r="M170" i="1" s="1"/>
  <c r="O170" i="1"/>
  <c r="I170" i="1" s="1"/>
  <c r="P73" i="1"/>
  <c r="O73" i="1"/>
  <c r="P72" i="1"/>
  <c r="O72" i="1"/>
  <c r="P71" i="1"/>
  <c r="O71" i="1"/>
  <c r="P70" i="1"/>
  <c r="O70" i="1"/>
  <c r="P69" i="1"/>
  <c r="O69" i="1"/>
  <c r="P68" i="1"/>
  <c r="O68" i="1"/>
  <c r="P67" i="1"/>
  <c r="O67" i="1"/>
  <c r="P66" i="1"/>
  <c r="O66" i="1"/>
  <c r="P65" i="1"/>
  <c r="O65" i="1"/>
  <c r="P64" i="1"/>
  <c r="M64" i="1" s="1"/>
  <c r="O64" i="1"/>
  <c r="I64" i="1" s="1"/>
  <c r="P63" i="1"/>
  <c r="O63" i="1"/>
  <c r="P62" i="1"/>
  <c r="O62" i="1"/>
  <c r="P61" i="1"/>
  <c r="O61" i="1"/>
  <c r="P60" i="1"/>
  <c r="O60" i="1"/>
  <c r="P59" i="1"/>
  <c r="O59" i="1"/>
  <c r="P58" i="1"/>
  <c r="O58" i="1"/>
  <c r="P57" i="1"/>
  <c r="O57" i="1"/>
  <c r="P56" i="1"/>
  <c r="O56" i="1"/>
  <c r="P55" i="1"/>
  <c r="O55" i="1"/>
  <c r="P54" i="1"/>
  <c r="M54" i="1" s="1"/>
  <c r="O54" i="1"/>
  <c r="I54" i="1" s="1"/>
  <c r="P53" i="1"/>
  <c r="O53" i="1"/>
  <c r="P52" i="1"/>
  <c r="O52" i="1"/>
  <c r="P51" i="1"/>
  <c r="O51" i="1"/>
  <c r="P50" i="1"/>
  <c r="O50" i="1"/>
  <c r="P49" i="1"/>
  <c r="O49" i="1"/>
  <c r="P48" i="1"/>
  <c r="O48" i="1"/>
  <c r="P47" i="1"/>
  <c r="O47" i="1"/>
  <c r="P46" i="1"/>
  <c r="M46" i="1" s="1"/>
  <c r="O46" i="1"/>
  <c r="I46" i="1" s="1"/>
  <c r="P45" i="1"/>
  <c r="O45" i="1"/>
  <c r="P44" i="1"/>
  <c r="O44" i="1"/>
  <c r="P43" i="1"/>
  <c r="O43" i="1"/>
  <c r="P42" i="1"/>
  <c r="O42" i="1"/>
  <c r="P41" i="1"/>
  <c r="O41" i="1"/>
  <c r="P40" i="1"/>
  <c r="O40" i="1"/>
  <c r="P39" i="1"/>
  <c r="O39" i="1"/>
  <c r="P38" i="1"/>
  <c r="O38" i="1"/>
  <c r="P37" i="1"/>
  <c r="O37" i="1"/>
  <c r="P36" i="1"/>
  <c r="O36" i="1"/>
  <c r="P35" i="1"/>
  <c r="O35" i="1"/>
  <c r="P34" i="1"/>
  <c r="O34" i="1"/>
  <c r="P33" i="1"/>
  <c r="M33" i="1" s="1"/>
  <c r="O33" i="1"/>
  <c r="I33" i="1" s="1"/>
  <c r="P32" i="1"/>
  <c r="O32" i="1"/>
  <c r="P31" i="1"/>
  <c r="O31" i="1"/>
  <c r="P30" i="1"/>
  <c r="O30" i="1"/>
  <c r="P29" i="1"/>
  <c r="O29" i="1"/>
  <c r="P28" i="1"/>
  <c r="O28" i="1"/>
  <c r="P27" i="1"/>
  <c r="O27" i="1"/>
  <c r="P26" i="1"/>
  <c r="O26" i="1"/>
  <c r="P25" i="1"/>
  <c r="O25" i="1"/>
  <c r="P24" i="1"/>
  <c r="O24" i="1"/>
  <c r="P23" i="1"/>
  <c r="O23" i="1"/>
  <c r="P22" i="1"/>
  <c r="O22" i="1"/>
  <c r="P21" i="1"/>
  <c r="O21" i="1"/>
  <c r="P20" i="1"/>
  <c r="O20" i="1"/>
  <c r="P19" i="1"/>
  <c r="O19" i="1"/>
  <c r="P18" i="1"/>
  <c r="O18" i="1"/>
  <c r="P17" i="1"/>
  <c r="O17" i="1"/>
  <c r="P16" i="1"/>
  <c r="O16" i="1"/>
  <c r="P15" i="1"/>
  <c r="O15" i="1"/>
  <c r="P14" i="1"/>
  <c r="O14" i="1"/>
  <c r="P13" i="1"/>
  <c r="O13" i="1"/>
  <c r="P12" i="1"/>
  <c r="O12" i="1"/>
  <c r="P11" i="1"/>
  <c r="O11" i="1"/>
  <c r="P10" i="1"/>
  <c r="O10" i="1"/>
  <c r="P9" i="1"/>
  <c r="O9" i="1"/>
  <c r="P8" i="1"/>
  <c r="O8" i="1"/>
  <c r="P7" i="1"/>
  <c r="O7" i="1"/>
  <c r="P6" i="1"/>
  <c r="O6" i="1"/>
  <c r="P5" i="1"/>
  <c r="O5" i="1"/>
  <c r="P4" i="1"/>
  <c r="O4" i="1"/>
  <c r="P3" i="1"/>
  <c r="M3" i="1" s="1"/>
  <c r="O3" i="1"/>
  <c r="I3" i="1" s="1"/>
  <c r="F3" i="1"/>
  <c r="D3" i="1"/>
  <c r="C3" i="1"/>
  <c r="N2" i="6"/>
  <c r="E162" i="1" s="1"/>
  <c r="N3" i="6"/>
  <c r="E116" i="1" s="1"/>
  <c r="N4" i="6"/>
  <c r="E119" i="1" s="1"/>
  <c r="N5" i="6"/>
  <c r="E203" i="1" s="1"/>
  <c r="N6" i="6"/>
  <c r="E171" i="1" s="1"/>
  <c r="N7" i="6"/>
  <c r="E175" i="1" s="1"/>
  <c r="N8" i="6"/>
  <c r="E172" i="1" s="1"/>
  <c r="N9" i="6"/>
  <c r="E173" i="1" s="1"/>
  <c r="N10" i="6"/>
  <c r="E174" i="1" s="1"/>
  <c r="N11" i="6"/>
  <c r="E3" i="1" s="1"/>
  <c r="N12" i="6"/>
  <c r="E25" i="1" s="1"/>
  <c r="N13" i="6"/>
  <c r="E28" i="1" s="1"/>
  <c r="N14" i="6"/>
  <c r="E148" i="1" s="1"/>
  <c r="N15" i="6"/>
  <c r="E24" i="1" s="1"/>
  <c r="N16" i="6"/>
  <c r="E155" i="1" s="1"/>
  <c r="N17" i="6"/>
  <c r="E107" i="1" s="1"/>
  <c r="N18" i="6"/>
  <c r="E100" i="1" s="1"/>
  <c r="N19" i="6"/>
  <c r="E101" i="1" s="1"/>
  <c r="N20" i="6"/>
  <c r="E102" i="1" s="1"/>
  <c r="N21" i="6"/>
  <c r="E103" i="1" s="1"/>
  <c r="N22" i="6"/>
  <c r="E105" i="1" s="1"/>
  <c r="N23" i="6"/>
  <c r="E106" i="1" s="1"/>
  <c r="N24" i="6"/>
  <c r="E110" i="1" s="1"/>
  <c r="N25" i="6"/>
  <c r="E108" i="1" s="1"/>
  <c r="N26" i="6"/>
  <c r="E112" i="1" s="1"/>
  <c r="N27" i="6"/>
  <c r="E111" i="1" s="1"/>
  <c r="N28" i="6"/>
  <c r="E104" i="1" s="1"/>
  <c r="N29" i="6"/>
  <c r="E109" i="1" s="1"/>
  <c r="N30" i="6"/>
  <c r="E182" i="1" s="1"/>
  <c r="N31" i="6"/>
  <c r="E183" i="1" s="1"/>
  <c r="N32" i="6"/>
  <c r="E181" i="1" s="1"/>
  <c r="N33" i="6"/>
  <c r="E163" i="1" s="1"/>
  <c r="N34" i="6"/>
  <c r="E38" i="1" s="1"/>
  <c r="N35" i="6"/>
  <c r="E166" i="1" s="1"/>
  <c r="N36" i="6"/>
  <c r="E184" i="1" s="1"/>
  <c r="N37" i="6"/>
  <c r="E187" i="1" s="1"/>
  <c r="N38" i="6"/>
  <c r="E199" i="1" s="1"/>
  <c r="N39" i="6"/>
  <c r="E188" i="1" s="1"/>
  <c r="N40" i="6"/>
  <c r="E200" i="1" s="1"/>
  <c r="N41" i="6"/>
  <c r="E74" i="1" s="1"/>
  <c r="N42" i="6"/>
  <c r="E79" i="1" s="1"/>
  <c r="N43" i="6"/>
  <c r="E75" i="1" s="1"/>
  <c r="N44" i="6"/>
  <c r="E185" i="1" s="1"/>
  <c r="N45" i="6"/>
  <c r="E159" i="1" s="1"/>
  <c r="N46" i="6"/>
  <c r="E149" i="1" s="1"/>
  <c r="N47" i="6"/>
  <c r="E150" i="1" s="1"/>
  <c r="N48" i="6"/>
  <c r="E167" i="1" s="1"/>
  <c r="N49" i="6"/>
  <c r="E202" i="1" s="1"/>
  <c r="N50" i="6"/>
  <c r="E80" i="1" s="1"/>
  <c r="N51" i="6"/>
  <c r="E92" i="1" s="1"/>
  <c r="N52" i="6"/>
  <c r="E189" i="1" s="1"/>
  <c r="N53" i="6"/>
  <c r="E82" i="1" s="1"/>
  <c r="N54" i="6"/>
  <c r="E151" i="1" s="1"/>
  <c r="N55" i="6"/>
  <c r="E76" i="1" s="1"/>
  <c r="N56" i="6"/>
  <c r="E67" i="1" s="1"/>
  <c r="N57" i="6"/>
  <c r="E65" i="1" s="1"/>
  <c r="N58" i="6"/>
  <c r="E8" i="1" s="1"/>
  <c r="N59" i="6"/>
  <c r="E195" i="1" s="1"/>
  <c r="N60" i="6"/>
  <c r="E192" i="1" s="1"/>
  <c r="N61" i="6"/>
  <c r="E193" i="1" s="1"/>
  <c r="N62" i="6"/>
  <c r="E197" i="1" s="1"/>
  <c r="N63" i="6"/>
  <c r="E194" i="1" s="1"/>
  <c r="N64" i="6"/>
  <c r="E196" i="1" s="1"/>
  <c r="N65" i="6"/>
  <c r="E51" i="1" s="1"/>
  <c r="N66" i="6"/>
  <c r="E52" i="1" s="1"/>
  <c r="N67" i="6"/>
  <c r="E54" i="1" s="1"/>
  <c r="N68" i="6"/>
  <c r="E178" i="1" s="1"/>
  <c r="N69" i="6"/>
  <c r="E71" i="1" s="1"/>
  <c r="N70" i="6"/>
  <c r="E70" i="1" s="1"/>
  <c r="N71" i="6"/>
  <c r="E12" i="1" s="1"/>
  <c r="N72" i="6"/>
  <c r="E23" i="1" s="1"/>
  <c r="N73" i="6"/>
  <c r="E36" i="1" s="1"/>
  <c r="N74" i="6"/>
  <c r="E50" i="1" s="1"/>
  <c r="N75" i="6"/>
  <c r="E39" i="1" s="1"/>
  <c r="N76" i="6"/>
  <c r="E42" i="1" s="1"/>
  <c r="N77" i="6"/>
  <c r="E198" i="1" s="1"/>
  <c r="N78" i="6"/>
  <c r="E147" i="1" s="1"/>
  <c r="N79" i="6"/>
  <c r="E14" i="1" s="1"/>
  <c r="N80" i="6"/>
  <c r="E16" i="1" s="1"/>
  <c r="N81" i="6"/>
  <c r="E89" i="1" s="1"/>
  <c r="N82" i="6"/>
  <c r="E97" i="1" s="1"/>
  <c r="N83" i="6"/>
  <c r="E142" i="1" s="1"/>
  <c r="N84" i="6"/>
  <c r="E143" i="1" s="1"/>
  <c r="N85" i="6"/>
  <c r="E164" i="1" s="1"/>
  <c r="N86" i="6"/>
  <c r="E128" i="1" s="1"/>
  <c r="N87" i="6"/>
  <c r="E145" i="1" s="1"/>
  <c r="N88" i="6"/>
  <c r="E121" i="1" s="1"/>
  <c r="N89" i="6"/>
  <c r="E122" i="1" s="1"/>
  <c r="N90" i="6"/>
  <c r="E137" i="1" s="1"/>
  <c r="N91" i="6"/>
  <c r="E169" i="1" s="1"/>
  <c r="N92" i="6"/>
  <c r="E118" i="1" s="1"/>
  <c r="N93" i="6"/>
  <c r="E123" i="1" s="1"/>
  <c r="N94" i="6"/>
  <c r="E120" i="1" s="1"/>
  <c r="N95" i="6"/>
  <c r="E144" i="1" s="1"/>
  <c r="N96" i="6"/>
  <c r="E127" i="1" s="1"/>
  <c r="N97" i="6"/>
  <c r="E126" i="1" s="1"/>
  <c r="N98" i="6"/>
  <c r="E135" i="1" s="1"/>
  <c r="N99" i="6"/>
  <c r="E136" i="1" s="1"/>
  <c r="N100" i="6"/>
  <c r="E134" i="1" s="1"/>
  <c r="N101" i="6"/>
  <c r="E168" i="1" s="1"/>
  <c r="N102" i="6"/>
  <c r="E93" i="1" s="1"/>
  <c r="N103" i="6"/>
  <c r="E95" i="1" s="1"/>
  <c r="N104" i="6"/>
  <c r="E186" i="1" s="1"/>
  <c r="N105" i="6"/>
  <c r="E87" i="1" s="1"/>
  <c r="N106" i="6"/>
  <c r="E165" i="1" s="1"/>
  <c r="N107" i="6"/>
  <c r="E86" i="1" s="1"/>
  <c r="N108" i="6"/>
  <c r="E113" i="1" s="1"/>
  <c r="N109" i="6"/>
  <c r="E85" i="1" s="1"/>
  <c r="N110" i="6"/>
  <c r="E94" i="1" s="1"/>
  <c r="N111" i="6"/>
  <c r="E90" i="1" s="1"/>
  <c r="N112" i="6"/>
  <c r="E201" i="1" s="1"/>
  <c r="N113" i="6"/>
  <c r="E91" i="1" s="1"/>
  <c r="N114" i="6"/>
  <c r="E83" i="1" s="1"/>
  <c r="N115" i="6"/>
  <c r="E190" i="1" s="1"/>
  <c r="N116" i="6"/>
  <c r="E84" i="1" s="1"/>
  <c r="N117" i="6"/>
  <c r="E88" i="1" s="1"/>
  <c r="N118" i="6"/>
  <c r="E179" i="1" s="1"/>
  <c r="N119" i="6"/>
  <c r="E180" i="1" s="1"/>
  <c r="N120" i="6"/>
  <c r="E11" i="1" s="1"/>
  <c r="N121" i="6"/>
  <c r="E20" i="1" s="1"/>
  <c r="N122" i="6"/>
  <c r="E6" i="1" s="1"/>
  <c r="N123" i="6"/>
  <c r="E37" i="1" s="1"/>
  <c r="N124" i="6"/>
  <c r="E41" i="1" s="1"/>
  <c r="N125" i="6"/>
  <c r="E40" i="1" s="1"/>
  <c r="N126" i="6"/>
  <c r="E55" i="1" s="1"/>
  <c r="N127" i="6"/>
  <c r="E117" i="1" s="1"/>
  <c r="N128" i="6"/>
  <c r="E27" i="1" s="1"/>
  <c r="N129" i="6"/>
  <c r="E10" i="1" s="1"/>
  <c r="N130" i="6"/>
  <c r="E15" i="1" s="1"/>
  <c r="N131" i="6"/>
  <c r="E205" i="1" s="1"/>
  <c r="N132" i="6"/>
  <c r="E208" i="1" s="1"/>
  <c r="N133" i="6"/>
  <c r="E207" i="1" s="1"/>
  <c r="N134" i="6"/>
  <c r="E77" i="1" s="1"/>
  <c r="N135" i="6"/>
  <c r="E53" i="1" s="1"/>
  <c r="N136" i="6"/>
  <c r="E59" i="1" s="1"/>
  <c r="N137" i="6"/>
  <c r="E56" i="1" s="1"/>
  <c r="N138" i="6"/>
  <c r="E57" i="1" s="1"/>
  <c r="N139" i="6"/>
  <c r="E47" i="1" s="1"/>
  <c r="N140" i="6"/>
  <c r="E146" i="1" s="1"/>
  <c r="N141" i="6"/>
  <c r="E49" i="1" s="1"/>
  <c r="N142" i="6"/>
  <c r="E48" i="1" s="1"/>
  <c r="N143" i="6"/>
  <c r="E62" i="1" s="1"/>
  <c r="N144" i="6"/>
  <c r="E32" i="1" s="1"/>
  <c r="N145" i="6"/>
  <c r="E29" i="1" s="1"/>
  <c r="N146" i="6"/>
  <c r="E44" i="1" s="1"/>
  <c r="N147" i="6"/>
  <c r="E21" i="1" s="1"/>
  <c r="N148" i="6"/>
  <c r="E35" i="1" s="1"/>
  <c r="N149" i="6"/>
  <c r="E58" i="1" s="1"/>
  <c r="N150" i="6"/>
  <c r="E73" i="1" s="1"/>
  <c r="N151" i="6"/>
  <c r="E81" i="1" s="1"/>
  <c r="N152" i="6"/>
  <c r="E78" i="1" s="1"/>
  <c r="N153" i="6"/>
  <c r="E210" i="1" s="1"/>
  <c r="N154" i="6"/>
  <c r="E64" i="1" s="1"/>
  <c r="N155" i="6"/>
  <c r="E46" i="1" s="1"/>
  <c r="N156" i="6"/>
  <c r="E177" i="1" s="1"/>
  <c r="N157" i="6"/>
  <c r="E61" i="1" s="1"/>
  <c r="N158" i="6"/>
  <c r="E26" i="1" s="1"/>
  <c r="N159" i="6"/>
  <c r="E96" i="1" s="1"/>
  <c r="N160" i="6"/>
  <c r="E72" i="1" s="1"/>
  <c r="N161" i="6"/>
  <c r="E158" i="1" s="1"/>
  <c r="N162" i="6"/>
  <c r="E176" i="1" s="1"/>
  <c r="N163" i="6"/>
  <c r="E124" i="1" s="1"/>
  <c r="N164" i="6"/>
  <c r="E130" i="1" s="1"/>
  <c r="N165" i="6"/>
  <c r="E138" i="1" s="1"/>
  <c r="N166" i="6"/>
  <c r="E140" i="1" s="1"/>
  <c r="N167" i="6"/>
  <c r="E212" i="1" s="1"/>
  <c r="N168" i="6"/>
  <c r="E211" i="1" s="1"/>
  <c r="N169" i="6"/>
  <c r="E141" i="1" s="1"/>
  <c r="N170" i="6"/>
  <c r="E139" i="1" s="1"/>
  <c r="N171" i="6"/>
  <c r="E129" i="1" s="1"/>
  <c r="N172" i="6"/>
  <c r="E160" i="1" s="1"/>
  <c r="N173" i="6"/>
  <c r="E125" i="1" s="1"/>
  <c r="N174" i="6"/>
  <c r="E132" i="1" s="1"/>
  <c r="N175" i="6"/>
  <c r="E131" i="1" s="1"/>
  <c r="N176" i="6"/>
  <c r="E133" i="1" s="1"/>
  <c r="N177" i="6"/>
  <c r="E45" i="1" s="1"/>
  <c r="N178" i="6"/>
  <c r="E157" i="1" s="1"/>
  <c r="N179" i="6"/>
  <c r="E154" i="1" s="1"/>
  <c r="N180" i="6"/>
  <c r="E156" i="1" s="1"/>
  <c r="N181" i="6"/>
  <c r="E153" i="1" s="1"/>
  <c r="N182" i="6"/>
  <c r="E152" i="1" s="1"/>
  <c r="N183" i="6"/>
  <c r="E161" i="1" s="1"/>
  <c r="N184" i="6"/>
  <c r="E206" i="1" s="1"/>
  <c r="N185" i="6"/>
  <c r="E68" i="1" s="1"/>
  <c r="N186" i="6"/>
  <c r="E170" i="1" s="1"/>
  <c r="N187" i="6"/>
  <c r="E69" i="1" s="1"/>
  <c r="N188" i="6"/>
  <c r="E60" i="1" s="1"/>
  <c r="N189" i="6"/>
  <c r="E191" i="1" s="1"/>
  <c r="N190" i="6"/>
  <c r="E115" i="1" s="1"/>
  <c r="N191" i="6"/>
  <c r="E22" i="1" s="1"/>
  <c r="N192" i="6"/>
  <c r="E33" i="1" s="1"/>
  <c r="N193" i="6"/>
  <c r="E7" i="1" s="1"/>
  <c r="N194" i="6"/>
  <c r="E209" i="1" s="1"/>
  <c r="N195" i="6"/>
  <c r="E66" i="1" s="1"/>
  <c r="N196" i="6"/>
  <c r="E63" i="1" s="1"/>
  <c r="N197" i="6"/>
  <c r="E17" i="1" s="1"/>
  <c r="N198" i="6"/>
  <c r="E18" i="1" s="1"/>
  <c r="N199" i="6"/>
  <c r="E19" i="1" s="1"/>
  <c r="N200" i="6"/>
  <c r="E30" i="1" s="1"/>
  <c r="N201" i="6"/>
  <c r="E31" i="1" s="1"/>
  <c r="N202" i="6"/>
  <c r="E34" i="1" s="1"/>
  <c r="N203" i="6"/>
  <c r="E99" i="1" s="1"/>
  <c r="N204" i="6"/>
  <c r="E114" i="1" s="1"/>
  <c r="N205" i="6"/>
  <c r="E98" i="1" s="1"/>
  <c r="N206" i="6"/>
  <c r="E204" i="1" s="1"/>
  <c r="N207" i="6"/>
  <c r="E9" i="1" s="1"/>
  <c r="N208" i="6"/>
  <c r="E13" i="1" s="1"/>
  <c r="N209" i="6"/>
  <c r="E43" i="1" s="1"/>
  <c r="N210" i="6"/>
  <c r="E4" i="1" s="1"/>
  <c r="N211" i="6"/>
  <c r="E5" i="1" s="1"/>
  <c r="Y169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I173" i="1" l="1"/>
  <c r="J173" i="1" s="1"/>
  <c r="L173" i="1" s="1"/>
  <c r="I195" i="1"/>
  <c r="J195" i="1" s="1"/>
  <c r="L195" i="1" s="1"/>
  <c r="J150" i="1"/>
  <c r="L150" i="1" s="1"/>
  <c r="M150" i="1" s="1"/>
  <c r="J145" i="1"/>
  <c r="L145" i="1" s="1"/>
  <c r="M145" i="1" s="1"/>
  <c r="J170" i="1"/>
  <c r="L170" i="1" s="1"/>
  <c r="J107" i="1"/>
  <c r="L107" i="1" s="1"/>
  <c r="M107" i="1" s="1"/>
  <c r="J151" i="1"/>
  <c r="L151" i="1" s="1"/>
  <c r="N151" i="1" s="1"/>
  <c r="S151" i="1" s="1"/>
  <c r="J163" i="1"/>
  <c r="L163" i="1" s="1"/>
  <c r="M163" i="1" s="1"/>
  <c r="J64" i="1"/>
  <c r="L64" i="1" s="1"/>
  <c r="N64" i="1" s="1"/>
  <c r="S64" i="1" s="1"/>
  <c r="J46" i="1"/>
  <c r="L46" i="1" s="1"/>
  <c r="J138" i="1"/>
  <c r="L138" i="1" s="1"/>
  <c r="N138" i="1" s="1"/>
  <c r="S138" i="1" s="1"/>
  <c r="J139" i="1"/>
  <c r="L139" i="1" s="1"/>
  <c r="J131" i="1"/>
  <c r="L131" i="1" s="1"/>
  <c r="M131" i="1" s="1"/>
  <c r="J162" i="1"/>
  <c r="L162" i="1" s="1"/>
  <c r="J67" i="1"/>
  <c r="L67" i="1" s="1"/>
  <c r="J83" i="1"/>
  <c r="L83" i="1" s="1"/>
  <c r="M83" i="1" s="1"/>
  <c r="J60" i="1"/>
  <c r="L60" i="1" s="1"/>
  <c r="M60" i="1" s="1"/>
  <c r="J169" i="1"/>
  <c r="L169" i="1" s="1"/>
  <c r="J123" i="1"/>
  <c r="L123" i="1" s="1"/>
  <c r="M123" i="1" s="1"/>
  <c r="J50" i="1"/>
  <c r="L50" i="1" s="1"/>
  <c r="M50" i="1" s="1"/>
  <c r="J56" i="1"/>
  <c r="L56" i="1" s="1"/>
  <c r="M56" i="1" s="1"/>
  <c r="J75" i="1"/>
  <c r="L75" i="1" s="1"/>
  <c r="M75" i="1" s="1"/>
  <c r="N75" i="1" s="1"/>
  <c r="S75" i="1" s="1"/>
  <c r="J78" i="1"/>
  <c r="L78" i="1" s="1"/>
  <c r="M78" i="1" s="1"/>
  <c r="J90" i="1"/>
  <c r="L90" i="1" s="1"/>
  <c r="M90" i="1" s="1"/>
  <c r="J96" i="1"/>
  <c r="L96" i="1" s="1"/>
  <c r="J135" i="1"/>
  <c r="L135" i="1" s="1"/>
  <c r="M135" i="1" s="1"/>
  <c r="J141" i="1"/>
  <c r="L141" i="1" s="1"/>
  <c r="J86" i="1"/>
  <c r="L86" i="1" s="1"/>
  <c r="M86" i="1" s="1"/>
  <c r="J172" i="1"/>
  <c r="L172" i="1" s="1"/>
  <c r="J23" i="1"/>
  <c r="L23" i="1" s="1"/>
  <c r="J88" i="1"/>
  <c r="L88" i="1" s="1"/>
  <c r="J100" i="1"/>
  <c r="L100" i="1" s="1"/>
  <c r="M100" i="1" s="1"/>
  <c r="J77" i="1"/>
  <c r="L77" i="1" s="1"/>
  <c r="M77" i="1" s="1"/>
  <c r="J9" i="1"/>
  <c r="L9" i="1" s="1"/>
  <c r="M9" i="1" s="1"/>
  <c r="J69" i="1"/>
  <c r="L69" i="1" s="1"/>
  <c r="M69" i="1" s="1"/>
  <c r="J85" i="1"/>
  <c r="L85" i="1" s="1"/>
  <c r="M85" i="1" s="1"/>
  <c r="J34" i="1"/>
  <c r="L34" i="1" s="1"/>
  <c r="J40" i="1"/>
  <c r="L40" i="1" s="1"/>
  <c r="M40" i="1" s="1"/>
  <c r="J52" i="1"/>
  <c r="L52" i="1" s="1"/>
  <c r="J128" i="1"/>
  <c r="L128" i="1" s="1"/>
  <c r="M128" i="1" s="1"/>
  <c r="J171" i="1"/>
  <c r="L171" i="1" s="1"/>
  <c r="J81" i="1"/>
  <c r="L81" i="1" s="1"/>
  <c r="M81" i="1" s="1"/>
  <c r="J6" i="1"/>
  <c r="L6" i="1" s="1"/>
  <c r="M6" i="1" s="1"/>
  <c r="J82" i="1"/>
  <c r="L82" i="1" s="1"/>
  <c r="J49" i="1"/>
  <c r="L49" i="1" s="1"/>
  <c r="M49" i="1" s="1"/>
  <c r="J61" i="1"/>
  <c r="L61" i="1" s="1"/>
  <c r="M61" i="1" s="1"/>
  <c r="J89" i="1"/>
  <c r="L89" i="1" s="1"/>
  <c r="M89" i="1" s="1"/>
  <c r="J101" i="1"/>
  <c r="L101" i="1" s="1"/>
  <c r="J108" i="1"/>
  <c r="L108" i="1" s="1"/>
  <c r="M108" i="1" s="1"/>
  <c r="J154" i="1"/>
  <c r="L154" i="1" s="1"/>
  <c r="M154" i="1" s="1"/>
  <c r="J166" i="1"/>
  <c r="L166" i="1" s="1"/>
  <c r="J16" i="1"/>
  <c r="L16" i="1" s="1"/>
  <c r="J22" i="1"/>
  <c r="L22" i="1" s="1"/>
  <c r="J45" i="1"/>
  <c r="L45" i="1" s="1"/>
  <c r="M45" i="1" s="1"/>
  <c r="J93" i="1"/>
  <c r="L93" i="1" s="1"/>
  <c r="J99" i="1"/>
  <c r="L99" i="1" s="1"/>
  <c r="M99" i="1" s="1"/>
  <c r="J137" i="1"/>
  <c r="L137" i="1" s="1"/>
  <c r="M137" i="1" s="1"/>
  <c r="J143" i="1"/>
  <c r="L143" i="1" s="1"/>
  <c r="M143" i="1" s="1"/>
  <c r="N143" i="1" s="1"/>
  <c r="S143" i="1" s="1"/>
  <c r="J155" i="1"/>
  <c r="L155" i="1" s="1"/>
  <c r="J167" i="1"/>
  <c r="L167" i="1" s="1"/>
  <c r="J5" i="1"/>
  <c r="L5" i="1" s="1"/>
  <c r="J94" i="1"/>
  <c r="L94" i="1" s="1"/>
  <c r="J124" i="1"/>
  <c r="L124" i="1" s="1"/>
  <c r="J130" i="1"/>
  <c r="L130" i="1" s="1"/>
  <c r="J17" i="1"/>
  <c r="L17" i="1" s="1"/>
  <c r="J185" i="1"/>
  <c r="L185" i="1" s="1"/>
  <c r="N185" i="1" s="1"/>
  <c r="S185" i="1" s="1"/>
  <c r="J197" i="1"/>
  <c r="L197" i="1" s="1"/>
  <c r="N197" i="1" s="1"/>
  <c r="S197" i="1" s="1"/>
  <c r="J209" i="1"/>
  <c r="L209" i="1" s="1"/>
  <c r="J35" i="1"/>
  <c r="L35" i="1" s="1"/>
  <c r="M35" i="1" s="1"/>
  <c r="J177" i="1"/>
  <c r="L177" i="1" s="1"/>
  <c r="J211" i="1"/>
  <c r="L211" i="1" s="1"/>
  <c r="N211" i="1" s="1"/>
  <c r="S211" i="1" s="1"/>
  <c r="J132" i="1"/>
  <c r="L132" i="1" s="1"/>
  <c r="M132" i="1" s="1"/>
  <c r="J188" i="1"/>
  <c r="L188" i="1" s="1"/>
  <c r="N188" i="1" s="1"/>
  <c r="S188" i="1" s="1"/>
  <c r="J212" i="1"/>
  <c r="L212" i="1" s="1"/>
  <c r="N212" i="1" s="1"/>
  <c r="S212" i="1" s="1"/>
  <c r="J53" i="1"/>
  <c r="L53" i="1" s="1"/>
  <c r="J59" i="1"/>
  <c r="L59" i="1" s="1"/>
  <c r="J134" i="1"/>
  <c r="L134" i="1" s="1"/>
  <c r="M134" i="1" s="1"/>
  <c r="J146" i="1"/>
  <c r="L146" i="1" s="1"/>
  <c r="J158" i="1"/>
  <c r="L158" i="1" s="1"/>
  <c r="J20" i="1"/>
  <c r="L20" i="1" s="1"/>
  <c r="M20" i="1" s="1"/>
  <c r="J65" i="1"/>
  <c r="L65" i="1" s="1"/>
  <c r="J71" i="1"/>
  <c r="L71" i="1" s="1"/>
  <c r="J76" i="1"/>
  <c r="L76" i="1" s="1"/>
  <c r="M76" i="1" s="1"/>
  <c r="J109" i="1"/>
  <c r="L109" i="1" s="1"/>
  <c r="M109" i="1" s="1"/>
  <c r="J127" i="1"/>
  <c r="L127" i="1" s="1"/>
  <c r="J104" i="1"/>
  <c r="L104" i="1" s="1"/>
  <c r="J147" i="1"/>
  <c r="L147" i="1" s="1"/>
  <c r="J4" i="1"/>
  <c r="L4" i="1" s="1"/>
  <c r="J26" i="1"/>
  <c r="L26" i="1" s="1"/>
  <c r="J38" i="1"/>
  <c r="L38" i="1" s="1"/>
  <c r="M38" i="1" s="1"/>
  <c r="J44" i="1"/>
  <c r="L44" i="1" s="1"/>
  <c r="J55" i="1"/>
  <c r="L55" i="1" s="1"/>
  <c r="J66" i="1"/>
  <c r="L66" i="1" s="1"/>
  <c r="M66" i="1" s="1"/>
  <c r="J72" i="1"/>
  <c r="L72" i="1" s="1"/>
  <c r="J87" i="1"/>
  <c r="L87" i="1" s="1"/>
  <c r="J92" i="1"/>
  <c r="L92" i="1" s="1"/>
  <c r="M92" i="1" s="1"/>
  <c r="J98" i="1"/>
  <c r="L98" i="1" s="1"/>
  <c r="M98" i="1" s="1"/>
  <c r="J192" i="1"/>
  <c r="L192" i="1" s="1"/>
  <c r="N192" i="1" s="1"/>
  <c r="S192" i="1" s="1"/>
  <c r="J201" i="1"/>
  <c r="L201" i="1" s="1"/>
  <c r="N201" i="1" s="1"/>
  <c r="S201" i="1" s="1"/>
  <c r="J203" i="1"/>
  <c r="L203" i="1" s="1"/>
  <c r="N203" i="1" s="1"/>
  <c r="S203" i="1" s="1"/>
  <c r="J181" i="1"/>
  <c r="L181" i="1" s="1"/>
  <c r="N181" i="1" s="1"/>
  <c r="S181" i="1" s="1"/>
  <c r="J193" i="1"/>
  <c r="L193" i="1" s="1"/>
  <c r="N193" i="1" s="1"/>
  <c r="S193" i="1" s="1"/>
  <c r="J206" i="1"/>
  <c r="L206" i="1" s="1"/>
  <c r="N206" i="1" s="1"/>
  <c r="S206" i="1" s="1"/>
  <c r="J184" i="1"/>
  <c r="L184" i="1" s="1"/>
  <c r="J207" i="1"/>
  <c r="L207" i="1" s="1"/>
  <c r="J208" i="1"/>
  <c r="L208" i="1" s="1"/>
  <c r="J15" i="1"/>
  <c r="L15" i="1" s="1"/>
  <c r="M15" i="1" s="1"/>
  <c r="J19" i="1"/>
  <c r="L19" i="1" s="1"/>
  <c r="J24" i="1"/>
  <c r="L24" i="1" s="1"/>
  <c r="M24" i="1" s="1"/>
  <c r="J28" i="1"/>
  <c r="L28" i="1" s="1"/>
  <c r="M28" i="1" s="1"/>
  <c r="J33" i="1"/>
  <c r="L33" i="1" s="1"/>
  <c r="J37" i="1"/>
  <c r="L37" i="1" s="1"/>
  <c r="J42" i="1"/>
  <c r="L42" i="1" s="1"/>
  <c r="J51" i="1"/>
  <c r="L51" i="1" s="1"/>
  <c r="J62" i="1"/>
  <c r="L62" i="1" s="1"/>
  <c r="M62" i="1" s="1"/>
  <c r="J79" i="1"/>
  <c r="L79" i="1" s="1"/>
  <c r="M79" i="1" s="1"/>
  <c r="J11" i="1"/>
  <c r="L11" i="1" s="1"/>
  <c r="M11" i="1" s="1"/>
  <c r="J57" i="1"/>
  <c r="L57" i="1" s="1"/>
  <c r="M57" i="1" s="1"/>
  <c r="J125" i="1"/>
  <c r="L125" i="1" s="1"/>
  <c r="J25" i="1"/>
  <c r="L25" i="1" s="1"/>
  <c r="M25" i="1" s="1"/>
  <c r="J29" i="1"/>
  <c r="L29" i="1" s="1"/>
  <c r="M29" i="1" s="1"/>
  <c r="J43" i="1"/>
  <c r="L43" i="1" s="1"/>
  <c r="M43" i="1" s="1"/>
  <c r="J73" i="1"/>
  <c r="L73" i="1" s="1"/>
  <c r="M73" i="1" s="1"/>
  <c r="J80" i="1"/>
  <c r="L80" i="1" s="1"/>
  <c r="J120" i="1"/>
  <c r="L120" i="1" s="1"/>
  <c r="J7" i="1"/>
  <c r="L7" i="1" s="1"/>
  <c r="M7" i="1" s="1"/>
  <c r="J12" i="1"/>
  <c r="L12" i="1" s="1"/>
  <c r="J21" i="1"/>
  <c r="L21" i="1" s="1"/>
  <c r="J30" i="1"/>
  <c r="L30" i="1" s="1"/>
  <c r="J39" i="1"/>
  <c r="L39" i="1" s="1"/>
  <c r="M39" i="1" s="1"/>
  <c r="J48" i="1"/>
  <c r="L48" i="1" s="1"/>
  <c r="J68" i="1"/>
  <c r="L68" i="1" s="1"/>
  <c r="J84" i="1"/>
  <c r="L84" i="1" s="1"/>
  <c r="J91" i="1"/>
  <c r="L91" i="1" s="1"/>
  <c r="J126" i="1"/>
  <c r="L126" i="1" s="1"/>
  <c r="M126" i="1" s="1"/>
  <c r="J8" i="1"/>
  <c r="L8" i="1" s="1"/>
  <c r="M8" i="1" s="1"/>
  <c r="J13" i="1"/>
  <c r="L13" i="1" s="1"/>
  <c r="M13" i="1" s="1"/>
  <c r="J31" i="1"/>
  <c r="L31" i="1" s="1"/>
  <c r="M31" i="1" s="1"/>
  <c r="J54" i="1"/>
  <c r="L54" i="1" s="1"/>
  <c r="J105" i="1"/>
  <c r="L105" i="1" s="1"/>
  <c r="M105" i="1" s="1"/>
  <c r="J110" i="1"/>
  <c r="L110" i="1" s="1"/>
  <c r="M110" i="1" s="1"/>
  <c r="J116" i="1"/>
  <c r="L116" i="1" s="1"/>
  <c r="J122" i="1"/>
  <c r="L122" i="1" s="1"/>
  <c r="J198" i="1"/>
  <c r="L198" i="1" s="1"/>
  <c r="N198" i="1" s="1"/>
  <c r="S198" i="1" s="1"/>
  <c r="J14" i="1"/>
  <c r="L14" i="1" s="1"/>
  <c r="M14" i="1" s="1"/>
  <c r="J18" i="1"/>
  <c r="L18" i="1" s="1"/>
  <c r="J27" i="1"/>
  <c r="L27" i="1" s="1"/>
  <c r="M27" i="1" s="1"/>
  <c r="J32" i="1"/>
  <c r="L32" i="1" s="1"/>
  <c r="J36" i="1"/>
  <c r="L36" i="1" s="1"/>
  <c r="J41" i="1"/>
  <c r="L41" i="1" s="1"/>
  <c r="J97" i="1"/>
  <c r="L97" i="1" s="1"/>
  <c r="J106" i="1"/>
  <c r="L106" i="1" s="1"/>
  <c r="M106" i="1" s="1"/>
  <c r="J10" i="1"/>
  <c r="L10" i="1" s="1"/>
  <c r="M10" i="1" s="1"/>
  <c r="J102" i="1"/>
  <c r="L102" i="1" s="1"/>
  <c r="J159" i="1"/>
  <c r="L159" i="1" s="1"/>
  <c r="J178" i="1"/>
  <c r="L178" i="1" s="1"/>
  <c r="N178" i="1" s="1"/>
  <c r="S178" i="1" s="1"/>
  <c r="J189" i="1"/>
  <c r="L189" i="1" s="1"/>
  <c r="N189" i="1" s="1"/>
  <c r="S189" i="1" s="1"/>
  <c r="J47" i="1"/>
  <c r="L47" i="1" s="1"/>
  <c r="N20" i="1"/>
  <c r="S20" i="1" s="1"/>
  <c r="J58" i="1"/>
  <c r="L58" i="1" s="1"/>
  <c r="J74" i="1"/>
  <c r="L74" i="1" s="1"/>
  <c r="J112" i="1"/>
  <c r="L112" i="1" s="1"/>
  <c r="M112" i="1" s="1"/>
  <c r="J175" i="1"/>
  <c r="L175" i="1" s="1"/>
  <c r="N49" i="1"/>
  <c r="S49" i="1" s="1"/>
  <c r="J118" i="1"/>
  <c r="L118" i="1" s="1"/>
  <c r="J114" i="1"/>
  <c r="L114" i="1" s="1"/>
  <c r="M114" i="1" s="1"/>
  <c r="N50" i="1"/>
  <c r="S50" i="1" s="1"/>
  <c r="J63" i="1"/>
  <c r="L63" i="1" s="1"/>
  <c r="M63" i="1" s="1"/>
  <c r="J70" i="1"/>
  <c r="L70" i="1" s="1"/>
  <c r="N208" i="1"/>
  <c r="S208" i="1" s="1"/>
  <c r="J133" i="1"/>
  <c r="L133" i="1" s="1"/>
  <c r="J194" i="1"/>
  <c r="L194" i="1" s="1"/>
  <c r="N194" i="1" s="1"/>
  <c r="S194" i="1" s="1"/>
  <c r="J199" i="1"/>
  <c r="L199" i="1" s="1"/>
  <c r="N199" i="1" s="1"/>
  <c r="S199" i="1" s="1"/>
  <c r="N209" i="1"/>
  <c r="S209" i="1" s="1"/>
  <c r="J95" i="1"/>
  <c r="L95" i="1" s="1"/>
  <c r="J103" i="1"/>
  <c r="L103" i="1" s="1"/>
  <c r="M103" i="1" s="1"/>
  <c r="J111" i="1"/>
  <c r="L111" i="1" s="1"/>
  <c r="M111" i="1" s="1"/>
  <c r="J117" i="1"/>
  <c r="L117" i="1" s="1"/>
  <c r="M117" i="1" s="1"/>
  <c r="J174" i="1"/>
  <c r="L174" i="1" s="1"/>
  <c r="M174" i="1" s="1"/>
  <c r="N174" i="1" s="1"/>
  <c r="S174" i="1" s="1"/>
  <c r="J136" i="1"/>
  <c r="L136" i="1" s="1"/>
  <c r="M136" i="1" s="1"/>
  <c r="J140" i="1"/>
  <c r="L140" i="1" s="1"/>
  <c r="J144" i="1"/>
  <c r="L144" i="1" s="1"/>
  <c r="J148" i="1"/>
  <c r="L148" i="1" s="1"/>
  <c r="J152" i="1"/>
  <c r="L152" i="1" s="1"/>
  <c r="M152" i="1" s="1"/>
  <c r="J156" i="1"/>
  <c r="L156" i="1" s="1"/>
  <c r="J160" i="1"/>
  <c r="L160" i="1" s="1"/>
  <c r="J164" i="1"/>
  <c r="L164" i="1" s="1"/>
  <c r="M164" i="1" s="1"/>
  <c r="J168" i="1"/>
  <c r="L168" i="1" s="1"/>
  <c r="J179" i="1"/>
  <c r="L179" i="1" s="1"/>
  <c r="N179" i="1" s="1"/>
  <c r="S179" i="1" s="1"/>
  <c r="J182" i="1"/>
  <c r="L182" i="1" s="1"/>
  <c r="N182" i="1" s="1"/>
  <c r="S182" i="1" s="1"/>
  <c r="J186" i="1"/>
  <c r="L186" i="1" s="1"/>
  <c r="N186" i="1" s="1"/>
  <c r="S186" i="1" s="1"/>
  <c r="J190" i="1"/>
  <c r="L190" i="1" s="1"/>
  <c r="N190" i="1" s="1"/>
  <c r="S190" i="1" s="1"/>
  <c r="N195" i="1"/>
  <c r="S195" i="1" s="1"/>
  <c r="J204" i="1"/>
  <c r="L204" i="1" s="1"/>
  <c r="N204" i="1" s="1"/>
  <c r="S204" i="1" s="1"/>
  <c r="N145" i="1"/>
  <c r="S145" i="1" s="1"/>
  <c r="J149" i="1"/>
  <c r="L149" i="1" s="1"/>
  <c r="J153" i="1"/>
  <c r="L153" i="1" s="1"/>
  <c r="J157" i="1"/>
  <c r="L157" i="1" s="1"/>
  <c r="J161" i="1"/>
  <c r="L161" i="1" s="1"/>
  <c r="J165" i="1"/>
  <c r="L165" i="1" s="1"/>
  <c r="J176" i="1"/>
  <c r="L176" i="1" s="1"/>
  <c r="N176" i="1" s="1"/>
  <c r="S176" i="1" s="1"/>
  <c r="J180" i="1"/>
  <c r="L180" i="1" s="1"/>
  <c r="N180" i="1" s="1"/>
  <c r="S180" i="1" s="1"/>
  <c r="J183" i="1"/>
  <c r="L183" i="1" s="1"/>
  <c r="N183" i="1" s="1"/>
  <c r="S183" i="1" s="1"/>
  <c r="J187" i="1"/>
  <c r="L187" i="1" s="1"/>
  <c r="N187" i="1" s="1"/>
  <c r="S187" i="1" s="1"/>
  <c r="J191" i="1"/>
  <c r="L191" i="1" s="1"/>
  <c r="N191" i="1" s="1"/>
  <c r="S191" i="1" s="1"/>
  <c r="J200" i="1"/>
  <c r="L200" i="1" s="1"/>
  <c r="N200" i="1" s="1"/>
  <c r="S200" i="1" s="1"/>
  <c r="J205" i="1"/>
  <c r="L205" i="1" s="1"/>
  <c r="N205" i="1" s="1"/>
  <c r="S205" i="1" s="1"/>
  <c r="J210" i="1"/>
  <c r="L210" i="1" s="1"/>
  <c r="N210" i="1" s="1"/>
  <c r="S210" i="1" s="1"/>
  <c r="J115" i="1"/>
  <c r="L115" i="1" s="1"/>
  <c r="J121" i="1"/>
  <c r="L121" i="1" s="1"/>
  <c r="J196" i="1"/>
  <c r="L196" i="1" s="1"/>
  <c r="N196" i="1" s="1"/>
  <c r="S196" i="1" s="1"/>
  <c r="N150" i="1"/>
  <c r="S150" i="1" s="1"/>
  <c r="N177" i="1"/>
  <c r="S177" i="1" s="1"/>
  <c r="N169" i="1"/>
  <c r="S169" i="1" s="1"/>
  <c r="N184" i="1"/>
  <c r="S184" i="1" s="1"/>
  <c r="N173" i="1"/>
  <c r="S173" i="1" s="1"/>
  <c r="J142" i="1"/>
  <c r="L142" i="1" s="1"/>
  <c r="M142" i="1" s="1"/>
  <c r="N207" i="1"/>
  <c r="S207" i="1" s="1"/>
  <c r="N163" i="1"/>
  <c r="S163" i="1" s="1"/>
  <c r="J202" i="1"/>
  <c r="L202" i="1" s="1"/>
  <c r="N202" i="1" s="1"/>
  <c r="S202" i="1" s="1"/>
  <c r="J113" i="1"/>
  <c r="L113" i="1" s="1"/>
  <c r="M113" i="1" s="1"/>
  <c r="J119" i="1"/>
  <c r="L119" i="1" s="1"/>
  <c r="J129" i="1"/>
  <c r="L129" i="1" s="1"/>
  <c r="Z9" i="1"/>
  <c r="Z6" i="1"/>
  <c r="Z7" i="1"/>
  <c r="Z8" i="1"/>
  <c r="Z10" i="1"/>
  <c r="Z11" i="1"/>
  <c r="Z13" i="1"/>
  <c r="Z14" i="1"/>
  <c r="Z15" i="1"/>
  <c r="Z24" i="1"/>
  <c r="Z25" i="1"/>
  <c r="Z27" i="1"/>
  <c r="Z28" i="1"/>
  <c r="Z29" i="1"/>
  <c r="Z31" i="1"/>
  <c r="Z35" i="1"/>
  <c r="Z38" i="1"/>
  <c r="Z39" i="1"/>
  <c r="Z40" i="1"/>
  <c r="Z43" i="1"/>
  <c r="Z45" i="1"/>
  <c r="Z56" i="1"/>
  <c r="Z57" i="1"/>
  <c r="Z60" i="1"/>
  <c r="Z61" i="1"/>
  <c r="Z62" i="1"/>
  <c r="Z63" i="1"/>
  <c r="Z66" i="1"/>
  <c r="Z69" i="1"/>
  <c r="Z73" i="1"/>
  <c r="Z76" i="1"/>
  <c r="Z77" i="1"/>
  <c r="Z78" i="1"/>
  <c r="Z79" i="1"/>
  <c r="Z81" i="1"/>
  <c r="Z83" i="1"/>
  <c r="Z85" i="1"/>
  <c r="Z86" i="1"/>
  <c r="Z89" i="1"/>
  <c r="Z90" i="1"/>
  <c r="Z92" i="1"/>
  <c r="Z98" i="1"/>
  <c r="Z99" i="1"/>
  <c r="Z100" i="1"/>
  <c r="Z103" i="1"/>
  <c r="Z105" i="1"/>
  <c r="Z106" i="1"/>
  <c r="Z107" i="1"/>
  <c r="Z108" i="1"/>
  <c r="Z109" i="1"/>
  <c r="Z110" i="1"/>
  <c r="Z111" i="1"/>
  <c r="Z112" i="1"/>
  <c r="Z113" i="1"/>
  <c r="Z114" i="1"/>
  <c r="Z117" i="1"/>
  <c r="Z123" i="1"/>
  <c r="Z126" i="1"/>
  <c r="Z128" i="1"/>
  <c r="Z131" i="1"/>
  <c r="Z132" i="1"/>
  <c r="Z134" i="1"/>
  <c r="Z135" i="1"/>
  <c r="Z136" i="1"/>
  <c r="Z137" i="1"/>
  <c r="N137" i="1" s="1"/>
  <c r="S137" i="1" s="1"/>
  <c r="Z142" i="1"/>
  <c r="Z152" i="1"/>
  <c r="Z154" i="1"/>
  <c r="Z164" i="1"/>
  <c r="N69" i="1" l="1"/>
  <c r="S69" i="1" s="1"/>
  <c r="N140" i="1"/>
  <c r="S140" i="1" s="1"/>
  <c r="M70" i="1"/>
  <c r="N70" i="1" s="1"/>
  <c r="S70" i="1" s="1"/>
  <c r="M47" i="1"/>
  <c r="N47" i="1" s="1"/>
  <c r="S47" i="1" s="1"/>
  <c r="M18" i="1"/>
  <c r="N18" i="1" s="1"/>
  <c r="S18" i="1" s="1"/>
  <c r="M91" i="1"/>
  <c r="N91" i="1" s="1"/>
  <c r="S91" i="1" s="1"/>
  <c r="M104" i="1"/>
  <c r="N104" i="1" s="1"/>
  <c r="S104" i="1" s="1"/>
  <c r="N94" i="1"/>
  <c r="S94" i="1" s="1"/>
  <c r="M162" i="1"/>
  <c r="N162" i="1" s="1"/>
  <c r="S162" i="1" s="1"/>
  <c r="M129" i="1"/>
  <c r="N129" i="1" s="1"/>
  <c r="S129" i="1" s="1"/>
  <c r="M68" i="1"/>
  <c r="N68" i="1" s="1"/>
  <c r="S68" i="1" s="1"/>
  <c r="M19" i="1"/>
  <c r="N19" i="1" s="1"/>
  <c r="S19" i="1" s="1"/>
  <c r="M167" i="1"/>
  <c r="N167" i="1" s="1"/>
  <c r="S167" i="1" s="1"/>
  <c r="M101" i="1"/>
  <c r="N101" i="1" s="1"/>
  <c r="S101" i="1" s="1"/>
  <c r="N139" i="1"/>
  <c r="S139" i="1" s="1"/>
  <c r="M127" i="1"/>
  <c r="N127" i="1" s="1"/>
  <c r="S127" i="1" s="1"/>
  <c r="M118" i="1"/>
  <c r="N118" i="1" s="1"/>
  <c r="S118" i="1" s="1"/>
  <c r="M159" i="1"/>
  <c r="N159" i="1" s="1"/>
  <c r="S159" i="1" s="1"/>
  <c r="N122" i="1"/>
  <c r="S122" i="1" s="1"/>
  <c r="M48" i="1"/>
  <c r="N48" i="1" s="1"/>
  <c r="S48" i="1" s="1"/>
  <c r="M125" i="1"/>
  <c r="N125" i="1" s="1"/>
  <c r="S125" i="1" s="1"/>
  <c r="M87" i="1"/>
  <c r="N87" i="1" s="1"/>
  <c r="S87" i="1" s="1"/>
  <c r="M155" i="1"/>
  <c r="N155" i="1" s="1"/>
  <c r="S155" i="1" s="1"/>
  <c r="N96" i="1"/>
  <c r="S96" i="1" s="1"/>
  <c r="M165" i="1"/>
  <c r="N165" i="1" s="1"/>
  <c r="S165" i="1" s="1"/>
  <c r="M168" i="1"/>
  <c r="N168" i="1" s="1"/>
  <c r="S168" i="1" s="1"/>
  <c r="M102" i="1"/>
  <c r="N102" i="1" s="1"/>
  <c r="S102" i="1" s="1"/>
  <c r="M116" i="1"/>
  <c r="N116" i="1" s="1"/>
  <c r="S116" i="1" s="1"/>
  <c r="M72" i="1"/>
  <c r="N72" i="1" s="1"/>
  <c r="S72" i="1" s="1"/>
  <c r="M71" i="1"/>
  <c r="N71" i="1" s="1"/>
  <c r="S71" i="1" s="1"/>
  <c r="N46" i="1"/>
  <c r="S46" i="1" s="1"/>
  <c r="M84" i="1"/>
  <c r="N84" i="1" s="1"/>
  <c r="S84" i="1" s="1"/>
  <c r="M34" i="1"/>
  <c r="N34" i="1" s="1"/>
  <c r="S34" i="1" s="1"/>
  <c r="M161" i="1"/>
  <c r="N161" i="1" s="1"/>
  <c r="S161" i="1" s="1"/>
  <c r="M95" i="1"/>
  <c r="N95" i="1" s="1"/>
  <c r="S95" i="1" s="1"/>
  <c r="M30" i="1"/>
  <c r="N30" i="1" s="1"/>
  <c r="S30" i="1" s="1"/>
  <c r="M65" i="1"/>
  <c r="N65" i="1" s="1"/>
  <c r="S65" i="1" s="1"/>
  <c r="M21" i="1"/>
  <c r="N21" i="1" s="1"/>
  <c r="S21" i="1" s="1"/>
  <c r="M55" i="1"/>
  <c r="N55" i="1" s="1"/>
  <c r="S55" i="1" s="1"/>
  <c r="N82" i="1"/>
  <c r="S82" i="1" s="1"/>
  <c r="M121" i="1"/>
  <c r="N121" i="1" s="1"/>
  <c r="S121" i="1" s="1"/>
  <c r="N175" i="1"/>
  <c r="S175" i="1" s="1"/>
  <c r="N115" i="1"/>
  <c r="S115" i="1" s="1"/>
  <c r="M153" i="1"/>
  <c r="N153" i="1" s="1"/>
  <c r="S153" i="1" s="1"/>
  <c r="M156" i="1"/>
  <c r="N156" i="1" s="1"/>
  <c r="S156" i="1" s="1"/>
  <c r="M97" i="1"/>
  <c r="N97" i="1" s="1"/>
  <c r="S97" i="1" s="1"/>
  <c r="N54" i="1"/>
  <c r="S54" i="1" s="1"/>
  <c r="M12" i="1"/>
  <c r="N12" i="1" s="1"/>
  <c r="S12" i="1" s="1"/>
  <c r="M44" i="1"/>
  <c r="N44" i="1" s="1"/>
  <c r="S44" i="1" s="1"/>
  <c r="M158" i="1"/>
  <c r="N158" i="1" s="1"/>
  <c r="S158" i="1" s="1"/>
  <c r="M93" i="1"/>
  <c r="N93" i="1" s="1"/>
  <c r="S93" i="1" s="1"/>
  <c r="N88" i="1"/>
  <c r="S88" i="1" s="1"/>
  <c r="M5" i="1"/>
  <c r="N5" i="1" s="1"/>
  <c r="S5" i="1" s="1"/>
  <c r="M149" i="1"/>
  <c r="N149" i="1" s="1"/>
  <c r="S149" i="1" s="1"/>
  <c r="M74" i="1"/>
  <c r="N74" i="1" s="1"/>
  <c r="S74" i="1" s="1"/>
  <c r="M41" i="1"/>
  <c r="N41" i="1" s="1"/>
  <c r="S41" i="1" s="1"/>
  <c r="M51" i="1"/>
  <c r="N51" i="1" s="1"/>
  <c r="S51" i="1" s="1"/>
  <c r="M146" i="1"/>
  <c r="N146" i="1" s="1"/>
  <c r="S146" i="1" s="1"/>
  <c r="M23" i="1"/>
  <c r="N23" i="1" s="1"/>
  <c r="S23" i="1" s="1"/>
  <c r="M148" i="1"/>
  <c r="N148" i="1" s="1"/>
  <c r="S148" i="1" s="1"/>
  <c r="N133" i="1"/>
  <c r="S133" i="1" s="1"/>
  <c r="M58" i="1"/>
  <c r="N58" i="1" s="1"/>
  <c r="S58" i="1" s="1"/>
  <c r="M36" i="1"/>
  <c r="N36" i="1" s="1"/>
  <c r="S36" i="1" s="1"/>
  <c r="M120" i="1"/>
  <c r="N120" i="1" s="1"/>
  <c r="S120" i="1" s="1"/>
  <c r="M42" i="1"/>
  <c r="N42" i="1" s="1"/>
  <c r="S42" i="1" s="1"/>
  <c r="M26" i="1"/>
  <c r="N26" i="1" s="1"/>
  <c r="S26" i="1" s="1"/>
  <c r="M17" i="1"/>
  <c r="N17" i="1" s="1"/>
  <c r="S17" i="1" s="1"/>
  <c r="M22" i="1"/>
  <c r="N22" i="1" s="1"/>
  <c r="S22" i="1" s="1"/>
  <c r="M171" i="1"/>
  <c r="N171" i="1" s="1"/>
  <c r="S171" i="1" s="1"/>
  <c r="M172" i="1"/>
  <c r="N172" i="1" s="1"/>
  <c r="S172" i="1" s="1"/>
  <c r="N170" i="1"/>
  <c r="S170" i="1" s="1"/>
  <c r="N119" i="1"/>
  <c r="S119" i="1" s="1"/>
  <c r="M157" i="1"/>
  <c r="N157" i="1" s="1"/>
  <c r="S157" i="1" s="1"/>
  <c r="M160" i="1"/>
  <c r="N160" i="1" s="1"/>
  <c r="S160" i="1" s="1"/>
  <c r="M144" i="1"/>
  <c r="N144" i="1" s="1"/>
  <c r="S144" i="1" s="1"/>
  <c r="M32" i="1"/>
  <c r="N32" i="1" s="1"/>
  <c r="S32" i="1" s="1"/>
  <c r="M80" i="1"/>
  <c r="N80" i="1" s="1"/>
  <c r="S80" i="1" s="1"/>
  <c r="M37" i="1"/>
  <c r="N37" i="1" s="1"/>
  <c r="S37" i="1" s="1"/>
  <c r="M4" i="1"/>
  <c r="N4" i="1" s="1"/>
  <c r="S4" i="1" s="1"/>
  <c r="M59" i="1"/>
  <c r="N59" i="1" s="1"/>
  <c r="S59" i="1" s="1"/>
  <c r="N130" i="1"/>
  <c r="S130" i="1" s="1"/>
  <c r="M16" i="1"/>
  <c r="N16" i="1" s="1"/>
  <c r="S16" i="1" s="1"/>
  <c r="N33" i="1"/>
  <c r="S33" i="1" s="1"/>
  <c r="N147" i="1"/>
  <c r="S147" i="1" s="1"/>
  <c r="M53" i="1"/>
  <c r="N53" i="1" s="1"/>
  <c r="S53" i="1" s="1"/>
  <c r="M124" i="1"/>
  <c r="N124" i="1" s="1"/>
  <c r="S124" i="1" s="1"/>
  <c r="M166" i="1"/>
  <c r="N166" i="1" s="1"/>
  <c r="S166" i="1" s="1"/>
  <c r="M52" i="1"/>
  <c r="N52" i="1" s="1"/>
  <c r="S52" i="1" s="1"/>
  <c r="N141" i="1"/>
  <c r="S141" i="1" s="1"/>
  <c r="M67" i="1"/>
  <c r="N67" i="1" s="1"/>
  <c r="S67" i="1" s="1"/>
  <c r="N14" i="1"/>
  <c r="S14" i="1" s="1"/>
  <c r="N29" i="1"/>
  <c r="S29" i="1" s="1"/>
  <c r="N98" i="1"/>
  <c r="S98" i="1" s="1"/>
  <c r="N108" i="1"/>
  <c r="S108" i="1" s="1"/>
  <c r="N131" i="1"/>
  <c r="S131" i="1" s="1"/>
  <c r="N113" i="1"/>
  <c r="S113" i="1" s="1"/>
  <c r="N103" i="1"/>
  <c r="S103" i="1" s="1"/>
  <c r="N123" i="1"/>
  <c r="S123" i="1" s="1"/>
  <c r="N63" i="1"/>
  <c r="S63" i="1" s="1"/>
  <c r="N111" i="1"/>
  <c r="S111" i="1" s="1"/>
  <c r="N114" i="1"/>
  <c r="S114" i="1" s="1"/>
  <c r="N43" i="1"/>
  <c r="S43" i="1" s="1"/>
  <c r="N28" i="1"/>
  <c r="S28" i="1" s="1"/>
  <c r="N154" i="1"/>
  <c r="S154" i="1" s="1"/>
  <c r="N40" i="1"/>
  <c r="S40" i="1" s="1"/>
  <c r="N135" i="1"/>
  <c r="S135" i="1" s="1"/>
  <c r="N25" i="1"/>
  <c r="S25" i="1" s="1"/>
  <c r="N92" i="1"/>
  <c r="S92" i="1" s="1"/>
  <c r="N109" i="1"/>
  <c r="S109" i="1" s="1"/>
  <c r="N132" i="1"/>
  <c r="S132" i="1" s="1"/>
  <c r="N85" i="1"/>
  <c r="S85" i="1" s="1"/>
  <c r="N90" i="1"/>
  <c r="S90" i="1" s="1"/>
  <c r="N15" i="1"/>
  <c r="S15" i="1" s="1"/>
  <c r="N76" i="1"/>
  <c r="S76" i="1" s="1"/>
  <c r="N89" i="1"/>
  <c r="S89" i="1" s="1"/>
  <c r="N78" i="1"/>
  <c r="S78" i="1" s="1"/>
  <c r="N39" i="1"/>
  <c r="S39" i="1" s="1"/>
  <c r="N57" i="1"/>
  <c r="S57" i="1" s="1"/>
  <c r="N61" i="1"/>
  <c r="S61" i="1" s="1"/>
  <c r="N9" i="1"/>
  <c r="S9" i="1" s="1"/>
  <c r="N152" i="1"/>
  <c r="S152" i="1" s="1"/>
  <c r="N10" i="1"/>
  <c r="S10" i="1" s="1"/>
  <c r="N110" i="1"/>
  <c r="S110" i="1" s="1"/>
  <c r="N11" i="1"/>
  <c r="S11" i="1" s="1"/>
  <c r="N66" i="1"/>
  <c r="S66" i="1" s="1"/>
  <c r="N35" i="1"/>
  <c r="S35" i="1" s="1"/>
  <c r="N77" i="1"/>
  <c r="S77" i="1" s="1"/>
  <c r="N56" i="1"/>
  <c r="S56" i="1" s="1"/>
  <c r="N112" i="1"/>
  <c r="S112" i="1" s="1"/>
  <c r="N106" i="1"/>
  <c r="S106" i="1" s="1"/>
  <c r="N105" i="1"/>
  <c r="S105" i="1" s="1"/>
  <c r="N79" i="1"/>
  <c r="S79" i="1" s="1"/>
  <c r="N99" i="1"/>
  <c r="S99" i="1" s="1"/>
  <c r="N100" i="1"/>
  <c r="S100" i="1" s="1"/>
  <c r="N142" i="1"/>
  <c r="S142" i="1" s="1"/>
  <c r="N62" i="1"/>
  <c r="S62" i="1" s="1"/>
  <c r="N6" i="1"/>
  <c r="S6" i="1" s="1"/>
  <c r="N31" i="1"/>
  <c r="S31" i="1" s="1"/>
  <c r="N7" i="1"/>
  <c r="S7" i="1" s="1"/>
  <c r="N38" i="1"/>
  <c r="S38" i="1" s="1"/>
  <c r="N45" i="1"/>
  <c r="S45" i="1" s="1"/>
  <c r="N81" i="1"/>
  <c r="S81" i="1" s="1"/>
  <c r="N107" i="1"/>
  <c r="S107" i="1" s="1"/>
  <c r="N24" i="1"/>
  <c r="S24" i="1" s="1"/>
  <c r="N164" i="1"/>
  <c r="S164" i="1" s="1"/>
  <c r="N136" i="1"/>
  <c r="S136" i="1" s="1"/>
  <c r="N13" i="1"/>
  <c r="S13" i="1" s="1"/>
  <c r="N134" i="1"/>
  <c r="S134" i="1" s="1"/>
  <c r="N60" i="1"/>
  <c r="S60" i="1" s="1"/>
  <c r="N8" i="1"/>
  <c r="S8" i="1" s="1"/>
  <c r="N128" i="1"/>
  <c r="S128" i="1" s="1"/>
  <c r="N86" i="1"/>
  <c r="S86" i="1" s="1"/>
  <c r="N83" i="1"/>
  <c r="S83" i="1" s="1"/>
  <c r="N117" i="1"/>
  <c r="S117" i="1" s="1"/>
  <c r="N27" i="1"/>
  <c r="S27" i="1" s="1"/>
  <c r="N126" i="1"/>
  <c r="S126" i="1" s="1"/>
  <c r="N73" i="1"/>
  <c r="S73" i="1" s="1"/>
  <c r="Q205" i="1"/>
  <c r="Q169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6" i="1"/>
  <c r="Q207" i="1"/>
  <c r="Q208" i="1"/>
  <c r="Q209" i="1"/>
  <c r="Q210" i="1"/>
  <c r="Q211" i="1"/>
  <c r="Q212" i="1"/>
  <c r="O210" i="6"/>
  <c r="O211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O183" i="6"/>
  <c r="O184" i="6"/>
  <c r="O185" i="6"/>
  <c r="O186" i="6"/>
  <c r="O187" i="6"/>
  <c r="O188" i="6"/>
  <c r="O189" i="6"/>
  <c r="O190" i="6"/>
  <c r="O191" i="6"/>
  <c r="O192" i="6"/>
  <c r="O193" i="6"/>
  <c r="O194" i="6"/>
  <c r="O195" i="6"/>
  <c r="O196" i="6"/>
  <c r="O197" i="6"/>
  <c r="O198" i="6"/>
  <c r="O199" i="6"/>
  <c r="O200" i="6"/>
  <c r="O201" i="6"/>
  <c r="O202" i="6"/>
  <c r="O203" i="6"/>
  <c r="O204" i="6"/>
  <c r="O205" i="6"/>
  <c r="O206" i="6"/>
  <c r="O207" i="6"/>
  <c r="O208" i="6"/>
  <c r="O209" i="6"/>
  <c r="O2" i="6"/>
  <c r="Y98" i="1" l="1"/>
  <c r="Q98" i="1"/>
  <c r="Y51" i="1"/>
  <c r="Q51" i="1"/>
  <c r="Y102" i="1"/>
  <c r="Q102" i="1"/>
  <c r="Y153" i="1"/>
  <c r="Q153" i="1"/>
  <c r="Y27" i="1"/>
  <c r="Q27" i="1"/>
  <c r="Y65" i="1"/>
  <c r="Q65" i="1"/>
  <c r="Y90" i="1"/>
  <c r="Q90" i="1"/>
  <c r="Y103" i="1"/>
  <c r="Q103" i="1"/>
  <c r="Y141" i="1"/>
  <c r="Q141" i="1"/>
  <c r="Y154" i="1"/>
  <c r="Q154" i="1"/>
  <c r="Y166" i="1"/>
  <c r="Q166" i="1"/>
  <c r="Y22" i="1"/>
  <c r="Q22" i="1"/>
  <c r="Y134" i="1"/>
  <c r="Q134" i="1"/>
  <c r="Y14" i="1"/>
  <c r="Q14" i="1"/>
  <c r="Y63" i="1"/>
  <c r="Q63" i="1"/>
  <c r="Y114" i="1"/>
  <c r="Q114" i="1"/>
  <c r="Y77" i="1"/>
  <c r="Q77" i="1"/>
  <c r="Y34" i="1"/>
  <c r="Q34" i="1"/>
  <c r="Y124" i="1"/>
  <c r="Q124" i="1"/>
  <c r="Y26" i="1"/>
  <c r="Q26" i="1"/>
  <c r="Y76" i="1"/>
  <c r="Q76" i="1"/>
  <c r="Y128" i="1"/>
  <c r="Q128" i="1"/>
  <c r="Y165" i="1"/>
  <c r="Q165" i="1"/>
  <c r="Y15" i="1"/>
  <c r="Q15" i="1"/>
  <c r="Y52" i="1"/>
  <c r="Q52" i="1"/>
  <c r="Y131" i="1"/>
  <c r="Q131" i="1"/>
  <c r="Y28" i="1"/>
  <c r="Q28" i="1"/>
  <c r="Y53" i="1"/>
  <c r="Q53" i="1"/>
  <c r="Y78" i="1"/>
  <c r="Q78" i="1"/>
  <c r="Y104" i="1"/>
  <c r="Q104" i="1"/>
  <c r="Y117" i="1"/>
  <c r="Q117" i="1"/>
  <c r="Y142" i="1"/>
  <c r="Q142" i="1"/>
  <c r="Y155" i="1"/>
  <c r="Q155" i="1"/>
  <c r="Y72" i="1"/>
  <c r="Q72" i="1"/>
  <c r="Y149" i="1"/>
  <c r="Q149" i="1"/>
  <c r="Y38" i="1"/>
  <c r="Q38" i="1"/>
  <c r="Y89" i="1"/>
  <c r="Q89" i="1"/>
  <c r="Y140" i="1"/>
  <c r="Q140" i="1"/>
  <c r="Y39" i="1"/>
  <c r="Q39" i="1"/>
  <c r="Y116" i="1"/>
  <c r="Q116" i="1"/>
  <c r="Y4" i="1"/>
  <c r="Q4" i="1"/>
  <c r="Y16" i="1"/>
  <c r="Q16" i="1"/>
  <c r="Y40" i="1"/>
  <c r="Q40" i="1"/>
  <c r="Y66" i="1"/>
  <c r="Q66" i="1"/>
  <c r="Y91" i="1"/>
  <c r="Q91" i="1"/>
  <c r="Y132" i="1"/>
  <c r="Q132" i="1"/>
  <c r="Y167" i="1"/>
  <c r="Q167" i="1"/>
  <c r="Y5" i="1"/>
  <c r="Q5" i="1"/>
  <c r="Y17" i="1"/>
  <c r="Q17" i="1"/>
  <c r="Y29" i="1"/>
  <c r="Q29" i="1"/>
  <c r="Y41" i="1"/>
  <c r="Q41" i="1"/>
  <c r="Y54" i="1"/>
  <c r="Q54" i="1"/>
  <c r="Y67" i="1"/>
  <c r="Q67" i="1"/>
  <c r="Y79" i="1"/>
  <c r="Q79" i="1"/>
  <c r="Y92" i="1"/>
  <c r="Q92" i="1"/>
  <c r="Y105" i="1"/>
  <c r="Q105" i="1"/>
  <c r="Y118" i="1"/>
  <c r="Q118" i="1"/>
  <c r="Y171" i="1"/>
  <c r="Q171" i="1"/>
  <c r="Y143" i="1"/>
  <c r="Q143" i="1"/>
  <c r="Y156" i="1"/>
  <c r="Q156" i="1"/>
  <c r="Y168" i="1"/>
  <c r="Q168" i="1"/>
  <c r="Y6" i="1"/>
  <c r="Q6" i="1"/>
  <c r="Y18" i="1"/>
  <c r="Q18" i="1"/>
  <c r="Y30" i="1"/>
  <c r="Q30" i="1"/>
  <c r="Y42" i="1"/>
  <c r="Q42" i="1"/>
  <c r="Y55" i="1"/>
  <c r="Q55" i="1"/>
  <c r="Y68" i="1"/>
  <c r="Q68" i="1"/>
  <c r="Y80" i="1"/>
  <c r="Q80" i="1"/>
  <c r="Y93" i="1"/>
  <c r="Q93" i="1"/>
  <c r="Y106" i="1"/>
  <c r="Q106" i="1"/>
  <c r="Y120" i="1"/>
  <c r="Q120" i="1"/>
  <c r="Y172" i="1"/>
  <c r="Q172" i="1"/>
  <c r="Y144" i="1"/>
  <c r="Q144" i="1"/>
  <c r="Y157" i="1"/>
  <c r="Q157" i="1"/>
  <c r="Y176" i="1"/>
  <c r="Q176" i="1"/>
  <c r="Y7" i="1"/>
  <c r="Q7" i="1"/>
  <c r="Y19" i="1"/>
  <c r="Q19" i="1"/>
  <c r="Y31" i="1"/>
  <c r="Q31" i="1"/>
  <c r="Y43" i="1"/>
  <c r="Q43" i="1"/>
  <c r="Y56" i="1"/>
  <c r="Q56" i="1"/>
  <c r="Y69" i="1"/>
  <c r="Q69" i="1"/>
  <c r="Y81" i="1"/>
  <c r="Q81" i="1"/>
  <c r="Y94" i="1"/>
  <c r="Q94" i="1"/>
  <c r="Y107" i="1"/>
  <c r="Q107" i="1"/>
  <c r="Y121" i="1"/>
  <c r="Q121" i="1"/>
  <c r="Y173" i="1"/>
  <c r="Q173" i="1"/>
  <c r="Y145" i="1"/>
  <c r="Q145" i="1"/>
  <c r="Y158" i="1"/>
  <c r="Q158" i="1"/>
  <c r="Y178" i="1"/>
  <c r="Q178" i="1"/>
  <c r="Y8" i="1"/>
  <c r="Q8" i="1"/>
  <c r="Y20" i="1"/>
  <c r="Q20" i="1"/>
  <c r="Y32" i="1"/>
  <c r="Q32" i="1"/>
  <c r="Y44" i="1"/>
  <c r="Q44" i="1"/>
  <c r="Y57" i="1"/>
  <c r="Q57" i="1"/>
  <c r="Y70" i="1"/>
  <c r="Q70" i="1"/>
  <c r="Y83" i="1"/>
  <c r="Q83" i="1"/>
  <c r="Y95" i="1"/>
  <c r="Q95" i="1"/>
  <c r="Y108" i="1"/>
  <c r="Q108" i="1"/>
  <c r="Y122" i="1"/>
  <c r="Q122" i="1"/>
  <c r="Y174" i="1"/>
  <c r="Q174" i="1"/>
  <c r="Y146" i="1"/>
  <c r="Q146" i="1"/>
  <c r="Y159" i="1"/>
  <c r="Q159" i="1"/>
  <c r="Y9" i="1"/>
  <c r="Q9" i="1"/>
  <c r="Y21" i="1"/>
  <c r="Q21" i="1"/>
  <c r="Y33" i="1"/>
  <c r="Q33" i="1"/>
  <c r="Y45" i="1"/>
  <c r="Q45" i="1"/>
  <c r="Y58" i="1"/>
  <c r="Q58" i="1"/>
  <c r="Y71" i="1"/>
  <c r="Q71" i="1"/>
  <c r="Y84" i="1"/>
  <c r="Q84" i="1"/>
  <c r="Y97" i="1"/>
  <c r="Q97" i="1"/>
  <c r="Y109" i="1"/>
  <c r="Q109" i="1"/>
  <c r="Y123" i="1"/>
  <c r="Q123" i="1"/>
  <c r="Y175" i="1"/>
  <c r="Q175" i="1"/>
  <c r="Y148" i="1"/>
  <c r="Q148" i="1"/>
  <c r="Y160" i="1"/>
  <c r="Q160" i="1"/>
  <c r="Y47" i="1"/>
  <c r="Q47" i="1"/>
  <c r="Y110" i="1"/>
  <c r="Q110" i="1"/>
  <c r="Y11" i="1"/>
  <c r="Q11" i="1"/>
  <c r="Y23" i="1"/>
  <c r="Q23" i="1"/>
  <c r="Y35" i="1"/>
  <c r="Q35" i="1"/>
  <c r="Y48" i="1"/>
  <c r="Q48" i="1"/>
  <c r="Y60" i="1"/>
  <c r="Q60" i="1"/>
  <c r="Y73" i="1"/>
  <c r="Q73" i="1"/>
  <c r="Y86" i="1"/>
  <c r="Q86" i="1"/>
  <c r="Y99" i="1"/>
  <c r="Q99" i="1"/>
  <c r="Y111" i="1"/>
  <c r="Q111" i="1"/>
  <c r="Y125" i="1"/>
  <c r="Q125" i="1"/>
  <c r="Y135" i="1"/>
  <c r="Q135" i="1"/>
  <c r="Y150" i="1"/>
  <c r="Q150" i="1"/>
  <c r="Y162" i="1"/>
  <c r="Q162" i="1"/>
  <c r="Y10" i="1"/>
  <c r="Q10" i="1"/>
  <c r="Y85" i="1"/>
  <c r="Q85" i="1"/>
  <c r="Y161" i="1"/>
  <c r="Q161" i="1"/>
  <c r="Y12" i="1"/>
  <c r="Q12" i="1"/>
  <c r="Y24" i="1"/>
  <c r="Q24" i="1"/>
  <c r="Y36" i="1"/>
  <c r="Q36" i="1"/>
  <c r="Y49" i="1"/>
  <c r="Q49" i="1"/>
  <c r="Y61" i="1"/>
  <c r="Q61" i="1"/>
  <c r="Y74" i="1"/>
  <c r="Q74" i="1"/>
  <c r="Y87" i="1"/>
  <c r="Q87" i="1"/>
  <c r="Y100" i="1"/>
  <c r="Q100" i="1"/>
  <c r="Y112" i="1"/>
  <c r="Q112" i="1"/>
  <c r="Y126" i="1"/>
  <c r="Q126" i="1"/>
  <c r="Y136" i="1"/>
  <c r="Q136" i="1"/>
  <c r="Y151" i="1"/>
  <c r="Q151" i="1"/>
  <c r="Y163" i="1"/>
  <c r="Q163" i="1"/>
  <c r="Y59" i="1"/>
  <c r="Q59" i="1"/>
  <c r="Y13" i="1"/>
  <c r="Q13" i="1"/>
  <c r="Y25" i="1"/>
  <c r="Q25" i="1"/>
  <c r="Y37" i="1"/>
  <c r="Q37" i="1"/>
  <c r="Y50" i="1"/>
  <c r="Q50" i="1"/>
  <c r="Y62" i="1"/>
  <c r="Q62" i="1"/>
  <c r="Y75" i="1"/>
  <c r="Q75" i="1"/>
  <c r="Y88" i="1"/>
  <c r="Q88" i="1"/>
  <c r="Y101" i="1"/>
  <c r="Q101" i="1"/>
  <c r="Y113" i="1"/>
  <c r="Q113" i="1"/>
  <c r="Y127" i="1"/>
  <c r="Q127" i="1"/>
  <c r="Y137" i="1"/>
  <c r="Q137" i="1"/>
  <c r="Y152" i="1"/>
  <c r="Q152" i="1"/>
  <c r="Y164" i="1"/>
  <c r="Q164" i="1"/>
  <c r="Y130" i="1"/>
  <c r="Q130" i="1"/>
  <c r="Y129" i="1"/>
  <c r="Q129" i="1"/>
  <c r="Y177" i="1"/>
  <c r="Q177" i="1"/>
  <c r="Y119" i="1"/>
  <c r="Q119" i="1"/>
  <c r="Y147" i="1"/>
  <c r="Q147" i="1"/>
  <c r="Y115" i="1"/>
  <c r="Q115" i="1"/>
  <c r="Y180" i="1"/>
  <c r="Q180" i="1"/>
  <c r="Y96" i="1"/>
  <c r="Q96" i="1"/>
  <c r="Y46" i="1"/>
  <c r="Q46" i="1"/>
  <c r="Y179" i="1"/>
  <c r="Q179" i="1"/>
  <c r="Y82" i="1"/>
  <c r="Q82" i="1"/>
  <c r="Y139" i="1"/>
  <c r="Q139" i="1"/>
  <c r="Y138" i="1"/>
  <c r="Q138" i="1"/>
  <c r="Y170" i="1"/>
  <c r="Q170" i="1"/>
  <c r="Y133" i="1"/>
  <c r="Q133" i="1"/>
  <c r="Y64" i="1"/>
  <c r="Q64" i="1"/>
  <c r="R166" i="1" l="1"/>
  <c r="R167" i="1"/>
  <c r="R168" i="1"/>
  <c r="W166" i="1" l="1"/>
  <c r="X166" i="1"/>
  <c r="W167" i="1"/>
  <c r="X167" i="1"/>
  <c r="W168" i="1"/>
  <c r="X168" i="1"/>
  <c r="H1" i="1" l="1"/>
  <c r="M1" i="1"/>
  <c r="I1" i="1"/>
  <c r="R189" i="1" l="1"/>
  <c r="R111" i="1" l="1"/>
  <c r="R114" i="1"/>
  <c r="R122" i="1"/>
  <c r="R119" i="1"/>
  <c r="R15" i="1"/>
  <c r="R113" i="1"/>
  <c r="R48" i="1"/>
  <c r="R132" i="1"/>
  <c r="R107" i="1"/>
  <c r="R77" i="1"/>
  <c r="R60" i="1"/>
  <c r="R120" i="1"/>
  <c r="R79" i="1"/>
  <c r="R174" i="1"/>
  <c r="R68" i="1"/>
  <c r="R75" i="1"/>
  <c r="R169" i="1"/>
  <c r="R165" i="1"/>
  <c r="R142" i="1"/>
  <c r="R138" i="1"/>
  <c r="R207" i="1"/>
  <c r="R101" i="1"/>
  <c r="R70" i="1"/>
  <c r="R149" i="1"/>
  <c r="R125" i="1"/>
  <c r="R204" i="1"/>
  <c r="R137" i="1"/>
  <c r="R140" i="1"/>
  <c r="R94" i="1"/>
  <c r="R19" i="1"/>
  <c r="R176" i="1"/>
  <c r="R164" i="1"/>
  <c r="R121" i="1"/>
  <c r="R49" i="1"/>
  <c r="R27" i="1"/>
  <c r="R99" i="1"/>
  <c r="R40" i="1"/>
  <c r="R16" i="1"/>
  <c r="R51" i="1"/>
  <c r="R36" i="1"/>
  <c r="R12" i="1"/>
  <c r="R105" i="1"/>
  <c r="R42" i="1"/>
  <c r="R71" i="1"/>
  <c r="R110" i="1"/>
  <c r="R23" i="1"/>
  <c r="R156" i="1"/>
  <c r="R173" i="1"/>
  <c r="R112" i="1"/>
  <c r="R104" i="1"/>
  <c r="R58" i="1"/>
  <c r="R69" i="1"/>
  <c r="R25" i="1"/>
  <c r="R88" i="1"/>
  <c r="R64" i="1"/>
  <c r="R26" i="1"/>
  <c r="R18" i="1"/>
  <c r="R150" i="1"/>
  <c r="R80" i="1"/>
  <c r="R158" i="1"/>
  <c r="R134" i="1"/>
  <c r="R115" i="1"/>
  <c r="R126" i="1"/>
  <c r="R78" i="1"/>
  <c r="R34" i="1"/>
  <c r="R10" i="1"/>
  <c r="R67" i="1"/>
  <c r="R177" i="1"/>
  <c r="R141" i="1"/>
  <c r="R87" i="1"/>
  <c r="R86" i="1"/>
  <c r="R95" i="1"/>
  <c r="R129" i="1"/>
  <c r="R29" i="1"/>
  <c r="R72" i="1"/>
  <c r="R178" i="1"/>
  <c r="R135" i="1"/>
  <c r="R146" i="1"/>
  <c r="R17" i="1"/>
  <c r="R93" i="1"/>
  <c r="R155" i="1"/>
  <c r="R106" i="1"/>
  <c r="R82" i="1"/>
  <c r="R52" i="1"/>
  <c r="R63" i="1"/>
  <c r="R45" i="1"/>
  <c r="R38" i="1"/>
  <c r="R43" i="1"/>
  <c r="R130" i="1"/>
  <c r="R84" i="1"/>
  <c r="R7" i="1"/>
  <c r="R66" i="1"/>
  <c r="R136" i="1"/>
  <c r="R117" i="1"/>
  <c r="R152" i="1"/>
  <c r="R109" i="1"/>
  <c r="R85" i="1"/>
  <c r="R96" i="1"/>
  <c r="R28" i="1"/>
  <c r="R4" i="1"/>
  <c r="R131" i="1"/>
  <c r="R61" i="1"/>
  <c r="R39" i="1"/>
  <c r="R65" i="1"/>
  <c r="R139" i="1"/>
  <c r="R128" i="1"/>
  <c r="R14" i="1"/>
  <c r="R21" i="1"/>
  <c r="R50" i="1"/>
  <c r="R153" i="1"/>
  <c r="R32" i="1"/>
  <c r="R8" i="1"/>
  <c r="R159" i="1"/>
  <c r="R46" i="1"/>
  <c r="R53" i="1"/>
  <c r="R171" i="1"/>
  <c r="R35" i="1"/>
  <c r="R81" i="1"/>
  <c r="R162" i="1"/>
  <c r="R91" i="1"/>
  <c r="R62" i="1"/>
  <c r="R157" i="1"/>
  <c r="R160" i="1"/>
  <c r="R151" i="1"/>
  <c r="R154" i="1"/>
  <c r="R98" i="1"/>
  <c r="R30" i="1"/>
  <c r="R41" i="1"/>
  <c r="R89" i="1"/>
  <c r="R133" i="1"/>
  <c r="R11" i="1"/>
  <c r="R31" i="1"/>
  <c r="R143" i="1"/>
  <c r="R124" i="1"/>
  <c r="R100" i="1"/>
  <c r="R76" i="1"/>
  <c r="R57" i="1"/>
  <c r="R9" i="1"/>
  <c r="R97" i="1"/>
  <c r="R163" i="1"/>
  <c r="R74" i="1"/>
  <c r="R13" i="1"/>
  <c r="R118" i="1"/>
  <c r="R20" i="1"/>
  <c r="R54" i="1"/>
  <c r="R56" i="1"/>
  <c r="R161" i="1"/>
  <c r="R123" i="1"/>
  <c r="R73" i="1"/>
  <c r="R116" i="1"/>
  <c r="R6" i="1"/>
  <c r="R102" i="1"/>
  <c r="R24" i="1"/>
  <c r="R83" i="1"/>
  <c r="R5" i="1"/>
  <c r="R92" i="1"/>
  <c r="R108" i="1"/>
  <c r="R59" i="1"/>
  <c r="R172" i="1"/>
  <c r="R127" i="1"/>
  <c r="R103" i="1"/>
  <c r="R175" i="1"/>
  <c r="R90" i="1"/>
  <c r="R44" i="1"/>
  <c r="R22" i="1"/>
  <c r="R37" i="1"/>
  <c r="R144" i="1"/>
  <c r="R55" i="1"/>
  <c r="R33" i="1"/>
  <c r="R148" i="1"/>
  <c r="R47" i="1"/>
  <c r="R203" i="1" l="1"/>
  <c r="R186" i="1"/>
  <c r="R196" i="1"/>
  <c r="R202" i="1"/>
  <c r="R185" i="1"/>
  <c r="R195" i="1"/>
  <c r="R212" i="1"/>
  <c r="R206" i="1"/>
  <c r="R201" i="1"/>
  <c r="R188" i="1"/>
  <c r="R184" i="1"/>
  <c r="R197" i="1"/>
  <c r="R194" i="1"/>
  <c r="R200" i="1"/>
  <c r="R191" i="1"/>
  <c r="R205" i="1"/>
  <c r="R187" i="1"/>
  <c r="R190" i="1"/>
  <c r="R193" i="1"/>
  <c r="R199" i="1"/>
  <c r="R183" i="1"/>
  <c r="R208" i="1"/>
  <c r="R211" i="1"/>
  <c r="R210" i="1"/>
  <c r="R198" i="1"/>
  <c r="R192" i="1"/>
  <c r="R209" i="1"/>
  <c r="R182" i="1"/>
  <c r="W164" i="1" l="1"/>
  <c r="X164" i="1"/>
  <c r="W162" i="1"/>
  <c r="X162" i="1"/>
  <c r="W165" i="1"/>
  <c r="X165" i="1"/>
  <c r="W163" i="1"/>
  <c r="X163" i="1"/>
  <c r="R147" i="1"/>
  <c r="R170" i="1"/>
  <c r="R180" i="1"/>
  <c r="R179" i="1"/>
  <c r="R181" i="1"/>
  <c r="R145" i="1"/>
  <c r="Y3" i="1" l="1"/>
  <c r="Q3" i="1"/>
  <c r="W212" i="1"/>
  <c r="X212" i="1"/>
  <c r="W161" i="1"/>
  <c r="X161" i="1"/>
  <c r="Y1" i="1"/>
  <c r="K3" i="1"/>
  <c r="W160" i="1" l="1"/>
  <c r="X160" i="1"/>
  <c r="W153" i="1" l="1"/>
  <c r="X153" i="1"/>
  <c r="W154" i="1"/>
  <c r="X154" i="1"/>
  <c r="W156" i="1"/>
  <c r="X156" i="1"/>
  <c r="W149" i="1"/>
  <c r="X149" i="1"/>
  <c r="W151" i="1"/>
  <c r="X151" i="1"/>
  <c r="W152" i="1"/>
  <c r="X152" i="1"/>
  <c r="W155" i="1"/>
  <c r="X155" i="1"/>
  <c r="W159" i="1"/>
  <c r="X159" i="1"/>
  <c r="W150" i="1"/>
  <c r="X150" i="1"/>
  <c r="W158" i="1"/>
  <c r="X158" i="1"/>
  <c r="W71" i="1" l="1"/>
  <c r="X71" i="1"/>
  <c r="W131" i="1" l="1"/>
  <c r="X131" i="1"/>
  <c r="W175" i="1"/>
  <c r="X175" i="1"/>
  <c r="W82" i="1"/>
  <c r="X82" i="1"/>
  <c r="W95" i="1"/>
  <c r="X95" i="1"/>
  <c r="W93" i="1"/>
  <c r="X93" i="1"/>
  <c r="W124" i="1"/>
  <c r="X124" i="1"/>
  <c r="W96" i="1" l="1"/>
  <c r="X96" i="1"/>
  <c r="W169" i="1"/>
  <c r="X169" i="1"/>
  <c r="W84" i="1" l="1"/>
  <c r="X84" i="1"/>
  <c r="W178" i="1"/>
  <c r="X178" i="1"/>
  <c r="W60" i="1"/>
  <c r="X60" i="1"/>
  <c r="W36" i="1"/>
  <c r="X36" i="1"/>
  <c r="W90" i="1"/>
  <c r="X90" i="1"/>
  <c r="W31" i="1"/>
  <c r="X31" i="1"/>
  <c r="W101" i="1"/>
  <c r="X101" i="1"/>
  <c r="W15" i="1"/>
  <c r="X15" i="1"/>
  <c r="W53" i="1"/>
  <c r="X53" i="1"/>
  <c r="W134" i="1"/>
  <c r="X134" i="1"/>
  <c r="W94" i="1"/>
  <c r="X94" i="1"/>
  <c r="W129" i="1"/>
  <c r="X129" i="1"/>
  <c r="W13" i="1"/>
  <c r="X13" i="1"/>
  <c r="W135" i="1"/>
  <c r="X135" i="1"/>
  <c r="W47" i="1"/>
  <c r="X47" i="1"/>
  <c r="W46" i="1"/>
  <c r="X46" i="1"/>
  <c r="W24" i="1"/>
  <c r="X24" i="1"/>
  <c r="W142" i="1"/>
  <c r="X142" i="1"/>
  <c r="W65" i="1"/>
  <c r="X65" i="1"/>
  <c r="W116" i="1"/>
  <c r="X116" i="1"/>
  <c r="W81" i="1"/>
  <c r="X81" i="1"/>
  <c r="W51" i="1"/>
  <c r="X51" i="1"/>
  <c r="W62" i="1"/>
  <c r="X62" i="1"/>
  <c r="W45" i="1"/>
  <c r="X45" i="1"/>
  <c r="W19" i="1"/>
  <c r="X19" i="1"/>
  <c r="W56" i="1"/>
  <c r="X56" i="1"/>
  <c r="W128" i="1"/>
  <c r="X128" i="1"/>
  <c r="W107" i="1"/>
  <c r="X107" i="1"/>
  <c r="W104" i="1"/>
  <c r="X104" i="1"/>
  <c r="W23" i="1"/>
  <c r="X23" i="1"/>
  <c r="W102" i="1"/>
  <c r="X102" i="1"/>
  <c r="W105" i="1"/>
  <c r="X105" i="1"/>
  <c r="W72" i="1"/>
  <c r="X72" i="1"/>
  <c r="W43" i="1"/>
  <c r="X43" i="1"/>
  <c r="W68" i="1"/>
  <c r="X68" i="1"/>
  <c r="W89" i="1"/>
  <c r="X89" i="1"/>
  <c r="W61" i="1"/>
  <c r="X61" i="1"/>
  <c r="W100" i="1"/>
  <c r="X100" i="1"/>
  <c r="W99" i="1"/>
  <c r="X99" i="1"/>
  <c r="W8" i="1"/>
  <c r="X8" i="1"/>
  <c r="W59" i="1"/>
  <c r="X59" i="1"/>
  <c r="W130" i="1"/>
  <c r="X130" i="1"/>
  <c r="W44" i="1"/>
  <c r="X44" i="1"/>
  <c r="W25" i="1"/>
  <c r="X25" i="1"/>
  <c r="W120" i="1"/>
  <c r="X120" i="1"/>
  <c r="W22" i="1"/>
  <c r="X22" i="1"/>
  <c r="W28" i="1"/>
  <c r="X28" i="1"/>
  <c r="W86" i="1"/>
  <c r="X86" i="1"/>
  <c r="W77" i="1"/>
  <c r="X77" i="1"/>
  <c r="W35" i="1"/>
  <c r="X35" i="1"/>
  <c r="W16" i="1"/>
  <c r="X16" i="1"/>
  <c r="W49" i="1"/>
  <c r="X49" i="1"/>
  <c r="W9" i="1"/>
  <c r="X9" i="1"/>
  <c r="W137" i="1"/>
  <c r="X137" i="1"/>
  <c r="W80" i="1"/>
  <c r="X80" i="1"/>
  <c r="W108" i="1"/>
  <c r="X108" i="1"/>
  <c r="W14" i="1"/>
  <c r="X14" i="1"/>
  <c r="W115" i="1" l="1"/>
  <c r="X115" i="1"/>
  <c r="W97" i="1"/>
  <c r="X97" i="1"/>
  <c r="W132" i="1"/>
  <c r="X132" i="1"/>
  <c r="W4" i="1"/>
  <c r="X4" i="1"/>
  <c r="W10" i="1"/>
  <c r="X10" i="1"/>
  <c r="W33" i="1"/>
  <c r="X33" i="1"/>
  <c r="W7" i="1"/>
  <c r="X7" i="1"/>
  <c r="W85" i="1"/>
  <c r="X85" i="1"/>
  <c r="W171" i="1"/>
  <c r="X171" i="1"/>
  <c r="W173" i="1"/>
  <c r="X173" i="1"/>
  <c r="W58" i="1"/>
  <c r="X58" i="1"/>
  <c r="W21" i="1"/>
  <c r="X21" i="1"/>
  <c r="W29" i="1"/>
  <c r="X29" i="1"/>
  <c r="W143" i="1"/>
  <c r="X143" i="1"/>
  <c r="W32" i="1"/>
  <c r="X32" i="1"/>
  <c r="W50" i="1"/>
  <c r="X50" i="1"/>
  <c r="W76" i="1"/>
  <c r="X76" i="1"/>
  <c r="W78" i="1"/>
  <c r="X78" i="1"/>
  <c r="W5" i="1"/>
  <c r="X5" i="1"/>
  <c r="W133" i="1"/>
  <c r="X133" i="1"/>
  <c r="W27" i="1"/>
  <c r="X27" i="1"/>
  <c r="W188" i="1"/>
  <c r="X188" i="1"/>
  <c r="W117" i="1"/>
  <c r="X117" i="1"/>
  <c r="W98" i="1"/>
  <c r="X98" i="1"/>
  <c r="W6" i="1"/>
  <c r="X6" i="1"/>
  <c r="W144" i="1"/>
  <c r="X144" i="1"/>
  <c r="W172" i="1"/>
  <c r="X172" i="1"/>
  <c r="W88" i="1"/>
  <c r="X88" i="1"/>
  <c r="W103" i="1"/>
  <c r="X103" i="1"/>
  <c r="W106" i="1"/>
  <c r="X106" i="1"/>
  <c r="W20" i="1"/>
  <c r="X20" i="1"/>
  <c r="W83" i="1"/>
  <c r="X83" i="1"/>
  <c r="W139" i="1"/>
  <c r="X139" i="1"/>
  <c r="W125" i="1"/>
  <c r="X125" i="1"/>
  <c r="W55" i="1"/>
  <c r="X55" i="1"/>
  <c r="W122" i="1"/>
  <c r="X122" i="1"/>
  <c r="W54" i="1"/>
  <c r="X54" i="1"/>
  <c r="W113" i="1"/>
  <c r="X113" i="1"/>
  <c r="W11" i="1"/>
  <c r="X11" i="1"/>
  <c r="W42" i="1"/>
  <c r="X42" i="1"/>
  <c r="W79" i="1"/>
  <c r="X79" i="1"/>
  <c r="W30" i="1"/>
  <c r="X30" i="1"/>
  <c r="W40" i="1"/>
  <c r="X40" i="1"/>
  <c r="W66" i="1"/>
  <c r="X66" i="1"/>
  <c r="W70" i="1"/>
  <c r="X70" i="1"/>
  <c r="W34" i="1"/>
  <c r="X34" i="1"/>
  <c r="W190" i="1"/>
  <c r="X190" i="1"/>
  <c r="W174" i="1"/>
  <c r="X174" i="1"/>
  <c r="W170" i="1"/>
  <c r="X170" i="1"/>
  <c r="W118" i="1"/>
  <c r="X118" i="1"/>
  <c r="W91" i="1"/>
  <c r="X91" i="1"/>
  <c r="W201" i="1"/>
  <c r="X201" i="1"/>
  <c r="W64" i="1"/>
  <c r="X64" i="1"/>
  <c r="W141" i="1"/>
  <c r="X141" i="1"/>
  <c r="W138" i="1"/>
  <c r="X138" i="1"/>
  <c r="W75" i="1"/>
  <c r="X75" i="1"/>
  <c r="W127" i="1"/>
  <c r="X127" i="1"/>
  <c r="W69" i="1"/>
  <c r="X69" i="1"/>
  <c r="W109" i="1"/>
  <c r="X109" i="1"/>
  <c r="W48" i="1"/>
  <c r="X48" i="1"/>
  <c r="W52" i="1"/>
  <c r="X52" i="1"/>
  <c r="W67" i="1"/>
  <c r="X67" i="1"/>
  <c r="W87" i="1"/>
  <c r="X87" i="1"/>
  <c r="W17" i="1"/>
  <c r="X17" i="1"/>
  <c r="W41" i="1"/>
  <c r="X41" i="1"/>
  <c r="W121" i="1"/>
  <c r="X121" i="1"/>
  <c r="W38" i="1"/>
  <c r="X38" i="1"/>
  <c r="W63" i="1"/>
  <c r="X63" i="1"/>
  <c r="W119" i="1"/>
  <c r="X119" i="1"/>
  <c r="W136" i="1"/>
  <c r="X136" i="1"/>
  <c r="W112" i="1"/>
  <c r="X112" i="1"/>
  <c r="W140" i="1"/>
  <c r="X140" i="1"/>
  <c r="W123" i="1"/>
  <c r="X123" i="1"/>
  <c r="W37" i="1"/>
  <c r="X37" i="1"/>
  <c r="W57" i="1"/>
  <c r="X57" i="1"/>
  <c r="W26" i="1"/>
  <c r="X26" i="1"/>
  <c r="W176" i="1"/>
  <c r="X176" i="1"/>
  <c r="W39" i="1"/>
  <c r="X39" i="1"/>
  <c r="W110" i="1"/>
  <c r="X110" i="1"/>
  <c r="W74" i="1"/>
  <c r="X74" i="1"/>
  <c r="W73" i="1"/>
  <c r="X73" i="1"/>
  <c r="W18" i="1"/>
  <c r="X18" i="1"/>
  <c r="W114" i="1"/>
  <c r="X114" i="1"/>
  <c r="W92" i="1"/>
  <c r="X92" i="1"/>
  <c r="W126" i="1"/>
  <c r="X126" i="1"/>
  <c r="W111" i="1"/>
  <c r="X111" i="1"/>
  <c r="W193" i="1"/>
  <c r="X193" i="1"/>
  <c r="W210" i="1" l="1"/>
  <c r="X210" i="1"/>
  <c r="W147" i="1"/>
  <c r="X147" i="1"/>
  <c r="W191" i="1"/>
  <c r="X191" i="1"/>
  <c r="W180" i="1"/>
  <c r="X180" i="1"/>
  <c r="W194" i="1"/>
  <c r="X194" i="1"/>
  <c r="W209" i="1"/>
  <c r="X209" i="1"/>
  <c r="W208" i="1"/>
  <c r="X208" i="1"/>
  <c r="W192" i="1"/>
  <c r="X192" i="1"/>
  <c r="W207" i="1"/>
  <c r="X207" i="1"/>
  <c r="W196" i="1"/>
  <c r="X196" i="1"/>
  <c r="W182" i="1"/>
  <c r="X182" i="1"/>
  <c r="W183" i="1"/>
  <c r="X183" i="1"/>
  <c r="W179" i="1"/>
  <c r="X179" i="1"/>
  <c r="W189" i="1"/>
  <c r="X189" i="1"/>
  <c r="W185" i="1"/>
  <c r="X185" i="1"/>
  <c r="W206" i="1"/>
  <c r="X206" i="1"/>
  <c r="W202" i="1"/>
  <c r="X202" i="1"/>
  <c r="W197" i="1"/>
  <c r="X197" i="1"/>
  <c r="W211" i="1"/>
  <c r="X211" i="1"/>
  <c r="W199" i="1"/>
  <c r="X199" i="1"/>
  <c r="W203" i="1"/>
  <c r="X203" i="1"/>
  <c r="W12" i="1"/>
  <c r="X12" i="1"/>
  <c r="W205" i="1"/>
  <c r="X205" i="1"/>
  <c r="W146" i="1"/>
  <c r="X146" i="1"/>
  <c r="W204" i="1"/>
  <c r="X204" i="1"/>
  <c r="W200" i="1"/>
  <c r="X200" i="1"/>
  <c r="W145" i="1"/>
  <c r="X145" i="1"/>
  <c r="W195" i="1"/>
  <c r="X195" i="1"/>
  <c r="W177" i="1"/>
  <c r="X177" i="1"/>
  <c r="W187" i="1"/>
  <c r="X187" i="1"/>
  <c r="W184" i="1"/>
  <c r="X184" i="1"/>
  <c r="W181" i="1"/>
  <c r="X181" i="1"/>
  <c r="W186" i="1"/>
  <c r="X186" i="1"/>
  <c r="J3" i="1" l="1"/>
  <c r="L3" i="1" s="1"/>
  <c r="N3" i="1" l="1"/>
  <c r="R3" i="1" l="1"/>
  <c r="S3" i="1"/>
  <c r="X3" i="1" s="1"/>
  <c r="W3" i="1" l="1"/>
  <c r="W198" i="1"/>
  <c r="X198" i="1"/>
  <c r="W148" i="1" l="1"/>
  <c r="X148" i="1"/>
  <c r="W157" i="1" l="1"/>
  <c r="W1" i="1" s="1"/>
  <c r="X157" i="1"/>
  <c r="X1" i="1"/>
  <c r="I3" i="3"/>
  <c r="I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E2D9E01-0341-4A12-9382-F0E8BEBB2A90}" keepAlive="1" name="Запрос — АвтоПродукт (2)" description="Соединение с запросом &quot;АвтоПродукт (2)&quot; в книге." type="5" refreshedVersion="7" background="1" saveData="1">
    <dbPr connection="Provider=Microsoft.Mashup.OleDb.1;Data Source=$Workbook$;Location=АвтоПродукт (2);Extended Properties=&quot;&quot;" command="SELECT * FROM [АвтоПродукт (2)]"/>
  </connection>
</connections>
</file>

<file path=xl/sharedStrings.xml><?xml version="1.0" encoding="utf-8"?>
<sst xmlns="http://schemas.openxmlformats.org/spreadsheetml/2006/main" count="3655" uniqueCount="1131">
  <si>
    <t>ID</t>
  </si>
  <si>
    <t>Производитель</t>
  </si>
  <si>
    <t>1</t>
  </si>
  <si>
    <t>АВТОПРОДУКТ</t>
  </si>
  <si>
    <t>Накладки на педали для Нива 4х4 Е-газ</t>
  </si>
  <si>
    <t>Накладки на педали для Лада Гранта, Калина 2 с АКПП</t>
  </si>
  <si>
    <t>Проставки задней подвески -2 "AUTOPRODUCT" для ВАЗ (2108-21099, 2113-2115, 2110-2112), Лада (Калина, Калина 2, Приора, Приора 2, Гранта), Датсун (mi-Do, on-Do)</t>
  </si>
  <si>
    <t>Распорка передняя "AUTOPRODUCT" для Лада Приора, Приора 2</t>
  </si>
  <si>
    <t>Распорка передняя нижняя "AUTOPRODUCT" для Лада Нива 4х4, Шевроле Нива</t>
  </si>
  <si>
    <t>Распорка передняя "AUTOPRODUCT" для ВАЗ 2108-21099, 2113-2115 (с 16-ти клапанным двигателем)</t>
  </si>
  <si>
    <t>Усилители опор стоек "AUTOPRODUCT" для Лада Калина, Калина 2, Гранта</t>
  </si>
  <si>
    <t>Усилители опор стоек "AUTOPRODUCT" для ВАЗ 2108-21099, 2113-2115</t>
  </si>
  <si>
    <t>Распорка передняя с растяжкой "AUTOPRODUCT" для ВАЗ 2108-21099, 2113-2115 (с 16-ти клапанным двигателем)</t>
  </si>
  <si>
    <t>Усилители опор стоек "AUTOPRODUCT" для ВАЗ 2110-2112, Лада (Приора, Приора 2)</t>
  </si>
  <si>
    <t>Усилители опор стоек "AUTOPRODUCT" с кастером на 1,5 градуса для Лада Калина, Калина 2, Гранта</t>
  </si>
  <si>
    <t>Усилители опор стоек "AUTOPRODUCT" с кастером на 1,5 градуса для ВАЗ 2108-21099, 2113-2115</t>
  </si>
  <si>
    <t>Усилители опор стоек "AUTOPRODUCT" с кастером на 1,5 градуса для ВАЗ 2110-2112, Лада (Приора, Приора 2)</t>
  </si>
  <si>
    <t>Распорка задняя "AUTOPRODUCT" для Лада Калина, Калина 2, Гранта</t>
  </si>
  <si>
    <t>Распорка передняя "AUTOPRODUCT" для Лада (Калина, Калина 2, Гранта), Датсун (mi-Do, on-Do)</t>
  </si>
  <si>
    <t>Распорка передняя с растяжкой силового агрегата "AUTOPRODUCT" для Лада (Калина, Калина 2, Гранта), Датсун (mi-Do, on-Do) (с 16 клапанным двигателем)</t>
  </si>
  <si>
    <t>Распорка передняя нижняя DRIVE "AUTOPRODUCT" для Лада Калина, Калина 2, Гранта (троcовая МКПП, АКПП)</t>
  </si>
  <si>
    <t>Распорка передняя нижняя SAFE "AUTOPRODUCT" для Лада Калина, Калина 2, Гранта (тросовая МКПП, АКПП)</t>
  </si>
  <si>
    <t>Подрамник "AUTOPRODUCT" Drive без защиты для ВАЗ 2110-2112, Лада (Приора, Приора 2)</t>
  </si>
  <si>
    <t>Подрамник "AUTOPRODUCT" Drive без защиты, на полиуретане для ВАЗ 2110-2112, Лада (Приора, Приора 2)</t>
  </si>
  <si>
    <t>Подрамник "AUTOPRODUCT" без защиты, с жесткими рычагами для ВАЗ 2110-2112, Лада (Приора, Приора 2)</t>
  </si>
  <si>
    <t>Подрамник с жёсткими рычагами без защиты "AUTOPRODUCT" для Лада Калина, Гранта</t>
  </si>
  <si>
    <t>Подрамник с жёсткими рычагами без защиты "AUTOPRODUCT" для Лада Калина, Калина 2, Гранта (после 2013 года выпуска)</t>
  </si>
  <si>
    <t>Подрамник Drive, ПУ без защиты "AUTOPRODUCT" для Лада Калина, Гранта (до 2013 года выпуска)</t>
  </si>
  <si>
    <t>Подрамник Drive, ПУ без защиты "AUTOPRODUCT" для Лада Калина, Калина 2, Гранта (после 2013 года выпуска)</t>
  </si>
  <si>
    <t>Подрамник Drive без защиты "AUTOPRODUCT" для Лада Калина, Гранта (до 2013 года выпуска)</t>
  </si>
  <si>
    <t>Подрамник Drive без защиты "AUTOPRODUCT" для Лада Калина, Калина 2, Гранта (после 2013 года выпуска)</t>
  </si>
  <si>
    <t>Подрамник с жёсткими рычагами без защиты "AUTOPRODUCT" для ВАЗ 2108-21099, 2113-2115</t>
  </si>
  <si>
    <t>Подрамник Drive без защиты "AUTOPRODUCT" для ВАЗ 2108-21099, 2113-2115</t>
  </si>
  <si>
    <t>Подрамник Drive, ПУ без защиты "AUTOPRODUCT" для ВАЗ 2108-21099, 2113-2115</t>
  </si>
  <si>
    <t>Подвеска задняя независимая "AUTOPRODUCT" для Лада (Калина, Калина 2, Гранта), Датсун (mi-DO, on-DO)</t>
  </si>
  <si>
    <t>Поперечина передней подвески Drive "AUTOPRODUCT" для Лада (Калина, Калина 2, Гранта), Датсун (mi-Do, on-Do)</t>
  </si>
  <si>
    <t>Поперечина передней подвески Safe "AUTOPRODUCT" для Лада Калина, Калина 2, Гранта</t>
  </si>
  <si>
    <t>Поперечина передней подвески Drive, ПУ "AUTOPRODUCT" для ВАЗ 2110-2112, Лада (Приора, Приора 2)</t>
  </si>
  <si>
    <t>Поперечина передней подвески Drive "AUTOPRODUCT" для ВАЗ 2108-21099, 2113-2115</t>
  </si>
  <si>
    <t>Поперечина передней подвески Drive, ПУ "AUTOPRODUCT" для ВАЗ 2108-21099, 2113-2115</t>
  </si>
  <si>
    <t>Поперечина передней подвески Drive с доп.опорой "AUTOPRODUCT" для ВАЗ 2108-21099, 2113-2115</t>
  </si>
  <si>
    <t>Поперечина передней подвески Sport "AUTOPRODUCT" для ВАЗ 2108-21099, 2113-2115</t>
  </si>
  <si>
    <t>Поперечина передней подвески Safe "AUTOPRODUCT" для ВАЗ 2108-21099, 2113-2115</t>
  </si>
  <si>
    <t>Усилитель кузова задний "AUTOPRODUCT" для Лада Калина, Калина 2, Гранта</t>
  </si>
  <si>
    <t>Рычаг задний в сборе, ПУ "AUTOPRODUCT" для Лада Калина, Калина 2, Гранта</t>
  </si>
  <si>
    <t>Защита двигателя алюминиевая для подрамника "AUTOPRODUCT" для Лада Калина, Калина 2, Гранта</t>
  </si>
  <si>
    <t>Защита двигателя алюминиевая для поперечины "AUTOPRODUCT" для Лада Калина, Калина 2, Гранта</t>
  </si>
  <si>
    <t>Защита двигателя стальная оцинкованная для подрамника "AUTOPRODUCT" для Лада Калина, Калина 2, Гранта</t>
  </si>
  <si>
    <t>Кронштейн задней опоры силового агрегата "AUTOPRODUCT" для Лада Калина, Калина 2, Гранта (с МКПП)</t>
  </si>
  <si>
    <t>Кронштейн задней опоры силового агрегата "AUTOPRODUCT" для Лада Калина, Калина 2, Гранта (с АКПП)</t>
  </si>
  <si>
    <t>Опоры силового агрегата Sport "AUTOPRODUCT" для ВАЗ 2108-21099, 2113-2115</t>
  </si>
  <si>
    <t>Опора силового агрегата Drive "AUTOPRODUCT" для ВАЗ 2108-21099, 2113-2115</t>
  </si>
  <si>
    <t>Опоры силового агрегата Sport Pro "AUTOPRODUCT" для ВАЗ 2108-21099, 2113-2115</t>
  </si>
  <si>
    <t>Защита двигателя алюминиевая для подрамника "AUTOPRODUCT" для ВАЗ 2108-21099, 2113-2115</t>
  </si>
  <si>
    <t>Защита двигателя стальная оцинкованная для подрамника "AUTOPRODUCT" для ВАЗ 2108-21099, 2113-2115</t>
  </si>
  <si>
    <t>Защита двигателя стальная оцинкованная для поперечины "AUTOPRODUCT" для ВАЗ 2108-21099, 2113-2115</t>
  </si>
  <si>
    <t>Усилитель раздаточной коробки "AUTOPRODUCT" для Лада Нива 4х4</t>
  </si>
  <si>
    <t>Опора раздаточной коробки "AUTOPRODUCT" для Лада Нива 4х4</t>
  </si>
  <si>
    <t>Распорка передняя "AUTOPRODUCT" регулируемая для Лада Приора, Приора 2</t>
  </si>
  <si>
    <t>Пружины передней подвески -40 серии Drive "AUTOPRODUCT" для Лада Веста</t>
  </si>
  <si>
    <t>Пружина передней подвески -30 серии Drive для Lada Kalina, Kalina 2, Granta, Datsun</t>
  </si>
  <si>
    <t>Опора стойки передней подвески +12мм с ЭУР серии "Parts" для Lada, Datsun</t>
  </si>
  <si>
    <t>Подвеска задняя независимая "AUTOPRODUCT" для ВАЗ (2108-21099, 2113-2115, 2110-2112), Лада (Приора, Приора 2)</t>
  </si>
  <si>
    <t>Винтовой самоблокирующийся дифференциал "AUTOPRODUCT", необслуживаемый для ВАЗ (2108-21099, 2113-2115, 2110-2112), Лада (Калина, Калина 2, Приора, Приора 2, Гранта, Ларгус, Веста), Датсун (mi-DO, on-DO)</t>
  </si>
  <si>
    <t>Проставки задней балки для расширения колеи "AUTOPRODUCT" (+70 мм) для ВАЗ (2108-21099, 2113-2115, 2110-2112), Лада (Калина, Калина 2, Приора, Приора 2, Гранта), Датсун (mi-DO, on-DO)</t>
  </si>
  <si>
    <t>Распорка (растяжка) передних стоек "AUTOPRODUCT" нерегулируемая для Лада Веста</t>
  </si>
  <si>
    <t>Опоры передней подвески верхние ШС 20 (комплект) для ВАЗ 2108-099, 2113-15, 2110-12, 2170-72, 1117-19, 2190-94, Datsun on-DO, Datsun mi-DO</t>
  </si>
  <si>
    <t>Рычаги регулируемые передние "AUTOPRODUCT" под увеличенную колею (+70 мм) для ВАЗ (2108-21099, 2113-2115, 2110-2112), Лада (Калина, Калина 2, Приора, Приора 2, Гранта), Датсун (mi-DO, on-DO)</t>
  </si>
  <si>
    <t>Рычаги нижние "AUTOPRODUCT" под подрамник (увеличенная колея +70 мм) для ВАЗ (2108-21099, 2113-2115, 2110-2112), Лада (Калина, Калина 2, Приора, Приора 2, Гранта), Датсун (mi-DO, on-DO)</t>
  </si>
  <si>
    <t>Тяга с контргайками рулевой трапеции дрифт (комплект) "AUTOPRODUCT" для ВАЗ 2101-2107</t>
  </si>
  <si>
    <t>Дисковый самоблокирующийся дифференциал (РЗМ) "AUTOPRODUCT" для ВАЗ 2104-2107, Лада Нива 4x4, Шевроле Нива</t>
  </si>
  <si>
    <t>Винтовой самоблокирующийся дифференциал (РЗМ) "AUTOPRODUCT" для ВАЗ 2101-2107, Лада Нива 4x4, Шевроле Нива</t>
  </si>
  <si>
    <t>Винтовой самоблокирующийся дифференциал (РПМ) "AUTOPRODUCT" для Лада Нива 4x4, Шевроле Нива</t>
  </si>
  <si>
    <t>Глушитель прямоточный "AUTOPRODUCT" для ВАЗ 2108, 2109</t>
  </si>
  <si>
    <t>Промежуточный вал привода колеса "AUTOPRODUCT" для ВАЗ 2108-21099, 2113-2115</t>
  </si>
  <si>
    <t>Дисковый дифференциал повышенного трения "AUTOPRODUCT" для ВАЗ (2108-21099, 2110-2112, 2113-2115), Лада (Приора, Гранта, Калина, Калина 2), Датсун (mi-DO, on-DO)</t>
  </si>
  <si>
    <t>Дисковый самоблокирующийся дифференциал "AUTOPRODUCT" для ВАЗ (2108-21099, 2110-2112, 2113-2115), Лада (Приора, Гранта, Калина, Калина 2)</t>
  </si>
  <si>
    <t>Винтовой самоблокирующийся дифференциал "AUTOPRODUCT" для ВАЗ (2108-21099, 2110-2112, 2113-2115), Лада (Калина, Калина 2, Приора, Приора 2, Гранта), Датсун (mi-Do, on-Do)</t>
  </si>
  <si>
    <t>Рычаги подрамника жесткие "AUTOPRODUCT" для ВАЗ (2108-21099, 2110-2112, 2113-2115), Лада (Калина, Калина 2, Приора, Приора 2, Гранта), Датсун (mi-Do, on-Do)</t>
  </si>
  <si>
    <t>Подрамник "AUTOPRODUCT" SPORT без защиты для ВАЗ 2108-21099, 2113-2115</t>
  </si>
  <si>
    <t>Проставки -1 "AUTOPRODUCT" с корректировкой схождения для ВАЗ (2108-21099, 2110-2112, 2113-2115), Лада (Калина, Калина 2, Приора, Приора 2, Гранта)</t>
  </si>
  <si>
    <t>Проставки -2.5 "AUTOPRODUCT" для ВАЗ (2108-21099, 2110-2112, 2113-2115), Лада (Калина, Калина 2, Приора, Приора 2, Гранта), Датсун (mi-DO, on-DO)</t>
  </si>
  <si>
    <t>Проставки -3.5 "AUTOPRODUCT" для ВАЗ (2108-21099, 2110-2112, 2113-2115), Лада (Калина, Калина 2, Приора, Приора 2, Гранта), Датсун (mi-DO, on-DO)</t>
  </si>
  <si>
    <t>Проставки -3 "AUTOPRODUCT" для ВАЗ (2108-21099, 2110-2112, 2113-2115), Лада (Калина, Калина 2, Приора, Приора 2, Гранта), Датсун (mi-DO, on-DO)</t>
  </si>
  <si>
    <t>Опоры рулевого механизма "AUTOPRODUCT" для ВАЗ 2108-21099, 2113-2115</t>
  </si>
  <si>
    <t>Глушитель прямоточный "AUTOPRODUCT" для ВАЗ 21099</t>
  </si>
  <si>
    <t>Глушитель прямоточный "AUTOPRODUCT" для ВАЗ 2111</t>
  </si>
  <si>
    <t>Растяжка заднего рычага R1 "AUTOPRODUCT" для ВАЗ (2108-21099, 2110-2112, 2113-2115), Лада (Калина, Калина 2, Приора, Приора 2, Гранта), Датсун (mi-Do, on-Do)</t>
  </si>
  <si>
    <t>Промежуточный вал привода колеса "AUTOPRODUCT" для ВАЗ 2110-2112, Лада (Приора, Приора 2)</t>
  </si>
  <si>
    <t>Комплект увеличения жёсткости заднего рычага "AUTOPRODUCT" для ВАЗ (2108-21099, 2113-2115, 2110-2112), Лада (Калина, Калина 2, Приора, Приора 2, Гранта), Датсун (mi-DO, on-DO)</t>
  </si>
  <si>
    <t>Глушитель прямоточный "AUTOPRODUCT" для ВАЗ 2113, 2114</t>
  </si>
  <si>
    <t>Шарнир реактивной тяги "AUTOPRODUCT" для Лада Калина, Гранта</t>
  </si>
  <si>
    <t>Кронштейн генератора "AUTOPRODUCT" для Лада Калина, Калина 2, Гранта</t>
  </si>
  <si>
    <t>Глушитель прямоточный "AUTOPRODUCT" для Лада Калина (универсал, седан)</t>
  </si>
  <si>
    <t>Подрамник "AUTOPRODUCT" SPORT без защиты для Лада Калина, Калина 2, Гранта (с 2013 г.в.)</t>
  </si>
  <si>
    <t>Растяжка передних стоек регулируемая "AUTOPRODUCT" для Лада (Калина, Калина 2, Гранта), Датсун (mi-DO, on-DO)</t>
  </si>
  <si>
    <t>Глушитель прямоточный "AUTOPRODUCT" для Лада Приора, Приора 2 (седан, универсал)</t>
  </si>
  <si>
    <t>Распорка передняя с растяжкой силового агрегата "AUTOPRODUCT" для Лада Приора, Приора 2 (с 16-ти клапанным двигателем, без ГУР и верхней растяжки СА)</t>
  </si>
  <si>
    <t>Комплект тяги с контргайками рулевой трапеции "AUTOPRODUCT" для Лада Нива 4x4, Шевроле Нива</t>
  </si>
  <si>
    <t>Комплект наконечника тяги рулевой трапеции в сборе левый со скруткой "AUTOPRODUCT" для Лада Нива 4x4, Шевроле Нива</t>
  </si>
  <si>
    <t>Наконечник тяги рулевой трапеции в сборе левый "AUTOPRODUCT" для Лада Нива 4x4, Шевроле Нива</t>
  </si>
  <si>
    <t>Валы привода передних колёс усиленные "AUTOPRODUCT" для Лада Нива 4x4, Шевроле Нива</t>
  </si>
  <si>
    <t>Валы привода передних колёс "AUTOPRODUCT" под промежуточный вал (колея +70 мм) для ВАЗ (2108-21099, 2110-2112, 2113-2115), Лада (Калина, Калина 2, Приора, Приора 2, Гранта), Датсун (mi-Do, on-Do)</t>
  </si>
  <si>
    <t>Глушитель прямоточный "AUTOPRODUCT" для Лада Гранта</t>
  </si>
  <si>
    <t>Глушитель прямоточный "AUTOPRODUCT" для Лада Калина, Калина 2 (хетчбэк)</t>
  </si>
  <si>
    <t>Глушитель прямоточный "AUTOPRODUCT" для Лада Калина 2 (универсал, Кросс)</t>
  </si>
  <si>
    <t>Стабилизатор поперечной устойчивости (24 мм) "AUTOPRODUCT" для Лада (Калина 2, Гранта), Датсун (mi-Do, on-Do)</t>
  </si>
  <si>
    <t>Стабилизатор поперечной устойчивости (18 мм) "AUTOPRODUCT" для Лада Калина, Калина 2, Гранта</t>
  </si>
  <si>
    <t>Стабилизатор поперечной устойчивости 20 мм в сборе "AUTOPRODUCT" для Лада Калина, Калина 2, Гранта</t>
  </si>
  <si>
    <t>Тяга рулевая в сборе "AUTOPRODUCT" под увеличенную колею (+70 мм) для ВАЗ 2110-2112, Лада (Калина, Калина 2, Приора, Приора 2, Гранта), Датсун (mi-DO, on-Do)</t>
  </si>
  <si>
    <t>Кронштейн регулятора давления "AUTOPRODUCT" для ВАЗ (2108-21099, 2110-2112, 2113-2115), Лада (Калина, Калина 2, Приора, Приора 2, Гранта)</t>
  </si>
  <si>
    <t>Комплект проставок ЗНП "AUTOPRODUCT" под ЗДТ для ВАЗ (2108-21099, 2110-2112, 2113-2115), Лада (Калина, Калина 2, Приора, Приора 2, Гранта)</t>
  </si>
  <si>
    <t>Накладки педалей "AUTOPRODUCT" (AMT 1.6, после 2016 г. в.) для Лада Веста</t>
  </si>
  <si>
    <t>Накладки педалей "AUTOPRODUCT" (AMT 1.8, после 2016 г. в.) для Лада Веста</t>
  </si>
  <si>
    <t>Пружины задней подвески -40 серии Drive "AUTOPRODUCT" для Лада Веста</t>
  </si>
  <si>
    <t>Проставки -1° "AUTOPRODUCT" для Лада Веста, XRAY</t>
  </si>
  <si>
    <t>Упор капота "AUTOPRODUCT" для Лада Веста</t>
  </si>
  <si>
    <t>Распорка передняя с упором капота "AUTOPRODUCT" для Лада Веста</t>
  </si>
  <si>
    <t>Накладки педалей нержавейка "AUTOPRODUCT" (MT) для Лада XRAY, Renault Logan 2</t>
  </si>
  <si>
    <t>Накладки педалей "AUTOPRODUCT" (АМТ) для Лада XRAY</t>
  </si>
  <si>
    <t>Тяга рулевая в сборе "AUTOPRODUCT" для ВАЗ 2110-2112, Лада (Калина, Калина 2, Приора, Приора 2, Гранта), Датсун (mi-DO, on-DO)</t>
  </si>
  <si>
    <t>Глушитель прямоточный "AUTOPRODUCT" для ВАЗ 2112 (до 2007 г.в.)</t>
  </si>
  <si>
    <t>Распорка "AUTOPRODUCT" передняя регулируемая с растяжкой силового агрегата для ВАЗ 2108-21099, 2113-2115 (16 клапанный двигатель)</t>
  </si>
  <si>
    <t>Бесшумный кронштейн запасного колеса "AutoProduct" для Лада Ларгус</t>
  </si>
  <si>
    <t>Распорка (растяжка) передних стоек "AUTOPRODUCT" скрытая для Лада Веста</t>
  </si>
  <si>
    <t>Поперечина передней подвески Drive, ПУ "AUTOPRODUCT" для Лада Калина, Калина 2, Гранта</t>
  </si>
  <si>
    <t>Проставки шаровой опоры +10мм "AUTOPRODUCT" (комплект с болтами) для ВАЗ (2108-21099, 2110-2112, 2113-2115), Лада (Калина, Калина 2, Приора, Приора 2, Гранта)</t>
  </si>
  <si>
    <t>Проставки -1.5 "AUTOPRODUCT" для ВАЗ (2108-21099, 2110-2112, 2113-2115), Лада (Калина, Калина 2, Приора, Приора 2, Гранта), Датсун (mi-DO, on-DO)</t>
  </si>
  <si>
    <t>Глушитель прямоточный "AUTOPRODUCT" для ВАЗ 2110</t>
  </si>
  <si>
    <t>Опоры рулевого механизма "AUTOPRODUCT" для ВАЗ 2110-2112, Лада (Приора, Приора 2)</t>
  </si>
  <si>
    <t>Глушитель прямоточный "AUTOPRODUCT" для Лада Приора, Приора 2 (хэтчбек)</t>
  </si>
  <si>
    <t>AP 0001 Тяги с контргайками рулевой трапеции комп. ВАЗ НИВА КЛАССИКА ЖИГУЛИ</t>
  </si>
  <si>
    <t>компл</t>
  </si>
  <si>
    <t>шт</t>
  </si>
  <si>
    <t>AP 0010 Опоры силового агрегата SPORT комп. ВАЗ САМАРА</t>
  </si>
  <si>
    <t>AP 0011 Опора силового агрегата передняя SPORT, ВАЗ САМАРА</t>
  </si>
  <si>
    <t>AP 0012 Опора силового агрегата левая SPORT, ВАЗ САМАРА</t>
  </si>
  <si>
    <t>AP 0013 Опора силового агрегата задняя SPORT, ВАЗ САМАРА</t>
  </si>
  <si>
    <t>AP 0020 Опора силового агрегата передняя, ВАЗ САМАРА</t>
  </si>
  <si>
    <t>AP 0033 Подрамник с жесткими рычагами, ВАЗ САМАРА</t>
  </si>
  <si>
    <t>AP 0034 Шайбы регулировочные для подрамника с жесткими рычагами комп.</t>
  </si>
  <si>
    <t>AP 0036 Сайлентблок рычага вертикальный, ВАЗ САМАРА ЛАДА110 ПРИОРА КАЛИНА ГРАНТА ДАТСУН</t>
  </si>
  <si>
    <t>AP 0038 Рычаги подрамника жесткие комп. ВАЗ САМАРА ЛАДА110 ПРИОРА КАЛИНА ГРАНТА ДАТСУН</t>
  </si>
  <si>
    <t>AP 0045 Рем. комплект для подрамника, ВАЗ САМАРА ЛАДА110 ПРИОРА КАЛИНА ГРАНТА ДАТСУН</t>
  </si>
  <si>
    <t>AP 0051 Подрамник DRIVE, ВАЗ САМАРА</t>
  </si>
  <si>
    <t>AP 0055 Подрамник SPORT, ВАЗ САМАРА</t>
  </si>
  <si>
    <t>AP 0075 Усилители опор стоек комп. ВАЗ САМАРА</t>
  </si>
  <si>
    <t>AP 0076 Усилители опор стоек 1,5 градуса комп. ВАЗ САМАРА</t>
  </si>
  <si>
    <t>AP 0080 Поперечина DRIVE, ВАЗ САМАРА</t>
  </si>
  <si>
    <t>AP 0090 Поперечина DRIVE ПУ, ВАЗ САМАРА</t>
  </si>
  <si>
    <t>AP 0100 Поперечина SAFE, ВАЗ САМАРА</t>
  </si>
  <si>
    <t>AP 0110 Проставка развала задних колес -1 градус, ВАЗ САМАРА ЛАДА110 ПРИОРА КАЛИНА ГРАНТА ДАТСУН</t>
  </si>
  <si>
    <t>AP 0111 Проставка развала задних колес -1,5 градуса, ВАЗ САМАРА ЛАДА110 ПРИОРА КАЛИНА ГРАНТА ДАТСУН</t>
  </si>
  <si>
    <t>AP 0113 Проставка развала задних колес -2,5 градуса, ВАЗ САМАРА ЛАДА110 ПРИОРА КАЛИНА ГРАНТА ДАТСУН</t>
  </si>
  <si>
    <t>AP 0114 Проставка развала задних колес -3,5 градуса, ВАЗ САМАРА ЛАДА110 ПРИОРА КАЛИНА ГРАНТА ДАТСУН</t>
  </si>
  <si>
    <t>AP 0116 Проставка развала задних колес -3 градуса, ВАЗ САМАРА ЛАДА110 ПРИОРА КАЛИНА ГРАНТА ДАТСУН</t>
  </si>
  <si>
    <t>AP 0120 Усилитель кузова задний, ВАЗ САМАРА</t>
  </si>
  <si>
    <t>AP 0130 Распорка верхних опор передних стоек регулируемая, ВАЗ САМАРА ЛАДА110</t>
  </si>
  <si>
    <t>AP 0140 Распорка верхних опор передних стоек, ВАЗ САМАРА ЛАДА110</t>
  </si>
  <si>
    <t>AP 0211 Защита двигателя стальная оцинкованная для подрамника, ВАЗ ЛАДА110 ПРИОРА</t>
  </si>
  <si>
    <t>AP 0215 Усилители опор стоек комп. ВАЗ ЛАДА110, ПРИОРА</t>
  </si>
  <si>
    <t>AP 0216 Усилители опор стоек 1,5 градуса комп. ВАЗ ЛАДА110 ПРИОРА</t>
  </si>
  <si>
    <t>AP 0218 Проставка под шаровую +10 комп. ВАЗ САМАРА ЛАДА110 ПРИОРА КАЛИНА ГРАНТА ДАТСУН</t>
  </si>
  <si>
    <t>AP 0250 Распорка задняя, ВАЗ САМАРА ЛАДА110 ПРИОРА</t>
  </si>
  <si>
    <t>AP 0260 Усилитель кузова задний, ЛАДА110 ПРИОРА 2171 2172</t>
  </si>
  <si>
    <t>AP 0270 Растяжка силового агрегата, ВАЗ ЛАДА110 ПРИОРА</t>
  </si>
  <si>
    <t>AP 0285 Усилитель щитка передка для 16 кл. ЛАДА110 ПРИОРА</t>
  </si>
  <si>
    <t>AP 0286 Усилитель щитка передка для 8 кл. ЛАДА110 ПРИОРА</t>
  </si>
  <si>
    <t>AP 0295 Распорка верхних опор передних стоек с растяжкой силового агрегата 16 кл, ВАЗ САМАРА</t>
  </si>
  <si>
    <t>AP 0300 Шарнир реактивной тяги, ВАЗ КАЛИНА ГРАНТА</t>
  </si>
  <si>
    <t>AP 0301 Универсальный кронштейн генератора с регулировкой, ВАЗ КАЛИНА ГРАНТА ДАТСУН</t>
  </si>
  <si>
    <t>AP 0365 Усилители опор стоек комп. ВАЗ КАЛИНА ГРАНТА ДАТСУН</t>
  </si>
  <si>
    <t>AP 0370 Поперечина DRIVE, ВАЗ КАЛИНА ГРАНТА ДАТСУН</t>
  </si>
  <si>
    <t>AP 0385 Поперечина SPORT, ВАЗ КАЛИНА ГРАНТА ДАТСУН</t>
  </si>
  <si>
    <t>AP 0390 Поперечина SAFE, ВАЗ КАЛИНА ГРАНТА ДАТСУН</t>
  </si>
  <si>
    <t>AP 0415 Распорка задняя, ВАЗ КАЛИНА ГРАНТА ДАТСУН</t>
  </si>
  <si>
    <t>AP 0419 Распорка верхних опор передних стоек регулируемая, ВАЗ КАЛИНА ГРАНТА ДАТСУН</t>
  </si>
  <si>
    <t>AP 0421 Распорка верхних опор передних стоек с растяжкой силового агрегата 16 кл. ВАЗ КАЛИНА ГРАНТА</t>
  </si>
  <si>
    <t>AP 0451 Дополнительная опора СА, ВАЗ ЛАДА110 ПРИОРА</t>
  </si>
  <si>
    <t>AP 0455 Усиленный кронштейн генератора, ВАЗ ЛАДА110 С ГУР ПРИОРА с ГУР</t>
  </si>
  <si>
    <t>AP 0459 Распорка верхних опор передних стоек регулируемая, ВАЗ ПРИОРА</t>
  </si>
  <si>
    <t>AP 0460 Распорка верхних опор передних стоек, ВАЗ ПРИОРА</t>
  </si>
  <si>
    <t>AP 0461 Распорка верхних опор передних стоек с растяжкой силового агрегата 16 кл. ВАЗ ПРИОРА</t>
  </si>
  <si>
    <t>AP 0472 Усиленная опора раздаточной коробки – Нива 4х4, ВАЗ 4х4 НИВА ШевролеНИВА</t>
  </si>
  <si>
    <t>AP 0475 Тяга с контргайками рулевой трапеции комп. ВАЗ 4х4 НИВА ШевролеНИВА</t>
  </si>
  <si>
    <t>AP 0487 Усиленный кронштейн левой опоры СА для тросиковой МКПП, ВАЗ КАЛИНА ГРАНТА ДАТСУН</t>
  </si>
  <si>
    <t>AP 0488 Усиленный кронштейн задней опоры СА АКПП, ВАЗ КАЛИНА ГРАНТА ДАТСУН</t>
  </si>
  <si>
    <t>AP 0489 Усилители опор стоек 1,5 градуса комп. ВАЗ КАЛИНА ГРАНТА ДАТСУН</t>
  </si>
  <si>
    <t>AP 0582 Кронштейн механический регулятора давления тормозов ВАЗ САМАРА  ЛАДА110 ПРИОРА КАЛИНА ГРАНТА</t>
  </si>
  <si>
    <t>AP 0599 Комплект проставок ЗНП под ЗДТ</t>
  </si>
  <si>
    <t>AP 0650 Накладки педалей ВЕСТА МТ до 2016г.</t>
  </si>
  <si>
    <t>AP 0655 Накладки педалей комп. ВЕСТА АМТ 1.6 после 2016</t>
  </si>
  <si>
    <t>AP 0656 Накладки педалей комп. ВЕСТА АМТ 1.8 после 2016</t>
  </si>
  <si>
    <t>AP 0680 Проставка -1 комп. ВЕСТА XRAY</t>
  </si>
  <si>
    <t>AP 0690 Распорка верхних опор передних стоек, ВЕСТА</t>
  </si>
  <si>
    <t>AP 0692 Скрытая Распорка верхних опор передних стоек, ВЕСТА</t>
  </si>
  <si>
    <t>AP-S 2011 Комплект опор силового агрегата SPORT PRO, ВАЗ САМАРА</t>
  </si>
  <si>
    <t>Наценка по РРЦ</t>
  </si>
  <si>
    <t>Опора силового агрегата передняя (двигателя) "AUTOPRODUCT" SPORT для ВАЗ 2108-21099, 2113-2115</t>
  </si>
  <si>
    <t>Опора силового агрегата левая (двигателя) "AUTOPRODUCT" SPORT для ВАЗ 2108-21099, 2113-2115</t>
  </si>
  <si>
    <t>Опора силового агрегата задняя (двигателя) "AUTOPRODUCT" SPORT для ВАЗ 2108-21099, 2113-2115</t>
  </si>
  <si>
    <t>Рем. комплект для подрамника "AUTOPRODUCT" для ВАЗ 2108-21099, ВАЗ 2110, Лада Приора, Лада Калина, Лада Гранта, Datsun</t>
  </si>
  <si>
    <t>Поперечина передней подвески "AUTOPRODUCT" SPORT (с полиуретановыми сайлентблоками) для ВАЗ 2108-21099, 2113-2115</t>
  </si>
  <si>
    <t>Гиб переход через заднюю балку Ф51 "AUTOPRODUCT" для ВАЗ 2108-21099, 2113-2115</t>
  </si>
  <si>
    <t>Глушитель основной "AUTOPRODUCT" для ВАЗ 2115</t>
  </si>
  <si>
    <t>Поперечина передней подвески "AUTOPRODUCT" SPORT для Лада (Калина, Калина 2, Гранта), Datsun (mi-DO, on-DO)</t>
  </si>
  <si>
    <t>Рычаг задней подвески (балка) "AUTOPRODUCT" в сборе для Лада (Калина, Калина 2, Гранта), Datsun (mi-DO, on-DO)</t>
  </si>
  <si>
    <t>Ремонтный комплект регулируемых передних рычагов "AUTOPRODUCT" для ВАЗ (2108-21099, 2110-2112, 2113-2115), Лада (Приора, Калина, Гранта), Datsun (mi-DO, on-DO)</t>
  </si>
  <si>
    <t>Усиленный стальной кронштейн генератора "AUTOPRODUCT" для ВАЗ 2110-2112, Лада (Приора, Приора 2) (с ГУР)</t>
  </si>
  <si>
    <t>Проставки "AUTOPRODUCT" с корректировкой схождения, для защиты от неравномерного износа шин задней оси для Лада Ларгус</t>
  </si>
  <si>
    <t>AP 0650</t>
  </si>
  <si>
    <t>AP 0021</t>
  </si>
  <si>
    <t>AP 0145</t>
  </si>
  <si>
    <t>AP 0146</t>
  </si>
  <si>
    <t>AP 0151</t>
  </si>
  <si>
    <t>AP 0152</t>
  </si>
  <si>
    <t>AP 0154</t>
  </si>
  <si>
    <t>AP 0271</t>
  </si>
  <si>
    <t>AP 0293</t>
  </si>
  <si>
    <t>AP 0294</t>
  </si>
  <si>
    <t>AP 0303</t>
  </si>
  <si>
    <t>AP 0428</t>
  </si>
  <si>
    <t>AP 0468</t>
  </si>
  <si>
    <t>AP 0540</t>
  </si>
  <si>
    <t>AP 0541</t>
  </si>
  <si>
    <t>AP 0546</t>
  </si>
  <si>
    <t>AP 0548</t>
  </si>
  <si>
    <t>AP 0301</t>
  </si>
  <si>
    <t>AP 0455</t>
  </si>
  <si>
    <t>AP 1000</t>
  </si>
  <si>
    <t>AP 0071</t>
  </si>
  <si>
    <t>AP 0211</t>
  </si>
  <si>
    <t>AP 0361</t>
  </si>
  <si>
    <t>AP 0075</t>
  </si>
  <si>
    <t>AP 0076</t>
  </si>
  <si>
    <t>AP 0215</t>
  </si>
  <si>
    <t>AP 0216</t>
  </si>
  <si>
    <t>AP 0365</t>
  </si>
  <si>
    <t>AP 0489</t>
  </si>
  <si>
    <t>AP 0760</t>
  </si>
  <si>
    <t>AP 0107</t>
  </si>
  <si>
    <t>AP 0589</t>
  </si>
  <si>
    <t>AP 0582</t>
  </si>
  <si>
    <t>AP 0583</t>
  </si>
  <si>
    <t>AP 0599</t>
  </si>
  <si>
    <t>AP 0472</t>
  </si>
  <si>
    <t>AP 0302</t>
  </si>
  <si>
    <t>AP 0305</t>
  </si>
  <si>
    <t>AP 0487</t>
  </si>
  <si>
    <t>AP 0488</t>
  </si>
  <si>
    <t>AP 0010</t>
  </si>
  <si>
    <t>AP 0011</t>
  </si>
  <si>
    <t>AP 0012</t>
  </si>
  <si>
    <t>AP 0013</t>
  </si>
  <si>
    <t>AP 0020</t>
  </si>
  <si>
    <t>AP 0270</t>
  </si>
  <si>
    <t>AP 0451</t>
  </si>
  <si>
    <t>AP-S 2011</t>
  </si>
  <si>
    <t>AP 0034</t>
  </si>
  <si>
    <t>AP 0036</t>
  </si>
  <si>
    <t>AP 0037</t>
  </si>
  <si>
    <t>AP 0038</t>
  </si>
  <si>
    <t>AP 0045</t>
  </si>
  <si>
    <t>AP 0051</t>
  </si>
  <si>
    <t>AP 0055</t>
  </si>
  <si>
    <t>AP 0191</t>
  </si>
  <si>
    <t>AP 0331</t>
  </si>
  <si>
    <t>AP 0341</t>
  </si>
  <si>
    <t>AP 0556</t>
  </si>
  <si>
    <t>AP 0561</t>
  </si>
  <si>
    <t>AP 0565</t>
  </si>
  <si>
    <t>AP 0033</t>
  </si>
  <si>
    <t>AP 0171</t>
  </si>
  <si>
    <t>AP 0321</t>
  </si>
  <si>
    <t>AP 0551</t>
  </si>
  <si>
    <t>AP 0651</t>
  </si>
  <si>
    <t>AP 0655</t>
  </si>
  <si>
    <t>AP 0656</t>
  </si>
  <si>
    <t>AP 0700</t>
  </si>
  <si>
    <t>AP 0705</t>
  </si>
  <si>
    <t>AP 0080</t>
  </si>
  <si>
    <t>AP 0090</t>
  </si>
  <si>
    <t>AP 0092</t>
  </si>
  <si>
    <t>AP 0095</t>
  </si>
  <si>
    <t>AP 0100</t>
  </si>
  <si>
    <t>AP 0370</t>
  </si>
  <si>
    <t>AP 0385</t>
  </si>
  <si>
    <t>AP 0390</t>
  </si>
  <si>
    <t>AP 0440</t>
  </si>
  <si>
    <t>AP 0673</t>
  </si>
  <si>
    <t>AP 0673 Поперечина с передней опорой силового агрегата, ВАЗ ВЕСТА</t>
  </si>
  <si>
    <t>AP 0120</t>
  </si>
  <si>
    <t>AP 0250</t>
  </si>
  <si>
    <t>AP 0260</t>
  </si>
  <si>
    <t>AP 0415</t>
  </si>
  <si>
    <t>AP 0416</t>
  </si>
  <si>
    <t>AP 0160</t>
  </si>
  <si>
    <t>AP 0310</t>
  </si>
  <si>
    <t>AP 0470</t>
  </si>
  <si>
    <t>AP 0570</t>
  </si>
  <si>
    <t>AP 0571</t>
  </si>
  <si>
    <t>AP 0130</t>
  </si>
  <si>
    <t>AP 0140</t>
  </si>
  <si>
    <t>AP 0295</t>
  </si>
  <si>
    <t>AP 0297</t>
  </si>
  <si>
    <t>AP 0419</t>
  </si>
  <si>
    <t>AP 0420</t>
  </si>
  <si>
    <t>AP 0421</t>
  </si>
  <si>
    <t>AP 0459</t>
  </si>
  <si>
    <t>AP 0460</t>
  </si>
  <si>
    <t>AP 0461</t>
  </si>
  <si>
    <t>AP 0690</t>
  </si>
  <si>
    <t>AP 0692</t>
  </si>
  <si>
    <t>AP 0285</t>
  </si>
  <si>
    <t>AP 0286</t>
  </si>
  <si>
    <t>AP 0001</t>
  </si>
  <si>
    <t>AP 0002</t>
  </si>
  <si>
    <t>AP 0115</t>
  </si>
  <si>
    <t>AP 0245</t>
  </si>
  <si>
    <t>AP 0580</t>
  </si>
  <si>
    <t>AP 0230</t>
  </si>
  <si>
    <t>AP 0240</t>
  </si>
  <si>
    <t>AP 0400</t>
  </si>
  <si>
    <t>AP 0410</t>
  </si>
  <si>
    <t>AP 0411</t>
  </si>
  <si>
    <t>AP 0226</t>
  </si>
  <si>
    <t>AP 0227</t>
  </si>
  <si>
    <t>AP 0110</t>
  </si>
  <si>
    <t>AP 0111</t>
  </si>
  <si>
    <t>AP 0112</t>
  </si>
  <si>
    <t>AP 0113</t>
  </si>
  <si>
    <t>AP 0114</t>
  </si>
  <si>
    <t>AP 0116</t>
  </si>
  <si>
    <t>AP 0117</t>
  </si>
  <si>
    <t>AP 0218</t>
  </si>
  <si>
    <t>AP 0273</t>
  </si>
  <si>
    <t>AP 0680</t>
  </si>
  <si>
    <t>AP 0750</t>
  </si>
  <si>
    <t>AP 0430</t>
  </si>
  <si>
    <t>AP 0431</t>
  </si>
  <si>
    <t>AP 0437</t>
  </si>
  <si>
    <t>AP 0439</t>
  </si>
  <si>
    <t>AP 0453</t>
  </si>
  <si>
    <t>AP 0575</t>
  </si>
  <si>
    <t>AP 0577</t>
  </si>
  <si>
    <t>AP 0484</t>
  </si>
  <si>
    <t>AP 0150</t>
  </si>
  <si>
    <t>AP 0300</t>
  </si>
  <si>
    <t>Распорка передняя "AUTOPRODUCT" для ВАЗ 2108-21099, 2110-2112, 2113-2115</t>
  </si>
  <si>
    <t>Распорка передняя регулируемая "AUTOPRODUCT" для ВАЗ 2108-21099, 2110-2112, 2113-2115</t>
  </si>
  <si>
    <t>Распорка передняя нижняя "AUTOPRODUCT" для ВАЗ (2108-21099, 2110-2112, 2113-2115), Лада Приора</t>
  </si>
  <si>
    <t>Растяжка заднего рычага ПУ "AUTOPRODUCT" для ВАЗ (2108-21099, 2110-2112, 2113-2115), Лада Приора</t>
  </si>
  <si>
    <t>Распорка задняя "AUTOPRODUCT" для ВАЗ (2108-21099, 2110-2112, 2113-2115), Лада Приора</t>
  </si>
  <si>
    <t>Рычаги регулируемые передние "AUTOPRODUCT" для ВАЗ (2108-21099, 2113-2115, 2110-2112), Лада (Калина, Калина 2, Приора, Приора 2, Гранта), Датсун (mi-DO, on-DO)</t>
  </si>
  <si>
    <t>Поперечина передней подвески Safe "AUTOPRODUCT" для ВАЗ 2110-2112, Лада Приора</t>
  </si>
  <si>
    <t>Шарнир реактивной тяги "AUTOPRODUCT" для ВАЗ 2110-2112, Лада Приора</t>
  </si>
  <si>
    <t>Дополнительная опора силового агрегата "AUTOPRODUCT" для ВАЗ 2110-2112, Лада Приора</t>
  </si>
  <si>
    <t>Растяжка силового агрегата (гитара) "AUTOPRODUCT" для ВАЗ 2110-2112, Лада Приора</t>
  </si>
  <si>
    <t>Защита двигателя стальная оцинкованная для подрамника "AUTOPRODUCT" для ВАЗ 2110-2112, Лада Приора</t>
  </si>
  <si>
    <t>Сайлентблок рычага вертикальный "AUTOPRODUCT" для ВАЗ (2108-21099, 2110-2112, 2113-2115), Лада (Калина, Калина 2, Приора, Гранта)</t>
  </si>
  <si>
    <t>Шайбы регулировочные (комплект) "AUTOPRODUCT" для ВАЗ (2108-21099, 2110-2112, 2113-2115), Лада (Калина, Калина 2, Приора, Гранта)</t>
  </si>
  <si>
    <t>Рычаг задний в сборе R1 Sprint "AUTOPRODUCT" для ВАЗ (2108-21099, 2110-2112, 2113-2115), Лада (Калина, Калина 2, Приора, Гранта)</t>
  </si>
  <si>
    <t>Рычаг задний в сборе R1 "AUTOPRODUCT" для ВАЗ (2108-21099, 2110-2112, 2113-2115), Лада (Калина, Калина 2, Приора, Гранта)</t>
  </si>
  <si>
    <t>Рычаг задний в сборе "AUTOPRODUCT" для ВАЗ (2108-21099, 2110-2112, 2113-2115), Лада Приора</t>
  </si>
  <si>
    <t>Рычаг задний в сборе, ПУ "AUTOPRODUCT" для ВАЗ (2108-21099, 2110-2112, 2113-2115), Лада Приора</t>
  </si>
  <si>
    <t>Поперечина передней подвески Drive "AUTOPRODUCT" для ВАЗ 2110-2112, Лада Приора</t>
  </si>
  <si>
    <t>Проставки развала задних колёс -1 градус "AUTOPRODUCT" для ВАЗ (2108-21099, 2110-2112, 2113-2115), Лада (Калина, Калина 2, Приора, Приора 2, Гранта), Datsun (on-Do, mi-Do)</t>
  </si>
  <si>
    <t>Артикул</t>
  </si>
  <si>
    <t>AP 0253</t>
  </si>
  <si>
    <t>AP 0253 Рем. комплект распорки и усилителя задних, ВАЗ САМАРА ЛАДА110 ПРИОРА КАЛИНА ГРАНТА ДАТСУН</t>
  </si>
  <si>
    <t>AP 0544</t>
  </si>
  <si>
    <t>AP 0544 Глушитель основной, нержавейка ВАЗ КАЛИНА 2192</t>
  </si>
  <si>
    <t>Рычаг задней подвески "СМЗ" для Лада (Калина, Калина 2, Гранта), Датсун (mi-Do, on-Do)</t>
  </si>
  <si>
    <t>Рычаг задней подвески "СМЗ" для ВАЗ (2108-21099, 2113-2115, 2110-2112), Лада (Приора, Приора 2)</t>
  </si>
  <si>
    <t>AP 0454</t>
  </si>
  <si>
    <t>Поперечина "AUTOPRODUCT" с передней опорой силового агрегата для Лада Веста</t>
  </si>
  <si>
    <t>Накладки на педали для Лада Приора, Калина, Калина 2, Гранта Е-газ "Арзамас"</t>
  </si>
  <si>
    <t>Накладки на педали механическая для Лада Приора, Калина, Калина 2, Гранта</t>
  </si>
  <si>
    <t>Накладки на педали для Лада Приора, Калина, Калина 2, Гранта Е-газ "BOSCH"</t>
  </si>
  <si>
    <t>Наименование</t>
  </si>
  <si>
    <t>Розница</t>
  </si>
  <si>
    <t>AP 0005</t>
  </si>
  <si>
    <t>AP 0006</t>
  </si>
  <si>
    <t>AP 0006 Винтовой самоблокирующийся дифференциал РПМ, 2123, НИВА, ШевролеНИВА ( с преднатягом )</t>
  </si>
  <si>
    <t>AP 0021 Глушитель основной, ВАЗ 2108 2109</t>
  </si>
  <si>
    <t>AP 0029</t>
  </si>
  <si>
    <t>AP 0029 Винтовой самоблокирующийся дифференциал САМАРА, 2110-70,КАЛИНА, ДАТСУН ( с преднатягом )</t>
  </si>
  <si>
    <t>AP 0030</t>
  </si>
  <si>
    <t>AP 0030 Винтовой самоблокирующийся дифференциал САМАРА, 2110-70,КАЛИНА, ДАТСУН ( необслуживаемый )</t>
  </si>
  <si>
    <t>AP 0145 Глушитель основной, ВАЗ 21099</t>
  </si>
  <si>
    <t>AP 0151 Глушитель основной, ВАЗ 2110</t>
  </si>
  <si>
    <t>AP 0152 Глушитель основной, ВАЗ 2111</t>
  </si>
  <si>
    <t>AP 0271 Глушитель основной, ВАЗ 2112</t>
  </si>
  <si>
    <t>AP 0341 Подрамник DRIVE КАЛИНА ГРАНТА до 2013 г.</t>
  </si>
  <si>
    <t>AP 0380</t>
  </si>
  <si>
    <t>AP 0380 Поперечина DRIVE ПУ, ВАЗ КАЛИНА ГРАНТА ДАТСУН</t>
  </si>
  <si>
    <t>AP 0423</t>
  </si>
  <si>
    <t>AP 0428 Глушитель основной, ВАЗ ПРИОРА 2170 2171</t>
  </si>
  <si>
    <t>AP 0454 / 21700-2914008-00 (11.2914008-00) Рычаг задней подвески</t>
  </si>
  <si>
    <t>AP 0468 Глушитель основной, ВАЗ ПРИОРА 2172</t>
  </si>
  <si>
    <t>AP 0474</t>
  </si>
  <si>
    <t>AP 0475</t>
  </si>
  <si>
    <t>AP 0477</t>
  </si>
  <si>
    <t>AP 0477 / АР21-3414138 Наконечник тяги рулевой трапеции в сборе левый</t>
  </si>
  <si>
    <t>AP 0546 Глушитель основной, ВАЗ КАЛИНА 1119 2192</t>
  </si>
  <si>
    <t>AP 0548 Глушитель основной, ВАЗ КАЛИНА 2194 КРОСС</t>
  </si>
  <si>
    <t>AP 0671</t>
  </si>
  <si>
    <t>AP 0671 / АР80-1001015-04 Поперечина под растяжку силового агрегата, ВАЗ ВЕСТА</t>
  </si>
  <si>
    <t>AP 0803</t>
  </si>
  <si>
    <t>Накладки педалей нержавейка "AUTOPRODUCT" для Лада Веста (MT, после 2016 г. в.)</t>
  </si>
  <si>
    <t>Винтовой самоблокирующийся дифференциал "AUTOPRODUCT" необслуживаемый для Лада Нива 4х4, Шевроле Нива</t>
  </si>
  <si>
    <t>Рычаги регулируемые передние "AUTOPRODUCT" на полиуретане для ВАЗ (2108-21099, 2113-2115, 2110-2112), Лада (Калина, Калина 2, Приора, Приора 2, Гранта), Датсун (mi-DO, on-DO)</t>
  </si>
  <si>
    <t>Подрамник "AUTOPRODUCT" поперечины передней подвески для Шевроле Нива</t>
  </si>
  <si>
    <t>Накладки педалей нержавейка "AUTOPRODUCT" для Лада Веста (MT, до 2016 г. в.)</t>
  </si>
  <si>
    <t>Поперечина "AUTOPRODUCT" под растяжку двигателя для Лада Веста</t>
  </si>
  <si>
    <t>Реактивная тяга Панара "AUTOPRODUCT" DRIVE c двумя скрутками для ВАЗ 2101-2107, Лада Нива 4х4, Шевроле Нива</t>
  </si>
  <si>
    <t>Кронштейн "AUTOPRODUCT" правой опоры двигателя (под опору 2110-1001286) для Лада Веста</t>
  </si>
  <si>
    <t>Итоговая РРЦ</t>
  </si>
  <si>
    <t>Измененный CPM</t>
  </si>
  <si>
    <t>Оригинальный CPM</t>
  </si>
  <si>
    <t>до 99</t>
  </si>
  <si>
    <t>до 299</t>
  </si>
  <si>
    <t>до 499</t>
  </si>
  <si>
    <t>до 999</t>
  </si>
  <si>
    <t>до 1999</t>
  </si>
  <si>
    <t>до 4999</t>
  </si>
  <si>
    <t>до 9999</t>
  </si>
  <si>
    <t>от 10000</t>
  </si>
  <si>
    <t>AP 0750 Проставка с корректировкой схождения комп. ЛАРГУС</t>
  </si>
  <si>
    <t>AP 0661</t>
  </si>
  <si>
    <t>AP 0651 Накладки педалей комп. ВЕСТА МТ после 2016</t>
  </si>
  <si>
    <t>AP 0561 Подрамник DRIVE КАЛИНА ГРАНТА после 2013 г.</t>
  </si>
  <si>
    <t>AP 0483 Комплект усиленных кронштейнов СА для тросиковой МКПП, ВАЗ КАЛИНА ГРАНТА ДАТСУН</t>
  </si>
  <si>
    <t>AP 0483</t>
  </si>
  <si>
    <t>AP 0458-У</t>
  </si>
  <si>
    <t>AP 0458</t>
  </si>
  <si>
    <t>AP 0307 Комплект усиленных кронштейнов СА кулисная МКПП, ВАЗ КАЛИНА ГРАНТА</t>
  </si>
  <si>
    <t>AP 0307</t>
  </si>
  <si>
    <t>AP 0302 Усиленный кронштейн левой опоры силового агрегата кулисная МКПП, ВАЗ КАЛИНА ГРАНТА</t>
  </si>
  <si>
    <t>AP 0297 Распорка верхних опор передних стоек регулируемая с растяжкой СА для 16 кл. ВАЗ САМАРА</t>
  </si>
  <si>
    <t>AP 0290 Распорка верхних опор передних стоек 16 кл. ВАЗ САМАРА</t>
  </si>
  <si>
    <t>AP 0290</t>
  </si>
  <si>
    <t>AP 0235</t>
  </si>
  <si>
    <t>AP 0146 Гиб переход через заднюю балку Ф51, ВАЗ САМАРА</t>
  </si>
  <si>
    <t>AP 0008 Винтовой самоблокирующийся дифференциал РЗМ 2101-07, НИВА ( необслуживаемый )</t>
  </si>
  <si>
    <t>AP 0008</t>
  </si>
  <si>
    <t>AP 0007</t>
  </si>
  <si>
    <t>Опт Крупный</t>
  </si>
  <si>
    <t>РРЦ</t>
  </si>
  <si>
    <t>Тяга с контргайками рулевой трапеции (комплект) "AUTOPRODUCT" для ВАЗ 2101-2107, Лада Нива 4х4, Шевроле Нива</t>
  </si>
  <si>
    <t>Закуп</t>
  </si>
  <si>
    <t>AP 0041</t>
  </si>
  <si>
    <t>AP 0041 Подрамник DRIVE ПУ, ВАЗ САМАРА</t>
  </si>
  <si>
    <t>AP 0160 Распорка нижняя рычагов передней подвески, ВАЗ САМАРА ЛАДА110 ПРИОРА</t>
  </si>
  <si>
    <t>AP 0310 Распорка нижняя рычагов передней подвески, ВАЗ КАЛИНА ГРАНТА до 2013 г.</t>
  </si>
  <si>
    <t>AP 0470 Распорка нижняя рычагов передней подвески, ВАЗ 4х4 НИВА ШевролеНИВА</t>
  </si>
  <si>
    <t>AP 0570 Распорка нижняя рычагов пер. подвески SAFE трос. МКПП АКПП, ВАЗ КАЛИНА ГРАНТА после 2013 г.</t>
  </si>
  <si>
    <t>AP 0578</t>
  </si>
  <si>
    <t>AP 0578-У</t>
  </si>
  <si>
    <t>AP 0581</t>
  </si>
  <si>
    <t>AP 0424</t>
  </si>
  <si>
    <t>AP 0096</t>
  </si>
  <si>
    <t>AP 0663</t>
  </si>
  <si>
    <t>AP 0677</t>
  </si>
  <si>
    <t>Комплект "AUTOPRODUCT" усиленных кронштейнов СА (двигателя) для тросовой МКПП для Лада Калина, Калина 2, Гранта, Гранта FL (тросовая КПП)</t>
  </si>
  <si>
    <t>Усиленный кронштейн "AUTOPRODUCT" левой опоры двигателя для Лада (Калина, Калина 2, Гранта, Гранта FL), Datsun (mi-DO, on-DO) (тросовая МКПП)</t>
  </si>
  <si>
    <t>Комплект втулок "AUTOPRODUCT" АР 0673 для Лада Веста</t>
  </si>
  <si>
    <t>Кронштейн "AUTOPRODUCT" правой опоры двигателя с подушкой 2110-1001286 в сборе для Лада Веста</t>
  </si>
  <si>
    <t>Стабилизатор поперечной устойчивости "AUTOPRODUCT" 24 мм, в сборе для Лада Калина, Калина 2, Гранта</t>
  </si>
  <si>
    <t>Стабилизатор поперечной устойчивости "AUTOPRODUCT" 22 мм, в сборе с усиленными стойками для Лада Калина, Калина 2, Гранта</t>
  </si>
  <si>
    <t>Стабилизатор поперечной устойчивости "AUTOPRODUCT" 22 мм, в сборе для Лада Калина, Калина 2, Гранта</t>
  </si>
  <si>
    <t>Глушитель "AUTOPRODUCT" основной (нержавейка) для Лада Калина 2 хэтчбек</t>
  </si>
  <si>
    <t>Стабилизатор поперечной устойчивости "AUTOPRODUCT" 22 мм, в сборе с усиленными стойками для ВАЗ 2110-2112, Лада Приора</t>
  </si>
  <si>
    <t>Стабилизатор поперечной устойчивости "AUTOPRODUCT" 22 мм, в сборе для ВАЗ 2110-2112, Лада Приора</t>
  </si>
  <si>
    <t>Ремкомплект "AUTOPRODUCT" задней распорки/усилителя задних стоек</t>
  </si>
  <si>
    <t>Комплект "AUTOPRODUCT" усиленных кронштейнов СА (двигателя) для кулисной МКПП для Лада Калина, Калина 2, Гранта, Гранта FL (кулисная КПП)</t>
  </si>
  <si>
    <t>Свободный остаток</t>
  </si>
  <si>
    <t>8,000</t>
  </si>
  <si>
    <t>4,000</t>
  </si>
  <si>
    <t>5,000</t>
  </si>
  <si>
    <t>14,000</t>
  </si>
  <si>
    <t>3,000</t>
  </si>
  <si>
    <t>AP 0026</t>
  </si>
  <si>
    <t>AP 0026 Рем. комплект для дифференциала (шайбы)</t>
  </si>
  <si>
    <t>2,000</t>
  </si>
  <si>
    <t>1,000</t>
  </si>
  <si>
    <t>10,000</t>
  </si>
  <si>
    <t>AP 0117 Проставка - 1 градус с корректировкой схождения комп. САМАРА  ПРИОРА КАЛИНА ГРАНТА ДАТСУН</t>
  </si>
  <si>
    <t>7,000</t>
  </si>
  <si>
    <t>20,000</t>
  </si>
  <si>
    <t>6,000</t>
  </si>
  <si>
    <t>AP 0581-У</t>
  </si>
  <si>
    <t>AP 0677 Комплект втулок для АР 0673, ВАЗ ВЕСТА</t>
  </si>
  <si>
    <t>AP 0730 / Задняя независимая подвеска, ВАЗ ВЕСТА</t>
  </si>
  <si>
    <t>AP 0735</t>
  </si>
  <si>
    <t>Рычаги подрамника "AUTOPRODUCT" жесткие с регулировкой развала для Лада Веста</t>
  </si>
  <si>
    <t>AP 0685</t>
  </si>
  <si>
    <t>30,000</t>
  </si>
  <si>
    <t>AP 0071 Защита двигателя стальная оцинкованная для подрамника, ВАЗ САМАРА</t>
  </si>
  <si>
    <t>AP 0303 Глушитель основной, ВАЗ КАЛИНА 1118 1117</t>
  </si>
  <si>
    <t>AP 0386</t>
  </si>
  <si>
    <t>AP 0386 Поперечина SPORT ПУ, ВАЗ КАЛИНА ГРАНТА ДАТСУН</t>
  </si>
  <si>
    <t>AP 0431 Рычаги передней подвески регулируемые ПУ, ВАЗ САМАРА ЛАДА110 ПРИОРА КАЛИНА ГРАНТА ДАТСУН</t>
  </si>
  <si>
    <t>AP 0541 Глушитель основной, ВАЗ ГРАНТА 2190 2191</t>
  </si>
  <si>
    <t>AP 0685 Комплект жестких рычагов с регулировкой развала, ВАЗ ВЕСТА</t>
  </si>
  <si>
    <t>AP 0735 Комплект деталей на ЗНП под дисковые тормоза, ВЕСТА</t>
  </si>
  <si>
    <t>ap 0004</t>
  </si>
  <si>
    <t>ap 0025</t>
  </si>
  <si>
    <t>ap 0027</t>
  </si>
  <si>
    <t>ap 0028</t>
  </si>
  <si>
    <t>ap 0070</t>
  </si>
  <si>
    <t xml:space="preserve"> ap 0072</t>
  </si>
  <si>
    <t>ap 0155</t>
  </si>
  <si>
    <t>ap 0181</t>
  </si>
  <si>
    <t>ap 0210</t>
  </si>
  <si>
    <t>ap 0212</t>
  </si>
  <si>
    <t>ap 0280</t>
  </si>
  <si>
    <t>ap 0360</t>
  </si>
  <si>
    <t>ap 0362</t>
  </si>
  <si>
    <t>ap 0450</t>
  </si>
  <si>
    <t>ap 0476</t>
  </si>
  <si>
    <t>ap 0480</t>
  </si>
  <si>
    <t>ap 0481</t>
  </si>
  <si>
    <t>ap 0510</t>
  </si>
  <si>
    <t>ap 0576</t>
  </si>
  <si>
    <t>ap 0675</t>
  </si>
  <si>
    <t>ap 0676</t>
  </si>
  <si>
    <t>ap 0687</t>
  </si>
  <si>
    <t>4</t>
  </si>
  <si>
    <t>6</t>
  </si>
  <si>
    <t>АР 0760</t>
  </si>
  <si>
    <t>АР 0005</t>
  </si>
  <si>
    <t>АР 0006</t>
  </si>
  <si>
    <t>АР 0021</t>
  </si>
  <si>
    <t>АР 0145</t>
  </si>
  <si>
    <t>АР 0151</t>
  </si>
  <si>
    <t>АР 0152</t>
  </si>
  <si>
    <t>АР 0271</t>
  </si>
  <si>
    <t>АР 0293</t>
  </si>
  <si>
    <t>АР 0541</t>
  </si>
  <si>
    <t>АР 0303</t>
  </si>
  <si>
    <t>АР 0548</t>
  </si>
  <si>
    <t>АР 0546</t>
  </si>
  <si>
    <t>АР 0428</t>
  </si>
  <si>
    <t>АР 0468</t>
  </si>
  <si>
    <t>АР 0451</t>
  </si>
  <si>
    <t>АР 0070</t>
  </si>
  <si>
    <t>АР 0210</t>
  </si>
  <si>
    <t>АР 0360</t>
  </si>
  <si>
    <t>АР 0212</t>
  </si>
  <si>
    <t>АР 0362</t>
  </si>
  <si>
    <t>АР 0071</t>
  </si>
  <si>
    <t>АР 0211</t>
  </si>
  <si>
    <t>АР 0361</t>
  </si>
  <si>
    <t>АР 0072</t>
  </si>
  <si>
    <t>АР 0677</t>
  </si>
  <si>
    <t>АР 0476</t>
  </si>
  <si>
    <t>АР 0599</t>
  </si>
  <si>
    <t>АР 0475</t>
  </si>
  <si>
    <t>АР 0235</t>
  </si>
  <si>
    <t>АР 0661</t>
  </si>
  <si>
    <t>АР 0301</t>
  </si>
  <si>
    <t>АР 0488</t>
  </si>
  <si>
    <t>АР 0305</t>
  </si>
  <si>
    <t>АР 0582</t>
  </si>
  <si>
    <t>АР 0427/АР90-1108010</t>
  </si>
  <si>
    <t>АР 0426</t>
  </si>
  <si>
    <t>АР 0655</t>
  </si>
  <si>
    <t>АР 0656</t>
  </si>
  <si>
    <t>АР 0705</t>
  </si>
  <si>
    <t>АР 0700</t>
  </si>
  <si>
    <t>АР 0650</t>
  </si>
  <si>
    <t>АР 0651</t>
  </si>
  <si>
    <t>АР 0477</t>
  </si>
  <si>
    <t>АР 0472</t>
  </si>
  <si>
    <t>АР 0020</t>
  </si>
  <si>
    <t>АР 0012</t>
  </si>
  <si>
    <t>АР 0011</t>
  </si>
  <si>
    <t>АР-С 2540</t>
  </si>
  <si>
    <t>АР 0115</t>
  </si>
  <si>
    <t>АР 0245</t>
  </si>
  <si>
    <t>АР-S 2011</t>
  </si>
  <si>
    <t>АР 0107</t>
  </si>
  <si>
    <t>АР 0589</t>
  </si>
  <si>
    <t>АР 0191</t>
  </si>
  <si>
    <t>АР 0181</t>
  </si>
  <si>
    <t>АР 0055</t>
  </si>
  <si>
    <t>АР 0565</t>
  </si>
  <si>
    <t>АР 0171</t>
  </si>
  <si>
    <t>АР 0051</t>
  </si>
  <si>
    <t>АР 0341</t>
  </si>
  <si>
    <t>АР 0561</t>
  </si>
  <si>
    <t>АР 0041</t>
  </si>
  <si>
    <t>АР 0331</t>
  </si>
  <si>
    <t>АР 0556</t>
  </si>
  <si>
    <t>АР 0033</t>
  </si>
  <si>
    <t>АР 0321</t>
  </si>
  <si>
    <t>АР 0551</t>
  </si>
  <si>
    <t>АР 0385</t>
  </si>
  <si>
    <t>АР 0080</t>
  </si>
  <si>
    <t>АР 0440</t>
  </si>
  <si>
    <t>АР 0370</t>
  </si>
  <si>
    <t>АР 0092</t>
  </si>
  <si>
    <t>АР 0090</t>
  </si>
  <si>
    <t>АР 0450</t>
  </si>
  <si>
    <t>АР 0380</t>
  </si>
  <si>
    <t>АР 0100</t>
  </si>
  <si>
    <t>АР 0280</t>
  </si>
  <si>
    <t>АР 0390</t>
  </si>
  <si>
    <t>АР 0095</t>
  </si>
  <si>
    <t>АР 0117</t>
  </si>
  <si>
    <t>АР 0111</t>
  </si>
  <si>
    <t>АР 0680</t>
  </si>
  <si>
    <t>АР 0113</t>
  </si>
  <si>
    <t>АР 0116</t>
  </si>
  <si>
    <t>АР 0114</t>
  </si>
  <si>
    <t>АР 0273</t>
  </si>
  <si>
    <t>АР 0112</t>
  </si>
  <si>
    <t>АР 0218</t>
  </si>
  <si>
    <t>АР 0510</t>
  </si>
  <si>
    <t>АР 0676</t>
  </si>
  <si>
    <t>АР 0675</t>
  </si>
  <si>
    <t>АР 0297</t>
  </si>
  <si>
    <t>АР 0250</t>
  </si>
  <si>
    <t>АР 0415</t>
  </si>
  <si>
    <t>АР 0140</t>
  </si>
  <si>
    <t>АР 0290</t>
  </si>
  <si>
    <t>АР 0420</t>
  </si>
  <si>
    <t>АР 0460</t>
  </si>
  <si>
    <t>АР 0459</t>
  </si>
  <si>
    <t>АР 0160</t>
  </si>
  <si>
    <t>АР 0470</t>
  </si>
  <si>
    <t>АР 0571</t>
  </si>
  <si>
    <t>АР 0570</t>
  </si>
  <si>
    <t>АР 0310</t>
  </si>
  <si>
    <t>АР 0130</t>
  </si>
  <si>
    <t>АР 0295</t>
  </si>
  <si>
    <t>АР 0421</t>
  </si>
  <si>
    <t>АР 0461</t>
  </si>
  <si>
    <t>АР 0693</t>
  </si>
  <si>
    <t>АР 0226</t>
  </si>
  <si>
    <t>АР 0227</t>
  </si>
  <si>
    <t>АР 0423</t>
  </si>
  <si>
    <t>АР 0419</t>
  </si>
  <si>
    <t>АР 0270</t>
  </si>
  <si>
    <t>АР 0253</t>
  </si>
  <si>
    <t>AP 0454 / 21700-2914008-00</t>
  </si>
  <si>
    <t>AP 0411 / 11180-2914008-00</t>
  </si>
  <si>
    <t>АР 0230</t>
  </si>
  <si>
    <t>АР-S 2455</t>
  </si>
  <si>
    <t>АР-S 2454</t>
  </si>
  <si>
    <t>АР 0240</t>
  </si>
  <si>
    <t>АР 0410</t>
  </si>
  <si>
    <t>АР 0037</t>
  </si>
  <si>
    <t>АР 0038</t>
  </si>
  <si>
    <t>АР 0430</t>
  </si>
  <si>
    <t>АР 0437</t>
  </si>
  <si>
    <t>АР 0036</t>
  </si>
  <si>
    <t>АР 0576</t>
  </si>
  <si>
    <t>АР 0575</t>
  </si>
  <si>
    <t>АР 0577</t>
  </si>
  <si>
    <t>АР 0453</t>
  </si>
  <si>
    <t>АР-С 2575</t>
  </si>
  <si>
    <t>АР 0580</t>
  </si>
  <si>
    <t>АР 0001</t>
  </si>
  <si>
    <t>АР 0002</t>
  </si>
  <si>
    <t>АР 0687</t>
  </si>
  <si>
    <t>АР 0075</t>
  </si>
  <si>
    <t>АР 0215</t>
  </si>
  <si>
    <t>АР 0365</t>
  </si>
  <si>
    <t>АР 0076</t>
  </si>
  <si>
    <t>АР 0216</t>
  </si>
  <si>
    <t>АР 0489</t>
  </si>
  <si>
    <t>АР 0260</t>
  </si>
  <si>
    <t>АР 0416</t>
  </si>
  <si>
    <t>АР 0481</t>
  </si>
  <si>
    <t>АР 0285</t>
  </si>
  <si>
    <t>АР 0286</t>
  </si>
  <si>
    <t>АР 0034</t>
  </si>
  <si>
    <t>АР 0150</t>
  </si>
  <si>
    <t>АР 0300</t>
  </si>
  <si>
    <t>AP 0154 Гиб переход через заднюю балку, ВАЗ ЛАДА110 Ф51</t>
  </si>
  <si>
    <t>AP 0293 Глушитель основной, ВАЗ 2113 2114</t>
  </si>
  <si>
    <t>AP 0294 Глушитель основной, ВАЗ 2115</t>
  </si>
  <si>
    <t>AP 0420 Распорка верхних опор передних стоек, ВАЗ КАЛИНА ГРАНТА ДАТСУН</t>
  </si>
  <si>
    <t>AP 0540  Гиб переход через заднюю балку Ф51 ВАЗ КАЛИНА</t>
  </si>
  <si>
    <t>AP 0556 Подрамник DRIVE, ПУ ВАЗ КАЛИНА, ГРАНТА после 2013 г.</t>
  </si>
  <si>
    <t>AP 0571 Распорка нижняя рычагов пер. подвески DRIVE трос. МКПП АКПП, ВАЗ КАЛИНА ГРАНТА после 2013 г.</t>
  </si>
  <si>
    <t>AP 0589 Задняя независимая подвеска ВАЗ КАЛИНА ГРАНТА ДАТСУН</t>
  </si>
  <si>
    <t>AP 0760 Усиленный кронштейн запасного колеса, ЛАРГУС</t>
  </si>
  <si>
    <t>Ст З</t>
  </si>
  <si>
    <t>Ст Р</t>
  </si>
  <si>
    <t>Накладки на педали для ВАЗ (2108-21099, 2110-2112, 2113-2115)</t>
  </si>
  <si>
    <t>АР 0291 / АР14-1108010</t>
  </si>
  <si>
    <t>Гайка регулировочная "AUTOPRODUCT" для задней независимой подвески</t>
  </si>
  <si>
    <t>Стабилизатор поперечной устойчивости "AUTOPRODUCT" Drive 24 мм в сборе (с усиленными стойками) для Лада (Калина, Калина 2, Гранта, Гранта FL), Датсун (mi-DO, on-DO)</t>
  </si>
  <si>
    <t>AP 0107 Задняя независимая подвеска, ВАЗ САМАРА ЛАДА110 ПРИОРА</t>
  </si>
  <si>
    <t>AP 0112 Проставка развала задних колес -2 градуса, ВАЗ САМАРА ЛАДА110 ПРИОРА КАЛИНА ГРАНТА ДАТСУН</t>
  </si>
  <si>
    <t>AP 0150 Шарнир реактивной тяги, ВАЗ ЛАДА110 ПРИОРА</t>
  </si>
  <si>
    <t>AP 0171 Подрамник с жесткими рычагами, ВАЗ ЛАДА110 ПРИОРА</t>
  </si>
  <si>
    <t>AP 0191 Подрамник DRIVE, ВАЗ ЛАДА110 ПРИОРА</t>
  </si>
  <si>
    <t>AP 0273 Проставка рычага заднего колея +70мм комп. ВАЗ САМАРА ЛАДА110 ПРИОРА КАЛИНА ГРАНТА ДАТСУН</t>
  </si>
  <si>
    <t>27,000</t>
  </si>
  <si>
    <t>AP 0321 Подрамник с жесткими рычагами, КАЛИНА ГРАНТА до 2013 г.</t>
  </si>
  <si>
    <t>AP 0361 Защита двигателя стальная оцинкованная для подрамника, ВАЗ КАЛИНА ГРАНТА ДАТСУН</t>
  </si>
  <si>
    <t>AP 0416 Усилитель кузова задний, ВАЗ КАЛИНА ГРАНТА ДАТСУН</t>
  </si>
  <si>
    <t>AP 0430 Рычаги передней подвески регулируемые ВАЗ САМАРА ЛАДА110 ПРИОРА КАЛИНА ГРАНТА ДАТСУН</t>
  </si>
  <si>
    <t>AP 0440 Поперечина DRIVE, ВАЗ ЛАДА110 ПРИОРА</t>
  </si>
  <si>
    <t>AP 0670</t>
  </si>
  <si>
    <t>AP 0670 Дополнительная опора для поперечины 0673, ВАЗ ВЕСТА</t>
  </si>
  <si>
    <t>AP 0730</t>
  </si>
  <si>
    <t>AP 0760-Б</t>
  </si>
  <si>
    <t>AP 0760-Б Усиленный кронштейн запасного колеса, ЛАРГУС (белый цвет)</t>
  </si>
  <si>
    <t>AP 0426</t>
  </si>
  <si>
    <t>AP 0291</t>
  </si>
  <si>
    <t>AP 0427</t>
  </si>
  <si>
    <t>AP-С 2540</t>
  </si>
  <si>
    <t>AP-С 2575</t>
  </si>
  <si>
    <t>AP-C 2455</t>
  </si>
  <si>
    <t>AP-C 2454</t>
  </si>
  <si>
    <t>AP 0693</t>
  </si>
  <si>
    <t>ap 0072</t>
  </si>
  <si>
    <t>AP-C 2540</t>
  </si>
  <si>
    <t>AP-C 2575</t>
  </si>
  <si>
    <t>Бесшумный кронштейн запасного колеса "AutoProduct" (белый) для Лада Ларгус</t>
  </si>
  <si>
    <t>17,000</t>
  </si>
  <si>
    <t>18,000</t>
  </si>
  <si>
    <t>AP 0733</t>
  </si>
  <si>
    <t>AP 0733 Рем. комплект для ЗНП (метизы), ВАЗ ВЕСТА</t>
  </si>
  <si>
    <t>AP 0734</t>
  </si>
  <si>
    <t>AP 0734 Рем. комплект для ЗНП (сайлентблоки), ВАЗ ВЕСТА</t>
  </si>
  <si>
    <t>ap 0670</t>
  </si>
  <si>
    <t>ap 0730</t>
  </si>
  <si>
    <t>ap 0386</t>
  </si>
  <si>
    <t>Мин</t>
  </si>
  <si>
    <t>Макс</t>
  </si>
  <si>
    <t>Дополнительная опора поперечины "AUTOPRODUCT" для Лада Веста, Веста NG</t>
  </si>
  <si>
    <t>Подвеска задняя независимая "AUTOPRODUCT" для Лада Веста, Веста NG</t>
  </si>
  <si>
    <t>Поперечина передней подвески "AUTOPRODUCT" SPORT на полиуретановых сайлентблоках для Лада (Калина, Калина 2, Гранта), Датсун (mi-DO, on-DO)</t>
  </si>
  <si>
    <t>24,000</t>
  </si>
  <si>
    <t>AP 0101</t>
  </si>
  <si>
    <t>AP 0101 Рем. комплект для ЗНП (сайлентблоки), ВАЗ САМАРА ЛАДА110 ПРИОРА КАЛИНА ГРАНТА ДАТСУН</t>
  </si>
  <si>
    <t>AP 0115 Опоры рулевого механизма, ВАЗ САМАРА</t>
  </si>
  <si>
    <t>AP 0245 Опоры рулевого механизма, ВАЗ ЛАДА110 ПРИОРА</t>
  </si>
  <si>
    <t>AP 0323</t>
  </si>
  <si>
    <t>AP 0323 Рама подрамника с жесткими рычагами (КАЛИНА, ГРАНТА до 2013 г.)</t>
  </si>
  <si>
    <t>AP 0424 Гиб переход через заднюю балку Ф51, ВАЗ ПРИОРА</t>
  </si>
  <si>
    <t>AP 0453 Стабилизатор поперечной устойчивости 22 мм, ВАЗ ЛАДА110 ПРИОРА</t>
  </si>
  <si>
    <t>AP 0458 Стабилизатор поперечной устойчивости 22 мм, в сборе, ВАЗ ЛАДА110 ПРИОРА</t>
  </si>
  <si>
    <t>AP 0458-У Стабилизатор поперечной устойчивости 22 мм,в сборе с усиленными стойкамиВАЗ ЛАДА110 ПРИОРА</t>
  </si>
  <si>
    <t>AP 0553</t>
  </si>
  <si>
    <t>AP 0553 Рама подрамника с жесткими рычагами (КАЛИНА, ГРАНТА после 2013 г.)</t>
  </si>
  <si>
    <t>AP 0575 Стабилизатор поперечной устойчивости 24 мм, ВАЗ КАЛИНА ГРАНТА ДАТСУН</t>
  </si>
  <si>
    <t>AP 0578 Стабилизатор поперечной устойчивости 22 мм в сборе, ВАЗ КАЛИНА ГРАНТА ДАТСУН</t>
  </si>
  <si>
    <t>AP 0578-У Стабилизатор поперечной устойчивости 22 мм в сборе, с усиленными стойками ВАЗКАЛИНА ГРАНТА</t>
  </si>
  <si>
    <t>AP 0581 Стабилизатор поперечной устойчивости 24 мм в сборе, ВАЗ КАЛИНА ГРАНТА ДАТСУН</t>
  </si>
  <si>
    <t>AP 0581-У Стабилизатор поперечной устойчивости 24 мм в сборе, с усиленными стойками ВАЗКАЛИНА ГРАНТА</t>
  </si>
  <si>
    <t>AP 1000 Прокладка дроссельной заслонки двигатель Renault 1.6 K4M комп.</t>
  </si>
  <si>
    <t>AP 0809</t>
  </si>
  <si>
    <t>AP 0810</t>
  </si>
  <si>
    <t>Факт</t>
  </si>
  <si>
    <t>%</t>
  </si>
  <si>
    <t>Рек</t>
  </si>
  <si>
    <t>MR</t>
  </si>
  <si>
    <t>Розн</t>
  </si>
  <si>
    <t>https://motorring.ru/product/6053-sharnir-reaktivnoy-tyagi-lada-priora</t>
  </si>
  <si>
    <t>https://motorring.ru/product/9620-sharnir-reaktivnoy-tyagi-avtoprodukt-lada-kalina-granta</t>
  </si>
  <si>
    <t>https://motorring.ru/product/18810-prostavki-ugla-razvala-gradus-lada-vesta-iks-rey</t>
  </si>
  <si>
    <t>https://motorring.ru/product/29898-uplotnitelynye-kolyca-drosselynoy-zaslonki-avtoprodukt</t>
  </si>
  <si>
    <t>https://motorring.ru/product/29899-kronshteyn-regulyatora-tormoznogo-davleniya-avtoprodukt</t>
  </si>
  <si>
    <t>https://motorring.ru/product/6063-usilitely-schitka-peredka-avtoprodukt-vaz-2110-2112-priora</t>
  </si>
  <si>
    <t>https://motorring.ru/product/29888-opory-reyki-rulevogo-mehanizma-avtoprodukt-vaz-2108</t>
  </si>
  <si>
    <t>https://motorring.ru/product/29949-prostavki-korrektirovki-shoghdeniya-avtoprodukt-drive-largus</t>
  </si>
  <si>
    <t>https://motorring.ru/product/29919-remkomplekt-podramnika-avtoprodukt-parts-dlya-vaz</t>
  </si>
  <si>
    <t>https://motorring.ru/product/15549-zaschita-dvigatelya-autoproduct-stalynaya-ocinkovannaya</t>
  </si>
  <si>
    <t>https://motorring.ru/product/29897-stalynoy-kronshteyn-generatora-avtoprodukt-pod-gur-2110</t>
  </si>
  <si>
    <t>https://motorring.ru/product/6058-usilitely-zadniy-avtoprodukt-lada-granta-kalina-kalina</t>
  </si>
  <si>
    <t>https://motorring.ru/product/29874-pryamotochnyy-glushitely-avtoprodukt-f51-dlya-lada-kalina</t>
  </si>
  <si>
    <t>https://motorring.ru/product/29951-prostavki-zadnego-rychaga-autoproduct-drive-70mm</t>
  </si>
  <si>
    <t>https://motorring.ru/product/15545-podramnik-avtoprodukt-drive-bez-zaschity-lada-granta-kalina</t>
  </si>
  <si>
    <t>https://motorring.ru/product/28607-rychagi-podramnika-ghestkie-autoproduct-vaz-2108-21099</t>
  </si>
  <si>
    <t>https://motorring.ru/product/15541-podramnik-avtoprodukt-drive-poliuretan-bez-zaschity-granta</t>
  </si>
  <si>
    <t>https://motorring.ru/product/15533-podramnik-autoproduct-sport-bez-zaschity-lada-granta-kalina</t>
  </si>
  <si>
    <t>https://motorring.ru/product/29903-samoblokiruyuschiysya-differencial-rzm-avtoprodukt-2101</t>
  </si>
  <si>
    <t>https://motorring.ru/product/29904-samoblokiruyuschiysya-differencial-avtoprodukt-2108</t>
  </si>
  <si>
    <t>https://motorring.ru/product/29867-zadnyaya-nezavisimaya-podveska-avtoprodukt-vaz-2108</t>
  </si>
  <si>
    <t>https://motorring.ru/product/1760-rasporka-perednyaya-avtoprodukt-lada-granta-kalina-kalina</t>
  </si>
  <si>
    <t>https://motorring.ru/product/1752-rasporka-nighnyaya-avtoprodukt-vaz-2108-21099-2110-2112</t>
  </si>
  <si>
    <t>https://motorring.ru/product/5849-opora-dvigatelya-avtoprodukt-vaz-2110-2111-2112-lada-priora</t>
  </si>
  <si>
    <t>https://motorring.ru/product/22837-poperechina-autoproduct-drive-dopolnitelynoy-oporoy-vaz</t>
  </si>
  <si>
    <t>https://motorring.ru/product/29890-komplekt-rulevyh-tyag-avtoprodukt-sbore-70mm-2110</t>
  </si>
  <si>
    <t>https://motorring.ru/product/15531-podramnik-avtoprodukt-drive-bez-zaschity-rezina-2108</t>
  </si>
  <si>
    <t>https://motorring.ru/product/15467-usiliteli-opor-stoek-avtoprodukt-kasterom-gradusa-kalina</t>
  </si>
  <si>
    <t>https://motorring.ru/product/1767-opora-dvigatelya-perednyaya-sport-avtoprodukt-vaz</t>
  </si>
  <si>
    <t>https://motorring.ru/product/1766-komplekt-opor-dvigatelya-sport-avtoprodukt-vaz-2108-21099</t>
  </si>
  <si>
    <t>https://motorring.ru/product/29878-pryamotochnyy-glushitely-avtoprodukt-f51-2108</t>
  </si>
  <si>
    <t>https://motorring.ru/product/29881-pryamotochnyy-glushitely-avtoprodukt-f51-2115</t>
  </si>
  <si>
    <t>https://motorring.ru/product/29992-kronshteyn-zapasnogo-kolesa-autoproduct-comfort-largus</t>
  </si>
  <si>
    <t>https://motorring.ru/product/29924-rychagi-podramnika-ghestkie-70mm-autoproduct-vaz-2108-2115</t>
  </si>
  <si>
    <t>https://motorring.ru/product/15543-podramnik-avtoprodukt-ghestkimi-rychagami-bez-zaschity-lada</t>
  </si>
  <si>
    <t>https://motorring.ru/product/15529-podramnik-autoproduct-ghestkimi-rychagami-bez-zaschity-2108</t>
  </si>
  <si>
    <t>https://motorring.ru/product/15540-podramnik-avtoprodukt-ghestkimi-rychagami-bez-zaschity-granta</t>
  </si>
  <si>
    <t>https://motorring.ru/product/15599-rychag-zadniy-autoproduct-sbore-rezinovyy-saylentblok-lada</t>
  </si>
  <si>
    <t>https://motorring.ru/product/15600-rychag-zadniy-autoproduct-sbore-lada-granta-kalina-kalina</t>
  </si>
  <si>
    <t>https://motorring.ru/product/15591-rychag-zadniy-sbore-autoproduct-rezinovyy-saylentblok-lada</t>
  </si>
  <si>
    <t>https://motorring.ru/product/15587-rychag-zadniy-sbore-autoproduct-vaz-2108-21099-2113-2115</t>
  </si>
  <si>
    <t>https://motorring.ru/product/30416-zadnyaya-nezavisimaya-podveska-avtoprodukt-kalna</t>
  </si>
  <si>
    <t>https://motorring.ru/product/15535-podramnik-avtoprodukt-ghestkimi-rychagami-bez-zaschity-2110</t>
  </si>
  <si>
    <t>https://motorring.ru/product/6088-rychagi-reguliruemye-perednie-autoproduct-pod-uvelichennuyu</t>
  </si>
  <si>
    <t>https://motorring.ru/product/15576-rychagi-reguliruemye-perednie-lada-granta-kalina-priora</t>
  </si>
  <si>
    <t>https://motorring.ru/product/31389-rychagi-reguliruemye-pered-autoproduct-sport-pu-2108</t>
  </si>
  <si>
    <t>https://motorring.ru/product/15537-podramnik-autoproduct-drive-rezinovymi-saylentblokami-bez</t>
  </si>
  <si>
    <t>https://motorring.ru/product/37463-stabilizator-poperechnoy-ustoychivosti-autoproduct-sbore-24-mm</t>
  </si>
  <si>
    <t>https://motorring.ru/product/37440-remkomplekt-usiliteley-zadnih-stoek-dlya-lada-kalina-kalina</t>
  </si>
  <si>
    <t>https://motorring.ru/product/36923-stabilizator-poperechnoy-ustoychivosti-avtoprodukt-22mm-v-sbore</t>
  </si>
  <si>
    <t>https://motorring.ru/product/37446-stabilizator-poperechnoy-ustoychivosti-autoproduct-sbore</t>
  </si>
  <si>
    <t>https://motorring.ru/product/37515-opora-dvigatelya-pravaya-usilennaya-podushkoy-dlya-lada-vesta-spo</t>
  </si>
  <si>
    <t>https://motorring.ru/product/1763-rasporka-perednyaya-avtoprodukt-vaz-2114</t>
  </si>
  <si>
    <t>https://motorring.ru/product/29884-pryamotochnyy-glushitely-avtoprodukt-f51-priora-sedan</t>
  </si>
  <si>
    <t>https://motorring.ru/product/29883-pryamotochnyy-glushitely-avtoprodukt-f51-2112</t>
  </si>
  <si>
    <t>https://motorring.ru/product/29882-pryamotochnyy-glushitely-avtoprodukt-f51-2110</t>
  </si>
  <si>
    <t>https://motorring.ru/product/2394-poperechina-avtoprodukt-drive-vaz-2110-2112-priora</t>
  </si>
  <si>
    <t>https://motorring.ru/product/37443-poperechina-autoproduct-drive-poliuretanovymi-sharnirami</t>
  </si>
  <si>
    <t>https://motorring.ru/product/22838-poperechina-autoproduct-sport-vaz-2108-21099-2113-2115</t>
  </si>
  <si>
    <t>https://motorring.ru/product/6077-poperechina-autoproduct-drive-rezinovymi-saylentblokami</t>
  </si>
  <si>
    <t>https://motorring.ru/product/4312-poperechina-autoproduct-safe-rezinovymi-saylentblokami-vaz</t>
  </si>
  <si>
    <t>https://motorring.ru/product/15627-rasporka-perednyaya-autoproduct-drive-rastyaghkoy-silovogo</t>
  </si>
  <si>
    <t>https://motorring.ru/product/1751-rasporka-autoproduct-drive-perednyaya-reguliruemaya</t>
  </si>
  <si>
    <t>https://motorring.ru/product/1762-rasporka-perednyaya-rastyaghkoy-dop-oporoy-dvigatelya-vaz</t>
  </si>
  <si>
    <t>https://motorring.ru/product/29964-nakladki-pedali-avtoprodukt-sport-mt-lada-vesta-2016</t>
  </si>
  <si>
    <t>https://motorring.ru/product/29966-nakladki-pedali-avtoprodukt-sport-mt-lada-xray-logan</t>
  </si>
  <si>
    <t>https://motorring.ru/product/6052-kronshteyn-levoy-opory-kpp-autoproduct-drive-lada-granta</t>
  </si>
  <si>
    <t>https://motorring.ru/product/29932-skrytaya-rasporka-perednih-stoek-avtoprodukt-drive-vesta</t>
  </si>
  <si>
    <t>https://motorring.ru/product/1761-rasporka-zadnyaya-avtoprodukt-lada-granta-kalina-kalina</t>
  </si>
  <si>
    <t>https://motorring.ru/product/6060-rastyaghka-perednih-stoek-autoproduct-drive-reguliruemaya</t>
  </si>
  <si>
    <t>https://motorring.ru/product/29965-nakladki-pedali-avtoprodukt-sport-amt-lada-vesta-2016</t>
  </si>
  <si>
    <t>https://motorring.ru/product/6054-saylentblok-rychaga-vertikalynyy-avtoprodukt-zapchasty-lada</t>
  </si>
  <si>
    <t>https://motorring.ru/product/6067-rastyaghka-rychagov-nighnyaya-autoproduct-drive-plus-pod</t>
  </si>
  <si>
    <t>https://motorring.ru/product/29956-prostavki-ugla-razvala-autoproduct-3gradusa-dlya-vaz</t>
  </si>
  <si>
    <t>https://motorring.ru/product/15526-opora-dvigatelya-levaya-sport-avtoprodukt-vaz-2108-21099</t>
  </si>
  <si>
    <t>https://motorring.ru/product/15092-prostavki-ugla-razvala-autoproduct-2-5-gradusa-vaz-2108</t>
  </si>
  <si>
    <t>https://motorring.ru/product/15615-rasporka-nighnyaya-autoproduct-drive-lada-4h4-shevrole-niva</t>
  </si>
  <si>
    <t>https://motorring.ru/product/15470-usiliteli-opor-stoek-avtoprodukt-kasterom-gradusa-2108</t>
  </si>
  <si>
    <t>https://motorring.ru/product/6048-opora-razdatochnoy-korobki-avtoprodukt-lada-niva-4h4</t>
  </si>
  <si>
    <t>https://motorring.ru/product/15090-prostavki-ugla-razvala-autoproduct-1-5-gradusa</t>
  </si>
  <si>
    <t>https://motorring.ru/product/15469-usiliteli-opor-stoek-avtoprodukt-vaz-2108-21099-2113-2115</t>
  </si>
  <si>
    <t>https://motorring.ru/product/29954-prostavki-ugla-razvala-autoproduct-1gradus-datsun</t>
  </si>
  <si>
    <t>https://motorring.ru/product/29948-prostavki-ugla-razvala-autoproduct-1gradus</t>
  </si>
  <si>
    <t>https://motorring.ru/product/6064-usilitely-schitka-peredka-avtoprodukt-vaz-2110-2111-2112</t>
  </si>
  <si>
    <t>https://motorring.ru/product/23897-koplekt-prostavok-autoproduct-drive-pod-sharovuyu-oportu</t>
  </si>
  <si>
    <t>https://motorring.ru/product/29889-opory-reyki-rulevogo-mehanizma-avtoprodukt-vaz-2110</t>
  </si>
  <si>
    <t>https://motorring.ru/product/15472-usiliteli-opor-stoek-avtoprodukt-lada-priora-vaz-2110-12</t>
  </si>
  <si>
    <t>https://motorring.ru/product/5414-usiliteli-opor-stoek-avtoprodukt-lada-kalina-kalina-granta</t>
  </si>
  <si>
    <t>https://motorring.ru/product/1759-rasporka-nighnyaya-autoproduct-safe-lada-granta-kalina</t>
  </si>
  <si>
    <t>https://motorring.ru/product/6036-komplekt-tyag-avtoprodukt-kontrgaykami-rulevoy-trapecii-vaz</t>
  </si>
  <si>
    <t>https://motorring.ru/product/29872-gib-avtoprodukt-perehod-cherez-zadnyuyu-balku-2108</t>
  </si>
  <si>
    <t>https://motorring.ru/product/29873-gib-avtoprodukt-perehod-cherez-zadnyuyu-balku-2110</t>
  </si>
  <si>
    <t>https://motorring.ru/product/15091-prostavki-ugla-razvala-autoproduct-2gradusa-dlya-vaz</t>
  </si>
  <si>
    <t>https://motorring.ru/product/29870-gib-avtoprodukt-perehod-cherez-zadnyuyu-balku-1118-f51</t>
  </si>
  <si>
    <t>https://motorring.ru/product/15471-usiliteli-opor-stoek-avtoprodukt-kasterom-gradusa-2110</t>
  </si>
  <si>
    <t>https://motorring.ru/product/29891-tyagi-avtoprodukt-kontrgaykami-rulevoy-trapecii-vaz-2101</t>
  </si>
  <si>
    <t>https://motorring.ru/product/1757-rasporka-nighnyaya-avtoprodukt-lada-granta-kalina-kalina</t>
  </si>
  <si>
    <t>https://motorring.ru/product/15527-opora-dvigatelya-perednyaya-avtoprodukt-vaz-2108-21099</t>
  </si>
  <si>
    <t>https://motorring.ru/product/15539-dopolnitelynaya-opora-dvigatelya-avtoprodukt-vaz-2110-2112</t>
  </si>
  <si>
    <t>https://motorring.ru/product/29950-prostavki-ugla-razvala-autoproduct-3-5-gradusa-vaz-2108</t>
  </si>
  <si>
    <t>https://motorring.ru/product/29892-remkomplekt-reguliruemyh-rychagov-avtoprodukt-dlya-vaz</t>
  </si>
  <si>
    <t>https://motorring.ru/product/6087-komplekt-regulirovochnyh-shayb-podramnika-autoproduct-vaz</t>
  </si>
  <si>
    <t>https://motorring.ru/product/6084-rastyaghka-zadnego-rychaga-avtoprodukt-poliuretan-lada</t>
  </si>
  <si>
    <t>https://motorring.ru/product/15613-rasporka-perednyaya-avtoprodukt-vaz-2110-2112-priora</t>
  </si>
  <si>
    <t>https://motorring.ru/product/15525-opora-dvigatelya-zadnyaya-sport-avtoprodukt-vaz-2108-21099</t>
  </si>
  <si>
    <t>https://motorring.ru/product/29967-nakladki-pedali-avtoprodukt-sport-1-6-amt-lada-vesta-2016</t>
  </si>
  <si>
    <t>https://motorring.ru/product/18816-rasporka-perednyaya-avtoprodukt-lada-vesta</t>
  </si>
  <si>
    <t>https://motorring.ru/product/29968-nakladki-pedali-avtoprodukt-sport-amt-lada-xray</t>
  </si>
  <si>
    <t>https://motorring.ru/product/15632-rasporka-zadnyaya-autoproduct-vaz-2108-21099-2113-2115</t>
  </si>
  <si>
    <t>https://motorring.ru/product/15629-rasporka-perednyaya-autoproduct-drive-reguliruemaya-vaz</t>
  </si>
  <si>
    <t>https://motorring.ru/product/29931-kronshteyn-levoy-opory-kulisnoy-kpp-avtoprodukt-drive-granta</t>
  </si>
  <si>
    <t>https://motorring.ru/product/1755-rasporka-perednyaya-avtoprodukt-lada-priora</t>
  </si>
  <si>
    <t>https://motorring.ru/product/6085-rastyaghka-zadnego-rychaga-avtoprodukt-vaz-datsun</t>
  </si>
  <si>
    <t>https://motorring.ru/product/15105-kronshteyn-zadney-opory-silovogo-agregata-pod-mkpp-kalina</t>
  </si>
  <si>
    <t>https://motorring.ru/product/6086-kronshteyn-zadney-opory-0488-ar90-1001030-dlya-lada-granta</t>
  </si>
  <si>
    <t>https://motorring.ru/product/15538-stabilizator-poperechnoy-ustoychivosti-autoproduct-granta</t>
  </si>
  <si>
    <t>https://motorring.ru/product/6068-stabilizator-poperechnoy-ustoychivosti-avtoprodukt-vaz</t>
  </si>
  <si>
    <t>https://motorring.ru/product/31388-nakladki-pedali-avtoprodukt-sport-mt-lada-vesta-do-2016</t>
  </si>
  <si>
    <t>https://motorring.ru/product/29880-pryamotochnyy-glushitely-avtoprodukt-f51-2113</t>
  </si>
  <si>
    <t>https://motorring.ru/product/29886-pryamotochnyy-glushitely-avtoprodukt-f51-2111</t>
  </si>
  <si>
    <t>https://motorring.ru/product/29879-pryamotochnyy-glushitely-avtoprodukt-f51-21099</t>
  </si>
  <si>
    <t>https://motorring.ru/product/6055-usilitely-zadniy-avtoprodukt-vaz-2108-2109-2113-2114</t>
  </si>
  <si>
    <t>https://motorring.ru/product/32384-poperechina-autoproduct-peredney-oporoy-silovogo-agregata</t>
  </si>
  <si>
    <t>https://motorring.ru/product/29887-tyagi-rulevoy-trapecii-avtoprodukt-kontrgaykami-4x4</t>
  </si>
  <si>
    <t>https://motorring.ru/product/4311-poperechina-autoproduct-drive-poliuretanovymi</t>
  </si>
  <si>
    <t>https://motorring.ru/product/22836-poperechina-autoproduct-sport-lada-granta-kalina-kalina</t>
  </si>
  <si>
    <t>https://motorring.ru/product/3840-poperechina-autoproduct-drive-rezinovymi-saylentblokami-vaz</t>
  </si>
  <si>
    <t>https://motorring.ru/product/6079-poperechina-autoproduct-safe-rezinovymi-saylentblokami-dlya</t>
  </si>
  <si>
    <t>https://motorring.ru/product/29900-komplekt-prostavok-znp-pod-zadnie-diskovye-tormoza</t>
  </si>
  <si>
    <t>https://motorring.ru/product/6061-rasporka-autoproduct-drive-perednyaya-rastyaghkoy-silovogo</t>
  </si>
  <si>
    <t>https://motorring.ru/product/19291-opora-generatora-avtoprodukt-regulirovkoy-lada-granta</t>
  </si>
  <si>
    <t>https://motorring.ru/product/29876-pryamotochnyy-glushitely-avtoprodukt-f51-kalina-sedan</t>
  </si>
  <si>
    <t>https://motorring.ru/product/29885-pryamotochnyy-glushitely-avtoprodukt-f51-priora-2112</t>
  </si>
  <si>
    <t>https://motorring.ru/product/29875-pryamotochnyy-glushitely-avtoprodukt-f51-kalina-universal</t>
  </si>
  <si>
    <t>https://motorring.ru/product/6057-usilitely-zadniy-avtoprodukt-vaz-2111-2112</t>
  </si>
  <si>
    <t>https://motorring.ru/product/29905-valy-privoda-perednih-koles-avtoprodukt-sport-70mm</t>
  </si>
  <si>
    <t>https://motorring.ru/product/15534-podramnik-autoproduct-sport-bez-zaschity-vaz-2108-21099</t>
  </si>
  <si>
    <t>https://motorring.ru/product/15542-podramnik-avtoprodukt-drive-bez-zaschity-lada-granta-kalina</t>
  </si>
  <si>
    <t>https://motorring.ru/product/29902-neobslughivaemyy-differencial-autoproduct-4x4</t>
  </si>
  <si>
    <t>https://motorring.ru/product/37453-stabilizator-poperechnoy-ustoychivosti-autoproduct-sbore-24-mm</t>
  </si>
  <si>
    <t>https://motorring.ru/product/15544-podramnik-avtoprodukt-drive-poliuretan-bez-zaschity-lada</t>
  </si>
  <si>
    <t>Column1</t>
  </si>
  <si>
    <t>Column2</t>
  </si>
  <si>
    <t>//*[@id="e-curr-price"]/text()</t>
  </si>
  <si>
    <t>//*[@class="p_club_price pb5"]/text()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</si>
  <si>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</si>
  <si>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</si>
  <si>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</si>
  <si>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</si>
  <si>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</si>
  <si>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</si>
  <si>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</si>
  <si>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</si>
  <si>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</si>
  <si>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</si>
  <si>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</si>
  <si>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</si>
  <si>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</si>
  <si>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Ссылка</t>
  </si>
  <si>
    <t>Цена</t>
  </si>
  <si>
    <t>2990</t>
  </si>
  <si>
    <t>Из ГУГЛа</t>
  </si>
  <si>
    <t>не нашел</t>
  </si>
  <si>
    <t>https://motorring.ru/product/15630-rasporka-perednyaya-autoproduct-drive-2108-21099-2113-2115</t>
  </si>
  <si>
    <t>https://motorring.ru/product/15553-zaschita-dvigatelya-stalynaya-ocinkovannaya-avtoprodukt</t>
  </si>
  <si>
    <t>https://motorring.ru/product/15528-komplekt-opor-dvigatelya-sport-pro-avtoprodukt-2108</t>
  </si>
  <si>
    <t>https://motorring.ru/product/29877-pryamotochnyy-glushitely-avtoprodukt-f51-granta</t>
  </si>
  <si>
    <t>https://motorring.ru/product/38364-usilennyy-kronshteyn-zapasnogo-kolesa-autoproduct-largus</t>
  </si>
  <si>
    <t>https://motorring.ru/product/37514-zadnyaya-nezavisimaya-podveska-dlya-lada-vesta-vesta-sw</t>
  </si>
  <si>
    <t>https://motorring.ru/product/29943-poperechina-autoproduct-drive-poliuretan-granta-kalina</t>
  </si>
  <si>
    <t>#VALUE!</t>
  </si>
  <si>
    <t>Наименование элемента</t>
  </si>
  <si>
    <t>Y</t>
  </si>
  <si>
    <t>0</t>
  </si>
  <si>
    <t>Защита двигателя "AUTOPRODUCT" для подрамника (стальная, оцинкованная) для Лада (Калина, Калина 2, Гранта, Гранта FL), Датсун (mi-DO, on-DO)</t>
  </si>
  <si>
    <t>AP 0596</t>
  </si>
  <si>
    <t>Защита двигателя алюминиевая для подрамника "AUTOPRODUCT" для ВАЗ 2110-2112, Лада Приора, Приора 2</t>
  </si>
  <si>
    <t>Защита двигателя алюминиевая для поперечины "AUTOPRODUCT" для ВАЗ 2110-2112, Лада Приора, Приора 2</t>
  </si>
  <si>
    <t>Комплект деталей "AUTOPRODUCT" на ЗНП под дисковые тормоза для Лада Веста</t>
  </si>
  <si>
    <t>Подрамник с жёсткими рычагами, увеличенный клиренс "AUTOPRODUCT" для Лада Калина 2, Гранта FL (после 2013 года выпуска)</t>
  </si>
  <si>
    <t>AP 0591</t>
  </si>
  <si>
    <t>Растяжка передних стоек "AUTOPRODUCT" для Лада Калина NFR (СНТО С ПРОИЗВОДСТВА)</t>
  </si>
  <si>
    <t>N</t>
  </si>
  <si>
    <t>Усилитель кузова "AUTOPRODUCT" задний для ВАЗ 2108-21099, 2113-2115</t>
  </si>
  <si>
    <t>Усилитель кузова задний "AUTOPRODUCT" для ВАЗ (2111, 2112), Лада Приора, Приора 2</t>
  </si>
  <si>
    <t>Усилитель щитка передка "AUTOPRODUCT" для ВАЗ 2110-2112, Лада Приора, Приора 2 (с 16-ти клапанным двигателем)</t>
  </si>
  <si>
    <t>Усилитель щитка передка "AUTOPRODUCT" для ВАЗ 2110-2112, Лада Приора, Приора 2 (с 8-ми клапанным двигателем)</t>
  </si>
  <si>
    <t>СЦЕПКА</t>
  </si>
  <si>
    <t>Разн</t>
  </si>
  <si>
    <t>11183-1601130</t>
  </si>
  <si>
    <t>11183-1601130 Диск сцепления ведомый</t>
  </si>
  <si>
    <t>28,000</t>
  </si>
  <si>
    <t>AP 0181</t>
  </si>
  <si>
    <t>AP 0181 Подрамник DRIVE, ПУ ВАЗ ЛАДА110 ПРИОРА</t>
  </si>
  <si>
    <t>42,000</t>
  </si>
  <si>
    <t>23,000</t>
  </si>
  <si>
    <t>AP 0545</t>
  </si>
  <si>
    <t>AP 0545 / АР92-1200010 Глушитель из нержавейки (КАЛИНА хетчбэк, КАЛИНА2 хетчбэк)</t>
  </si>
  <si>
    <t>AP 0591 Подрамник с жесткими рычагами, увеличенный клиренс, КАЛИНА 2 ГРАНТА (FL) после 2013 г.</t>
  </si>
  <si>
    <t>AP 0596 Защита двигателя стальная оцинкованная для подрамника AP 0591, ВАЗ КАЛИНА ГРАНТА ДАТСУН</t>
  </si>
  <si>
    <t>AP 0809 Комплект нерегулируемых реактивных штанг, LIGHT</t>
  </si>
  <si>
    <t>AP 0810 Комплект нерегулируемых реактивных штанг, DRIVE</t>
  </si>
  <si>
    <t>35,000</t>
  </si>
  <si>
    <t>https://motorring.ru/product/37467-gayka-regulirovochnaya-zadney-nezavisimoy-podveski</t>
  </si>
  <si>
    <t>Column3</t>
  </si>
  <si>
    <t>Column4</t>
  </si>
  <si>
    <t>#VALUE!_1</t>
  </si>
  <si>
    <t>Column20</t>
  </si>
  <si>
    <t>https://docs.google.com/spreadsheets/d/1f8_y-lcqVEuKpceVw_F97NEKzue5YmQtx8GIXUS_2B8/export?format=xlsx</t>
  </si>
  <si>
    <t>469</t>
  </si>
  <si>
    <t>749</t>
  </si>
  <si>
    <t>729</t>
  </si>
  <si>
    <t/>
  </si>
  <si>
    <t>949</t>
  </si>
  <si>
    <t>990</t>
  </si>
  <si>
    <t>1090</t>
  </si>
  <si>
    <t>1290</t>
  </si>
  <si>
    <t>1190</t>
  </si>
  <si>
    <t>1490</t>
  </si>
  <si>
    <t>1590</t>
  </si>
  <si>
    <t>1390</t>
  </si>
  <si>
    <t>1690</t>
  </si>
  <si>
    <t>1890</t>
  </si>
  <si>
    <t>1790</t>
  </si>
  <si>
    <t>1990</t>
  </si>
  <si>
    <t>2090</t>
  </si>
  <si>
    <t>2690</t>
  </si>
  <si>
    <t>2190</t>
  </si>
  <si>
    <t>2290</t>
  </si>
  <si>
    <t>2390</t>
  </si>
  <si>
    <t>2590</t>
  </si>
  <si>
    <t>2790</t>
  </si>
  <si>
    <t>2890</t>
  </si>
  <si>
    <t>3890</t>
  </si>
  <si>
    <t>3390</t>
  </si>
  <si>
    <t>4390</t>
  </si>
  <si>
    <t>4290</t>
  </si>
  <si>
    <t>4890</t>
  </si>
  <si>
    <t>4790</t>
  </si>
  <si>
    <t>4990</t>
  </si>
  <si>
    <t>5390</t>
  </si>
  <si>
    <t>5190</t>
  </si>
  <si>
    <t>5490</t>
  </si>
  <si>
    <t>5290</t>
  </si>
  <si>
    <t>5690</t>
  </si>
  <si>
    <t>7490</t>
  </si>
  <si>
    <t>6190</t>
  </si>
  <si>
    <t>9390</t>
  </si>
  <si>
    <t>7390</t>
  </si>
  <si>
    <t>7690</t>
  </si>
  <si>
    <t>7590</t>
  </si>
  <si>
    <t>9090</t>
  </si>
  <si>
    <t>8490</t>
  </si>
  <si>
    <t>10390</t>
  </si>
  <si>
    <t>13690</t>
  </si>
  <si>
    <t>11590</t>
  </si>
  <si>
    <t>12690</t>
  </si>
  <si>
    <t>24990</t>
  </si>
  <si>
    <t>18590</t>
  </si>
  <si>
    <t>19190</t>
  </si>
  <si>
    <t>36590</t>
  </si>
  <si>
    <t>3090</t>
  </si>
  <si>
    <t>329</t>
  </si>
  <si>
    <t>Код</t>
  </si>
  <si>
    <t>Y / N</t>
  </si>
  <si>
    <t>Каталожный номер</t>
  </si>
  <si>
    <t>Артикул поставщика</t>
  </si>
  <si>
    <t>Поставщик</t>
  </si>
  <si>
    <t>Ссылка на конкурентов</t>
  </si>
  <si>
    <t>Кол-во</t>
  </si>
  <si>
    <t>Склад</t>
  </si>
  <si>
    <t>Под заказ</t>
  </si>
  <si>
    <t>АР 0029 / АР08-2303012-10</t>
  </si>
  <si>
    <t>Гиб (переход через заднюю балку) "AutoProduct" d51 мм для ВАЗ 2110-2112</t>
  </si>
  <si>
    <t>Гиб (переход через заднюю балку) "AUTOPRODUCT" d51 мм для Лада Калина седан</t>
  </si>
  <si>
    <t>Гиб (переход через заднюю балку) "AutoProduct" d51 мм для Лада Приора, Приора 2</t>
  </si>
  <si>
    <t>АР 0027 / АР08-2303012</t>
  </si>
  <si>
    <t>АР 0028 / АР08-2303012-05</t>
  </si>
  <si>
    <t>АР 0004 / АР01-2303012-05</t>
  </si>
  <si>
    <t>АР 0025 / АР08-2215090</t>
  </si>
  <si>
    <t>АР 0155 / АР10-2215090</t>
  </si>
  <si>
    <t>Стабилизатор поперечной устойчивости передний (d22 мм) "AUTOPRODUCT" для ВАЗ 2110-2112, Лада Приора</t>
  </si>
  <si>
    <t>Кат. Номер</t>
  </si>
  <si>
    <t>NPC 00081 / AP</t>
  </si>
  <si>
    <t>1119-2902712 LADA KALINA передняя пружина, 2004 (NPC 00081) (компл.)</t>
  </si>
  <si>
    <t>11,000</t>
  </si>
  <si>
    <t>NPC 00051 / AP</t>
  </si>
  <si>
    <t>2170-2902712 LADA PRIORA, 2004 Пружина передней подвески (NPC 00051) (компл.)</t>
  </si>
  <si>
    <t>9,000</t>
  </si>
  <si>
    <t>NPC 00086 / AP</t>
  </si>
  <si>
    <t>54630-4L000 HYUNDAI ACCENT IV 2010-2017 Пружина передней подвески (NPC 00086) (компл.)</t>
  </si>
  <si>
    <t>NPC 00085 / AP</t>
  </si>
  <si>
    <t>54630-4L100 HYUNDAI ACCENT IV 2010-2017 Пружина передней подвески (NPC 00085) (компл.)</t>
  </si>
  <si>
    <t>NPC 00103 / AP</t>
  </si>
  <si>
    <t>55641 ACCENT IV седан (RB) 2010-2017 Пружина задней подвески (NPC 00103) (компл.)</t>
  </si>
  <si>
    <t>25,000</t>
  </si>
  <si>
    <t>NPC 00058 / AP</t>
  </si>
  <si>
    <t>8450006725 LADA VESTA передняя, седан, 2015 Пружина передней подвески (NPC 00058) (компл.)</t>
  </si>
  <si>
    <t>NPC 00060 / AP</t>
  </si>
  <si>
    <t>8450006758 LADA VESTA задняя, седан, 2015 Пружина задней подвески (NPC 00060) (компл.)</t>
  </si>
  <si>
    <t>NPC 00061 / AP</t>
  </si>
  <si>
    <t>8450031060 LADA VESTA CROSS пружина задняя, седан/универсал, 2015 (NPC 00061) (компл.)</t>
  </si>
  <si>
    <t>19,000</t>
  </si>
  <si>
    <t>109,000</t>
  </si>
  <si>
    <t>AP 0037 Рычаги подрамника жесткие колея +70 комп. ВАЗ САМАРА ЛАДА110 ПРИОРА КАЛИНА ГРАНТА ДАТСУН</t>
  </si>
  <si>
    <t>31,000</t>
  </si>
  <si>
    <t>96,000</t>
  </si>
  <si>
    <t>194,000</t>
  </si>
  <si>
    <t>AP 0305 Усиленный кронштейн задней опоры двигателя с МКПП – Калина (1, 2), Гранта, Датсун</t>
  </si>
  <si>
    <t>AP 0551 Подрамник с жесткими рычагами, КАЛИНА ГРАНТА после 2013 г</t>
  </si>
  <si>
    <t>85,000</t>
  </si>
  <si>
    <t>15,000</t>
  </si>
  <si>
    <t>829</t>
  </si>
  <si>
    <t>890</t>
  </si>
  <si>
    <t>3290</t>
  </si>
  <si>
    <t>4190</t>
  </si>
  <si>
    <t>3990</t>
  </si>
  <si>
    <t>5590</t>
  </si>
  <si>
    <t>5890</t>
  </si>
  <si>
    <t>6990</t>
  </si>
  <si>
    <t>7890</t>
  </si>
  <si>
    <t>8090</t>
  </si>
  <si>
    <t>11190</t>
  </si>
  <si>
    <t>15190</t>
  </si>
  <si>
    <t>15890</t>
  </si>
  <si>
    <t>55690</t>
  </si>
  <si>
    <t>Доп.</t>
  </si>
  <si>
    <t>АР 0484 / АР90-2215070-71</t>
  </si>
  <si>
    <t>АР 0480 / АР21-2215070</t>
  </si>
  <si>
    <t>АР 0010 / АР08-1001002</t>
  </si>
  <si>
    <t>Распорка передняя нижняя АР 0310 / АР18-2801070 на Гранта, Калина, Калина 2 (до 2013 г. в.)</t>
  </si>
  <si>
    <t>Стальной кронштейн "AUTOPRODUCT" левой опоры силового агрегата (двигателя) для Лада Калина, Калина 2, Гранта, Гранта FL (с кулисной МКПП)</t>
  </si>
  <si>
    <t>Уплотнительные кольца дроссельной заслонки "AUTOPRODUCT" для Лада Ларгус (с двигателем K4M), Renault (Duster, Logan, Sandero) (с 16-ти клапанным двигателем)</t>
  </si>
  <si>
    <t>АР 1000 / АР8200068550</t>
  </si>
  <si>
    <t>428,000</t>
  </si>
  <si>
    <t>47,000</t>
  </si>
  <si>
    <t>127,000</t>
  </si>
  <si>
    <t>253,000</t>
  </si>
  <si>
    <t>110,000</t>
  </si>
  <si>
    <t>173,000</t>
  </si>
  <si>
    <t>196,000</t>
  </si>
  <si>
    <t>343,000</t>
  </si>
  <si>
    <t>191,000</t>
  </si>
  <si>
    <t>92,000</t>
  </si>
  <si>
    <t>26,000</t>
  </si>
  <si>
    <t>78,000</t>
  </si>
  <si>
    <t>66,000</t>
  </si>
  <si>
    <t>122,000</t>
  </si>
  <si>
    <t>175,000</t>
  </si>
  <si>
    <t>461,000</t>
  </si>
  <si>
    <t>43,000</t>
  </si>
  <si>
    <t>22,000</t>
  </si>
  <si>
    <t>51,000</t>
  </si>
  <si>
    <t>39,000</t>
  </si>
  <si>
    <t>241,000</t>
  </si>
  <si>
    <t>54,000</t>
  </si>
  <si>
    <t>46,000</t>
  </si>
  <si>
    <t>AP 0331 Подрамник DRIVE, ПУ, КАЛИНА, ГРАНТА до 2013 г.</t>
  </si>
  <si>
    <t>129,000</t>
  </si>
  <si>
    <t>289,000</t>
  </si>
  <si>
    <t>82,000</t>
  </si>
  <si>
    <t>33,000</t>
  </si>
  <si>
    <t>50,000</t>
  </si>
  <si>
    <t>133,000</t>
  </si>
  <si>
    <t>57,000</t>
  </si>
  <si>
    <t>100,000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</si>
</sst>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2"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sz val="11"/>
      <color rgb="FFFF000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8"/>
      <name val="Arial"/>
      <family val="2"/>
      <charset val="204"/>
    </font>
    <font>
      <sz val="8"/>
      <name val="Arial"/>
      <family val="2"/>
      <charset val="204"/>
    </font>
    <font>
      <b/>
      <sz val="15"/>
      <color theme="3"/>
      <name val="Calibri"/>
      <family val="2"/>
      <charset val="204"/>
    </font>
    <font>
      <b/>
      <sz val="13"/>
      <color theme="3"/>
      <name val="Calibri"/>
      <family val="2"/>
      <charset val="204"/>
    </font>
    <font>
      <b/>
      <sz val="11"/>
      <color theme="3"/>
      <name val="Calibri"/>
      <family val="2"/>
      <charset val="204"/>
    </font>
    <font>
      <sz val="10"/>
      <color rgb="FF006100"/>
      <name val="Calibri"/>
      <family val="2"/>
      <charset val="204"/>
    </font>
    <font>
      <sz val="10"/>
      <color rgb="FF9C0006"/>
      <name val="Calibri"/>
      <family val="2"/>
      <charset val="204"/>
    </font>
    <font>
      <sz val="10"/>
      <color rgb="FF9C5700"/>
      <name val="Calibri"/>
      <family val="2"/>
      <charset val="204"/>
    </font>
    <font>
      <sz val="10"/>
      <color rgb="FF3F3F76"/>
      <name val="Calibri"/>
      <family val="2"/>
      <charset val="204"/>
    </font>
    <font>
      <b/>
      <sz val="10"/>
      <color rgb="FF3F3F3F"/>
      <name val="Calibri"/>
      <family val="2"/>
      <charset val="204"/>
    </font>
    <font>
      <b/>
      <sz val="10"/>
      <color rgb="FFFA7D00"/>
      <name val="Calibri"/>
      <family val="2"/>
      <charset val="204"/>
    </font>
    <font>
      <sz val="10"/>
      <color rgb="FFFA7D00"/>
      <name val="Calibri"/>
      <family val="2"/>
      <charset val="204"/>
    </font>
    <font>
      <b/>
      <sz val="10"/>
      <color theme="0"/>
      <name val="Calibri"/>
      <family val="2"/>
      <charset val="204"/>
    </font>
    <font>
      <sz val="10"/>
      <color rgb="FFFF0000"/>
      <name val="Calibri"/>
      <family val="2"/>
      <charset val="204"/>
    </font>
    <font>
      <i/>
      <sz val="10"/>
      <color rgb="FF7F7F7F"/>
      <name val="Calibri"/>
      <family val="2"/>
      <charset val="204"/>
    </font>
    <font>
      <b/>
      <sz val="10"/>
      <color theme="1"/>
      <name val="Calibri"/>
      <family val="2"/>
      <charset val="204"/>
    </font>
    <font>
      <sz val="10"/>
      <color theme="0"/>
      <name val="Calibri"/>
      <family val="2"/>
      <charset val="204"/>
    </font>
    <font>
      <sz val="10"/>
      <color theme="1"/>
      <name val="Arial Unicode MS"/>
    </font>
    <font>
      <sz val="8"/>
      <name val="Arial"/>
      <family val="2"/>
      <charset val="204"/>
    </font>
    <font>
      <b/>
      <sz val="8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1"/>
      <charset val="204"/>
    </font>
    <font>
      <sz val="8"/>
      <name val="Arial"/>
      <family val="2"/>
      <charset val="204"/>
    </font>
    <font>
      <b/>
      <sz val="10"/>
      <color theme="1"/>
      <name val="Calibri"/>
      <family val="2"/>
      <charset val="204"/>
      <scheme val="minor"/>
    </font>
    <font>
      <sz val="11"/>
      <color rgb="FF7030A0"/>
      <name val="Calibri"/>
      <family val="2"/>
      <charset val="204"/>
      <scheme val="minor"/>
    </font>
    <font>
      <sz val="10"/>
      <color rgb="FFC00000"/>
      <name val="Calibri"/>
      <family val="2"/>
      <charset val="204"/>
    </font>
    <font>
      <sz val="10"/>
      <color rgb="FF7030A0"/>
      <name val="Calibri"/>
      <family val="2"/>
      <charset val="204"/>
    </font>
    <font>
      <sz val="10"/>
      <color theme="5" tint="-0.24994659260841701"/>
      <name val="Calibri"/>
      <family val="2"/>
      <charset val="204"/>
    </font>
    <font>
      <sz val="10"/>
      <color rgb="FFFFFF00"/>
      <name val="Calibri"/>
      <family val="2"/>
      <charset val="204"/>
    </font>
    <font>
      <sz val="8"/>
      <name val="Arial"/>
      <family val="2"/>
      <charset val="204"/>
    </font>
    <font>
      <sz val="11"/>
      <name val="Calibri"/>
      <family val="2"/>
      <charset val="204"/>
      <scheme val="minor"/>
    </font>
    <font>
      <sz val="8"/>
      <name val="Arial"/>
      <family val="2"/>
      <charset val="204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CDCDC"/>
        <bgColor auto="1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double">
        <color rgb="FF7030A0"/>
      </right>
      <top/>
      <bottom style="double">
        <color rgb="FF7030A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/>
      <right style="double">
        <color theme="5" tint="-0.24994659260841701"/>
      </right>
      <top/>
      <bottom style="double">
        <color theme="5" tint="-0.24994659260841701"/>
      </bottom>
      <diagonal/>
    </border>
    <border>
      <left/>
      <right style="double">
        <color rgb="FFFFFF00"/>
      </right>
      <top/>
      <bottom style="double">
        <color rgb="FFFFFF00"/>
      </bottom>
      <diagonal/>
    </border>
    <border>
      <left/>
      <right style="double">
        <color theme="0"/>
      </right>
      <top/>
      <bottom style="double">
        <color theme="0"/>
      </bottom>
      <diagonal/>
    </border>
  </borders>
  <cellStyleXfs count="115">
    <xf numFmtId="0" fontId="0" fillId="0" borderId="0"/>
    <xf numFmtId="0" fontId="5" fillId="0" borderId="0" applyNumberFormat="0" applyFill="0" applyBorder="0" applyAlignment="0" applyProtection="0"/>
    <xf numFmtId="0" fontId="11" fillId="0" borderId="1" applyNumberFormat="0" applyFill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3" fillId="0" borderId="0" applyNumberFormat="0" applyFill="0" applyBorder="0" applyAlignment="0" applyProtection="0"/>
    <xf numFmtId="0" fontId="14" fillId="2" borderId="0" applyNumberFormat="0" applyBorder="0" applyAlignment="0" applyProtection="0"/>
    <xf numFmtId="0" fontId="15" fillId="3" borderId="0" applyNumberFormat="0" applyBorder="0" applyAlignment="0" applyProtection="0"/>
    <xf numFmtId="0" fontId="16" fillId="4" borderId="0" applyNumberFormat="0" applyBorder="0" applyAlignment="0" applyProtection="0"/>
    <xf numFmtId="0" fontId="17" fillId="5" borderId="4" applyNumberFormat="0" applyAlignment="0" applyProtection="0"/>
    <xf numFmtId="0" fontId="18" fillId="6" borderId="5" applyNumberFormat="0" applyAlignment="0" applyProtection="0"/>
    <xf numFmtId="0" fontId="19" fillId="6" borderId="4" applyNumberFormat="0" applyAlignment="0" applyProtection="0"/>
    <xf numFmtId="0" fontId="20" fillId="0" borderId="6" applyNumberFormat="0" applyFill="0" applyAlignment="0" applyProtection="0"/>
    <xf numFmtId="0" fontId="21" fillId="7" borderId="7" applyNumberFormat="0" applyAlignment="0" applyProtection="0"/>
    <xf numFmtId="0" fontId="22" fillId="0" borderId="0" applyNumberFormat="0" applyFill="0" applyBorder="0" applyAlignment="0" applyProtection="0"/>
    <xf numFmtId="0" fontId="4" fillId="8" borderId="8" applyNumberFormat="0" applyFont="0" applyAlignment="0" applyProtection="0"/>
    <xf numFmtId="0" fontId="23" fillId="0" borderId="0" applyNumberFormat="0" applyFill="0" applyBorder="0" applyAlignment="0" applyProtection="0"/>
    <xf numFmtId="0" fontId="24" fillId="0" borderId="9" applyNumberFormat="0" applyFill="0" applyAlignment="0" applyProtection="0"/>
    <xf numFmtId="0" fontId="35" fillId="0" borderId="18" applyNumberForma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36" fillId="0" borderId="17" applyNumberFormat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37" fillId="0" borderId="19" applyNumberFormat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38" fillId="37" borderId="20" applyNumberFormat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5" fillId="38" borderId="21" applyNumberFormat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5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9" fillId="0" borderId="0"/>
    <xf numFmtId="9" fontId="4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30" fillId="0" borderId="0"/>
    <xf numFmtId="0" fontId="10" fillId="0" borderId="0"/>
    <xf numFmtId="0" fontId="3" fillId="0" borderId="0"/>
    <xf numFmtId="0" fontId="11" fillId="0" borderId="1" applyNumberFormat="0" applyFill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3" fillId="0" borderId="0" applyNumberFormat="0" applyFill="0" applyBorder="0" applyAlignment="0" applyProtection="0"/>
    <xf numFmtId="0" fontId="14" fillId="2" borderId="0" applyNumberFormat="0" applyBorder="0" applyAlignment="0" applyProtection="0"/>
    <xf numFmtId="0" fontId="15" fillId="3" borderId="0" applyNumberFormat="0" applyBorder="0" applyAlignment="0" applyProtection="0"/>
    <xf numFmtId="0" fontId="16" fillId="4" borderId="0" applyNumberFormat="0" applyBorder="0" applyAlignment="0" applyProtection="0"/>
    <xf numFmtId="0" fontId="17" fillId="5" borderId="4" applyNumberFormat="0" applyAlignment="0" applyProtection="0"/>
    <xf numFmtId="0" fontId="18" fillId="6" borderId="5" applyNumberFormat="0" applyAlignment="0" applyProtection="0"/>
    <xf numFmtId="0" fontId="19" fillId="6" borderId="4" applyNumberFormat="0" applyAlignment="0" applyProtection="0"/>
    <xf numFmtId="0" fontId="20" fillId="0" borderId="6" applyNumberFormat="0" applyFill="0" applyAlignment="0" applyProtection="0"/>
    <xf numFmtId="0" fontId="21" fillId="7" borderId="7" applyNumberFormat="0" applyAlignment="0" applyProtection="0"/>
    <xf numFmtId="0" fontId="22" fillId="0" borderId="0" applyNumberFormat="0" applyFill="0" applyBorder="0" applyAlignment="0" applyProtection="0"/>
    <xf numFmtId="0" fontId="3" fillId="8" borderId="8" applyNumberFormat="0" applyFont="0" applyAlignment="0" applyProtection="0"/>
    <xf numFmtId="0" fontId="23" fillId="0" borderId="0" applyNumberFormat="0" applyFill="0" applyBorder="0" applyAlignment="0" applyProtection="0"/>
    <xf numFmtId="0" fontId="24" fillId="0" borderId="9" applyNumberFormat="0" applyFill="0" applyAlignment="0" applyProtection="0"/>
    <xf numFmtId="0" fontId="25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25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25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25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25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25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27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30" fillId="0" borderId="0"/>
    <xf numFmtId="0" fontId="32" fillId="0" borderId="0"/>
    <xf numFmtId="0" fontId="34" fillId="0" borderId="17" applyFill="0" applyAlignment="0" applyProtection="0"/>
    <xf numFmtId="0" fontId="6" fillId="0" borderId="18" applyFill="0" applyAlignment="0" applyProtection="0"/>
    <xf numFmtId="0" fontId="39" fillId="0" borderId="0"/>
    <xf numFmtId="0" fontId="41" fillId="0" borderId="0"/>
  </cellStyleXfs>
  <cellXfs count="103">
    <xf numFmtId="0" fontId="0" fillId="0" borderId="0" xfId="0"/>
    <xf numFmtId="4" fontId="0" fillId="0" borderId="0" xfId="0" applyNumberFormat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0" xfId="0" applyNumberFormat="1"/>
    <xf numFmtId="49" fontId="7" fillId="0" borderId="12" xfId="0" applyNumberFormat="1" applyFont="1" applyBorder="1" applyAlignment="1">
      <alignment horizontal="center" vertical="center" wrapText="1"/>
    </xf>
    <xf numFmtId="2" fontId="7" fillId="0" borderId="12" xfId="0" applyNumberFormat="1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4" fontId="7" fillId="0" borderId="12" xfId="0" applyNumberFormat="1" applyFont="1" applyBorder="1" applyAlignment="1">
      <alignment horizontal="center" vertical="center" wrapText="1"/>
    </xf>
    <xf numFmtId="1" fontId="7" fillId="0" borderId="12" xfId="0" applyNumberFormat="1" applyFont="1" applyBorder="1" applyAlignment="1">
      <alignment horizontal="center" vertical="center" wrapText="1"/>
    </xf>
    <xf numFmtId="0" fontId="14" fillId="0" borderId="0" xfId="6" applyFill="1"/>
    <xf numFmtId="0" fontId="0" fillId="34" borderId="12" xfId="0" applyFill="1" applyBorder="1"/>
    <xf numFmtId="0" fontId="0" fillId="0" borderId="12" xfId="0" applyBorder="1" applyAlignment="1">
      <alignment horizontal="center"/>
    </xf>
    <xf numFmtId="0" fontId="8" fillId="0" borderId="12" xfId="44" applyBorder="1" applyAlignment="1">
      <alignment horizontal="center" vertical="center" wrapText="1"/>
    </xf>
    <xf numFmtId="1" fontId="7" fillId="0" borderId="12" xfId="0" applyNumberFormat="1" applyFont="1" applyBorder="1" applyAlignment="1">
      <alignment horizontal="right" wrapText="1"/>
    </xf>
    <xf numFmtId="1" fontId="7" fillId="0" borderId="10" xfId="0" applyNumberFormat="1" applyFont="1" applyBorder="1" applyAlignment="1">
      <alignment horizontal="center" vertical="center" wrapText="1"/>
    </xf>
    <xf numFmtId="0" fontId="0" fillId="33" borderId="11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33" borderId="15" xfId="0" applyFill="1" applyBorder="1" applyAlignment="1">
      <alignment horizontal="center"/>
    </xf>
    <xf numFmtId="0" fontId="0" fillId="0" borderId="12" xfId="0" applyBorder="1"/>
    <xf numFmtId="49" fontId="7" fillId="0" borderId="12" xfId="0" applyNumberFormat="1" applyFont="1" applyBorder="1" applyAlignment="1">
      <alignment horizontal="left" vertical="center" wrapText="1"/>
    </xf>
    <xf numFmtId="2" fontId="7" fillId="0" borderId="12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49" fontId="7" fillId="0" borderId="0" xfId="0" applyNumberFormat="1" applyFont="1" applyAlignment="1">
      <alignment horizontal="center"/>
    </xf>
    <xf numFmtId="0" fontId="7" fillId="0" borderId="12" xfId="0" applyFont="1" applyBorder="1" applyAlignment="1">
      <alignment horizontal="center"/>
    </xf>
    <xf numFmtId="1" fontId="26" fillId="0" borderId="10" xfId="47" applyNumberFormat="1" applyFont="1" applyBorder="1" applyAlignment="1">
      <alignment horizontal="right" wrapText="1"/>
    </xf>
    <xf numFmtId="4" fontId="7" fillId="0" borderId="12" xfId="0" applyNumberFormat="1" applyFont="1" applyBorder="1" applyAlignment="1">
      <alignment horizontal="left" vertical="center" wrapText="1"/>
    </xf>
    <xf numFmtId="0" fontId="7" fillId="0" borderId="12" xfId="0" applyFont="1" applyBorder="1" applyAlignment="1">
      <alignment horizontal="left" vertical="center" wrapText="1"/>
    </xf>
    <xf numFmtId="0" fontId="28" fillId="36" borderId="0" xfId="45" applyFont="1" applyFill="1" applyBorder="1" applyAlignment="1">
      <alignment horizontal="center" vertical="top" wrapText="1"/>
    </xf>
    <xf numFmtId="1" fontId="26" fillId="0" borderId="10" xfId="89" applyNumberFormat="1" applyFont="1" applyBorder="1" applyAlignment="1">
      <alignment horizontal="right" wrapText="1"/>
    </xf>
    <xf numFmtId="49" fontId="26" fillId="0" borderId="10" xfId="89" applyNumberFormat="1" applyFont="1" applyBorder="1" applyAlignment="1">
      <alignment horizontal="left" wrapText="1"/>
    </xf>
    <xf numFmtId="2" fontId="30" fillId="0" borderId="0" xfId="45" applyNumberFormat="1" applyBorder="1" applyAlignment="1">
      <alignment horizontal="right"/>
    </xf>
    <xf numFmtId="0" fontId="6" fillId="0" borderId="18" xfId="112" applyAlignment="1">
      <alignment horizontal="center" vertical="center" wrapText="1"/>
    </xf>
    <xf numFmtId="0" fontId="34" fillId="0" borderId="17" xfId="111" applyAlignment="1">
      <alignment horizontal="center" vertical="center" wrapText="1"/>
    </xf>
    <xf numFmtId="0" fontId="8" fillId="0" borderId="0" xfId="44"/>
    <xf numFmtId="9" fontId="0" fillId="0" borderId="0" xfId="43" applyFont="1"/>
    <xf numFmtId="0" fontId="28" fillId="36" borderId="10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0" fillId="0" borderId="16" xfId="0" applyBorder="1" applyAlignment="1">
      <alignment horizontal="left" wrapText="1"/>
    </xf>
    <xf numFmtId="0" fontId="0" fillId="0" borderId="16" xfId="0" applyBorder="1" applyAlignment="1">
      <alignment horizontal="left"/>
    </xf>
    <xf numFmtId="2" fontId="0" fillId="0" borderId="16" xfId="0" applyNumberFormat="1" applyBorder="1" applyAlignment="1">
      <alignment horizontal="right"/>
    </xf>
    <xf numFmtId="4" fontId="0" fillId="0" borderId="16" xfId="0" applyNumberFormat="1" applyBorder="1" applyAlignment="1">
      <alignment horizontal="right"/>
    </xf>
    <xf numFmtId="9" fontId="0" fillId="33" borderId="12" xfId="0" applyNumberFormat="1" applyFill="1" applyBorder="1"/>
    <xf numFmtId="2" fontId="0" fillId="33" borderId="0" xfId="0" applyNumberFormat="1" applyFill="1"/>
    <xf numFmtId="0" fontId="33" fillId="0" borderId="12" xfId="0" applyFont="1" applyBorder="1" applyAlignment="1">
      <alignment horizontal="center" vertical="center" wrapText="1"/>
    </xf>
    <xf numFmtId="2" fontId="33" fillId="0" borderId="12" xfId="0" applyNumberFormat="1" applyFont="1" applyBorder="1" applyAlignment="1">
      <alignment horizontal="center" vertical="center" wrapText="1"/>
    </xf>
    <xf numFmtId="9" fontId="4" fillId="0" borderId="12" xfId="43" applyFont="1" applyBorder="1" applyAlignment="1">
      <alignment wrapText="1"/>
    </xf>
    <xf numFmtId="0" fontId="0" fillId="0" borderId="0" xfId="0" applyNumberFormat="1"/>
    <xf numFmtId="0" fontId="35" fillId="0" borderId="18" xfId="18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31" fillId="41" borderId="12" xfId="0" applyFont="1" applyFill="1" applyBorder="1" applyAlignment="1">
      <alignment horizontal="left" vertical="top" wrapText="1"/>
    </xf>
    <xf numFmtId="0" fontId="0" fillId="0" borderId="12" xfId="0" applyBorder="1" applyAlignment="1">
      <alignment wrapText="1"/>
    </xf>
    <xf numFmtId="1" fontId="0" fillId="0" borderId="10" xfId="0" applyNumberFormat="1" applyBorder="1" applyAlignment="1" applyProtection="1">
      <alignment horizontal="left" vertical="top" wrapText="1"/>
    </xf>
    <xf numFmtId="1" fontId="26" fillId="0" borderId="12" xfId="47" applyNumberFormat="1" applyFont="1" applyBorder="1" applyAlignment="1">
      <alignment horizontal="right" wrapText="1"/>
    </xf>
    <xf numFmtId="1" fontId="30" fillId="0" borderId="10" xfId="109" applyNumberFormat="1" applyBorder="1" applyAlignment="1" applyProtection="1">
      <alignment horizontal="left" vertical="top" wrapText="1"/>
    </xf>
    <xf numFmtId="49" fontId="26" fillId="0" borderId="12" xfId="47" applyNumberFormat="1" applyFont="1" applyBorder="1" applyAlignment="1">
      <alignment horizontal="left" wrapText="1"/>
    </xf>
    <xf numFmtId="49" fontId="7" fillId="0" borderId="10" xfId="0" applyNumberFormat="1" applyFont="1" applyBorder="1" applyAlignment="1">
      <alignment horizontal="center"/>
    </xf>
    <xf numFmtId="0" fontId="9" fillId="0" borderId="12" xfId="88" applyFont="1" applyBorder="1" applyAlignment="1">
      <alignment horizontal="left" wrapText="1"/>
    </xf>
    <xf numFmtId="0" fontId="7" fillId="0" borderId="16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49" fontId="26" fillId="0" borderId="16" xfId="47" applyNumberFormat="1" applyFont="1" applyBorder="1" applyAlignment="1">
      <alignment horizontal="left" wrapText="1"/>
    </xf>
    <xf numFmtId="0" fontId="8" fillId="0" borderId="18" xfId="44" applyBorder="1" applyAlignment="1">
      <alignment horizontal="center" vertical="center" wrapText="1"/>
    </xf>
    <xf numFmtId="0" fontId="35" fillId="0" borderId="12" xfId="18" applyBorder="1" applyAlignment="1">
      <alignment horizontal="center" vertical="center" wrapText="1"/>
    </xf>
    <xf numFmtId="0" fontId="6" fillId="0" borderId="12" xfId="112" applyBorder="1" applyAlignment="1">
      <alignment horizontal="center" vertical="center" wrapText="1"/>
    </xf>
    <xf numFmtId="0" fontId="34" fillId="0" borderId="12" xfId="111" applyBorder="1" applyAlignment="1">
      <alignment horizontal="center" vertical="center" wrapText="1"/>
    </xf>
    <xf numFmtId="0" fontId="8" fillId="0" borderId="17" xfId="44" applyBorder="1" applyAlignment="1">
      <alignment horizontal="center" vertical="center" wrapText="1"/>
    </xf>
    <xf numFmtId="1" fontId="0" fillId="0" borderId="0" xfId="0" applyNumberFormat="1"/>
    <xf numFmtId="1" fontId="31" fillId="42" borderId="12" xfId="0" applyNumberFormat="1" applyFont="1" applyFill="1" applyBorder="1" applyAlignment="1">
      <alignment horizontal="left" vertical="top" wrapText="1"/>
    </xf>
    <xf numFmtId="1" fontId="7" fillId="0" borderId="10" xfId="0" applyNumberFormat="1" applyFont="1" applyBorder="1" applyAlignment="1">
      <alignment horizontal="right" wrapText="1"/>
    </xf>
    <xf numFmtId="0" fontId="0" fillId="0" borderId="10" xfId="0" applyBorder="1"/>
    <xf numFmtId="2" fontId="7" fillId="0" borderId="10" xfId="0" applyNumberFormat="1" applyFont="1" applyBorder="1" applyAlignment="1">
      <alignment horizontal="center"/>
    </xf>
    <xf numFmtId="49" fontId="7" fillId="0" borderId="0" xfId="0" applyNumberFormat="1" applyFont="1" applyBorder="1" applyAlignment="1">
      <alignment horizontal="center"/>
    </xf>
    <xf numFmtId="0" fontId="34" fillId="0" borderId="17" xfId="111" applyBorder="1" applyAlignment="1">
      <alignment horizontal="center" vertical="center" wrapText="1"/>
    </xf>
    <xf numFmtId="1" fontId="0" fillId="33" borderId="0" xfId="0" applyNumberFormat="1" applyFill="1"/>
    <xf numFmtId="1" fontId="33" fillId="0" borderId="12" xfId="0" applyNumberFormat="1" applyFont="1" applyBorder="1" applyAlignment="1">
      <alignment horizontal="center" vertical="center" wrapText="1"/>
    </xf>
    <xf numFmtId="1" fontId="35" fillId="0" borderId="18" xfId="18" applyNumberFormat="1"/>
    <xf numFmtId="1" fontId="35" fillId="0" borderId="18" xfId="18" applyNumberFormat="1" applyAlignment="1">
      <alignment horizontal="center" vertical="center" wrapText="1"/>
    </xf>
    <xf numFmtId="1" fontId="8" fillId="0" borderId="12" xfId="44" applyNumberFormat="1" applyBorder="1" applyAlignment="1">
      <alignment horizontal="center" vertical="center" wrapText="1"/>
    </xf>
    <xf numFmtId="1" fontId="40" fillId="39" borderId="12" xfId="0" applyNumberFormat="1" applyFont="1" applyFill="1" applyBorder="1" applyAlignment="1">
      <alignment horizontal="left" vertical="center"/>
    </xf>
    <xf numFmtId="9" fontId="40" fillId="39" borderId="12" xfId="0" applyNumberFormat="1" applyFont="1" applyFill="1" applyBorder="1" applyAlignment="1">
      <alignment horizontal="left" vertical="center"/>
    </xf>
    <xf numFmtId="0" fontId="40" fillId="39" borderId="12" xfId="0" applyFont="1" applyFill="1" applyBorder="1" applyAlignment="1">
      <alignment horizontal="left" vertical="center"/>
    </xf>
    <xf numFmtId="9" fontId="31" fillId="39" borderId="12" xfId="43" applyFont="1" applyFill="1" applyBorder="1" applyAlignment="1">
      <alignment horizontal="left" vertical="top" wrapText="1"/>
    </xf>
    <xf numFmtId="1" fontId="31" fillId="39" borderId="12" xfId="43" applyNumberFormat="1" applyFont="1" applyFill="1" applyBorder="1" applyAlignment="1">
      <alignment horizontal="left" vertical="top" wrapText="1"/>
    </xf>
    <xf numFmtId="1" fontId="0" fillId="39" borderId="12" xfId="0" applyNumberFormat="1" applyFill="1" applyBorder="1" applyAlignment="1">
      <alignment horizontal="left"/>
    </xf>
    <xf numFmtId="1" fontId="0" fillId="35" borderId="12" xfId="0" applyNumberFormat="1" applyFill="1" applyBorder="1" applyAlignment="1">
      <alignment horizontal="left"/>
    </xf>
    <xf numFmtId="1" fontId="0" fillId="43" borderId="12" xfId="0" applyNumberFormat="1" applyFill="1" applyBorder="1" applyAlignment="1">
      <alignment horizontal="left"/>
    </xf>
    <xf numFmtId="1" fontId="0" fillId="40" borderId="12" xfId="0" applyNumberFormat="1" applyFill="1" applyBorder="1" applyAlignment="1">
      <alignment horizontal="left"/>
    </xf>
    <xf numFmtId="1" fontId="0" fillId="44" borderId="12" xfId="0" applyNumberFormat="1" applyFill="1" applyBorder="1" applyAlignment="1">
      <alignment horizontal="left"/>
    </xf>
    <xf numFmtId="1" fontId="7" fillId="45" borderId="12" xfId="0" applyNumberFormat="1" applyFont="1" applyFill="1" applyBorder="1" applyAlignment="1">
      <alignment horizontal="left" vertical="center"/>
    </xf>
    <xf numFmtId="1" fontId="15" fillId="3" borderId="12" xfId="7" applyNumberFormat="1" applyBorder="1" applyAlignment="1">
      <alignment horizontal="center" vertical="center" wrapText="1"/>
    </xf>
    <xf numFmtId="1" fontId="7" fillId="33" borderId="12" xfId="0" applyNumberFormat="1" applyFont="1" applyFill="1" applyBorder="1" applyAlignment="1">
      <alignment horizontal="left" vertical="center" wrapText="1"/>
    </xf>
    <xf numFmtId="1" fontId="7" fillId="33" borderId="12" xfId="0" applyNumberFormat="1" applyFont="1" applyFill="1" applyBorder="1" applyAlignment="1">
      <alignment horizontal="center" vertical="center" wrapText="1"/>
    </xf>
    <xf numFmtId="1" fontId="7" fillId="0" borderId="12" xfId="0" applyNumberFormat="1" applyFont="1" applyBorder="1" applyAlignment="1">
      <alignment horizontal="left" vertical="center" wrapText="1"/>
    </xf>
    <xf numFmtId="1" fontId="7" fillId="46" borderId="12" xfId="0" applyNumberFormat="1" applyFont="1" applyFill="1" applyBorder="1" applyAlignment="1">
      <alignment horizontal="left" vertical="center"/>
    </xf>
    <xf numFmtId="0" fontId="28" fillId="36" borderId="10" xfId="0" applyFont="1" applyFill="1" applyBorder="1" applyAlignment="1">
      <alignment horizontal="center" vertical="top" wrapText="1"/>
    </xf>
    <xf numFmtId="0" fontId="0" fillId="0" borderId="12" xfId="0" applyBorder="1" applyAlignment="1">
      <alignment horizontal="center"/>
    </xf>
    <xf numFmtId="0" fontId="31" fillId="0" borderId="12" xfId="0" applyFont="1" applyBorder="1" applyAlignment="1" applyProtection="1">
      <alignment horizontal="left" vertical="top" wrapText="1"/>
    </xf>
    <xf numFmtId="1" fontId="0" fillId="0" borderId="12" xfId="0" applyNumberFormat="1" applyBorder="1" applyAlignment="1" applyProtection="1">
      <alignment horizontal="left" vertical="top" wrapText="1"/>
    </xf>
    <xf numFmtId="0" fontId="0" fillId="0" borderId="12" xfId="0" applyBorder="1" applyAlignment="1" applyProtection="1">
      <alignment horizontal="left" vertical="top" wrapText="1"/>
    </xf>
    <xf numFmtId="1" fontId="31" fillId="33" borderId="12" xfId="0" applyNumberFormat="1" applyFont="1" applyFill="1" applyBorder="1" applyAlignment="1" applyProtection="1">
      <alignment horizontal="left" vertical="top" wrapText="1"/>
    </xf>
  </cellXfs>
  <cellStyles count="115">
    <cellStyle name="20% — акцент1" xfId="19" builtinId="30" customBuiltin="1"/>
    <cellStyle name="20% — акцент1 2" xfId="65" xr:uid="{A11D25AC-F447-4601-BE5E-545709F80FAD}"/>
    <cellStyle name="20% — акцент1 3" xfId="91" xr:uid="{F2D41E77-25E3-490D-966A-8BDEE3A43288}"/>
    <cellStyle name="20% — акцент2" xfId="23" builtinId="34" customBuiltin="1"/>
    <cellStyle name="20% — акцент2 2" xfId="69" xr:uid="{9E2931A7-9D26-4320-9482-716A1A207567}"/>
    <cellStyle name="20% — акцент2 3" xfId="94" xr:uid="{231FB2C0-6651-4431-95D6-4DDC7BECF4C6}"/>
    <cellStyle name="20% — акцент3" xfId="27" builtinId="38" customBuiltin="1"/>
    <cellStyle name="20% — акцент3 2" xfId="73" xr:uid="{0E8F287F-4501-4D80-9BE3-5DDB75F9650F}"/>
    <cellStyle name="20% — акцент3 3" xfId="97" xr:uid="{1763A327-E13E-4F72-AB73-ED954DEC8C01}"/>
    <cellStyle name="20% — акцент4" xfId="31" builtinId="42" customBuiltin="1"/>
    <cellStyle name="20% — акцент4 2" xfId="77" xr:uid="{61EF1A7D-174F-46A2-A223-0DA194B974B6}"/>
    <cellStyle name="20% — акцент4 3" xfId="100" xr:uid="{D9B7A92B-6A90-4B9F-8A9C-8DF21CC3A867}"/>
    <cellStyle name="20% — акцент5" xfId="35" builtinId="46" customBuiltin="1"/>
    <cellStyle name="20% — акцент5 2" xfId="81" xr:uid="{8856299A-D09D-44E5-8DA6-AC45E47707B5}"/>
    <cellStyle name="20% — акцент5 3" xfId="103" xr:uid="{4D83CA81-C67F-4E8E-8C8D-B493648C23B2}"/>
    <cellStyle name="20% — акцент6" xfId="39" builtinId="50" customBuiltin="1"/>
    <cellStyle name="20% — акцент6 2" xfId="85" xr:uid="{DDC51FBC-9821-40F3-953A-1B26FA0FA03D}"/>
    <cellStyle name="20% — акцент6 3" xfId="106" xr:uid="{FE28D791-5B90-4668-AD98-48B7D168C87F}"/>
    <cellStyle name="40% — акцент1" xfId="20" builtinId="31" customBuiltin="1"/>
    <cellStyle name="40% — акцент1 2" xfId="66" xr:uid="{4511363A-0667-4586-874D-0B63F5AB1F99}"/>
    <cellStyle name="40% — акцент1 3" xfId="92" xr:uid="{E4A9C975-7D6F-4AFA-B5AC-37D2E1D4BE76}"/>
    <cellStyle name="40% — акцент2" xfId="24" builtinId="35" customBuiltin="1"/>
    <cellStyle name="40% — акцент2 2" xfId="70" xr:uid="{2532F5A2-D508-46AE-8CF4-4509D8B98005}"/>
    <cellStyle name="40% — акцент2 3" xfId="95" xr:uid="{7AEE584A-6169-4537-BAF9-27793FE90475}"/>
    <cellStyle name="40% — акцент3" xfId="28" builtinId="39" customBuiltin="1"/>
    <cellStyle name="40% — акцент3 2" xfId="74" xr:uid="{29291D92-9F3C-43AD-891E-09D5FE57908A}"/>
    <cellStyle name="40% — акцент3 3" xfId="98" xr:uid="{7F1B531D-DCF3-4CB4-9637-73931CB6CCCB}"/>
    <cellStyle name="40% — акцент4" xfId="32" builtinId="43" customBuiltin="1"/>
    <cellStyle name="40% — акцент4 2" xfId="78" xr:uid="{C184A222-BA9C-4694-A516-7857371640DC}"/>
    <cellStyle name="40% — акцент4 3" xfId="101" xr:uid="{74557F66-3852-4FA3-9EDF-C83A471E6FFD}"/>
    <cellStyle name="40% — акцент5" xfId="36" builtinId="47" customBuiltin="1"/>
    <cellStyle name="40% — акцент5 2" xfId="82" xr:uid="{9D8F7E66-5E08-4CA7-84CD-F7E5A819D59F}"/>
    <cellStyle name="40% — акцент5 3" xfId="104" xr:uid="{FC7408CA-4EED-4885-9FE1-5DB9F24C2826}"/>
    <cellStyle name="40% — акцент6" xfId="40" builtinId="51" customBuiltin="1"/>
    <cellStyle name="40% — акцент6 2" xfId="86" xr:uid="{DDAA7C6E-4789-4A75-B9D5-B9804811917A}"/>
    <cellStyle name="40% — акцент6 3" xfId="107" xr:uid="{78089A2A-3282-4271-BF89-507B9DB3A93A}"/>
    <cellStyle name="60% — акцент1" xfId="21" builtinId="32" customBuiltin="1"/>
    <cellStyle name="60% — акцент1 2" xfId="67" xr:uid="{D0E89B37-9C62-4BEF-875B-D188AE1F4B5E}"/>
    <cellStyle name="60% — акцент1 3" xfId="93" xr:uid="{2218BF92-9408-4DBC-8F4D-27147827E23B}"/>
    <cellStyle name="60% — акцент2" xfId="25" builtinId="36" customBuiltin="1"/>
    <cellStyle name="60% — акцент2 2" xfId="71" xr:uid="{471BB8ED-944C-42C4-88A6-11096BEFBF4A}"/>
    <cellStyle name="60% — акцент2 3" xfId="96" xr:uid="{FE86FFBA-108B-4419-B6A6-94C9C90C5C5C}"/>
    <cellStyle name="60% — акцент3" xfId="29" builtinId="40" customBuiltin="1"/>
    <cellStyle name="60% — акцент3 2" xfId="75" xr:uid="{E5A68B45-AB67-429B-94A9-B7CDFBE06568}"/>
    <cellStyle name="60% — акцент3 3" xfId="99" xr:uid="{902C3E0B-3205-49CC-99EE-6F2DB755793F}"/>
    <cellStyle name="60% — акцент4" xfId="33" builtinId="44" customBuiltin="1"/>
    <cellStyle name="60% — акцент4 2" xfId="79" xr:uid="{74547AC5-8784-40DC-8C04-F7819048E110}"/>
    <cellStyle name="60% — акцент4 3" xfId="102" xr:uid="{9B58F94A-B9EC-49B0-BDF4-D461A714C775}"/>
    <cellStyle name="60% — акцент5" xfId="37" builtinId="48" customBuiltin="1"/>
    <cellStyle name="60% — акцент5 2" xfId="83" xr:uid="{3A695915-927D-4A02-9989-9A7E968EA08D}"/>
    <cellStyle name="60% — акцент5 3" xfId="105" xr:uid="{F28AFA25-B83E-42F8-9440-C2501424C773}"/>
    <cellStyle name="60% — акцент6" xfId="41" builtinId="52" customBuiltin="1"/>
    <cellStyle name="60% — акцент6 2" xfId="87" xr:uid="{8C0D081B-A20E-42D0-B2FA-6D9A098D8784}"/>
    <cellStyle name="60% — акцент6 3" xfId="108" xr:uid="{89F4BBDC-25D6-4D1D-9755-4AC17C07F950}"/>
    <cellStyle name="Акцент1" xfId="18" builtinId="29" customBuiltin="1"/>
    <cellStyle name="Акцент1 2" xfId="64" xr:uid="{6495E5AF-303E-43F7-81A3-3F641825D52B}"/>
    <cellStyle name="Акцент2" xfId="22" builtinId="33" customBuiltin="1"/>
    <cellStyle name="Акцент2 2" xfId="68" xr:uid="{47EB8423-A068-4293-8405-DC2B29E6D6A9}"/>
    <cellStyle name="Акцент3" xfId="26" builtinId="37" customBuiltin="1"/>
    <cellStyle name="Акцент3 2" xfId="72" xr:uid="{607F94D7-8CD3-4D45-A46E-700D62C5A6CF}"/>
    <cellStyle name="Акцент4" xfId="30" builtinId="41" customBuiltin="1"/>
    <cellStyle name="Акцент4 2" xfId="76" xr:uid="{BA27B7C0-990E-49DC-9527-C43DAE97B5B6}"/>
    <cellStyle name="Акцент5" xfId="34" builtinId="45" customBuiltin="1"/>
    <cellStyle name="Акцент5 2" xfId="80" xr:uid="{5A61FC1E-9695-46DE-AF3D-FF29F87EDC22}"/>
    <cellStyle name="Акцент6" xfId="38" builtinId="49" customBuiltin="1"/>
    <cellStyle name="Акцент6 2" xfId="84" xr:uid="{3ACE0EA3-8FC0-4FED-9F95-D0DA15778F24}"/>
    <cellStyle name="Ввод " xfId="9" builtinId="20" customBuiltin="1"/>
    <cellStyle name="Ввод  2" xfId="55" xr:uid="{3A9F0853-14B3-4ED6-8A93-87152D074F7C}"/>
    <cellStyle name="Вывод" xfId="10" builtinId="21" customBuiltin="1"/>
    <cellStyle name="Вывод 2" xfId="56" xr:uid="{86B2017F-AD30-4926-BAC9-1B41A47767E7}"/>
    <cellStyle name="Выделение 2" xfId="111" builtinId="13"/>
    <cellStyle name="Вычисление" xfId="11" builtinId="22" customBuiltin="1"/>
    <cellStyle name="Вычисление 2" xfId="57" xr:uid="{AB13DCF3-12A5-4AC8-B6D7-E98AD2177632}"/>
    <cellStyle name="Гиперссылка" xfId="44" builtinId="8"/>
    <cellStyle name="Заголовок 1" xfId="2" builtinId="16" customBuiltin="1"/>
    <cellStyle name="Заголовок 1 2" xfId="48" xr:uid="{8B310D5E-22D2-44C4-B895-508AB2FB8F5E}"/>
    <cellStyle name="Заголовок 2" xfId="3" builtinId="17" customBuiltin="1"/>
    <cellStyle name="Заголовок 2 2" xfId="49" xr:uid="{A433817B-C2F0-47B5-82A6-214280F6CEFA}"/>
    <cellStyle name="Заголовок 3" xfId="4" builtinId="18" customBuiltin="1"/>
    <cellStyle name="Заголовок 3 2" xfId="50" xr:uid="{2D91E9BD-5111-4215-9124-80A059548436}"/>
    <cellStyle name="Заголовок 4" xfId="5" builtinId="19" customBuiltin="1"/>
    <cellStyle name="Заголовок 4 2" xfId="51" xr:uid="{6342B286-6990-42AF-9CEF-AA64D1877E41}"/>
    <cellStyle name="Итог" xfId="17" builtinId="25" customBuiltin="1"/>
    <cellStyle name="Итог 2" xfId="63" xr:uid="{9F1DEDEE-78D8-4411-9F98-32866B5A2481}"/>
    <cellStyle name="Контрольная ячейка" xfId="13" builtinId="23" customBuiltin="1"/>
    <cellStyle name="Контрольная ячейка 2" xfId="59" xr:uid="{8C4CCC34-D4CA-4DB5-AE9A-58372F379343}"/>
    <cellStyle name="Моторринг" xfId="112" xr:uid="{90B883AA-0F4F-4C85-920C-60AAD1D40213}"/>
    <cellStyle name="Название" xfId="1" builtinId="15" customBuiltin="1"/>
    <cellStyle name="Нейтральный" xfId="8" builtinId="28" customBuiltin="1"/>
    <cellStyle name="Нейтральный 2" xfId="54" xr:uid="{D5711500-AC73-4102-B415-8B06F8EF4FF1}"/>
    <cellStyle name="Обычный" xfId="0" builtinId="0" customBuiltin="1"/>
    <cellStyle name="Обычный 10" xfId="113" xr:uid="{D5FB18EB-7C39-4A3C-A126-04FE58B473D0}"/>
    <cellStyle name="Обычный 11" xfId="114" xr:uid="{1B27BC8B-12DC-44BD-80DF-8F353A70DAA9}"/>
    <cellStyle name="Обычный 2" xfId="42" xr:uid="{00000000-0005-0000-0000-000024000000}"/>
    <cellStyle name="Обычный 3" xfId="45" xr:uid="{DC6F8FB7-2766-4927-B93C-D72B073AC942}"/>
    <cellStyle name="Обычный 4" xfId="46" xr:uid="{1C02EEA1-53CE-424C-97C7-6BCE1DE45EF1}"/>
    <cellStyle name="Обычный 5" xfId="47" xr:uid="{716A9875-64DC-4122-ABEA-4EBA2E8A2900}"/>
    <cellStyle name="Обычный 6" xfId="88" xr:uid="{9C065452-F047-46DB-8A96-97735E4EC22E}"/>
    <cellStyle name="Обычный 7" xfId="89" xr:uid="{D2F7BC63-CC03-46B5-A18C-2620E25E0037}"/>
    <cellStyle name="Обычный 8" xfId="109" xr:uid="{CDE51259-DD1B-4571-ADB4-B0E79CCD2457}"/>
    <cellStyle name="Обычный 9" xfId="110" xr:uid="{8B5BC4EC-4ED1-437D-858C-1F798A7DF59C}"/>
    <cellStyle name="Плохой" xfId="7" builtinId="27" customBuiltin="1"/>
    <cellStyle name="Плохой 2" xfId="53" xr:uid="{F2B8115A-906C-495E-9048-A8405353FAEE}"/>
    <cellStyle name="Пояснение" xfId="16" builtinId="53" customBuiltin="1"/>
    <cellStyle name="Пояснение 2" xfId="62" xr:uid="{9E93B6E4-B97E-44C2-B9F1-96237BFE4D22}"/>
    <cellStyle name="Примечание" xfId="15" builtinId="10" customBuiltin="1"/>
    <cellStyle name="Примечание 2" xfId="61" xr:uid="{176970C4-8822-4094-8A13-5345DF15AAE2}"/>
    <cellStyle name="Примечание 3" xfId="90" xr:uid="{1493E8E8-8A65-4C8F-AF4F-111E3198446F}"/>
    <cellStyle name="Процентный" xfId="43" builtinId="5"/>
    <cellStyle name="Связанная ячейка" xfId="12" builtinId="24" customBuiltin="1"/>
    <cellStyle name="Связанная ячейка 2" xfId="58" xr:uid="{2F1E2A2E-9E8F-405A-B584-788562F9DF7D}"/>
    <cellStyle name="Текст предупреждения" xfId="14" builtinId="11" customBuiltin="1"/>
    <cellStyle name="Текст предупреждения 2" xfId="60" xr:uid="{D82E3E1F-67CD-4AE6-B3C6-EA12ABC1C1CE}"/>
    <cellStyle name="Хороший" xfId="6" builtinId="26" customBuiltin="1"/>
    <cellStyle name="Хороший 2" xfId="52" xr:uid="{359A2D86-0A81-4E19-A03E-7A9FCD96670D}"/>
  </cellStyles>
  <dxfs count="11"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lightDown">
          <fgColor rgb="FFFF0000"/>
        </patternFill>
      </fill>
    </dxf>
    <dxf>
      <fill>
        <patternFill>
          <bgColor theme="3" tint="0.59996337778862885"/>
        </patternFill>
      </fill>
    </dxf>
    <dxf>
      <fill>
        <patternFill patternType="lightDown"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2</xdr:row>
          <xdr:rowOff>85725</xdr:rowOff>
        </xdr:from>
        <xdr:to>
          <xdr:col>10</xdr:col>
          <xdr:colOff>390525</xdr:colOff>
          <xdr:row>4</xdr:row>
          <xdr:rowOff>161925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EF84B78-A754-40A9-B9E3-853BA4D87A54}" autoFormatId="16" applyNumberFormats="0" applyBorderFormats="0" applyFontFormats="0" applyPatternFormats="0" applyAlignmentFormats="0" applyWidthHeightFormats="0">
  <queryTableRefresh nextId="21">
    <queryTableFields count="2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#VALUE!" tableColumnId="5"/>
      <queryTableField id="6" name="#VALUE!_1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27A49F-B135-4DDD-A95E-A07117DA26C2}" name="АвтоПродукт__2" displayName="АвтоПродукт__2" ref="A1:T1001" tableType="queryTable" totalsRowShown="0">
  <autoFilter ref="A1:T1001" xr:uid="{FB618794-9893-4876-9538-9940E79DF4AF}"/>
  <tableColumns count="20">
    <tableColumn id="1" xr3:uid="{A91235EB-6332-4425-8374-3B11F7BFB379}" uniqueName="1" name="Column1" queryTableFieldId="1" dataDxfId="3"/>
    <tableColumn id="2" xr3:uid="{D9AD7EFB-51F9-49FE-A436-12A14D2ACC76}" uniqueName="2" name="Column2" queryTableFieldId="2"/>
    <tableColumn id="3" xr3:uid="{7875BCDE-06CC-40B5-9CBF-AE4EFF11C242}" uniqueName="3" name="Column3" queryTableFieldId="3"/>
    <tableColumn id="4" xr3:uid="{93BC5697-02BA-49BF-BE9F-301D822E0398}" uniqueName="4" name="Column4" queryTableFieldId="4" dataDxfId="2"/>
    <tableColumn id="5" xr3:uid="{E1A3F8EE-C7C7-4863-B99C-AB02EB6F2D86}" uniqueName="5" name="#VALUE!" queryTableFieldId="5"/>
    <tableColumn id="6" xr3:uid="{D46BED68-115C-4EB4-B0C1-A4C27AE63F0A}" uniqueName="6" name="#VALUE!_1" queryTableFieldId="6" dataDxfId="1"/>
    <tableColumn id="7" xr3:uid="{5F7B46C9-5C76-4981-8163-711E6F5D2060}" uniqueName="7" name="Column7" queryTableFieldId="7" dataDxfId="0"/>
    <tableColumn id="8" xr3:uid="{10EBCF0C-5920-4DBF-98B1-7E7ADDEB978E}" uniqueName="8" name="Column8" queryTableFieldId="8"/>
    <tableColumn id="9" xr3:uid="{BDDAC71F-30D5-403D-8215-54C395BAEDA7}" uniqueName="9" name="Column9" queryTableFieldId="9"/>
    <tableColumn id="10" xr3:uid="{BEAFF5C8-88B0-45D5-A383-0DB70B2FAEC8}" uniqueName="10" name="Column10" queryTableFieldId="10"/>
    <tableColumn id="11" xr3:uid="{35917469-FF6C-4E06-9A0B-56D6B91EA8BE}" uniqueName="11" name="Column11" queryTableFieldId="11"/>
    <tableColumn id="12" xr3:uid="{C7CE42FA-418F-45AF-9019-FE6DC453EAEE}" uniqueName="12" name="Column12" queryTableFieldId="12"/>
    <tableColumn id="13" xr3:uid="{FC3C068E-BFF6-45A7-9D26-EE5C72242758}" uniqueName="13" name="Column13" queryTableFieldId="13"/>
    <tableColumn id="14" xr3:uid="{93A8B318-F8C8-4B32-AEF0-B40D68BBFF79}" uniqueName="14" name="Column14" queryTableFieldId="14"/>
    <tableColumn id="15" xr3:uid="{5B71C7F4-AA30-41ED-B9A8-40F9234F97E3}" uniqueName="15" name="Column15" queryTableFieldId="15"/>
    <tableColumn id="16" xr3:uid="{430E2EA8-CE86-47DA-8F9E-91E8A3EDD29D}" uniqueName="16" name="Column16" queryTableFieldId="16"/>
    <tableColumn id="17" xr3:uid="{A6060BD2-67EC-4F6F-B738-A5FADE91CD18}" uniqueName="17" name="Column17" queryTableFieldId="17"/>
    <tableColumn id="18" xr3:uid="{20EA5BF5-6D07-4CF5-B21E-FC191C69EB2B}" uniqueName="18" name="Column18" queryTableFieldId="18"/>
    <tableColumn id="19" xr3:uid="{2D382F81-22D7-475D-B0D1-25C910D4A528}" uniqueName="19" name="Column19" queryTableFieldId="19"/>
    <tableColumn id="20" xr3:uid="{F4B366DE-E3D0-46C9-8F96-1F03D7A00E87}" uniqueName="20" name="Column20" queryTableFieldId="2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autoproduct.biz/catalog/item/84/" TargetMode="External"/><Relationship Id="rId21" Type="http://schemas.openxmlformats.org/officeDocument/2006/relationships/hyperlink" Target="https://autoproduct.biz/catalog/item/249/" TargetMode="External"/><Relationship Id="rId42" Type="http://schemas.openxmlformats.org/officeDocument/2006/relationships/hyperlink" Target="https://autoproduct.biz/catalog/item/127/" TargetMode="External"/><Relationship Id="rId47" Type="http://schemas.openxmlformats.org/officeDocument/2006/relationships/hyperlink" Target="https://autoproduct.biz/catalog/item/429/" TargetMode="External"/><Relationship Id="rId63" Type="http://schemas.openxmlformats.org/officeDocument/2006/relationships/hyperlink" Target="https://autoproduct.biz/catalog/item/296/" TargetMode="External"/><Relationship Id="rId68" Type="http://schemas.openxmlformats.org/officeDocument/2006/relationships/hyperlink" Target="https://autoproduct.biz/catalog/item/73/" TargetMode="External"/><Relationship Id="rId84" Type="http://schemas.openxmlformats.org/officeDocument/2006/relationships/hyperlink" Target="https://autoproduct.biz/catalog/item/133/" TargetMode="External"/><Relationship Id="rId16" Type="http://schemas.openxmlformats.org/officeDocument/2006/relationships/hyperlink" Target="https://autoproduct.biz/catalog/item/152/" TargetMode="External"/><Relationship Id="rId11" Type="http://schemas.openxmlformats.org/officeDocument/2006/relationships/hyperlink" Target="https://autoproduct.biz/catalog/item/538/" TargetMode="External"/><Relationship Id="rId32" Type="http://schemas.openxmlformats.org/officeDocument/2006/relationships/hyperlink" Target="https://autoproduct.biz/catalog/item/217/" TargetMode="External"/><Relationship Id="rId37" Type="http://schemas.openxmlformats.org/officeDocument/2006/relationships/hyperlink" Target="https://autoproduct.biz/catalog/item/540/" TargetMode="External"/><Relationship Id="rId53" Type="http://schemas.openxmlformats.org/officeDocument/2006/relationships/hyperlink" Target="https://autoproduct.biz/catalog/item/547/" TargetMode="External"/><Relationship Id="rId58" Type="http://schemas.openxmlformats.org/officeDocument/2006/relationships/hyperlink" Target="https://autoproduct.biz/catalog/item/342/" TargetMode="External"/><Relationship Id="rId74" Type="http://schemas.openxmlformats.org/officeDocument/2006/relationships/hyperlink" Target="https://autoproduct.biz/catalog/item/349/" TargetMode="External"/><Relationship Id="rId79" Type="http://schemas.openxmlformats.org/officeDocument/2006/relationships/hyperlink" Target="https://autoproduct.biz/catalog/item/135/" TargetMode="External"/><Relationship Id="rId5" Type="http://schemas.openxmlformats.org/officeDocument/2006/relationships/hyperlink" Target="https://autoproduct.biz/catalog/item/42/" TargetMode="External"/><Relationship Id="rId19" Type="http://schemas.openxmlformats.org/officeDocument/2006/relationships/hyperlink" Target="https://autoproduct.biz/catalog/item/189/" TargetMode="External"/><Relationship Id="rId14" Type="http://schemas.openxmlformats.org/officeDocument/2006/relationships/hyperlink" Target="https://autoproduct.biz/catalog/item/532/" TargetMode="External"/><Relationship Id="rId22" Type="http://schemas.openxmlformats.org/officeDocument/2006/relationships/hyperlink" Target="https://autoproduct.biz/catalog/item/288/" TargetMode="External"/><Relationship Id="rId27" Type="http://schemas.openxmlformats.org/officeDocument/2006/relationships/hyperlink" Target="https://autoproduct.biz/catalog/item/85/" TargetMode="External"/><Relationship Id="rId30" Type="http://schemas.openxmlformats.org/officeDocument/2006/relationships/hyperlink" Target="https://autoproduct.biz/catalog/item/382/" TargetMode="External"/><Relationship Id="rId35" Type="http://schemas.openxmlformats.org/officeDocument/2006/relationships/hyperlink" Target="&#1084;" TargetMode="External"/><Relationship Id="rId43" Type="http://schemas.openxmlformats.org/officeDocument/2006/relationships/hyperlink" Target="&#1084;" TargetMode="External"/><Relationship Id="rId48" Type="http://schemas.openxmlformats.org/officeDocument/2006/relationships/hyperlink" Target="https://autoproduct.biz/catalog/item/253/" TargetMode="External"/><Relationship Id="rId56" Type="http://schemas.openxmlformats.org/officeDocument/2006/relationships/hyperlink" Target="https://autoproduct.biz/catalog/item/550/" TargetMode="External"/><Relationship Id="rId64" Type="http://schemas.openxmlformats.org/officeDocument/2006/relationships/hyperlink" Target="https://autoproduct.biz/catalog/item/81/" TargetMode="External"/><Relationship Id="rId69" Type="http://schemas.openxmlformats.org/officeDocument/2006/relationships/hyperlink" Target="https://autoproduct.biz/catalog/item/360/" TargetMode="External"/><Relationship Id="rId77" Type="http://schemas.openxmlformats.org/officeDocument/2006/relationships/hyperlink" Target="https://autoproduct.biz/catalog/item/318/" TargetMode="External"/><Relationship Id="rId8" Type="http://schemas.openxmlformats.org/officeDocument/2006/relationships/hyperlink" Target="https://autoproduct.biz/catalog/item/432/" TargetMode="External"/><Relationship Id="rId51" Type="http://schemas.openxmlformats.org/officeDocument/2006/relationships/hyperlink" Target="https://autoproduct.biz/catalog/item/527/" TargetMode="External"/><Relationship Id="rId72" Type="http://schemas.openxmlformats.org/officeDocument/2006/relationships/hyperlink" Target="https://autoproduct.biz/catalog/item/526/" TargetMode="External"/><Relationship Id="rId80" Type="http://schemas.openxmlformats.org/officeDocument/2006/relationships/hyperlink" Target="https://autoproduct.biz/catalog/item/43/" TargetMode="External"/><Relationship Id="rId85" Type="http://schemas.openxmlformats.org/officeDocument/2006/relationships/hyperlink" Target="https://autoproduct.biz/catalog/item/119/" TargetMode="External"/><Relationship Id="rId3" Type="http://schemas.openxmlformats.org/officeDocument/2006/relationships/hyperlink" Target="https://autoproduct.biz/catalog/item/357/" TargetMode="External"/><Relationship Id="rId12" Type="http://schemas.openxmlformats.org/officeDocument/2006/relationships/hyperlink" Target="https://autoproduct.biz/catalog/item/339/" TargetMode="External"/><Relationship Id="rId17" Type="http://schemas.openxmlformats.org/officeDocument/2006/relationships/hyperlink" Target="https://autoproduct.biz/catalog/item/226/" TargetMode="External"/><Relationship Id="rId25" Type="http://schemas.openxmlformats.org/officeDocument/2006/relationships/hyperlink" Target="https://autoproduct.biz/catalog/item/222/" TargetMode="External"/><Relationship Id="rId33" Type="http://schemas.openxmlformats.org/officeDocument/2006/relationships/hyperlink" Target="https://autoproduct.biz/catalog/item/221/" TargetMode="External"/><Relationship Id="rId38" Type="http://schemas.openxmlformats.org/officeDocument/2006/relationships/hyperlink" Target="&#1084;" TargetMode="External"/><Relationship Id="rId46" Type="http://schemas.openxmlformats.org/officeDocument/2006/relationships/hyperlink" Target="https://autoproduct.biz/catalog/item/58/" TargetMode="External"/><Relationship Id="rId59" Type="http://schemas.openxmlformats.org/officeDocument/2006/relationships/hyperlink" Target="https://autoproduct.biz/catalog/item/341/" TargetMode="External"/><Relationship Id="rId67" Type="http://schemas.openxmlformats.org/officeDocument/2006/relationships/hyperlink" Target="https://autoproduct.biz/catalog/item/401/" TargetMode="External"/><Relationship Id="rId20" Type="http://schemas.openxmlformats.org/officeDocument/2006/relationships/hyperlink" Target="https://autoproduct.biz/catalog/item/88/" TargetMode="External"/><Relationship Id="rId41" Type="http://schemas.openxmlformats.org/officeDocument/2006/relationships/hyperlink" Target="https://autoproduct.biz/catalog/item/70/" TargetMode="External"/><Relationship Id="rId54" Type="http://schemas.openxmlformats.org/officeDocument/2006/relationships/hyperlink" Target="https://autoproduct.biz/catalog/item/551/" TargetMode="External"/><Relationship Id="rId62" Type="http://schemas.openxmlformats.org/officeDocument/2006/relationships/hyperlink" Target="https://autoproduct.biz/catalog/item/82/" TargetMode="External"/><Relationship Id="rId70" Type="http://schemas.openxmlformats.org/officeDocument/2006/relationships/hyperlink" Target="https://autoproduct.biz/catalog/item/363/" TargetMode="External"/><Relationship Id="rId75" Type="http://schemas.openxmlformats.org/officeDocument/2006/relationships/hyperlink" Target="https://autoproduct.biz/catalog/item/369/" TargetMode="External"/><Relationship Id="rId83" Type="http://schemas.openxmlformats.org/officeDocument/2006/relationships/hyperlink" Target="https://autoproduct.biz/catalog/item/136/" TargetMode="External"/><Relationship Id="rId1" Type="http://schemas.openxmlformats.org/officeDocument/2006/relationships/hyperlink" Target="https://autoproduct.biz/catalog/item/223/" TargetMode="External"/><Relationship Id="rId6" Type="http://schemas.openxmlformats.org/officeDocument/2006/relationships/hyperlink" Target="https://autoproduct.biz/catalog/item/57/" TargetMode="External"/><Relationship Id="rId15" Type="http://schemas.openxmlformats.org/officeDocument/2006/relationships/hyperlink" Target="https://autoproduct.biz/catalog/item/263/" TargetMode="External"/><Relationship Id="rId23" Type="http://schemas.openxmlformats.org/officeDocument/2006/relationships/hyperlink" Target="https://autoproduct.biz/catalog/item/225/" TargetMode="External"/><Relationship Id="rId28" Type="http://schemas.openxmlformats.org/officeDocument/2006/relationships/hyperlink" Target="https://autoproduct.biz/catalog/item/66/" TargetMode="External"/><Relationship Id="rId36" Type="http://schemas.openxmlformats.org/officeDocument/2006/relationships/hyperlink" Target="https://autoproduct.biz/catalog/item/124/" TargetMode="External"/><Relationship Id="rId49" Type="http://schemas.openxmlformats.org/officeDocument/2006/relationships/hyperlink" Target="https://autoproduct.biz/catalog/item/219/" TargetMode="External"/><Relationship Id="rId57" Type="http://schemas.openxmlformats.org/officeDocument/2006/relationships/hyperlink" Target="https://autoproduct.biz/catalog/item/121/" TargetMode="External"/><Relationship Id="rId10" Type="http://schemas.openxmlformats.org/officeDocument/2006/relationships/hyperlink" Target="https://autoproduct.biz/catalog/item/41/" TargetMode="External"/><Relationship Id="rId31" Type="http://schemas.openxmlformats.org/officeDocument/2006/relationships/hyperlink" Target="https://autoproduct.biz/catalog/item/383/" TargetMode="External"/><Relationship Id="rId44" Type="http://schemas.openxmlformats.org/officeDocument/2006/relationships/hyperlink" Target="https://autoproduct.biz/catalog/item/295/" TargetMode="External"/><Relationship Id="rId52" Type="http://schemas.openxmlformats.org/officeDocument/2006/relationships/hyperlink" Target="https://autoproduct.biz/catalog/item/546/" TargetMode="External"/><Relationship Id="rId60" Type="http://schemas.openxmlformats.org/officeDocument/2006/relationships/hyperlink" Target="https://autoproduct.biz/catalog/item/345/" TargetMode="External"/><Relationship Id="rId65" Type="http://schemas.openxmlformats.org/officeDocument/2006/relationships/hyperlink" Target="https://autoproduct.biz/catalog/item/53/" TargetMode="External"/><Relationship Id="rId73" Type="http://schemas.openxmlformats.org/officeDocument/2006/relationships/hyperlink" Target="https://autoproduct.biz/catalog/item/123/" TargetMode="External"/><Relationship Id="rId78" Type="http://schemas.openxmlformats.org/officeDocument/2006/relationships/hyperlink" Target="https://autoproduct.biz/catalog/item/348/" TargetMode="External"/><Relationship Id="rId81" Type="http://schemas.openxmlformats.org/officeDocument/2006/relationships/hyperlink" Target="https://autoproduct.biz/catalog/item/92/" TargetMode="External"/><Relationship Id="rId86" Type="http://schemas.openxmlformats.org/officeDocument/2006/relationships/hyperlink" Target="https://autoproduct.biz/catalog/item/362/" TargetMode="External"/><Relationship Id="rId4" Type="http://schemas.openxmlformats.org/officeDocument/2006/relationships/hyperlink" Target="https://autoproduct.biz/catalog/item/196/" TargetMode="External"/><Relationship Id="rId9" Type="http://schemas.openxmlformats.org/officeDocument/2006/relationships/hyperlink" Target="https://autoproduct.biz/catalog/item/229/" TargetMode="External"/><Relationship Id="rId13" Type="http://schemas.openxmlformats.org/officeDocument/2006/relationships/hyperlink" Target="https://autoproduct.biz/catalog/item/344/" TargetMode="External"/><Relationship Id="rId18" Type="http://schemas.openxmlformats.org/officeDocument/2006/relationships/hyperlink" Target="https://autoproduct.biz/catalog/item/424/" TargetMode="External"/><Relationship Id="rId39" Type="http://schemas.openxmlformats.org/officeDocument/2006/relationships/hyperlink" Target="https://autoproduct.biz/catalog/item/86/" TargetMode="External"/><Relationship Id="rId34" Type="http://schemas.openxmlformats.org/officeDocument/2006/relationships/hyperlink" Target="https://autoproduct.biz/catalog/item/422/" TargetMode="External"/><Relationship Id="rId50" Type="http://schemas.openxmlformats.org/officeDocument/2006/relationships/hyperlink" Target="https://autoproduct.biz/catalog/item/554/" TargetMode="External"/><Relationship Id="rId55" Type="http://schemas.openxmlformats.org/officeDocument/2006/relationships/hyperlink" Target="https://autoproduct.biz/catalog/item/552/" TargetMode="External"/><Relationship Id="rId76" Type="http://schemas.openxmlformats.org/officeDocument/2006/relationships/hyperlink" Target="https://autoproduct.biz/catalog/item/118/" TargetMode="External"/><Relationship Id="rId7" Type="http://schemas.openxmlformats.org/officeDocument/2006/relationships/hyperlink" Target="https://autoproduct.biz/catalog/item/420/" TargetMode="External"/><Relationship Id="rId71" Type="http://schemas.openxmlformats.org/officeDocument/2006/relationships/hyperlink" Target="&#1084;" TargetMode="External"/><Relationship Id="rId2" Type="http://schemas.openxmlformats.org/officeDocument/2006/relationships/hyperlink" Target="https://autoproduct.biz/catalog/item/287/" TargetMode="External"/><Relationship Id="rId29" Type="http://schemas.openxmlformats.org/officeDocument/2006/relationships/hyperlink" Target="https://autoproduct.biz/catalog/item/67/" TargetMode="External"/><Relationship Id="rId24" Type="http://schemas.openxmlformats.org/officeDocument/2006/relationships/hyperlink" Target="https://autoproduct.biz/catalog/item/216/" TargetMode="External"/><Relationship Id="rId40" Type="http://schemas.openxmlformats.org/officeDocument/2006/relationships/hyperlink" Target="&#1084;" TargetMode="External"/><Relationship Id="rId45" Type="http://schemas.openxmlformats.org/officeDocument/2006/relationships/hyperlink" Target="https://autoproduct.biz/catalog/item/74/" TargetMode="External"/><Relationship Id="rId66" Type="http://schemas.openxmlformats.org/officeDocument/2006/relationships/hyperlink" Target="https://autoproduct.biz/catalog/item/265/" TargetMode="External"/><Relationship Id="rId87" Type="http://schemas.openxmlformats.org/officeDocument/2006/relationships/printerSettings" Target="../printerSettings/printerSettings1.bin"/><Relationship Id="rId61" Type="http://schemas.openxmlformats.org/officeDocument/2006/relationships/hyperlink" Target="https://autoproduct.biz/catalog/item/89/" TargetMode="External"/><Relationship Id="rId82" Type="http://schemas.openxmlformats.org/officeDocument/2006/relationships/hyperlink" Target="https://autoproduct.biz/catalog/item/232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s://motorring.ru/product/15538-stabilizator-poperechnoy-ustoychivosti-autoproduct-granta" TargetMode="External"/><Relationship Id="rId21" Type="http://schemas.openxmlformats.org/officeDocument/2006/relationships/hyperlink" Target="https://motorring.ru/product/29904-samoblokiruyuschiysya-differencial-avtoprodukt-2108" TargetMode="External"/><Relationship Id="rId42" Type="http://schemas.openxmlformats.org/officeDocument/2006/relationships/hyperlink" Target="https://motorring.ru/product/15587-rychag-zadniy-sbore-autoproduct-vaz-2108-21099-2113-2115" TargetMode="External"/><Relationship Id="rId63" Type="http://schemas.openxmlformats.org/officeDocument/2006/relationships/hyperlink" Target="https://motorring.ru/product/15627-rasporka-perednyaya-autoproduct-drive-rastyaghkoy-silovogo" TargetMode="External"/><Relationship Id="rId84" Type="http://schemas.openxmlformats.org/officeDocument/2006/relationships/hyperlink" Target="https://motorring.ru/product/29948-prostavki-ugla-razvala-autoproduct-1gradus" TargetMode="External"/><Relationship Id="rId138" Type="http://schemas.openxmlformats.org/officeDocument/2006/relationships/hyperlink" Target="https://motorring.ru/product/15534-podramnik-autoproduct-sport-bez-zaschity-vaz-2108-21099" TargetMode="External"/><Relationship Id="rId107" Type="http://schemas.openxmlformats.org/officeDocument/2006/relationships/hyperlink" Target="https://motorring.ru/product/29967-nakladki-pedali-avtoprodukt-sport-1-6-amt-lada-vesta-2016" TargetMode="External"/><Relationship Id="rId11" Type="http://schemas.openxmlformats.org/officeDocument/2006/relationships/hyperlink" Target="https://motorring.ru/product/15549-zaschita-dvigatelya-autoproduct-stalynaya-ocinkovannaya" TargetMode="External"/><Relationship Id="rId32" Type="http://schemas.openxmlformats.org/officeDocument/2006/relationships/hyperlink" Target="https://motorring.ru/product/29878-pryamotochnyy-glushitely-avtoprodukt-f51-2108" TargetMode="External"/><Relationship Id="rId53" Type="http://schemas.openxmlformats.org/officeDocument/2006/relationships/hyperlink" Target="https://motorring.ru/product/37515-opora-dvigatelya-pravaya-usilennaya-podushkoy-dlya-lada-vesta-spo" TargetMode="External"/><Relationship Id="rId74" Type="http://schemas.openxmlformats.org/officeDocument/2006/relationships/hyperlink" Target="https://motorring.ru/product/6067-rastyaghka-rychagov-nighnyaya-autoproduct-drive-plus-pod" TargetMode="External"/><Relationship Id="rId128" Type="http://schemas.openxmlformats.org/officeDocument/2006/relationships/hyperlink" Target="https://motorring.ru/product/3840-poperechina-autoproduct-drive-rezinovymi-saylentblokami-vaz" TargetMode="External"/><Relationship Id="rId149" Type="http://schemas.openxmlformats.org/officeDocument/2006/relationships/hyperlink" Target="https://motorring.ru/product/29943-poperechina-autoproduct-drive-poliuretan-granta-kalina" TargetMode="External"/><Relationship Id="rId5" Type="http://schemas.openxmlformats.org/officeDocument/2006/relationships/hyperlink" Target="https://motorring.ru/product/29898-uplotnitelynye-kolyca-drosselynoy-zaslonki-avtoprodukt" TargetMode="External"/><Relationship Id="rId95" Type="http://schemas.openxmlformats.org/officeDocument/2006/relationships/hyperlink" Target="https://motorring.ru/product/29870-gib-avtoprodukt-perehod-cherez-zadnyuyu-balku-1118-f51" TargetMode="External"/><Relationship Id="rId22" Type="http://schemas.openxmlformats.org/officeDocument/2006/relationships/hyperlink" Target="https://motorring.ru/product/29867-zadnyaya-nezavisimaya-podveska-avtoprodukt-vaz-2108" TargetMode="External"/><Relationship Id="rId27" Type="http://schemas.openxmlformats.org/officeDocument/2006/relationships/hyperlink" Target="https://motorring.ru/product/29890-komplekt-rulevyh-tyag-avtoprodukt-sbore-70mm-2110" TargetMode="External"/><Relationship Id="rId43" Type="http://schemas.openxmlformats.org/officeDocument/2006/relationships/hyperlink" Target="https://motorring.ru/product/30416-zadnyaya-nezavisimaya-podveska-avtoprodukt-kalna" TargetMode="External"/><Relationship Id="rId48" Type="http://schemas.openxmlformats.org/officeDocument/2006/relationships/hyperlink" Target="https://motorring.ru/product/15537-podramnik-autoproduct-drive-rezinovymi-saylentblokami-bez" TargetMode="External"/><Relationship Id="rId64" Type="http://schemas.openxmlformats.org/officeDocument/2006/relationships/hyperlink" Target="https://motorring.ru/product/1751-rasporka-autoproduct-drive-perednyaya-reguliruemaya" TargetMode="External"/><Relationship Id="rId69" Type="http://schemas.openxmlformats.org/officeDocument/2006/relationships/hyperlink" Target="https://motorring.ru/product/29932-skrytaya-rasporka-perednih-stoek-avtoprodukt-drive-vesta" TargetMode="External"/><Relationship Id="rId113" Type="http://schemas.openxmlformats.org/officeDocument/2006/relationships/hyperlink" Target="https://motorring.ru/product/1755-rasporka-perednyaya-avtoprodukt-lada-priora" TargetMode="External"/><Relationship Id="rId118" Type="http://schemas.openxmlformats.org/officeDocument/2006/relationships/hyperlink" Target="https://motorring.ru/product/6068-stabilizator-poperechnoy-ustoychivosti-avtoprodukt-vaz" TargetMode="External"/><Relationship Id="rId134" Type="http://schemas.openxmlformats.org/officeDocument/2006/relationships/hyperlink" Target="https://motorring.ru/product/29885-pryamotochnyy-glushitely-avtoprodukt-f51-priora-2112" TargetMode="External"/><Relationship Id="rId139" Type="http://schemas.openxmlformats.org/officeDocument/2006/relationships/hyperlink" Target="https://motorring.ru/product/15542-podramnik-avtoprodukt-drive-bez-zaschity-lada-granta-kalina" TargetMode="External"/><Relationship Id="rId80" Type="http://schemas.openxmlformats.org/officeDocument/2006/relationships/hyperlink" Target="https://motorring.ru/product/6048-opora-razdatochnoy-korobki-avtoprodukt-lada-niva-4h4" TargetMode="External"/><Relationship Id="rId85" Type="http://schemas.openxmlformats.org/officeDocument/2006/relationships/hyperlink" Target="https://motorring.ru/product/6064-usilitely-schitka-peredka-avtoprodukt-vaz-2110-2111-2112" TargetMode="External"/><Relationship Id="rId150" Type="http://schemas.openxmlformats.org/officeDocument/2006/relationships/printerSettings" Target="../printerSettings/printerSettings5.bin"/><Relationship Id="rId12" Type="http://schemas.openxmlformats.org/officeDocument/2006/relationships/hyperlink" Target="https://motorring.ru/product/29897-stalynoy-kronshteyn-generatora-avtoprodukt-pod-gur-2110" TargetMode="External"/><Relationship Id="rId17" Type="http://schemas.openxmlformats.org/officeDocument/2006/relationships/hyperlink" Target="https://motorring.ru/product/28607-rychagi-podramnika-ghestkie-autoproduct-vaz-2108-21099" TargetMode="External"/><Relationship Id="rId33" Type="http://schemas.openxmlformats.org/officeDocument/2006/relationships/hyperlink" Target="https://motorring.ru/product/29881-pryamotochnyy-glushitely-avtoprodukt-f51-2115" TargetMode="External"/><Relationship Id="rId38" Type="http://schemas.openxmlformats.org/officeDocument/2006/relationships/hyperlink" Target="https://motorring.ru/product/15540-podramnik-avtoprodukt-ghestkimi-rychagami-bez-zaschity-granta" TargetMode="External"/><Relationship Id="rId59" Type="http://schemas.openxmlformats.org/officeDocument/2006/relationships/hyperlink" Target="https://motorring.ru/product/37443-poperechina-autoproduct-drive-poliuretanovymi-sharnirami" TargetMode="External"/><Relationship Id="rId103" Type="http://schemas.openxmlformats.org/officeDocument/2006/relationships/hyperlink" Target="https://motorring.ru/product/6087-komplekt-regulirovochnyh-shayb-podramnika-autoproduct-vaz" TargetMode="External"/><Relationship Id="rId108" Type="http://schemas.openxmlformats.org/officeDocument/2006/relationships/hyperlink" Target="https://motorring.ru/product/18816-rasporka-perednyaya-avtoprodukt-lada-vesta" TargetMode="External"/><Relationship Id="rId124" Type="http://schemas.openxmlformats.org/officeDocument/2006/relationships/hyperlink" Target="https://motorring.ru/product/32384-poperechina-autoproduct-peredney-oporoy-silovogo-agregata" TargetMode="External"/><Relationship Id="rId129" Type="http://schemas.openxmlformats.org/officeDocument/2006/relationships/hyperlink" Target="https://motorring.ru/product/6079-poperechina-autoproduct-safe-rezinovymi-saylentblokami-dlya" TargetMode="External"/><Relationship Id="rId54" Type="http://schemas.openxmlformats.org/officeDocument/2006/relationships/hyperlink" Target="https://motorring.ru/product/1763-rasporka-perednyaya-avtoprodukt-vaz-2114" TargetMode="External"/><Relationship Id="rId70" Type="http://schemas.openxmlformats.org/officeDocument/2006/relationships/hyperlink" Target="https://motorring.ru/product/1761-rasporka-zadnyaya-avtoprodukt-lada-granta-kalina-kalina" TargetMode="External"/><Relationship Id="rId75" Type="http://schemas.openxmlformats.org/officeDocument/2006/relationships/hyperlink" Target="https://motorring.ru/product/29956-prostavki-ugla-razvala-autoproduct-3gradusa-dlya-vaz" TargetMode="External"/><Relationship Id="rId91" Type="http://schemas.openxmlformats.org/officeDocument/2006/relationships/hyperlink" Target="https://motorring.ru/product/6036-komplekt-tyag-avtoprodukt-kontrgaykami-rulevoy-trapecii-vaz" TargetMode="External"/><Relationship Id="rId96" Type="http://schemas.openxmlformats.org/officeDocument/2006/relationships/hyperlink" Target="https://motorring.ru/product/15471-usiliteli-opor-stoek-avtoprodukt-kasterom-gradusa-2110" TargetMode="External"/><Relationship Id="rId140" Type="http://schemas.openxmlformats.org/officeDocument/2006/relationships/hyperlink" Target="https://motorring.ru/product/29902-neobslughivaemyy-differencial-autoproduct-4x4" TargetMode="External"/><Relationship Id="rId145" Type="http://schemas.openxmlformats.org/officeDocument/2006/relationships/hyperlink" Target="https://motorring.ru/product/15528-komplekt-opor-dvigatelya-sport-pro-avtoprodukt-2108" TargetMode="External"/><Relationship Id="rId1" Type="http://schemas.openxmlformats.org/officeDocument/2006/relationships/hyperlink" Target="https://motorring.ru/product/37467-gayka-regulirovochnaya-zadney-nezavisimoy-podveski" TargetMode="External"/><Relationship Id="rId6" Type="http://schemas.openxmlformats.org/officeDocument/2006/relationships/hyperlink" Target="https://motorring.ru/product/29899-kronshteyn-regulyatora-tormoznogo-davleniya-avtoprodukt" TargetMode="External"/><Relationship Id="rId23" Type="http://schemas.openxmlformats.org/officeDocument/2006/relationships/hyperlink" Target="https://motorring.ru/product/1760-rasporka-perednyaya-avtoprodukt-lada-granta-kalina-kalina" TargetMode="External"/><Relationship Id="rId28" Type="http://schemas.openxmlformats.org/officeDocument/2006/relationships/hyperlink" Target="https://motorring.ru/product/15531-podramnik-avtoprodukt-drive-bez-zaschity-rezina-2108" TargetMode="External"/><Relationship Id="rId49" Type="http://schemas.openxmlformats.org/officeDocument/2006/relationships/hyperlink" Target="https://motorring.ru/product/37463-stabilizator-poperechnoy-ustoychivosti-autoproduct-sbore-24-mm" TargetMode="External"/><Relationship Id="rId114" Type="http://schemas.openxmlformats.org/officeDocument/2006/relationships/hyperlink" Target="https://motorring.ru/product/6085-rastyaghka-zadnego-rychaga-avtoprodukt-vaz-datsun" TargetMode="External"/><Relationship Id="rId119" Type="http://schemas.openxmlformats.org/officeDocument/2006/relationships/hyperlink" Target="https://motorring.ru/product/31388-nakladki-pedali-avtoprodukt-sport-mt-lada-vesta-do-2016" TargetMode="External"/><Relationship Id="rId44" Type="http://schemas.openxmlformats.org/officeDocument/2006/relationships/hyperlink" Target="https://motorring.ru/product/15535-podramnik-avtoprodukt-ghestkimi-rychagami-bez-zaschity-2110" TargetMode="External"/><Relationship Id="rId60" Type="http://schemas.openxmlformats.org/officeDocument/2006/relationships/hyperlink" Target="https://motorring.ru/product/22838-poperechina-autoproduct-sport-vaz-2108-21099-2113-2115" TargetMode="External"/><Relationship Id="rId65" Type="http://schemas.openxmlformats.org/officeDocument/2006/relationships/hyperlink" Target="https://motorring.ru/product/1762-rasporka-perednyaya-rastyaghkoy-dop-oporoy-dvigatelya-vaz" TargetMode="External"/><Relationship Id="rId81" Type="http://schemas.openxmlformats.org/officeDocument/2006/relationships/hyperlink" Target="https://motorring.ru/product/15090-prostavki-ugla-razvala-autoproduct-1-5-gradusa" TargetMode="External"/><Relationship Id="rId86" Type="http://schemas.openxmlformats.org/officeDocument/2006/relationships/hyperlink" Target="https://motorring.ru/product/23897-koplekt-prostavok-autoproduct-drive-pod-sharovuyu-oportu" TargetMode="External"/><Relationship Id="rId130" Type="http://schemas.openxmlformats.org/officeDocument/2006/relationships/hyperlink" Target="https://motorring.ru/product/29900-komplekt-prostavok-znp-pod-zadnie-diskovye-tormoza" TargetMode="External"/><Relationship Id="rId135" Type="http://schemas.openxmlformats.org/officeDocument/2006/relationships/hyperlink" Target="https://motorring.ru/product/29875-pryamotochnyy-glushitely-avtoprodukt-f51-kalina-universal" TargetMode="External"/><Relationship Id="rId151" Type="http://schemas.openxmlformats.org/officeDocument/2006/relationships/drawing" Target="../drawings/drawing1.xml"/><Relationship Id="rId13" Type="http://schemas.openxmlformats.org/officeDocument/2006/relationships/hyperlink" Target="https://motorring.ru/product/6058-usilitely-zadniy-avtoprodukt-lada-granta-kalina-kalina" TargetMode="External"/><Relationship Id="rId18" Type="http://schemas.openxmlformats.org/officeDocument/2006/relationships/hyperlink" Target="https://motorring.ru/product/15541-podramnik-avtoprodukt-drive-poliuretan-bez-zaschity-granta" TargetMode="External"/><Relationship Id="rId39" Type="http://schemas.openxmlformats.org/officeDocument/2006/relationships/hyperlink" Target="https://motorring.ru/product/15599-rychag-zadniy-autoproduct-sbore-rezinovyy-saylentblok-lada" TargetMode="External"/><Relationship Id="rId109" Type="http://schemas.openxmlformats.org/officeDocument/2006/relationships/hyperlink" Target="https://motorring.ru/product/29968-nakladki-pedali-avtoprodukt-sport-amt-lada-xray" TargetMode="External"/><Relationship Id="rId34" Type="http://schemas.openxmlformats.org/officeDocument/2006/relationships/hyperlink" Target="https://motorring.ru/product/29992-kronshteyn-zapasnogo-kolesa-autoproduct-comfort-largus" TargetMode="External"/><Relationship Id="rId50" Type="http://schemas.openxmlformats.org/officeDocument/2006/relationships/hyperlink" Target="https://motorring.ru/product/37440-remkomplekt-usiliteley-zadnih-stoek-dlya-lada-kalina-kalina" TargetMode="External"/><Relationship Id="rId55" Type="http://schemas.openxmlformats.org/officeDocument/2006/relationships/hyperlink" Target="https://motorring.ru/product/29884-pryamotochnyy-glushitely-avtoprodukt-f51-priora-sedan" TargetMode="External"/><Relationship Id="rId76" Type="http://schemas.openxmlformats.org/officeDocument/2006/relationships/hyperlink" Target="https://motorring.ru/product/15526-opora-dvigatelya-levaya-sport-avtoprodukt-vaz-2108-21099" TargetMode="External"/><Relationship Id="rId97" Type="http://schemas.openxmlformats.org/officeDocument/2006/relationships/hyperlink" Target="https://motorring.ru/product/29891-tyagi-avtoprodukt-kontrgaykami-rulevoy-trapecii-vaz-2101" TargetMode="External"/><Relationship Id="rId104" Type="http://schemas.openxmlformats.org/officeDocument/2006/relationships/hyperlink" Target="https://motorring.ru/product/6084-rastyaghka-zadnego-rychaga-avtoprodukt-poliuretan-lada" TargetMode="External"/><Relationship Id="rId120" Type="http://schemas.openxmlformats.org/officeDocument/2006/relationships/hyperlink" Target="https://motorring.ru/product/29880-pryamotochnyy-glushitely-avtoprodukt-f51-2113" TargetMode="External"/><Relationship Id="rId125" Type="http://schemas.openxmlformats.org/officeDocument/2006/relationships/hyperlink" Target="https://motorring.ru/product/29887-tyagi-rulevoy-trapecii-avtoprodukt-kontrgaykami-4x4" TargetMode="External"/><Relationship Id="rId141" Type="http://schemas.openxmlformats.org/officeDocument/2006/relationships/hyperlink" Target="https://motorring.ru/product/37453-stabilizator-poperechnoy-ustoychivosti-autoproduct-sbore-24-mm" TargetMode="External"/><Relationship Id="rId146" Type="http://schemas.openxmlformats.org/officeDocument/2006/relationships/hyperlink" Target="https://motorring.ru/product/29877-pryamotochnyy-glushitely-avtoprodukt-f51-granta" TargetMode="External"/><Relationship Id="rId7" Type="http://schemas.openxmlformats.org/officeDocument/2006/relationships/hyperlink" Target="https://motorring.ru/product/6063-usilitely-schitka-peredka-avtoprodukt-vaz-2110-2112-priora" TargetMode="External"/><Relationship Id="rId71" Type="http://schemas.openxmlformats.org/officeDocument/2006/relationships/hyperlink" Target="https://motorring.ru/product/6060-rastyaghka-perednih-stoek-autoproduct-drive-reguliruemaya" TargetMode="External"/><Relationship Id="rId92" Type="http://schemas.openxmlformats.org/officeDocument/2006/relationships/hyperlink" Target="https://motorring.ru/product/29872-gib-avtoprodukt-perehod-cherez-zadnyuyu-balku-2108" TargetMode="External"/><Relationship Id="rId2" Type="http://schemas.openxmlformats.org/officeDocument/2006/relationships/hyperlink" Target="https://motorring.ru/product/6053-sharnir-reaktivnoy-tyagi-lada-priora" TargetMode="External"/><Relationship Id="rId29" Type="http://schemas.openxmlformats.org/officeDocument/2006/relationships/hyperlink" Target="https://motorring.ru/product/15467-usiliteli-opor-stoek-avtoprodukt-kasterom-gradusa-kalina" TargetMode="External"/><Relationship Id="rId24" Type="http://schemas.openxmlformats.org/officeDocument/2006/relationships/hyperlink" Target="https://motorring.ru/product/1752-rasporka-nighnyaya-avtoprodukt-vaz-2108-21099-2110-2112" TargetMode="External"/><Relationship Id="rId40" Type="http://schemas.openxmlformats.org/officeDocument/2006/relationships/hyperlink" Target="https://motorring.ru/product/15600-rychag-zadniy-autoproduct-sbore-lada-granta-kalina-kalina" TargetMode="External"/><Relationship Id="rId45" Type="http://schemas.openxmlformats.org/officeDocument/2006/relationships/hyperlink" Target="https://motorring.ru/product/6088-rychagi-reguliruemye-perednie-autoproduct-pod-uvelichennuyu" TargetMode="External"/><Relationship Id="rId66" Type="http://schemas.openxmlformats.org/officeDocument/2006/relationships/hyperlink" Target="https://motorring.ru/product/29964-nakladki-pedali-avtoprodukt-sport-mt-lada-vesta-2016" TargetMode="External"/><Relationship Id="rId87" Type="http://schemas.openxmlformats.org/officeDocument/2006/relationships/hyperlink" Target="https://motorring.ru/product/29889-opory-reyki-rulevogo-mehanizma-avtoprodukt-vaz-2110" TargetMode="External"/><Relationship Id="rId110" Type="http://schemas.openxmlformats.org/officeDocument/2006/relationships/hyperlink" Target="https://motorring.ru/product/15632-rasporka-zadnyaya-autoproduct-vaz-2108-21099-2113-2115" TargetMode="External"/><Relationship Id="rId115" Type="http://schemas.openxmlformats.org/officeDocument/2006/relationships/hyperlink" Target="https://motorring.ru/product/15105-kronshteyn-zadney-opory-silovogo-agregata-pod-mkpp-kalina" TargetMode="External"/><Relationship Id="rId131" Type="http://schemas.openxmlformats.org/officeDocument/2006/relationships/hyperlink" Target="https://motorring.ru/product/6061-rasporka-autoproduct-drive-perednyaya-rastyaghkoy-silovogo" TargetMode="External"/><Relationship Id="rId136" Type="http://schemas.openxmlformats.org/officeDocument/2006/relationships/hyperlink" Target="https://motorring.ru/product/6057-usilitely-zadniy-avtoprodukt-vaz-2111-2112" TargetMode="External"/><Relationship Id="rId61" Type="http://schemas.openxmlformats.org/officeDocument/2006/relationships/hyperlink" Target="https://motorring.ru/product/6077-poperechina-autoproduct-drive-rezinovymi-saylentblokami" TargetMode="External"/><Relationship Id="rId82" Type="http://schemas.openxmlformats.org/officeDocument/2006/relationships/hyperlink" Target="https://motorring.ru/product/15469-usiliteli-opor-stoek-avtoprodukt-vaz-2108-21099-2113-2115" TargetMode="External"/><Relationship Id="rId152" Type="http://schemas.openxmlformats.org/officeDocument/2006/relationships/vmlDrawing" Target="../drawings/vmlDrawing1.vml"/><Relationship Id="rId19" Type="http://schemas.openxmlformats.org/officeDocument/2006/relationships/hyperlink" Target="https://motorring.ru/product/15533-podramnik-autoproduct-sport-bez-zaschity-lada-granta-kalina" TargetMode="External"/><Relationship Id="rId14" Type="http://schemas.openxmlformats.org/officeDocument/2006/relationships/hyperlink" Target="https://motorring.ru/product/29874-pryamotochnyy-glushitely-avtoprodukt-f51-dlya-lada-kalina" TargetMode="External"/><Relationship Id="rId30" Type="http://schemas.openxmlformats.org/officeDocument/2006/relationships/hyperlink" Target="https://motorring.ru/product/1767-opora-dvigatelya-perednyaya-sport-avtoprodukt-vaz" TargetMode="External"/><Relationship Id="rId35" Type="http://schemas.openxmlformats.org/officeDocument/2006/relationships/hyperlink" Target="https://motorring.ru/product/29924-rychagi-podramnika-ghestkie-70mm-autoproduct-vaz-2108-2115" TargetMode="External"/><Relationship Id="rId56" Type="http://schemas.openxmlformats.org/officeDocument/2006/relationships/hyperlink" Target="https://motorring.ru/product/29883-pryamotochnyy-glushitely-avtoprodukt-f51-2112" TargetMode="External"/><Relationship Id="rId77" Type="http://schemas.openxmlformats.org/officeDocument/2006/relationships/hyperlink" Target="https://motorring.ru/product/15092-prostavki-ugla-razvala-autoproduct-2-5-gradusa-vaz-2108" TargetMode="External"/><Relationship Id="rId100" Type="http://schemas.openxmlformats.org/officeDocument/2006/relationships/hyperlink" Target="https://motorring.ru/product/15539-dopolnitelynaya-opora-dvigatelya-avtoprodukt-vaz-2110-2112" TargetMode="External"/><Relationship Id="rId105" Type="http://schemas.openxmlformats.org/officeDocument/2006/relationships/hyperlink" Target="https://motorring.ru/product/15613-rasporka-perednyaya-avtoprodukt-vaz-2110-2112-priora" TargetMode="External"/><Relationship Id="rId126" Type="http://schemas.openxmlformats.org/officeDocument/2006/relationships/hyperlink" Target="https://motorring.ru/product/4311-poperechina-autoproduct-drive-poliuretanovymi" TargetMode="External"/><Relationship Id="rId147" Type="http://schemas.openxmlformats.org/officeDocument/2006/relationships/hyperlink" Target="https://motorring.ru/product/38364-usilennyy-kronshteyn-zapasnogo-kolesa-autoproduct-largus" TargetMode="External"/><Relationship Id="rId8" Type="http://schemas.openxmlformats.org/officeDocument/2006/relationships/hyperlink" Target="https://motorring.ru/product/29888-opory-reyki-rulevogo-mehanizma-avtoprodukt-vaz-2108" TargetMode="External"/><Relationship Id="rId51" Type="http://schemas.openxmlformats.org/officeDocument/2006/relationships/hyperlink" Target="https://motorring.ru/product/36923-stabilizator-poperechnoy-ustoychivosti-avtoprodukt-22mm-v-sbore" TargetMode="External"/><Relationship Id="rId72" Type="http://schemas.openxmlformats.org/officeDocument/2006/relationships/hyperlink" Target="https://motorring.ru/product/29965-nakladki-pedali-avtoprodukt-sport-amt-lada-vesta-2016" TargetMode="External"/><Relationship Id="rId93" Type="http://schemas.openxmlformats.org/officeDocument/2006/relationships/hyperlink" Target="https://motorring.ru/product/29873-gib-avtoprodukt-perehod-cherez-zadnyuyu-balku-2110" TargetMode="External"/><Relationship Id="rId98" Type="http://schemas.openxmlformats.org/officeDocument/2006/relationships/hyperlink" Target="https://motorring.ru/product/1757-rasporka-nighnyaya-avtoprodukt-lada-granta-kalina-kalina" TargetMode="External"/><Relationship Id="rId121" Type="http://schemas.openxmlformats.org/officeDocument/2006/relationships/hyperlink" Target="https://motorring.ru/product/29886-pryamotochnyy-glushitely-avtoprodukt-f51-2111" TargetMode="External"/><Relationship Id="rId142" Type="http://schemas.openxmlformats.org/officeDocument/2006/relationships/hyperlink" Target="https://motorring.ru/product/15544-podramnik-avtoprodukt-drive-poliuretan-bez-zaschity-lada" TargetMode="External"/><Relationship Id="rId3" Type="http://schemas.openxmlformats.org/officeDocument/2006/relationships/hyperlink" Target="https://motorring.ru/product/9620-sharnir-reaktivnoy-tyagi-avtoprodukt-lada-kalina-granta" TargetMode="External"/><Relationship Id="rId25" Type="http://schemas.openxmlformats.org/officeDocument/2006/relationships/hyperlink" Target="https://motorring.ru/product/5849-opora-dvigatelya-avtoprodukt-vaz-2110-2111-2112-lada-priora" TargetMode="External"/><Relationship Id="rId46" Type="http://schemas.openxmlformats.org/officeDocument/2006/relationships/hyperlink" Target="https://motorring.ru/product/15576-rychagi-reguliruemye-perednie-lada-granta-kalina-priora" TargetMode="External"/><Relationship Id="rId67" Type="http://schemas.openxmlformats.org/officeDocument/2006/relationships/hyperlink" Target="https://motorring.ru/product/29966-nakladki-pedali-avtoprodukt-sport-mt-lada-xray-logan" TargetMode="External"/><Relationship Id="rId116" Type="http://schemas.openxmlformats.org/officeDocument/2006/relationships/hyperlink" Target="https://motorring.ru/product/6086-kronshteyn-zadney-opory-0488-ar90-1001030-dlya-lada-granta" TargetMode="External"/><Relationship Id="rId137" Type="http://schemas.openxmlformats.org/officeDocument/2006/relationships/hyperlink" Target="https://motorring.ru/product/29905-valy-privoda-perednih-koles-avtoprodukt-sport-70mm" TargetMode="External"/><Relationship Id="rId20" Type="http://schemas.openxmlformats.org/officeDocument/2006/relationships/hyperlink" Target="https://motorring.ru/product/29903-samoblokiruyuschiysya-differencial-rzm-avtoprodukt-2101" TargetMode="External"/><Relationship Id="rId41" Type="http://schemas.openxmlformats.org/officeDocument/2006/relationships/hyperlink" Target="https://motorring.ru/product/15591-rychag-zadniy-sbore-autoproduct-rezinovyy-saylentblok-lada" TargetMode="External"/><Relationship Id="rId62" Type="http://schemas.openxmlformats.org/officeDocument/2006/relationships/hyperlink" Target="https://motorring.ru/product/4312-poperechina-autoproduct-safe-rezinovymi-saylentblokami-vaz" TargetMode="External"/><Relationship Id="rId83" Type="http://schemas.openxmlformats.org/officeDocument/2006/relationships/hyperlink" Target="https://motorring.ru/product/29954-prostavki-ugla-razvala-autoproduct-1gradus-datsun" TargetMode="External"/><Relationship Id="rId88" Type="http://schemas.openxmlformats.org/officeDocument/2006/relationships/hyperlink" Target="https://motorring.ru/product/15472-usiliteli-opor-stoek-avtoprodukt-lada-priora-vaz-2110-12" TargetMode="External"/><Relationship Id="rId111" Type="http://schemas.openxmlformats.org/officeDocument/2006/relationships/hyperlink" Target="https://motorring.ru/product/15629-rasporka-perednyaya-autoproduct-drive-reguliruemaya-vaz" TargetMode="External"/><Relationship Id="rId132" Type="http://schemas.openxmlformats.org/officeDocument/2006/relationships/hyperlink" Target="https://motorring.ru/product/19291-opora-generatora-avtoprodukt-regulirovkoy-lada-granta" TargetMode="External"/><Relationship Id="rId153" Type="http://schemas.openxmlformats.org/officeDocument/2006/relationships/control" Target="../activeX/activeX1.xml"/><Relationship Id="rId15" Type="http://schemas.openxmlformats.org/officeDocument/2006/relationships/hyperlink" Target="https://motorring.ru/product/29951-prostavki-zadnego-rychaga-autoproduct-drive-70mm" TargetMode="External"/><Relationship Id="rId36" Type="http://schemas.openxmlformats.org/officeDocument/2006/relationships/hyperlink" Target="https://motorring.ru/product/15543-podramnik-avtoprodukt-ghestkimi-rychagami-bez-zaschity-lada" TargetMode="External"/><Relationship Id="rId57" Type="http://schemas.openxmlformats.org/officeDocument/2006/relationships/hyperlink" Target="https://motorring.ru/product/29882-pryamotochnyy-glushitely-avtoprodukt-f51-2110" TargetMode="External"/><Relationship Id="rId106" Type="http://schemas.openxmlformats.org/officeDocument/2006/relationships/hyperlink" Target="https://motorring.ru/product/15525-opora-dvigatelya-zadnyaya-sport-avtoprodukt-vaz-2108-21099" TargetMode="External"/><Relationship Id="rId127" Type="http://schemas.openxmlformats.org/officeDocument/2006/relationships/hyperlink" Target="https://motorring.ru/product/22836-poperechina-autoproduct-sport-lada-granta-kalina-kalina" TargetMode="External"/><Relationship Id="rId10" Type="http://schemas.openxmlformats.org/officeDocument/2006/relationships/hyperlink" Target="https://motorring.ru/product/29919-remkomplekt-podramnika-avtoprodukt-parts-dlya-vaz" TargetMode="External"/><Relationship Id="rId31" Type="http://schemas.openxmlformats.org/officeDocument/2006/relationships/hyperlink" Target="https://motorring.ru/product/1766-komplekt-opor-dvigatelya-sport-avtoprodukt-vaz-2108-21099" TargetMode="External"/><Relationship Id="rId52" Type="http://schemas.openxmlformats.org/officeDocument/2006/relationships/hyperlink" Target="https://motorring.ru/product/37446-stabilizator-poperechnoy-ustoychivosti-autoproduct-sbore" TargetMode="External"/><Relationship Id="rId73" Type="http://schemas.openxmlformats.org/officeDocument/2006/relationships/hyperlink" Target="https://motorring.ru/product/6054-saylentblok-rychaga-vertikalynyy-avtoprodukt-zapchasty-lada" TargetMode="External"/><Relationship Id="rId78" Type="http://schemas.openxmlformats.org/officeDocument/2006/relationships/hyperlink" Target="https://motorring.ru/product/15615-rasporka-nighnyaya-autoproduct-drive-lada-4h4-shevrole-niva" TargetMode="External"/><Relationship Id="rId94" Type="http://schemas.openxmlformats.org/officeDocument/2006/relationships/hyperlink" Target="https://motorring.ru/product/15091-prostavki-ugla-razvala-autoproduct-2gradusa-dlya-vaz" TargetMode="External"/><Relationship Id="rId99" Type="http://schemas.openxmlformats.org/officeDocument/2006/relationships/hyperlink" Target="https://motorring.ru/product/15527-opora-dvigatelya-perednyaya-avtoprodukt-vaz-2108-21099" TargetMode="External"/><Relationship Id="rId101" Type="http://schemas.openxmlformats.org/officeDocument/2006/relationships/hyperlink" Target="https://motorring.ru/product/29950-prostavki-ugla-razvala-autoproduct-3-5-gradusa-vaz-2108" TargetMode="External"/><Relationship Id="rId122" Type="http://schemas.openxmlformats.org/officeDocument/2006/relationships/hyperlink" Target="https://motorring.ru/product/29879-pryamotochnyy-glushitely-avtoprodukt-f51-21099" TargetMode="External"/><Relationship Id="rId143" Type="http://schemas.openxmlformats.org/officeDocument/2006/relationships/hyperlink" Target="https://motorring.ru/product/15630-rasporka-perednyaya-autoproduct-drive-2108-21099-2113-2115" TargetMode="External"/><Relationship Id="rId148" Type="http://schemas.openxmlformats.org/officeDocument/2006/relationships/hyperlink" Target="https://motorring.ru/product/37514-zadnyaya-nezavisimaya-podveska-dlya-lada-vesta-vesta-sw" TargetMode="External"/><Relationship Id="rId4" Type="http://schemas.openxmlformats.org/officeDocument/2006/relationships/hyperlink" Target="https://motorring.ru/product/18810-prostavki-ugla-razvala-gradus-lada-vesta-iks-rey" TargetMode="External"/><Relationship Id="rId9" Type="http://schemas.openxmlformats.org/officeDocument/2006/relationships/hyperlink" Target="https://motorring.ru/product/29949-prostavki-korrektirovki-shoghdeniya-avtoprodukt-drive-largus" TargetMode="External"/><Relationship Id="rId26" Type="http://schemas.openxmlformats.org/officeDocument/2006/relationships/hyperlink" Target="https://motorring.ru/product/22837-poperechina-autoproduct-drive-dopolnitelynoy-oporoy-vaz" TargetMode="External"/><Relationship Id="rId47" Type="http://schemas.openxmlformats.org/officeDocument/2006/relationships/hyperlink" Target="https://motorring.ru/product/31389-rychagi-reguliruemye-pered-autoproduct-sport-pu-2108" TargetMode="External"/><Relationship Id="rId68" Type="http://schemas.openxmlformats.org/officeDocument/2006/relationships/hyperlink" Target="https://motorring.ru/product/6052-kronshteyn-levoy-opory-kpp-autoproduct-drive-lada-granta" TargetMode="External"/><Relationship Id="rId89" Type="http://schemas.openxmlformats.org/officeDocument/2006/relationships/hyperlink" Target="https://motorring.ru/product/5414-usiliteli-opor-stoek-avtoprodukt-lada-kalina-kalina-granta" TargetMode="External"/><Relationship Id="rId112" Type="http://schemas.openxmlformats.org/officeDocument/2006/relationships/hyperlink" Target="https://motorring.ru/product/29931-kronshteyn-levoy-opory-kulisnoy-kpp-avtoprodukt-drive-granta" TargetMode="External"/><Relationship Id="rId133" Type="http://schemas.openxmlformats.org/officeDocument/2006/relationships/hyperlink" Target="https://motorring.ru/product/29876-pryamotochnyy-glushitely-avtoprodukt-f51-kalina-sedan" TargetMode="External"/><Relationship Id="rId154" Type="http://schemas.openxmlformats.org/officeDocument/2006/relationships/image" Target="../media/image1.emf"/><Relationship Id="rId16" Type="http://schemas.openxmlformats.org/officeDocument/2006/relationships/hyperlink" Target="https://motorring.ru/product/15545-podramnik-avtoprodukt-drive-bez-zaschity-lada-granta-kalina" TargetMode="External"/><Relationship Id="rId37" Type="http://schemas.openxmlformats.org/officeDocument/2006/relationships/hyperlink" Target="https://motorring.ru/product/15529-podramnik-autoproduct-ghestkimi-rychagami-bez-zaschity-2108" TargetMode="External"/><Relationship Id="rId58" Type="http://schemas.openxmlformats.org/officeDocument/2006/relationships/hyperlink" Target="https://motorring.ru/product/2394-poperechina-avtoprodukt-drive-vaz-2110-2112-priora" TargetMode="External"/><Relationship Id="rId79" Type="http://schemas.openxmlformats.org/officeDocument/2006/relationships/hyperlink" Target="https://motorring.ru/product/15470-usiliteli-opor-stoek-avtoprodukt-kasterom-gradusa-2108" TargetMode="External"/><Relationship Id="rId102" Type="http://schemas.openxmlformats.org/officeDocument/2006/relationships/hyperlink" Target="https://motorring.ru/product/29892-remkomplekt-reguliruemyh-rychagov-avtoprodukt-dlya-vaz" TargetMode="External"/><Relationship Id="rId123" Type="http://schemas.openxmlformats.org/officeDocument/2006/relationships/hyperlink" Target="https://motorring.ru/product/6055-usilitely-zadniy-avtoprodukt-vaz-2108-2109-2113-2114" TargetMode="External"/><Relationship Id="rId144" Type="http://schemas.openxmlformats.org/officeDocument/2006/relationships/hyperlink" Target="https://motorring.ru/product/15553-zaschita-dvigatelya-stalynaya-ocinkovannaya-avtoprodukt" TargetMode="External"/><Relationship Id="rId90" Type="http://schemas.openxmlformats.org/officeDocument/2006/relationships/hyperlink" Target="https://motorring.ru/product/1759-rasporka-nighnyaya-autoproduct-safe-lada-granta-kalina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B222"/>
  <sheetViews>
    <sheetView showGridLines="0" tabSelected="1" workbookViewId="0">
      <pane ySplit="2" topLeftCell="A165" activePane="bottomLeft" state="frozen"/>
      <selection pane="bottomLeft" activeCell="N166" sqref="N166"/>
    </sheetView>
  </sheetViews>
  <sheetFormatPr defaultRowHeight="15" outlineLevelCol="1"/>
  <cols>
    <col min="1" max="1" width="7.28515625" customWidth="1"/>
    <col min="3" max="3" width="36.5703125" customWidth="1"/>
    <col min="4" max="4" width="2.42578125" style="4" bestFit="1" customWidth="1"/>
    <col min="5" max="5" width="4.85546875" bestFit="1" customWidth="1"/>
    <col min="6" max="6" width="15" style="24" customWidth="1"/>
    <col min="7" max="7" width="10" style="25" customWidth="1"/>
    <col min="8" max="8" width="14.28515625" customWidth="1"/>
    <col min="9" max="9" width="7.85546875" style="69" bestFit="1" customWidth="1"/>
    <col min="10" max="10" width="10.140625" style="1" bestFit="1" customWidth="1"/>
    <col min="11" max="11" width="8.85546875" style="1" bestFit="1" customWidth="1"/>
    <col min="12" max="12" width="6.7109375" style="1" bestFit="1" customWidth="1"/>
    <col min="13" max="13" width="10.5703125" style="69" bestFit="1" customWidth="1"/>
    <col min="14" max="14" width="7.140625" style="69" bestFit="1" customWidth="1"/>
    <col min="15" max="15" width="6.7109375" bestFit="1" customWidth="1"/>
    <col min="16" max="16" width="6.85546875" bestFit="1" customWidth="1"/>
    <col min="17" max="17" width="8.28515625" style="10" bestFit="1" customWidth="1"/>
    <col min="18" max="18" width="8" style="10" customWidth="1"/>
    <col min="19" max="19" width="8.42578125" customWidth="1"/>
    <col min="20" max="20" width="8.42578125" style="69" customWidth="1"/>
    <col min="21" max="21" width="2" style="4" bestFit="1" customWidth="1"/>
    <col min="22" max="22" width="7.5703125" bestFit="1" customWidth="1"/>
    <col min="23" max="25" width="8.42578125" customWidth="1"/>
    <col min="26" max="26" width="8.42578125" style="69" customWidth="1"/>
    <col min="28" max="28" width="6.5703125" customWidth="1" outlineLevel="1"/>
  </cols>
  <sheetData>
    <row r="1" spans="1:28">
      <c r="B1" s="52">
        <v>2</v>
      </c>
      <c r="C1" s="52">
        <v>3</v>
      </c>
      <c r="D1">
        <v>4</v>
      </c>
      <c r="E1">
        <v>14</v>
      </c>
      <c r="F1">
        <v>5</v>
      </c>
      <c r="H1" s="37">
        <f>COUNT(Z:Z)/COUNT(A:A)</f>
        <v>0.7142857142857143</v>
      </c>
      <c r="I1" s="92">
        <f>O1</f>
        <v>8</v>
      </c>
      <c r="M1" s="92">
        <f>P1</f>
        <v>9</v>
      </c>
      <c r="O1">
        <v>8</v>
      </c>
      <c r="P1">
        <v>9</v>
      </c>
      <c r="Q1" s="69"/>
      <c r="R1" s="69"/>
      <c r="U1"/>
      <c r="W1" s="44" t="str">
        <f>_xlfn.CONCAT(ROUND(MIN(W3:W9001)*100,0),"-",ROUND(MAX(W3:W9001)*100,0),"%")</f>
        <v>15-102%</v>
      </c>
      <c r="X1" s="44" t="str">
        <f>_xlfn.CONCAT(ROUND(SUBTOTAL(5,X3:X9001)*100,0)," - ",ROUND(SUBTOTAL(4,X3:X9001)*100,0),"%")</f>
        <v>-12 - 43%</v>
      </c>
      <c r="Y1" s="44" t="str">
        <f>_xlfn.CONCAT(ROUND(SUBTOTAL(5,Y3:Y90001)*100,0)," - ",ROUND(SUBTOTAL(4,Y3:Y90001)*100,0),"%")</f>
        <v>4 - 112%</v>
      </c>
      <c r="Z1" s="76"/>
    </row>
    <row r="2" spans="1:28" s="24" customFormat="1" ht="36.75" customHeight="1">
      <c r="A2" s="22" t="s">
        <v>0</v>
      </c>
      <c r="B2" s="53" t="s">
        <v>1028</v>
      </c>
      <c r="C2" s="53" t="s">
        <v>379</v>
      </c>
      <c r="D2" s="53"/>
      <c r="E2" s="53"/>
      <c r="F2" s="53" t="s">
        <v>1047</v>
      </c>
      <c r="G2" s="22" t="s">
        <v>367</v>
      </c>
      <c r="H2" s="22" t="s">
        <v>1</v>
      </c>
      <c r="I2" s="93" t="s">
        <v>450</v>
      </c>
      <c r="J2" s="28" t="s">
        <v>197</v>
      </c>
      <c r="K2" s="28" t="s">
        <v>448</v>
      </c>
      <c r="L2" s="28">
        <v>1.22</v>
      </c>
      <c r="M2" s="95" t="s">
        <v>417</v>
      </c>
      <c r="N2" s="93" t="s">
        <v>764</v>
      </c>
      <c r="O2" s="53" t="s">
        <v>690</v>
      </c>
      <c r="P2" s="53" t="s">
        <v>691</v>
      </c>
      <c r="Q2" s="70" t="s">
        <v>953</v>
      </c>
      <c r="R2" s="70" t="s">
        <v>953</v>
      </c>
      <c r="S2" s="84">
        <v>0.05</v>
      </c>
      <c r="T2" s="81" t="s">
        <v>926</v>
      </c>
      <c r="U2" s="82"/>
      <c r="V2" s="82" t="s">
        <v>1091</v>
      </c>
      <c r="W2" s="46" t="s">
        <v>760</v>
      </c>
      <c r="X2" s="46" t="s">
        <v>761</v>
      </c>
      <c r="Y2" s="46" t="s">
        <v>762</v>
      </c>
      <c r="Z2" s="77" t="s">
        <v>763</v>
      </c>
      <c r="AA2"/>
      <c r="AB2" s="29">
        <v>2</v>
      </c>
    </row>
    <row r="3" spans="1:28" ht="45.75" thickBot="1">
      <c r="A3" s="21">
        <v>140685</v>
      </c>
      <c r="B3" s="21">
        <f>VLOOKUP($A3,'Выгр Кат'!$A:$R,B$1,0)</f>
        <v>35088</v>
      </c>
      <c r="C3" s="54" t="str">
        <f>VLOOKUP($A3,'Выгр Кат'!$A:$R,C$1,0)</f>
        <v>Гайка регулировочная "AUTOPRODUCT" для задней независимой подвески</v>
      </c>
      <c r="D3" s="21" t="str">
        <f>VLOOKUP($A3,'Выгр Кат'!$A:$R,D$1,0)</f>
        <v>Y</v>
      </c>
      <c r="E3" s="21" t="str">
        <f>VLOOKUP($A3,'Выгр Кат'!$A:$R,E$1,0)</f>
        <v>1</v>
      </c>
      <c r="F3" s="21" t="str">
        <f>VLOOKUP($A3,'Выгр Кат'!$A:$R,F$1,0)</f>
        <v>AP 0583</v>
      </c>
      <c r="G3" s="23" t="s">
        <v>243</v>
      </c>
      <c r="H3" s="6" t="s">
        <v>3</v>
      </c>
      <c r="I3" s="92">
        <f>O3</f>
        <v>230</v>
      </c>
      <c r="J3" s="8" t="e">
        <f t="shared" ref="J3:J66" si="0">K3/I3</f>
        <v>#N/A</v>
      </c>
      <c r="K3" s="8" t="e">
        <f>VLOOKUP($G3,ПРАЙС!$B:$H,7,0)</f>
        <v>#N/A</v>
      </c>
      <c r="L3" s="8" t="e">
        <f t="shared" ref="L3:L66" si="1">IF(J3&lt;$L$2,$L$2,J3)</f>
        <v>#N/A</v>
      </c>
      <c r="M3" s="92">
        <f>P3</f>
        <v>489</v>
      </c>
      <c r="N3" s="94">
        <f t="shared" ref="N3:N66" si="2">IF(M3&lt;=1000,(ROUNDUP(M3,-1)-1),(ROUNDUP(M3,-2)-10))</f>
        <v>489</v>
      </c>
      <c r="O3" s="21">
        <f>VLOOKUP($A3,'Выгр Кат'!$A:$R,O$1,0)</f>
        <v>230</v>
      </c>
      <c r="P3" s="21">
        <f>VLOOKUP($A3,'Выгр Кат'!$A:$R,P$1,0)</f>
        <v>489</v>
      </c>
      <c r="Q3" s="70">
        <f t="shared" ref="Q3:Q66" si="3">O3-I3</f>
        <v>0</v>
      </c>
      <c r="R3" s="70">
        <f t="shared" ref="R3:R66" si="4">P3-N3</f>
        <v>0</v>
      </c>
      <c r="S3" s="85">
        <f>IFERROR(N3*(1-$S$2),"")</f>
        <v>464.54999999999995</v>
      </c>
      <c r="T3" s="81">
        <f>IFERROR((VLOOKUP($A3,'Из ГУГЛа'!$B:$G,6,0)+V3)*U3,VLOOKUP($A3,'Из ГУГЛа'!$B:$G,6,0))</f>
        <v>469</v>
      </c>
      <c r="U3" s="83">
        <v>1</v>
      </c>
      <c r="V3" s="83">
        <v>0</v>
      </c>
      <c r="W3" s="48">
        <f t="shared" ref="W3:W66" si="5">IFERROR(S3/I3-1,"")</f>
        <v>1.0197826086956518</v>
      </c>
      <c r="X3" s="48">
        <f t="shared" ref="X3:X66" si="6">IFERROR((Z3-S3)/Z3,"")</f>
        <v>9.4882729211088392E-3</v>
      </c>
      <c r="Y3" s="48">
        <f t="shared" ref="Y3:Y66" si="7">IFERROR(IF(Z3="","",Z3/I3-1),"")</f>
        <v>1.0391304347826087</v>
      </c>
      <c r="Z3" s="78">
        <v>469</v>
      </c>
      <c r="AA3" t="s">
        <v>968</v>
      </c>
      <c r="AB3" s="13"/>
    </row>
    <row r="4" spans="1:28" ht="46.5" thickTop="1" thickBot="1">
      <c r="A4" s="9">
        <v>225418</v>
      </c>
      <c r="B4" s="21">
        <f>VLOOKUP($A4,'Выгр Кат'!$A:$R,B$1,0)</f>
        <v>3637</v>
      </c>
      <c r="C4" s="54" t="str">
        <f>VLOOKUP($A4,'Выгр Кат'!$A:$R,C$1,0)</f>
        <v>Шарнир реактивной тяги "AUTOPRODUCT" для ВАЗ 2110-2112, Лада Приора</v>
      </c>
      <c r="D4" s="21" t="str">
        <f>VLOOKUP($A4,'Выгр Кат'!$A:$R,D$1,0)</f>
        <v>Y</v>
      </c>
      <c r="E4" s="21" t="str">
        <f>VLOOKUP($A4,'Выгр Кат'!$A:$R,E$1,0)</f>
        <v>1</v>
      </c>
      <c r="F4" s="21" t="str">
        <f>VLOOKUP($A4,'Выгр Кат'!$A:$R,F$1,0)</f>
        <v>АР 0150</v>
      </c>
      <c r="G4" s="7" t="s">
        <v>346</v>
      </c>
      <c r="H4" s="6" t="s">
        <v>3</v>
      </c>
      <c r="I4" s="94">
        <f>VLOOKUP($G4,ПРАЙС!$B:$H,5,0)</f>
        <v>465</v>
      </c>
      <c r="J4" s="8">
        <f t="shared" si="0"/>
        <v>1.2688172043010753</v>
      </c>
      <c r="K4" s="8">
        <f>VLOOKUP($G4,ПРАЙС!$B:$H,7,0)</f>
        <v>590</v>
      </c>
      <c r="L4" s="8">
        <f t="shared" si="1"/>
        <v>1.2688172043010753</v>
      </c>
      <c r="M4" s="9">
        <f t="shared" ref="M3:M66" si="8">I4*L4</f>
        <v>590</v>
      </c>
      <c r="N4" s="94">
        <f t="shared" si="2"/>
        <v>589</v>
      </c>
      <c r="O4" s="21">
        <f>VLOOKUP($A4,'Выгр Кат'!$A:$R,O$1,0)</f>
        <v>465</v>
      </c>
      <c r="P4" s="21">
        <f>VLOOKUP($A4,'Выгр Кат'!$A:$R,P$1,0)</f>
        <v>779</v>
      </c>
      <c r="Q4" s="70">
        <f t="shared" si="3"/>
        <v>0</v>
      </c>
      <c r="R4" s="70">
        <f t="shared" si="4"/>
        <v>190</v>
      </c>
      <c r="S4" s="85">
        <f t="shared" ref="S4:S67" si="9">IFERROR(N4*(1-$S$2),"")</f>
        <v>559.54999999999995</v>
      </c>
      <c r="T4" s="81">
        <f>IFERROR((VLOOKUP($A4,'Из ГУГЛа'!$B:$G,6,0)+V4)*U4,VLOOKUP($A4,'Из ГУГЛа'!$B:$G,6,0))</f>
        <v>749</v>
      </c>
      <c r="U4" s="83">
        <v>1</v>
      </c>
      <c r="V4" s="83">
        <v>0</v>
      </c>
      <c r="W4" s="48">
        <f t="shared" si="5"/>
        <v>0.20333333333333314</v>
      </c>
      <c r="X4" s="48">
        <f t="shared" si="6"/>
        <v>0.25293724966622166</v>
      </c>
      <c r="Y4" s="48">
        <f t="shared" si="7"/>
        <v>0.61075268817204309</v>
      </c>
      <c r="Z4" s="78">
        <v>749</v>
      </c>
      <c r="AA4" t="s">
        <v>765</v>
      </c>
      <c r="AB4" s="35">
        <v>495</v>
      </c>
    </row>
    <row r="5" spans="1:28" ht="46.5" thickTop="1" thickBot="1">
      <c r="A5" s="9">
        <v>225419</v>
      </c>
      <c r="B5" s="21">
        <f>VLOOKUP($A5,'Выгр Кат'!$A:$R,B$1,0)</f>
        <v>19550</v>
      </c>
      <c r="C5" s="54" t="str">
        <f>VLOOKUP($A5,'Выгр Кат'!$A:$R,C$1,0)</f>
        <v>Шарнир реактивной тяги "AUTOPRODUCT" для Лада Калина, Гранта</v>
      </c>
      <c r="D5" s="21" t="str">
        <f>VLOOKUP($A5,'Выгр Кат'!$A:$R,D$1,0)</f>
        <v>Y</v>
      </c>
      <c r="E5" s="21" t="str">
        <f>VLOOKUP($A5,'Выгр Кат'!$A:$R,E$1,0)</f>
        <v>1</v>
      </c>
      <c r="F5" s="21" t="str">
        <f>VLOOKUP($A5,'Выгр Кат'!$A:$R,F$1,0)</f>
        <v>АР 0300</v>
      </c>
      <c r="G5" s="7" t="s">
        <v>347</v>
      </c>
      <c r="H5" s="6" t="s">
        <v>3</v>
      </c>
      <c r="I5" s="94">
        <f>VLOOKUP($G5,ПРАЙС!$B:$H,5,0)</f>
        <v>455</v>
      </c>
      <c r="J5" s="8">
        <f t="shared" si="0"/>
        <v>1.2967032967032968</v>
      </c>
      <c r="K5" s="8">
        <f>VLOOKUP($G5,ПРАЙС!$B:$H,7,0)</f>
        <v>590</v>
      </c>
      <c r="L5" s="8">
        <f t="shared" si="1"/>
        <v>1.2967032967032968</v>
      </c>
      <c r="M5" s="9">
        <f t="shared" si="8"/>
        <v>590</v>
      </c>
      <c r="N5" s="94">
        <f t="shared" si="2"/>
        <v>589</v>
      </c>
      <c r="O5" s="21">
        <f>VLOOKUP($A5,'Выгр Кат'!$A:$R,O$1,0)</f>
        <v>455</v>
      </c>
      <c r="P5" s="21">
        <f>VLOOKUP($A5,'Выгр Кат'!$A:$R,P$1,0)</f>
        <v>759</v>
      </c>
      <c r="Q5" s="70">
        <f t="shared" si="3"/>
        <v>0</v>
      </c>
      <c r="R5" s="70">
        <f t="shared" si="4"/>
        <v>170</v>
      </c>
      <c r="S5" s="85">
        <f t="shared" si="9"/>
        <v>559.54999999999995</v>
      </c>
      <c r="T5" s="81">
        <f>IFERROR((VLOOKUP($A5,'Из ГУГЛа'!$B:$G,6,0)+V5)*U5,VLOOKUP($A5,'Из ГУГЛа'!$B:$G,6,0))</f>
        <v>729</v>
      </c>
      <c r="U5" s="83">
        <v>1</v>
      </c>
      <c r="V5" s="83">
        <v>0</v>
      </c>
      <c r="W5" s="48">
        <f t="shared" si="5"/>
        <v>0.22978021978021967</v>
      </c>
      <c r="X5" s="48">
        <f t="shared" si="6"/>
        <v>0.23244170096021954</v>
      </c>
      <c r="Y5" s="48">
        <f t="shared" si="7"/>
        <v>0.60219780219780228</v>
      </c>
      <c r="Z5" s="78">
        <v>729</v>
      </c>
      <c r="AA5" t="s">
        <v>766</v>
      </c>
      <c r="AB5" s="35">
        <v>495</v>
      </c>
    </row>
    <row r="6" spans="1:28" ht="31.5" thickTop="1" thickBot="1">
      <c r="A6" s="9">
        <v>201630</v>
      </c>
      <c r="B6" s="21">
        <f>VLOOKUP($A6,'Выгр Кат'!$A:$R,B$1,0)</f>
        <v>19589</v>
      </c>
      <c r="C6" s="54" t="str">
        <f>VLOOKUP($A6,'Выгр Кат'!$A:$R,C$1,0)</f>
        <v>Проставки -1° "AUTOPRODUCT" для Лада Веста, XRAY</v>
      </c>
      <c r="D6" s="21" t="str">
        <f>VLOOKUP($A6,'Выгр Кат'!$A:$R,D$1,0)</f>
        <v>Y</v>
      </c>
      <c r="E6" s="21" t="str">
        <f>VLOOKUP($A6,'Выгр Кат'!$A:$R,E$1,0)</f>
        <v>1</v>
      </c>
      <c r="F6" s="21" t="str">
        <f>VLOOKUP($A6,'Выгр Кат'!$A:$R,F$1,0)</f>
        <v>АР 0680</v>
      </c>
      <c r="G6" s="7" t="s">
        <v>336</v>
      </c>
      <c r="H6" s="6" t="s">
        <v>3</v>
      </c>
      <c r="I6" s="94">
        <f>VLOOKUP($G6,ПРАЙС!$B:$H,5,0)</f>
        <v>455</v>
      </c>
      <c r="J6" s="8">
        <f t="shared" si="0"/>
        <v>1.2967032967032968</v>
      </c>
      <c r="K6" s="8">
        <f>VLOOKUP($G6,ПРАЙС!$B:$H,7,0)</f>
        <v>590</v>
      </c>
      <c r="L6" s="8">
        <f t="shared" si="1"/>
        <v>1.2967032967032968</v>
      </c>
      <c r="M6" s="9">
        <f t="shared" si="8"/>
        <v>590</v>
      </c>
      <c r="N6" s="94">
        <f t="shared" si="2"/>
        <v>589</v>
      </c>
      <c r="O6" s="21">
        <f>VLOOKUP($A6,'Выгр Кат'!$A:$R,O$1,0)</f>
        <v>455</v>
      </c>
      <c r="P6" s="21">
        <f>VLOOKUP($A6,'Выгр Кат'!$A:$R,P$1,0)</f>
        <v>759</v>
      </c>
      <c r="Q6" s="70">
        <f t="shared" si="3"/>
        <v>0</v>
      </c>
      <c r="R6" s="70">
        <f t="shared" si="4"/>
        <v>170</v>
      </c>
      <c r="S6" s="85">
        <f t="shared" si="9"/>
        <v>559.54999999999995</v>
      </c>
      <c r="T6" s="81">
        <f>IFERROR((VLOOKUP($A6,'Из ГУГЛа'!$B:$G,6,0)+V6)*U6,VLOOKUP($A6,'Из ГУГЛа'!$B:$G,6,0))</f>
        <v>729</v>
      </c>
      <c r="U6" s="83">
        <v>1</v>
      </c>
      <c r="V6" s="83">
        <v>0</v>
      </c>
      <c r="W6" s="48">
        <f t="shared" si="5"/>
        <v>0.22978021978021967</v>
      </c>
      <c r="X6" s="48">
        <f t="shared" si="6"/>
        <v>0.23244170096021954</v>
      </c>
      <c r="Y6" s="48">
        <f t="shared" si="7"/>
        <v>0.60219780219780228</v>
      </c>
      <c r="Z6" s="79">
        <f>T6</f>
        <v>729</v>
      </c>
      <c r="AA6" t="s">
        <v>767</v>
      </c>
      <c r="AB6" s="35">
        <v>495</v>
      </c>
    </row>
    <row r="7" spans="1:28" ht="91.5" thickTop="1" thickBot="1">
      <c r="A7" s="9">
        <v>223309</v>
      </c>
      <c r="B7" s="21">
        <f>VLOOKUP($A7,'Выгр Кат'!$A:$R,B$1,0)</f>
        <v>19594</v>
      </c>
      <c r="C7" s="54" t="str">
        <f>VLOOKUP($A7,'Выгр Кат'!$A:$R,C$1,0)</f>
        <v>Уплотнительные кольца дроссельной заслонки "AUTOPRODUCT" для Лада Ларгус (с двигателем K4M), Renault (Duster, Logan, Sandero) (с 16-ти клапанным двигателем)</v>
      </c>
      <c r="D7" s="21" t="str">
        <f>VLOOKUP($A7,'Выгр Кат'!$A:$R,D$1,0)</f>
        <v>Y</v>
      </c>
      <c r="E7" s="21" t="str">
        <f>VLOOKUP($A7,'Выгр Кат'!$A:$R,E$1,0)</f>
        <v>1</v>
      </c>
      <c r="F7" s="21" t="str">
        <f>VLOOKUP($A7,'Выгр Кат'!$A:$R,F$1,0)</f>
        <v>АР 1000 / АР8200068550</v>
      </c>
      <c r="G7" s="7" t="s">
        <v>229</v>
      </c>
      <c r="H7" s="6" t="s">
        <v>3</v>
      </c>
      <c r="I7" s="94">
        <f>VLOOKUP($G7,ПРАЙС!$B:$H,5,0)</f>
        <v>465</v>
      </c>
      <c r="J7" s="8">
        <f t="shared" si="0"/>
        <v>1.1827956989247312</v>
      </c>
      <c r="K7" s="8">
        <f>VLOOKUP($G7,ПРАЙС!$B:$H,7,0)</f>
        <v>550</v>
      </c>
      <c r="L7" s="8">
        <f t="shared" si="1"/>
        <v>1.22</v>
      </c>
      <c r="M7" s="9">
        <f t="shared" si="8"/>
        <v>567.29999999999995</v>
      </c>
      <c r="N7" s="94">
        <f t="shared" si="2"/>
        <v>569</v>
      </c>
      <c r="O7" s="21">
        <f>VLOOKUP($A7,'Выгр Кат'!$A:$R,O$1,0)</f>
        <v>465</v>
      </c>
      <c r="P7" s="21">
        <f>VLOOKUP($A7,'Выгр Кат'!$A:$R,P$1,0)</f>
        <v>779</v>
      </c>
      <c r="Q7" s="70">
        <f t="shared" si="3"/>
        <v>0</v>
      </c>
      <c r="R7" s="70">
        <f t="shared" si="4"/>
        <v>210</v>
      </c>
      <c r="S7" s="85">
        <f t="shared" si="9"/>
        <v>540.54999999999995</v>
      </c>
      <c r="T7" s="81">
        <f>IFERROR((VLOOKUP($A7,'Из ГУГЛа'!$B:$G,6,0)+V7)*U7,VLOOKUP($A7,'Из ГУГЛа'!$B:$G,6,0))</f>
        <v>749</v>
      </c>
      <c r="U7" s="83">
        <v>1</v>
      </c>
      <c r="V7" s="83">
        <v>0</v>
      </c>
      <c r="W7" s="48">
        <f t="shared" si="5"/>
        <v>0.16247311827956978</v>
      </c>
      <c r="X7" s="48">
        <f t="shared" si="6"/>
        <v>0.27830440587449939</v>
      </c>
      <c r="Y7" s="48">
        <f t="shared" si="7"/>
        <v>0.61075268817204309</v>
      </c>
      <c r="Z7" s="79">
        <f t="shared" ref="Z7:Z11" si="10">T7</f>
        <v>749</v>
      </c>
      <c r="AA7" t="s">
        <v>768</v>
      </c>
      <c r="AB7" s="35">
        <v>595</v>
      </c>
    </row>
    <row r="8" spans="1:28" ht="61.5" thickTop="1" thickBot="1">
      <c r="A8" s="9">
        <v>160774</v>
      </c>
      <c r="B8" s="21">
        <f>VLOOKUP($A8,'Выгр Кат'!$A:$R,B$1,0)</f>
        <v>19580</v>
      </c>
      <c r="C8" s="54" t="str">
        <f>VLOOKUP($A8,'Выгр Кат'!$A:$R,C$1,0)</f>
        <v>Кронштейн регулятора давления "AUTOPRODUCT" для ВАЗ (2108-21099, 2110-2112, 2113-2115), Лада (Калина, Калина 2, Приора, Приора 2, Гранта)</v>
      </c>
      <c r="D8" s="21" t="str">
        <f>VLOOKUP($A8,'Выгр Кат'!$A:$R,D$1,0)</f>
        <v>Y</v>
      </c>
      <c r="E8" s="21" t="str">
        <f>VLOOKUP($A8,'Выгр Кат'!$A:$R,E$1,0)</f>
        <v>1</v>
      </c>
      <c r="F8" s="21" t="str">
        <f>VLOOKUP($A8,'Выгр Кат'!$A:$R,F$1,0)</f>
        <v>АР 0582</v>
      </c>
      <c r="G8" s="7" t="s">
        <v>242</v>
      </c>
      <c r="H8" s="6" t="s">
        <v>3</v>
      </c>
      <c r="I8" s="94">
        <f>VLOOKUP($G8,ПРАЙС!$B:$H,5,0)</f>
        <v>510</v>
      </c>
      <c r="J8" s="8">
        <f t="shared" si="0"/>
        <v>1.2745098039215685</v>
      </c>
      <c r="K8" s="8">
        <f>VLOOKUP($G8,ПРАЙС!$B:$H,7,0)</f>
        <v>650</v>
      </c>
      <c r="L8" s="8">
        <f t="shared" si="1"/>
        <v>1.2745098039215685</v>
      </c>
      <c r="M8" s="9">
        <f t="shared" si="8"/>
        <v>650</v>
      </c>
      <c r="N8" s="94">
        <f t="shared" si="2"/>
        <v>649</v>
      </c>
      <c r="O8" s="21">
        <f>VLOOKUP($A8,'Выгр Кат'!$A:$R,O$1,0)</f>
        <v>510</v>
      </c>
      <c r="P8" s="21">
        <f>VLOOKUP($A8,'Выгр Кат'!$A:$R,P$1,0)</f>
        <v>849</v>
      </c>
      <c r="Q8" s="70">
        <f t="shared" si="3"/>
        <v>0</v>
      </c>
      <c r="R8" s="70">
        <f t="shared" si="4"/>
        <v>200</v>
      </c>
      <c r="S8" s="85">
        <f t="shared" si="9"/>
        <v>616.54999999999995</v>
      </c>
      <c r="T8" s="81">
        <f>IFERROR((VLOOKUP($A8,'Из ГУГЛа'!$B:$G,6,0)+V8)*U8,VLOOKUP($A8,'Из ГУГЛа'!$B:$G,6,0))</f>
        <v>829</v>
      </c>
      <c r="U8" s="83">
        <v>1</v>
      </c>
      <c r="V8" s="83">
        <v>0</v>
      </c>
      <c r="W8" s="48">
        <f t="shared" si="5"/>
        <v>0.20892156862745082</v>
      </c>
      <c r="X8" s="48">
        <f t="shared" si="6"/>
        <v>0.25627261761158027</v>
      </c>
      <c r="Y8" s="48">
        <f t="shared" si="7"/>
        <v>0.62549019607843137</v>
      </c>
      <c r="Z8" s="79">
        <f t="shared" si="10"/>
        <v>829</v>
      </c>
      <c r="AA8" t="s">
        <v>769</v>
      </c>
      <c r="AB8" s="13"/>
    </row>
    <row r="9" spans="1:28" ht="61.5" thickTop="1" thickBot="1">
      <c r="A9" s="9">
        <v>223693</v>
      </c>
      <c r="B9" s="21">
        <f>VLOOKUP($A9,'Выгр Кат'!$A:$R,B$1,0)</f>
        <v>3664</v>
      </c>
      <c r="C9" s="54" t="str">
        <f>VLOOKUP($A9,'Выгр Кат'!$A:$R,C$1,0)</f>
        <v>Усилитель щитка передка "AUTOPRODUCT" для ВАЗ 2110-2112, Лада Приора, Приора 2 (с 16-ти клапанным двигателем)</v>
      </c>
      <c r="D9" s="21" t="str">
        <f>VLOOKUP($A9,'Выгр Кат'!$A:$R,D$1,0)</f>
        <v>Y</v>
      </c>
      <c r="E9" s="21" t="str">
        <f>VLOOKUP($A9,'Выгр Кат'!$A:$R,E$1,0)</f>
        <v>1</v>
      </c>
      <c r="F9" s="21" t="str">
        <f>VLOOKUP($A9,'Выгр Кат'!$A:$R,F$1,0)</f>
        <v>АР 0285</v>
      </c>
      <c r="G9" s="7" t="s">
        <v>313</v>
      </c>
      <c r="H9" s="6" t="s">
        <v>3</v>
      </c>
      <c r="I9" s="94">
        <f>VLOOKUP($G9,ПРАЙС!$B:$H,5,0)</f>
        <v>505</v>
      </c>
      <c r="J9" s="8">
        <f t="shared" si="0"/>
        <v>1.2871287128712872</v>
      </c>
      <c r="K9" s="8">
        <f>VLOOKUP($G9,ПРАЙС!$B:$H,7,0)</f>
        <v>650</v>
      </c>
      <c r="L9" s="8">
        <f t="shared" si="1"/>
        <v>1.2871287128712872</v>
      </c>
      <c r="M9" s="9">
        <f t="shared" si="8"/>
        <v>650</v>
      </c>
      <c r="N9" s="94">
        <f t="shared" si="2"/>
        <v>649</v>
      </c>
      <c r="O9" s="21">
        <f>VLOOKUP($A9,'Выгр Кат'!$A:$R,O$1,0)</f>
        <v>505</v>
      </c>
      <c r="P9" s="21">
        <f>VLOOKUP($A9,'Выгр Кат'!$A:$R,P$1,0)</f>
        <v>849</v>
      </c>
      <c r="Q9" s="70">
        <f t="shared" si="3"/>
        <v>0</v>
      </c>
      <c r="R9" s="70">
        <f t="shared" si="4"/>
        <v>200</v>
      </c>
      <c r="S9" s="85">
        <f t="shared" si="9"/>
        <v>616.54999999999995</v>
      </c>
      <c r="T9" s="81">
        <f>IFERROR((VLOOKUP($A9,'Из ГУГЛа'!$B:$G,6,0)+V9)*U9,VLOOKUP($A9,'Из ГУГЛа'!$B:$G,6,0))</f>
        <v>829</v>
      </c>
      <c r="U9" s="83">
        <v>1</v>
      </c>
      <c r="V9" s="83">
        <v>0</v>
      </c>
      <c r="W9" s="48">
        <f t="shared" si="5"/>
        <v>0.22089108910891087</v>
      </c>
      <c r="X9" s="48">
        <f t="shared" si="6"/>
        <v>0.25627261761158027</v>
      </c>
      <c r="Y9" s="48">
        <f t="shared" si="7"/>
        <v>0.64158415841584149</v>
      </c>
      <c r="Z9" s="79">
        <f t="shared" si="10"/>
        <v>829</v>
      </c>
      <c r="AA9" t="s">
        <v>770</v>
      </c>
      <c r="AB9" s="35">
        <v>590</v>
      </c>
    </row>
    <row r="10" spans="1:28" ht="91.5" thickTop="1" thickBot="1">
      <c r="A10" s="9">
        <v>201733</v>
      </c>
      <c r="B10" s="21">
        <f>VLOOKUP($A10,'Выгр Кат'!$A:$R,B$1,0)</f>
        <v>31797</v>
      </c>
      <c r="C10" s="54" t="str">
        <f>VLOOKUP($A10,'Выгр Кат'!$A:$R,C$1,0)</f>
        <v>Проставки развала задних колёс -1 градус "AUTOPRODUCT" для ВАЗ (2108-21099, 2110-2112, 2113-2115), Лада (Калина, Калина 2, Приора, Приора 2, Гранта), Datsun (on-Do, mi-Do)</v>
      </c>
      <c r="D10" s="21" t="str">
        <f>VLOOKUP($A10,'Выгр Кат'!$A:$R,D$1,0)</f>
        <v>Y</v>
      </c>
      <c r="E10" s="21" t="str">
        <f>VLOOKUP($A10,'Выгр Кат'!$A:$R,E$1,0)</f>
        <v>1</v>
      </c>
      <c r="F10" s="21" t="str">
        <f>VLOOKUP($A10,'Выгр Кат'!$A:$R,F$1,0)</f>
        <v>AP 0110</v>
      </c>
      <c r="G10" s="7" t="s">
        <v>327</v>
      </c>
      <c r="H10" s="6" t="s">
        <v>3</v>
      </c>
      <c r="I10" s="94">
        <f>VLOOKUP($G10,ПРАЙС!$B:$H,5,0)</f>
        <v>510</v>
      </c>
      <c r="J10" s="8">
        <f t="shared" si="0"/>
        <v>1.2745098039215685</v>
      </c>
      <c r="K10" s="8">
        <f>VLOOKUP($G10,ПРАЙС!$B:$H,7,0)</f>
        <v>650</v>
      </c>
      <c r="L10" s="8">
        <f t="shared" si="1"/>
        <v>1.2745098039215685</v>
      </c>
      <c r="M10" s="9">
        <f t="shared" si="8"/>
        <v>650</v>
      </c>
      <c r="N10" s="94">
        <f t="shared" si="2"/>
        <v>649</v>
      </c>
      <c r="O10" s="21">
        <f>VLOOKUP($A10,'Выгр Кат'!$A:$R,O$1,0)</f>
        <v>510</v>
      </c>
      <c r="P10" s="21">
        <f>VLOOKUP($A10,'Выгр Кат'!$A:$R,P$1,0)</f>
        <v>849</v>
      </c>
      <c r="Q10" s="70">
        <f t="shared" si="3"/>
        <v>0</v>
      </c>
      <c r="R10" s="70">
        <f t="shared" si="4"/>
        <v>200</v>
      </c>
      <c r="S10" s="85">
        <f t="shared" si="9"/>
        <v>616.54999999999995</v>
      </c>
      <c r="T10" s="81">
        <f>IFERROR((VLOOKUP($A10,'Из ГУГЛа'!$B:$G,6,0)+V10)*U10,VLOOKUP($A10,'Из ГУГЛа'!$B:$G,6,0))</f>
        <v>829</v>
      </c>
      <c r="U10" s="83">
        <v>1</v>
      </c>
      <c r="V10" s="83">
        <v>0</v>
      </c>
      <c r="W10" s="48">
        <f t="shared" si="5"/>
        <v>0.20892156862745082</v>
      </c>
      <c r="X10" s="48">
        <f t="shared" si="6"/>
        <v>0.25627261761158027</v>
      </c>
      <c r="Y10" s="48">
        <f t="shared" si="7"/>
        <v>0.62549019607843137</v>
      </c>
      <c r="Z10" s="79">
        <f t="shared" si="10"/>
        <v>829</v>
      </c>
      <c r="AA10" t="s">
        <v>846</v>
      </c>
      <c r="AB10" s="13"/>
    </row>
    <row r="11" spans="1:28" ht="76.5" thickTop="1" thickBot="1">
      <c r="A11" s="9">
        <v>201628</v>
      </c>
      <c r="B11" s="21">
        <f>VLOOKUP($A11,'Выгр Кат'!$A:$R,B$1,0)</f>
        <v>19534</v>
      </c>
      <c r="C11" s="54" t="str">
        <f>VLOOKUP($A11,'Выгр Кат'!$A:$R,C$1,0)</f>
        <v>Проставки -1 "AUTOPRODUCT" с корректировкой схождения для ВАЗ (2108-21099, 2110-2112, 2113-2115), Лада (Калина, Калина 2, Приора, Приора 2, Гранта)</v>
      </c>
      <c r="D11" s="21" t="str">
        <f>VLOOKUP($A11,'Выгр Кат'!$A:$R,D$1,0)</f>
        <v>Y</v>
      </c>
      <c r="E11" s="21" t="str">
        <f>VLOOKUP($A11,'Выгр Кат'!$A:$R,E$1,0)</f>
        <v>1</v>
      </c>
      <c r="F11" s="21" t="str">
        <f>VLOOKUP($A11,'Выгр Кат'!$A:$R,F$1,0)</f>
        <v>АР 0117</v>
      </c>
      <c r="G11" s="7" t="s">
        <v>333</v>
      </c>
      <c r="H11" s="6" t="s">
        <v>3</v>
      </c>
      <c r="I11" s="94">
        <f>VLOOKUP($G11,ПРАЙС!$B:$H,5,0)</f>
        <v>510</v>
      </c>
      <c r="J11" s="8">
        <f t="shared" si="0"/>
        <v>1.2745098039215685</v>
      </c>
      <c r="K11" s="8">
        <f>VLOOKUP($G11,ПРАЙС!$B:$H,7,0)</f>
        <v>650</v>
      </c>
      <c r="L11" s="8">
        <f t="shared" si="1"/>
        <v>1.2745098039215685</v>
      </c>
      <c r="M11" s="9">
        <f t="shared" si="8"/>
        <v>650</v>
      </c>
      <c r="N11" s="94">
        <f t="shared" si="2"/>
        <v>649</v>
      </c>
      <c r="O11" s="21">
        <f>VLOOKUP($A11,'Выгр Кат'!$A:$R,O$1,0)</f>
        <v>510</v>
      </c>
      <c r="P11" s="21">
        <f>VLOOKUP($A11,'Выгр Кат'!$A:$R,P$1,0)</f>
        <v>849</v>
      </c>
      <c r="Q11" s="70">
        <f t="shared" si="3"/>
        <v>0</v>
      </c>
      <c r="R11" s="70">
        <f t="shared" si="4"/>
        <v>200</v>
      </c>
      <c r="S11" s="85">
        <f t="shared" si="9"/>
        <v>616.54999999999995</v>
      </c>
      <c r="T11" s="81">
        <f>IFERROR((VLOOKUP($A11,'Из ГУГЛа'!$B:$G,6,0)+V11)*U11,VLOOKUP($A11,'Из ГУГЛа'!$B:$G,6,0))</f>
        <v>829</v>
      </c>
      <c r="U11" s="83">
        <v>1</v>
      </c>
      <c r="V11" s="83">
        <v>0</v>
      </c>
      <c r="W11" s="48">
        <f t="shared" si="5"/>
        <v>0.20892156862745082</v>
      </c>
      <c r="X11" s="48">
        <f t="shared" si="6"/>
        <v>0.25627261761158027</v>
      </c>
      <c r="Y11" s="48">
        <f t="shared" si="7"/>
        <v>0.62549019607843137</v>
      </c>
      <c r="Z11" s="79">
        <f t="shared" si="10"/>
        <v>829</v>
      </c>
      <c r="AA11" t="s">
        <v>847</v>
      </c>
      <c r="AB11" s="13"/>
    </row>
    <row r="12" spans="1:28" ht="46.5" thickTop="1" thickBot="1">
      <c r="A12" s="9">
        <v>171132</v>
      </c>
      <c r="B12" s="21">
        <f>VLOOKUP($A12,'Выгр Кат'!$A:$R,B$1,0)</f>
        <v>19566</v>
      </c>
      <c r="C12" s="54" t="str">
        <f>VLOOKUP($A12,'Выгр Кат'!$A:$R,C$1,0)</f>
        <v>Наконечник тяги рулевой трапеции в сборе левый "AUTOPRODUCT" для Лада Нива 4x4, Шевроле Нива</v>
      </c>
      <c r="D12" s="21" t="str">
        <f>VLOOKUP($A12,'Выгр Кат'!$A:$R,D$1,0)</f>
        <v>Y</v>
      </c>
      <c r="E12" s="21" t="str">
        <f>VLOOKUP($A12,'Выгр Кат'!$A:$R,E$1,0)</f>
        <v>1</v>
      </c>
      <c r="F12" s="21" t="str">
        <f>VLOOKUP($A12,'Выгр Кат'!$A:$R,F$1,0)</f>
        <v>АР 0477</v>
      </c>
      <c r="G12" s="7" t="s">
        <v>402</v>
      </c>
      <c r="H12" s="6" t="s">
        <v>3</v>
      </c>
      <c r="I12" s="94">
        <f>VLOOKUP($G12,ПРАЙС!$B:$H,5,0)</f>
        <v>610</v>
      </c>
      <c r="J12" s="8">
        <f t="shared" si="0"/>
        <v>1.2950819672131149</v>
      </c>
      <c r="K12" s="8">
        <f>VLOOKUP($G12,ПРАЙС!$B:$H,7,0)</f>
        <v>790</v>
      </c>
      <c r="L12" s="8">
        <f t="shared" si="1"/>
        <v>1.2950819672131149</v>
      </c>
      <c r="M12" s="9">
        <f t="shared" si="8"/>
        <v>790.00000000000011</v>
      </c>
      <c r="N12" s="94">
        <f t="shared" si="2"/>
        <v>789</v>
      </c>
      <c r="O12" s="21">
        <f>VLOOKUP($A12,'Выгр Кат'!$A:$R,O$1,0)</f>
        <v>615</v>
      </c>
      <c r="P12" s="21">
        <f>VLOOKUP($A12,'Выгр Кат'!$A:$R,P$1,0)</f>
        <v>789</v>
      </c>
      <c r="Q12" s="70">
        <f t="shared" si="3"/>
        <v>5</v>
      </c>
      <c r="R12" s="70">
        <f t="shared" si="4"/>
        <v>0</v>
      </c>
      <c r="S12" s="85">
        <f t="shared" si="9"/>
        <v>749.55</v>
      </c>
      <c r="T12" s="81" t="str">
        <f>IFERROR((VLOOKUP($A12,'Из ГУГЛа'!$B:$G,6,0)+V12)*U12,VLOOKUP($A12,'Из ГУГЛа'!$B:$G,6,0))</f>
        <v/>
      </c>
      <c r="U12" s="83">
        <v>1</v>
      </c>
      <c r="V12" s="83">
        <v>0</v>
      </c>
      <c r="W12" s="48">
        <f t="shared" si="5"/>
        <v>0.22877049180327869</v>
      </c>
      <c r="X12" s="48" t="str">
        <f t="shared" si="6"/>
        <v/>
      </c>
      <c r="Y12" s="48" t="str">
        <f t="shared" si="7"/>
        <v/>
      </c>
      <c r="Z12" s="79" t="s">
        <v>927</v>
      </c>
      <c r="AB12" s="13"/>
    </row>
    <row r="13" spans="1:28" ht="61.5" thickTop="1" thickBot="1">
      <c r="A13" s="9">
        <v>223694</v>
      </c>
      <c r="B13" s="21">
        <f>VLOOKUP($A13,'Выгр Кат'!$A:$R,B$1,0)</f>
        <v>3665</v>
      </c>
      <c r="C13" s="54" t="str">
        <f>VLOOKUP($A13,'Выгр Кат'!$A:$R,C$1,0)</f>
        <v>Усилитель щитка передка "AUTOPRODUCT" для ВАЗ 2110-2112, Лада Приора, Приора 2 (с 8-ми клапанным двигателем)</v>
      </c>
      <c r="D13" s="21" t="str">
        <f>VLOOKUP($A13,'Выгр Кат'!$A:$R,D$1,0)</f>
        <v>Y</v>
      </c>
      <c r="E13" s="21" t="str">
        <f>VLOOKUP($A13,'Выгр Кат'!$A:$R,E$1,0)</f>
        <v>1</v>
      </c>
      <c r="F13" s="21" t="str">
        <f>VLOOKUP($A13,'Выгр Кат'!$A:$R,F$1,0)</f>
        <v>АР 0286</v>
      </c>
      <c r="G13" s="7" t="s">
        <v>314</v>
      </c>
      <c r="H13" s="6" t="s">
        <v>3</v>
      </c>
      <c r="I13" s="94">
        <f>VLOOKUP($G13,ПРАЙС!$B:$H,5,0)</f>
        <v>515</v>
      </c>
      <c r="J13" s="8">
        <f t="shared" si="0"/>
        <v>1.2621359223300972</v>
      </c>
      <c r="K13" s="8">
        <f>VLOOKUP($G13,ПРАЙС!$B:$H,7,0)</f>
        <v>650</v>
      </c>
      <c r="L13" s="8">
        <f t="shared" si="1"/>
        <v>1.2621359223300972</v>
      </c>
      <c r="M13" s="9">
        <f t="shared" si="8"/>
        <v>650</v>
      </c>
      <c r="N13" s="94">
        <f t="shared" si="2"/>
        <v>649</v>
      </c>
      <c r="O13" s="21">
        <f>VLOOKUP($A13,'Выгр Кат'!$A:$R,O$1,0)</f>
        <v>515</v>
      </c>
      <c r="P13" s="21">
        <f>VLOOKUP($A13,'Выгр Кат'!$A:$R,P$1,0)</f>
        <v>849</v>
      </c>
      <c r="Q13" s="70">
        <f t="shared" si="3"/>
        <v>0</v>
      </c>
      <c r="R13" s="70">
        <f t="shared" si="4"/>
        <v>200</v>
      </c>
      <c r="S13" s="85">
        <f t="shared" si="9"/>
        <v>616.54999999999995</v>
      </c>
      <c r="T13" s="81">
        <f>IFERROR((VLOOKUP($A13,'Из ГУГЛа'!$B:$G,6,0)+V13)*U13,VLOOKUP($A13,'Из ГУГЛа'!$B:$G,6,0))</f>
        <v>829</v>
      </c>
      <c r="U13" s="83">
        <v>1</v>
      </c>
      <c r="V13" s="83">
        <v>0</v>
      </c>
      <c r="W13" s="48">
        <f t="shared" si="5"/>
        <v>0.1971844660194173</v>
      </c>
      <c r="X13" s="48">
        <f t="shared" si="6"/>
        <v>0.25627261761158027</v>
      </c>
      <c r="Y13" s="48">
        <f t="shared" si="7"/>
        <v>0.60970873786407775</v>
      </c>
      <c r="Z13" s="79">
        <f t="shared" ref="Z13:Z15" si="11">T13</f>
        <v>829</v>
      </c>
      <c r="AA13" t="s">
        <v>848</v>
      </c>
      <c r="AB13" s="13"/>
    </row>
    <row r="14" spans="1:28" ht="46.5" thickTop="1" thickBot="1">
      <c r="A14" s="9">
        <v>181850</v>
      </c>
      <c r="B14" s="21">
        <f>VLOOKUP($A14,'Выгр Кат'!$A:$R,B$1,0)</f>
        <v>19539</v>
      </c>
      <c r="C14" s="54" t="str">
        <f>VLOOKUP($A14,'Выгр Кат'!$A:$R,C$1,0)</f>
        <v>Опоры рулевого механизма "AUTOPRODUCT" для ВАЗ 2108-21099, 2113-2115</v>
      </c>
      <c r="D14" s="21" t="str">
        <f>VLOOKUP($A14,'Выгр Кат'!$A:$R,D$1,0)</f>
        <v>Y</v>
      </c>
      <c r="E14" s="21" t="str">
        <f>VLOOKUP($A14,'Выгр Кат'!$A:$R,E$1,0)</f>
        <v>1</v>
      </c>
      <c r="F14" s="21" t="str">
        <f>VLOOKUP($A14,'Выгр Кат'!$A:$R,F$1,0)</f>
        <v>АР 0115</v>
      </c>
      <c r="G14" s="7" t="s">
        <v>317</v>
      </c>
      <c r="H14" s="6" t="s">
        <v>3</v>
      </c>
      <c r="I14" s="94">
        <f>VLOOKUP($G14,ПРАЙС!$B:$H,5,0)</f>
        <v>585</v>
      </c>
      <c r="J14" s="8">
        <f t="shared" si="0"/>
        <v>1.2820512820512822</v>
      </c>
      <c r="K14" s="8">
        <f>VLOOKUP($G14,ПРАЙС!$B:$H,7,0)</f>
        <v>750</v>
      </c>
      <c r="L14" s="8">
        <f t="shared" si="1"/>
        <v>1.2820512820512822</v>
      </c>
      <c r="M14" s="9">
        <f t="shared" si="8"/>
        <v>750.00000000000011</v>
      </c>
      <c r="N14" s="94">
        <f t="shared" si="2"/>
        <v>749</v>
      </c>
      <c r="O14" s="21">
        <f>VLOOKUP($A14,'Выгр Кат'!$A:$R,O$1,0)</f>
        <v>585</v>
      </c>
      <c r="P14" s="21">
        <f>VLOOKUP($A14,'Выгр Кат'!$A:$R,P$1,0)</f>
        <v>989</v>
      </c>
      <c r="Q14" s="70">
        <f t="shared" si="3"/>
        <v>0</v>
      </c>
      <c r="R14" s="70">
        <f t="shared" si="4"/>
        <v>240</v>
      </c>
      <c r="S14" s="85">
        <f t="shared" si="9"/>
        <v>711.55</v>
      </c>
      <c r="T14" s="81">
        <f>IFERROR((VLOOKUP($A14,'Из ГУГЛа'!$B:$G,6,0)+V14)*U14,VLOOKUP($A14,'Из ГУГЛа'!$B:$G,6,0))</f>
        <v>949</v>
      </c>
      <c r="U14" s="83">
        <v>1</v>
      </c>
      <c r="V14" s="83">
        <v>0</v>
      </c>
      <c r="W14" s="48">
        <f t="shared" si="5"/>
        <v>0.21632478632478636</v>
      </c>
      <c r="X14" s="48">
        <f t="shared" si="6"/>
        <v>0.25021074815595368</v>
      </c>
      <c r="Y14" s="48">
        <f t="shared" si="7"/>
        <v>0.62222222222222223</v>
      </c>
      <c r="Z14" s="79">
        <f t="shared" si="11"/>
        <v>949</v>
      </c>
      <c r="AA14" t="s">
        <v>771</v>
      </c>
      <c r="AB14" s="35">
        <v>695</v>
      </c>
    </row>
    <row r="15" spans="1:28" ht="76.5" thickTop="1" thickBot="1">
      <c r="A15" s="9">
        <v>201736</v>
      </c>
      <c r="B15" s="21">
        <f>VLOOKUP($A15,'Выгр Кат'!$A:$R,B$1,0)</f>
        <v>18973</v>
      </c>
      <c r="C15" s="54" t="str">
        <f>VLOOKUP($A15,'Выгр Кат'!$A:$R,C$1,0)</f>
        <v>Проставки шаровой опоры +10мм "AUTOPRODUCT" (комплект с болтами) для ВАЗ (2108-21099, 2110-2112, 2113-2115), Лада (Калина, Калина 2, Приора, Приора 2, Гранта)</v>
      </c>
      <c r="D15" s="21" t="str">
        <f>VLOOKUP($A15,'Выгр Кат'!$A:$R,D$1,0)</f>
        <v>Y</v>
      </c>
      <c r="E15" s="21" t="str">
        <f>VLOOKUP($A15,'Выгр Кат'!$A:$R,E$1,0)</f>
        <v>1</v>
      </c>
      <c r="F15" s="21" t="str">
        <f>VLOOKUP($A15,'Выгр Кат'!$A:$R,F$1,0)</f>
        <v>АР 0218</v>
      </c>
      <c r="G15" s="7" t="s">
        <v>334</v>
      </c>
      <c r="H15" s="6" t="s">
        <v>3</v>
      </c>
      <c r="I15" s="94">
        <f>VLOOKUP($G15,ПРАЙС!$B:$H,5,0)</f>
        <v>550</v>
      </c>
      <c r="J15" s="8">
        <f t="shared" si="0"/>
        <v>1.2636363636363637</v>
      </c>
      <c r="K15" s="8">
        <f>VLOOKUP($G15,ПРАЙС!$B:$H,7,0)</f>
        <v>695</v>
      </c>
      <c r="L15" s="8">
        <f t="shared" si="1"/>
        <v>1.2636363636363637</v>
      </c>
      <c r="M15" s="9">
        <f t="shared" si="8"/>
        <v>695</v>
      </c>
      <c r="N15" s="94">
        <f t="shared" si="2"/>
        <v>699</v>
      </c>
      <c r="O15" s="21">
        <f>VLOOKUP($A15,'Выгр Кат'!$A:$R,O$1,0)</f>
        <v>550</v>
      </c>
      <c r="P15" s="21">
        <f>VLOOKUP($A15,'Выгр Кат'!$A:$R,P$1,0)</f>
        <v>929</v>
      </c>
      <c r="Q15" s="70">
        <f t="shared" si="3"/>
        <v>0</v>
      </c>
      <c r="R15" s="70">
        <f t="shared" si="4"/>
        <v>230</v>
      </c>
      <c r="S15" s="85">
        <f t="shared" si="9"/>
        <v>664.05</v>
      </c>
      <c r="T15" s="81">
        <f>IFERROR((VLOOKUP($A15,'Из ГУГЛа'!$B:$G,6,0)+V15)*U15,VLOOKUP($A15,'Из ГУГЛа'!$B:$G,6,0))</f>
        <v>890</v>
      </c>
      <c r="U15" s="83">
        <v>1</v>
      </c>
      <c r="V15" s="83">
        <v>0</v>
      </c>
      <c r="W15" s="48">
        <f t="shared" si="5"/>
        <v>0.20736363636363619</v>
      </c>
      <c r="X15" s="48">
        <f t="shared" si="6"/>
        <v>0.25387640449438209</v>
      </c>
      <c r="Y15" s="48">
        <f t="shared" si="7"/>
        <v>0.61818181818181817</v>
      </c>
      <c r="Z15" s="79">
        <f t="shared" si="11"/>
        <v>890</v>
      </c>
      <c r="AA15" t="s">
        <v>849</v>
      </c>
      <c r="AB15" s="13"/>
    </row>
    <row r="16" spans="1:28" ht="46.5" thickTop="1" thickBot="1">
      <c r="A16" s="9">
        <v>181851</v>
      </c>
      <c r="B16" s="21">
        <f>VLOOKUP($A16,'Выгр Кат'!$A:$R,B$1,0)</f>
        <v>19546</v>
      </c>
      <c r="C16" s="54" t="str">
        <f>VLOOKUP($A16,'Выгр Кат'!$A:$R,C$1,0)</f>
        <v>Опоры рулевого механизма "AUTOPRODUCT" для ВАЗ 2110-2112, Лада (Приора, Приора 2)</v>
      </c>
      <c r="D16" s="21" t="str">
        <f>VLOOKUP($A16,'Выгр Кат'!$A:$R,D$1,0)</f>
        <v>Y</v>
      </c>
      <c r="E16" s="21" t="str">
        <f>VLOOKUP($A16,'Выгр Кат'!$A:$R,E$1,0)</f>
        <v>1</v>
      </c>
      <c r="F16" s="21" t="str">
        <f>VLOOKUP($A16,'Выгр Кат'!$A:$R,F$1,0)</f>
        <v>АР 0245</v>
      </c>
      <c r="G16" s="7" t="s">
        <v>318</v>
      </c>
      <c r="H16" s="6" t="s">
        <v>3</v>
      </c>
      <c r="I16" s="94">
        <f>VLOOKUP($G16,ПРАЙС!$B:$H,5,0)</f>
        <v>615</v>
      </c>
      <c r="J16" s="8">
        <f t="shared" si="0"/>
        <v>1.2845528455284554</v>
      </c>
      <c r="K16" s="8">
        <f>VLOOKUP($G16,ПРАЙС!$B:$H,7,0)</f>
        <v>790</v>
      </c>
      <c r="L16" s="8">
        <f t="shared" si="1"/>
        <v>1.2845528455284554</v>
      </c>
      <c r="M16" s="9">
        <f t="shared" si="8"/>
        <v>790.00000000000011</v>
      </c>
      <c r="N16" s="94">
        <f t="shared" si="2"/>
        <v>789</v>
      </c>
      <c r="O16" s="21">
        <f>VLOOKUP($A16,'Выгр Кат'!$A:$R,O$1,0)</f>
        <v>615</v>
      </c>
      <c r="P16" s="21">
        <f>VLOOKUP($A16,'Выгр Кат'!$A:$R,P$1,0)</f>
        <v>989</v>
      </c>
      <c r="Q16" s="70">
        <f t="shared" si="3"/>
        <v>0</v>
      </c>
      <c r="R16" s="70">
        <f t="shared" si="4"/>
        <v>200</v>
      </c>
      <c r="S16" s="85">
        <f t="shared" si="9"/>
        <v>749.55</v>
      </c>
      <c r="T16" s="81">
        <f>IFERROR((VLOOKUP($A16,'Из ГУГЛа'!$B:$G,6,0)+V16)*U16,VLOOKUP($A16,'Из ГУГЛа'!$B:$G,6,0))</f>
        <v>949</v>
      </c>
      <c r="U16" s="83">
        <v>1</v>
      </c>
      <c r="V16" s="83">
        <v>0</v>
      </c>
      <c r="W16" s="48">
        <f t="shared" si="5"/>
        <v>0.21878048780487802</v>
      </c>
      <c r="X16" s="48">
        <f t="shared" si="6"/>
        <v>0.21016859852476297</v>
      </c>
      <c r="Y16" s="48">
        <f t="shared" si="7"/>
        <v>0.54308943089430883</v>
      </c>
      <c r="Z16" s="78">
        <v>949</v>
      </c>
      <c r="AA16" t="s">
        <v>850</v>
      </c>
      <c r="AB16" s="13"/>
    </row>
    <row r="17" spans="1:28" ht="46.5" thickTop="1" thickBot="1">
      <c r="A17" s="9">
        <v>223539</v>
      </c>
      <c r="B17" s="21">
        <f>VLOOKUP($A17,'Выгр Кат'!$A:$R,B$1,0)</f>
        <v>2463</v>
      </c>
      <c r="C17" s="54" t="str">
        <f>VLOOKUP($A17,'Выгр Кат'!$A:$R,C$1,0)</f>
        <v>Усилители опор стоек "AUTOPRODUCT" для ВАЗ 2108-21099, 2113-2115</v>
      </c>
      <c r="D17" s="21" t="str">
        <f>VLOOKUP($A17,'Выгр Кат'!$A:$R,D$1,0)</f>
        <v>Y</v>
      </c>
      <c r="E17" s="21" t="str">
        <f>VLOOKUP($A17,'Выгр Кат'!$A:$R,E$1,0)</f>
        <v>1</v>
      </c>
      <c r="F17" s="21" t="str">
        <f>VLOOKUP($A17,'Выгр Кат'!$A:$R,F$1,0)</f>
        <v>АР 0075</v>
      </c>
      <c r="G17" s="7" t="s">
        <v>233</v>
      </c>
      <c r="H17" s="6" t="s">
        <v>3</v>
      </c>
      <c r="I17" s="94">
        <f>VLOOKUP($G17,ПРАЙС!$B:$H,5,0)</f>
        <v>605</v>
      </c>
      <c r="J17" s="8">
        <f t="shared" si="0"/>
        <v>1.3057851239669422</v>
      </c>
      <c r="K17" s="8">
        <f>VLOOKUP($G17,ПРАЙС!$B:$H,7,0)</f>
        <v>790</v>
      </c>
      <c r="L17" s="8">
        <f t="shared" si="1"/>
        <v>1.3057851239669422</v>
      </c>
      <c r="M17" s="9">
        <f t="shared" si="8"/>
        <v>790</v>
      </c>
      <c r="N17" s="94">
        <f t="shared" si="2"/>
        <v>789</v>
      </c>
      <c r="O17" s="21">
        <f>VLOOKUP($A17,'Выгр Кат'!$A:$R,O$1,0)</f>
        <v>605</v>
      </c>
      <c r="P17" s="21">
        <f>VLOOKUP($A17,'Выгр Кат'!$A:$R,P$1,0)</f>
        <v>989</v>
      </c>
      <c r="Q17" s="70">
        <f t="shared" si="3"/>
        <v>0</v>
      </c>
      <c r="R17" s="70">
        <f t="shared" si="4"/>
        <v>200</v>
      </c>
      <c r="S17" s="85">
        <f t="shared" si="9"/>
        <v>749.55</v>
      </c>
      <c r="T17" s="81">
        <f>IFERROR((VLOOKUP($A17,'Из ГУГЛа'!$B:$G,6,0)+V17)*U17,VLOOKUP($A17,'Из ГУГЛа'!$B:$G,6,0))</f>
        <v>949</v>
      </c>
      <c r="U17" s="83">
        <v>1</v>
      </c>
      <c r="V17" s="83">
        <v>0</v>
      </c>
      <c r="W17" s="48">
        <f t="shared" si="5"/>
        <v>0.23892561983471072</v>
      </c>
      <c r="X17" s="48">
        <f t="shared" si="6"/>
        <v>0.21016859852476297</v>
      </c>
      <c r="Y17" s="48">
        <f t="shared" si="7"/>
        <v>0.56859504132231398</v>
      </c>
      <c r="Z17" s="78">
        <v>949</v>
      </c>
      <c r="AA17" t="s">
        <v>845</v>
      </c>
      <c r="AB17" s="35">
        <v>745</v>
      </c>
    </row>
    <row r="18" spans="1:28" ht="46.5" thickTop="1" thickBot="1">
      <c r="A18" s="9">
        <v>223540</v>
      </c>
      <c r="B18" s="21">
        <f>VLOOKUP($A18,'Выгр Кат'!$A:$R,B$1,0)</f>
        <v>2465</v>
      </c>
      <c r="C18" s="54" t="str">
        <f>VLOOKUP($A18,'Выгр Кат'!$A:$R,C$1,0)</f>
        <v>Усилители опор стоек "AUTOPRODUCT" для ВАЗ 2110-2112, Лада (Приора, Приора 2)</v>
      </c>
      <c r="D18" s="21" t="str">
        <f>VLOOKUP($A18,'Выгр Кат'!$A:$R,D$1,0)</f>
        <v>Y</v>
      </c>
      <c r="E18" s="21" t="str">
        <f>VLOOKUP($A18,'Выгр Кат'!$A:$R,E$1,0)</f>
        <v>1</v>
      </c>
      <c r="F18" s="21" t="str">
        <f>VLOOKUP($A18,'Выгр Кат'!$A:$R,F$1,0)</f>
        <v>АР 0215</v>
      </c>
      <c r="G18" s="7" t="s">
        <v>235</v>
      </c>
      <c r="H18" s="6" t="s">
        <v>3</v>
      </c>
      <c r="I18" s="94">
        <f>VLOOKUP($G18,ПРАЙС!$B:$H,5,0)</f>
        <v>615</v>
      </c>
      <c r="J18" s="8">
        <f t="shared" si="0"/>
        <v>1.2845528455284554</v>
      </c>
      <c r="K18" s="8">
        <f>VLOOKUP($G18,ПРАЙС!$B:$H,7,0)</f>
        <v>790</v>
      </c>
      <c r="L18" s="8">
        <f t="shared" si="1"/>
        <v>1.2845528455284554</v>
      </c>
      <c r="M18" s="9">
        <f t="shared" si="8"/>
        <v>790.00000000000011</v>
      </c>
      <c r="N18" s="94">
        <f t="shared" si="2"/>
        <v>789</v>
      </c>
      <c r="O18" s="21">
        <f>VLOOKUP($A18,'Выгр Кат'!$A:$R,O$1,0)</f>
        <v>615</v>
      </c>
      <c r="P18" s="21">
        <f>VLOOKUP($A18,'Выгр Кат'!$A:$R,P$1,0)</f>
        <v>989</v>
      </c>
      <c r="Q18" s="70">
        <f t="shared" si="3"/>
        <v>0</v>
      </c>
      <c r="R18" s="70">
        <f t="shared" si="4"/>
        <v>200</v>
      </c>
      <c r="S18" s="85">
        <f t="shared" si="9"/>
        <v>749.55</v>
      </c>
      <c r="T18" s="81">
        <f>IFERROR((VLOOKUP($A18,'Из ГУГЛа'!$B:$G,6,0)+V18)*U18,VLOOKUP($A18,'Из ГУГЛа'!$B:$G,6,0))</f>
        <v>949</v>
      </c>
      <c r="U18" s="83">
        <v>1</v>
      </c>
      <c r="V18" s="83">
        <v>0</v>
      </c>
      <c r="W18" s="48">
        <f t="shared" si="5"/>
        <v>0.21878048780487802</v>
      </c>
      <c r="X18" s="48">
        <f t="shared" si="6"/>
        <v>0.21016859852476297</v>
      </c>
      <c r="Y18" s="48">
        <f t="shared" si="7"/>
        <v>0.54308943089430883</v>
      </c>
      <c r="Z18" s="78">
        <v>949</v>
      </c>
      <c r="AA18" t="s">
        <v>851</v>
      </c>
      <c r="AB18" s="13"/>
    </row>
    <row r="19" spans="1:28" ht="46.5" thickTop="1" thickBot="1">
      <c r="A19" s="9">
        <v>223541</v>
      </c>
      <c r="B19" s="21">
        <f>VLOOKUP($A19,'Выгр Кат'!$A:$R,B$1,0)</f>
        <v>2462</v>
      </c>
      <c r="C19" s="54" t="str">
        <f>VLOOKUP($A19,'Выгр Кат'!$A:$R,C$1,0)</f>
        <v>Усилители опор стоек "AUTOPRODUCT" для Лада Калина, Калина 2, Гранта</v>
      </c>
      <c r="D19" s="21" t="str">
        <f>VLOOKUP($A19,'Выгр Кат'!$A:$R,D$1,0)</f>
        <v>Y</v>
      </c>
      <c r="E19" s="21" t="str">
        <f>VLOOKUP($A19,'Выгр Кат'!$A:$R,E$1,0)</f>
        <v>1</v>
      </c>
      <c r="F19" s="21" t="str">
        <f>VLOOKUP($A19,'Выгр Кат'!$A:$R,F$1,0)</f>
        <v>АР 0365</v>
      </c>
      <c r="G19" s="7" t="s">
        <v>237</v>
      </c>
      <c r="H19" s="6" t="s">
        <v>3</v>
      </c>
      <c r="I19" s="94">
        <f>VLOOKUP($G19,ПРАЙС!$B:$H,5,0)</f>
        <v>615</v>
      </c>
      <c r="J19" s="8">
        <f t="shared" si="0"/>
        <v>1.2845528455284554</v>
      </c>
      <c r="K19" s="8">
        <f>VLOOKUP($G19,ПРАЙС!$B:$H,7,0)</f>
        <v>790</v>
      </c>
      <c r="L19" s="8">
        <f t="shared" si="1"/>
        <v>1.2845528455284554</v>
      </c>
      <c r="M19" s="9">
        <f t="shared" si="8"/>
        <v>790.00000000000011</v>
      </c>
      <c r="N19" s="94">
        <f t="shared" si="2"/>
        <v>789</v>
      </c>
      <c r="O19" s="21">
        <f>VLOOKUP($A19,'Выгр Кат'!$A:$R,O$1,0)</f>
        <v>615</v>
      </c>
      <c r="P19" s="21">
        <f>VLOOKUP($A19,'Выгр Кат'!$A:$R,P$1,0)</f>
        <v>989</v>
      </c>
      <c r="Q19" s="70">
        <f t="shared" si="3"/>
        <v>0</v>
      </c>
      <c r="R19" s="70">
        <f t="shared" si="4"/>
        <v>200</v>
      </c>
      <c r="S19" s="85">
        <f t="shared" si="9"/>
        <v>749.55</v>
      </c>
      <c r="T19" s="81">
        <f>IFERROR((VLOOKUP($A19,'Из ГУГЛа'!$B:$G,6,0)+V19)*U19,VLOOKUP($A19,'Из ГУГЛа'!$B:$G,6,0))</f>
        <v>949</v>
      </c>
      <c r="U19" s="83">
        <v>1</v>
      </c>
      <c r="V19" s="83">
        <v>0</v>
      </c>
      <c r="W19" s="48">
        <f t="shared" si="5"/>
        <v>0.21878048780487802</v>
      </c>
      <c r="X19" s="48">
        <f t="shared" si="6"/>
        <v>0.21016859852476297</v>
      </c>
      <c r="Y19" s="48">
        <f t="shared" si="7"/>
        <v>0.54308943089430883</v>
      </c>
      <c r="Z19" s="78">
        <v>949</v>
      </c>
      <c r="AA19" t="s">
        <v>852</v>
      </c>
      <c r="AB19" s="13"/>
    </row>
    <row r="20" spans="1:28" ht="76.5" thickTop="1" thickBot="1">
      <c r="A20" s="9">
        <v>201629</v>
      </c>
      <c r="B20" s="21">
        <f>VLOOKUP($A20,'Выгр Кат'!$A:$R,B$1,0)</f>
        <v>19535</v>
      </c>
      <c r="C20" s="54" t="str">
        <f>VLOOKUP($A20,'Выгр Кат'!$A:$R,C$1,0)</f>
        <v>Проставки -1.5 "AUTOPRODUCT" для ВАЗ (2108-21099, 2110-2112, 2113-2115), Лада (Калина, Калина 2, Приора, Приора 2, Гранта), Датсун (mi-DO, on-DO)</v>
      </c>
      <c r="D20" s="21" t="str">
        <f>VLOOKUP($A20,'Выгр Кат'!$A:$R,D$1,0)</f>
        <v>Y</v>
      </c>
      <c r="E20" s="21" t="str">
        <f>VLOOKUP($A20,'Выгр Кат'!$A:$R,E$1,0)</f>
        <v>1</v>
      </c>
      <c r="F20" s="21" t="str">
        <f>VLOOKUP($A20,'Выгр Кат'!$A:$R,F$1,0)</f>
        <v>АР 0111</v>
      </c>
      <c r="G20" s="7" t="s">
        <v>328</v>
      </c>
      <c r="H20" s="6" t="s">
        <v>3</v>
      </c>
      <c r="I20" s="94">
        <f>VLOOKUP($G20,ПРАЙС!$B:$H,5,0)</f>
        <v>670</v>
      </c>
      <c r="J20" s="8">
        <f t="shared" si="0"/>
        <v>1.2835820895522387</v>
      </c>
      <c r="K20" s="8">
        <f>VLOOKUP($G20,ПРАЙС!$B:$H,7,0)</f>
        <v>860</v>
      </c>
      <c r="L20" s="8">
        <f t="shared" si="1"/>
        <v>1.2835820895522387</v>
      </c>
      <c r="M20" s="9">
        <f t="shared" si="8"/>
        <v>860</v>
      </c>
      <c r="N20" s="94">
        <f t="shared" si="2"/>
        <v>859</v>
      </c>
      <c r="O20" s="21">
        <f>VLOOKUP($A20,'Выгр Кат'!$A:$R,O$1,0)</f>
        <v>670</v>
      </c>
      <c r="P20" s="21">
        <f>VLOOKUP($A20,'Выгр Кат'!$A:$R,P$1,0)</f>
        <v>989</v>
      </c>
      <c r="Q20" s="70">
        <f t="shared" si="3"/>
        <v>0</v>
      </c>
      <c r="R20" s="70">
        <f t="shared" si="4"/>
        <v>130</v>
      </c>
      <c r="S20" s="85">
        <f t="shared" si="9"/>
        <v>816.05</v>
      </c>
      <c r="T20" s="81">
        <f>IFERROR((VLOOKUP($A20,'Из ГУГЛа'!$B:$G,6,0)+V20)*U20,VLOOKUP($A20,'Из ГУГЛа'!$B:$G,6,0))</f>
        <v>990</v>
      </c>
      <c r="U20" s="83">
        <v>1</v>
      </c>
      <c r="V20" s="83">
        <v>0</v>
      </c>
      <c r="W20" s="48">
        <f t="shared" si="5"/>
        <v>0.21798507462686567</v>
      </c>
      <c r="X20" s="48">
        <f t="shared" si="6"/>
        <v>0.17570707070707076</v>
      </c>
      <c r="Y20" s="48">
        <f t="shared" si="7"/>
        <v>0.47761194029850751</v>
      </c>
      <c r="Z20" s="78">
        <v>990</v>
      </c>
      <c r="AA20" t="s">
        <v>844</v>
      </c>
      <c r="AB20" s="35">
        <v>795</v>
      </c>
    </row>
    <row r="21" spans="1:28" ht="61.5" thickTop="1" thickBot="1">
      <c r="A21" s="9">
        <v>202753</v>
      </c>
      <c r="B21" s="21">
        <f>VLOOKUP($A21,'Выгр Кат'!$A:$R,B$1,0)</f>
        <v>2508</v>
      </c>
      <c r="C21" s="54" t="str">
        <f>VLOOKUP($A21,'Выгр Кат'!$A:$R,C$1,0)</f>
        <v>Распорка передняя нижняя SAFE "AUTOPRODUCT" для Лада Калина, Калина 2, Гранта (тросовая МКПП, АКПП)</v>
      </c>
      <c r="D21" s="21" t="str">
        <f>VLOOKUP($A21,'Выгр Кат'!$A:$R,D$1,0)</f>
        <v>Y</v>
      </c>
      <c r="E21" s="21" t="str">
        <f>VLOOKUP($A21,'Выгр Кат'!$A:$R,E$1,0)</f>
        <v>1</v>
      </c>
      <c r="F21" s="21" t="str">
        <f>VLOOKUP($A21,'Выгр Кат'!$A:$R,F$1,0)</f>
        <v>АР 0570</v>
      </c>
      <c r="G21" s="7" t="s">
        <v>299</v>
      </c>
      <c r="H21" s="6" t="s">
        <v>3</v>
      </c>
      <c r="I21" s="94">
        <f>VLOOKUP($G21,ПРАЙС!$B:$H,5,0)</f>
        <v>695</v>
      </c>
      <c r="J21" s="8">
        <f t="shared" si="0"/>
        <v>1.2805755395683454</v>
      </c>
      <c r="K21" s="8">
        <f>VLOOKUP($G21,ПРАЙС!$B:$H,7,0)</f>
        <v>890</v>
      </c>
      <c r="L21" s="8">
        <f t="shared" si="1"/>
        <v>1.2805755395683454</v>
      </c>
      <c r="M21" s="9">
        <f t="shared" si="8"/>
        <v>890</v>
      </c>
      <c r="N21" s="94">
        <f t="shared" si="2"/>
        <v>889</v>
      </c>
      <c r="O21" s="21">
        <f>VLOOKUP($A21,'Выгр Кат'!$A:$R,O$1,0)</f>
        <v>695</v>
      </c>
      <c r="P21" s="21">
        <f>VLOOKUP($A21,'Выгр Кат'!$A:$R,P$1,0)</f>
        <v>989</v>
      </c>
      <c r="Q21" s="70">
        <f t="shared" si="3"/>
        <v>0</v>
      </c>
      <c r="R21" s="70">
        <f t="shared" si="4"/>
        <v>100</v>
      </c>
      <c r="S21" s="85">
        <f t="shared" si="9"/>
        <v>844.55</v>
      </c>
      <c r="T21" s="81">
        <f>IFERROR((VLOOKUP($A21,'Из ГУГЛа'!$B:$G,6,0)+V21)*U21,VLOOKUP($A21,'Из ГУГЛа'!$B:$G,6,0))</f>
        <v>990</v>
      </c>
      <c r="U21" s="83">
        <v>1</v>
      </c>
      <c r="V21" s="83">
        <v>0</v>
      </c>
      <c r="W21" s="48">
        <f t="shared" si="5"/>
        <v>0.21517985611510793</v>
      </c>
      <c r="X21" s="48">
        <f t="shared" si="6"/>
        <v>0.14691919191919198</v>
      </c>
      <c r="Y21" s="48">
        <f t="shared" si="7"/>
        <v>0.42446043165467628</v>
      </c>
      <c r="Z21" s="78">
        <v>990</v>
      </c>
      <c r="AA21" t="s">
        <v>853</v>
      </c>
      <c r="AB21" s="13"/>
    </row>
    <row r="22" spans="1:28" ht="61.5" thickTop="1" thickBot="1">
      <c r="A22" s="9">
        <v>222924</v>
      </c>
      <c r="B22" s="21">
        <f>VLOOKUP($A22,'Выгр Кат'!$A:$R,B$1,0)</f>
        <v>3759</v>
      </c>
      <c r="C22" s="54" t="str">
        <f>VLOOKUP($A22,'Выгр Кат'!$A:$R,C$1,0)</f>
        <v>Тяга с контргайками рулевой трапеции (комплект) "AUTOPRODUCT" для ВАЗ 2101-2107, Лада Нива 4х4, Шевроле Нива</v>
      </c>
      <c r="D22" s="21" t="str">
        <f>VLOOKUP($A22,'Выгр Кат'!$A:$R,D$1,0)</f>
        <v>Y</v>
      </c>
      <c r="E22" s="21" t="str">
        <f>VLOOKUP($A22,'Выгр Кат'!$A:$R,E$1,0)</f>
        <v>1</v>
      </c>
      <c r="F22" s="21" t="str">
        <f>VLOOKUP($A22,'Выгр Кат'!$A:$R,F$1,0)</f>
        <v>АР 0001</v>
      </c>
      <c r="G22" s="7" t="s">
        <v>315</v>
      </c>
      <c r="H22" s="6" t="s">
        <v>3</v>
      </c>
      <c r="I22" s="94">
        <f>VLOOKUP($G22,ПРАЙС!$B:$H,5,0)</f>
        <v>725</v>
      </c>
      <c r="J22" s="8">
        <f t="shared" si="0"/>
        <v>1.2827586206896551</v>
      </c>
      <c r="K22" s="8">
        <f>VLOOKUP($G22,ПРАЙС!$B:$H,7,0)</f>
        <v>930</v>
      </c>
      <c r="L22" s="8">
        <f t="shared" si="1"/>
        <v>1.2827586206896551</v>
      </c>
      <c r="M22" s="9">
        <f t="shared" si="8"/>
        <v>929.99999999999989</v>
      </c>
      <c r="N22" s="94">
        <f t="shared" si="2"/>
        <v>929</v>
      </c>
      <c r="O22" s="21">
        <f>VLOOKUP($A22,'Выгр Кат'!$A:$R,O$1,0)</f>
        <v>725</v>
      </c>
      <c r="P22" s="21">
        <f>VLOOKUP($A22,'Выгр Кат'!$A:$R,P$1,0)</f>
        <v>1090</v>
      </c>
      <c r="Q22" s="70">
        <f t="shared" si="3"/>
        <v>0</v>
      </c>
      <c r="R22" s="70">
        <f t="shared" si="4"/>
        <v>161</v>
      </c>
      <c r="S22" s="85">
        <f t="shared" si="9"/>
        <v>882.55</v>
      </c>
      <c r="T22" s="81">
        <f>IFERROR((VLOOKUP($A22,'Из ГУГЛа'!$B:$G,6,0)+V22)*U22,VLOOKUP($A22,'Из ГУГЛа'!$B:$G,6,0))</f>
        <v>1090</v>
      </c>
      <c r="U22" s="83">
        <v>1</v>
      </c>
      <c r="V22" s="83">
        <v>0</v>
      </c>
      <c r="W22" s="48">
        <f t="shared" si="5"/>
        <v>0.21731034482758615</v>
      </c>
      <c r="X22" s="48">
        <f t="shared" si="6"/>
        <v>0.19032110091743124</v>
      </c>
      <c r="Y22" s="48">
        <f t="shared" si="7"/>
        <v>0.50344827586206886</v>
      </c>
      <c r="Z22" s="78">
        <v>1090</v>
      </c>
      <c r="AA22" t="s">
        <v>854</v>
      </c>
      <c r="AB22" s="13"/>
    </row>
    <row r="23" spans="1:28" ht="31.5" thickTop="1" thickBot="1">
      <c r="A23" s="9">
        <v>181690</v>
      </c>
      <c r="B23" s="21">
        <f>VLOOKUP($A23,'Выгр Кат'!$A:$R,B$1,0)</f>
        <v>3731</v>
      </c>
      <c r="C23" s="54" t="str">
        <f>VLOOKUP($A23,'Выгр Кат'!$A:$R,C$1,0)</f>
        <v>Опора раздаточной коробки "AUTOPRODUCT" для Лада Нива 4х4</v>
      </c>
      <c r="D23" s="21" t="str">
        <f>VLOOKUP($A23,'Выгр Кат'!$A:$R,D$1,0)</f>
        <v>Y</v>
      </c>
      <c r="E23" s="21" t="str">
        <f>VLOOKUP($A23,'Выгр Кат'!$A:$R,E$1,0)</f>
        <v>1ск4</v>
      </c>
      <c r="F23" s="21" t="str">
        <f>VLOOKUP($A23,'Выгр Кат'!$A:$R,F$1,0)</f>
        <v>АР 0472</v>
      </c>
      <c r="G23" s="7" t="s">
        <v>245</v>
      </c>
      <c r="H23" s="6" t="s">
        <v>3</v>
      </c>
      <c r="I23" s="94">
        <f>VLOOKUP($G23,ПРАЙС!$B:$H,5,0)</f>
        <v>850</v>
      </c>
      <c r="J23" s="8">
        <f t="shared" si="0"/>
        <v>1.2823529411764707</v>
      </c>
      <c r="K23" s="8">
        <f>VLOOKUP($G23,ПРАЙС!$B:$H,7,0)</f>
        <v>1090</v>
      </c>
      <c r="L23" s="8">
        <f t="shared" si="1"/>
        <v>1.2823529411764707</v>
      </c>
      <c r="M23" s="9">
        <f t="shared" si="8"/>
        <v>1090</v>
      </c>
      <c r="N23" s="94">
        <f t="shared" si="2"/>
        <v>1090</v>
      </c>
      <c r="O23" s="21">
        <f>VLOOKUP($A23,'Выгр Кат'!$A:$R,O$1,0)</f>
        <v>850</v>
      </c>
      <c r="P23" s="21">
        <f>VLOOKUP($A23,'Выгр Кат'!$A:$R,P$1,0)</f>
        <v>1290</v>
      </c>
      <c r="Q23" s="70">
        <f t="shared" si="3"/>
        <v>0</v>
      </c>
      <c r="R23" s="70">
        <f t="shared" si="4"/>
        <v>200</v>
      </c>
      <c r="S23" s="85">
        <f t="shared" si="9"/>
        <v>1035.5</v>
      </c>
      <c r="T23" s="81">
        <f>IFERROR((VLOOKUP($A23,'Из ГУГЛа'!$B:$G,6,0)+V23)*U23,VLOOKUP($A23,'Из ГУГЛа'!$B:$G,6,0))</f>
        <v>1290</v>
      </c>
      <c r="U23" s="83">
        <v>1</v>
      </c>
      <c r="V23" s="83">
        <v>0</v>
      </c>
      <c r="W23" s="48">
        <f t="shared" si="5"/>
        <v>0.21823529411764708</v>
      </c>
      <c r="X23" s="48">
        <f t="shared" si="6"/>
        <v>0.19728682170542636</v>
      </c>
      <c r="Y23" s="48">
        <f t="shared" si="7"/>
        <v>0.51764705882352935</v>
      </c>
      <c r="Z23" s="78">
        <v>1290</v>
      </c>
      <c r="AA23" t="s">
        <v>843</v>
      </c>
      <c r="AB23" s="35">
        <v>880</v>
      </c>
    </row>
    <row r="24" spans="1:28" ht="46.5" thickTop="1" thickBot="1">
      <c r="A24" s="9">
        <v>140766</v>
      </c>
      <c r="B24" s="21">
        <f>VLOOKUP($A24,'Выгр Кат'!$A:$R,B$1,0)</f>
        <v>31805</v>
      </c>
      <c r="C24" s="54" t="str">
        <f>VLOOKUP($A24,'Выгр Кат'!$A:$R,C$1,0)</f>
        <v>Гиб переход через заднюю балку Ф51 "AUTOPRODUCT" для ВАЗ 2108-21099, 2113-2115</v>
      </c>
      <c r="D24" s="21" t="str">
        <f>VLOOKUP($A24,'Выгр Кат'!$A:$R,D$1,0)</f>
        <v>Y</v>
      </c>
      <c r="E24" s="21" t="str">
        <f>VLOOKUP($A24,'Выгр Кат'!$A:$R,E$1,0)</f>
        <v>1</v>
      </c>
      <c r="F24" s="21" t="str">
        <f>VLOOKUP($A24,'Выгр Кат'!$A:$R,F$1,0)</f>
        <v>AP 0146</v>
      </c>
      <c r="G24" s="7" t="s">
        <v>213</v>
      </c>
      <c r="H24" s="6" t="s">
        <v>3</v>
      </c>
      <c r="I24" s="94">
        <f>VLOOKUP($G24,ПРАЙС!$B:$H,5,0)</f>
        <v>845</v>
      </c>
      <c r="J24" s="8">
        <f t="shared" si="0"/>
        <v>1.1715976331360947</v>
      </c>
      <c r="K24" s="8">
        <f>VLOOKUP($G24,ПРАЙС!$B:$H,7,0)</f>
        <v>990</v>
      </c>
      <c r="L24" s="8">
        <f t="shared" si="1"/>
        <v>1.22</v>
      </c>
      <c r="M24" s="9">
        <f t="shared" si="8"/>
        <v>1030.9000000000001</v>
      </c>
      <c r="N24" s="94">
        <f t="shared" si="2"/>
        <v>1090</v>
      </c>
      <c r="O24" s="21">
        <f>VLOOKUP($A24,'Выгр Кат'!$A:$R,O$1,0)</f>
        <v>845</v>
      </c>
      <c r="P24" s="21">
        <f>VLOOKUP($A24,'Выгр Кат'!$A:$R,P$1,0)</f>
        <v>1290</v>
      </c>
      <c r="Q24" s="70">
        <f t="shared" si="3"/>
        <v>0</v>
      </c>
      <c r="R24" s="70">
        <f t="shared" si="4"/>
        <v>200</v>
      </c>
      <c r="S24" s="85">
        <f t="shared" si="9"/>
        <v>1035.5</v>
      </c>
      <c r="T24" s="81">
        <f>IFERROR((VLOOKUP($A24,'Из ГУГЛа'!$B:$G,6,0)+V24)*U24,VLOOKUP($A24,'Из ГУГЛа'!$B:$G,6,0))</f>
        <v>1290</v>
      </c>
      <c r="U24" s="83">
        <v>1</v>
      </c>
      <c r="V24" s="83">
        <v>0</v>
      </c>
      <c r="W24" s="48">
        <f t="shared" si="5"/>
        <v>0.22544378698224854</v>
      </c>
      <c r="X24" s="48">
        <f t="shared" si="6"/>
        <v>0.19728682170542636</v>
      </c>
      <c r="Y24" s="48">
        <f t="shared" si="7"/>
        <v>0.52662721893491127</v>
      </c>
      <c r="Z24" s="79">
        <f t="shared" ref="Z24:Z25" si="12">T24</f>
        <v>1290</v>
      </c>
      <c r="AA24" t="s">
        <v>855</v>
      </c>
      <c r="AB24" s="13"/>
    </row>
    <row r="25" spans="1:28" ht="46.5" thickTop="1" thickBot="1">
      <c r="A25" s="9">
        <v>140763</v>
      </c>
      <c r="B25" s="21">
        <f>VLOOKUP($A25,'Выгр Кат'!$A:$R,B$1,0)</f>
        <v>31519</v>
      </c>
      <c r="C25" s="54" t="str">
        <f>VLOOKUP($A25,'Выгр Кат'!$A:$R,C$1,0)</f>
        <v>Гиб (переход через заднюю балку) "AutoProduct" d51 мм для ВАЗ 2110-2112</v>
      </c>
      <c r="D25" s="21" t="str">
        <f>VLOOKUP($A25,'Выгр Кат'!$A:$R,D$1,0)</f>
        <v>Y</v>
      </c>
      <c r="E25" s="21" t="str">
        <f>VLOOKUP($A25,'Выгр Кат'!$A:$R,E$1,0)</f>
        <v>1</v>
      </c>
      <c r="F25" s="21" t="str">
        <f>VLOOKUP($A25,'Выгр Кат'!$A:$R,F$1,0)</f>
        <v>AP 0154</v>
      </c>
      <c r="G25" s="7" t="s">
        <v>216</v>
      </c>
      <c r="H25" s="6" t="s">
        <v>3</v>
      </c>
      <c r="I25" s="94">
        <f>VLOOKUP($G25,ПРАЙС!$B:$H,5,0)</f>
        <v>845</v>
      </c>
      <c r="J25" s="8">
        <f t="shared" si="0"/>
        <v>1.1715976331360947</v>
      </c>
      <c r="K25" s="8">
        <f>VLOOKUP($G25,ПРАЙС!$B:$H,7,0)</f>
        <v>990</v>
      </c>
      <c r="L25" s="8">
        <f t="shared" si="1"/>
        <v>1.22</v>
      </c>
      <c r="M25" s="9">
        <f t="shared" si="8"/>
        <v>1030.9000000000001</v>
      </c>
      <c r="N25" s="94">
        <f t="shared" si="2"/>
        <v>1090</v>
      </c>
      <c r="O25" s="21">
        <f>VLOOKUP($A25,'Выгр Кат'!$A:$R,O$1,0)</f>
        <v>860</v>
      </c>
      <c r="P25" s="21">
        <f>VLOOKUP($A25,'Выгр Кат'!$A:$R,P$1,0)</f>
        <v>1290</v>
      </c>
      <c r="Q25" s="70">
        <f t="shared" si="3"/>
        <v>15</v>
      </c>
      <c r="R25" s="70">
        <f t="shared" si="4"/>
        <v>200</v>
      </c>
      <c r="S25" s="85">
        <f t="shared" si="9"/>
        <v>1035.5</v>
      </c>
      <c r="T25" s="81">
        <f>IFERROR((VLOOKUP($A25,'Из ГУГЛа'!$B:$G,6,0)+V25)*U25,VLOOKUP($A25,'Из ГУГЛа'!$B:$G,6,0))</f>
        <v>1290</v>
      </c>
      <c r="U25" s="83">
        <v>1</v>
      </c>
      <c r="V25" s="83">
        <v>0</v>
      </c>
      <c r="W25" s="48">
        <f t="shared" si="5"/>
        <v>0.22544378698224854</v>
      </c>
      <c r="X25" s="48">
        <f t="shared" si="6"/>
        <v>0.19728682170542636</v>
      </c>
      <c r="Y25" s="48">
        <f t="shared" si="7"/>
        <v>0.52662721893491127</v>
      </c>
      <c r="Z25" s="79">
        <f t="shared" si="12"/>
        <v>1290</v>
      </c>
      <c r="AA25" t="s">
        <v>856</v>
      </c>
      <c r="AB25" s="13"/>
    </row>
    <row r="26" spans="1:28" ht="46.5" thickTop="1" thickBot="1">
      <c r="A26" s="9">
        <v>203075</v>
      </c>
      <c r="B26" s="21">
        <f>VLOOKUP($A26,'Выгр Кат'!$A:$R,B$1,0)</f>
        <v>3642</v>
      </c>
      <c r="C26" s="54" t="str">
        <f>VLOOKUP($A26,'Выгр Кат'!$A:$R,C$1,0)</f>
        <v>Растяжка силового агрегата (гитара) "AUTOPRODUCT" для ВАЗ 2110-2112, Лада Приора</v>
      </c>
      <c r="D26" s="21" t="str">
        <f>VLOOKUP($A26,'Выгр Кат'!$A:$R,D$1,0)</f>
        <v>Y</v>
      </c>
      <c r="E26" s="21" t="str">
        <f>VLOOKUP($A26,'Выгр Кат'!$A:$R,E$1,0)</f>
        <v>1</v>
      </c>
      <c r="F26" s="21" t="str">
        <f>VLOOKUP($A26,'Выгр Кат'!$A:$R,F$1,0)</f>
        <v>АР 0270</v>
      </c>
      <c r="G26" s="7" t="s">
        <v>255</v>
      </c>
      <c r="H26" s="6" t="s">
        <v>3</v>
      </c>
      <c r="I26" s="94">
        <f>VLOOKUP($G26,ПРАЙС!$B:$H,5,0)</f>
        <v>790</v>
      </c>
      <c r="J26" s="8">
        <f t="shared" si="0"/>
        <v>1.2531645569620253</v>
      </c>
      <c r="K26" s="8">
        <f>VLOOKUP($G26,ПРАЙС!$B:$H,7,0)</f>
        <v>990</v>
      </c>
      <c r="L26" s="8">
        <f t="shared" si="1"/>
        <v>1.2531645569620253</v>
      </c>
      <c r="M26" s="9">
        <f t="shared" si="8"/>
        <v>990</v>
      </c>
      <c r="N26" s="94">
        <f t="shared" si="2"/>
        <v>989</v>
      </c>
      <c r="O26" s="21">
        <f>VLOOKUP($A26,'Выгр Кат'!$A:$R,O$1,0)</f>
        <v>770</v>
      </c>
      <c r="P26" s="21">
        <f>VLOOKUP($A26,'Выгр Кат'!$A:$R,P$1,0)</f>
        <v>1190</v>
      </c>
      <c r="Q26" s="70">
        <f t="shared" si="3"/>
        <v>-20</v>
      </c>
      <c r="R26" s="70">
        <f t="shared" si="4"/>
        <v>201</v>
      </c>
      <c r="S26" s="85">
        <f t="shared" si="9"/>
        <v>939.55</v>
      </c>
      <c r="T26" s="81">
        <f>IFERROR((VLOOKUP($A26,'Из ГУГЛа'!$B:$G,6,0)+V26)*U26,VLOOKUP($A26,'Из ГУГЛа'!$B:$G,6,0))</f>
        <v>1190</v>
      </c>
      <c r="U26" s="83">
        <v>1</v>
      </c>
      <c r="V26" s="83">
        <v>0</v>
      </c>
      <c r="W26" s="48">
        <f t="shared" si="5"/>
        <v>0.18930379746835446</v>
      </c>
      <c r="X26" s="48">
        <f t="shared" si="6"/>
        <v>0.21046218487394963</v>
      </c>
      <c r="Y26" s="48">
        <f t="shared" si="7"/>
        <v>0.50632911392405067</v>
      </c>
      <c r="Z26" s="78">
        <v>1190</v>
      </c>
      <c r="AA26" t="s">
        <v>788</v>
      </c>
      <c r="AB26" s="35">
        <v>890</v>
      </c>
    </row>
    <row r="27" spans="1:28" ht="76.5" thickTop="1" thickBot="1">
      <c r="A27" s="9">
        <v>201662</v>
      </c>
      <c r="B27" s="21">
        <f>VLOOKUP($A27,'Выгр Кат'!$A:$R,B$1,0)</f>
        <v>2396</v>
      </c>
      <c r="C27" s="54" t="str">
        <f>VLOOKUP($A27,'Выгр Кат'!$A:$R,C$1,0)</f>
        <v>Проставки задней подвески -2 "AUTOPRODUCT" для ВАЗ (2108-21099, 2113-2115, 2110-2112), Лада (Калина, Калина 2, Приора, Приора 2, Гранта), Датсун (mi-Do, on-Do)</v>
      </c>
      <c r="D27" s="21" t="str">
        <f>VLOOKUP($A27,'Выгр Кат'!$A:$R,D$1,0)</f>
        <v>Y</v>
      </c>
      <c r="E27" s="21" t="str">
        <f>VLOOKUP($A27,'Выгр Кат'!$A:$R,E$1,0)</f>
        <v>1</v>
      </c>
      <c r="F27" s="21" t="str">
        <f>VLOOKUP($A27,'Выгр Кат'!$A:$R,F$1,0)</f>
        <v>АР 0112</v>
      </c>
      <c r="G27" s="7" t="s">
        <v>329</v>
      </c>
      <c r="H27" s="6" t="s">
        <v>3</v>
      </c>
      <c r="I27" s="94">
        <f>VLOOKUP($G27,ПРАЙС!$B:$H,5,0)</f>
        <v>770</v>
      </c>
      <c r="J27" s="8">
        <f t="shared" si="0"/>
        <v>1.2857142857142858</v>
      </c>
      <c r="K27" s="8">
        <f>VLOOKUP($G27,ПРАЙС!$B:$H,7,0)</f>
        <v>990</v>
      </c>
      <c r="L27" s="8">
        <f t="shared" si="1"/>
        <v>1.2857142857142858</v>
      </c>
      <c r="M27" s="9">
        <f t="shared" si="8"/>
        <v>990.00000000000011</v>
      </c>
      <c r="N27" s="94">
        <f t="shared" si="2"/>
        <v>989</v>
      </c>
      <c r="O27" s="21">
        <f>VLOOKUP($A27,'Выгр Кат'!$A:$R,O$1,0)</f>
        <v>770</v>
      </c>
      <c r="P27" s="21">
        <f>VLOOKUP($A27,'Выгр Кат'!$A:$R,P$1,0)</f>
        <v>1190</v>
      </c>
      <c r="Q27" s="70">
        <f t="shared" si="3"/>
        <v>0</v>
      </c>
      <c r="R27" s="70">
        <f t="shared" si="4"/>
        <v>201</v>
      </c>
      <c r="S27" s="85">
        <f t="shared" si="9"/>
        <v>939.55</v>
      </c>
      <c r="T27" s="81">
        <f>IFERROR((VLOOKUP($A27,'Из ГУГЛа'!$B:$G,6,0)+V27)*U27,VLOOKUP($A27,'Из ГУГЛа'!$B:$G,6,0))</f>
        <v>1190</v>
      </c>
      <c r="U27" s="83">
        <v>1</v>
      </c>
      <c r="V27" s="83">
        <v>0</v>
      </c>
      <c r="W27" s="48">
        <f t="shared" si="5"/>
        <v>0.22019480519480505</v>
      </c>
      <c r="X27" s="48">
        <f t="shared" si="6"/>
        <v>0.21046218487394963</v>
      </c>
      <c r="Y27" s="48">
        <f t="shared" si="7"/>
        <v>0.54545454545454541</v>
      </c>
      <c r="Z27" s="79">
        <f t="shared" ref="Z27:Z29" si="13">T27</f>
        <v>1190</v>
      </c>
      <c r="AA27" t="s">
        <v>857</v>
      </c>
      <c r="AB27" s="13"/>
    </row>
    <row r="28" spans="1:28" ht="46.5" thickTop="1" thickBot="1">
      <c r="A28" s="9">
        <v>140764</v>
      </c>
      <c r="B28" s="21">
        <f>VLOOKUP($A28,'Выгр Кат'!$A:$R,B$1,0)</f>
        <v>31889</v>
      </c>
      <c r="C28" s="54" t="str">
        <f>VLOOKUP($A28,'Выгр Кат'!$A:$R,C$1,0)</f>
        <v>Гиб (переход через заднюю балку) "AUTOPRODUCT" d51 мм для Лада Калина седан</v>
      </c>
      <c r="D28" s="21" t="str">
        <f>VLOOKUP($A28,'Выгр Кат'!$A:$R,D$1,0)</f>
        <v>Y</v>
      </c>
      <c r="E28" s="21" t="str">
        <f>VLOOKUP($A28,'Выгр Кат'!$A:$R,E$1,0)</f>
        <v>1</v>
      </c>
      <c r="F28" s="21" t="str">
        <f>VLOOKUP($A28,'Выгр Кат'!$A:$R,F$1,0)</f>
        <v>AP 0540</v>
      </c>
      <c r="G28" s="7" t="s">
        <v>223</v>
      </c>
      <c r="H28" s="6" t="s">
        <v>3</v>
      </c>
      <c r="I28" s="94">
        <f>VLOOKUP($G28,ПРАЙС!$B:$H,5,0)</f>
        <v>860</v>
      </c>
      <c r="J28" s="8">
        <f t="shared" si="0"/>
        <v>1.1511627906976745</v>
      </c>
      <c r="K28" s="8">
        <f>VLOOKUP($G28,ПРАЙС!$B:$H,7,0)</f>
        <v>990</v>
      </c>
      <c r="L28" s="8">
        <f t="shared" si="1"/>
        <v>1.22</v>
      </c>
      <c r="M28" s="9">
        <f t="shared" si="8"/>
        <v>1049.2</v>
      </c>
      <c r="N28" s="94">
        <f t="shared" si="2"/>
        <v>1090</v>
      </c>
      <c r="O28" s="21">
        <f>VLOOKUP($A28,'Выгр Кат'!$A:$R,O$1,0)</f>
        <v>845</v>
      </c>
      <c r="P28" s="21">
        <f>VLOOKUP($A28,'Выгр Кат'!$A:$R,P$1,0)</f>
        <v>1290</v>
      </c>
      <c r="Q28" s="70">
        <f t="shared" si="3"/>
        <v>-15</v>
      </c>
      <c r="R28" s="70">
        <f t="shared" si="4"/>
        <v>200</v>
      </c>
      <c r="S28" s="85">
        <f t="shared" si="9"/>
        <v>1035.5</v>
      </c>
      <c r="T28" s="81">
        <f>IFERROR((VLOOKUP($A28,'Из ГУГЛа'!$B:$G,6,0)+V28)*U28,VLOOKUP($A28,'Из ГУГЛа'!$B:$G,6,0))</f>
        <v>1290</v>
      </c>
      <c r="U28" s="83">
        <v>1</v>
      </c>
      <c r="V28" s="83">
        <v>0</v>
      </c>
      <c r="W28" s="48">
        <f t="shared" si="5"/>
        <v>0.20406976744186056</v>
      </c>
      <c r="X28" s="48">
        <f t="shared" si="6"/>
        <v>0.19728682170542636</v>
      </c>
      <c r="Y28" s="48">
        <f t="shared" si="7"/>
        <v>0.5</v>
      </c>
      <c r="Z28" s="79">
        <f t="shared" si="13"/>
        <v>1290</v>
      </c>
      <c r="AA28" t="s">
        <v>858</v>
      </c>
      <c r="AB28" s="13"/>
    </row>
    <row r="29" spans="1:28" ht="46.5" thickTop="1" thickBot="1">
      <c r="A29" s="9">
        <v>202751</v>
      </c>
      <c r="B29" s="21">
        <f>VLOOKUP($A29,'Выгр Кат'!$A:$R,B$1,0)</f>
        <v>2434</v>
      </c>
      <c r="C29" s="54" t="str">
        <f>VLOOKUP($A29,'Выгр Кат'!$A:$R,C$1,0)</f>
        <v>Распорка передняя нижняя "AUTOPRODUCT" для Лада Нива 4х4, Шевроле Нива</v>
      </c>
      <c r="D29" s="21" t="str">
        <f>VLOOKUP($A29,'Выгр Кат'!$A:$R,D$1,0)</f>
        <v>Y</v>
      </c>
      <c r="E29" s="21" t="str">
        <f>VLOOKUP($A29,'Выгр Кат'!$A:$R,E$1,0)</f>
        <v>1ск1</v>
      </c>
      <c r="F29" s="21" t="str">
        <f>VLOOKUP($A29,'Выгр Кат'!$A:$R,F$1,0)</f>
        <v>АР 0470</v>
      </c>
      <c r="G29" s="7" t="s">
        <v>298</v>
      </c>
      <c r="H29" s="6" t="s">
        <v>3</v>
      </c>
      <c r="I29" s="94">
        <f>VLOOKUP($G29,ПРАЙС!$B:$H,5,0)</f>
        <v>765</v>
      </c>
      <c r="J29" s="8">
        <f t="shared" si="0"/>
        <v>1.2941176470588236</v>
      </c>
      <c r="K29" s="8">
        <f>VLOOKUP($G29,ПРАЙС!$B:$H,7,0)</f>
        <v>990</v>
      </c>
      <c r="L29" s="8">
        <f t="shared" si="1"/>
        <v>1.2941176470588236</v>
      </c>
      <c r="M29" s="9">
        <f t="shared" si="8"/>
        <v>990</v>
      </c>
      <c r="N29" s="94">
        <f t="shared" si="2"/>
        <v>989</v>
      </c>
      <c r="O29" s="21">
        <f>VLOOKUP($A29,'Выгр Кат'!$A:$R,O$1,0)</f>
        <v>845</v>
      </c>
      <c r="P29" s="21">
        <f>VLOOKUP($A29,'Выгр Кат'!$A:$R,P$1,0)</f>
        <v>1290</v>
      </c>
      <c r="Q29" s="70">
        <f t="shared" si="3"/>
        <v>80</v>
      </c>
      <c r="R29" s="70">
        <f t="shared" si="4"/>
        <v>301</v>
      </c>
      <c r="S29" s="85">
        <f t="shared" si="9"/>
        <v>939.55</v>
      </c>
      <c r="T29" s="81">
        <f>IFERROR((VLOOKUP($A29,'Из ГУГЛа'!$B:$G,6,0)+V29)*U29,VLOOKUP($A29,'Из ГУГЛа'!$B:$G,6,0))</f>
        <v>1290</v>
      </c>
      <c r="U29" s="83">
        <v>1</v>
      </c>
      <c r="V29" s="83">
        <v>0</v>
      </c>
      <c r="W29" s="48">
        <f t="shared" si="5"/>
        <v>0.22816993464052282</v>
      </c>
      <c r="X29" s="48">
        <f t="shared" si="6"/>
        <v>0.27166666666666672</v>
      </c>
      <c r="Y29" s="48">
        <f t="shared" si="7"/>
        <v>0.68627450980392157</v>
      </c>
      <c r="Z29" s="79">
        <f t="shared" si="13"/>
        <v>1290</v>
      </c>
      <c r="AA29" t="s">
        <v>841</v>
      </c>
      <c r="AB29" s="35">
        <v>890</v>
      </c>
    </row>
    <row r="30" spans="1:28" ht="46.5" thickTop="1" thickBot="1">
      <c r="A30" s="9">
        <v>223542</v>
      </c>
      <c r="B30" s="21">
        <f>VLOOKUP($A30,'Выгр Кат'!$A:$R,B$1,0)</f>
        <v>2467</v>
      </c>
      <c r="C30" s="54" t="str">
        <f>VLOOKUP($A30,'Выгр Кат'!$A:$R,C$1,0)</f>
        <v>Усилители опор стоек "AUTOPRODUCT" с кастером на 1,5 градуса для ВАЗ 2108-21099, 2113-2115</v>
      </c>
      <c r="D30" s="21" t="str">
        <f>VLOOKUP($A30,'Выгр Кат'!$A:$R,D$1,0)</f>
        <v>Y</v>
      </c>
      <c r="E30" s="21" t="str">
        <f>VLOOKUP($A30,'Выгр Кат'!$A:$R,E$1,0)</f>
        <v>1</v>
      </c>
      <c r="F30" s="21" t="str">
        <f>VLOOKUP($A30,'Выгр Кат'!$A:$R,F$1,0)</f>
        <v>АР 0076</v>
      </c>
      <c r="G30" s="7" t="s">
        <v>234</v>
      </c>
      <c r="H30" s="6" t="s">
        <v>3</v>
      </c>
      <c r="I30" s="94">
        <f>VLOOKUP($G30,ПРАЙС!$B:$H,5,0)</f>
        <v>785</v>
      </c>
      <c r="J30" s="8">
        <f t="shared" si="0"/>
        <v>1.3121019108280254</v>
      </c>
      <c r="K30" s="8">
        <f>VLOOKUP($G30,ПРАЙС!$B:$H,7,0)</f>
        <v>1030</v>
      </c>
      <c r="L30" s="8">
        <f t="shared" si="1"/>
        <v>1.3121019108280254</v>
      </c>
      <c r="M30" s="9">
        <f t="shared" si="8"/>
        <v>1030</v>
      </c>
      <c r="N30" s="94">
        <f t="shared" si="2"/>
        <v>1090</v>
      </c>
      <c r="O30" s="21">
        <f>VLOOKUP($A30,'Выгр Кат'!$A:$R,O$1,0)</f>
        <v>785</v>
      </c>
      <c r="P30" s="21">
        <f>VLOOKUP($A30,'Выгр Кат'!$A:$R,P$1,0)</f>
        <v>1190</v>
      </c>
      <c r="Q30" s="70">
        <f t="shared" si="3"/>
        <v>0</v>
      </c>
      <c r="R30" s="70">
        <f t="shared" si="4"/>
        <v>100</v>
      </c>
      <c r="S30" s="85">
        <f t="shared" si="9"/>
        <v>1035.5</v>
      </c>
      <c r="T30" s="81">
        <f>IFERROR((VLOOKUP($A30,'Из ГУГЛа'!$B:$G,6,0)+V30)*U30,VLOOKUP($A30,'Из ГУГЛа'!$B:$G,6,0))</f>
        <v>1190</v>
      </c>
      <c r="U30" s="83">
        <v>1</v>
      </c>
      <c r="V30" s="83">
        <v>0</v>
      </c>
      <c r="W30" s="48">
        <f t="shared" si="5"/>
        <v>0.31910828025477711</v>
      </c>
      <c r="X30" s="48">
        <f t="shared" si="6"/>
        <v>0.12983193277310925</v>
      </c>
      <c r="Y30" s="48">
        <f t="shared" si="7"/>
        <v>0.515923566878981</v>
      </c>
      <c r="Z30" s="78">
        <v>1190</v>
      </c>
      <c r="AA30" t="s">
        <v>842</v>
      </c>
      <c r="AB30" s="35">
        <v>950</v>
      </c>
    </row>
    <row r="31" spans="1:28" ht="61.5" thickTop="1" thickBot="1">
      <c r="A31" s="9">
        <v>223543</v>
      </c>
      <c r="B31" s="21">
        <f>VLOOKUP($A31,'Выгр Кат'!$A:$R,B$1,0)</f>
        <v>2468</v>
      </c>
      <c r="C31" s="54" t="str">
        <f>VLOOKUP($A31,'Выгр Кат'!$A:$R,C$1,0)</f>
        <v>Усилители опор стоек "AUTOPRODUCT" с кастером на 1,5 градуса для ВАЗ 2110-2112, Лада (Приора, Приора 2)</v>
      </c>
      <c r="D31" s="21" t="str">
        <f>VLOOKUP($A31,'Выгр Кат'!$A:$R,D$1,0)</f>
        <v>Y</v>
      </c>
      <c r="E31" s="21" t="str">
        <f>VLOOKUP($A31,'Выгр Кат'!$A:$R,E$1,0)</f>
        <v>1</v>
      </c>
      <c r="F31" s="21" t="str">
        <f>VLOOKUP($A31,'Выгр Кат'!$A:$R,F$1,0)</f>
        <v>АР 0216</v>
      </c>
      <c r="G31" s="7" t="s">
        <v>236</v>
      </c>
      <c r="H31" s="6" t="s">
        <v>3</v>
      </c>
      <c r="I31" s="94">
        <f>VLOOKUP($G31,ПРАЙС!$B:$H,5,0)</f>
        <v>805</v>
      </c>
      <c r="J31" s="8">
        <f t="shared" si="0"/>
        <v>1.2795031055900621</v>
      </c>
      <c r="K31" s="8">
        <f>VLOOKUP($G31,ПРАЙС!$B:$H,7,0)</f>
        <v>1030</v>
      </c>
      <c r="L31" s="8">
        <f t="shared" si="1"/>
        <v>1.2795031055900621</v>
      </c>
      <c r="M31" s="9">
        <f t="shared" si="8"/>
        <v>1030</v>
      </c>
      <c r="N31" s="94">
        <f t="shared" si="2"/>
        <v>1090</v>
      </c>
      <c r="O31" s="21">
        <f>VLOOKUP($A31,'Выгр Кат'!$A:$R,O$1,0)</f>
        <v>805</v>
      </c>
      <c r="P31" s="21">
        <f>VLOOKUP($A31,'Выгр Кат'!$A:$R,P$1,0)</f>
        <v>1190</v>
      </c>
      <c r="Q31" s="70">
        <f t="shared" si="3"/>
        <v>0</v>
      </c>
      <c r="R31" s="70">
        <f t="shared" si="4"/>
        <v>100</v>
      </c>
      <c r="S31" s="85">
        <f t="shared" si="9"/>
        <v>1035.5</v>
      </c>
      <c r="T31" s="81">
        <f>IFERROR((VLOOKUP($A31,'Из ГУГЛа'!$B:$G,6,0)+V31)*U31,VLOOKUP($A31,'Из ГУГЛа'!$B:$G,6,0))</f>
        <v>1190</v>
      </c>
      <c r="U31" s="83">
        <v>1</v>
      </c>
      <c r="V31" s="83">
        <v>0</v>
      </c>
      <c r="W31" s="48">
        <f t="shared" si="5"/>
        <v>0.28633540372670807</v>
      </c>
      <c r="X31" s="48">
        <f t="shared" si="6"/>
        <v>0.12983193277310925</v>
      </c>
      <c r="Y31" s="48">
        <f t="shared" si="7"/>
        <v>0.47826086956521729</v>
      </c>
      <c r="Z31" s="79">
        <f>T31</f>
        <v>1190</v>
      </c>
      <c r="AA31" t="s">
        <v>859</v>
      </c>
      <c r="AB31" s="13"/>
    </row>
    <row r="32" spans="1:28" ht="46.5" thickTop="1" thickBot="1">
      <c r="A32" s="9">
        <v>202750</v>
      </c>
      <c r="B32" s="21">
        <f>VLOOKUP($A32,'Выгр Кат'!$A:$R,B$1,0)</f>
        <v>2475</v>
      </c>
      <c r="C32" s="54" t="str">
        <f>VLOOKUP($A32,'Выгр Кат'!$A:$R,C$1,0)</f>
        <v>Распорка передняя нижняя "AUTOPRODUCT" для ВАЗ (2108-21099, 2110-2112, 2113-2115), Лада Приора</v>
      </c>
      <c r="D32" s="21" t="str">
        <f>VLOOKUP($A32,'Выгр Кат'!$A:$R,D$1,0)</f>
        <v>Y</v>
      </c>
      <c r="E32" s="21" t="str">
        <f>VLOOKUP($A32,'Выгр Кат'!$A:$R,E$1,0)</f>
        <v>1</v>
      </c>
      <c r="F32" s="21" t="str">
        <f>VLOOKUP($A32,'Выгр Кат'!$A:$R,F$1,0)</f>
        <v>АР 0160</v>
      </c>
      <c r="G32" s="7" t="s">
        <v>296</v>
      </c>
      <c r="H32" s="6" t="s">
        <v>3</v>
      </c>
      <c r="I32" s="94">
        <f>VLOOKUP($G32,ПРАЙС!$B:$H,5,0)</f>
        <v>795</v>
      </c>
      <c r="J32" s="8">
        <f t="shared" si="0"/>
        <v>1.2830188679245282</v>
      </c>
      <c r="K32" s="8">
        <f>VLOOKUP($G32,ПРАЙС!$B:$H,7,0)</f>
        <v>1020</v>
      </c>
      <c r="L32" s="8">
        <f t="shared" si="1"/>
        <v>1.2830188679245282</v>
      </c>
      <c r="M32" s="9">
        <f t="shared" si="8"/>
        <v>1020</v>
      </c>
      <c r="N32" s="94">
        <f t="shared" si="2"/>
        <v>1090</v>
      </c>
      <c r="O32" s="21">
        <f>VLOOKUP($A32,'Выгр Кат'!$A:$R,O$1,0)</f>
        <v>795</v>
      </c>
      <c r="P32" s="21">
        <f>VLOOKUP($A32,'Выгр Кат'!$A:$R,P$1,0)</f>
        <v>1190</v>
      </c>
      <c r="Q32" s="70">
        <f t="shared" si="3"/>
        <v>0</v>
      </c>
      <c r="R32" s="70">
        <f t="shared" si="4"/>
        <v>100</v>
      </c>
      <c r="S32" s="85">
        <f t="shared" si="9"/>
        <v>1035.5</v>
      </c>
      <c r="T32" s="81">
        <f>IFERROR((VLOOKUP($A32,'Из ГУГЛа'!$B:$G,6,0)+V32)*U32,VLOOKUP($A32,'Из ГУГЛа'!$B:$G,6,0))</f>
        <v>1190</v>
      </c>
      <c r="U32" s="83">
        <v>1</v>
      </c>
      <c r="V32" s="83">
        <v>0</v>
      </c>
      <c r="W32" s="48">
        <f t="shared" si="5"/>
        <v>0.3025157232704403</v>
      </c>
      <c r="X32" s="48">
        <f t="shared" si="6"/>
        <v>0.12983193277310925</v>
      </c>
      <c r="Y32" s="48">
        <f t="shared" si="7"/>
        <v>0.49685534591194958</v>
      </c>
      <c r="Z32" s="78">
        <v>1190</v>
      </c>
      <c r="AA32" t="s">
        <v>787</v>
      </c>
      <c r="AB32" s="35">
        <v>950</v>
      </c>
    </row>
    <row r="33" spans="1:28" ht="46.5" thickTop="1" thickBot="1">
      <c r="A33" s="9">
        <v>222925</v>
      </c>
      <c r="B33" s="21">
        <f>VLOOKUP($A33,'Выгр Кат'!$A:$R,B$1,0)</f>
        <v>19520</v>
      </c>
      <c r="C33" s="54" t="str">
        <f>VLOOKUP($A33,'Выгр Кат'!$A:$R,C$1,0)</f>
        <v>Тяга с контргайками рулевой трапеции дрифт (комплект) "AUTOPRODUCT" для ВАЗ 2101-2107</v>
      </c>
      <c r="D33" s="21" t="str">
        <f>VLOOKUP($A33,'Выгр Кат'!$A:$R,D$1,0)</f>
        <v>Y</v>
      </c>
      <c r="E33" s="21" t="str">
        <f>VLOOKUP($A33,'Выгр Кат'!$A:$R,E$1,0)</f>
        <v>1</v>
      </c>
      <c r="F33" s="21" t="str">
        <f>VLOOKUP($A33,'Выгр Кат'!$A:$R,F$1,0)</f>
        <v>АР 0002</v>
      </c>
      <c r="G33" s="7" t="s">
        <v>316</v>
      </c>
      <c r="H33" s="6" t="s">
        <v>3</v>
      </c>
      <c r="I33" s="92">
        <f>O33</f>
        <v>845</v>
      </c>
      <c r="J33" s="8" t="e">
        <f t="shared" si="0"/>
        <v>#N/A</v>
      </c>
      <c r="K33" s="8" t="e">
        <f>VLOOKUP($G33,ПРАЙС!$B:$H,7,0)</f>
        <v>#N/A</v>
      </c>
      <c r="L33" s="8" t="e">
        <f t="shared" si="1"/>
        <v>#N/A</v>
      </c>
      <c r="M33" s="92">
        <f>P33</f>
        <v>1290</v>
      </c>
      <c r="N33" s="94">
        <f t="shared" si="2"/>
        <v>1290</v>
      </c>
      <c r="O33" s="21">
        <f>VLOOKUP($A33,'Выгр Кат'!$A:$R,O$1,0)</f>
        <v>845</v>
      </c>
      <c r="P33" s="21">
        <f>VLOOKUP($A33,'Выгр Кат'!$A:$R,P$1,0)</f>
        <v>1290</v>
      </c>
      <c r="Q33" s="70">
        <f t="shared" si="3"/>
        <v>0</v>
      </c>
      <c r="R33" s="70">
        <f t="shared" si="4"/>
        <v>0</v>
      </c>
      <c r="S33" s="85">
        <f t="shared" si="9"/>
        <v>1225.5</v>
      </c>
      <c r="T33" s="81">
        <f>IFERROR((VLOOKUP($A33,'Из ГУГЛа'!$B:$G,6,0)+V33)*U33,VLOOKUP($A33,'Из ГУГЛа'!$B:$G,6,0))</f>
        <v>1290</v>
      </c>
      <c r="U33" s="83">
        <v>1</v>
      </c>
      <c r="V33" s="83">
        <v>0</v>
      </c>
      <c r="W33" s="48">
        <f t="shared" si="5"/>
        <v>0.45029585798816574</v>
      </c>
      <c r="X33" s="48">
        <f t="shared" si="6"/>
        <v>0.05</v>
      </c>
      <c r="Y33" s="48">
        <f t="shared" si="7"/>
        <v>0.52662721893491127</v>
      </c>
      <c r="Z33" s="78">
        <v>1290</v>
      </c>
      <c r="AA33" t="s">
        <v>860</v>
      </c>
      <c r="AB33" s="35">
        <v>995</v>
      </c>
    </row>
    <row r="34" spans="1:28" ht="61.5" thickTop="1" thickBot="1">
      <c r="A34" s="9">
        <v>223544</v>
      </c>
      <c r="B34" s="21">
        <f>VLOOKUP($A34,'Выгр Кат'!$A:$R,B$1,0)</f>
        <v>2466</v>
      </c>
      <c r="C34" s="54" t="str">
        <f>VLOOKUP($A34,'Выгр Кат'!$A:$R,C$1,0)</f>
        <v>Усилители опор стоек "AUTOPRODUCT" с кастером на 1,5 градуса для Лада Калина, Калина 2, Гранта</v>
      </c>
      <c r="D34" s="21" t="str">
        <f>VLOOKUP($A34,'Выгр Кат'!$A:$R,D$1,0)</f>
        <v>Y</v>
      </c>
      <c r="E34" s="21" t="str">
        <f>VLOOKUP($A34,'Выгр Кат'!$A:$R,E$1,0)</f>
        <v>1ск4</v>
      </c>
      <c r="F34" s="21" t="str">
        <f>VLOOKUP($A34,'Выгр Кат'!$A:$R,F$1,0)</f>
        <v>АР 0489</v>
      </c>
      <c r="G34" s="7" t="s">
        <v>238</v>
      </c>
      <c r="H34" s="6" t="s">
        <v>3</v>
      </c>
      <c r="I34" s="94">
        <f>VLOOKUP($G34,ПРАЙС!$B:$H,5,0)</f>
        <v>865</v>
      </c>
      <c r="J34" s="8">
        <f t="shared" si="0"/>
        <v>1.1907514450867052</v>
      </c>
      <c r="K34" s="8">
        <f>VLOOKUP($G34,ПРАЙС!$B:$H,7,0)</f>
        <v>1030</v>
      </c>
      <c r="L34" s="8">
        <f t="shared" si="1"/>
        <v>1.22</v>
      </c>
      <c r="M34" s="9">
        <f t="shared" si="8"/>
        <v>1055.3</v>
      </c>
      <c r="N34" s="94">
        <f t="shared" si="2"/>
        <v>1090</v>
      </c>
      <c r="O34" s="21">
        <f>VLOOKUP($A34,'Выгр Кат'!$A:$R,O$1,0)</f>
        <v>805</v>
      </c>
      <c r="P34" s="21">
        <f>VLOOKUP($A34,'Выгр Кат'!$A:$R,P$1,0)</f>
        <v>1190</v>
      </c>
      <c r="Q34" s="70">
        <f t="shared" si="3"/>
        <v>-60</v>
      </c>
      <c r="R34" s="70">
        <f t="shared" si="4"/>
        <v>100</v>
      </c>
      <c r="S34" s="85">
        <f t="shared" si="9"/>
        <v>1035.5</v>
      </c>
      <c r="T34" s="81">
        <f>IFERROR((VLOOKUP($A34,'Из ГУГЛа'!$B:$G,6,0)+V34)*U34,VLOOKUP($A34,'Из ГУГЛа'!$B:$G,6,0))</f>
        <v>1190</v>
      </c>
      <c r="U34" s="83">
        <v>1</v>
      </c>
      <c r="V34" s="83">
        <v>0</v>
      </c>
      <c r="W34" s="48">
        <f t="shared" si="5"/>
        <v>0.19710982658959542</v>
      </c>
      <c r="X34" s="48">
        <f t="shared" si="6"/>
        <v>0.12983193277310925</v>
      </c>
      <c r="Y34" s="48">
        <f t="shared" si="7"/>
        <v>0.37572254335260125</v>
      </c>
      <c r="Z34" s="78">
        <v>1190</v>
      </c>
      <c r="AA34" t="s">
        <v>792</v>
      </c>
      <c r="AB34" s="35">
        <v>990</v>
      </c>
    </row>
    <row r="35" spans="1:28" ht="46.5" thickTop="1" thickBot="1">
      <c r="A35" s="9">
        <v>202754</v>
      </c>
      <c r="B35" s="21">
        <f>VLOOKUP($A35,'Выгр Кат'!$A:$R,B$1,0)</f>
        <v>2484</v>
      </c>
      <c r="C35" s="54" t="str">
        <f>VLOOKUP($A35,'Выгр Кат'!$A:$R,C$1,0)</f>
        <v>Распорка передняя нижняя АР 0310 / АР18-2801070 на Гранта, Калина, Калина 2 (до 2013 г. в.)</v>
      </c>
      <c r="D35" s="21" t="str">
        <f>VLOOKUP($A35,'Выгр Кат'!$A:$R,D$1,0)</f>
        <v>Y</v>
      </c>
      <c r="E35" s="21" t="str">
        <f>VLOOKUP($A35,'Выгр Кат'!$A:$R,E$1,0)</f>
        <v>1</v>
      </c>
      <c r="F35" s="21" t="str">
        <f>VLOOKUP($A35,'Выгр Кат'!$A:$R,F$1,0)</f>
        <v>АР 0310</v>
      </c>
      <c r="G35" s="7" t="s">
        <v>297</v>
      </c>
      <c r="H35" s="6" t="s">
        <v>3</v>
      </c>
      <c r="I35" s="94">
        <f>VLOOKUP($G35,ПРАЙС!$B:$H,5,0)</f>
        <v>850</v>
      </c>
      <c r="J35" s="8">
        <f t="shared" si="0"/>
        <v>1.2588235294117647</v>
      </c>
      <c r="K35" s="8">
        <f>VLOOKUP($G35,ПРАЙС!$B:$H,7,0)</f>
        <v>1070</v>
      </c>
      <c r="L35" s="8">
        <f t="shared" si="1"/>
        <v>1.2588235294117647</v>
      </c>
      <c r="M35" s="9">
        <f t="shared" si="8"/>
        <v>1070</v>
      </c>
      <c r="N35" s="94">
        <f t="shared" si="2"/>
        <v>1090</v>
      </c>
      <c r="O35" s="21">
        <f>VLOOKUP($A35,'Выгр Кат'!$A:$R,O$1,0)</f>
        <v>850</v>
      </c>
      <c r="P35" s="21">
        <f>VLOOKUP($A35,'Выгр Кат'!$A:$R,P$1,0)</f>
        <v>1290</v>
      </c>
      <c r="Q35" s="70">
        <f t="shared" si="3"/>
        <v>0</v>
      </c>
      <c r="R35" s="70">
        <f t="shared" si="4"/>
        <v>200</v>
      </c>
      <c r="S35" s="85">
        <f t="shared" si="9"/>
        <v>1035.5</v>
      </c>
      <c r="T35" s="81">
        <f>IFERROR((VLOOKUP($A35,'Из ГУГЛа'!$B:$G,6,0)+V35)*U35,VLOOKUP($A35,'Из ГУГЛа'!$B:$G,6,0))</f>
        <v>1290</v>
      </c>
      <c r="U35" s="83">
        <v>1</v>
      </c>
      <c r="V35" s="83">
        <v>0</v>
      </c>
      <c r="W35" s="48">
        <f t="shared" si="5"/>
        <v>0.21823529411764708</v>
      </c>
      <c r="X35" s="48">
        <f t="shared" si="6"/>
        <v>0.19728682170542636</v>
      </c>
      <c r="Y35" s="48">
        <f t="shared" si="7"/>
        <v>0.51764705882352935</v>
      </c>
      <c r="Z35" s="79">
        <f>T35</f>
        <v>1290</v>
      </c>
      <c r="AA35" t="s">
        <v>861</v>
      </c>
      <c r="AB35" s="13"/>
    </row>
    <row r="36" spans="1:28" ht="46.5" thickTop="1" thickBot="1">
      <c r="A36" s="9">
        <v>181701</v>
      </c>
      <c r="B36" s="21">
        <f>VLOOKUP($A36,'Выгр Кат'!$A:$R,B$1,0)</f>
        <v>3701</v>
      </c>
      <c r="C36" s="54" t="str">
        <f>VLOOKUP($A36,'Выгр Кат'!$A:$R,C$1,0)</f>
        <v>Опора силового агрегата Drive "AUTOPRODUCT" для ВАЗ 2108-21099, 2113-2115</v>
      </c>
      <c r="D36" s="21" t="str">
        <f>VLOOKUP($A36,'Выгр Кат'!$A:$R,D$1,0)</f>
        <v>Y</v>
      </c>
      <c r="E36" s="21" t="str">
        <f>VLOOKUP($A36,'Выгр Кат'!$A:$R,E$1,0)</f>
        <v>1</v>
      </c>
      <c r="F36" s="21" t="str">
        <f>VLOOKUP($A36,'Выгр Кат'!$A:$R,F$1,0)</f>
        <v>АР 0020</v>
      </c>
      <c r="G36" s="7" t="s">
        <v>254</v>
      </c>
      <c r="H36" s="6" t="s">
        <v>3</v>
      </c>
      <c r="I36" s="94">
        <f>VLOOKUP($G36,ПРАЙС!$B:$H,5,0)</f>
        <v>1020</v>
      </c>
      <c r="J36" s="8">
        <f t="shared" si="0"/>
        <v>1.2843137254901962</v>
      </c>
      <c r="K36" s="8">
        <f>VLOOKUP($G36,ПРАЙС!$B:$H,7,0)</f>
        <v>1310</v>
      </c>
      <c r="L36" s="8">
        <f t="shared" si="1"/>
        <v>1.2843137254901962</v>
      </c>
      <c r="M36" s="9">
        <f t="shared" si="8"/>
        <v>1310</v>
      </c>
      <c r="N36" s="94">
        <f t="shared" si="2"/>
        <v>1390</v>
      </c>
      <c r="O36" s="21">
        <f>VLOOKUP($A36,'Выгр Кат'!$A:$R,O$1,0)</f>
        <v>1020</v>
      </c>
      <c r="P36" s="21">
        <f>VLOOKUP($A36,'Выгр Кат'!$A:$R,P$1,0)</f>
        <v>1490</v>
      </c>
      <c r="Q36" s="70">
        <f t="shared" si="3"/>
        <v>0</v>
      </c>
      <c r="R36" s="70">
        <f t="shared" si="4"/>
        <v>100</v>
      </c>
      <c r="S36" s="85">
        <f t="shared" si="9"/>
        <v>1320.5</v>
      </c>
      <c r="T36" s="81">
        <f>IFERROR((VLOOKUP($A36,'Из ГУГЛа'!$B:$G,6,0)+V36)*U36,VLOOKUP($A36,'Из ГУГЛа'!$B:$G,6,0))</f>
        <v>1490</v>
      </c>
      <c r="U36" s="83">
        <v>1</v>
      </c>
      <c r="V36" s="83">
        <v>0</v>
      </c>
      <c r="W36" s="48">
        <f t="shared" si="5"/>
        <v>0.29460784313725497</v>
      </c>
      <c r="X36" s="48">
        <f t="shared" si="6"/>
        <v>0.11375838926174496</v>
      </c>
      <c r="Y36" s="48">
        <f t="shared" si="7"/>
        <v>0.46078431372549011</v>
      </c>
      <c r="Z36" s="78">
        <v>1490</v>
      </c>
      <c r="AA36" t="s">
        <v>862</v>
      </c>
      <c r="AB36" s="13"/>
    </row>
    <row r="37" spans="1:28" ht="76.5" thickTop="1" thickBot="1">
      <c r="A37" s="9">
        <v>201631</v>
      </c>
      <c r="B37" s="21">
        <f>VLOOKUP($A37,'Выгр Кат'!$A:$R,B$1,0)</f>
        <v>19536</v>
      </c>
      <c r="C37" s="54" t="str">
        <f>VLOOKUP($A37,'Выгр Кат'!$A:$R,C$1,0)</f>
        <v>Проставки -2.5 "AUTOPRODUCT" для ВАЗ (2108-21099, 2110-2112, 2113-2115), Лада (Калина, Калина 2, Приора, Приора 2, Гранта), Датсун (mi-DO, on-DO)</v>
      </c>
      <c r="D37" s="21" t="str">
        <f>VLOOKUP($A37,'Выгр Кат'!$A:$R,D$1,0)</f>
        <v>Y</v>
      </c>
      <c r="E37" s="21" t="str">
        <f>VLOOKUP($A37,'Выгр Кат'!$A:$R,E$1,0)</f>
        <v>1</v>
      </c>
      <c r="F37" s="21" t="str">
        <f>VLOOKUP($A37,'Выгр Кат'!$A:$R,F$1,0)</f>
        <v>АР 0113</v>
      </c>
      <c r="G37" s="7" t="s">
        <v>330</v>
      </c>
      <c r="H37" s="6" t="s">
        <v>3</v>
      </c>
      <c r="I37" s="94">
        <f>VLOOKUP($G37,ПРАЙС!$B:$H,5,0)</f>
        <v>895</v>
      </c>
      <c r="J37" s="8">
        <f t="shared" si="0"/>
        <v>1.2849162011173185</v>
      </c>
      <c r="K37" s="8">
        <f>VLOOKUP($G37,ПРАЙС!$B:$H,7,0)</f>
        <v>1150</v>
      </c>
      <c r="L37" s="8">
        <f t="shared" si="1"/>
        <v>1.2849162011173185</v>
      </c>
      <c r="M37" s="9">
        <f t="shared" si="8"/>
        <v>1150</v>
      </c>
      <c r="N37" s="94">
        <f t="shared" si="2"/>
        <v>1190</v>
      </c>
      <c r="O37" s="21">
        <f>VLOOKUP($A37,'Выгр Кат'!$A:$R,O$1,0)</f>
        <v>895</v>
      </c>
      <c r="P37" s="21">
        <f>VLOOKUP($A37,'Выгр Кат'!$A:$R,P$1,0)</f>
        <v>1290</v>
      </c>
      <c r="Q37" s="70">
        <f t="shared" si="3"/>
        <v>0</v>
      </c>
      <c r="R37" s="70">
        <f t="shared" si="4"/>
        <v>100</v>
      </c>
      <c r="S37" s="85">
        <f t="shared" si="9"/>
        <v>1130.5</v>
      </c>
      <c r="T37" s="81">
        <f>IFERROR((VLOOKUP($A37,'Из ГУГЛа'!$B:$G,6,0)+V37)*U37,VLOOKUP($A37,'Из ГУГЛа'!$B:$G,6,0))</f>
        <v>1290</v>
      </c>
      <c r="U37" s="83">
        <v>1</v>
      </c>
      <c r="V37" s="83">
        <v>0</v>
      </c>
      <c r="W37" s="48">
        <f t="shared" si="5"/>
        <v>0.26312849162011176</v>
      </c>
      <c r="X37" s="48">
        <f t="shared" si="6"/>
        <v>0.12364341085271317</v>
      </c>
      <c r="Y37" s="48">
        <f t="shared" si="7"/>
        <v>0.44134078212290495</v>
      </c>
      <c r="Z37" s="78">
        <v>1290</v>
      </c>
      <c r="AA37" t="s">
        <v>840</v>
      </c>
      <c r="AB37" s="35">
        <v>1090</v>
      </c>
    </row>
    <row r="38" spans="1:28" ht="46.5" thickTop="1" thickBot="1">
      <c r="A38" s="9">
        <v>144406</v>
      </c>
      <c r="B38" s="21">
        <f>VLOOKUP($A38,'Выгр Кат'!$A:$R,B$1,0)</f>
        <v>3641</v>
      </c>
      <c r="C38" s="54" t="str">
        <f>VLOOKUP($A38,'Выгр Кат'!$A:$R,C$1,0)</f>
        <v>Дополнительная опора силового агрегата "AUTOPRODUCT" для ВАЗ 2110-2112, Лада Приора</v>
      </c>
      <c r="D38" s="21" t="str">
        <f>VLOOKUP($A38,'Выгр Кат'!$A:$R,D$1,0)</f>
        <v>Y</v>
      </c>
      <c r="E38" s="21" t="str">
        <f>VLOOKUP($A38,'Выгр Кат'!$A:$R,E$1,0)</f>
        <v>1ск1</v>
      </c>
      <c r="F38" s="21" t="str">
        <f>VLOOKUP($A38,'Выгр Кат'!$A:$R,F$1,0)</f>
        <v>АР 0451</v>
      </c>
      <c r="G38" s="7" t="s">
        <v>256</v>
      </c>
      <c r="H38" s="6" t="s">
        <v>3</v>
      </c>
      <c r="I38" s="94">
        <f>VLOOKUP($G38,ПРАЙС!$B:$H,5,0)</f>
        <v>1070</v>
      </c>
      <c r="J38" s="8">
        <f t="shared" si="0"/>
        <v>1.2990654205607477</v>
      </c>
      <c r="K38" s="8">
        <f>VLOOKUP($G38,ПРАЙС!$B:$H,7,0)</f>
        <v>1390</v>
      </c>
      <c r="L38" s="8">
        <f t="shared" si="1"/>
        <v>1.2990654205607477</v>
      </c>
      <c r="M38" s="9">
        <f t="shared" si="8"/>
        <v>1390</v>
      </c>
      <c r="N38" s="94">
        <f t="shared" si="2"/>
        <v>1390</v>
      </c>
      <c r="O38" s="21">
        <f>VLOOKUP($A38,'Выгр Кат'!$A:$R,O$1,0)</f>
        <v>1180</v>
      </c>
      <c r="P38" s="21">
        <f>VLOOKUP($A38,'Выгр Кат'!$A:$R,P$1,0)</f>
        <v>1690</v>
      </c>
      <c r="Q38" s="70">
        <f t="shared" si="3"/>
        <v>110</v>
      </c>
      <c r="R38" s="70">
        <f t="shared" si="4"/>
        <v>300</v>
      </c>
      <c r="S38" s="85">
        <f t="shared" si="9"/>
        <v>1320.5</v>
      </c>
      <c r="T38" s="81">
        <f>IFERROR((VLOOKUP($A38,'Из ГУГЛа'!$B:$G,6,0)+V38)*U38,VLOOKUP($A38,'Из ГУГЛа'!$B:$G,6,0))</f>
        <v>1690</v>
      </c>
      <c r="U38" s="83">
        <v>1</v>
      </c>
      <c r="V38" s="83">
        <v>0</v>
      </c>
      <c r="W38" s="48">
        <f t="shared" si="5"/>
        <v>0.23411214953271031</v>
      </c>
      <c r="X38" s="48">
        <f t="shared" si="6"/>
        <v>0.21863905325443786</v>
      </c>
      <c r="Y38" s="48">
        <f t="shared" si="7"/>
        <v>0.57943925233644866</v>
      </c>
      <c r="Z38" s="79">
        <f t="shared" ref="Z38:Z40" si="14">T38</f>
        <v>1690</v>
      </c>
      <c r="AA38" t="s">
        <v>863</v>
      </c>
      <c r="AB38" s="13"/>
    </row>
    <row r="39" spans="1:28" ht="46.5" thickTop="1" thickBot="1">
      <c r="A39" s="9">
        <v>181703</v>
      </c>
      <c r="B39" s="21">
        <f>VLOOKUP($A39,'Выгр Кат'!$A:$R,B$1,0)</f>
        <v>3702</v>
      </c>
      <c r="C39" s="54" t="str">
        <f>VLOOKUP($A39,'Выгр Кат'!$A:$R,C$1,0)</f>
        <v>Опора силового агрегата левая (двигателя) "AUTOPRODUCT" SPORT для ВАЗ 2108-21099, 2113-2115</v>
      </c>
      <c r="D39" s="21" t="str">
        <f>VLOOKUP($A39,'Выгр Кат'!$A:$R,D$1,0)</f>
        <v>Y</v>
      </c>
      <c r="E39" s="21" t="str">
        <f>VLOOKUP($A39,'Выгр Кат'!$A:$R,E$1,0)</f>
        <v>1</v>
      </c>
      <c r="F39" s="21" t="str">
        <f>VLOOKUP($A39,'Выгр Кат'!$A:$R,F$1,0)</f>
        <v>АР 0012</v>
      </c>
      <c r="G39" s="7" t="s">
        <v>252</v>
      </c>
      <c r="H39" s="6" t="s">
        <v>3</v>
      </c>
      <c r="I39" s="94">
        <f>VLOOKUP($G39,ПРАЙС!$B:$H,5,0)</f>
        <v>1095</v>
      </c>
      <c r="J39" s="8">
        <f t="shared" si="0"/>
        <v>1.2876712328767124</v>
      </c>
      <c r="K39" s="8">
        <f>VLOOKUP($G39,ПРАЙС!$B:$H,7,0)</f>
        <v>1410</v>
      </c>
      <c r="L39" s="8">
        <f t="shared" si="1"/>
        <v>1.2876712328767124</v>
      </c>
      <c r="M39" s="9">
        <f t="shared" si="8"/>
        <v>1410</v>
      </c>
      <c r="N39" s="94">
        <f t="shared" si="2"/>
        <v>1490</v>
      </c>
      <c r="O39" s="21">
        <f>VLOOKUP($A39,'Выгр Кат'!$A:$R,O$1,0)</f>
        <v>1095</v>
      </c>
      <c r="P39" s="21">
        <f>VLOOKUP($A39,'Выгр Кат'!$A:$R,P$1,0)</f>
        <v>1590</v>
      </c>
      <c r="Q39" s="70">
        <f t="shared" si="3"/>
        <v>0</v>
      </c>
      <c r="R39" s="70">
        <f t="shared" si="4"/>
        <v>100</v>
      </c>
      <c r="S39" s="85">
        <f t="shared" si="9"/>
        <v>1415.5</v>
      </c>
      <c r="T39" s="81">
        <f>IFERROR((VLOOKUP($A39,'Из ГУГЛа'!$B:$G,6,0)+V39)*U39,VLOOKUP($A39,'Из ГУГЛа'!$B:$G,6,0))</f>
        <v>1590</v>
      </c>
      <c r="U39" s="83">
        <v>1</v>
      </c>
      <c r="V39" s="83">
        <v>0</v>
      </c>
      <c r="W39" s="48">
        <f t="shared" si="5"/>
        <v>0.29269406392694064</v>
      </c>
      <c r="X39" s="48">
        <f t="shared" si="6"/>
        <v>0.10974842767295598</v>
      </c>
      <c r="Y39" s="48">
        <f t="shared" si="7"/>
        <v>0.45205479452054798</v>
      </c>
      <c r="Z39" s="79">
        <f t="shared" si="14"/>
        <v>1590</v>
      </c>
      <c r="AA39" t="s">
        <v>839</v>
      </c>
      <c r="AB39" s="35">
        <v>1150</v>
      </c>
    </row>
    <row r="40" spans="1:28" ht="76.5" thickTop="1" thickBot="1">
      <c r="A40" s="9">
        <v>201633</v>
      </c>
      <c r="B40" s="21">
        <f>VLOOKUP($A40,'Выгр Кат'!$A:$R,B$1,0)</f>
        <v>19537</v>
      </c>
      <c r="C40" s="54" t="str">
        <f>VLOOKUP($A40,'Выгр Кат'!$A:$R,C$1,0)</f>
        <v>Проставки -3.5 "AUTOPRODUCT" для ВАЗ (2108-21099, 2110-2112, 2113-2115), Лада (Калина, Калина 2, Приора, Приора 2, Гранта), Датсун (mi-DO, on-DO)</v>
      </c>
      <c r="D40" s="21" t="str">
        <f>VLOOKUP($A40,'Выгр Кат'!$A:$R,D$1,0)</f>
        <v>Y</v>
      </c>
      <c r="E40" s="21" t="str">
        <f>VLOOKUP($A40,'Выгр Кат'!$A:$R,E$1,0)</f>
        <v>1</v>
      </c>
      <c r="F40" s="21" t="str">
        <f>VLOOKUP($A40,'Выгр Кат'!$A:$R,F$1,0)</f>
        <v>АР 0114</v>
      </c>
      <c r="G40" s="7" t="s">
        <v>331</v>
      </c>
      <c r="H40" s="6" t="s">
        <v>3</v>
      </c>
      <c r="I40" s="94">
        <f>VLOOKUP($G40,ПРАЙС!$B:$H,5,0)</f>
        <v>960</v>
      </c>
      <c r="J40" s="8">
        <f t="shared" si="0"/>
        <v>1.28125</v>
      </c>
      <c r="K40" s="8">
        <f>VLOOKUP($G40,ПРАЙС!$B:$H,7,0)</f>
        <v>1230</v>
      </c>
      <c r="L40" s="8">
        <f t="shared" si="1"/>
        <v>1.28125</v>
      </c>
      <c r="M40" s="9">
        <f t="shared" si="8"/>
        <v>1230</v>
      </c>
      <c r="N40" s="94">
        <f t="shared" si="2"/>
        <v>1290</v>
      </c>
      <c r="O40" s="21">
        <f>VLOOKUP($A40,'Выгр Кат'!$A:$R,O$1,0)</f>
        <v>960</v>
      </c>
      <c r="P40" s="21">
        <f>VLOOKUP($A40,'Выгр Кат'!$A:$R,P$1,0)</f>
        <v>1390</v>
      </c>
      <c r="Q40" s="70">
        <f t="shared" si="3"/>
        <v>0</v>
      </c>
      <c r="R40" s="70">
        <f t="shared" si="4"/>
        <v>100</v>
      </c>
      <c r="S40" s="85">
        <f t="shared" si="9"/>
        <v>1225.5</v>
      </c>
      <c r="T40" s="81">
        <f>IFERROR((VLOOKUP($A40,'Из ГУГЛа'!$B:$G,6,0)+V40)*U40,VLOOKUP($A40,'Из ГУГЛа'!$B:$G,6,0))</f>
        <v>1390</v>
      </c>
      <c r="U40" s="83">
        <v>1</v>
      </c>
      <c r="V40" s="83">
        <v>0</v>
      </c>
      <c r="W40" s="48">
        <f t="shared" si="5"/>
        <v>0.27656250000000004</v>
      </c>
      <c r="X40" s="48">
        <f t="shared" si="6"/>
        <v>0.11834532374100719</v>
      </c>
      <c r="Y40" s="48">
        <f t="shared" si="7"/>
        <v>0.44791666666666674</v>
      </c>
      <c r="Z40" s="79">
        <f t="shared" si="14"/>
        <v>1390</v>
      </c>
      <c r="AA40" t="s">
        <v>864</v>
      </c>
      <c r="AB40" s="13"/>
    </row>
    <row r="41" spans="1:28" ht="76.5" thickTop="1" thickBot="1">
      <c r="A41" s="9">
        <v>201632</v>
      </c>
      <c r="B41" s="21">
        <f>VLOOKUP($A41,'Выгр Кат'!$A:$R,B$1,0)</f>
        <v>19538</v>
      </c>
      <c r="C41" s="54" t="str">
        <f>VLOOKUP($A41,'Выгр Кат'!$A:$R,C$1,0)</f>
        <v>Проставки -3 "AUTOPRODUCT" для ВАЗ (2108-21099, 2110-2112, 2113-2115), Лада (Калина, Калина 2, Приора, Приора 2, Гранта), Датсун (mi-DO, on-DO)</v>
      </c>
      <c r="D41" s="21" t="str">
        <f>VLOOKUP($A41,'Выгр Кат'!$A:$R,D$1,0)</f>
        <v>Y</v>
      </c>
      <c r="E41" s="21" t="str">
        <f>VLOOKUP($A41,'Выгр Кат'!$A:$R,E$1,0)</f>
        <v>1</v>
      </c>
      <c r="F41" s="21" t="str">
        <f>VLOOKUP($A41,'Выгр Кат'!$A:$R,F$1,0)</f>
        <v>АР 0116</v>
      </c>
      <c r="G41" s="7" t="s">
        <v>332</v>
      </c>
      <c r="H41" s="6" t="s">
        <v>3</v>
      </c>
      <c r="I41" s="94">
        <f>VLOOKUP($G41,ПРАЙС!$B:$H,5,0)</f>
        <v>960</v>
      </c>
      <c r="J41" s="8">
        <f t="shared" si="0"/>
        <v>1.28125</v>
      </c>
      <c r="K41" s="8">
        <f>VLOOKUP($G41,ПРАЙС!$B:$H,7,0)</f>
        <v>1230</v>
      </c>
      <c r="L41" s="8">
        <f t="shared" si="1"/>
        <v>1.28125</v>
      </c>
      <c r="M41" s="9">
        <f t="shared" si="8"/>
        <v>1230</v>
      </c>
      <c r="N41" s="94">
        <f t="shared" si="2"/>
        <v>1290</v>
      </c>
      <c r="O41" s="21">
        <f>VLOOKUP($A41,'Выгр Кат'!$A:$R,O$1,0)</f>
        <v>960</v>
      </c>
      <c r="P41" s="21">
        <f>VLOOKUP($A41,'Выгр Кат'!$A:$R,P$1,0)</f>
        <v>1390</v>
      </c>
      <c r="Q41" s="70">
        <f t="shared" si="3"/>
        <v>0</v>
      </c>
      <c r="R41" s="70">
        <f t="shared" si="4"/>
        <v>100</v>
      </c>
      <c r="S41" s="85">
        <f t="shared" si="9"/>
        <v>1225.5</v>
      </c>
      <c r="T41" s="81">
        <f>IFERROR((VLOOKUP($A41,'Из ГУГЛа'!$B:$G,6,0)+V41)*U41,VLOOKUP($A41,'Из ГУГЛа'!$B:$G,6,0))</f>
        <v>1390</v>
      </c>
      <c r="U41" s="83">
        <v>1</v>
      </c>
      <c r="V41" s="83">
        <v>0</v>
      </c>
      <c r="W41" s="48">
        <f t="shared" si="5"/>
        <v>0.27656250000000004</v>
      </c>
      <c r="X41" s="48">
        <f t="shared" si="6"/>
        <v>0.11834532374100719</v>
      </c>
      <c r="Y41" s="48">
        <f t="shared" si="7"/>
        <v>0.44791666666666674</v>
      </c>
      <c r="Z41" s="78">
        <v>1390</v>
      </c>
      <c r="AA41" t="s">
        <v>838</v>
      </c>
      <c r="AB41" s="35">
        <v>1150</v>
      </c>
    </row>
    <row r="42" spans="1:28" ht="46.5" thickTop="1" thickBot="1">
      <c r="A42" s="9">
        <v>181704</v>
      </c>
      <c r="B42" s="21">
        <f>VLOOKUP($A42,'Выгр Кат'!$A:$R,B$1,0)</f>
        <v>3700</v>
      </c>
      <c r="C42" s="54" t="str">
        <f>VLOOKUP($A42,'Выгр Кат'!$A:$R,C$1,0)</f>
        <v>Опора силового агрегата передняя (двигателя) "AUTOPRODUCT" SPORT для ВАЗ 2108-21099, 2113-2115</v>
      </c>
      <c r="D42" s="21" t="str">
        <f>VLOOKUP($A42,'Выгр Кат'!$A:$R,D$1,0)</f>
        <v>Y</v>
      </c>
      <c r="E42" s="21" t="str">
        <f>VLOOKUP($A42,'Выгр Кат'!$A:$R,E$1,0)</f>
        <v>1</v>
      </c>
      <c r="F42" s="21" t="str">
        <f>VLOOKUP($A42,'Выгр Кат'!$A:$R,F$1,0)</f>
        <v>АР 0011</v>
      </c>
      <c r="G42" s="7" t="s">
        <v>251</v>
      </c>
      <c r="H42" s="6" t="s">
        <v>3</v>
      </c>
      <c r="I42" s="94">
        <f>VLOOKUP($G42,ПРАЙС!$B:$H,5,0)</f>
        <v>1095</v>
      </c>
      <c r="J42" s="8">
        <f t="shared" si="0"/>
        <v>1.2876712328767124</v>
      </c>
      <c r="K42" s="8">
        <f>VLOOKUP($G42,ПРАЙС!$B:$H,7,0)</f>
        <v>1410</v>
      </c>
      <c r="L42" s="8">
        <f t="shared" si="1"/>
        <v>1.2876712328767124</v>
      </c>
      <c r="M42" s="9">
        <f t="shared" si="8"/>
        <v>1410</v>
      </c>
      <c r="N42" s="94">
        <f t="shared" si="2"/>
        <v>1490</v>
      </c>
      <c r="O42" s="21">
        <f>VLOOKUP($A42,'Выгр Кат'!$A:$R,O$1,0)</f>
        <v>1095</v>
      </c>
      <c r="P42" s="21">
        <f>VLOOKUP($A42,'Выгр Кат'!$A:$R,P$1,0)</f>
        <v>1590</v>
      </c>
      <c r="Q42" s="70">
        <f t="shared" si="3"/>
        <v>0</v>
      </c>
      <c r="R42" s="70">
        <f t="shared" si="4"/>
        <v>100</v>
      </c>
      <c r="S42" s="85">
        <f t="shared" si="9"/>
        <v>1415.5</v>
      </c>
      <c r="T42" s="81">
        <f>IFERROR((VLOOKUP($A42,'Из ГУГЛа'!$B:$G,6,0)+V42)*U42,VLOOKUP($A42,'Из ГУГЛа'!$B:$G,6,0))</f>
        <v>1590</v>
      </c>
      <c r="U42" s="83">
        <v>1</v>
      </c>
      <c r="V42" s="83">
        <v>0</v>
      </c>
      <c r="W42" s="48">
        <f t="shared" si="5"/>
        <v>0.29269406392694064</v>
      </c>
      <c r="X42" s="48">
        <f t="shared" si="6"/>
        <v>0.10974842767295598</v>
      </c>
      <c r="Y42" s="48">
        <f t="shared" si="7"/>
        <v>0.45205479452054798</v>
      </c>
      <c r="Z42" s="78">
        <v>1590</v>
      </c>
      <c r="AA42" t="s">
        <v>793</v>
      </c>
      <c r="AB42" s="67">
        <v>1160</v>
      </c>
    </row>
    <row r="43" spans="1:28" ht="61.5" thickTop="1" thickBot="1">
      <c r="A43" s="9">
        <v>225383</v>
      </c>
      <c r="B43" s="21">
        <f>VLOOKUP($A43,'Выгр Кат'!$A:$R,B$1,0)</f>
        <v>3688</v>
      </c>
      <c r="C43" s="54" t="str">
        <f>VLOOKUP($A43,'Выгр Кат'!$A:$R,C$1,0)</f>
        <v>Шайбы регулировочные (комплект) "AUTOPRODUCT" для ВАЗ (2108-21099, 2110-2112, 2113-2115), Лада (Калина, Калина 2, Приора, Гранта)</v>
      </c>
      <c r="D43" s="21" t="str">
        <f>VLOOKUP($A43,'Выгр Кат'!$A:$R,D$1,0)</f>
        <v>Y</v>
      </c>
      <c r="E43" s="21" t="str">
        <f>VLOOKUP($A43,'Выгр Кат'!$A:$R,E$1,0)</f>
        <v>1</v>
      </c>
      <c r="F43" s="21" t="str">
        <f>VLOOKUP($A43,'Выгр Кат'!$A:$R,F$1,0)</f>
        <v>АР 0034</v>
      </c>
      <c r="G43" s="7" t="s">
        <v>258</v>
      </c>
      <c r="H43" s="6" t="s">
        <v>3</v>
      </c>
      <c r="I43" s="94">
        <f>VLOOKUP($G43,ПРАЙС!$B:$H,5,0)</f>
        <v>1225</v>
      </c>
      <c r="J43" s="8">
        <f t="shared" si="0"/>
        <v>1.2163265306122448</v>
      </c>
      <c r="K43" s="8">
        <f>VLOOKUP($G43,ПРАЙС!$B:$H,7,0)</f>
        <v>1490</v>
      </c>
      <c r="L43" s="8">
        <f t="shared" si="1"/>
        <v>1.22</v>
      </c>
      <c r="M43" s="9">
        <f t="shared" si="8"/>
        <v>1494.5</v>
      </c>
      <c r="N43" s="94">
        <f t="shared" si="2"/>
        <v>1490</v>
      </c>
      <c r="O43" s="21">
        <f>VLOOKUP($A43,'Выгр Кат'!$A:$R,O$1,0)</f>
        <v>1225</v>
      </c>
      <c r="P43" s="21">
        <f>VLOOKUP($A43,'Выгр Кат'!$A:$R,P$1,0)</f>
        <v>1690</v>
      </c>
      <c r="Q43" s="70">
        <f t="shared" si="3"/>
        <v>0</v>
      </c>
      <c r="R43" s="70">
        <f t="shared" si="4"/>
        <v>200</v>
      </c>
      <c r="S43" s="85">
        <f t="shared" si="9"/>
        <v>1415.5</v>
      </c>
      <c r="T43" s="81">
        <f>IFERROR((VLOOKUP($A43,'Из ГУГЛа'!$B:$G,6,0)+V43)*U43,VLOOKUP($A43,'Из ГУГЛа'!$B:$G,6,0))</f>
        <v>1690</v>
      </c>
      <c r="U43" s="83">
        <v>1</v>
      </c>
      <c r="V43" s="83">
        <v>0</v>
      </c>
      <c r="W43" s="48">
        <f t="shared" si="5"/>
        <v>0.15551020408163274</v>
      </c>
      <c r="X43" s="48">
        <f t="shared" si="6"/>
        <v>0.16242603550295859</v>
      </c>
      <c r="Y43" s="48">
        <f t="shared" si="7"/>
        <v>0.37959183673469399</v>
      </c>
      <c r="Z43" s="79">
        <f>T43</f>
        <v>1690</v>
      </c>
      <c r="AA43" t="s">
        <v>866</v>
      </c>
      <c r="AB43" s="68"/>
    </row>
    <row r="44" spans="1:28" ht="61.5" thickTop="1" thickBot="1">
      <c r="A44" s="9">
        <v>202752</v>
      </c>
      <c r="B44" s="21">
        <f>VLOOKUP($A44,'Выгр Кат'!$A:$R,B$1,0)</f>
        <v>2493</v>
      </c>
      <c r="C44" s="54" t="str">
        <f>VLOOKUP($A44,'Выгр Кат'!$A:$R,C$1,0)</f>
        <v>Распорка передняя нижняя DRIVE "AUTOPRODUCT" для Лада Калина, Калина 2, Гранта (троcовая МКПП, АКПП)</v>
      </c>
      <c r="D44" s="21" t="str">
        <f>VLOOKUP($A44,'Выгр Кат'!$A:$R,D$1,0)</f>
        <v>Y</v>
      </c>
      <c r="E44" s="21" t="str">
        <f>VLOOKUP($A44,'Выгр Кат'!$A:$R,E$1,0)</f>
        <v>1</v>
      </c>
      <c r="F44" s="21" t="str">
        <f>VLOOKUP($A44,'Выгр Кат'!$A:$R,F$1,0)</f>
        <v>АР 0571</v>
      </c>
      <c r="G44" s="7" t="s">
        <v>300</v>
      </c>
      <c r="H44" s="6" t="s">
        <v>3</v>
      </c>
      <c r="I44" s="94">
        <f>VLOOKUP($G44,ПРАЙС!$B:$H,5,0)</f>
        <v>1050</v>
      </c>
      <c r="J44" s="8">
        <f t="shared" si="0"/>
        <v>1.2857142857142858</v>
      </c>
      <c r="K44" s="8">
        <f>VLOOKUP($G44,ПРАЙС!$B:$H,7,0)</f>
        <v>1350</v>
      </c>
      <c r="L44" s="8">
        <f t="shared" si="1"/>
        <v>1.2857142857142858</v>
      </c>
      <c r="M44" s="9">
        <f t="shared" si="8"/>
        <v>1350</v>
      </c>
      <c r="N44" s="94">
        <f t="shared" si="2"/>
        <v>1390</v>
      </c>
      <c r="O44" s="21">
        <f>VLOOKUP($A44,'Выгр Кат'!$A:$R,O$1,0)</f>
        <v>1050</v>
      </c>
      <c r="P44" s="21">
        <f>VLOOKUP($A44,'Выгр Кат'!$A:$R,P$1,0)</f>
        <v>1490</v>
      </c>
      <c r="Q44" s="70">
        <f t="shared" si="3"/>
        <v>0</v>
      </c>
      <c r="R44" s="70">
        <f t="shared" si="4"/>
        <v>100</v>
      </c>
      <c r="S44" s="85">
        <f t="shared" si="9"/>
        <v>1320.5</v>
      </c>
      <c r="T44" s="81">
        <f>IFERROR((VLOOKUP($A44,'Из ГУГЛа'!$B:$G,6,0)+V44)*U44,VLOOKUP($A44,'Из ГУГЛа'!$B:$G,6,0))</f>
        <v>1490</v>
      </c>
      <c r="U44" s="83">
        <v>1</v>
      </c>
      <c r="V44" s="83">
        <v>0</v>
      </c>
      <c r="W44" s="48">
        <f t="shared" si="5"/>
        <v>0.25761904761904764</v>
      </c>
      <c r="X44" s="48">
        <f t="shared" si="6"/>
        <v>0.11375838926174496</v>
      </c>
      <c r="Y44" s="48">
        <f t="shared" si="7"/>
        <v>0.41904761904761911</v>
      </c>
      <c r="Z44" s="78">
        <v>1490</v>
      </c>
      <c r="AA44" t="s">
        <v>837</v>
      </c>
      <c r="AB44" s="67">
        <v>1240</v>
      </c>
    </row>
    <row r="45" spans="1:28" ht="61.5" thickTop="1" thickBot="1">
      <c r="A45" s="9">
        <v>213164</v>
      </c>
      <c r="B45" s="21">
        <f>VLOOKUP($A45,'Выгр Кат'!$A:$R,B$1,0)</f>
        <v>3687</v>
      </c>
      <c r="C45" s="54" t="str">
        <f>VLOOKUP($A45,'Выгр Кат'!$A:$R,C$1,0)</f>
        <v>Сайлентблок рычага вертикальный "AUTOPRODUCT" для ВАЗ (2108-21099, 2110-2112, 2113-2115), Лада (Калина, Калина 2, Приора, Гранта)</v>
      </c>
      <c r="D45" s="21" t="str">
        <f>VLOOKUP($A45,'Выгр Кат'!$A:$R,D$1,0)</f>
        <v>Y</v>
      </c>
      <c r="E45" s="21" t="str">
        <f>VLOOKUP($A45,'Выгр Кат'!$A:$R,E$1,0)</f>
        <v>1</v>
      </c>
      <c r="F45" s="21" t="str">
        <f>VLOOKUP($A45,'Выгр Кат'!$A:$R,F$1,0)</f>
        <v>АР 0036</v>
      </c>
      <c r="G45" s="7" t="s">
        <v>259</v>
      </c>
      <c r="H45" s="6" t="s">
        <v>3</v>
      </c>
      <c r="I45" s="94">
        <f>VLOOKUP($G45,ПРАЙС!$B:$H,5,0)</f>
        <v>1310</v>
      </c>
      <c r="J45" s="8">
        <f t="shared" si="0"/>
        <v>1.2137404580152671</v>
      </c>
      <c r="K45" s="8">
        <f>VLOOKUP($G45,ПРАЙС!$B:$H,7,0)</f>
        <v>1590</v>
      </c>
      <c r="L45" s="8">
        <f t="shared" si="1"/>
        <v>1.22</v>
      </c>
      <c r="M45" s="9">
        <f t="shared" si="8"/>
        <v>1598.2</v>
      </c>
      <c r="N45" s="94">
        <f t="shared" si="2"/>
        <v>1590</v>
      </c>
      <c r="O45" s="21">
        <f>VLOOKUP($A45,'Выгр Кат'!$A:$R,O$1,0)</f>
        <v>1310</v>
      </c>
      <c r="P45" s="21">
        <f>VLOOKUP($A45,'Выгр Кат'!$A:$R,P$1,0)</f>
        <v>1790</v>
      </c>
      <c r="Q45" s="70">
        <f t="shared" si="3"/>
        <v>0</v>
      </c>
      <c r="R45" s="70">
        <f t="shared" si="4"/>
        <v>200</v>
      </c>
      <c r="S45" s="85">
        <f t="shared" si="9"/>
        <v>1510.5</v>
      </c>
      <c r="T45" s="81">
        <f>IFERROR((VLOOKUP($A45,'Из ГУГЛа'!$B:$G,6,0)+V45)*U45,VLOOKUP($A45,'Из ГУГЛа'!$B:$G,6,0))</f>
        <v>1790</v>
      </c>
      <c r="U45" s="83">
        <v>1</v>
      </c>
      <c r="V45" s="83">
        <v>0</v>
      </c>
      <c r="W45" s="48">
        <f t="shared" si="5"/>
        <v>0.15305343511450387</v>
      </c>
      <c r="X45" s="48">
        <f t="shared" si="6"/>
        <v>0.15614525139664803</v>
      </c>
      <c r="Y45" s="48">
        <f t="shared" si="7"/>
        <v>0.36641221374045796</v>
      </c>
      <c r="Z45" s="79">
        <f>T45</f>
        <v>1790</v>
      </c>
      <c r="AA45" t="s">
        <v>836</v>
      </c>
      <c r="AB45" s="67">
        <v>1450</v>
      </c>
    </row>
    <row r="46" spans="1:28" ht="46.5" thickTop="1" thickBot="1">
      <c r="A46" s="9">
        <v>202988</v>
      </c>
      <c r="B46" s="21">
        <f>VLOOKUP($A46,'Выгр Кат'!$A:$R,B$1,0)</f>
        <v>2478</v>
      </c>
      <c r="C46" s="54" t="str">
        <f>VLOOKUP($A46,'Выгр Кат'!$A:$R,C$1,0)</f>
        <v>Растяжка заднего рычага ПУ "AUTOPRODUCT" для ВАЗ (2108-21099, 2110-2112, 2113-2115), Лада Приора</v>
      </c>
      <c r="D46" s="21" t="str">
        <f>VLOOKUP($A46,'Выгр Кат'!$A:$R,D$1,0)</f>
        <v>Y</v>
      </c>
      <c r="E46" s="21" t="str">
        <f>VLOOKUP($A46,'Выгр Кат'!$A:$R,E$1,0)</f>
        <v>1</v>
      </c>
      <c r="F46" s="21" t="str">
        <f>VLOOKUP($A46,'Выгр Кат'!$A:$R,F$1,0)</f>
        <v>АР 0227</v>
      </c>
      <c r="G46" s="7" t="s">
        <v>326</v>
      </c>
      <c r="H46" s="6" t="s">
        <v>3</v>
      </c>
      <c r="I46" s="92">
        <f>O46</f>
        <v>1065</v>
      </c>
      <c r="J46" s="8" t="e">
        <f t="shared" si="0"/>
        <v>#N/A</v>
      </c>
      <c r="K46" s="8" t="e">
        <f>VLOOKUP($G46,ПРАЙС!$B:$H,7,0)</f>
        <v>#N/A</v>
      </c>
      <c r="L46" s="8" t="e">
        <f t="shared" si="1"/>
        <v>#N/A</v>
      </c>
      <c r="M46" s="92">
        <f>P46</f>
        <v>1490</v>
      </c>
      <c r="N46" s="94">
        <f t="shared" si="2"/>
        <v>1490</v>
      </c>
      <c r="O46" s="21">
        <f>VLOOKUP($A46,'Выгр Кат'!$A:$R,O$1,0)</f>
        <v>1065</v>
      </c>
      <c r="P46" s="21">
        <f>VLOOKUP($A46,'Выгр Кат'!$A:$R,P$1,0)</f>
        <v>1490</v>
      </c>
      <c r="Q46" s="70">
        <f t="shared" si="3"/>
        <v>0</v>
      </c>
      <c r="R46" s="70">
        <f t="shared" si="4"/>
        <v>0</v>
      </c>
      <c r="S46" s="85">
        <f t="shared" si="9"/>
        <v>1415.5</v>
      </c>
      <c r="T46" s="81" t="str">
        <f>IFERROR((VLOOKUP($A46,'Из ГУГЛа'!$B:$G,6,0)+V46)*U46,VLOOKUP($A46,'Из ГУГЛа'!$B:$G,6,0))</f>
        <v/>
      </c>
      <c r="U46" s="83">
        <v>1</v>
      </c>
      <c r="V46" s="83">
        <v>0</v>
      </c>
      <c r="W46" s="48">
        <f t="shared" si="5"/>
        <v>0.32910798122065721</v>
      </c>
      <c r="X46" s="48">
        <f t="shared" si="6"/>
        <v>0.05</v>
      </c>
      <c r="Y46" s="48">
        <f t="shared" si="7"/>
        <v>0.39906103286384975</v>
      </c>
      <c r="Z46" s="78">
        <v>1490</v>
      </c>
      <c r="AA46" t="s">
        <v>867</v>
      </c>
      <c r="AB46" s="68"/>
    </row>
    <row r="47" spans="1:28" ht="46.5" thickTop="1" thickBot="1">
      <c r="A47" s="9">
        <v>202745</v>
      </c>
      <c r="B47" s="21">
        <f>VLOOKUP($A47,'Выгр Кат'!$A:$R,B$1,0)</f>
        <v>2447</v>
      </c>
      <c r="C47" s="54" t="str">
        <f>VLOOKUP($A47,'Выгр Кат'!$A:$R,C$1,0)</f>
        <v>Распорка передняя "AUTOPRODUCT" для ВАЗ 2108-21099, 2110-2112, 2113-2115</v>
      </c>
      <c r="D47" s="21" t="str">
        <f>VLOOKUP($A47,'Выгр Кат'!$A:$R,D$1,0)</f>
        <v>Y</v>
      </c>
      <c r="E47" s="21" t="str">
        <f>VLOOKUP($A47,'Выгр Кат'!$A:$R,E$1,0)</f>
        <v>1ск1</v>
      </c>
      <c r="F47" s="21" t="str">
        <f>VLOOKUP($A47,'Выгр Кат'!$A:$R,F$1,0)</f>
        <v>АР 0140</v>
      </c>
      <c r="G47" s="7" t="s">
        <v>302</v>
      </c>
      <c r="H47" s="6" t="s">
        <v>3</v>
      </c>
      <c r="I47" s="94">
        <f>VLOOKUP($G47,ПРАЙС!$B:$H,5,0)</f>
        <v>1080</v>
      </c>
      <c r="J47" s="8">
        <f t="shared" si="0"/>
        <v>1.287037037037037</v>
      </c>
      <c r="K47" s="8">
        <f>VLOOKUP($G47,ПРАЙС!$B:$H,7,0)</f>
        <v>1390</v>
      </c>
      <c r="L47" s="8">
        <f t="shared" si="1"/>
        <v>1.287037037037037</v>
      </c>
      <c r="M47" s="9">
        <f t="shared" si="8"/>
        <v>1390</v>
      </c>
      <c r="N47" s="94">
        <f t="shared" si="2"/>
        <v>1390</v>
      </c>
      <c r="O47" s="21">
        <f>VLOOKUP($A47,'Выгр Кат'!$A:$R,O$1,0)</f>
        <v>1080</v>
      </c>
      <c r="P47" s="21">
        <f>VLOOKUP($A47,'Выгр Кат'!$A:$R,P$1,0)</f>
        <v>1590</v>
      </c>
      <c r="Q47" s="70">
        <f t="shared" si="3"/>
        <v>0</v>
      </c>
      <c r="R47" s="70">
        <f t="shared" si="4"/>
        <v>200</v>
      </c>
      <c r="S47" s="85">
        <f t="shared" si="9"/>
        <v>1320.5</v>
      </c>
      <c r="T47" s="81">
        <f>IFERROR((VLOOKUP($A47,'Из ГУГЛа'!$B:$G,6,0)+V47)*U47,VLOOKUP($A47,'Из ГУГЛа'!$B:$G,6,0))</f>
        <v>1590</v>
      </c>
      <c r="U47" s="83">
        <v>1</v>
      </c>
      <c r="V47" s="83">
        <v>0</v>
      </c>
      <c r="W47" s="48">
        <f t="shared" si="5"/>
        <v>0.22268518518518521</v>
      </c>
      <c r="X47" s="48">
        <f t="shared" si="6"/>
        <v>0.16949685534591194</v>
      </c>
      <c r="Y47" s="48">
        <f t="shared" si="7"/>
        <v>0.47222222222222232</v>
      </c>
      <c r="Z47" s="78">
        <v>1590</v>
      </c>
      <c r="AA47" t="s">
        <v>928</v>
      </c>
      <c r="AB47" s="35">
        <v>1320</v>
      </c>
    </row>
    <row r="48" spans="1:28" ht="31.5" thickTop="1" thickBot="1">
      <c r="A48" s="9">
        <v>202748</v>
      </c>
      <c r="B48" s="21">
        <f>VLOOKUP($A48,'Выгр Кат'!$A:$R,B$1,0)</f>
        <v>2405</v>
      </c>
      <c r="C48" s="54" t="str">
        <f>VLOOKUP($A48,'Выгр Кат'!$A:$R,C$1,0)</f>
        <v>Распорка передняя "AUTOPRODUCT" для Лада Приора, Приора 2</v>
      </c>
      <c r="D48" s="21" t="str">
        <f>VLOOKUP($A48,'Выгр Кат'!$A:$R,D$1,0)</f>
        <v>Y</v>
      </c>
      <c r="E48" s="21" t="str">
        <f>VLOOKUP($A48,'Выгр Кат'!$A:$R,E$1,0)</f>
        <v>1</v>
      </c>
      <c r="F48" s="21" t="str">
        <f>VLOOKUP($A48,'Выгр Кат'!$A:$R,F$1,0)</f>
        <v>АР 0460</v>
      </c>
      <c r="G48" s="7" t="s">
        <v>309</v>
      </c>
      <c r="H48" s="6" t="s">
        <v>3</v>
      </c>
      <c r="I48" s="94">
        <f>VLOOKUP($G48,ПРАЙС!$B:$H,5,0)</f>
        <v>1145</v>
      </c>
      <c r="J48" s="8">
        <f t="shared" si="0"/>
        <v>1.2838427947598254</v>
      </c>
      <c r="K48" s="8">
        <f>VLOOKUP($G48,ПРАЙС!$B:$H,7,0)</f>
        <v>1470</v>
      </c>
      <c r="L48" s="8">
        <f t="shared" si="1"/>
        <v>1.2838427947598254</v>
      </c>
      <c r="M48" s="9">
        <f t="shared" si="8"/>
        <v>1470.0000000000002</v>
      </c>
      <c r="N48" s="94">
        <f t="shared" si="2"/>
        <v>1490</v>
      </c>
      <c r="O48" s="21">
        <f>VLOOKUP($A48,'Выгр Кат'!$A:$R,O$1,0)</f>
        <v>1145</v>
      </c>
      <c r="P48" s="21">
        <f>VLOOKUP($A48,'Выгр Кат'!$A:$R,P$1,0)</f>
        <v>1690</v>
      </c>
      <c r="Q48" s="70">
        <f t="shared" si="3"/>
        <v>0</v>
      </c>
      <c r="R48" s="70">
        <f t="shared" si="4"/>
        <v>200</v>
      </c>
      <c r="S48" s="85">
        <f t="shared" si="9"/>
        <v>1415.5</v>
      </c>
      <c r="T48" s="81">
        <f>IFERROR((VLOOKUP($A48,'Из ГУГЛа'!$B:$G,6,0)+V48)*U48,VLOOKUP($A48,'Из ГУГЛа'!$B:$G,6,0))</f>
        <v>1690</v>
      </c>
      <c r="U48" s="83">
        <v>1</v>
      </c>
      <c r="V48" s="83">
        <v>0</v>
      </c>
      <c r="W48" s="48">
        <f t="shared" si="5"/>
        <v>0.23624454148471608</v>
      </c>
      <c r="X48" s="48">
        <f t="shared" si="6"/>
        <v>0.16242603550295859</v>
      </c>
      <c r="Y48" s="48">
        <f t="shared" si="7"/>
        <v>0.47598253275109181</v>
      </c>
      <c r="Z48" s="78">
        <v>1690</v>
      </c>
      <c r="AA48" t="s">
        <v>868</v>
      </c>
      <c r="AB48" s="13"/>
    </row>
    <row r="49" spans="1:28" ht="46.5" thickTop="1" thickBot="1">
      <c r="A49" s="9">
        <v>202747</v>
      </c>
      <c r="B49" s="21">
        <f>VLOOKUP($A49,'Выгр Кат'!$A:$R,B$1,0)</f>
        <v>2487</v>
      </c>
      <c r="C49" s="54" t="str">
        <f>VLOOKUP($A49,'Выгр Кат'!$A:$R,C$1,0)</f>
        <v>Распорка передняя "AUTOPRODUCT" для Лада (Калина, Калина 2, Гранта), Датсун (mi-Do, on-Do)</v>
      </c>
      <c r="D49" s="21" t="str">
        <f>VLOOKUP($A49,'Выгр Кат'!$A:$R,D$1,0)</f>
        <v>Y</v>
      </c>
      <c r="E49" s="21" t="str">
        <f>VLOOKUP($A49,'Выгр Кат'!$A:$R,E$1,0)</f>
        <v>1</v>
      </c>
      <c r="F49" s="21" t="str">
        <f>VLOOKUP($A49,'Выгр Кат'!$A:$R,F$1,0)</f>
        <v>АР 0420</v>
      </c>
      <c r="G49" s="7" t="s">
        <v>306</v>
      </c>
      <c r="H49" s="6" t="s">
        <v>3</v>
      </c>
      <c r="I49" s="94">
        <f>VLOOKUP($G49,ПРАЙС!$B:$H,5,0)</f>
        <v>1220</v>
      </c>
      <c r="J49" s="8">
        <f t="shared" si="0"/>
        <v>1.2704918032786885</v>
      </c>
      <c r="K49" s="8">
        <f>VLOOKUP($G49,ПРАЙС!$B:$H,7,0)</f>
        <v>1550</v>
      </c>
      <c r="L49" s="8">
        <f t="shared" si="1"/>
        <v>1.2704918032786885</v>
      </c>
      <c r="M49" s="9">
        <f t="shared" si="8"/>
        <v>1550</v>
      </c>
      <c r="N49" s="94">
        <f t="shared" si="2"/>
        <v>1590</v>
      </c>
      <c r="O49" s="21">
        <f>VLOOKUP($A49,'Выгр Кат'!$A:$R,O$1,0)</f>
        <v>1205</v>
      </c>
      <c r="P49" s="21">
        <f>VLOOKUP($A49,'Выгр Кат'!$A:$R,P$1,0)</f>
        <v>1690</v>
      </c>
      <c r="Q49" s="70">
        <f t="shared" si="3"/>
        <v>-15</v>
      </c>
      <c r="R49" s="70">
        <f t="shared" si="4"/>
        <v>100</v>
      </c>
      <c r="S49" s="85">
        <f t="shared" si="9"/>
        <v>1510.5</v>
      </c>
      <c r="T49" s="81">
        <f>IFERROR((VLOOKUP($A49,'Из ГУГЛа'!$B:$G,6,0)+V49)*U49,VLOOKUP($A49,'Из ГУГЛа'!$B:$G,6,0))</f>
        <v>1690</v>
      </c>
      <c r="U49" s="83">
        <v>1</v>
      </c>
      <c r="V49" s="83">
        <v>0</v>
      </c>
      <c r="W49" s="48">
        <f t="shared" si="5"/>
        <v>0.23811475409836058</v>
      </c>
      <c r="X49" s="48">
        <f t="shared" si="6"/>
        <v>0.10621301775147929</v>
      </c>
      <c r="Y49" s="48">
        <f t="shared" si="7"/>
        <v>0.38524590163934436</v>
      </c>
      <c r="Z49" s="78">
        <v>1690</v>
      </c>
      <c r="AA49" t="s">
        <v>786</v>
      </c>
      <c r="AB49" s="35">
        <v>1420</v>
      </c>
    </row>
    <row r="50" spans="1:28" ht="46.5" thickTop="1" thickBot="1">
      <c r="A50" s="9">
        <v>181702</v>
      </c>
      <c r="B50" s="21">
        <f>VLOOKUP($A50,'Выгр Кат'!$A:$R,B$1,0)</f>
        <v>3703</v>
      </c>
      <c r="C50" s="54" t="str">
        <f>VLOOKUP($A50,'Выгр Кат'!$A:$R,C$1,0)</f>
        <v>Опора силового агрегата задняя (двигателя) "AUTOPRODUCT" SPORT для ВАЗ 2108-21099, 2113-2115</v>
      </c>
      <c r="D50" s="21" t="str">
        <f>VLOOKUP($A50,'Выгр Кат'!$A:$R,D$1,0)</f>
        <v>Y</v>
      </c>
      <c r="E50" s="21" t="str">
        <f>VLOOKUP($A50,'Выгр Кат'!$A:$R,E$1,0)</f>
        <v>1</v>
      </c>
      <c r="F50" s="21" t="str">
        <f>VLOOKUP($A50,'Выгр Кат'!$A:$R,F$1,0)</f>
        <v>AP 0013</v>
      </c>
      <c r="G50" s="7" t="s">
        <v>253</v>
      </c>
      <c r="H50" s="6" t="s">
        <v>3</v>
      </c>
      <c r="I50" s="94">
        <f>VLOOKUP($G50,ПРАЙС!$B:$H,5,0)</f>
        <v>1415</v>
      </c>
      <c r="J50" s="8">
        <f t="shared" si="0"/>
        <v>1.2862190812720848</v>
      </c>
      <c r="K50" s="8">
        <f>VLOOKUP($G50,ПРАЙС!$B:$H,7,0)</f>
        <v>1820</v>
      </c>
      <c r="L50" s="8">
        <f t="shared" si="1"/>
        <v>1.2862190812720848</v>
      </c>
      <c r="M50" s="9">
        <f t="shared" si="8"/>
        <v>1820</v>
      </c>
      <c r="N50" s="94">
        <f t="shared" si="2"/>
        <v>1890</v>
      </c>
      <c r="O50" s="21">
        <f>VLOOKUP($A50,'Выгр Кат'!$A:$R,O$1,0)</f>
        <v>1415</v>
      </c>
      <c r="P50" s="21">
        <f>VLOOKUP($A50,'Выгр Кат'!$A:$R,P$1,0)</f>
        <v>1890</v>
      </c>
      <c r="Q50" s="70">
        <f t="shared" si="3"/>
        <v>0</v>
      </c>
      <c r="R50" s="70">
        <f t="shared" si="4"/>
        <v>0</v>
      </c>
      <c r="S50" s="85">
        <f t="shared" si="9"/>
        <v>1795.5</v>
      </c>
      <c r="T50" s="81">
        <f>IFERROR((VLOOKUP($A50,'Из ГУГЛа'!$B:$G,6,0)+V50)*U50,VLOOKUP($A50,'Из ГУГЛа'!$B:$G,6,0))</f>
        <v>1890</v>
      </c>
      <c r="U50" s="83">
        <v>1</v>
      </c>
      <c r="V50" s="83">
        <v>0</v>
      </c>
      <c r="W50" s="48">
        <f t="shared" si="5"/>
        <v>0.26890459363957597</v>
      </c>
      <c r="X50" s="48">
        <f t="shared" si="6"/>
        <v>0.05</v>
      </c>
      <c r="Y50" s="48">
        <f t="shared" si="7"/>
        <v>0.3356890459363957</v>
      </c>
      <c r="Z50" s="78">
        <v>1890</v>
      </c>
      <c r="AA50" t="s">
        <v>869</v>
      </c>
      <c r="AB50" s="13"/>
    </row>
    <row r="51" spans="1:28" ht="46.5" thickTop="1" thickBot="1">
      <c r="A51" s="9">
        <v>170836</v>
      </c>
      <c r="B51" s="21">
        <f>VLOOKUP($A51,'Выгр Кат'!$A:$R,B$1,0)</f>
        <v>19586</v>
      </c>
      <c r="C51" s="54" t="str">
        <f>VLOOKUP($A51,'Выгр Кат'!$A:$R,C$1,0)</f>
        <v>Накладки педалей "AUTOPRODUCT" (AMT 1.6, после 2016 г. в.) для Лада Веста</v>
      </c>
      <c r="D51" s="21" t="str">
        <f>VLOOKUP($A51,'Выгр Кат'!$A:$R,D$1,0)</f>
        <v>Y</v>
      </c>
      <c r="E51" s="21" t="str">
        <f>VLOOKUP($A51,'Выгр Кат'!$A:$R,E$1,0)</f>
        <v>1</v>
      </c>
      <c r="F51" s="21" t="str">
        <f>VLOOKUP($A51,'Выгр Кат'!$A:$R,F$1,0)</f>
        <v>АР 0655</v>
      </c>
      <c r="G51" s="7" t="s">
        <v>276</v>
      </c>
      <c r="H51" s="6" t="s">
        <v>3</v>
      </c>
      <c r="I51" s="94">
        <f>VLOOKUP($G51,ПРАЙС!$B:$H,5,0)</f>
        <v>1235</v>
      </c>
      <c r="J51" s="8">
        <f t="shared" si="0"/>
        <v>1.2874493927125505</v>
      </c>
      <c r="K51" s="8">
        <f>VLOOKUP($G51,ПРАЙС!$B:$H,7,0)</f>
        <v>1590</v>
      </c>
      <c r="L51" s="8">
        <f t="shared" si="1"/>
        <v>1.2874493927125505</v>
      </c>
      <c r="M51" s="9">
        <f t="shared" si="8"/>
        <v>1590</v>
      </c>
      <c r="N51" s="94">
        <f t="shared" si="2"/>
        <v>1590</v>
      </c>
      <c r="O51" s="21">
        <f>VLOOKUP($A51,'Выгр Кат'!$A:$R,O$1,0)</f>
        <v>1235</v>
      </c>
      <c r="P51" s="21">
        <f>VLOOKUP($A51,'Выгр Кат'!$A:$R,P$1,0)</f>
        <v>1690</v>
      </c>
      <c r="Q51" s="70">
        <f t="shared" si="3"/>
        <v>0</v>
      </c>
      <c r="R51" s="70">
        <f t="shared" si="4"/>
        <v>100</v>
      </c>
      <c r="S51" s="85">
        <f t="shared" si="9"/>
        <v>1510.5</v>
      </c>
      <c r="T51" s="81">
        <f>IFERROR((VLOOKUP($A51,'Из ГУГЛа'!$B:$G,6,0)+V51)*U51,VLOOKUP($A51,'Из ГУГЛа'!$B:$G,6,0))</f>
        <v>1690</v>
      </c>
      <c r="U51" s="83">
        <v>1</v>
      </c>
      <c r="V51" s="83">
        <v>0</v>
      </c>
      <c r="W51" s="48">
        <f t="shared" si="5"/>
        <v>0.22307692307692317</v>
      </c>
      <c r="X51" s="48">
        <f t="shared" si="6"/>
        <v>0.10621301775147929</v>
      </c>
      <c r="Y51" s="48">
        <f t="shared" si="7"/>
        <v>0.36842105263157898</v>
      </c>
      <c r="Z51" s="78">
        <v>1690</v>
      </c>
      <c r="AA51" t="s">
        <v>870</v>
      </c>
      <c r="AB51" s="68"/>
    </row>
    <row r="52" spans="1:28" ht="46.5" thickTop="1" thickBot="1">
      <c r="A52" s="9">
        <v>170837</v>
      </c>
      <c r="B52" s="21">
        <f>VLOOKUP($A52,'Выгр Кат'!$A:$R,B$1,0)</f>
        <v>19587</v>
      </c>
      <c r="C52" s="54" t="str">
        <f>VLOOKUP($A52,'Выгр Кат'!$A:$R,C$1,0)</f>
        <v>Накладки педалей "AUTOPRODUCT" (AMT 1.8, после 2016 г. в.) для Лада Веста</v>
      </c>
      <c r="D52" s="21" t="str">
        <f>VLOOKUP($A52,'Выгр Кат'!$A:$R,D$1,0)</f>
        <v>Y</v>
      </c>
      <c r="E52" s="21" t="str">
        <f>VLOOKUP($A52,'Выгр Кат'!$A:$R,E$1,0)</f>
        <v>1</v>
      </c>
      <c r="F52" s="21" t="str">
        <f>VLOOKUP($A52,'Выгр Кат'!$A:$R,F$1,0)</f>
        <v>АР 0656</v>
      </c>
      <c r="G52" s="7" t="s">
        <v>277</v>
      </c>
      <c r="H52" s="6" t="s">
        <v>3</v>
      </c>
      <c r="I52" s="94">
        <f>VLOOKUP($G52,ПРАЙС!$B:$H,5,0)</f>
        <v>1235</v>
      </c>
      <c r="J52" s="8">
        <f t="shared" si="0"/>
        <v>1.2874493927125505</v>
      </c>
      <c r="K52" s="8">
        <f>VLOOKUP($G52,ПРАЙС!$B:$H,7,0)</f>
        <v>1590</v>
      </c>
      <c r="L52" s="8">
        <f t="shared" si="1"/>
        <v>1.2874493927125505</v>
      </c>
      <c r="M52" s="9">
        <f t="shared" si="8"/>
        <v>1590</v>
      </c>
      <c r="N52" s="94">
        <f t="shared" si="2"/>
        <v>1590</v>
      </c>
      <c r="O52" s="21">
        <f>VLOOKUP($A52,'Выгр Кат'!$A:$R,O$1,0)</f>
        <v>1235</v>
      </c>
      <c r="P52" s="21">
        <f>VLOOKUP($A52,'Выгр Кат'!$A:$R,P$1,0)</f>
        <v>1690</v>
      </c>
      <c r="Q52" s="70">
        <f t="shared" si="3"/>
        <v>0</v>
      </c>
      <c r="R52" s="70">
        <f t="shared" si="4"/>
        <v>100</v>
      </c>
      <c r="S52" s="85">
        <f t="shared" si="9"/>
        <v>1510.5</v>
      </c>
      <c r="T52" s="81">
        <f>IFERROR((VLOOKUP($A52,'Из ГУГЛа'!$B:$G,6,0)+V52)*U52,VLOOKUP($A52,'Из ГУГЛа'!$B:$G,6,0))</f>
        <v>1690</v>
      </c>
      <c r="U52" s="83">
        <v>1</v>
      </c>
      <c r="V52" s="83">
        <v>0</v>
      </c>
      <c r="W52" s="48">
        <f t="shared" si="5"/>
        <v>0.22307692307692317</v>
      </c>
      <c r="X52" s="48">
        <f t="shared" si="6"/>
        <v>0.10621301775147929</v>
      </c>
      <c r="Y52" s="48">
        <f t="shared" si="7"/>
        <v>0.36842105263157898</v>
      </c>
      <c r="Z52" s="78">
        <v>1690</v>
      </c>
      <c r="AA52" t="s">
        <v>835</v>
      </c>
      <c r="AB52" s="67">
        <v>1490</v>
      </c>
    </row>
    <row r="53" spans="1:28" ht="46.5" thickTop="1" thickBot="1">
      <c r="A53" s="9">
        <v>202736</v>
      </c>
      <c r="B53" s="21">
        <f>VLOOKUP($A53,'Выгр Кат'!$A:$R,B$1,0)</f>
        <v>19395</v>
      </c>
      <c r="C53" s="54" t="str">
        <f>VLOOKUP($A53,'Выгр Кат'!$A:$R,C$1,0)</f>
        <v>Распорка (растяжка) передних стоек "AUTOPRODUCT" нерегулируемая для Лада Веста</v>
      </c>
      <c r="D53" s="21" t="str">
        <f>VLOOKUP($A53,'Выгр Кат'!$A:$R,D$1,0)</f>
        <v>Y</v>
      </c>
      <c r="E53" s="21" t="str">
        <f>VLOOKUP($A53,'Выгр Кат'!$A:$R,E$1,0)</f>
        <v>1</v>
      </c>
      <c r="F53" s="21" t="str">
        <f>VLOOKUP($A53,'Выгр Кат'!$A:$R,F$1,0)</f>
        <v>AP 0690</v>
      </c>
      <c r="G53" s="7" t="s">
        <v>311</v>
      </c>
      <c r="H53" s="6" t="s">
        <v>3</v>
      </c>
      <c r="I53" s="94">
        <f>VLOOKUP($G53,ПРАЙС!$B:$H,5,0)</f>
        <v>1235</v>
      </c>
      <c r="J53" s="8">
        <f t="shared" si="0"/>
        <v>1.2874493927125505</v>
      </c>
      <c r="K53" s="8">
        <f>VLOOKUP($G53,ПРАЙС!$B:$H,7,0)</f>
        <v>1590</v>
      </c>
      <c r="L53" s="8">
        <f t="shared" si="1"/>
        <v>1.2874493927125505</v>
      </c>
      <c r="M53" s="9">
        <f t="shared" si="8"/>
        <v>1590</v>
      </c>
      <c r="N53" s="94">
        <f t="shared" si="2"/>
        <v>1590</v>
      </c>
      <c r="O53" s="21">
        <f>VLOOKUP($A53,'Выгр Кат'!$A:$R,O$1,0)</f>
        <v>1235</v>
      </c>
      <c r="P53" s="21">
        <f>VLOOKUP($A53,'Выгр Кат'!$A:$R,P$1,0)</f>
        <v>1690</v>
      </c>
      <c r="Q53" s="70">
        <f t="shared" si="3"/>
        <v>0</v>
      </c>
      <c r="R53" s="70">
        <f t="shared" si="4"/>
        <v>100</v>
      </c>
      <c r="S53" s="85">
        <f t="shared" si="9"/>
        <v>1510.5</v>
      </c>
      <c r="T53" s="81">
        <f>IFERROR((VLOOKUP($A53,'Из ГУГЛа'!$B:$G,6,0)+V53)*U53,VLOOKUP($A53,'Из ГУГЛа'!$B:$G,6,0))</f>
        <v>1690</v>
      </c>
      <c r="U53" s="83">
        <v>1</v>
      </c>
      <c r="V53" s="83">
        <v>0</v>
      </c>
      <c r="W53" s="48">
        <f t="shared" si="5"/>
        <v>0.22307692307692317</v>
      </c>
      <c r="X53" s="48">
        <f t="shared" si="6"/>
        <v>0.10621301775147929</v>
      </c>
      <c r="Y53" s="48">
        <f t="shared" si="7"/>
        <v>0.36842105263157898</v>
      </c>
      <c r="Z53" s="78">
        <v>1690</v>
      </c>
      <c r="AA53" t="s">
        <v>871</v>
      </c>
      <c r="AB53" s="13"/>
    </row>
    <row r="54" spans="1:28" ht="31.5" thickTop="1" thickBot="1">
      <c r="A54" s="9">
        <v>170838</v>
      </c>
      <c r="B54" s="21">
        <f>VLOOKUP($A54,'Выгр Кат'!$A:$R,B$1,0)</f>
        <v>19593</v>
      </c>
      <c r="C54" s="54" t="str">
        <f>VLOOKUP($A54,'Выгр Кат'!$A:$R,C$1,0)</f>
        <v>Накладки педалей "AUTOPRODUCT" (АМТ) для Лада XRAY</v>
      </c>
      <c r="D54" s="21" t="str">
        <f>VLOOKUP($A54,'Выгр Кат'!$A:$R,D$1,0)</f>
        <v>Y</v>
      </c>
      <c r="E54" s="21" t="str">
        <f>VLOOKUP($A54,'Выгр Кат'!$A:$R,E$1,0)</f>
        <v>1</v>
      </c>
      <c r="F54" s="21" t="str">
        <f>VLOOKUP($A54,'Выгр Кат'!$A:$R,F$1,0)</f>
        <v>АР 0705</v>
      </c>
      <c r="G54" s="7" t="s">
        <v>279</v>
      </c>
      <c r="H54" s="6" t="s">
        <v>3</v>
      </c>
      <c r="I54" s="92">
        <f>O54</f>
        <v>1235</v>
      </c>
      <c r="J54" s="8" t="e">
        <f t="shared" si="0"/>
        <v>#N/A</v>
      </c>
      <c r="K54" s="8" t="e">
        <f>VLOOKUP($G54,ПРАЙС!$B:$H,7,0)</f>
        <v>#N/A</v>
      </c>
      <c r="L54" s="8" t="e">
        <f t="shared" si="1"/>
        <v>#N/A</v>
      </c>
      <c r="M54" s="92">
        <f>P54</f>
        <v>1690</v>
      </c>
      <c r="N54" s="94">
        <f t="shared" si="2"/>
        <v>1690</v>
      </c>
      <c r="O54" s="21">
        <f>VLOOKUP($A54,'Выгр Кат'!$A:$R,O$1,0)</f>
        <v>1235</v>
      </c>
      <c r="P54" s="21">
        <f>VLOOKUP($A54,'Выгр Кат'!$A:$R,P$1,0)</f>
        <v>1690</v>
      </c>
      <c r="Q54" s="70">
        <f t="shared" si="3"/>
        <v>0</v>
      </c>
      <c r="R54" s="70">
        <f t="shared" si="4"/>
        <v>0</v>
      </c>
      <c r="S54" s="85">
        <f t="shared" si="9"/>
        <v>1605.5</v>
      </c>
      <c r="T54" s="81">
        <f>IFERROR((VLOOKUP($A54,'Из ГУГЛа'!$B:$G,6,0)+V54)*U54,VLOOKUP($A54,'Из ГУГЛа'!$B:$G,6,0))</f>
        <v>1690</v>
      </c>
      <c r="U54" s="83">
        <v>1</v>
      </c>
      <c r="V54" s="83">
        <v>0</v>
      </c>
      <c r="W54" s="48">
        <f t="shared" si="5"/>
        <v>0.30000000000000004</v>
      </c>
      <c r="X54" s="48">
        <f t="shared" si="6"/>
        <v>0.05</v>
      </c>
      <c r="Y54" s="48">
        <f t="shared" si="7"/>
        <v>0.36842105263157898</v>
      </c>
      <c r="Z54" s="78">
        <v>1690</v>
      </c>
      <c r="AA54" t="s">
        <v>872</v>
      </c>
      <c r="AB54" s="68"/>
    </row>
    <row r="55" spans="1:28" ht="61.5" thickTop="1" thickBot="1">
      <c r="A55" s="9">
        <v>201634</v>
      </c>
      <c r="B55" s="21">
        <f>VLOOKUP($A55,'Выгр Кат'!$A:$R,B$1,0)</f>
        <v>31891</v>
      </c>
      <c r="C55" s="54" t="str">
        <f>VLOOKUP($A55,'Выгр Кат'!$A:$R,C$1,0)</f>
        <v>Проставки "AUTOPRODUCT" с корректировкой схождения, для защиты от неравномерного износа шин задней оси для Лада Ларгус</v>
      </c>
      <c r="D55" s="21" t="str">
        <f>VLOOKUP($A55,'Выгр Кат'!$A:$R,D$1,0)</f>
        <v>Y</v>
      </c>
      <c r="E55" s="21" t="str">
        <f>VLOOKUP($A55,'Выгр Кат'!$A:$R,E$1,0)</f>
        <v>1</v>
      </c>
      <c r="F55" s="21" t="str">
        <f>VLOOKUP($A55,'Выгр Кат'!$A:$R,F$1,0)</f>
        <v>AP 0750</v>
      </c>
      <c r="G55" s="7" t="s">
        <v>337</v>
      </c>
      <c r="H55" s="6" t="s">
        <v>3</v>
      </c>
      <c r="I55" s="94">
        <f>VLOOKUP($G55,ПРАЙС!$B:$H,5,0)</f>
        <v>1205</v>
      </c>
      <c r="J55" s="8">
        <f t="shared" si="0"/>
        <v>1.2863070539419088</v>
      </c>
      <c r="K55" s="8">
        <f>VLOOKUP($G55,ПРАЙС!$B:$H,7,0)</f>
        <v>1550</v>
      </c>
      <c r="L55" s="8">
        <f t="shared" si="1"/>
        <v>1.2863070539419088</v>
      </c>
      <c r="M55" s="9">
        <f t="shared" si="8"/>
        <v>1550</v>
      </c>
      <c r="N55" s="94">
        <f t="shared" si="2"/>
        <v>1590</v>
      </c>
      <c r="O55" s="21">
        <f>VLOOKUP($A55,'Выгр Кат'!$A:$R,O$1,0)</f>
        <v>1205</v>
      </c>
      <c r="P55" s="21">
        <f>VLOOKUP($A55,'Выгр Кат'!$A:$R,P$1,0)</f>
        <v>1690</v>
      </c>
      <c r="Q55" s="70">
        <f t="shared" si="3"/>
        <v>0</v>
      </c>
      <c r="R55" s="70">
        <f t="shared" si="4"/>
        <v>100</v>
      </c>
      <c r="S55" s="85">
        <f t="shared" si="9"/>
        <v>1510.5</v>
      </c>
      <c r="T55" s="81">
        <f>IFERROR((VLOOKUP($A55,'Из ГУГЛа'!$B:$G,6,0)+V55)*U55,VLOOKUP($A55,'Из ГУГЛа'!$B:$G,6,0))</f>
        <v>1690</v>
      </c>
      <c r="U55" s="83">
        <v>1</v>
      </c>
      <c r="V55" s="83">
        <v>0</v>
      </c>
      <c r="W55" s="48">
        <f t="shared" si="5"/>
        <v>0.25352697095435683</v>
      </c>
      <c r="X55" s="48">
        <f t="shared" si="6"/>
        <v>0.10621301775147929</v>
      </c>
      <c r="Y55" s="48">
        <f t="shared" si="7"/>
        <v>0.4024896265560165</v>
      </c>
      <c r="Z55" s="78">
        <v>1690</v>
      </c>
      <c r="AA55" t="s">
        <v>772</v>
      </c>
      <c r="AB55" s="67">
        <v>1490</v>
      </c>
    </row>
    <row r="56" spans="1:28" ht="46.5" thickTop="1" thickBot="1">
      <c r="A56" s="9">
        <v>202742</v>
      </c>
      <c r="B56" s="21">
        <f>VLOOKUP($A56,'Выгр Кат'!$A:$R,B$1,0)</f>
        <v>2480</v>
      </c>
      <c r="C56" s="54" t="str">
        <f>VLOOKUP($A56,'Выгр Кат'!$A:$R,C$1,0)</f>
        <v>Распорка задняя "AUTOPRODUCT" для ВАЗ (2108-21099, 2110-2112, 2113-2115), Лада Приора</v>
      </c>
      <c r="D56" s="21" t="str">
        <f>VLOOKUP($A56,'Выгр Кат'!$A:$R,D$1,0)</f>
        <v>Y</v>
      </c>
      <c r="E56" s="21" t="str">
        <f>VLOOKUP($A56,'Выгр Кат'!$A:$R,E$1,0)</f>
        <v>1</v>
      </c>
      <c r="F56" s="21" t="str">
        <f>VLOOKUP($A56,'Выгр Кат'!$A:$R,F$1,0)</f>
        <v>АР 0250</v>
      </c>
      <c r="G56" s="7" t="s">
        <v>292</v>
      </c>
      <c r="H56" s="6" t="s">
        <v>3</v>
      </c>
      <c r="I56" s="94">
        <f>VLOOKUP($G56,ПРАЙС!$B:$H,5,0)</f>
        <v>1470</v>
      </c>
      <c r="J56" s="8">
        <f t="shared" si="0"/>
        <v>1.1768707482993197</v>
      </c>
      <c r="K56" s="8">
        <f>VLOOKUP($G56,ПРАЙС!$B:$H,7,0)</f>
        <v>1730</v>
      </c>
      <c r="L56" s="8">
        <f t="shared" si="1"/>
        <v>1.22</v>
      </c>
      <c r="M56" s="9">
        <f t="shared" si="8"/>
        <v>1793.3999999999999</v>
      </c>
      <c r="N56" s="94">
        <f t="shared" si="2"/>
        <v>1790</v>
      </c>
      <c r="O56" s="21">
        <f>VLOOKUP($A56,'Выгр Кат'!$A:$R,O$1,0)</f>
        <v>1470</v>
      </c>
      <c r="P56" s="21">
        <f>VLOOKUP($A56,'Выгр Кат'!$A:$R,P$1,0)</f>
        <v>1990</v>
      </c>
      <c r="Q56" s="70">
        <f t="shared" si="3"/>
        <v>0</v>
      </c>
      <c r="R56" s="70">
        <f t="shared" si="4"/>
        <v>200</v>
      </c>
      <c r="S56" s="85">
        <f t="shared" si="9"/>
        <v>1700.5</v>
      </c>
      <c r="T56" s="81">
        <f>IFERROR((VLOOKUP($A56,'Из ГУГЛа'!$B:$G,6,0)+V56)*U56,VLOOKUP($A56,'Из ГУГЛа'!$B:$G,6,0))</f>
        <v>1990</v>
      </c>
      <c r="U56" s="83">
        <v>1</v>
      </c>
      <c r="V56" s="83">
        <v>0</v>
      </c>
      <c r="W56" s="48">
        <f t="shared" si="5"/>
        <v>0.15680272108843529</v>
      </c>
      <c r="X56" s="48">
        <f t="shared" si="6"/>
        <v>0.14547738693467338</v>
      </c>
      <c r="Y56" s="48">
        <f t="shared" si="7"/>
        <v>0.3537414965986394</v>
      </c>
      <c r="Z56" s="79">
        <f t="shared" ref="Z56:Z57" si="15">T56</f>
        <v>1990</v>
      </c>
      <c r="AA56" t="s">
        <v>873</v>
      </c>
      <c r="AB56" s="13"/>
    </row>
    <row r="57" spans="1:28" ht="31.5" thickTop="1" thickBot="1">
      <c r="A57" s="9">
        <v>202743</v>
      </c>
      <c r="B57" s="21">
        <f>VLOOKUP($A57,'Выгр Кат'!$A:$R,B$1,0)</f>
        <v>2485</v>
      </c>
      <c r="C57" s="54" t="str">
        <f>VLOOKUP($A57,'Выгр Кат'!$A:$R,C$1,0)</f>
        <v>Распорка задняя "AUTOPRODUCT" для Лада Калина, Калина 2, Гранта</v>
      </c>
      <c r="D57" s="21" t="str">
        <f>VLOOKUP($A57,'Выгр Кат'!$A:$R,D$1,0)</f>
        <v>Y</v>
      </c>
      <c r="E57" s="21" t="str">
        <f>VLOOKUP($A57,'Выгр Кат'!$A:$R,E$1,0)</f>
        <v>1ск1</v>
      </c>
      <c r="F57" s="21" t="str">
        <f>VLOOKUP($A57,'Выгр Кат'!$A:$R,F$1,0)</f>
        <v>АР 0415</v>
      </c>
      <c r="G57" s="7" t="s">
        <v>294</v>
      </c>
      <c r="H57" s="6" t="s">
        <v>3</v>
      </c>
      <c r="I57" s="94">
        <f>VLOOKUP($G57,ПРАЙС!$B:$H,5,0)</f>
        <v>1490</v>
      </c>
      <c r="J57" s="8">
        <f t="shared" si="0"/>
        <v>1.2281879194630871</v>
      </c>
      <c r="K57" s="8">
        <f>VLOOKUP($G57,ПРАЙС!$B:$H,7,0)</f>
        <v>1830</v>
      </c>
      <c r="L57" s="8">
        <f t="shared" si="1"/>
        <v>1.2281879194630871</v>
      </c>
      <c r="M57" s="9">
        <f t="shared" si="8"/>
        <v>1829.9999999999998</v>
      </c>
      <c r="N57" s="94">
        <f t="shared" si="2"/>
        <v>1890</v>
      </c>
      <c r="O57" s="21">
        <f>VLOOKUP($A57,'Выгр Кат'!$A:$R,O$1,0)</f>
        <v>1505</v>
      </c>
      <c r="P57" s="21">
        <f>VLOOKUP($A57,'Выгр Кат'!$A:$R,P$1,0)</f>
        <v>1990</v>
      </c>
      <c r="Q57" s="70">
        <f t="shared" si="3"/>
        <v>15</v>
      </c>
      <c r="R57" s="70">
        <f t="shared" si="4"/>
        <v>100</v>
      </c>
      <c r="S57" s="85">
        <f t="shared" si="9"/>
        <v>1795.5</v>
      </c>
      <c r="T57" s="81">
        <f>IFERROR((VLOOKUP($A57,'Из ГУГЛа'!$B:$G,6,0)+V57)*U57,VLOOKUP($A57,'Из ГУГЛа'!$B:$G,6,0))</f>
        <v>1990</v>
      </c>
      <c r="U57" s="83">
        <v>1</v>
      </c>
      <c r="V57" s="83">
        <v>0</v>
      </c>
      <c r="W57" s="48">
        <f t="shared" si="5"/>
        <v>0.2050335570469799</v>
      </c>
      <c r="X57" s="48">
        <f t="shared" si="6"/>
        <v>9.7738693467336685E-2</v>
      </c>
      <c r="Y57" s="48">
        <f t="shared" si="7"/>
        <v>0.33557046979865768</v>
      </c>
      <c r="Z57" s="79">
        <f t="shared" si="15"/>
        <v>1990</v>
      </c>
      <c r="AA57" t="s">
        <v>833</v>
      </c>
      <c r="AB57" s="35">
        <v>1660</v>
      </c>
    </row>
    <row r="58" spans="1:28" ht="46.5" thickTop="1" thickBot="1">
      <c r="A58" s="9">
        <v>202756</v>
      </c>
      <c r="B58" s="21">
        <f>VLOOKUP($A58,'Выгр Кат'!$A:$R,B$1,0)</f>
        <v>2472</v>
      </c>
      <c r="C58" s="54" t="str">
        <f>VLOOKUP($A58,'Выгр Кат'!$A:$R,C$1,0)</f>
        <v>Распорка передняя регулируемая "AUTOPRODUCT" для ВАЗ 2108-21099, 2110-2112, 2113-2115</v>
      </c>
      <c r="D58" s="21" t="str">
        <f>VLOOKUP($A58,'Выгр Кат'!$A:$R,D$1,0)</f>
        <v>Y</v>
      </c>
      <c r="E58" s="21" t="str">
        <f>VLOOKUP($A58,'Выгр Кат'!$A:$R,E$1,0)</f>
        <v>1</v>
      </c>
      <c r="F58" s="21" t="str">
        <f>VLOOKUP($A58,'Выгр Кат'!$A:$R,F$1,0)</f>
        <v>АР 0130</v>
      </c>
      <c r="G58" s="7" t="s">
        <v>301</v>
      </c>
      <c r="H58" s="6" t="s">
        <v>3</v>
      </c>
      <c r="I58" s="94">
        <f>VLOOKUP($G58,ПРАЙС!$B:$H,5,0)</f>
        <v>1520</v>
      </c>
      <c r="J58" s="8">
        <f t="shared" si="0"/>
        <v>1.1776315789473684</v>
      </c>
      <c r="K58" s="8">
        <f>VLOOKUP($G58,ПРАЙС!$B:$H,7,0)</f>
        <v>1790</v>
      </c>
      <c r="L58" s="8">
        <f t="shared" si="1"/>
        <v>1.22</v>
      </c>
      <c r="M58" s="9">
        <f t="shared" si="8"/>
        <v>1854.3999999999999</v>
      </c>
      <c r="N58" s="94">
        <f t="shared" si="2"/>
        <v>1890</v>
      </c>
      <c r="O58" s="21">
        <f>VLOOKUP($A58,'Выгр Кат'!$A:$R,O$1,0)</f>
        <v>1440</v>
      </c>
      <c r="P58" s="21">
        <f>VLOOKUP($A58,'Выгр Кат'!$A:$R,P$1,0)</f>
        <v>1890</v>
      </c>
      <c r="Q58" s="70">
        <f t="shared" si="3"/>
        <v>-80</v>
      </c>
      <c r="R58" s="70">
        <f t="shared" si="4"/>
        <v>0</v>
      </c>
      <c r="S58" s="85">
        <f t="shared" si="9"/>
        <v>1795.5</v>
      </c>
      <c r="T58" s="81">
        <f>IFERROR((VLOOKUP($A58,'Из ГУГЛа'!$B:$G,6,0)+V58)*U58,VLOOKUP($A58,'Из ГУГЛа'!$B:$G,6,0))</f>
        <v>1890</v>
      </c>
      <c r="U58" s="83">
        <v>1</v>
      </c>
      <c r="V58" s="83">
        <v>0</v>
      </c>
      <c r="W58" s="48">
        <f t="shared" si="5"/>
        <v>0.18124999999999991</v>
      </c>
      <c r="X58" s="48">
        <f t="shared" si="6"/>
        <v>0.05</v>
      </c>
      <c r="Y58" s="48">
        <f t="shared" si="7"/>
        <v>0.24342105263157898</v>
      </c>
      <c r="Z58" s="78">
        <v>1890</v>
      </c>
      <c r="AA58" t="s">
        <v>874</v>
      </c>
      <c r="AB58" s="13"/>
    </row>
    <row r="59" spans="1:28" ht="46.5" thickTop="1" thickBot="1">
      <c r="A59" s="9">
        <v>202737</v>
      </c>
      <c r="B59" s="21">
        <f>VLOOKUP($A59,'Выгр Кат'!$A:$R,B$1,0)</f>
        <v>30835</v>
      </c>
      <c r="C59" s="54" t="str">
        <f>VLOOKUP($A59,'Выгр Кат'!$A:$R,C$1,0)</f>
        <v>Распорка (растяжка) передних стоек "AUTOPRODUCT" скрытая для Лада Веста</v>
      </c>
      <c r="D59" s="21" t="str">
        <f>VLOOKUP($A59,'Выгр Кат'!$A:$R,D$1,0)</f>
        <v>Y</v>
      </c>
      <c r="E59" s="21" t="str">
        <f>VLOOKUP($A59,'Выгр Кат'!$A:$R,E$1,0)</f>
        <v>1</v>
      </c>
      <c r="F59" s="21" t="str">
        <f>VLOOKUP($A59,'Выгр Кат'!$A:$R,F$1,0)</f>
        <v>AP 0692</v>
      </c>
      <c r="G59" s="26" t="s">
        <v>312</v>
      </c>
      <c r="H59" s="6" t="s">
        <v>3</v>
      </c>
      <c r="I59" s="94">
        <f>VLOOKUP($G59,ПРАЙС!$B:$H,5,0)</f>
        <v>1415</v>
      </c>
      <c r="J59" s="8">
        <f t="shared" si="0"/>
        <v>1.2862190812720848</v>
      </c>
      <c r="K59" s="8">
        <f>VLOOKUP($G59,ПРАЙС!$B:$H,7,0)</f>
        <v>1820</v>
      </c>
      <c r="L59" s="8">
        <f t="shared" si="1"/>
        <v>1.2862190812720848</v>
      </c>
      <c r="M59" s="9">
        <f t="shared" si="8"/>
        <v>1820</v>
      </c>
      <c r="N59" s="94">
        <f t="shared" si="2"/>
        <v>1890</v>
      </c>
      <c r="O59" s="21">
        <f>VLOOKUP($A59,'Выгр Кат'!$A:$R,O$1,0)</f>
        <v>1415</v>
      </c>
      <c r="P59" s="21">
        <f>VLOOKUP($A59,'Выгр Кат'!$A:$R,P$1,0)</f>
        <v>1890</v>
      </c>
      <c r="Q59" s="70">
        <f t="shared" si="3"/>
        <v>0</v>
      </c>
      <c r="R59" s="70">
        <f t="shared" si="4"/>
        <v>0</v>
      </c>
      <c r="S59" s="85">
        <f t="shared" si="9"/>
        <v>1795.5</v>
      </c>
      <c r="T59" s="81">
        <f>IFERROR((VLOOKUP($A59,'Из ГУГЛа'!$B:$G,6,0)+V59)*U59,VLOOKUP($A59,'Из ГУГЛа'!$B:$G,6,0))</f>
        <v>1890</v>
      </c>
      <c r="U59" s="83">
        <v>1</v>
      </c>
      <c r="V59" s="83">
        <v>0</v>
      </c>
      <c r="W59" s="48">
        <f t="shared" si="5"/>
        <v>0.26890459363957597</v>
      </c>
      <c r="X59" s="48">
        <f t="shared" si="6"/>
        <v>0.05</v>
      </c>
      <c r="Y59" s="48">
        <f t="shared" si="7"/>
        <v>0.3356890459363957</v>
      </c>
      <c r="Z59" s="78">
        <v>1890</v>
      </c>
      <c r="AA59" t="s">
        <v>832</v>
      </c>
      <c r="AB59" s="35">
        <v>1720</v>
      </c>
    </row>
    <row r="60" spans="1:28" ht="76.5" thickTop="1" thickBot="1">
      <c r="A60" s="9">
        <v>217372</v>
      </c>
      <c r="B60" s="21">
        <f>VLOOKUP($A60,'Выгр Кат'!$A:$R,B$1,0)</f>
        <v>31862</v>
      </c>
      <c r="C60" s="54" t="str">
        <f>VLOOKUP($A60,'Выгр Кат'!$A:$R,C$1,0)</f>
        <v>Стальной кронштейн "AUTOPRODUCT" левой опоры силового агрегата (двигателя) для Лада Калина, Калина 2, Гранта, Гранта FL (с кулисной МКПП)</v>
      </c>
      <c r="D60" s="21" t="str">
        <f>VLOOKUP($A60,'Выгр Кат'!$A:$R,D$1,0)</f>
        <v>Y</v>
      </c>
      <c r="E60" s="21" t="str">
        <f>VLOOKUP($A60,'Выгр Кат'!$A:$R,E$1,0)</f>
        <v>1</v>
      </c>
      <c r="F60" s="21" t="str">
        <f>VLOOKUP($A60,'Выгр Кат'!$A:$R,F$1,0)</f>
        <v>AP 0302</v>
      </c>
      <c r="G60" s="7" t="s">
        <v>246</v>
      </c>
      <c r="H60" s="6" t="s">
        <v>3</v>
      </c>
      <c r="I60" s="94">
        <f>VLOOKUP($G60,ПРАЙС!$B:$H,5,0)</f>
        <v>1605</v>
      </c>
      <c r="J60" s="8">
        <f t="shared" si="0"/>
        <v>1.1775700934579438</v>
      </c>
      <c r="K60" s="8">
        <f>VLOOKUP($G60,ПРАЙС!$B:$H,7,0)</f>
        <v>1890</v>
      </c>
      <c r="L60" s="8">
        <f t="shared" si="1"/>
        <v>1.22</v>
      </c>
      <c r="M60" s="9">
        <f t="shared" si="8"/>
        <v>1958.1</v>
      </c>
      <c r="N60" s="94">
        <f t="shared" si="2"/>
        <v>1990</v>
      </c>
      <c r="O60" s="21">
        <f>VLOOKUP($A60,'Выгр Кат'!$A:$R,O$1,0)</f>
        <v>1605</v>
      </c>
      <c r="P60" s="21">
        <f>VLOOKUP($A60,'Выгр Кат'!$A:$R,P$1,0)</f>
        <v>2290</v>
      </c>
      <c r="Q60" s="70">
        <f t="shared" si="3"/>
        <v>0</v>
      </c>
      <c r="R60" s="70">
        <f t="shared" si="4"/>
        <v>300</v>
      </c>
      <c r="S60" s="85">
        <f t="shared" si="9"/>
        <v>1890.5</v>
      </c>
      <c r="T60" s="81">
        <f>IFERROR((VLOOKUP($A60,'Из ГУГЛа'!$B:$G,6,0)+V60)*U60,VLOOKUP($A60,'Из ГУГЛа'!$B:$G,6,0))</f>
        <v>2190</v>
      </c>
      <c r="U60" s="83">
        <v>1</v>
      </c>
      <c r="V60" s="83">
        <v>0</v>
      </c>
      <c r="W60" s="48">
        <f t="shared" si="5"/>
        <v>0.17788161993769469</v>
      </c>
      <c r="X60" s="48">
        <f t="shared" si="6"/>
        <v>0.13675799086757992</v>
      </c>
      <c r="Y60" s="48">
        <f t="shared" si="7"/>
        <v>0.36448598130841114</v>
      </c>
      <c r="Z60" s="79">
        <f t="shared" ref="Z60:Z63" si="16">T60</f>
        <v>2190</v>
      </c>
      <c r="AA60" t="s">
        <v>875</v>
      </c>
      <c r="AB60" s="13"/>
    </row>
    <row r="61" spans="1:28" ht="61.5" thickTop="1" thickBot="1">
      <c r="A61" s="9">
        <v>203072</v>
      </c>
      <c r="B61" s="21">
        <f>VLOOKUP($A61,'Выгр Кат'!$A:$R,B$1,0)</f>
        <v>19555</v>
      </c>
      <c r="C61" s="54" t="str">
        <f>VLOOKUP($A61,'Выгр Кат'!$A:$R,C$1,0)</f>
        <v>Растяжка передних стоек регулируемая "AUTOPRODUCT" для Лада (Калина, Калина 2, Гранта), Датсун (mi-DO, on-DO)</v>
      </c>
      <c r="D61" s="21" t="str">
        <f>VLOOKUP($A61,'Выгр Кат'!$A:$R,D$1,0)</f>
        <v>Y</v>
      </c>
      <c r="E61" s="21" t="str">
        <f>VLOOKUP($A61,'Выгр Кат'!$A:$R,E$1,0)</f>
        <v>1</v>
      </c>
      <c r="F61" s="21" t="str">
        <f>VLOOKUP($A61,'Выгр Кат'!$A:$R,F$1,0)</f>
        <v>АР 0419</v>
      </c>
      <c r="G61" s="7" t="s">
        <v>305</v>
      </c>
      <c r="H61" s="6" t="s">
        <v>3</v>
      </c>
      <c r="I61" s="94">
        <f>VLOOKUP($G61,ПРАЙС!$B:$H,5,0)</f>
        <v>1610</v>
      </c>
      <c r="J61" s="8">
        <f t="shared" si="0"/>
        <v>1.1925465838509317</v>
      </c>
      <c r="K61" s="8">
        <f>VLOOKUP($G61,ПРАЙС!$B:$H,7,0)</f>
        <v>1920</v>
      </c>
      <c r="L61" s="8">
        <f t="shared" si="1"/>
        <v>1.22</v>
      </c>
      <c r="M61" s="9">
        <f t="shared" si="8"/>
        <v>1964.2</v>
      </c>
      <c r="N61" s="94">
        <f t="shared" si="2"/>
        <v>1990</v>
      </c>
      <c r="O61" s="21">
        <f>VLOOKUP($A61,'Выгр Кат'!$A:$R,O$1,0)</f>
        <v>1580</v>
      </c>
      <c r="P61" s="21">
        <f>VLOOKUP($A61,'Выгр Кат'!$A:$R,P$1,0)</f>
        <v>2090</v>
      </c>
      <c r="Q61" s="70">
        <f t="shared" si="3"/>
        <v>-30</v>
      </c>
      <c r="R61" s="70">
        <f t="shared" si="4"/>
        <v>100</v>
      </c>
      <c r="S61" s="85">
        <f t="shared" si="9"/>
        <v>1890.5</v>
      </c>
      <c r="T61" s="81">
        <f>IFERROR((VLOOKUP($A61,'Из ГУГЛа'!$B:$G,6,0)+V61)*U61,VLOOKUP($A61,'Из ГУГЛа'!$B:$G,6,0))</f>
        <v>2090</v>
      </c>
      <c r="U61" s="83">
        <v>1</v>
      </c>
      <c r="V61" s="83">
        <v>0</v>
      </c>
      <c r="W61" s="48">
        <f t="shared" si="5"/>
        <v>0.17422360248447211</v>
      </c>
      <c r="X61" s="48">
        <f t="shared" si="6"/>
        <v>9.5454545454545459E-2</v>
      </c>
      <c r="Y61" s="48">
        <f t="shared" si="7"/>
        <v>0.29813664596273282</v>
      </c>
      <c r="Z61" s="79">
        <f t="shared" si="16"/>
        <v>2090</v>
      </c>
      <c r="AA61" t="s">
        <v>834</v>
      </c>
      <c r="AB61" s="35">
        <v>1795</v>
      </c>
    </row>
    <row r="62" spans="1:28" ht="46.5" thickTop="1" thickBot="1">
      <c r="A62" s="9">
        <v>202749</v>
      </c>
      <c r="B62" s="21">
        <f>VLOOKUP($A62,'Выгр Кат'!$A:$R,B$1,0)</f>
        <v>13835</v>
      </c>
      <c r="C62" s="54" t="str">
        <f>VLOOKUP($A62,'Выгр Кат'!$A:$R,C$1,0)</f>
        <v>Распорка передняя "AUTOPRODUCT" регулируемая для Лада Приора, Приора 2</v>
      </c>
      <c r="D62" s="21" t="str">
        <f>VLOOKUP($A62,'Выгр Кат'!$A:$R,D$1,0)</f>
        <v>Y</v>
      </c>
      <c r="E62" s="21" t="str">
        <f>VLOOKUP($A62,'Выгр Кат'!$A:$R,E$1,0)</f>
        <v>1</v>
      </c>
      <c r="F62" s="21" t="str">
        <f>VLOOKUP($A62,'Выгр Кат'!$A:$R,F$1,0)</f>
        <v>АР 0459</v>
      </c>
      <c r="G62" s="7" t="s">
        <v>308</v>
      </c>
      <c r="H62" s="6" t="s">
        <v>3</v>
      </c>
      <c r="I62" s="94">
        <f>VLOOKUP($G62,ПРАЙС!$B:$H,5,0)</f>
        <v>1545</v>
      </c>
      <c r="J62" s="8">
        <f t="shared" si="0"/>
        <v>1.2880258899676376</v>
      </c>
      <c r="K62" s="8">
        <f>VLOOKUP($G62,ПРАЙС!$B:$H,7,0)</f>
        <v>1990</v>
      </c>
      <c r="L62" s="8">
        <f t="shared" si="1"/>
        <v>1.2880258899676376</v>
      </c>
      <c r="M62" s="9">
        <f t="shared" si="8"/>
        <v>1990</v>
      </c>
      <c r="N62" s="94">
        <f t="shared" si="2"/>
        <v>1990</v>
      </c>
      <c r="O62" s="21">
        <f>VLOOKUP($A62,'Выгр Кат'!$A:$R,O$1,0)</f>
        <v>1585</v>
      </c>
      <c r="P62" s="21">
        <f>VLOOKUP($A62,'Выгр Кат'!$A:$R,P$1,0)</f>
        <v>2090</v>
      </c>
      <c r="Q62" s="70">
        <f t="shared" si="3"/>
        <v>40</v>
      </c>
      <c r="R62" s="70">
        <f t="shared" si="4"/>
        <v>100</v>
      </c>
      <c r="S62" s="85">
        <f t="shared" si="9"/>
        <v>1890.5</v>
      </c>
      <c r="T62" s="81">
        <f>IFERROR((VLOOKUP($A62,'Из ГУГЛа'!$B:$G,6,0)+V62)*U62,VLOOKUP($A62,'Из ГУГЛа'!$B:$G,6,0))</f>
        <v>2090</v>
      </c>
      <c r="U62" s="83">
        <v>1</v>
      </c>
      <c r="V62" s="83">
        <v>0</v>
      </c>
      <c r="W62" s="48">
        <f t="shared" si="5"/>
        <v>0.22362459546925573</v>
      </c>
      <c r="X62" s="48">
        <f t="shared" si="6"/>
        <v>9.5454545454545459E-2</v>
      </c>
      <c r="Y62" s="48">
        <f t="shared" si="7"/>
        <v>0.35275080906148859</v>
      </c>
      <c r="Z62" s="79">
        <f t="shared" si="16"/>
        <v>2090</v>
      </c>
      <c r="AA62" t="s">
        <v>876</v>
      </c>
      <c r="AB62" s="13"/>
    </row>
    <row r="63" spans="1:28" ht="61.5" thickTop="1" thickBot="1">
      <c r="A63" s="9">
        <v>223499</v>
      </c>
      <c r="B63" s="21">
        <f>VLOOKUP($A63,'Выгр Кат'!$A:$R,B$1,0)</f>
        <v>31877</v>
      </c>
      <c r="C63" s="54" t="str">
        <f>VLOOKUP($A63,'Выгр Кат'!$A:$R,C$1,0)</f>
        <v>Усиленный стальной кронштейн генератора "AUTOPRODUCT" для ВАЗ 2110-2112, Лада (Приора, Приора 2) (с ГУР)</v>
      </c>
      <c r="D63" s="21" t="str">
        <f>VLOOKUP($A63,'Выгр Кат'!$A:$R,D$1,0)</f>
        <v>Y</v>
      </c>
      <c r="E63" s="21" t="str">
        <f>VLOOKUP($A63,'Выгр Кат'!$A:$R,E$1,0)</f>
        <v>1</v>
      </c>
      <c r="F63" s="21" t="str">
        <f>VLOOKUP($A63,'Выгр Кат'!$A:$R,F$1,0)</f>
        <v>AP 0455</v>
      </c>
      <c r="G63" s="7" t="s">
        <v>228</v>
      </c>
      <c r="H63" s="6" t="s">
        <v>3</v>
      </c>
      <c r="I63" s="94">
        <f>VLOOKUP($G63,ПРАЙС!$B:$H,5,0)</f>
        <v>1595</v>
      </c>
      <c r="J63" s="8">
        <f t="shared" si="0"/>
        <v>1.2852664576802508</v>
      </c>
      <c r="K63" s="8">
        <f>VLOOKUP($G63,ПРАЙС!$B:$H,7,0)</f>
        <v>2050</v>
      </c>
      <c r="L63" s="8">
        <f t="shared" si="1"/>
        <v>1.2852664576802508</v>
      </c>
      <c r="M63" s="9">
        <f t="shared" si="8"/>
        <v>2050</v>
      </c>
      <c r="N63" s="94">
        <f t="shared" si="2"/>
        <v>2090</v>
      </c>
      <c r="O63" s="21">
        <f>VLOOKUP($A63,'Выгр Кат'!$A:$R,O$1,0)</f>
        <v>1610</v>
      </c>
      <c r="P63" s="21">
        <f>VLOOKUP($A63,'Выгр Кат'!$A:$R,P$1,0)</f>
        <v>2290</v>
      </c>
      <c r="Q63" s="70">
        <f t="shared" si="3"/>
        <v>15</v>
      </c>
      <c r="R63" s="70">
        <f t="shared" si="4"/>
        <v>200</v>
      </c>
      <c r="S63" s="85">
        <f t="shared" si="9"/>
        <v>1985.5</v>
      </c>
      <c r="T63" s="81">
        <f>IFERROR((VLOOKUP($A63,'Из ГУГЛа'!$B:$G,6,0)+V63)*U63,VLOOKUP($A63,'Из ГУГЛа'!$B:$G,6,0))</f>
        <v>2190</v>
      </c>
      <c r="U63" s="83">
        <v>1</v>
      </c>
      <c r="V63" s="83">
        <v>0</v>
      </c>
      <c r="W63" s="48">
        <f t="shared" si="5"/>
        <v>0.24482758620689649</v>
      </c>
      <c r="X63" s="48">
        <f t="shared" si="6"/>
        <v>9.3378995433789955E-2</v>
      </c>
      <c r="Y63" s="48">
        <f t="shared" si="7"/>
        <v>0.37304075235109724</v>
      </c>
      <c r="Z63" s="79">
        <f t="shared" si="16"/>
        <v>2190</v>
      </c>
      <c r="AA63" t="s">
        <v>775</v>
      </c>
      <c r="AB63" s="35">
        <v>1890</v>
      </c>
    </row>
    <row r="64" spans="1:28" ht="76.5" thickTop="1" thickBot="1">
      <c r="A64" s="9">
        <v>202987</v>
      </c>
      <c r="B64" s="21">
        <f>VLOOKUP($A64,'Выгр Кат'!$A:$R,B$1,0)</f>
        <v>19543</v>
      </c>
      <c r="C64" s="54" t="str">
        <f>VLOOKUP($A64,'Выгр Кат'!$A:$R,C$1,0)</f>
        <v>Растяжка заднего рычага R1 "AUTOPRODUCT" для ВАЗ (2108-21099, 2110-2112, 2113-2115), Лада (Калина, Калина 2, Приора, Приора 2, Гранта), Датсун (mi-Do, on-Do)</v>
      </c>
      <c r="D64" s="21" t="str">
        <f>VLOOKUP($A64,'Выгр Кат'!$A:$R,D$1,0)</f>
        <v>Y</v>
      </c>
      <c r="E64" s="21" t="str">
        <f>VLOOKUP($A64,'Выгр Кат'!$A:$R,E$1,0)</f>
        <v>1</v>
      </c>
      <c r="F64" s="21" t="str">
        <f>VLOOKUP($A64,'Выгр Кат'!$A:$R,F$1,0)</f>
        <v>АР 0226</v>
      </c>
      <c r="G64" s="7" t="s">
        <v>325</v>
      </c>
      <c r="H64" s="6" t="s">
        <v>3</v>
      </c>
      <c r="I64" s="92">
        <f>O64</f>
        <v>1625</v>
      </c>
      <c r="J64" s="8" t="e">
        <f t="shared" si="0"/>
        <v>#N/A</v>
      </c>
      <c r="K64" s="8" t="e">
        <f>VLOOKUP($G64,ПРАЙС!$B:$H,7,0)</f>
        <v>#N/A</v>
      </c>
      <c r="L64" s="8" t="e">
        <f t="shared" si="1"/>
        <v>#N/A</v>
      </c>
      <c r="M64" s="92">
        <f>P64</f>
        <v>2790</v>
      </c>
      <c r="N64" s="94">
        <f t="shared" si="2"/>
        <v>2790</v>
      </c>
      <c r="O64" s="21">
        <f>VLOOKUP($A64,'Выгр Кат'!$A:$R,O$1,0)</f>
        <v>1625</v>
      </c>
      <c r="P64" s="21">
        <f>VLOOKUP($A64,'Выгр Кат'!$A:$R,P$1,0)</f>
        <v>2790</v>
      </c>
      <c r="Q64" s="70">
        <f t="shared" si="3"/>
        <v>0</v>
      </c>
      <c r="R64" s="70">
        <f t="shared" si="4"/>
        <v>0</v>
      </c>
      <c r="S64" s="85">
        <f t="shared" si="9"/>
        <v>2650.5</v>
      </c>
      <c r="T64" s="81">
        <f>IFERROR((VLOOKUP($A64,'Из ГУГЛа'!$B:$G,6,0)+V64)*U64,VLOOKUP($A64,'Из ГУГЛа'!$B:$G,6,0))</f>
        <v>2690</v>
      </c>
      <c r="U64" s="83">
        <v>1</v>
      </c>
      <c r="V64" s="83">
        <v>0</v>
      </c>
      <c r="W64" s="48">
        <f t="shared" si="5"/>
        <v>0.63107692307692309</v>
      </c>
      <c r="X64" s="48">
        <f t="shared" si="6"/>
        <v>1.4684014869888476E-2</v>
      </c>
      <c r="Y64" s="48">
        <f t="shared" si="7"/>
        <v>0.65538461538461545</v>
      </c>
      <c r="Z64" s="78">
        <v>2690</v>
      </c>
      <c r="AA64" t="s">
        <v>877</v>
      </c>
      <c r="AB64" s="13"/>
    </row>
    <row r="65" spans="1:28" ht="46.5" thickTop="1" thickBot="1">
      <c r="A65" s="9">
        <v>160643</v>
      </c>
      <c r="B65" s="21">
        <f>VLOOKUP($A65,'Выгр Кат'!$A:$R,B$1,0)</f>
        <v>3609</v>
      </c>
      <c r="C65" s="54" t="str">
        <f>VLOOKUP($A65,'Выгр Кат'!$A:$R,C$1,0)</f>
        <v>Кронштейн задней опоры силового агрегата "AUTOPRODUCT" для Лада Калина, Калина 2, Гранта (с МКПП)</v>
      </c>
      <c r="D65" s="21" t="str">
        <f>VLOOKUP($A65,'Выгр Кат'!$A:$R,D$1,0)</f>
        <v>Y</v>
      </c>
      <c r="E65" s="21" t="str">
        <f>VLOOKUP($A65,'Выгр Кат'!$A:$R,E$1,0)</f>
        <v>1</v>
      </c>
      <c r="F65" s="21" t="str">
        <f>VLOOKUP($A65,'Выгр Кат'!$A:$R,F$1,0)</f>
        <v>АР 0305</v>
      </c>
      <c r="G65" s="7" t="s">
        <v>247</v>
      </c>
      <c r="H65" s="6" t="s">
        <v>3</v>
      </c>
      <c r="I65" s="94">
        <f>VLOOKUP($G65,ПРАЙС!$B:$H,5,0)</f>
        <v>1625</v>
      </c>
      <c r="J65" s="8">
        <f t="shared" si="0"/>
        <v>1.2861538461538462</v>
      </c>
      <c r="K65" s="8">
        <f>VLOOKUP($G65,ПРАЙС!$B:$H,7,0)</f>
        <v>2090</v>
      </c>
      <c r="L65" s="8">
        <f t="shared" si="1"/>
        <v>1.2861538461538462</v>
      </c>
      <c r="M65" s="9">
        <f t="shared" si="8"/>
        <v>2090</v>
      </c>
      <c r="N65" s="94">
        <f t="shared" si="2"/>
        <v>2090</v>
      </c>
      <c r="O65" s="21">
        <f>VLOOKUP($A65,'Выгр Кат'!$A:$R,O$1,0)</f>
        <v>1660</v>
      </c>
      <c r="P65" s="21">
        <f>VLOOKUP($A65,'Выгр Кат'!$A:$R,P$1,0)</f>
        <v>2290</v>
      </c>
      <c r="Q65" s="70">
        <f t="shared" si="3"/>
        <v>35</v>
      </c>
      <c r="R65" s="70">
        <f t="shared" si="4"/>
        <v>200</v>
      </c>
      <c r="S65" s="85">
        <f t="shared" si="9"/>
        <v>1985.5</v>
      </c>
      <c r="T65" s="81">
        <f>IFERROR((VLOOKUP($A65,'Из ГУГЛа'!$B:$G,6,0)+V65)*U65,VLOOKUP($A65,'Из ГУГЛа'!$B:$G,6,0))</f>
        <v>2190</v>
      </c>
      <c r="U65" s="83">
        <v>1</v>
      </c>
      <c r="V65" s="83">
        <v>0</v>
      </c>
      <c r="W65" s="48">
        <f t="shared" si="5"/>
        <v>0.2218461538461538</v>
      </c>
      <c r="X65" s="48">
        <f t="shared" si="6"/>
        <v>9.3378995433789955E-2</v>
      </c>
      <c r="Y65" s="48">
        <f t="shared" si="7"/>
        <v>0.34769230769230774</v>
      </c>
      <c r="Z65" s="78">
        <v>2190</v>
      </c>
      <c r="AA65" t="s">
        <v>878</v>
      </c>
      <c r="AB65" s="68"/>
    </row>
    <row r="66" spans="1:28" ht="76.5" thickTop="1" thickBot="1">
      <c r="A66" s="9">
        <v>223469</v>
      </c>
      <c r="B66" s="21">
        <f>VLOOKUP($A66,'Выгр Кат'!$A:$R,B$1,0)</f>
        <v>31886</v>
      </c>
      <c r="C66" s="54" t="str">
        <f>VLOOKUP($A66,'Выгр Кат'!$A:$R,C$1,0)</f>
        <v>Усиленный кронштейн "AUTOPRODUCT" левой опоры двигателя для Лада (Калина, Калина 2, Гранта, Гранта FL), Datsun (mi-DO, on-DO) (тросовая МКПП)</v>
      </c>
      <c r="D66" s="21" t="str">
        <f>VLOOKUP($A66,'Выгр Кат'!$A:$R,D$1,0)</f>
        <v>Y</v>
      </c>
      <c r="E66" s="21" t="str">
        <f>VLOOKUP($A66,'Выгр Кат'!$A:$R,E$1,0)</f>
        <v>1</v>
      </c>
      <c r="F66" s="21" t="str">
        <f>VLOOKUP($A66,'Выгр Кат'!$A:$R,F$1,0)</f>
        <v>AP 0487</v>
      </c>
      <c r="G66" s="7" t="s">
        <v>248</v>
      </c>
      <c r="H66" s="6" t="s">
        <v>3</v>
      </c>
      <c r="I66" s="94">
        <f>VLOOKUP($G66,ПРАЙС!$B:$H,5,0)</f>
        <v>1750</v>
      </c>
      <c r="J66" s="8">
        <f t="shared" si="0"/>
        <v>1.2857142857142858</v>
      </c>
      <c r="K66" s="8">
        <f>VLOOKUP($G66,ПРАЙС!$B:$H,7,0)</f>
        <v>2250</v>
      </c>
      <c r="L66" s="8">
        <f t="shared" si="1"/>
        <v>1.2857142857142858</v>
      </c>
      <c r="M66" s="9">
        <f t="shared" si="8"/>
        <v>2250</v>
      </c>
      <c r="N66" s="94">
        <f t="shared" si="2"/>
        <v>2290</v>
      </c>
      <c r="O66" s="21">
        <f>VLOOKUP($A66,'Выгр Кат'!$A:$R,O$1,0)</f>
        <v>1750</v>
      </c>
      <c r="P66" s="21">
        <f>VLOOKUP($A66,'Выгр Кат'!$A:$R,P$1,0)</f>
        <v>2490</v>
      </c>
      <c r="Q66" s="70">
        <f t="shared" si="3"/>
        <v>0</v>
      </c>
      <c r="R66" s="70">
        <f t="shared" si="4"/>
        <v>200</v>
      </c>
      <c r="S66" s="85">
        <f t="shared" si="9"/>
        <v>2175.5</v>
      </c>
      <c r="T66" s="81">
        <f>IFERROR((VLOOKUP($A66,'Из ГУГЛа'!$B:$G,6,0)+V66)*U66,VLOOKUP($A66,'Из ГУГЛа'!$B:$G,6,0))</f>
        <v>2390</v>
      </c>
      <c r="U66" s="83">
        <v>1</v>
      </c>
      <c r="V66" s="83">
        <v>0</v>
      </c>
      <c r="W66" s="48">
        <f t="shared" si="5"/>
        <v>0.24314285714285711</v>
      </c>
      <c r="X66" s="48">
        <f t="shared" si="6"/>
        <v>8.9748953974895393E-2</v>
      </c>
      <c r="Y66" s="48">
        <f t="shared" si="7"/>
        <v>0.36571428571428566</v>
      </c>
      <c r="Z66" s="79">
        <f>T66</f>
        <v>2390</v>
      </c>
      <c r="AA66" t="s">
        <v>831</v>
      </c>
      <c r="AB66" s="67">
        <v>2150</v>
      </c>
    </row>
    <row r="67" spans="1:28" ht="46.5" thickTop="1" thickBot="1">
      <c r="A67" s="9">
        <v>160642</v>
      </c>
      <c r="B67" s="21">
        <f>VLOOKUP($A67,'Выгр Кат'!$A:$R,B$1,0)</f>
        <v>3610</v>
      </c>
      <c r="C67" s="54" t="str">
        <f>VLOOKUP($A67,'Выгр Кат'!$A:$R,C$1,0)</f>
        <v>Кронштейн задней опоры силового агрегата "AUTOPRODUCT" для Лада Калина, Калина 2, Гранта (с АКПП)</v>
      </c>
      <c r="D67" s="21" t="str">
        <f>VLOOKUP($A67,'Выгр Кат'!$A:$R,D$1,0)</f>
        <v>Y</v>
      </c>
      <c r="E67" s="21" t="str">
        <f>VLOOKUP($A67,'Выгр Кат'!$A:$R,E$1,0)</f>
        <v>1</v>
      </c>
      <c r="F67" s="21" t="str">
        <f>VLOOKUP($A67,'Выгр Кат'!$A:$R,F$1,0)</f>
        <v>АР 0488</v>
      </c>
      <c r="G67" s="7" t="s">
        <v>249</v>
      </c>
      <c r="H67" s="6" t="s">
        <v>3</v>
      </c>
      <c r="I67" s="94">
        <f>VLOOKUP($G67,ПРАЙС!$B:$H,5,0)</f>
        <v>1640</v>
      </c>
      <c r="J67" s="8">
        <f t="shared" ref="J67:J130" si="17">K67/I67</f>
        <v>1.274390243902439</v>
      </c>
      <c r="K67" s="8">
        <f>VLOOKUP($G67,ПРАЙС!$B:$H,7,0)</f>
        <v>2090</v>
      </c>
      <c r="L67" s="8">
        <f t="shared" ref="L67:L130" si="18">IF(J67&lt;$L$2,$L$2,J67)</f>
        <v>1.274390243902439</v>
      </c>
      <c r="M67" s="9">
        <f t="shared" ref="M67:M130" si="19">I67*L67</f>
        <v>2090</v>
      </c>
      <c r="N67" s="94">
        <f t="shared" ref="N67:N130" si="20">IF(M67&lt;=1000,(ROUNDUP(M67,-1)-1),(ROUNDUP(M67,-2)-10))</f>
        <v>2090</v>
      </c>
      <c r="O67" s="21">
        <f>VLOOKUP($A67,'Выгр Кат'!$A:$R,O$1,0)</f>
        <v>1625</v>
      </c>
      <c r="P67" s="21">
        <f>VLOOKUP($A67,'Выгр Кат'!$A:$R,P$1,0)</f>
        <v>2290</v>
      </c>
      <c r="Q67" s="70">
        <f t="shared" ref="Q67:Q130" si="21">O67-I67</f>
        <v>-15</v>
      </c>
      <c r="R67" s="70">
        <f t="shared" ref="R67:R130" si="22">P67-N67</f>
        <v>200</v>
      </c>
      <c r="S67" s="85">
        <f t="shared" si="9"/>
        <v>1985.5</v>
      </c>
      <c r="T67" s="81">
        <f>IFERROR((VLOOKUP($A67,'Из ГУГЛа'!$B:$G,6,0)+V67)*U67,VLOOKUP($A67,'Из ГУГЛа'!$B:$G,6,0))</f>
        <v>2190</v>
      </c>
      <c r="U67" s="83">
        <v>1</v>
      </c>
      <c r="V67" s="83">
        <v>0</v>
      </c>
      <c r="W67" s="48">
        <f t="shared" ref="W67:W130" si="23">IFERROR(S67/I67-1,"")</f>
        <v>0.21067073170731709</v>
      </c>
      <c r="X67" s="48">
        <f t="shared" ref="X67:X130" si="24">IFERROR((Z67-S67)/Z67,"")</f>
        <v>9.3378995433789955E-2</v>
      </c>
      <c r="Y67" s="48">
        <f t="shared" ref="Y67:Y130" si="25">IFERROR(IF(Z67="","",Z67/I67-1),"")</f>
        <v>0.33536585365853666</v>
      </c>
      <c r="Z67" s="78">
        <v>2190</v>
      </c>
      <c r="AA67" t="s">
        <v>879</v>
      </c>
      <c r="AB67" s="13"/>
    </row>
    <row r="68" spans="1:28" ht="61.5" thickTop="1" thickBot="1">
      <c r="A68" s="9">
        <v>217355</v>
      </c>
      <c r="B68" s="21">
        <f>VLOOKUP($A68,'Выгр Кат'!$A:$R,B$1,0)</f>
        <v>19576</v>
      </c>
      <c r="C68" s="54" t="str">
        <f>VLOOKUP($A68,'Выгр Кат'!$A:$R,C$1,0)</f>
        <v>Стабилизатор поперечной устойчивости (24 мм) "AUTOPRODUCT" для Лада (Калина 2, Гранта), Датсун (mi-Do, on-Do)</v>
      </c>
      <c r="D68" s="21" t="str">
        <f>VLOOKUP($A68,'Выгр Кат'!$A:$R,D$1,0)</f>
        <v>Y</v>
      </c>
      <c r="E68" s="21" t="str">
        <f>VLOOKUP($A68,'Выгр Кат'!$A:$R,E$1,0)</f>
        <v>1</v>
      </c>
      <c r="F68" s="21" t="str">
        <f>VLOOKUP($A68,'Выгр Кат'!$A:$R,F$1,0)</f>
        <v>АР 0575</v>
      </c>
      <c r="G68" s="7" t="s">
        <v>343</v>
      </c>
      <c r="H68" s="6" t="s">
        <v>3</v>
      </c>
      <c r="I68" s="94">
        <f>VLOOKUP($G68,ПРАЙС!$B:$H,5,0)</f>
        <v>1795</v>
      </c>
      <c r="J68" s="8">
        <f t="shared" si="17"/>
        <v>1.1754874651810585</v>
      </c>
      <c r="K68" s="8">
        <f>VLOOKUP($G68,ПРАЙС!$B:$H,7,0)</f>
        <v>2110</v>
      </c>
      <c r="L68" s="8">
        <f t="shared" si="18"/>
        <v>1.22</v>
      </c>
      <c r="M68" s="9">
        <f t="shared" si="19"/>
        <v>2189.9</v>
      </c>
      <c r="N68" s="94">
        <f t="shared" si="20"/>
        <v>2190</v>
      </c>
      <c r="O68" s="21">
        <f>VLOOKUP($A68,'Выгр Кат'!$A:$R,O$1,0)</f>
        <v>1640</v>
      </c>
      <c r="P68" s="21">
        <f>VLOOKUP($A68,'Выгр Кат'!$A:$R,P$1,0)</f>
        <v>2290</v>
      </c>
      <c r="Q68" s="70">
        <f t="shared" si="21"/>
        <v>-155</v>
      </c>
      <c r="R68" s="70">
        <f t="shared" si="22"/>
        <v>100</v>
      </c>
      <c r="S68" s="85">
        <f t="shared" ref="S68:S131" si="26">IFERROR(N68*(1-$S$2),"")</f>
        <v>2080.5</v>
      </c>
      <c r="T68" s="81">
        <f>IFERROR((VLOOKUP($A68,'Из ГУГЛа'!$B:$G,6,0)+V68)*U68,VLOOKUP($A68,'Из ГУГЛа'!$B:$G,6,0))</f>
        <v>2190</v>
      </c>
      <c r="U68" s="83">
        <v>1</v>
      </c>
      <c r="V68" s="83">
        <v>0</v>
      </c>
      <c r="W68" s="48">
        <f t="shared" si="23"/>
        <v>0.15905292479108635</v>
      </c>
      <c r="X68" s="48">
        <f t="shared" si="24"/>
        <v>0.05</v>
      </c>
      <c r="Y68" s="48">
        <f t="shared" si="25"/>
        <v>0.22005571030640669</v>
      </c>
      <c r="Z68" s="78">
        <v>2190</v>
      </c>
      <c r="AA68" t="s">
        <v>880</v>
      </c>
      <c r="AB68" s="68"/>
    </row>
    <row r="69" spans="1:28" ht="61.5" thickTop="1" thickBot="1">
      <c r="A69" s="9">
        <v>217364</v>
      </c>
      <c r="B69" s="21">
        <f>VLOOKUP($A69,'Выгр Кат'!$A:$R,B$1,0)</f>
        <v>3676</v>
      </c>
      <c r="C69" s="54" t="str">
        <f>VLOOKUP($A69,'Выгр Кат'!$A:$R,C$1,0)</f>
        <v>Стабилизатор поперечной устойчивости передний (d22 мм) "AUTOPRODUCT" для ВАЗ 2110-2112, Лада Приора</v>
      </c>
      <c r="D69" s="21" t="str">
        <f>VLOOKUP($A69,'Выгр Кат'!$A:$R,D$1,0)</f>
        <v>Y</v>
      </c>
      <c r="E69" s="21" t="str">
        <f>VLOOKUP($A69,'Выгр Кат'!$A:$R,E$1,0)</f>
        <v>1ск1</v>
      </c>
      <c r="F69" s="21" t="str">
        <f>VLOOKUP($A69,'Выгр Кат'!$A:$R,F$1,0)</f>
        <v>АР 0453</v>
      </c>
      <c r="G69" s="7" t="s">
        <v>342</v>
      </c>
      <c r="H69" s="6" t="s">
        <v>3</v>
      </c>
      <c r="I69" s="94">
        <f>VLOOKUP($G69,ПРАЙС!$B:$H,5,0)</f>
        <v>2110</v>
      </c>
      <c r="J69" s="8">
        <f t="shared" si="17"/>
        <v>1</v>
      </c>
      <c r="K69" s="8">
        <f>VLOOKUP($G69,ПРАЙС!$B:$H,7,0)</f>
        <v>2110</v>
      </c>
      <c r="L69" s="8">
        <f t="shared" si="18"/>
        <v>1.22</v>
      </c>
      <c r="M69" s="9">
        <f t="shared" si="19"/>
        <v>2574.1999999999998</v>
      </c>
      <c r="N69" s="94">
        <f t="shared" si="20"/>
        <v>2590</v>
      </c>
      <c r="O69" s="21">
        <f>VLOOKUP($A69,'Выгр Кат'!$A:$R,O$1,0)</f>
        <v>1640</v>
      </c>
      <c r="P69" s="21">
        <f>VLOOKUP($A69,'Выгр Кат'!$A:$R,P$1,0)</f>
        <v>2290</v>
      </c>
      <c r="Q69" s="70">
        <f t="shared" si="21"/>
        <v>-470</v>
      </c>
      <c r="R69" s="70">
        <f t="shared" si="22"/>
        <v>-300</v>
      </c>
      <c r="S69" s="85">
        <f t="shared" si="26"/>
        <v>2460.5</v>
      </c>
      <c r="T69" s="81">
        <f>IFERROR((VLOOKUP($A69,'Из ГУГЛа'!$B:$G,6,0)+V69)*U69,VLOOKUP($A69,'Из ГУГЛа'!$B:$G,6,0))</f>
        <v>2190</v>
      </c>
      <c r="U69" s="83">
        <v>1</v>
      </c>
      <c r="V69" s="83">
        <v>0</v>
      </c>
      <c r="W69" s="48">
        <f t="shared" si="23"/>
        <v>0.16611374407582935</v>
      </c>
      <c r="X69" s="48">
        <f t="shared" si="24"/>
        <v>-0.12351598173515982</v>
      </c>
      <c r="Y69" s="48">
        <f t="shared" si="25"/>
        <v>3.7914691943127909E-2</v>
      </c>
      <c r="Z69" s="79">
        <f>T69</f>
        <v>2190</v>
      </c>
      <c r="AA69" t="s">
        <v>881</v>
      </c>
      <c r="AB69" s="13"/>
    </row>
    <row r="70" spans="1:28" ht="46.5" thickTop="1" thickBot="1">
      <c r="A70" s="9">
        <v>170841</v>
      </c>
      <c r="B70" s="21">
        <f>VLOOKUP($A70,'Выгр Кат'!$A:$R,B$1,0)</f>
        <v>19585</v>
      </c>
      <c r="C70" s="54" t="str">
        <f>VLOOKUP($A70,'Выгр Кат'!$A:$R,C$1,0)</f>
        <v>Накладки педалей нержавейка "AUTOPRODUCT" для Лада Веста (MT, после 2016 г. в.)</v>
      </c>
      <c r="D70" s="21" t="str">
        <f>VLOOKUP($A70,'Выгр Кат'!$A:$R,D$1,0)</f>
        <v>Y</v>
      </c>
      <c r="E70" s="21" t="str">
        <f>VLOOKUP($A70,'Выгр Кат'!$A:$R,E$1,0)</f>
        <v>1</v>
      </c>
      <c r="F70" s="21" t="str">
        <f>VLOOKUP($A70,'Выгр Кат'!$A:$R,F$1,0)</f>
        <v>АР 0651</v>
      </c>
      <c r="G70" s="7" t="s">
        <v>275</v>
      </c>
      <c r="H70" s="6" t="s">
        <v>3</v>
      </c>
      <c r="I70" s="94">
        <f>VLOOKUP($G70,ПРАЙС!$B:$H,5,0)</f>
        <v>1700</v>
      </c>
      <c r="J70" s="8">
        <f t="shared" si="17"/>
        <v>1.2882352941176471</v>
      </c>
      <c r="K70" s="8">
        <f>VLOOKUP($G70,ПРАЙС!$B:$H,7,0)</f>
        <v>2190</v>
      </c>
      <c r="L70" s="8">
        <f t="shared" si="18"/>
        <v>1.2882352941176471</v>
      </c>
      <c r="M70" s="9">
        <f t="shared" si="19"/>
        <v>2190</v>
      </c>
      <c r="N70" s="94">
        <f t="shared" si="20"/>
        <v>2190</v>
      </c>
      <c r="O70" s="21">
        <f>VLOOKUP($A70,'Выгр Кат'!$A:$R,O$1,0)</f>
        <v>1700</v>
      </c>
      <c r="P70" s="21">
        <f>VLOOKUP($A70,'Выгр Кат'!$A:$R,P$1,0)</f>
        <v>2390</v>
      </c>
      <c r="Q70" s="70">
        <f t="shared" si="21"/>
        <v>0</v>
      </c>
      <c r="R70" s="70">
        <f t="shared" si="22"/>
        <v>200</v>
      </c>
      <c r="S70" s="85">
        <f t="shared" si="26"/>
        <v>2080.5</v>
      </c>
      <c r="T70" s="81">
        <f>IFERROR((VLOOKUP($A70,'Из ГУГЛа'!$B:$G,6,0)+V70)*U70,VLOOKUP($A70,'Из ГУГЛа'!$B:$G,6,0))</f>
        <v>2290</v>
      </c>
      <c r="U70" s="83">
        <v>1</v>
      </c>
      <c r="V70" s="83">
        <v>0</v>
      </c>
      <c r="W70" s="48">
        <f t="shared" si="23"/>
        <v>0.22382352941176475</v>
      </c>
      <c r="X70" s="48">
        <f t="shared" si="24"/>
        <v>9.1484716157205243E-2</v>
      </c>
      <c r="Y70" s="48">
        <f t="shared" si="25"/>
        <v>0.34705882352941186</v>
      </c>
      <c r="Z70" s="78">
        <v>2290</v>
      </c>
      <c r="AA70" t="s">
        <v>829</v>
      </c>
      <c r="AB70" s="67">
        <v>2090</v>
      </c>
    </row>
    <row r="71" spans="1:28" ht="46.5" thickTop="1" thickBot="1">
      <c r="A71" s="14">
        <v>170840</v>
      </c>
      <c r="B71" s="21">
        <f>VLOOKUP($A71,'Выгр Кат'!$A:$R,B$1,0)</f>
        <v>35090</v>
      </c>
      <c r="C71" s="54" t="str">
        <f>VLOOKUP($A71,'Выгр Кат'!$A:$R,C$1,0)</f>
        <v>Накладки педалей нержавейка "AUTOPRODUCT" для Лада Веста (MT, до 2016 г. в.)</v>
      </c>
      <c r="D71" s="21" t="str">
        <f>VLOOKUP($A71,'Выгр Кат'!$A:$R,D$1,0)</f>
        <v>Y</v>
      </c>
      <c r="E71" s="21" t="str">
        <f>VLOOKUP($A71,'Выгр Кат'!$A:$R,E$1,0)</f>
        <v>1</v>
      </c>
      <c r="F71" s="21" t="str">
        <f>VLOOKUP($A71,'Выгр Кат'!$A:$R,F$1,0)</f>
        <v>АР 0650</v>
      </c>
      <c r="G71" s="23" t="s">
        <v>210</v>
      </c>
      <c r="H71" s="6" t="s">
        <v>3</v>
      </c>
      <c r="I71" s="94">
        <f>VLOOKUP($G71,ПРАЙС!$B:$H,5,0)</f>
        <v>1700</v>
      </c>
      <c r="J71" s="8">
        <f t="shared" si="17"/>
        <v>1.2882352941176471</v>
      </c>
      <c r="K71" s="8">
        <f>VLOOKUP($G71,ПРАЙС!$B:$H,7,0)</f>
        <v>2190</v>
      </c>
      <c r="L71" s="8">
        <f t="shared" si="18"/>
        <v>1.2882352941176471</v>
      </c>
      <c r="M71" s="9">
        <f t="shared" si="19"/>
        <v>2190</v>
      </c>
      <c r="N71" s="94">
        <f t="shared" si="20"/>
        <v>2190</v>
      </c>
      <c r="O71" s="21">
        <f>VLOOKUP($A71,'Выгр Кат'!$A:$R,O$1,0)</f>
        <v>1740</v>
      </c>
      <c r="P71" s="21">
        <f>VLOOKUP($A71,'Выгр Кат'!$A:$R,P$1,0)</f>
        <v>2390</v>
      </c>
      <c r="Q71" s="70">
        <f t="shared" si="21"/>
        <v>40</v>
      </c>
      <c r="R71" s="70">
        <f t="shared" si="22"/>
        <v>200</v>
      </c>
      <c r="S71" s="85">
        <f t="shared" si="26"/>
        <v>2080.5</v>
      </c>
      <c r="T71" s="81">
        <f>IFERROR((VLOOKUP($A71,'Из ГУГЛа'!$B:$G,6,0)+V71)*U71,VLOOKUP($A71,'Из ГУГЛа'!$B:$G,6,0))</f>
        <v>2290</v>
      </c>
      <c r="U71" s="83">
        <v>1</v>
      </c>
      <c r="V71" s="83">
        <v>0</v>
      </c>
      <c r="W71" s="48">
        <f t="shared" si="23"/>
        <v>0.22382352941176475</v>
      </c>
      <c r="X71" s="48">
        <f t="shared" si="24"/>
        <v>9.1484716157205243E-2</v>
      </c>
      <c r="Y71" s="48">
        <f t="shared" si="25"/>
        <v>0.34705882352941186</v>
      </c>
      <c r="Z71" s="78">
        <v>2290</v>
      </c>
      <c r="AA71" t="s">
        <v>882</v>
      </c>
      <c r="AB71" s="13"/>
    </row>
    <row r="72" spans="1:28" ht="61.5" thickTop="1" thickBot="1">
      <c r="A72" s="9">
        <v>203970</v>
      </c>
      <c r="B72" s="21">
        <f>VLOOKUP($A72,'Выгр Кат'!$A:$R,B$1,0)</f>
        <v>31792</v>
      </c>
      <c r="C72" s="54" t="str">
        <f>VLOOKUP($A72,'Выгр Кат'!$A:$R,C$1,0)</f>
        <v>Рем. комплект для подрамника "AUTOPRODUCT" для ВАЗ 2108-21099, ВАЗ 2110, Лада Приора, Лада Калина, Лада Гранта, Datsun</v>
      </c>
      <c r="D72" s="21" t="str">
        <f>VLOOKUP($A72,'Выгр Кат'!$A:$R,D$1,0)</f>
        <v>Y</v>
      </c>
      <c r="E72" s="21" t="str">
        <f>VLOOKUP($A72,'Выгр Кат'!$A:$R,E$1,0)</f>
        <v>1</v>
      </c>
      <c r="F72" s="21" t="str">
        <f>VLOOKUP($A72,'Выгр Кат'!$A:$R,F$1,0)</f>
        <v>AP 0045</v>
      </c>
      <c r="G72" s="7" t="s">
        <v>262</v>
      </c>
      <c r="H72" s="6" t="s">
        <v>3</v>
      </c>
      <c r="I72" s="94">
        <f>VLOOKUP($G72,ПРАЙС!$B:$H,5,0)</f>
        <v>2010</v>
      </c>
      <c r="J72" s="8">
        <f t="shared" si="17"/>
        <v>1.2885572139303483</v>
      </c>
      <c r="K72" s="8">
        <f>VLOOKUP($G72,ПРАЙС!$B:$H,7,0)</f>
        <v>2590</v>
      </c>
      <c r="L72" s="8">
        <f t="shared" si="18"/>
        <v>1.2885572139303483</v>
      </c>
      <c r="M72" s="9">
        <f t="shared" si="19"/>
        <v>2590</v>
      </c>
      <c r="N72" s="94">
        <f t="shared" si="20"/>
        <v>2590</v>
      </c>
      <c r="O72" s="21">
        <f>VLOOKUP($A72,'Выгр Кат'!$A:$R,O$1,0)</f>
        <v>1965</v>
      </c>
      <c r="P72" s="21">
        <f>VLOOKUP($A72,'Выгр Кат'!$A:$R,P$1,0)</f>
        <v>2790</v>
      </c>
      <c r="Q72" s="70">
        <f t="shared" si="21"/>
        <v>-45</v>
      </c>
      <c r="R72" s="70">
        <f t="shared" si="22"/>
        <v>200</v>
      </c>
      <c r="S72" s="85">
        <f t="shared" si="26"/>
        <v>2460.5</v>
      </c>
      <c r="T72" s="81">
        <f>IFERROR((VLOOKUP($A72,'Из ГУГЛа'!$B:$G,6,0)+V72)*U72,VLOOKUP($A72,'Из ГУГЛа'!$B:$G,6,0))</f>
        <v>2690</v>
      </c>
      <c r="U72" s="83">
        <v>1</v>
      </c>
      <c r="V72" s="83">
        <v>0</v>
      </c>
      <c r="W72" s="48">
        <f t="shared" si="23"/>
        <v>0.22412935323383087</v>
      </c>
      <c r="X72" s="48">
        <f t="shared" si="24"/>
        <v>8.531598513011153E-2</v>
      </c>
      <c r="Y72" s="48">
        <f t="shared" si="25"/>
        <v>0.3383084577114428</v>
      </c>
      <c r="Z72" s="78">
        <v>2690</v>
      </c>
      <c r="AA72" t="s">
        <v>773</v>
      </c>
      <c r="AB72" s="35">
        <v>2270</v>
      </c>
    </row>
    <row r="73" spans="1:28" ht="61.5" thickTop="1" thickBot="1">
      <c r="A73" s="9">
        <v>202757</v>
      </c>
      <c r="B73" s="21">
        <f>VLOOKUP($A73,'Выгр Кат'!$A:$R,B$1,0)</f>
        <v>2464</v>
      </c>
      <c r="C73" s="54" t="str">
        <f>VLOOKUP($A73,'Выгр Кат'!$A:$R,C$1,0)</f>
        <v>Распорка передняя с растяжкой "AUTOPRODUCT" для ВАЗ 2108-21099, 2113-2115 (с 16-ти клапанным двигателем)</v>
      </c>
      <c r="D73" s="21" t="str">
        <f>VLOOKUP($A73,'Выгр Кат'!$A:$R,D$1,0)</f>
        <v>Y</v>
      </c>
      <c r="E73" s="21" t="str">
        <f>VLOOKUP($A73,'Выгр Кат'!$A:$R,E$1,0)</f>
        <v>1ск1</v>
      </c>
      <c r="F73" s="21" t="str">
        <f>VLOOKUP($A73,'Выгр Кат'!$A:$R,F$1,0)</f>
        <v>АР 0295</v>
      </c>
      <c r="G73" s="7" t="s">
        <v>303</v>
      </c>
      <c r="H73" s="6" t="s">
        <v>3</v>
      </c>
      <c r="I73" s="94">
        <f>VLOOKUP($G73,ПРАЙС!$B:$H,5,0)</f>
        <v>1945</v>
      </c>
      <c r="J73" s="8">
        <f t="shared" si="17"/>
        <v>1.1773778920308484</v>
      </c>
      <c r="K73" s="8">
        <f>VLOOKUP($G73,ПРАЙС!$B:$H,7,0)</f>
        <v>2290</v>
      </c>
      <c r="L73" s="8">
        <f t="shared" si="18"/>
        <v>1.22</v>
      </c>
      <c r="M73" s="9">
        <f t="shared" si="19"/>
        <v>2372.9</v>
      </c>
      <c r="N73" s="94">
        <f t="shared" si="20"/>
        <v>2390</v>
      </c>
      <c r="O73" s="21">
        <f>VLOOKUP($A73,'Выгр Кат'!$A:$R,O$1,0)</f>
        <v>1945</v>
      </c>
      <c r="P73" s="21">
        <f>VLOOKUP($A73,'Выгр Кат'!$A:$R,P$1,0)</f>
        <v>2690</v>
      </c>
      <c r="Q73" s="70">
        <f t="shared" si="21"/>
        <v>0</v>
      </c>
      <c r="R73" s="70">
        <f t="shared" si="22"/>
        <v>300</v>
      </c>
      <c r="S73" s="85">
        <f t="shared" si="26"/>
        <v>2270.5</v>
      </c>
      <c r="T73" s="81">
        <f>IFERROR((VLOOKUP($A73,'Из ГУГЛа'!$B:$G,6,0)+V73)*U73,VLOOKUP($A73,'Из ГУГЛа'!$B:$G,6,0))</f>
        <v>2590</v>
      </c>
      <c r="U73" s="83">
        <v>1</v>
      </c>
      <c r="V73" s="83">
        <v>0</v>
      </c>
      <c r="W73" s="48">
        <f t="shared" si="23"/>
        <v>0.1673521850899744</v>
      </c>
      <c r="X73" s="48">
        <f t="shared" si="24"/>
        <v>0.12335907335907335</v>
      </c>
      <c r="Y73" s="48">
        <f t="shared" si="25"/>
        <v>0.33161953727506432</v>
      </c>
      <c r="Z73" s="79">
        <f>T73</f>
        <v>2590</v>
      </c>
      <c r="AA73" t="s">
        <v>828</v>
      </c>
      <c r="AB73" s="35">
        <v>2190</v>
      </c>
    </row>
    <row r="74" spans="1:28" ht="61.5" thickTop="1" thickBot="1">
      <c r="A74" s="9">
        <v>151520</v>
      </c>
      <c r="B74" s="21">
        <f>VLOOKUP($A74,'Выгр Кат'!$A:$R,B$1,0)</f>
        <v>3708</v>
      </c>
      <c r="C74" s="54" t="str">
        <f>VLOOKUP($A74,'Выгр Кат'!$A:$R,C$1,0)</f>
        <v>Защита двигателя стальная оцинкованная для подрамника "AUTOPRODUCT" для ВАЗ 2108-21099, 2113-2115</v>
      </c>
      <c r="D74" s="21" t="str">
        <f>VLOOKUP($A74,'Выгр Кат'!$A:$R,D$1,0)</f>
        <v>Y</v>
      </c>
      <c r="E74" s="21" t="str">
        <f>VLOOKUP($A74,'Выгр Кат'!$A:$R,E$1,0)</f>
        <v>1</v>
      </c>
      <c r="F74" s="21" t="str">
        <f>VLOOKUP($A74,'Выгр Кат'!$A:$R,F$1,0)</f>
        <v>АР 0071</v>
      </c>
      <c r="G74" s="7" t="s">
        <v>230</v>
      </c>
      <c r="H74" s="6" t="s">
        <v>3</v>
      </c>
      <c r="I74" s="94">
        <f>VLOOKUP($G74,ПРАЙС!$B:$H,5,0)</f>
        <v>1955</v>
      </c>
      <c r="J74" s="8">
        <f t="shared" si="17"/>
        <v>1.2736572890025575</v>
      </c>
      <c r="K74" s="8">
        <f>VLOOKUP($G74,ПРАЙС!$B:$H,7,0)</f>
        <v>2490</v>
      </c>
      <c r="L74" s="8">
        <f t="shared" si="18"/>
        <v>1.2736572890025575</v>
      </c>
      <c r="M74" s="9">
        <f t="shared" si="19"/>
        <v>2490</v>
      </c>
      <c r="N74" s="94">
        <f t="shared" si="20"/>
        <v>2490</v>
      </c>
      <c r="O74" s="21">
        <f>VLOOKUP($A74,'Выгр Кат'!$A:$R,O$1,0)</f>
        <v>1955</v>
      </c>
      <c r="P74" s="21">
        <f>VLOOKUP($A74,'Выгр Кат'!$A:$R,P$1,0)</f>
        <v>2690</v>
      </c>
      <c r="Q74" s="70">
        <f t="shared" si="21"/>
        <v>0</v>
      </c>
      <c r="R74" s="70">
        <f t="shared" si="22"/>
        <v>200</v>
      </c>
      <c r="S74" s="85">
        <f t="shared" si="26"/>
        <v>2365.5</v>
      </c>
      <c r="T74" s="81" t="str">
        <f>IFERROR((VLOOKUP($A74,'Из ГУГЛа'!$B:$G,6,0)+V74)*U74,VLOOKUP($A74,'Из ГУГЛа'!$B:$G,6,0))</f>
        <v/>
      </c>
      <c r="U74" s="83">
        <v>1</v>
      </c>
      <c r="V74" s="83">
        <v>0</v>
      </c>
      <c r="W74" s="48">
        <f t="shared" si="23"/>
        <v>0.20997442455242976</v>
      </c>
      <c r="X74" s="48">
        <f t="shared" si="24"/>
        <v>8.6679536679536678E-2</v>
      </c>
      <c r="Y74" s="48">
        <f t="shared" si="25"/>
        <v>0.32480818414322243</v>
      </c>
      <c r="Z74" s="79">
        <v>2590</v>
      </c>
      <c r="AB74" s="13"/>
    </row>
    <row r="75" spans="1:28" ht="61.5" thickTop="1" thickBot="1">
      <c r="A75" s="9">
        <v>151522</v>
      </c>
      <c r="B75" s="21">
        <f>VLOOKUP($A75,'Выгр Кат'!$A:$R,B$1,0)</f>
        <v>3605</v>
      </c>
      <c r="C75" s="54" t="str">
        <f>VLOOKUP($A75,'Выгр Кат'!$A:$R,C$1,0)</f>
        <v>Защита двигателя стальная оцинкованная для подрамника "AUTOPRODUCT" для Лада Калина, Калина 2, Гранта</v>
      </c>
      <c r="D75" s="21" t="str">
        <f>VLOOKUP($A75,'Выгр Кат'!$A:$R,D$1,0)</f>
        <v>Y</v>
      </c>
      <c r="E75" s="21" t="str">
        <f>VLOOKUP($A75,'Выгр Кат'!$A:$R,E$1,0)</f>
        <v>1ск6</v>
      </c>
      <c r="F75" s="21" t="str">
        <f>VLOOKUP($A75,'Выгр Кат'!$A:$R,F$1,0)</f>
        <v>АР 0361</v>
      </c>
      <c r="G75" s="7" t="s">
        <v>232</v>
      </c>
      <c r="H75" s="6" t="s">
        <v>3</v>
      </c>
      <c r="I75" s="94">
        <f>VLOOKUP($G75,ПРАЙС!$B:$H,5,0)</f>
        <v>1980</v>
      </c>
      <c r="J75" s="8">
        <f t="shared" si="17"/>
        <v>1.2575757575757576</v>
      </c>
      <c r="K75" s="8">
        <f>VLOOKUP($G75,ПРАЙС!$B:$H,7,0)</f>
        <v>2490</v>
      </c>
      <c r="L75" s="8">
        <f t="shared" si="18"/>
        <v>1.2575757575757576</v>
      </c>
      <c r="M75" s="9">
        <f t="shared" si="19"/>
        <v>2490</v>
      </c>
      <c r="N75" s="94">
        <f t="shared" si="20"/>
        <v>2490</v>
      </c>
      <c r="O75" s="21">
        <f>VLOOKUP($A75,'Выгр Кат'!$A:$R,O$1,0)</f>
        <v>1935</v>
      </c>
      <c r="P75" s="21">
        <f>VLOOKUP($A75,'Выгр Кат'!$A:$R,P$1,0)</f>
        <v>2690</v>
      </c>
      <c r="Q75" s="70">
        <f t="shared" si="21"/>
        <v>-45</v>
      </c>
      <c r="R75" s="70">
        <f t="shared" si="22"/>
        <v>200</v>
      </c>
      <c r="S75" s="85">
        <f t="shared" si="26"/>
        <v>2365.5</v>
      </c>
      <c r="T75" s="81">
        <f>IFERROR((VLOOKUP($A75,'Из ГУГЛа'!$B:$G,6,0)+V75)*U75,VLOOKUP($A75,'Из ГУГЛа'!$B:$G,6,0))</f>
        <v>2590</v>
      </c>
      <c r="U75" s="83">
        <v>1</v>
      </c>
      <c r="V75" s="83">
        <v>0</v>
      </c>
      <c r="W75" s="48">
        <f t="shared" si="23"/>
        <v>0.19469696969696959</v>
      </c>
      <c r="X75" s="48">
        <f t="shared" si="24"/>
        <v>8.6679536679536678E-2</v>
      </c>
      <c r="Y75" s="48">
        <f t="shared" si="25"/>
        <v>0.30808080808080818</v>
      </c>
      <c r="Z75" s="78">
        <v>2590</v>
      </c>
      <c r="AA75" t="s">
        <v>929</v>
      </c>
      <c r="AB75" s="68"/>
    </row>
    <row r="76" spans="1:28" ht="46.5" thickTop="1" thickBot="1">
      <c r="A76" s="9">
        <v>160614</v>
      </c>
      <c r="B76" s="21">
        <f>VLOOKUP($A76,'Выгр Кат'!$A:$R,B$1,0)</f>
        <v>19551</v>
      </c>
      <c r="C76" s="54" t="str">
        <f>VLOOKUP($A76,'Выгр Кат'!$A:$R,C$1,0)</f>
        <v>Кронштейн генератора "AUTOPRODUCT" для Лада Калина, Калина 2, Гранта</v>
      </c>
      <c r="D76" s="21" t="str">
        <f>VLOOKUP($A76,'Выгр Кат'!$A:$R,D$1,0)</f>
        <v>Y</v>
      </c>
      <c r="E76" s="21" t="str">
        <f>VLOOKUP($A76,'Выгр Кат'!$A:$R,E$1,0)</f>
        <v>1</v>
      </c>
      <c r="F76" s="21" t="str">
        <f>VLOOKUP($A76,'Выгр Кат'!$A:$R,F$1,0)</f>
        <v>АР 0301</v>
      </c>
      <c r="G76" s="7" t="s">
        <v>227</v>
      </c>
      <c r="H76" s="6" t="s">
        <v>3</v>
      </c>
      <c r="I76" s="94">
        <f>VLOOKUP($G76,ПРАЙС!$B:$H,5,0)</f>
        <v>2195</v>
      </c>
      <c r="J76" s="8">
        <f t="shared" si="17"/>
        <v>1.1799544419134396</v>
      </c>
      <c r="K76" s="8">
        <f>VLOOKUP($G76,ПРАЙС!$B:$H,7,0)</f>
        <v>2590</v>
      </c>
      <c r="L76" s="8">
        <f t="shared" si="18"/>
        <v>1.22</v>
      </c>
      <c r="M76" s="9">
        <f t="shared" si="19"/>
        <v>2677.9</v>
      </c>
      <c r="N76" s="94">
        <f t="shared" si="20"/>
        <v>2690</v>
      </c>
      <c r="O76" s="21">
        <f>VLOOKUP($A76,'Выгр Кат'!$A:$R,O$1,0)</f>
        <v>2195</v>
      </c>
      <c r="P76" s="21">
        <f>VLOOKUP($A76,'Выгр Кат'!$A:$R,P$1,0)</f>
        <v>2990</v>
      </c>
      <c r="Q76" s="70">
        <f t="shared" si="21"/>
        <v>0</v>
      </c>
      <c r="R76" s="70">
        <f t="shared" si="22"/>
        <v>300</v>
      </c>
      <c r="S76" s="85">
        <f t="shared" si="26"/>
        <v>2555.5</v>
      </c>
      <c r="T76" s="81">
        <f>IFERROR((VLOOKUP($A76,'Из ГУГЛа'!$B:$G,6,0)+V76)*U76,VLOOKUP($A76,'Из ГУГЛа'!$B:$G,6,0))</f>
        <v>2890</v>
      </c>
      <c r="U76" s="83">
        <v>1</v>
      </c>
      <c r="V76" s="83">
        <v>0</v>
      </c>
      <c r="W76" s="48">
        <f t="shared" si="23"/>
        <v>0.16423690205011399</v>
      </c>
      <c r="X76" s="48">
        <f t="shared" si="24"/>
        <v>0.1157439446366782</v>
      </c>
      <c r="Y76" s="48">
        <f t="shared" si="25"/>
        <v>0.31662870159453305</v>
      </c>
      <c r="Z76" s="79">
        <f t="shared" ref="Z76:Z79" si="27">T76</f>
        <v>2890</v>
      </c>
      <c r="AA76" t="s">
        <v>895</v>
      </c>
      <c r="AB76" s="68"/>
    </row>
    <row r="77" spans="1:28" ht="61.5" thickTop="1" thickBot="1">
      <c r="A77" s="9">
        <v>202734</v>
      </c>
      <c r="B77" s="21">
        <f>VLOOKUP($A77,'Выгр Кат'!$A:$R,B$1,0)</f>
        <v>22988</v>
      </c>
      <c r="C77" s="54" t="str">
        <f>VLOOKUP($A77,'Выгр Кат'!$A:$R,C$1,0)</f>
        <v>Распорка "AUTOPRODUCT" передняя регулируемая с растяжкой силового агрегата для ВАЗ 2108-21099, 2113-2115 (16 клапанный двигатель)</v>
      </c>
      <c r="D77" s="21" t="str">
        <f>VLOOKUP($A77,'Выгр Кат'!$A:$R,D$1,0)</f>
        <v>Y</v>
      </c>
      <c r="E77" s="21" t="str">
        <f>VLOOKUP($A77,'Выгр Кат'!$A:$R,E$1,0)</f>
        <v>1</v>
      </c>
      <c r="F77" s="21" t="str">
        <f>VLOOKUP($A77,'Выгр Кат'!$A:$R,F$1,0)</f>
        <v>АР 0297</v>
      </c>
      <c r="G77" s="7" t="s">
        <v>304</v>
      </c>
      <c r="H77" s="6" t="s">
        <v>3</v>
      </c>
      <c r="I77" s="94">
        <f>VLOOKUP($G77,ПРАЙС!$B:$H,5,0)</f>
        <v>2285</v>
      </c>
      <c r="J77" s="8">
        <f t="shared" si="17"/>
        <v>1.1772428884026258</v>
      </c>
      <c r="K77" s="8">
        <f>VLOOKUP($G77,ПРАЙС!$B:$H,7,0)</f>
        <v>2690</v>
      </c>
      <c r="L77" s="8">
        <f t="shared" si="18"/>
        <v>1.22</v>
      </c>
      <c r="M77" s="9">
        <f t="shared" si="19"/>
        <v>2787.7</v>
      </c>
      <c r="N77" s="94">
        <f t="shared" si="20"/>
        <v>2790</v>
      </c>
      <c r="O77" s="21">
        <f>VLOOKUP($A77,'Выгр Кат'!$A:$R,O$1,0)</f>
        <v>2285</v>
      </c>
      <c r="P77" s="21">
        <f>VLOOKUP($A77,'Выгр Кат'!$A:$R,P$1,0)</f>
        <v>3090</v>
      </c>
      <c r="Q77" s="70">
        <f t="shared" si="21"/>
        <v>0</v>
      </c>
      <c r="R77" s="70">
        <f t="shared" si="22"/>
        <v>300</v>
      </c>
      <c r="S77" s="85">
        <f t="shared" si="26"/>
        <v>2650.5</v>
      </c>
      <c r="T77" s="81">
        <f>IFERROR((VLOOKUP($A77,'Из ГУГЛа'!$B:$G,6,0)+V77)*U77,VLOOKUP($A77,'Из ГУГЛа'!$B:$G,6,0))</f>
        <v>2990</v>
      </c>
      <c r="U77" s="83">
        <v>1</v>
      </c>
      <c r="V77" s="83">
        <v>0</v>
      </c>
      <c r="W77" s="48">
        <f t="shared" si="23"/>
        <v>0.15995623632385114</v>
      </c>
      <c r="X77" s="48">
        <f t="shared" si="24"/>
        <v>0.11354515050167224</v>
      </c>
      <c r="Y77" s="48">
        <f t="shared" si="25"/>
        <v>0.30853391684901532</v>
      </c>
      <c r="Z77" s="79">
        <f t="shared" si="27"/>
        <v>2990</v>
      </c>
      <c r="AA77" t="s">
        <v>827</v>
      </c>
      <c r="AB77" s="67">
        <v>2555</v>
      </c>
    </row>
    <row r="78" spans="1:28" ht="76.5" thickTop="1" thickBot="1">
      <c r="A78" s="9">
        <v>202759</v>
      </c>
      <c r="B78" s="21">
        <f>VLOOKUP($A78,'Выгр Кат'!$A:$R,B$1,0)</f>
        <v>19559</v>
      </c>
      <c r="C78" s="54" t="str">
        <f>VLOOKUP($A78,'Выгр Кат'!$A:$R,C$1,0)</f>
        <v>Распорка передняя с растяжкой силового агрегата "AUTOPRODUCT" для Лада Приора, Приора 2 (с 16-ти клапанным двигателем, без ГУР и верхней растяжки СА)</v>
      </c>
      <c r="D78" s="21" t="str">
        <f>VLOOKUP($A78,'Выгр Кат'!$A:$R,D$1,0)</f>
        <v>Y</v>
      </c>
      <c r="E78" s="21" t="str">
        <f>VLOOKUP($A78,'Выгр Кат'!$A:$R,E$1,0)</f>
        <v>1ск1</v>
      </c>
      <c r="F78" s="21" t="str">
        <f>VLOOKUP($A78,'Выгр Кат'!$A:$R,F$1,0)</f>
        <v>АР 0461</v>
      </c>
      <c r="G78" s="7" t="s">
        <v>310</v>
      </c>
      <c r="H78" s="6" t="s">
        <v>3</v>
      </c>
      <c r="I78" s="94">
        <f>VLOOKUP($G78,ПРАЙС!$B:$H,5,0)</f>
        <v>2210</v>
      </c>
      <c r="J78" s="8">
        <f t="shared" si="17"/>
        <v>1.2171945701357465</v>
      </c>
      <c r="K78" s="8">
        <f>VLOOKUP($G78,ПРАЙС!$B:$H,7,0)</f>
        <v>2690</v>
      </c>
      <c r="L78" s="8">
        <f t="shared" si="18"/>
        <v>1.22</v>
      </c>
      <c r="M78" s="9">
        <f t="shared" si="19"/>
        <v>2696.2</v>
      </c>
      <c r="N78" s="94">
        <f t="shared" si="20"/>
        <v>2690</v>
      </c>
      <c r="O78" s="21">
        <f>VLOOKUP($A78,'Выгр Кат'!$A:$R,O$1,0)</f>
        <v>2190</v>
      </c>
      <c r="P78" s="21">
        <f>VLOOKUP($A78,'Выгр Кат'!$A:$R,P$1,0)</f>
        <v>2890</v>
      </c>
      <c r="Q78" s="70">
        <f t="shared" si="21"/>
        <v>-20</v>
      </c>
      <c r="R78" s="70">
        <f t="shared" si="22"/>
        <v>200</v>
      </c>
      <c r="S78" s="85">
        <f t="shared" si="26"/>
        <v>2555.5</v>
      </c>
      <c r="T78" s="81">
        <f>IFERROR((VLOOKUP($A78,'Из ГУГЛа'!$B:$G,6,0)+V78)*U78,VLOOKUP($A78,'Из ГУГЛа'!$B:$G,6,0))</f>
        <v>2790</v>
      </c>
      <c r="U78" s="83">
        <v>1</v>
      </c>
      <c r="V78" s="83">
        <v>0</v>
      </c>
      <c r="W78" s="48">
        <f t="shared" si="23"/>
        <v>0.15633484162895939</v>
      </c>
      <c r="X78" s="48">
        <f t="shared" si="24"/>
        <v>8.4050179211469539E-2</v>
      </c>
      <c r="Y78" s="48">
        <f t="shared" si="25"/>
        <v>0.26244343891402711</v>
      </c>
      <c r="Z78" s="79">
        <f t="shared" si="27"/>
        <v>2790</v>
      </c>
      <c r="AA78" t="s">
        <v>894</v>
      </c>
      <c r="AB78" s="13"/>
    </row>
    <row r="79" spans="1:28" ht="61.5" thickTop="1" thickBot="1">
      <c r="A79" s="9">
        <v>151521</v>
      </c>
      <c r="B79" s="21">
        <f>VLOOKUP($A79,'Выгр Кат'!$A:$R,B$1,0)</f>
        <v>3648</v>
      </c>
      <c r="C79" s="54" t="str">
        <f>VLOOKUP($A79,'Выгр Кат'!$A:$R,C$1,0)</f>
        <v>Защита двигателя стальная оцинкованная для подрамника "AUTOPRODUCT" для ВАЗ 2110-2112, Лада Приора</v>
      </c>
      <c r="D79" s="21" t="str">
        <f>VLOOKUP($A79,'Выгр Кат'!$A:$R,D$1,0)</f>
        <v>Y</v>
      </c>
      <c r="E79" s="21" t="str">
        <f>VLOOKUP($A79,'Выгр Кат'!$A:$R,E$1,0)</f>
        <v>1ск6</v>
      </c>
      <c r="F79" s="21" t="str">
        <f>VLOOKUP($A79,'Выгр Кат'!$A:$R,F$1,0)</f>
        <v>АР 0211</v>
      </c>
      <c r="G79" s="7" t="s">
        <v>231</v>
      </c>
      <c r="H79" s="6" t="s">
        <v>3</v>
      </c>
      <c r="I79" s="94">
        <f>VLOOKUP($G79,ПРАЙС!$B:$H,5,0)</f>
        <v>2140</v>
      </c>
      <c r="J79" s="8">
        <f t="shared" si="17"/>
        <v>1.2570093457943925</v>
      </c>
      <c r="K79" s="8">
        <f>VLOOKUP($G79,ПРАЙС!$B:$H,7,0)</f>
        <v>2690</v>
      </c>
      <c r="L79" s="8">
        <f t="shared" si="18"/>
        <v>1.2570093457943925</v>
      </c>
      <c r="M79" s="9">
        <f t="shared" si="19"/>
        <v>2690</v>
      </c>
      <c r="N79" s="94">
        <f t="shared" si="20"/>
        <v>2690</v>
      </c>
      <c r="O79" s="21">
        <f>VLOOKUP($A79,'Выгр Кат'!$A:$R,O$1,0)</f>
        <v>2140</v>
      </c>
      <c r="P79" s="21">
        <f>VLOOKUP($A79,'Выгр Кат'!$A:$R,P$1,0)</f>
        <v>2890</v>
      </c>
      <c r="Q79" s="70">
        <f t="shared" si="21"/>
        <v>0</v>
      </c>
      <c r="R79" s="70">
        <f t="shared" si="22"/>
        <v>200</v>
      </c>
      <c r="S79" s="85">
        <f t="shared" si="26"/>
        <v>2555.5</v>
      </c>
      <c r="T79" s="81">
        <f>IFERROR((VLOOKUP($A79,'Из ГУГЛа'!$B:$G,6,0)+V79)*U79,VLOOKUP($A79,'Из ГУГЛа'!$B:$G,6,0))</f>
        <v>2790</v>
      </c>
      <c r="U79" s="83">
        <v>1</v>
      </c>
      <c r="V79" s="83">
        <v>0</v>
      </c>
      <c r="W79" s="48">
        <f t="shared" si="23"/>
        <v>0.19415887850467284</v>
      </c>
      <c r="X79" s="48">
        <f t="shared" si="24"/>
        <v>8.4050179211469539E-2</v>
      </c>
      <c r="Y79" s="48">
        <f t="shared" si="25"/>
        <v>0.30373831775700944</v>
      </c>
      <c r="Z79" s="79">
        <f t="shared" si="27"/>
        <v>2790</v>
      </c>
      <c r="AA79" t="s">
        <v>774</v>
      </c>
      <c r="AB79" s="67">
        <v>2490</v>
      </c>
    </row>
    <row r="80" spans="1:28" ht="76.5" thickTop="1" thickBot="1">
      <c r="A80" s="9">
        <v>159496</v>
      </c>
      <c r="B80" s="21">
        <f>VLOOKUP($A80,'Выгр Кат'!$A:$R,B$1,0)</f>
        <v>19582</v>
      </c>
      <c r="C80" s="54" t="str">
        <f>VLOOKUP($A80,'Выгр Кат'!$A:$R,C$1,0)</f>
        <v>Комплект проставок ЗНП "AUTOPRODUCT" под ЗДТ для ВАЗ (2108-21099, 2110-2112, 2113-2115), Лада (Калина, Калина 2, Приора, Приора 2, Гранта)</v>
      </c>
      <c r="D80" s="21" t="str">
        <f>VLOOKUP($A80,'Выгр Кат'!$A:$R,D$1,0)</f>
        <v>Y</v>
      </c>
      <c r="E80" s="21" t="str">
        <f>VLOOKUP($A80,'Выгр Кат'!$A:$R,E$1,0)</f>
        <v>1</v>
      </c>
      <c r="F80" s="21" t="str">
        <f>VLOOKUP($A80,'Выгр Кат'!$A:$R,F$1,0)</f>
        <v>АР 0599</v>
      </c>
      <c r="G80" s="7" t="s">
        <v>244</v>
      </c>
      <c r="H80" s="6" t="s">
        <v>3</v>
      </c>
      <c r="I80" s="94">
        <f>VLOOKUP($G80,ПРАЙС!$B:$H,5,0)</f>
        <v>2175</v>
      </c>
      <c r="J80" s="8">
        <f t="shared" si="17"/>
        <v>1.1908045977011494</v>
      </c>
      <c r="K80" s="8">
        <f>VLOOKUP($G80,ПРАЙС!$B:$H,7,0)</f>
        <v>2590</v>
      </c>
      <c r="L80" s="8">
        <f t="shared" si="18"/>
        <v>1.22</v>
      </c>
      <c r="M80" s="9">
        <f t="shared" si="19"/>
        <v>2653.5</v>
      </c>
      <c r="N80" s="94">
        <f t="shared" si="20"/>
        <v>2690</v>
      </c>
      <c r="O80" s="21">
        <f>VLOOKUP($A80,'Выгр Кат'!$A:$R,O$1,0)</f>
        <v>2105</v>
      </c>
      <c r="P80" s="21">
        <f>VLOOKUP($A80,'Выгр Кат'!$A:$R,P$1,0)</f>
        <v>2790</v>
      </c>
      <c r="Q80" s="70">
        <f t="shared" si="21"/>
        <v>-70</v>
      </c>
      <c r="R80" s="70">
        <f t="shared" si="22"/>
        <v>100</v>
      </c>
      <c r="S80" s="85">
        <f t="shared" si="26"/>
        <v>2555.5</v>
      </c>
      <c r="T80" s="81">
        <f>IFERROR((VLOOKUP($A80,'Из ГУГЛа'!$B:$G,6,0)+V80)*U80,VLOOKUP($A80,'Из ГУГЛа'!$B:$G,6,0))</f>
        <v>2690</v>
      </c>
      <c r="U80" s="83">
        <v>1</v>
      </c>
      <c r="V80" s="83">
        <v>0</v>
      </c>
      <c r="W80" s="48">
        <f t="shared" si="23"/>
        <v>0.1749425287356321</v>
      </c>
      <c r="X80" s="48">
        <f t="shared" si="24"/>
        <v>0.05</v>
      </c>
      <c r="Y80" s="48">
        <f t="shared" si="25"/>
        <v>0.23678160919540225</v>
      </c>
      <c r="Z80" s="78">
        <v>2690</v>
      </c>
      <c r="AA80" t="s">
        <v>893</v>
      </c>
      <c r="AB80" s="13"/>
    </row>
    <row r="81" spans="1:28" ht="76.5" thickTop="1" thickBot="1">
      <c r="A81" s="9">
        <v>202758</v>
      </c>
      <c r="B81" s="21">
        <f>VLOOKUP($A81,'Выгр Кат'!$A:$R,B$1,0)</f>
        <v>2489</v>
      </c>
      <c r="C81" s="54" t="str">
        <f>VLOOKUP($A81,'Выгр Кат'!$A:$R,C$1,0)</f>
        <v>Распорка передняя с растяжкой силового агрегата "AUTOPRODUCT" для Лада (Калина, Калина 2, Гранта), Датсун (mi-Do, on-Do) (с 16 клапанным двигателем)</v>
      </c>
      <c r="D81" s="21" t="str">
        <f>VLOOKUP($A81,'Выгр Кат'!$A:$R,D$1,0)</f>
        <v>Y</v>
      </c>
      <c r="E81" s="21" t="str">
        <f>VLOOKUP($A81,'Выгр Кат'!$A:$R,E$1,0)</f>
        <v>1</v>
      </c>
      <c r="F81" s="21" t="str">
        <f>VLOOKUP($A81,'Выгр Кат'!$A:$R,F$1,0)</f>
        <v>АР 0421</v>
      </c>
      <c r="G81" s="7" t="s">
        <v>307</v>
      </c>
      <c r="H81" s="6" t="s">
        <v>3</v>
      </c>
      <c r="I81" s="94">
        <f>VLOOKUP($G81,ПРАЙС!$B:$H,5,0)</f>
        <v>2455</v>
      </c>
      <c r="J81" s="8">
        <f t="shared" si="17"/>
        <v>1.2179226069246436</v>
      </c>
      <c r="K81" s="8">
        <f>VLOOKUP($G81,ПРАЙС!$B:$H,7,0)</f>
        <v>2990</v>
      </c>
      <c r="L81" s="8">
        <f t="shared" si="18"/>
        <v>1.22</v>
      </c>
      <c r="M81" s="9">
        <f t="shared" si="19"/>
        <v>2995.1</v>
      </c>
      <c r="N81" s="94">
        <f t="shared" si="20"/>
        <v>2990</v>
      </c>
      <c r="O81" s="21">
        <f>VLOOKUP($A81,'Выгр Кат'!$A:$R,O$1,0)</f>
        <v>2350</v>
      </c>
      <c r="P81" s="21">
        <f>VLOOKUP($A81,'Выгр Кат'!$A:$R,P$1,0)</f>
        <v>3190</v>
      </c>
      <c r="Q81" s="70">
        <f t="shared" si="21"/>
        <v>-105</v>
      </c>
      <c r="R81" s="70">
        <f t="shared" si="22"/>
        <v>200</v>
      </c>
      <c r="S81" s="85">
        <f t="shared" si="26"/>
        <v>2840.5</v>
      </c>
      <c r="T81" s="81">
        <f>IFERROR((VLOOKUP($A81,'Из ГУГЛа'!$B:$G,6,0)+V81)*U81,VLOOKUP($A81,'Из ГУГЛа'!$B:$G,6,0))</f>
        <v>3090</v>
      </c>
      <c r="U81" s="83">
        <v>1</v>
      </c>
      <c r="V81" s="83">
        <v>0</v>
      </c>
      <c r="W81" s="48">
        <f t="shared" si="23"/>
        <v>0.15702647657841151</v>
      </c>
      <c r="X81" s="48">
        <f t="shared" si="24"/>
        <v>8.0744336569579286E-2</v>
      </c>
      <c r="Y81" s="48">
        <f t="shared" si="25"/>
        <v>0.25865580448065173</v>
      </c>
      <c r="Z81" s="79">
        <f>T81</f>
        <v>3090</v>
      </c>
      <c r="AA81" t="s">
        <v>826</v>
      </c>
      <c r="AB81" s="75">
        <v>2790</v>
      </c>
    </row>
    <row r="82" spans="1:28" ht="46.5" thickTop="1" thickBot="1">
      <c r="A82" s="14">
        <v>160523</v>
      </c>
      <c r="B82" s="21">
        <f>VLOOKUP($A82,'Выгр Кат'!$A:$R,B$1,0)</f>
        <v>35112</v>
      </c>
      <c r="C82" s="54" t="str">
        <f>VLOOKUP($A82,'Выгр Кат'!$A:$R,C$1,0)</f>
        <v>Кронштейн "AUTOPRODUCT" правой опоры двигателя (под опору 2110-1001286) для Лада Веста</v>
      </c>
      <c r="D82" s="21" t="str">
        <f>VLOOKUP($A82,'Выгр Кат'!$A:$R,D$1,0)</f>
        <v>Y</v>
      </c>
      <c r="E82" s="21" t="str">
        <f>VLOOKUP($A82,'Выгр Кат'!$A:$R,E$1,0)</f>
        <v>1</v>
      </c>
      <c r="F82" s="21" t="str">
        <f>VLOOKUP($A82,'Выгр Кат'!$A:$R,F$1,0)</f>
        <v>АР 0661</v>
      </c>
      <c r="G82" s="23" t="s">
        <v>429</v>
      </c>
      <c r="H82" s="6" t="s">
        <v>3</v>
      </c>
      <c r="I82" s="92">
        <f>O82</f>
        <v>2090</v>
      </c>
      <c r="J82" s="8" t="e">
        <f t="shared" si="17"/>
        <v>#N/A</v>
      </c>
      <c r="K82" s="8" t="e">
        <f>VLOOKUP($G82,ПРАЙС!$B:$H,7,0)</f>
        <v>#N/A</v>
      </c>
      <c r="L82" s="8" t="e">
        <f t="shared" si="18"/>
        <v>#N/A</v>
      </c>
      <c r="M82" s="92">
        <f>P82</f>
        <v>2690</v>
      </c>
      <c r="N82" s="94">
        <f t="shared" si="20"/>
        <v>2690</v>
      </c>
      <c r="O82" s="21">
        <f>VLOOKUP($A82,'Выгр Кат'!$A:$R,O$1,0)</f>
        <v>2090</v>
      </c>
      <c r="P82" s="21">
        <f>VLOOKUP($A82,'Выгр Кат'!$A:$R,P$1,0)</f>
        <v>2690</v>
      </c>
      <c r="Q82" s="70">
        <f t="shared" si="21"/>
        <v>0</v>
      </c>
      <c r="R82" s="70">
        <f t="shared" si="22"/>
        <v>0</v>
      </c>
      <c r="S82" s="85">
        <f t="shared" si="26"/>
        <v>2555.5</v>
      </c>
      <c r="T82" s="81" t="str">
        <f>IFERROR((VLOOKUP($A82,'Из ГУГЛа'!$B:$G,6,0)+V82)*U82,VLOOKUP($A82,'Из ГУГЛа'!$B:$G,6,0))</f>
        <v/>
      </c>
      <c r="U82" s="83">
        <v>1</v>
      </c>
      <c r="V82" s="83">
        <v>0</v>
      </c>
      <c r="W82" s="48">
        <f t="shared" si="23"/>
        <v>0.22272727272727266</v>
      </c>
      <c r="X82" s="48" t="str">
        <f t="shared" si="24"/>
        <v/>
      </c>
      <c r="Y82" s="48" t="str">
        <f t="shared" si="25"/>
        <v/>
      </c>
      <c r="Z82" s="79" t="s">
        <v>927</v>
      </c>
      <c r="AB82" s="13"/>
    </row>
    <row r="83" spans="1:28" ht="46.5" thickTop="1" thickBot="1">
      <c r="A83" s="9">
        <v>195299</v>
      </c>
      <c r="B83" s="21">
        <f>VLOOKUP($A83,'Выгр Кат'!$A:$R,B$1,0)</f>
        <v>3454</v>
      </c>
      <c r="C83" s="54" t="str">
        <f>VLOOKUP($A83,'Выгр Кат'!$A:$R,C$1,0)</f>
        <v>Поперечина передней подвески Safe "AUTOPRODUCT" для ВАЗ 2108-21099, 2113-2115</v>
      </c>
      <c r="D83" s="21" t="str">
        <f>VLOOKUP($A83,'Выгр Кат'!$A:$R,D$1,0)</f>
        <v>Y</v>
      </c>
      <c r="E83" s="21" t="str">
        <f>VLOOKUP($A83,'Выгр Кат'!$A:$R,E$1,0)</f>
        <v>1</v>
      </c>
      <c r="F83" s="21" t="str">
        <f>VLOOKUP($A83,'Выгр Кат'!$A:$R,F$1,0)</f>
        <v>АР 0100</v>
      </c>
      <c r="G83" s="7" t="s">
        <v>284</v>
      </c>
      <c r="H83" s="6" t="s">
        <v>3</v>
      </c>
      <c r="I83" s="94">
        <f>VLOOKUP($G83,ПРАЙС!$B:$H,5,0)</f>
        <v>2245</v>
      </c>
      <c r="J83" s="8">
        <f t="shared" si="17"/>
        <v>1.2873051224944321</v>
      </c>
      <c r="K83" s="8">
        <f>VLOOKUP($G83,ПРАЙС!$B:$H,7,0)</f>
        <v>2890</v>
      </c>
      <c r="L83" s="8">
        <f t="shared" si="18"/>
        <v>1.2873051224944321</v>
      </c>
      <c r="M83" s="9">
        <f t="shared" si="19"/>
        <v>2890</v>
      </c>
      <c r="N83" s="94">
        <f t="shared" si="20"/>
        <v>2890</v>
      </c>
      <c r="O83" s="21">
        <f>VLOOKUP($A83,'Выгр Кат'!$A:$R,O$1,0)</f>
        <v>2245</v>
      </c>
      <c r="P83" s="21">
        <f>VLOOKUP($A83,'Выгр Кат'!$A:$R,P$1,0)</f>
        <v>2990</v>
      </c>
      <c r="Q83" s="70">
        <f t="shared" si="21"/>
        <v>0</v>
      </c>
      <c r="R83" s="70">
        <f t="shared" si="22"/>
        <v>100</v>
      </c>
      <c r="S83" s="85">
        <f t="shared" si="26"/>
        <v>2745.5</v>
      </c>
      <c r="T83" s="81">
        <f>IFERROR((VLOOKUP($A83,'Из ГУГЛа'!$B:$G,6,0)+V83)*U83,VLOOKUP($A83,'Из ГУГЛа'!$B:$G,6,0))</f>
        <v>2890</v>
      </c>
      <c r="U83" s="83">
        <v>1</v>
      </c>
      <c r="V83" s="83">
        <v>0</v>
      </c>
      <c r="W83" s="48">
        <f t="shared" si="23"/>
        <v>0.22293986636971042</v>
      </c>
      <c r="X83" s="48">
        <f t="shared" si="24"/>
        <v>0.05</v>
      </c>
      <c r="Y83" s="48">
        <f t="shared" si="25"/>
        <v>0.28730512249443207</v>
      </c>
      <c r="Z83" s="79">
        <f>T83</f>
        <v>2890</v>
      </c>
      <c r="AA83" t="s">
        <v>825</v>
      </c>
      <c r="AB83" s="75">
        <v>2750</v>
      </c>
    </row>
    <row r="84" spans="1:28" ht="46.5" thickTop="1" thickBot="1">
      <c r="A84" s="9">
        <v>195301</v>
      </c>
      <c r="B84" s="21">
        <f>VLOOKUP($A84,'Выгр Кат'!$A:$R,B$1,0)</f>
        <v>3350</v>
      </c>
      <c r="C84" s="54" t="str">
        <f>VLOOKUP($A84,'Выгр Кат'!$A:$R,C$1,0)</f>
        <v>Поперечина передней подвески Safe "AUTOPRODUCT" для Лада Калина, Калина 2, Гранта</v>
      </c>
      <c r="D84" s="21" t="str">
        <f>VLOOKUP($A84,'Выгр Кат'!$A:$R,D$1,0)</f>
        <v>Y</v>
      </c>
      <c r="E84" s="21" t="str">
        <f>VLOOKUP($A84,'Выгр Кат'!$A:$R,E$1,0)</f>
        <v>1ск1</v>
      </c>
      <c r="F84" s="21" t="str">
        <f>VLOOKUP($A84,'Выгр Кат'!$A:$R,F$1,0)</f>
        <v>АР 0390</v>
      </c>
      <c r="G84" s="7" t="s">
        <v>287</v>
      </c>
      <c r="H84" s="6" t="s">
        <v>3</v>
      </c>
      <c r="I84" s="94">
        <f>VLOOKUP($G84,ПРАЙС!$B:$H,5,0)</f>
        <v>2215</v>
      </c>
      <c r="J84" s="8">
        <f t="shared" si="17"/>
        <v>1.3047404063205417</v>
      </c>
      <c r="K84" s="8">
        <f>VLOOKUP($G84,ПРАЙС!$B:$H,7,0)</f>
        <v>2890</v>
      </c>
      <c r="L84" s="8">
        <f t="shared" si="18"/>
        <v>1.3047404063205417</v>
      </c>
      <c r="M84" s="9">
        <f t="shared" si="19"/>
        <v>2890</v>
      </c>
      <c r="N84" s="94">
        <f t="shared" si="20"/>
        <v>2890</v>
      </c>
      <c r="O84" s="21">
        <f>VLOOKUP($A84,'Выгр Кат'!$A:$R,O$1,0)</f>
        <v>2215</v>
      </c>
      <c r="P84" s="21">
        <f>VLOOKUP($A84,'Выгр Кат'!$A:$R,P$1,0)</f>
        <v>2990</v>
      </c>
      <c r="Q84" s="70">
        <f t="shared" si="21"/>
        <v>0</v>
      </c>
      <c r="R84" s="70">
        <f t="shared" si="22"/>
        <v>100</v>
      </c>
      <c r="S84" s="85">
        <f t="shared" si="26"/>
        <v>2745.5</v>
      </c>
      <c r="T84" s="81">
        <f>IFERROR((VLOOKUP($A84,'Из ГУГЛа'!$B:$G,6,0)+V84)*U84,VLOOKUP($A84,'Из ГУГЛа'!$B:$G,6,0))</f>
        <v>2890</v>
      </c>
      <c r="U84" s="83">
        <v>1</v>
      </c>
      <c r="V84" s="83">
        <v>0</v>
      </c>
      <c r="W84" s="48">
        <f t="shared" si="23"/>
        <v>0.2395033860045146</v>
      </c>
      <c r="X84" s="48">
        <f t="shared" si="24"/>
        <v>0.05</v>
      </c>
      <c r="Y84" s="48">
        <f t="shared" si="25"/>
        <v>0.30474040632054167</v>
      </c>
      <c r="Z84" s="78">
        <v>2890</v>
      </c>
      <c r="AA84" t="s">
        <v>892</v>
      </c>
      <c r="AB84" s="13"/>
    </row>
    <row r="85" spans="1:28" ht="61.5" thickTop="1" thickBot="1">
      <c r="A85" s="9">
        <v>195294</v>
      </c>
      <c r="B85" s="21">
        <f>VLOOKUP($A85,'Выгр Кат'!$A:$R,B$1,0)</f>
        <v>3342</v>
      </c>
      <c r="C85" s="54" t="str">
        <f>VLOOKUP($A85,'Выгр Кат'!$A:$R,C$1,0)</f>
        <v>Поперечина передней подвески Drive "AUTOPRODUCT" для Лада (Калина, Калина 2, Гранта), Датсун (mi-Do, on-Do)</v>
      </c>
      <c r="D85" s="21" t="str">
        <f>VLOOKUP($A85,'Выгр Кат'!$A:$R,D$1,0)</f>
        <v>Y</v>
      </c>
      <c r="E85" s="21" t="str">
        <f>VLOOKUP($A85,'Выгр Кат'!$A:$R,E$1,0)</f>
        <v>1</v>
      </c>
      <c r="F85" s="21" t="str">
        <f>VLOOKUP($A85,'Выгр Кат'!$A:$R,F$1,0)</f>
        <v>АР 0370</v>
      </c>
      <c r="G85" s="7" t="s">
        <v>285</v>
      </c>
      <c r="H85" s="6" t="s">
        <v>3</v>
      </c>
      <c r="I85" s="94">
        <f>VLOOKUP($G85,ПРАЙС!$B:$H,5,0)</f>
        <v>2505</v>
      </c>
      <c r="J85" s="8">
        <f t="shared" si="17"/>
        <v>1.2734530938123751</v>
      </c>
      <c r="K85" s="8">
        <f>VLOOKUP($G85,ПРАЙС!$B:$H,7,0)</f>
        <v>3190</v>
      </c>
      <c r="L85" s="8">
        <f t="shared" si="18"/>
        <v>1.2734530938123751</v>
      </c>
      <c r="M85" s="9">
        <f t="shared" si="19"/>
        <v>3189.9999999999995</v>
      </c>
      <c r="N85" s="94">
        <f t="shared" si="20"/>
        <v>3190</v>
      </c>
      <c r="O85" s="21">
        <f>VLOOKUP($A85,'Выгр Кат'!$A:$R,O$1,0)</f>
        <v>2505</v>
      </c>
      <c r="P85" s="21">
        <f>VLOOKUP($A85,'Выгр Кат'!$A:$R,P$1,0)</f>
        <v>3390</v>
      </c>
      <c r="Q85" s="70">
        <f t="shared" si="21"/>
        <v>0</v>
      </c>
      <c r="R85" s="70">
        <f t="shared" si="22"/>
        <v>200</v>
      </c>
      <c r="S85" s="85">
        <f t="shared" si="26"/>
        <v>3030.5</v>
      </c>
      <c r="T85" s="81">
        <f>IFERROR((VLOOKUP($A85,'Из ГУГЛа'!$B:$G,6,0)+V85)*U85,VLOOKUP($A85,'Из ГУГЛа'!$B:$G,6,0))</f>
        <v>3290</v>
      </c>
      <c r="U85" s="83">
        <v>1</v>
      </c>
      <c r="V85" s="83">
        <v>0</v>
      </c>
      <c r="W85" s="48">
        <f t="shared" si="23"/>
        <v>0.20978043912175659</v>
      </c>
      <c r="X85" s="48">
        <f t="shared" si="24"/>
        <v>7.8875379939209733E-2</v>
      </c>
      <c r="Y85" s="48">
        <f t="shared" si="25"/>
        <v>0.31337325349301404</v>
      </c>
      <c r="Z85" s="79">
        <f t="shared" ref="Z85:Z86" si="28">T85</f>
        <v>3290</v>
      </c>
      <c r="AA85" t="s">
        <v>824</v>
      </c>
      <c r="AB85" s="75">
        <v>2990</v>
      </c>
    </row>
    <row r="86" spans="1:28" ht="46.5" thickTop="1" thickBot="1">
      <c r="A86" s="9">
        <v>195292</v>
      </c>
      <c r="B86" s="21">
        <f>VLOOKUP($A86,'Выгр Кат'!$A:$R,B$1,0)</f>
        <v>3448</v>
      </c>
      <c r="C86" s="54" t="str">
        <f>VLOOKUP($A86,'Выгр Кат'!$A:$R,C$1,0)</f>
        <v>Поперечина передней подвески Drive "AUTOPRODUCT" для ВАЗ 2108-21099, 2113-2115</v>
      </c>
      <c r="D86" s="21" t="str">
        <f>VLOOKUP($A86,'Выгр Кат'!$A:$R,D$1,0)</f>
        <v>Y</v>
      </c>
      <c r="E86" s="21" t="str">
        <f>VLOOKUP($A86,'Выгр Кат'!$A:$R,E$1,0)</f>
        <v>1</v>
      </c>
      <c r="F86" s="21" t="str">
        <f>VLOOKUP($A86,'Выгр Кат'!$A:$R,F$1,0)</f>
        <v>АР 0080</v>
      </c>
      <c r="G86" s="7" t="s">
        <v>280</v>
      </c>
      <c r="H86" s="6" t="s">
        <v>3</v>
      </c>
      <c r="I86" s="94">
        <f>VLOOKUP($G86,ПРАЙС!$B:$H,5,0)</f>
        <v>2550</v>
      </c>
      <c r="J86" s="8">
        <f t="shared" si="17"/>
        <v>1.2745098039215685</v>
      </c>
      <c r="K86" s="8">
        <f>VLOOKUP($G86,ПРАЙС!$B:$H,7,0)</f>
        <v>3250</v>
      </c>
      <c r="L86" s="8">
        <f t="shared" si="18"/>
        <v>1.2745098039215685</v>
      </c>
      <c r="M86" s="9">
        <f t="shared" si="19"/>
        <v>3250</v>
      </c>
      <c r="N86" s="94">
        <f t="shared" si="20"/>
        <v>3290</v>
      </c>
      <c r="O86" s="21">
        <f>VLOOKUP($A86,'Выгр Кат'!$A:$R,O$1,0)</f>
        <v>2550</v>
      </c>
      <c r="P86" s="21">
        <f>VLOOKUP($A86,'Выгр Кат'!$A:$R,P$1,0)</f>
        <v>3390</v>
      </c>
      <c r="Q86" s="70">
        <f t="shared" si="21"/>
        <v>0</v>
      </c>
      <c r="R86" s="70">
        <f t="shared" si="22"/>
        <v>100</v>
      </c>
      <c r="S86" s="85">
        <f t="shared" si="26"/>
        <v>3125.5</v>
      </c>
      <c r="T86" s="81">
        <f>IFERROR((VLOOKUP($A86,'Из ГУГЛа'!$B:$G,6,0)+V86)*U86,VLOOKUP($A86,'Из ГУГЛа'!$B:$G,6,0))</f>
        <v>3290</v>
      </c>
      <c r="U86" s="83">
        <v>1</v>
      </c>
      <c r="V86" s="83">
        <v>0</v>
      </c>
      <c r="W86" s="48">
        <f t="shared" si="23"/>
        <v>0.22568627450980383</v>
      </c>
      <c r="X86" s="48">
        <f t="shared" si="24"/>
        <v>0.05</v>
      </c>
      <c r="Y86" s="48">
        <f t="shared" si="25"/>
        <v>0.29019607843137263</v>
      </c>
      <c r="Z86" s="79">
        <f t="shared" si="28"/>
        <v>3290</v>
      </c>
      <c r="AA86" t="s">
        <v>891</v>
      </c>
      <c r="AB86" s="13"/>
    </row>
    <row r="87" spans="1:28" ht="61.5" thickTop="1" thickBot="1">
      <c r="A87" s="9">
        <v>195276</v>
      </c>
      <c r="B87" s="21">
        <f>VLOOKUP($A87,'Выгр Кат'!$A:$R,B$1,0)</f>
        <v>3347</v>
      </c>
      <c r="C87" s="54" t="str">
        <f>VLOOKUP($A87,'Выгр Кат'!$A:$R,C$1,0)</f>
        <v>Поперечина передней подвески "AUTOPRODUCT" SPORT для Лада (Калина, Калина 2, Гранта), Datsun (mi-DO, on-DO)</v>
      </c>
      <c r="D87" s="21" t="str">
        <f>VLOOKUP($A87,'Выгр Кат'!$A:$R,D$1,0)</f>
        <v>Y</v>
      </c>
      <c r="E87" s="21" t="str">
        <f>VLOOKUP($A87,'Выгр Кат'!$A:$R,E$1,0)</f>
        <v>1</v>
      </c>
      <c r="F87" s="21" t="str">
        <f>VLOOKUP($A87,'Выгр Кат'!$A:$R,F$1,0)</f>
        <v>АР 0385</v>
      </c>
      <c r="G87" s="7" t="s">
        <v>286</v>
      </c>
      <c r="H87" s="6" t="s">
        <v>3</v>
      </c>
      <c r="I87" s="94">
        <f>VLOOKUP($G87,ПРАЙС!$B:$H,5,0)</f>
        <v>2740</v>
      </c>
      <c r="J87" s="8">
        <f t="shared" si="17"/>
        <v>1.2591240875912408</v>
      </c>
      <c r="K87" s="8">
        <f>VLOOKUP($G87,ПРАЙС!$B:$H,7,0)</f>
        <v>3450</v>
      </c>
      <c r="L87" s="8">
        <f t="shared" si="18"/>
        <v>1.2591240875912408</v>
      </c>
      <c r="M87" s="9">
        <f t="shared" si="19"/>
        <v>3450</v>
      </c>
      <c r="N87" s="94">
        <f t="shared" si="20"/>
        <v>3490</v>
      </c>
      <c r="O87" s="21">
        <f>VLOOKUP($A87,'Выгр Кат'!$A:$R,O$1,0)</f>
        <v>2990</v>
      </c>
      <c r="P87" s="21">
        <f>VLOOKUP($A87,'Выгр Кат'!$A:$R,P$1,0)</f>
        <v>3990</v>
      </c>
      <c r="Q87" s="70">
        <f t="shared" si="21"/>
        <v>250</v>
      </c>
      <c r="R87" s="70">
        <f t="shared" si="22"/>
        <v>500</v>
      </c>
      <c r="S87" s="85">
        <f t="shared" si="26"/>
        <v>3315.5</v>
      </c>
      <c r="T87" s="81">
        <f>IFERROR((VLOOKUP($A87,'Из ГУГЛа'!$B:$G,6,0)+V87)*U87,VLOOKUP($A87,'Из ГУГЛа'!$B:$G,6,0))</f>
        <v>3890</v>
      </c>
      <c r="U87" s="83">
        <v>1</v>
      </c>
      <c r="V87" s="83">
        <v>0</v>
      </c>
      <c r="W87" s="48">
        <f t="shared" si="23"/>
        <v>0.21003649635036492</v>
      </c>
      <c r="X87" s="48">
        <f t="shared" si="24"/>
        <v>0.14768637532133677</v>
      </c>
      <c r="Y87" s="48">
        <f t="shared" si="25"/>
        <v>0.41970802919708028</v>
      </c>
      <c r="Z87" s="78">
        <v>3890</v>
      </c>
      <c r="AA87" t="s">
        <v>890</v>
      </c>
      <c r="AB87" s="68"/>
    </row>
    <row r="88" spans="1:28" ht="46.5" thickTop="1" thickBot="1">
      <c r="A88" s="9">
        <v>195302</v>
      </c>
      <c r="B88" s="21">
        <f>VLOOKUP($A88,'Выгр Кат'!$A:$R,B$1,0)</f>
        <v>3453</v>
      </c>
      <c r="C88" s="54" t="str">
        <f>VLOOKUP($A88,'Выгр Кат'!$A:$R,C$1,0)</f>
        <v>Поперечина передней подвески Sport "AUTOPRODUCT" для ВАЗ 2108-21099, 2113-2115</v>
      </c>
      <c r="D88" s="21" t="str">
        <f>VLOOKUP($A88,'Выгр Кат'!$A:$R,D$1,0)</f>
        <v>Y</v>
      </c>
      <c r="E88" s="21" t="str">
        <f>VLOOKUP($A88,'Выгр Кат'!$A:$R,E$1,0)</f>
        <v>0</v>
      </c>
      <c r="F88" s="21" t="str">
        <f>VLOOKUP($A88,'Выгр Кат'!$A:$R,F$1,0)</f>
        <v>АР 0095</v>
      </c>
      <c r="G88" s="7" t="s">
        <v>283</v>
      </c>
      <c r="H88" s="6" t="s">
        <v>3</v>
      </c>
      <c r="I88" s="92">
        <f>O88</f>
        <v>2585</v>
      </c>
      <c r="J88" s="8" t="e">
        <f t="shared" si="17"/>
        <v>#N/A</v>
      </c>
      <c r="K88" s="8" t="e">
        <f>VLOOKUP($G88,ПРАЙС!$B:$H,7,0)</f>
        <v>#N/A</v>
      </c>
      <c r="L88" s="8" t="e">
        <f t="shared" si="18"/>
        <v>#N/A</v>
      </c>
      <c r="M88" s="92">
        <f>P88</f>
        <v>3490</v>
      </c>
      <c r="N88" s="94">
        <f t="shared" si="20"/>
        <v>3490</v>
      </c>
      <c r="O88" s="21">
        <f>VLOOKUP($A88,'Выгр Кат'!$A:$R,O$1,0)</f>
        <v>2585</v>
      </c>
      <c r="P88" s="21">
        <f>VLOOKUP($A88,'Выгр Кат'!$A:$R,P$1,0)</f>
        <v>3490</v>
      </c>
      <c r="Q88" s="70">
        <f t="shared" si="21"/>
        <v>0</v>
      </c>
      <c r="R88" s="70">
        <f t="shared" si="22"/>
        <v>0</v>
      </c>
      <c r="S88" s="85">
        <f t="shared" si="26"/>
        <v>3315.5</v>
      </c>
      <c r="T88" s="81">
        <f>IFERROR((VLOOKUP($A88,'Из ГУГЛа'!$B:$G,6,0)+V88)*U88,VLOOKUP($A88,'Из ГУГЛа'!$B:$G,6,0))</f>
        <v>3390</v>
      </c>
      <c r="U88" s="83">
        <v>1</v>
      </c>
      <c r="V88" s="83">
        <v>0</v>
      </c>
      <c r="W88" s="48">
        <f t="shared" si="23"/>
        <v>0.28259187620889747</v>
      </c>
      <c r="X88" s="48">
        <f t="shared" si="24"/>
        <v>2.1976401179941003E-2</v>
      </c>
      <c r="Y88" s="48">
        <f t="shared" si="25"/>
        <v>0.31141199226305605</v>
      </c>
      <c r="Z88" s="78">
        <v>3390</v>
      </c>
      <c r="AA88" t="s">
        <v>823</v>
      </c>
      <c r="AB88" s="67">
        <v>3290</v>
      </c>
    </row>
    <row r="89" spans="1:28" ht="46.5" thickTop="1" thickBot="1">
      <c r="A89" s="9">
        <v>181854</v>
      </c>
      <c r="B89" s="21">
        <f>VLOOKUP($A89,'Выгр Кат'!$A:$R,B$1,0)</f>
        <v>3699</v>
      </c>
      <c r="C89" s="54" t="str">
        <f>VLOOKUP($A89,'Выгр Кат'!$A:$R,C$1,0)</f>
        <v>Опоры силового агрегата Sport "AUTOPRODUCT" для ВАЗ 2108-21099, 2113-2115</v>
      </c>
      <c r="D89" s="21" t="str">
        <f>VLOOKUP($A89,'Выгр Кат'!$A:$R,D$1,0)</f>
        <v>Y</v>
      </c>
      <c r="E89" s="21" t="str">
        <f>VLOOKUP($A89,'Выгр Кат'!$A:$R,E$1,0)</f>
        <v>1</v>
      </c>
      <c r="F89" s="21" t="str">
        <f>VLOOKUP($A89,'Выгр Кат'!$A:$R,F$1,0)</f>
        <v>АР 0010 / АР08-1001002</v>
      </c>
      <c r="G89" s="7" t="s">
        <v>250</v>
      </c>
      <c r="H89" s="6" t="s">
        <v>3</v>
      </c>
      <c r="I89" s="94">
        <f>VLOOKUP($G89,ПРАЙС!$B:$H,5,0)</f>
        <v>3250</v>
      </c>
      <c r="J89" s="8">
        <f t="shared" si="17"/>
        <v>1.2892307692307692</v>
      </c>
      <c r="K89" s="8">
        <f>VLOOKUP($G89,ПРАЙС!$B:$H,7,0)</f>
        <v>4190</v>
      </c>
      <c r="L89" s="8">
        <f t="shared" si="18"/>
        <v>1.2892307692307692</v>
      </c>
      <c r="M89" s="9">
        <f t="shared" si="19"/>
        <v>4190</v>
      </c>
      <c r="N89" s="94">
        <f t="shared" si="20"/>
        <v>4190</v>
      </c>
      <c r="O89" s="21">
        <f>VLOOKUP($A89,'Выгр Кат'!$A:$R,O$1,0)</f>
        <v>3250</v>
      </c>
      <c r="P89" s="21">
        <f>VLOOKUP($A89,'Выгр Кат'!$A:$R,P$1,0)</f>
        <v>4290</v>
      </c>
      <c r="Q89" s="70">
        <f t="shared" si="21"/>
        <v>0</v>
      </c>
      <c r="R89" s="70">
        <f t="shared" si="22"/>
        <v>100</v>
      </c>
      <c r="S89" s="85">
        <f t="shared" si="26"/>
        <v>3980.5</v>
      </c>
      <c r="T89" s="81">
        <f>IFERROR((VLOOKUP($A89,'Из ГУГЛа'!$B:$G,6,0)+V89)*U89,VLOOKUP($A89,'Из ГУГЛа'!$B:$G,6,0))</f>
        <v>4190</v>
      </c>
      <c r="U89" s="83">
        <v>1</v>
      </c>
      <c r="V89" s="83">
        <v>0</v>
      </c>
      <c r="W89" s="48">
        <f t="shared" si="23"/>
        <v>0.22476923076923083</v>
      </c>
      <c r="X89" s="48">
        <f t="shared" si="24"/>
        <v>0.05</v>
      </c>
      <c r="Y89" s="48">
        <f t="shared" si="25"/>
        <v>0.28923076923076918</v>
      </c>
      <c r="Z89" s="79">
        <f t="shared" ref="Z89:Z90" si="29">T89</f>
        <v>4190</v>
      </c>
      <c r="AA89" t="s">
        <v>794</v>
      </c>
      <c r="AB89" s="75">
        <v>3450</v>
      </c>
    </row>
    <row r="90" spans="1:28" ht="46.5" thickTop="1" thickBot="1">
      <c r="A90" s="9">
        <v>195296</v>
      </c>
      <c r="B90" s="21">
        <f>VLOOKUP($A90,'Выгр Кат'!$A:$R,B$1,0)</f>
        <v>3451</v>
      </c>
      <c r="C90" s="54" t="str">
        <f>VLOOKUP($A90,'Выгр Кат'!$A:$R,C$1,0)</f>
        <v>Поперечина передней подвески Drive, ПУ "AUTOPRODUCT" для ВАЗ 2108-21099, 2113-2115</v>
      </c>
      <c r="D90" s="21" t="str">
        <f>VLOOKUP($A90,'Выгр Кат'!$A:$R,D$1,0)</f>
        <v>Y</v>
      </c>
      <c r="E90" s="21" t="str">
        <f>VLOOKUP($A90,'Выгр Кат'!$A:$R,E$1,0)</f>
        <v>1</v>
      </c>
      <c r="F90" s="21" t="str">
        <f>VLOOKUP($A90,'Выгр Кат'!$A:$R,F$1,0)</f>
        <v>АР 0090</v>
      </c>
      <c r="G90" s="7" t="s">
        <v>281</v>
      </c>
      <c r="H90" s="6" t="s">
        <v>3</v>
      </c>
      <c r="I90" s="94">
        <f>VLOOKUP($G90,ПРАЙС!$B:$H,5,0)</f>
        <v>3380</v>
      </c>
      <c r="J90" s="8">
        <f t="shared" si="17"/>
        <v>1.0976331360946745</v>
      </c>
      <c r="K90" s="8">
        <f>VLOOKUP($G90,ПРАЙС!$B:$H,7,0)</f>
        <v>3710</v>
      </c>
      <c r="L90" s="8">
        <f t="shared" si="18"/>
        <v>1.22</v>
      </c>
      <c r="M90" s="9">
        <f t="shared" si="19"/>
        <v>4123.6000000000004</v>
      </c>
      <c r="N90" s="94">
        <f t="shared" si="20"/>
        <v>4190</v>
      </c>
      <c r="O90" s="21">
        <f>VLOOKUP($A90,'Выгр Кат'!$A:$R,O$1,0)</f>
        <v>3080</v>
      </c>
      <c r="P90" s="21">
        <f>VLOOKUP($A90,'Выгр Кат'!$A:$R,P$1,0)</f>
        <v>4090</v>
      </c>
      <c r="Q90" s="70">
        <f t="shared" si="21"/>
        <v>-300</v>
      </c>
      <c r="R90" s="70">
        <f t="shared" si="22"/>
        <v>-100</v>
      </c>
      <c r="S90" s="85">
        <f t="shared" si="26"/>
        <v>3980.5</v>
      </c>
      <c r="T90" s="81">
        <f>IFERROR((VLOOKUP($A90,'Из ГУГЛа'!$B:$G,6,0)+V90)*U90,VLOOKUP($A90,'Из ГУГЛа'!$B:$G,6,0))</f>
        <v>3990</v>
      </c>
      <c r="U90" s="83">
        <v>1</v>
      </c>
      <c r="V90" s="83">
        <v>0</v>
      </c>
      <c r="W90" s="48">
        <f t="shared" si="23"/>
        <v>0.17766272189349119</v>
      </c>
      <c r="X90" s="48">
        <f t="shared" si="24"/>
        <v>2.3809523809523812E-3</v>
      </c>
      <c r="Y90" s="48">
        <f t="shared" si="25"/>
        <v>0.18047337278106501</v>
      </c>
      <c r="Z90" s="79">
        <f t="shared" si="29"/>
        <v>3990</v>
      </c>
      <c r="AA90" t="s">
        <v>889</v>
      </c>
      <c r="AB90" s="13"/>
    </row>
    <row r="91" spans="1:28" ht="46.5" thickTop="1" thickBot="1">
      <c r="A91" s="9">
        <v>195298</v>
      </c>
      <c r="B91" s="21">
        <f>VLOOKUP($A91,'Выгр Кат'!$A:$R,B$1,0)</f>
        <v>3343</v>
      </c>
      <c r="C91" s="54" t="str">
        <f>VLOOKUP($A91,'Выгр Кат'!$A:$R,C$1,0)</f>
        <v>Поперечина передней подвески Drive, ПУ "AUTOPRODUCT" для Лада Калина, Калина 2, Гранта</v>
      </c>
      <c r="D91" s="21" t="str">
        <f>VLOOKUP($A91,'Выгр Кат'!$A:$R,D$1,0)</f>
        <v>Y</v>
      </c>
      <c r="E91" s="21" t="str">
        <f>VLOOKUP($A91,'Выгр Кат'!$A:$R,E$1,0)</f>
        <v>1</v>
      </c>
      <c r="F91" s="21" t="str">
        <f>VLOOKUP($A91,'Выгр Кат'!$A:$R,F$1,0)</f>
        <v>АР 0380</v>
      </c>
      <c r="G91" s="7" t="s">
        <v>394</v>
      </c>
      <c r="H91" s="6" t="s">
        <v>3</v>
      </c>
      <c r="I91" s="94">
        <f>VLOOKUP($G91,ПРАЙС!$B:$H,5,0)</f>
        <v>3455</v>
      </c>
      <c r="J91" s="8">
        <f t="shared" si="17"/>
        <v>1.0969609261939219</v>
      </c>
      <c r="K91" s="8">
        <f>VLOOKUP($G91,ПРАЙС!$B:$H,7,0)</f>
        <v>3790</v>
      </c>
      <c r="L91" s="8">
        <f t="shared" si="18"/>
        <v>1.22</v>
      </c>
      <c r="M91" s="9">
        <f t="shared" si="19"/>
        <v>4215.0999999999995</v>
      </c>
      <c r="N91" s="94">
        <f t="shared" si="20"/>
        <v>4290</v>
      </c>
      <c r="O91" s="21">
        <f>VLOOKUP($A91,'Выгр Кат'!$A:$R,O$1,0)</f>
        <v>3285</v>
      </c>
      <c r="P91" s="21">
        <f>VLOOKUP($A91,'Выгр Кат'!$A:$R,P$1,0)</f>
        <v>4490</v>
      </c>
      <c r="Q91" s="70">
        <f t="shared" si="21"/>
        <v>-170</v>
      </c>
      <c r="R91" s="70">
        <f t="shared" si="22"/>
        <v>200</v>
      </c>
      <c r="S91" s="85">
        <f t="shared" si="26"/>
        <v>4075.5</v>
      </c>
      <c r="T91" s="81">
        <f>IFERROR((VLOOKUP($A91,'Из ГУГЛа'!$B:$G,6,0)+V91)*U91,VLOOKUP($A91,'Из ГУГЛа'!$B:$G,6,0))</f>
        <v>4290</v>
      </c>
      <c r="U91" s="83">
        <v>1</v>
      </c>
      <c r="V91" s="83">
        <v>0</v>
      </c>
      <c r="W91" s="48">
        <f t="shared" si="23"/>
        <v>0.17959479015918967</v>
      </c>
      <c r="X91" s="48">
        <f t="shared" si="24"/>
        <v>0.05</v>
      </c>
      <c r="Y91" s="48">
        <f t="shared" si="25"/>
        <v>0.24167872648335753</v>
      </c>
      <c r="Z91" s="78">
        <v>4290</v>
      </c>
      <c r="AA91" t="s">
        <v>822</v>
      </c>
      <c r="AB91" s="67">
        <v>3590</v>
      </c>
    </row>
    <row r="92" spans="1:28" ht="46.5" thickTop="1" thickBot="1">
      <c r="A92" s="9">
        <v>159921</v>
      </c>
      <c r="B92" s="21">
        <f>VLOOKUP($A92,'Выгр Кат'!$A:$R,B$1,0)</f>
        <v>19564</v>
      </c>
      <c r="C92" s="54" t="str">
        <f>VLOOKUP($A92,'Выгр Кат'!$A:$R,C$1,0)</f>
        <v>Комплект тяги с контргайками рулевой трапеции "AUTOPRODUCT" для Лада Нива 4x4, Шевроле Нива</v>
      </c>
      <c r="D92" s="21" t="str">
        <f>VLOOKUP($A92,'Выгр Кат'!$A:$R,D$1,0)</f>
        <v>Y</v>
      </c>
      <c r="E92" s="21" t="str">
        <f>VLOOKUP($A92,'Выгр Кат'!$A:$R,E$1,0)</f>
        <v>1</v>
      </c>
      <c r="F92" s="21" t="str">
        <f>VLOOKUP($A92,'Выгр Кат'!$A:$R,F$1,0)</f>
        <v>АР 0475</v>
      </c>
      <c r="G92" s="7" t="s">
        <v>401</v>
      </c>
      <c r="H92" s="6" t="s">
        <v>3</v>
      </c>
      <c r="I92" s="94">
        <f>VLOOKUP($G92,ПРАЙС!$B:$H,5,0)</f>
        <v>3175</v>
      </c>
      <c r="J92" s="8">
        <f t="shared" si="17"/>
        <v>1.2881889763779528</v>
      </c>
      <c r="K92" s="8">
        <f>VLOOKUP($G92,ПРАЙС!$B:$H,7,0)</f>
        <v>4090</v>
      </c>
      <c r="L92" s="8">
        <f t="shared" si="18"/>
        <v>1.2881889763779528</v>
      </c>
      <c r="M92" s="9">
        <f t="shared" si="19"/>
        <v>4090</v>
      </c>
      <c r="N92" s="94">
        <f t="shared" si="20"/>
        <v>4090</v>
      </c>
      <c r="O92" s="21">
        <f>VLOOKUP($A92,'Выгр Кат'!$A:$R,O$1,0)</f>
        <v>3245</v>
      </c>
      <c r="P92" s="21">
        <f>VLOOKUP($A92,'Выгр Кат'!$A:$R,P$1,0)</f>
        <v>4290</v>
      </c>
      <c r="Q92" s="70">
        <f t="shared" si="21"/>
        <v>70</v>
      </c>
      <c r="R92" s="70">
        <f t="shared" si="22"/>
        <v>200</v>
      </c>
      <c r="S92" s="85">
        <f t="shared" si="26"/>
        <v>3885.5</v>
      </c>
      <c r="T92" s="81">
        <f>IFERROR((VLOOKUP($A92,'Из ГУГЛа'!$B:$G,6,0)+V92)*U92,VLOOKUP($A92,'Из ГУГЛа'!$B:$G,6,0))</f>
        <v>4190</v>
      </c>
      <c r="U92" s="83">
        <v>1</v>
      </c>
      <c r="V92" s="83">
        <v>0</v>
      </c>
      <c r="W92" s="48">
        <f t="shared" si="23"/>
        <v>0.22377952755905506</v>
      </c>
      <c r="X92" s="48">
        <f t="shared" si="24"/>
        <v>7.2673031026252985E-2</v>
      </c>
      <c r="Y92" s="48">
        <f t="shared" si="25"/>
        <v>0.31968503937007875</v>
      </c>
      <c r="Z92" s="79">
        <f>T92</f>
        <v>4190</v>
      </c>
      <c r="AA92" t="s">
        <v>888</v>
      </c>
      <c r="AB92" s="68"/>
    </row>
    <row r="93" spans="1:28" ht="31.5" thickTop="1" thickBot="1">
      <c r="A93" s="14">
        <v>195245</v>
      </c>
      <c r="B93" s="21">
        <f>VLOOKUP($A93,'Выгр Кат'!$A:$R,B$1,0)</f>
        <v>35094</v>
      </c>
      <c r="C93" s="54" t="str">
        <f>VLOOKUP($A93,'Выгр Кат'!$A:$R,C$1,0)</f>
        <v>Поперечина "AUTOPRODUCT" под растяжку двигателя для Лада Веста</v>
      </c>
      <c r="D93" s="21" t="str">
        <f>VLOOKUP($A93,'Выгр Кат'!$A:$R,D$1,0)</f>
        <v>Y</v>
      </c>
      <c r="E93" s="21" t="str">
        <f>VLOOKUP($A93,'Выгр Кат'!$A:$R,E$1,0)</f>
        <v>1</v>
      </c>
      <c r="F93" s="21" t="str">
        <f>VLOOKUP($A93,'Выгр Кат'!$A:$R,F$1,0)</f>
        <v>AP 0671</v>
      </c>
      <c r="G93" s="23" t="s">
        <v>406</v>
      </c>
      <c r="H93" s="6" t="s">
        <v>3</v>
      </c>
      <c r="I93" s="94">
        <f>VLOOKUP($G93,ПРАЙС!$B:$H,5,0)</f>
        <v>3095</v>
      </c>
      <c r="J93" s="8">
        <f t="shared" si="17"/>
        <v>1.2891760904684977</v>
      </c>
      <c r="K93" s="8">
        <f>VLOOKUP($G93,ПРАЙС!$B:$H,7,0)</f>
        <v>3990</v>
      </c>
      <c r="L93" s="8">
        <f t="shared" si="18"/>
        <v>1.2891760904684977</v>
      </c>
      <c r="M93" s="9">
        <f t="shared" si="19"/>
        <v>3990.0000000000005</v>
      </c>
      <c r="N93" s="94">
        <f t="shared" si="20"/>
        <v>3990</v>
      </c>
      <c r="O93" s="21">
        <f>VLOOKUP($A93,'Выгр Кат'!$A:$R,O$1,0)</f>
        <v>3095</v>
      </c>
      <c r="P93" s="21">
        <f>VLOOKUP($A93,'Выгр Кат'!$A:$R,P$1,0)</f>
        <v>3990</v>
      </c>
      <c r="Q93" s="70">
        <f t="shared" si="21"/>
        <v>0</v>
      </c>
      <c r="R93" s="70">
        <f t="shared" si="22"/>
        <v>0</v>
      </c>
      <c r="S93" s="85">
        <f t="shared" si="26"/>
        <v>3790.5</v>
      </c>
      <c r="T93" s="81" t="str">
        <f>IFERROR((VLOOKUP($A93,'Из ГУГЛа'!$B:$G,6,0)+V93)*U93,VLOOKUP($A93,'Из ГУГЛа'!$B:$G,6,0))</f>
        <v/>
      </c>
      <c r="U93" s="83">
        <v>1</v>
      </c>
      <c r="V93" s="83">
        <v>0</v>
      </c>
      <c r="W93" s="48">
        <f t="shared" si="23"/>
        <v>0.22471728594507279</v>
      </c>
      <c r="X93" s="48" t="str">
        <f t="shared" si="24"/>
        <v/>
      </c>
      <c r="Y93" s="48" t="str">
        <f t="shared" si="25"/>
        <v/>
      </c>
      <c r="Z93" s="79" t="s">
        <v>927</v>
      </c>
      <c r="AB93" s="75">
        <v>3900</v>
      </c>
    </row>
    <row r="94" spans="1:28" ht="46.5" thickTop="1" thickBot="1">
      <c r="A94" s="9">
        <v>195295</v>
      </c>
      <c r="B94" s="21">
        <f>VLOOKUP($A94,'Выгр Кат'!$A:$R,B$1,0)</f>
        <v>3452</v>
      </c>
      <c r="C94" s="54" t="str">
        <f>VLOOKUP($A94,'Выгр Кат'!$A:$R,C$1,0)</f>
        <v>Поперечина передней подвески Drive с доп.опорой "AUTOPRODUCT" для ВАЗ 2108-21099, 2113-2115</v>
      </c>
      <c r="D94" s="21" t="str">
        <f>VLOOKUP($A94,'Выгр Кат'!$A:$R,D$1,0)</f>
        <v>Y</v>
      </c>
      <c r="E94" s="21" t="str">
        <f>VLOOKUP($A94,'Выгр Кат'!$A:$R,E$1,0)</f>
        <v>1</v>
      </c>
      <c r="F94" s="21" t="str">
        <f>VLOOKUP($A94,'Выгр Кат'!$A:$R,F$1,0)</f>
        <v>АР 0092</v>
      </c>
      <c r="G94" s="7" t="s">
        <v>282</v>
      </c>
      <c r="H94" s="6" t="s">
        <v>3</v>
      </c>
      <c r="I94" s="92">
        <f>O94</f>
        <v>3770</v>
      </c>
      <c r="J94" s="8" t="e">
        <f t="shared" si="17"/>
        <v>#N/A</v>
      </c>
      <c r="K94" s="8" t="e">
        <f>VLOOKUP($G94,ПРАЙС!$B:$H,7,0)</f>
        <v>#N/A</v>
      </c>
      <c r="L94" s="8" t="e">
        <f t="shared" si="18"/>
        <v>#N/A</v>
      </c>
      <c r="M94" s="92">
        <f>P94</f>
        <v>5090</v>
      </c>
      <c r="N94" s="94">
        <f t="shared" si="20"/>
        <v>5090</v>
      </c>
      <c r="O94" s="21">
        <f>VLOOKUP($A94,'Выгр Кат'!$A:$R,O$1,0)</f>
        <v>3770</v>
      </c>
      <c r="P94" s="21">
        <f>VLOOKUP($A94,'Выгр Кат'!$A:$R,P$1,0)</f>
        <v>5090</v>
      </c>
      <c r="Q94" s="70">
        <f t="shared" si="21"/>
        <v>0</v>
      </c>
      <c r="R94" s="70">
        <f t="shared" si="22"/>
        <v>0</v>
      </c>
      <c r="S94" s="85">
        <f t="shared" si="26"/>
        <v>4835.5</v>
      </c>
      <c r="T94" s="81">
        <f>IFERROR((VLOOKUP($A94,'Из ГУГЛа'!$B:$G,6,0)+V94)*U94,VLOOKUP($A94,'Из ГУГЛа'!$B:$G,6,0))</f>
        <v>4890</v>
      </c>
      <c r="U94" s="83">
        <v>1</v>
      </c>
      <c r="V94" s="83">
        <v>0</v>
      </c>
      <c r="W94" s="48">
        <f t="shared" si="23"/>
        <v>0.2826259946949603</v>
      </c>
      <c r="X94" s="48">
        <f t="shared" si="24"/>
        <v>1.114519427402863E-2</v>
      </c>
      <c r="Y94" s="48">
        <f t="shared" si="25"/>
        <v>0.29708222811671092</v>
      </c>
      <c r="Z94" s="78">
        <v>4890</v>
      </c>
      <c r="AA94" t="s">
        <v>789</v>
      </c>
      <c r="AB94" s="67">
        <v>4290</v>
      </c>
    </row>
    <row r="95" spans="1:28" ht="46.5" thickTop="1" thickBot="1">
      <c r="A95" s="14">
        <v>195246</v>
      </c>
      <c r="B95" s="21">
        <f>VLOOKUP($A95,'Выгр Кат'!$A:$R,B$1,0)</f>
        <v>33146</v>
      </c>
      <c r="C95" s="54" t="str">
        <f>VLOOKUP($A95,'Выгр Кат'!$A:$R,C$1,0)</f>
        <v>Поперечина "AUTOPRODUCT" с передней опорой силового агрегата для Лада Веста</v>
      </c>
      <c r="D95" s="21" t="str">
        <f>VLOOKUP($A95,'Выгр Кат'!$A:$R,D$1,0)</f>
        <v>Y</v>
      </c>
      <c r="E95" s="21" t="str">
        <f>VLOOKUP($A95,'Выгр Кат'!$A:$R,E$1,0)</f>
        <v>1</v>
      </c>
      <c r="F95" s="21" t="str">
        <f>VLOOKUP($A95,'Выгр Кат'!$A:$R,F$1,0)</f>
        <v>AP 0673</v>
      </c>
      <c r="G95" s="26" t="s">
        <v>289</v>
      </c>
      <c r="H95" s="6" t="s">
        <v>3</v>
      </c>
      <c r="I95" s="94">
        <f>VLOOKUP($G95,ПРАЙС!$B:$H,5,0)</f>
        <v>3685</v>
      </c>
      <c r="J95" s="8">
        <f t="shared" si="17"/>
        <v>1.2890094979647218</v>
      </c>
      <c r="K95" s="8">
        <f>VLOOKUP($G95,ПРАЙС!$B:$H,7,0)</f>
        <v>4750</v>
      </c>
      <c r="L95" s="8">
        <f t="shared" si="18"/>
        <v>1.2890094979647218</v>
      </c>
      <c r="M95" s="9">
        <f t="shared" si="19"/>
        <v>4750</v>
      </c>
      <c r="N95" s="94">
        <f t="shared" si="20"/>
        <v>4790</v>
      </c>
      <c r="O95" s="21">
        <f>VLOOKUP($A95,'Выгр Кат'!$A:$R,O$1,0)</f>
        <v>3685</v>
      </c>
      <c r="P95" s="21">
        <f>VLOOKUP($A95,'Выгр Кат'!$A:$R,P$1,0)</f>
        <v>4990</v>
      </c>
      <c r="Q95" s="70">
        <f t="shared" si="21"/>
        <v>0</v>
      </c>
      <c r="R95" s="70">
        <f t="shared" si="22"/>
        <v>200</v>
      </c>
      <c r="S95" s="85">
        <f t="shared" si="26"/>
        <v>4550.5</v>
      </c>
      <c r="T95" s="81">
        <f>IFERROR((VLOOKUP($A95,'Из ГУГЛа'!$B:$G,6,0)+V95)*U95,VLOOKUP($A95,'Из ГУГЛа'!$B:$G,6,0))</f>
        <v>4790</v>
      </c>
      <c r="U95" s="83">
        <v>1</v>
      </c>
      <c r="V95" s="83">
        <v>0</v>
      </c>
      <c r="W95" s="48">
        <f t="shared" si="23"/>
        <v>0.23487109905020342</v>
      </c>
      <c r="X95" s="48">
        <f t="shared" si="24"/>
        <v>0.05</v>
      </c>
      <c r="Y95" s="48">
        <f t="shared" si="25"/>
        <v>0.299864314789688</v>
      </c>
      <c r="Z95" s="78">
        <v>4790</v>
      </c>
      <c r="AA95" t="s">
        <v>887</v>
      </c>
      <c r="AB95" s="68"/>
    </row>
    <row r="96" spans="1:28" ht="61.5" thickTop="1" thickBot="1">
      <c r="A96" s="14">
        <v>203105</v>
      </c>
      <c r="B96" s="21">
        <f>VLOOKUP($A96,'Выгр Кат'!$A:$R,B$1,0)</f>
        <v>35100</v>
      </c>
      <c r="C96" s="54" t="str">
        <f>VLOOKUP($A96,'Выгр Кат'!$A:$R,C$1,0)</f>
        <v>Реактивная тяга Панара "AUTOPRODUCT" DRIVE c двумя скрутками для ВАЗ 2101-2107, Лада Нива 4х4, Шевроле Нива</v>
      </c>
      <c r="D96" s="21" t="str">
        <f>VLOOKUP($A96,'Выгр Кат'!$A:$R,D$1,0)</f>
        <v>Y</v>
      </c>
      <c r="E96" s="21" t="str">
        <f>VLOOKUP($A96,'Выгр Кат'!$A:$R,E$1,0)</f>
        <v>1</v>
      </c>
      <c r="F96" s="21" t="str">
        <f>VLOOKUP($A96,'Выгр Кат'!$A:$R,F$1,0)</f>
        <v>AP 0803</v>
      </c>
      <c r="G96" s="23" t="s">
        <v>408</v>
      </c>
      <c r="H96" s="6" t="s">
        <v>3</v>
      </c>
      <c r="I96" s="92">
        <f>O96</f>
        <v>3490</v>
      </c>
      <c r="J96" s="8" t="e">
        <f t="shared" si="17"/>
        <v>#N/A</v>
      </c>
      <c r="K96" s="8" t="e">
        <f>VLOOKUP($G96,ПРАЙС!$B:$H,7,0)</f>
        <v>#N/A</v>
      </c>
      <c r="L96" s="8" t="e">
        <f t="shared" si="18"/>
        <v>#N/A</v>
      </c>
      <c r="M96" s="92">
        <f>P96</f>
        <v>4490</v>
      </c>
      <c r="N96" s="94">
        <f t="shared" si="20"/>
        <v>4490</v>
      </c>
      <c r="O96" s="21">
        <f>VLOOKUP($A96,'Выгр Кат'!$A:$R,O$1,0)</f>
        <v>3490</v>
      </c>
      <c r="P96" s="21">
        <f>VLOOKUP($A96,'Выгр Кат'!$A:$R,P$1,0)</f>
        <v>4490</v>
      </c>
      <c r="Q96" s="70">
        <f t="shared" si="21"/>
        <v>0</v>
      </c>
      <c r="R96" s="70">
        <f t="shared" si="22"/>
        <v>0</v>
      </c>
      <c r="S96" s="85">
        <f t="shared" si="26"/>
        <v>4265.5</v>
      </c>
      <c r="T96" s="81" t="str">
        <f>IFERROR((VLOOKUP($A96,'Из ГУГЛа'!$B:$G,6,0)+V96)*U96,VLOOKUP($A96,'Из ГУГЛа'!$B:$G,6,0))</f>
        <v/>
      </c>
      <c r="U96" s="83">
        <v>1</v>
      </c>
      <c r="V96" s="83">
        <v>0</v>
      </c>
      <c r="W96" s="48">
        <f t="shared" si="23"/>
        <v>0.22220630372492844</v>
      </c>
      <c r="X96" s="48" t="str">
        <f t="shared" si="24"/>
        <v/>
      </c>
      <c r="Y96" s="48" t="str">
        <f t="shared" si="25"/>
        <v/>
      </c>
      <c r="Z96" s="79" t="s">
        <v>927</v>
      </c>
      <c r="AB96" s="67">
        <v>4500</v>
      </c>
    </row>
    <row r="97" spans="1:28" ht="46.5" thickTop="1" thickBot="1">
      <c r="A97" s="9">
        <v>181855</v>
      </c>
      <c r="B97" s="21">
        <f>VLOOKUP($A97,'Выгр Кат'!$A:$R,B$1,0)</f>
        <v>3704</v>
      </c>
      <c r="C97" s="54" t="str">
        <f>VLOOKUP($A97,'Выгр Кат'!$A:$R,C$1,0)</f>
        <v>Опоры силового агрегата Sport Pro "AUTOPRODUCT" для ВАЗ 2108-21099, 2113-2115</v>
      </c>
      <c r="D97" s="21" t="str">
        <f>VLOOKUP($A97,'Выгр Кат'!$A:$R,D$1,0)</f>
        <v>Y</v>
      </c>
      <c r="E97" s="21" t="str">
        <f>VLOOKUP($A97,'Выгр Кат'!$A:$R,E$1,0)</f>
        <v>1</v>
      </c>
      <c r="F97" s="21" t="str">
        <f>VLOOKUP($A97,'Выгр Кат'!$A:$R,F$1,0)</f>
        <v>АР-S 2011</v>
      </c>
      <c r="G97" s="7" t="s">
        <v>257</v>
      </c>
      <c r="H97" s="6" t="s">
        <v>3</v>
      </c>
      <c r="I97" s="94">
        <f>VLOOKUP($G97,ПРАЙС!$B:$H,5,0)</f>
        <v>4115</v>
      </c>
      <c r="J97" s="8">
        <f t="shared" si="17"/>
        <v>1.1786148238153098</v>
      </c>
      <c r="K97" s="8">
        <f>VLOOKUP($G97,ПРАЙС!$B:$H,7,0)</f>
        <v>4850</v>
      </c>
      <c r="L97" s="8">
        <f t="shared" si="18"/>
        <v>1.22</v>
      </c>
      <c r="M97" s="9">
        <f t="shared" si="19"/>
        <v>5020.3</v>
      </c>
      <c r="N97" s="94">
        <f t="shared" si="20"/>
        <v>5090</v>
      </c>
      <c r="O97" s="21">
        <f>VLOOKUP($A97,'Выгр Кат'!$A:$R,O$1,0)</f>
        <v>3850</v>
      </c>
      <c r="P97" s="21">
        <f>VLOOKUP($A97,'Выгр Кат'!$A:$R,P$1,0)</f>
        <v>5190</v>
      </c>
      <c r="Q97" s="70">
        <f t="shared" si="21"/>
        <v>-265</v>
      </c>
      <c r="R97" s="70">
        <f t="shared" si="22"/>
        <v>100</v>
      </c>
      <c r="S97" s="85">
        <f t="shared" si="26"/>
        <v>4835.5</v>
      </c>
      <c r="T97" s="81">
        <f>IFERROR((VLOOKUP($A97,'Из ГУГЛа'!$B:$G,6,0)+V97)*U97,VLOOKUP($A97,'Из ГУГЛа'!$B:$G,6,0))</f>
        <v>4990</v>
      </c>
      <c r="U97" s="83">
        <v>1</v>
      </c>
      <c r="V97" s="83">
        <v>0</v>
      </c>
      <c r="W97" s="48">
        <f t="shared" si="23"/>
        <v>0.17509113001215071</v>
      </c>
      <c r="X97" s="48">
        <f t="shared" si="24"/>
        <v>3.0961923847695392E-2</v>
      </c>
      <c r="Y97" s="48">
        <f t="shared" si="25"/>
        <v>0.21263669501822591</v>
      </c>
      <c r="Z97" s="78">
        <v>4990</v>
      </c>
      <c r="AA97" t="s">
        <v>930</v>
      </c>
      <c r="AB97" s="68"/>
    </row>
    <row r="98" spans="1:28" ht="46.5" thickTop="1" thickBot="1">
      <c r="A98" s="9">
        <v>223621</v>
      </c>
      <c r="B98" s="21">
        <f>VLOOKUP($A98,'Выгр Кат'!$A:$R,B$1,0)</f>
        <v>3587</v>
      </c>
      <c r="C98" s="54" t="str">
        <f>VLOOKUP($A98,'Выгр Кат'!$A:$R,C$1,0)</f>
        <v>Усилитель кузова задний "AUTOPRODUCT" для Лада Калина, Калина 2, Гранта</v>
      </c>
      <c r="D98" s="21" t="str">
        <f>VLOOKUP($A98,'Выгр Кат'!$A:$R,D$1,0)</f>
        <v>Y</v>
      </c>
      <c r="E98" s="21" t="str">
        <f>VLOOKUP($A98,'Выгр Кат'!$A:$R,E$1,0)</f>
        <v>1</v>
      </c>
      <c r="F98" s="21" t="str">
        <f>VLOOKUP($A98,'Выгр Кат'!$A:$R,F$1,0)</f>
        <v>АР 0416</v>
      </c>
      <c r="G98" s="7" t="s">
        <v>295</v>
      </c>
      <c r="H98" s="6" t="s">
        <v>3</v>
      </c>
      <c r="I98" s="94">
        <f>VLOOKUP($G98,ПРАЙС!$B:$H,5,0)</f>
        <v>4425</v>
      </c>
      <c r="J98" s="8">
        <f t="shared" si="17"/>
        <v>1.2180790960451977</v>
      </c>
      <c r="K98" s="8">
        <f>VLOOKUP($G98,ПРАЙС!$B:$H,7,0)</f>
        <v>5390</v>
      </c>
      <c r="L98" s="8">
        <f t="shared" si="18"/>
        <v>1.22</v>
      </c>
      <c r="M98" s="9">
        <f t="shared" si="19"/>
        <v>5398.5</v>
      </c>
      <c r="N98" s="94">
        <f t="shared" si="20"/>
        <v>5390</v>
      </c>
      <c r="O98" s="21">
        <f>VLOOKUP($A98,'Выгр Кат'!$A:$R,O$1,0)</f>
        <v>4375</v>
      </c>
      <c r="P98" s="21">
        <f>VLOOKUP($A98,'Выгр Кат'!$A:$R,P$1,0)</f>
        <v>5890</v>
      </c>
      <c r="Q98" s="70">
        <f t="shared" si="21"/>
        <v>-50</v>
      </c>
      <c r="R98" s="70">
        <f t="shared" si="22"/>
        <v>500</v>
      </c>
      <c r="S98" s="85">
        <f t="shared" si="26"/>
        <v>5120.5</v>
      </c>
      <c r="T98" s="81">
        <f>IFERROR((VLOOKUP($A98,'Из ГУГЛа'!$B:$G,6,0)+V98)*U98,VLOOKUP($A98,'Из ГУГЛа'!$B:$G,6,0))</f>
        <v>5690</v>
      </c>
      <c r="U98" s="83">
        <v>1</v>
      </c>
      <c r="V98" s="83">
        <v>0</v>
      </c>
      <c r="W98" s="48">
        <f t="shared" si="23"/>
        <v>0.15717514124293785</v>
      </c>
      <c r="X98" s="48">
        <f t="shared" si="24"/>
        <v>0.10008787346221441</v>
      </c>
      <c r="Y98" s="48">
        <f t="shared" si="25"/>
        <v>0.28587570621468927</v>
      </c>
      <c r="Z98" s="79">
        <f t="shared" ref="Z98:Z100" si="30">T98</f>
        <v>5690</v>
      </c>
      <c r="AA98" t="s">
        <v>776</v>
      </c>
      <c r="AB98" s="75">
        <v>4690</v>
      </c>
    </row>
    <row r="99" spans="1:28" ht="31.5" thickTop="1" thickBot="1">
      <c r="A99" s="9">
        <v>223620</v>
      </c>
      <c r="B99" s="21">
        <f>VLOOKUP($A99,'Выгр Кат'!$A:$R,B$1,0)</f>
        <v>3716</v>
      </c>
      <c r="C99" s="54" t="str">
        <f>VLOOKUP($A99,'Выгр Кат'!$A:$R,C$1,0)</f>
        <v>Усилитель кузова "AUTOPRODUCT" задний для ВАЗ 2108-21099, 2113-2115</v>
      </c>
      <c r="D99" s="21" t="str">
        <f>VLOOKUP($A99,'Выгр Кат'!$A:$R,D$1,0)</f>
        <v>Y</v>
      </c>
      <c r="E99" s="21" t="str">
        <f>VLOOKUP($A99,'Выгр Кат'!$A:$R,E$1,0)</f>
        <v>1</v>
      </c>
      <c r="F99" s="21" t="str">
        <f>VLOOKUP($A99,'Выгр Кат'!$A:$R,F$1,0)</f>
        <v>AP 0120</v>
      </c>
      <c r="G99" s="7" t="s">
        <v>291</v>
      </c>
      <c r="H99" s="6" t="s">
        <v>3</v>
      </c>
      <c r="I99" s="94">
        <f>VLOOKUP($G99,ПРАЙС!$B:$H,5,0)</f>
        <v>4410</v>
      </c>
      <c r="J99" s="8">
        <f t="shared" si="17"/>
        <v>1.2448979591836735</v>
      </c>
      <c r="K99" s="8">
        <f>VLOOKUP($G99,ПРАЙС!$B:$H,7,0)</f>
        <v>5490</v>
      </c>
      <c r="L99" s="8">
        <f t="shared" si="18"/>
        <v>1.2448979591836735</v>
      </c>
      <c r="M99" s="9">
        <f t="shared" si="19"/>
        <v>5490</v>
      </c>
      <c r="N99" s="94">
        <f t="shared" si="20"/>
        <v>5490</v>
      </c>
      <c r="O99" s="21">
        <f>VLOOKUP($A99,'Выгр Кат'!$A:$R,O$1,0)</f>
        <v>4410</v>
      </c>
      <c r="P99" s="21">
        <f>VLOOKUP($A99,'Выгр Кат'!$A:$R,P$1,0)</f>
        <v>5890</v>
      </c>
      <c r="Q99" s="70">
        <f t="shared" si="21"/>
        <v>0</v>
      </c>
      <c r="R99" s="70">
        <f t="shared" si="22"/>
        <v>400</v>
      </c>
      <c r="S99" s="85">
        <f t="shared" si="26"/>
        <v>5215.5</v>
      </c>
      <c r="T99" s="81">
        <f>IFERROR((VLOOKUP($A99,'Из ГУГЛа'!$B:$G,6,0)+V99)*U99,VLOOKUP($A99,'Из ГУГЛа'!$B:$G,6,0))</f>
        <v>5690</v>
      </c>
      <c r="U99" s="83">
        <v>1</v>
      </c>
      <c r="V99" s="83">
        <v>0</v>
      </c>
      <c r="W99" s="48">
        <f t="shared" si="23"/>
        <v>0.18265306122448988</v>
      </c>
      <c r="X99" s="48">
        <f t="shared" si="24"/>
        <v>8.3391915641476272E-2</v>
      </c>
      <c r="Y99" s="48">
        <f t="shared" si="25"/>
        <v>0.29024943310657592</v>
      </c>
      <c r="Z99" s="79">
        <f t="shared" si="30"/>
        <v>5690</v>
      </c>
      <c r="AA99" t="s">
        <v>886</v>
      </c>
      <c r="AB99" s="13"/>
    </row>
    <row r="100" spans="1:28" ht="31.5" thickTop="1" thickBot="1">
      <c r="A100" s="9">
        <v>141266</v>
      </c>
      <c r="B100" s="21">
        <f>VLOOKUP($A100,'Выгр Кат'!$A:$R,B$1,0)</f>
        <v>19525</v>
      </c>
      <c r="C100" s="54" t="str">
        <f>VLOOKUP($A100,'Выгр Кат'!$A:$R,C$1,0)</f>
        <v>Глушитель прямоточный "AUTOPRODUCT" для ВАЗ 2108, 2109</v>
      </c>
      <c r="D100" s="21" t="str">
        <f>VLOOKUP($A100,'Выгр Кат'!$A:$R,D$1,0)</f>
        <v>Y</v>
      </c>
      <c r="E100" s="21" t="str">
        <f>VLOOKUP($A100,'Выгр Кат'!$A:$R,E$1,0)</f>
        <v>1</v>
      </c>
      <c r="F100" s="21" t="str">
        <f>VLOOKUP($A100,'Выгр Кат'!$A:$R,F$1,0)</f>
        <v>АР 0021</v>
      </c>
      <c r="G100" s="7" t="s">
        <v>211</v>
      </c>
      <c r="H100" s="6" t="s">
        <v>3</v>
      </c>
      <c r="I100" s="94">
        <f>VLOOKUP($G100,ПРАЙС!$B:$H,5,0)</f>
        <v>4280</v>
      </c>
      <c r="J100" s="8">
        <f t="shared" si="17"/>
        <v>1.1191588785046729</v>
      </c>
      <c r="K100" s="8">
        <f>VLOOKUP($G100,ПРАЙС!$B:$H,7,0)</f>
        <v>4790</v>
      </c>
      <c r="L100" s="8">
        <f t="shared" si="18"/>
        <v>1.22</v>
      </c>
      <c r="M100" s="9">
        <f t="shared" si="19"/>
        <v>5221.5999999999995</v>
      </c>
      <c r="N100" s="94">
        <f t="shared" si="20"/>
        <v>5290</v>
      </c>
      <c r="O100" s="21">
        <f>VLOOKUP($A100,'Выгр Кат'!$A:$R,O$1,0)</f>
        <v>4280</v>
      </c>
      <c r="P100" s="21">
        <f>VLOOKUP($A100,'Выгр Кат'!$A:$R,P$1,0)</f>
        <v>5790</v>
      </c>
      <c r="Q100" s="70">
        <f t="shared" si="21"/>
        <v>0</v>
      </c>
      <c r="R100" s="70">
        <f t="shared" si="22"/>
        <v>500</v>
      </c>
      <c r="S100" s="85">
        <f t="shared" si="26"/>
        <v>5025.5</v>
      </c>
      <c r="T100" s="81">
        <f>IFERROR((VLOOKUP($A100,'Из ГУГЛа'!$B:$G,6,0)+V100)*U100,VLOOKUP($A100,'Из ГУГЛа'!$B:$G,6,0))</f>
        <v>5590</v>
      </c>
      <c r="U100" s="83">
        <v>1</v>
      </c>
      <c r="V100" s="83">
        <v>0</v>
      </c>
      <c r="W100" s="48">
        <f t="shared" si="23"/>
        <v>0.1741822429906541</v>
      </c>
      <c r="X100" s="48">
        <f t="shared" si="24"/>
        <v>0.10098389982110913</v>
      </c>
      <c r="Y100" s="48">
        <f t="shared" si="25"/>
        <v>0.30607476635514019</v>
      </c>
      <c r="Z100" s="79">
        <f t="shared" si="30"/>
        <v>5590</v>
      </c>
      <c r="AA100" t="s">
        <v>795</v>
      </c>
      <c r="AB100" s="75">
        <v>4590</v>
      </c>
    </row>
    <row r="101" spans="1:28" ht="31.5" thickTop="1" thickBot="1">
      <c r="A101" s="9">
        <v>141267</v>
      </c>
      <c r="B101" s="21">
        <f>VLOOKUP($A101,'Выгр Кат'!$A:$R,B$1,0)</f>
        <v>19540</v>
      </c>
      <c r="C101" s="54" t="str">
        <f>VLOOKUP($A101,'Выгр Кат'!$A:$R,C$1,0)</f>
        <v>Глушитель прямоточный "AUTOPRODUCT" для ВАЗ 21099</v>
      </c>
      <c r="D101" s="21" t="str">
        <f>VLOOKUP($A101,'Выгр Кат'!$A:$R,D$1,0)</f>
        <v>Y</v>
      </c>
      <c r="E101" s="21" t="str">
        <f>VLOOKUP($A101,'Выгр Кат'!$A:$R,E$1,0)</f>
        <v>1</v>
      </c>
      <c r="F101" s="21" t="str">
        <f>VLOOKUP($A101,'Выгр Кат'!$A:$R,F$1,0)</f>
        <v>АР 0145</v>
      </c>
      <c r="G101" s="7" t="s">
        <v>212</v>
      </c>
      <c r="H101" s="6" t="s">
        <v>3</v>
      </c>
      <c r="I101" s="94">
        <f>VLOOKUP($G101,ПРАЙС!$B:$H,5,0)</f>
        <v>4030</v>
      </c>
      <c r="J101" s="8">
        <f t="shared" si="17"/>
        <v>1.1786600496277915</v>
      </c>
      <c r="K101" s="8">
        <f>VLOOKUP($G101,ПРАЙС!$B:$H,7,0)</f>
        <v>4750</v>
      </c>
      <c r="L101" s="8">
        <f t="shared" si="18"/>
        <v>1.22</v>
      </c>
      <c r="M101" s="9">
        <f t="shared" si="19"/>
        <v>4916.5999999999995</v>
      </c>
      <c r="N101" s="94">
        <f t="shared" si="20"/>
        <v>4990</v>
      </c>
      <c r="O101" s="21">
        <f>VLOOKUP($A101,'Выгр Кат'!$A:$R,O$1,0)</f>
        <v>4030</v>
      </c>
      <c r="P101" s="21">
        <f>VLOOKUP($A101,'Выгр Кат'!$A:$R,P$1,0)</f>
        <v>5390</v>
      </c>
      <c r="Q101" s="70">
        <f t="shared" si="21"/>
        <v>0</v>
      </c>
      <c r="R101" s="70">
        <f t="shared" si="22"/>
        <v>400</v>
      </c>
      <c r="S101" s="85">
        <f t="shared" si="26"/>
        <v>4740.5</v>
      </c>
      <c r="T101" s="81">
        <f>IFERROR((VLOOKUP($A101,'Из ГУГЛа'!$B:$G,6,0)+V101)*U101,VLOOKUP($A101,'Из ГУГЛа'!$B:$G,6,0))</f>
        <v>5190</v>
      </c>
      <c r="U101" s="83">
        <v>1</v>
      </c>
      <c r="V101" s="83">
        <v>0</v>
      </c>
      <c r="W101" s="48">
        <f t="shared" si="23"/>
        <v>0.17630272952853598</v>
      </c>
      <c r="X101" s="48">
        <f t="shared" si="24"/>
        <v>8.6608863198458577E-2</v>
      </c>
      <c r="Y101" s="48">
        <f t="shared" si="25"/>
        <v>0.28784119106699757</v>
      </c>
      <c r="Z101" s="78">
        <v>5190</v>
      </c>
      <c r="AA101" t="s">
        <v>885</v>
      </c>
      <c r="AB101" s="13"/>
    </row>
    <row r="102" spans="1:28" ht="31.5" thickTop="1" thickBot="1">
      <c r="A102" s="9">
        <v>141268</v>
      </c>
      <c r="B102" s="21">
        <f>VLOOKUP($A102,'Выгр Кат'!$A:$R,B$1,0)</f>
        <v>19541</v>
      </c>
      <c r="C102" s="54" t="str">
        <f>VLOOKUP($A102,'Выгр Кат'!$A:$R,C$1,0)</f>
        <v>Глушитель прямоточный "AUTOPRODUCT" для ВАЗ 2110</v>
      </c>
      <c r="D102" s="21" t="str">
        <f>VLOOKUP($A102,'Выгр Кат'!$A:$R,D$1,0)</f>
        <v>Y</v>
      </c>
      <c r="E102" s="21" t="str">
        <f>VLOOKUP($A102,'Выгр Кат'!$A:$R,E$1,0)</f>
        <v>1</v>
      </c>
      <c r="F102" s="21" t="str">
        <f>VLOOKUP($A102,'Выгр Кат'!$A:$R,F$1,0)</f>
        <v>АР 0151</v>
      </c>
      <c r="G102" s="7" t="s">
        <v>214</v>
      </c>
      <c r="H102" s="6" t="s">
        <v>3</v>
      </c>
      <c r="I102" s="94">
        <f>VLOOKUP($G102,ПРАЙС!$B:$H,5,0)</f>
        <v>4030</v>
      </c>
      <c r="J102" s="8">
        <f t="shared" si="17"/>
        <v>1.1786600496277915</v>
      </c>
      <c r="K102" s="8">
        <f>VLOOKUP($G102,ПРАЙС!$B:$H,7,0)</f>
        <v>4750</v>
      </c>
      <c r="L102" s="8">
        <f t="shared" si="18"/>
        <v>1.22</v>
      </c>
      <c r="M102" s="9">
        <f t="shared" si="19"/>
        <v>4916.5999999999995</v>
      </c>
      <c r="N102" s="94">
        <f t="shared" si="20"/>
        <v>4990</v>
      </c>
      <c r="O102" s="21">
        <f>VLOOKUP($A102,'Выгр Кат'!$A:$R,O$1,0)</f>
        <v>4030</v>
      </c>
      <c r="P102" s="21">
        <f>VLOOKUP($A102,'Выгр Кат'!$A:$R,P$1,0)</f>
        <v>5390</v>
      </c>
      <c r="Q102" s="70">
        <f t="shared" si="21"/>
        <v>0</v>
      </c>
      <c r="R102" s="70">
        <f t="shared" si="22"/>
        <v>400</v>
      </c>
      <c r="S102" s="85">
        <f t="shared" si="26"/>
        <v>4740.5</v>
      </c>
      <c r="T102" s="81">
        <f>IFERROR((VLOOKUP($A102,'Из ГУГЛа'!$B:$G,6,0)+V102)*U102,VLOOKUP($A102,'Из ГУГЛа'!$B:$G,6,0))</f>
        <v>5190</v>
      </c>
      <c r="U102" s="83">
        <v>1</v>
      </c>
      <c r="V102" s="83">
        <v>0</v>
      </c>
      <c r="W102" s="48">
        <f t="shared" si="23"/>
        <v>0.17630272952853598</v>
      </c>
      <c r="X102" s="48">
        <f t="shared" si="24"/>
        <v>8.6608863198458577E-2</v>
      </c>
      <c r="Y102" s="48">
        <f t="shared" si="25"/>
        <v>0.28784119106699757</v>
      </c>
      <c r="Z102" s="78">
        <v>5190</v>
      </c>
      <c r="AA102" t="s">
        <v>820</v>
      </c>
      <c r="AB102" s="75">
        <v>4750</v>
      </c>
    </row>
    <row r="103" spans="1:28" ht="31.5" thickTop="1" thickBot="1">
      <c r="A103" s="9">
        <v>141269</v>
      </c>
      <c r="B103" s="21">
        <f>VLOOKUP($A103,'Выгр Кат'!$A:$R,B$1,0)</f>
        <v>19542</v>
      </c>
      <c r="C103" s="54" t="str">
        <f>VLOOKUP($A103,'Выгр Кат'!$A:$R,C$1,0)</f>
        <v>Глушитель прямоточный "AUTOPRODUCT" для ВАЗ 2111</v>
      </c>
      <c r="D103" s="21" t="str">
        <f>VLOOKUP($A103,'Выгр Кат'!$A:$R,D$1,0)</f>
        <v>Y</v>
      </c>
      <c r="E103" s="21" t="str">
        <f>VLOOKUP($A103,'Выгр Кат'!$A:$R,E$1,0)</f>
        <v>1</v>
      </c>
      <c r="F103" s="21" t="str">
        <f>VLOOKUP($A103,'Выгр Кат'!$A:$R,F$1,0)</f>
        <v>АР 0152</v>
      </c>
      <c r="G103" s="7" t="s">
        <v>215</v>
      </c>
      <c r="H103" s="6" t="s">
        <v>3</v>
      </c>
      <c r="I103" s="94">
        <f>VLOOKUP($G103,ПРАЙС!$B:$H,5,0)</f>
        <v>3685</v>
      </c>
      <c r="J103" s="8">
        <f t="shared" si="17"/>
        <v>1.2890094979647218</v>
      </c>
      <c r="K103" s="8">
        <f>VLOOKUP($G103,ПРАЙС!$B:$H,7,0)</f>
        <v>4750</v>
      </c>
      <c r="L103" s="8">
        <f t="shared" si="18"/>
        <v>1.2890094979647218</v>
      </c>
      <c r="M103" s="9">
        <f t="shared" si="19"/>
        <v>4750</v>
      </c>
      <c r="N103" s="94">
        <f t="shared" si="20"/>
        <v>4790</v>
      </c>
      <c r="O103" s="21">
        <f>VLOOKUP($A103,'Выгр Кат'!$A:$R,O$1,0)</f>
        <v>3685</v>
      </c>
      <c r="P103" s="21">
        <f>VLOOKUP($A103,'Выгр Кат'!$A:$R,P$1,0)</f>
        <v>4990</v>
      </c>
      <c r="Q103" s="70">
        <f t="shared" si="21"/>
        <v>0</v>
      </c>
      <c r="R103" s="70">
        <f t="shared" si="22"/>
        <v>200</v>
      </c>
      <c r="S103" s="85">
        <f t="shared" si="26"/>
        <v>4550.5</v>
      </c>
      <c r="T103" s="81">
        <f>IFERROR((VLOOKUP($A103,'Из ГУГЛа'!$B:$G,6,0)+V103)*U103,VLOOKUP($A103,'Из ГУГЛа'!$B:$G,6,0))</f>
        <v>4790</v>
      </c>
      <c r="U103" s="83">
        <v>1</v>
      </c>
      <c r="V103" s="83">
        <v>0</v>
      </c>
      <c r="W103" s="48">
        <f t="shared" si="23"/>
        <v>0.23487109905020342</v>
      </c>
      <c r="X103" s="48">
        <f t="shared" si="24"/>
        <v>0.05</v>
      </c>
      <c r="Y103" s="48">
        <f t="shared" si="25"/>
        <v>0.299864314789688</v>
      </c>
      <c r="Z103" s="79">
        <f>T103</f>
        <v>4790</v>
      </c>
      <c r="AA103" t="s">
        <v>884</v>
      </c>
      <c r="AB103" s="13"/>
    </row>
    <row r="104" spans="1:28" ht="46.5" thickTop="1" thickBot="1">
      <c r="A104" s="9">
        <v>141276</v>
      </c>
      <c r="B104" s="21">
        <f>VLOOKUP($A104,'Выгр Кат'!$A:$R,B$1,0)</f>
        <v>19557</v>
      </c>
      <c r="C104" s="54" t="str">
        <f>VLOOKUP($A104,'Выгр Кат'!$A:$R,C$1,0)</f>
        <v>Глушитель прямоточный "AUTOPRODUCT" для Лада Приора, Приора 2 (седан, универсал)</v>
      </c>
      <c r="D104" s="21" t="str">
        <f>VLOOKUP($A104,'Выгр Кат'!$A:$R,D$1,0)</f>
        <v>Y</v>
      </c>
      <c r="E104" s="21" t="str">
        <f>VLOOKUP($A104,'Выгр Кат'!$A:$R,E$1,0)</f>
        <v>1</v>
      </c>
      <c r="F104" s="21" t="str">
        <f>VLOOKUP($A104,'Выгр Кат'!$A:$R,F$1,0)</f>
        <v>АР 0428</v>
      </c>
      <c r="G104" s="7" t="s">
        <v>221</v>
      </c>
      <c r="H104" s="6" t="s">
        <v>3</v>
      </c>
      <c r="I104" s="94">
        <f>VLOOKUP($G104,ПРАЙС!$B:$H,5,0)</f>
        <v>4145</v>
      </c>
      <c r="J104" s="8">
        <f t="shared" si="17"/>
        <v>1.1797346200241254</v>
      </c>
      <c r="K104" s="8">
        <f>VLOOKUP($G104,ПРАЙС!$B:$H,7,0)</f>
        <v>4890</v>
      </c>
      <c r="L104" s="8">
        <f t="shared" si="18"/>
        <v>1.22</v>
      </c>
      <c r="M104" s="9">
        <f t="shared" si="19"/>
        <v>5056.8999999999996</v>
      </c>
      <c r="N104" s="94">
        <f t="shared" si="20"/>
        <v>5090</v>
      </c>
      <c r="O104" s="21">
        <f>VLOOKUP($A104,'Выгр Кат'!$A:$R,O$1,0)</f>
        <v>4145</v>
      </c>
      <c r="P104" s="21">
        <f>VLOOKUP($A104,'Выгр Кат'!$A:$R,P$1,0)</f>
        <v>5490</v>
      </c>
      <c r="Q104" s="70">
        <f t="shared" si="21"/>
        <v>0</v>
      </c>
      <c r="R104" s="70">
        <f t="shared" si="22"/>
        <v>400</v>
      </c>
      <c r="S104" s="85">
        <f t="shared" si="26"/>
        <v>4835.5</v>
      </c>
      <c r="T104" s="81">
        <f>IFERROR((VLOOKUP($A104,'Из ГУГЛа'!$B:$G,6,0)+V104)*U104,VLOOKUP($A104,'Из ГУГЛа'!$B:$G,6,0))</f>
        <v>5390</v>
      </c>
      <c r="U104" s="83">
        <v>1</v>
      </c>
      <c r="V104" s="83">
        <v>0</v>
      </c>
      <c r="W104" s="48">
        <f t="shared" si="23"/>
        <v>0.16658624849215919</v>
      </c>
      <c r="X104" s="48">
        <f t="shared" si="24"/>
        <v>0.10287569573283858</v>
      </c>
      <c r="Y104" s="48">
        <f t="shared" si="25"/>
        <v>0.30036188178528356</v>
      </c>
      <c r="Z104" s="78">
        <v>5390</v>
      </c>
      <c r="AA104" t="s">
        <v>818</v>
      </c>
      <c r="AB104" s="75">
        <v>4790</v>
      </c>
    </row>
    <row r="105" spans="1:28" ht="46.5" thickTop="1" thickBot="1">
      <c r="A105" s="9">
        <v>141270</v>
      </c>
      <c r="B105" s="21">
        <f>VLOOKUP($A105,'Выгр Кат'!$A:$R,B$1,0)</f>
        <v>19599</v>
      </c>
      <c r="C105" s="54" t="str">
        <f>VLOOKUP($A105,'Выгр Кат'!$A:$R,C$1,0)</f>
        <v>Глушитель прямоточный "AUTOPRODUCT" для ВАЗ 2112 (до 2007 г.в.)</v>
      </c>
      <c r="D105" s="21" t="str">
        <f>VLOOKUP($A105,'Выгр Кат'!$A:$R,D$1,0)</f>
        <v>Y</v>
      </c>
      <c r="E105" s="21" t="str">
        <f>VLOOKUP($A105,'Выгр Кат'!$A:$R,E$1,0)</f>
        <v>1</v>
      </c>
      <c r="F105" s="21" t="str">
        <f>VLOOKUP($A105,'Выгр Кат'!$A:$R,F$1,0)</f>
        <v>АР 0271</v>
      </c>
      <c r="G105" s="7" t="s">
        <v>217</v>
      </c>
      <c r="H105" s="6" t="s">
        <v>3</v>
      </c>
      <c r="I105" s="94">
        <f>VLOOKUP($G105,ПРАЙС!$B:$H,5,0)</f>
        <v>4145</v>
      </c>
      <c r="J105" s="8">
        <f t="shared" si="17"/>
        <v>1.1797346200241254</v>
      </c>
      <c r="K105" s="8">
        <f>VLOOKUP($G105,ПРАЙС!$B:$H,7,0)</f>
        <v>4890</v>
      </c>
      <c r="L105" s="8">
        <f t="shared" si="18"/>
        <v>1.22</v>
      </c>
      <c r="M105" s="9">
        <f t="shared" si="19"/>
        <v>5056.8999999999996</v>
      </c>
      <c r="N105" s="94">
        <f t="shared" si="20"/>
        <v>5090</v>
      </c>
      <c r="O105" s="21">
        <f>VLOOKUP($A105,'Выгр Кат'!$A:$R,O$1,0)</f>
        <v>4145</v>
      </c>
      <c r="P105" s="21">
        <f>VLOOKUP($A105,'Выгр Кат'!$A:$R,P$1,0)</f>
        <v>5490</v>
      </c>
      <c r="Q105" s="70">
        <f t="shared" si="21"/>
        <v>0</v>
      </c>
      <c r="R105" s="70">
        <f t="shared" si="22"/>
        <v>400</v>
      </c>
      <c r="S105" s="85">
        <f t="shared" si="26"/>
        <v>4835.5</v>
      </c>
      <c r="T105" s="81">
        <f>IFERROR((VLOOKUP($A105,'Из ГУГЛа'!$B:$G,6,0)+V105)*U105,VLOOKUP($A105,'Из ГУГЛа'!$B:$G,6,0))</f>
        <v>5390</v>
      </c>
      <c r="U105" s="83">
        <v>1</v>
      </c>
      <c r="V105" s="83">
        <v>0</v>
      </c>
      <c r="W105" s="48">
        <f t="shared" si="23"/>
        <v>0.16658624849215919</v>
      </c>
      <c r="X105" s="48">
        <f t="shared" si="24"/>
        <v>0.10287569573283858</v>
      </c>
      <c r="Y105" s="48">
        <f t="shared" si="25"/>
        <v>0.30036188178528356</v>
      </c>
      <c r="Z105" s="79">
        <f t="shared" ref="Z105:Z114" si="31">T105</f>
        <v>5390</v>
      </c>
      <c r="AA105" t="s">
        <v>819</v>
      </c>
      <c r="AB105" s="67">
        <v>4890</v>
      </c>
    </row>
    <row r="106" spans="1:28" ht="31.5" thickTop="1" thickBot="1">
      <c r="A106" s="9">
        <v>141271</v>
      </c>
      <c r="B106" s="21">
        <f>VLOOKUP($A106,'Выгр Кат'!$A:$R,B$1,0)</f>
        <v>19547</v>
      </c>
      <c r="C106" s="54" t="str">
        <f>VLOOKUP($A106,'Выгр Кат'!$A:$R,C$1,0)</f>
        <v>Глушитель прямоточный "AUTOPRODUCT" для ВАЗ 2113, 2114</v>
      </c>
      <c r="D106" s="21" t="str">
        <f>VLOOKUP($A106,'Выгр Кат'!$A:$R,D$1,0)</f>
        <v>Y</v>
      </c>
      <c r="E106" s="21" t="str">
        <f>VLOOKUP($A106,'Выгр Кат'!$A:$R,E$1,0)</f>
        <v>1</v>
      </c>
      <c r="F106" s="21" t="str">
        <f>VLOOKUP($A106,'Выгр Кат'!$A:$R,F$1,0)</f>
        <v>АР 0293</v>
      </c>
      <c r="G106" s="7" t="s">
        <v>218</v>
      </c>
      <c r="H106" s="6" t="s">
        <v>3</v>
      </c>
      <c r="I106" s="94">
        <f>VLOOKUP($G106,ПРАЙС!$B:$H,5,0)</f>
        <v>4145</v>
      </c>
      <c r="J106" s="8">
        <f t="shared" si="17"/>
        <v>1.1797346200241254</v>
      </c>
      <c r="K106" s="8">
        <f>VLOOKUP($G106,ПРАЙС!$B:$H,7,0)</f>
        <v>4890</v>
      </c>
      <c r="L106" s="8">
        <f t="shared" si="18"/>
        <v>1.22</v>
      </c>
      <c r="M106" s="9">
        <f t="shared" si="19"/>
        <v>5056.8999999999996</v>
      </c>
      <c r="N106" s="94">
        <f t="shared" si="20"/>
        <v>5090</v>
      </c>
      <c r="O106" s="21">
        <f>VLOOKUP($A106,'Выгр Кат'!$A:$R,O$1,0)</f>
        <v>4145</v>
      </c>
      <c r="P106" s="21">
        <f>VLOOKUP($A106,'Выгр Кат'!$A:$R,P$1,0)</f>
        <v>5490</v>
      </c>
      <c r="Q106" s="70">
        <f t="shared" si="21"/>
        <v>0</v>
      </c>
      <c r="R106" s="70">
        <f t="shared" si="22"/>
        <v>400</v>
      </c>
      <c r="S106" s="85">
        <f t="shared" si="26"/>
        <v>4835.5</v>
      </c>
      <c r="T106" s="81">
        <f>IFERROR((VLOOKUP($A106,'Из ГУГЛа'!$B:$G,6,0)+V106)*U106,VLOOKUP($A106,'Из ГУГЛа'!$B:$G,6,0))</f>
        <v>5390</v>
      </c>
      <c r="U106" s="83">
        <v>1</v>
      </c>
      <c r="V106" s="83">
        <v>0</v>
      </c>
      <c r="W106" s="48">
        <f t="shared" si="23"/>
        <v>0.16658624849215919</v>
      </c>
      <c r="X106" s="48">
        <f t="shared" si="24"/>
        <v>0.10287569573283858</v>
      </c>
      <c r="Y106" s="48">
        <f t="shared" si="25"/>
        <v>0.30036188178528356</v>
      </c>
      <c r="Z106" s="79">
        <f t="shared" si="31"/>
        <v>5390</v>
      </c>
      <c r="AA106" t="s">
        <v>883</v>
      </c>
      <c r="AB106" s="68"/>
    </row>
    <row r="107" spans="1:28" ht="31.5" thickTop="1" thickBot="1">
      <c r="A107" s="9">
        <v>141113</v>
      </c>
      <c r="B107" s="21">
        <f>VLOOKUP($A107,'Выгр Кат'!$A:$R,B$1,0)</f>
        <v>31810</v>
      </c>
      <c r="C107" s="54" t="str">
        <f>VLOOKUP($A107,'Выгр Кат'!$A:$R,C$1,0)</f>
        <v>Глушитель основной "AUTOPRODUCT" для ВАЗ 2115</v>
      </c>
      <c r="D107" s="21" t="str">
        <f>VLOOKUP($A107,'Выгр Кат'!$A:$R,D$1,0)</f>
        <v>Y</v>
      </c>
      <c r="E107" s="21" t="str">
        <f>VLOOKUP($A107,'Выгр Кат'!$A:$R,E$1,0)</f>
        <v>1</v>
      </c>
      <c r="F107" s="21" t="str">
        <f>VLOOKUP($A107,'Выгр Кат'!$A:$R,F$1,0)</f>
        <v>AP 0294</v>
      </c>
      <c r="G107" s="7" t="s">
        <v>219</v>
      </c>
      <c r="H107" s="6" t="s">
        <v>3</v>
      </c>
      <c r="I107" s="94">
        <f>VLOOKUP($G107,ПРАЙС!$B:$H,5,0)</f>
        <v>4145</v>
      </c>
      <c r="J107" s="8">
        <f t="shared" si="17"/>
        <v>1.1797346200241254</v>
      </c>
      <c r="K107" s="8">
        <f>VLOOKUP($G107,ПРАЙС!$B:$H,7,0)</f>
        <v>4890</v>
      </c>
      <c r="L107" s="8">
        <f t="shared" si="18"/>
        <v>1.22</v>
      </c>
      <c r="M107" s="9">
        <f t="shared" si="19"/>
        <v>5056.8999999999996</v>
      </c>
      <c r="N107" s="94">
        <f t="shared" si="20"/>
        <v>5090</v>
      </c>
      <c r="O107" s="21">
        <f>VLOOKUP($A107,'Выгр Кат'!$A:$R,O$1,0)</f>
        <v>4145</v>
      </c>
      <c r="P107" s="21">
        <f>VLOOKUP($A107,'Выгр Кат'!$A:$R,P$1,0)</f>
        <v>5490</v>
      </c>
      <c r="Q107" s="70">
        <f t="shared" si="21"/>
        <v>0</v>
      </c>
      <c r="R107" s="70">
        <f t="shared" si="22"/>
        <v>400</v>
      </c>
      <c r="S107" s="85">
        <f t="shared" si="26"/>
        <v>4835.5</v>
      </c>
      <c r="T107" s="81">
        <f>IFERROR((VLOOKUP($A107,'Из ГУГЛа'!$B:$G,6,0)+V107)*U107,VLOOKUP($A107,'Из ГУГЛа'!$B:$G,6,0))</f>
        <v>5390</v>
      </c>
      <c r="U107" s="83">
        <v>1</v>
      </c>
      <c r="V107" s="83">
        <v>0</v>
      </c>
      <c r="W107" s="48">
        <f t="shared" si="23"/>
        <v>0.16658624849215919</v>
      </c>
      <c r="X107" s="48">
        <f t="shared" si="24"/>
        <v>0.10287569573283858</v>
      </c>
      <c r="Y107" s="48">
        <f t="shared" si="25"/>
        <v>0.30036188178528356</v>
      </c>
      <c r="Z107" s="79">
        <f t="shared" si="31"/>
        <v>5390</v>
      </c>
      <c r="AA107" t="s">
        <v>796</v>
      </c>
      <c r="AB107" s="67">
        <v>4890</v>
      </c>
    </row>
    <row r="108" spans="1:28" ht="46.5" thickTop="1" thickBot="1">
      <c r="A108" s="9">
        <v>141273</v>
      </c>
      <c r="B108" s="21">
        <f>VLOOKUP($A108,'Выгр Кат'!$A:$R,B$1,0)</f>
        <v>19552</v>
      </c>
      <c r="C108" s="54" t="str">
        <f>VLOOKUP($A108,'Выгр Кат'!$A:$R,C$1,0)</f>
        <v>Глушитель прямоточный "AUTOPRODUCT" для Лада Калина (универсал, седан)</v>
      </c>
      <c r="D108" s="21" t="str">
        <f>VLOOKUP($A108,'Выгр Кат'!$A:$R,D$1,0)</f>
        <v>Y</v>
      </c>
      <c r="E108" s="21" t="str">
        <f>VLOOKUP($A108,'Выгр Кат'!$A:$R,E$1,0)</f>
        <v>1</v>
      </c>
      <c r="F108" s="21" t="str">
        <f>VLOOKUP($A108,'Выгр Кат'!$A:$R,F$1,0)</f>
        <v>АР 0303</v>
      </c>
      <c r="G108" s="7" t="s">
        <v>220</v>
      </c>
      <c r="H108" s="6" t="s">
        <v>3</v>
      </c>
      <c r="I108" s="94">
        <f>VLOOKUP($G108,ПРАЙС!$B:$H,5,0)</f>
        <v>4145</v>
      </c>
      <c r="J108" s="8">
        <f t="shared" si="17"/>
        <v>1.1797346200241254</v>
      </c>
      <c r="K108" s="8">
        <f>VLOOKUP($G108,ПРАЙС!$B:$H,7,0)</f>
        <v>4890</v>
      </c>
      <c r="L108" s="8">
        <f t="shared" si="18"/>
        <v>1.22</v>
      </c>
      <c r="M108" s="9">
        <f t="shared" si="19"/>
        <v>5056.8999999999996</v>
      </c>
      <c r="N108" s="94">
        <f t="shared" si="20"/>
        <v>5090</v>
      </c>
      <c r="O108" s="21">
        <f>VLOOKUP($A108,'Выгр Кат'!$A:$R,O$1,0)</f>
        <v>4145</v>
      </c>
      <c r="P108" s="21">
        <f>VLOOKUP($A108,'Выгр Кат'!$A:$R,P$1,0)</f>
        <v>5490</v>
      </c>
      <c r="Q108" s="70">
        <f t="shared" si="21"/>
        <v>0</v>
      </c>
      <c r="R108" s="70">
        <f t="shared" si="22"/>
        <v>400</v>
      </c>
      <c r="S108" s="85">
        <f t="shared" si="26"/>
        <v>4835.5</v>
      </c>
      <c r="T108" s="81">
        <f>IFERROR((VLOOKUP($A108,'Из ГУГЛа'!$B:$G,6,0)+V108)*U108,VLOOKUP($A108,'Из ГУГЛа'!$B:$G,6,0))</f>
        <v>5390</v>
      </c>
      <c r="U108" s="83">
        <v>1</v>
      </c>
      <c r="V108" s="83">
        <v>0</v>
      </c>
      <c r="W108" s="48">
        <f t="shared" si="23"/>
        <v>0.16658624849215919</v>
      </c>
      <c r="X108" s="48">
        <f t="shared" si="24"/>
        <v>0.10287569573283858</v>
      </c>
      <c r="Y108" s="48">
        <f t="shared" si="25"/>
        <v>0.30036188178528356</v>
      </c>
      <c r="Z108" s="79">
        <f t="shared" si="31"/>
        <v>5390</v>
      </c>
      <c r="AA108" t="s">
        <v>896</v>
      </c>
      <c r="AB108" s="68"/>
    </row>
    <row r="109" spans="1:28" ht="46.5" thickTop="1" thickBot="1">
      <c r="A109" s="9">
        <v>141277</v>
      </c>
      <c r="B109" s="21">
        <f>VLOOKUP($A109,'Выгр Кат'!$A:$R,B$1,0)</f>
        <v>19563</v>
      </c>
      <c r="C109" s="54" t="str">
        <f>VLOOKUP($A109,'Выгр Кат'!$A:$R,C$1,0)</f>
        <v>Глушитель прямоточный "AUTOPRODUCT" для Лада Приора, Приора 2 (хэтчбек)</v>
      </c>
      <c r="D109" s="21" t="str">
        <f>VLOOKUP($A109,'Выгр Кат'!$A:$R,D$1,0)</f>
        <v>Y</v>
      </c>
      <c r="E109" s="21" t="str">
        <f>VLOOKUP($A109,'Выгр Кат'!$A:$R,E$1,0)</f>
        <v>1</v>
      </c>
      <c r="F109" s="21" t="str">
        <f>VLOOKUP($A109,'Выгр Кат'!$A:$R,F$1,0)</f>
        <v>АР 0468</v>
      </c>
      <c r="G109" s="7" t="s">
        <v>222</v>
      </c>
      <c r="H109" s="6" t="s">
        <v>3</v>
      </c>
      <c r="I109" s="94">
        <f>VLOOKUP($G109,ПРАЙС!$B:$H,5,0)</f>
        <v>4195</v>
      </c>
      <c r="J109" s="8">
        <f t="shared" si="17"/>
        <v>1.1799761620977354</v>
      </c>
      <c r="K109" s="8">
        <f>VLOOKUP($G109,ПРАЙС!$B:$H,7,0)</f>
        <v>4950</v>
      </c>
      <c r="L109" s="8">
        <f t="shared" si="18"/>
        <v>1.22</v>
      </c>
      <c r="M109" s="9">
        <f t="shared" si="19"/>
        <v>5117.8999999999996</v>
      </c>
      <c r="N109" s="94">
        <f t="shared" si="20"/>
        <v>5190</v>
      </c>
      <c r="O109" s="21">
        <f>VLOOKUP($A109,'Выгр Кат'!$A:$R,O$1,0)</f>
        <v>4060</v>
      </c>
      <c r="P109" s="21">
        <f>VLOOKUP($A109,'Выгр Кат'!$A:$R,P$1,0)</f>
        <v>5390</v>
      </c>
      <c r="Q109" s="70">
        <f t="shared" si="21"/>
        <v>-135</v>
      </c>
      <c r="R109" s="70">
        <f t="shared" si="22"/>
        <v>200</v>
      </c>
      <c r="S109" s="85">
        <f t="shared" si="26"/>
        <v>4930.5</v>
      </c>
      <c r="T109" s="81">
        <f>IFERROR((VLOOKUP($A109,'Из ГУГЛа'!$B:$G,6,0)+V109)*U109,VLOOKUP($A109,'Из ГУГЛа'!$B:$G,6,0))</f>
        <v>5290</v>
      </c>
      <c r="U109" s="83">
        <v>1</v>
      </c>
      <c r="V109" s="83">
        <v>0</v>
      </c>
      <c r="W109" s="48">
        <f t="shared" si="23"/>
        <v>0.17532777115613829</v>
      </c>
      <c r="X109" s="48">
        <f t="shared" si="24"/>
        <v>6.7958412098298671E-2</v>
      </c>
      <c r="Y109" s="48">
        <f t="shared" si="25"/>
        <v>0.26102502979737774</v>
      </c>
      <c r="Z109" s="79">
        <f t="shared" si="31"/>
        <v>5290</v>
      </c>
      <c r="AA109" t="s">
        <v>897</v>
      </c>
      <c r="AB109" s="68"/>
    </row>
    <row r="110" spans="1:28" ht="31.5" thickTop="1" thickBot="1">
      <c r="A110" s="9">
        <v>141272</v>
      </c>
      <c r="B110" s="21">
        <f>VLOOKUP($A110,'Выгр Кат'!$A:$R,B$1,0)</f>
        <v>19573</v>
      </c>
      <c r="C110" s="54" t="str">
        <f>VLOOKUP($A110,'Выгр Кат'!$A:$R,C$1,0)</f>
        <v>Глушитель прямоточный "AUTOPRODUCT" для Лада Гранта</v>
      </c>
      <c r="D110" s="21" t="str">
        <f>VLOOKUP($A110,'Выгр Кат'!$A:$R,D$1,0)</f>
        <v>Y</v>
      </c>
      <c r="E110" s="21" t="str">
        <f>VLOOKUP($A110,'Выгр Кат'!$A:$R,E$1,0)</f>
        <v>1</v>
      </c>
      <c r="F110" s="21" t="str">
        <f>VLOOKUP($A110,'Выгр Кат'!$A:$R,F$1,0)</f>
        <v>АР 0541</v>
      </c>
      <c r="G110" s="7" t="s">
        <v>224</v>
      </c>
      <c r="H110" s="6" t="s">
        <v>3</v>
      </c>
      <c r="I110" s="94">
        <f>VLOOKUP($G110,ПРАЙС!$B:$H,5,0)</f>
        <v>4950</v>
      </c>
      <c r="J110" s="8">
        <f t="shared" si="17"/>
        <v>1</v>
      </c>
      <c r="K110" s="8">
        <f>VLOOKUP($G110,ПРАЙС!$B:$H,7,0)</f>
        <v>4950</v>
      </c>
      <c r="L110" s="8">
        <f t="shared" si="18"/>
        <v>1.22</v>
      </c>
      <c r="M110" s="9">
        <f t="shared" si="19"/>
        <v>6039</v>
      </c>
      <c r="N110" s="94">
        <f t="shared" si="20"/>
        <v>6090</v>
      </c>
      <c r="O110" s="21">
        <f>VLOOKUP($A110,'Выгр Кат'!$A:$R,O$1,0)</f>
        <v>4195</v>
      </c>
      <c r="P110" s="21">
        <f>VLOOKUP($A110,'Выгр Кат'!$A:$R,P$1,0)</f>
        <v>5590</v>
      </c>
      <c r="Q110" s="70">
        <f t="shared" si="21"/>
        <v>-755</v>
      </c>
      <c r="R110" s="70">
        <f t="shared" si="22"/>
        <v>-500</v>
      </c>
      <c r="S110" s="85">
        <f t="shared" si="26"/>
        <v>5785.5</v>
      </c>
      <c r="T110" s="81">
        <f>IFERROR((VLOOKUP($A110,'Из ГУГЛа'!$B:$G,6,0)+V110)*U110,VLOOKUP($A110,'Из ГУГЛа'!$B:$G,6,0))</f>
        <v>5490</v>
      </c>
      <c r="U110" s="83">
        <v>1</v>
      </c>
      <c r="V110" s="83">
        <v>0</v>
      </c>
      <c r="W110" s="48">
        <f t="shared" si="23"/>
        <v>0.16878787878787871</v>
      </c>
      <c r="X110" s="48">
        <f t="shared" si="24"/>
        <v>-5.3825136612021859E-2</v>
      </c>
      <c r="Y110" s="48">
        <f t="shared" si="25"/>
        <v>0.10909090909090913</v>
      </c>
      <c r="Z110" s="79">
        <f t="shared" si="31"/>
        <v>5490</v>
      </c>
      <c r="AA110" t="s">
        <v>931</v>
      </c>
      <c r="AB110" s="13"/>
    </row>
    <row r="111" spans="1:28" ht="46.5" thickTop="1" thickBot="1">
      <c r="A111" s="9">
        <v>141275</v>
      </c>
      <c r="B111" s="21">
        <f>VLOOKUP($A111,'Выгр Кат'!$A:$R,B$1,0)</f>
        <v>19574</v>
      </c>
      <c r="C111" s="54" t="str">
        <f>VLOOKUP($A111,'Выгр Кат'!$A:$R,C$1,0)</f>
        <v>Глушитель прямоточный "AUTOPRODUCT" для Лада Калина, Калина 2 (хетчбэк)</v>
      </c>
      <c r="D111" s="21" t="str">
        <f>VLOOKUP($A111,'Выгр Кат'!$A:$R,D$1,0)</f>
        <v>Y</v>
      </c>
      <c r="E111" s="21" t="str">
        <f>VLOOKUP($A111,'Выгр Кат'!$A:$R,E$1,0)</f>
        <v>1</v>
      </c>
      <c r="F111" s="21" t="str">
        <f>VLOOKUP($A111,'Выгр Кат'!$A:$R,F$1,0)</f>
        <v>АР 0546</v>
      </c>
      <c r="G111" s="7" t="s">
        <v>225</v>
      </c>
      <c r="H111" s="6" t="s">
        <v>3</v>
      </c>
      <c r="I111" s="94">
        <f>VLOOKUP($G111,ПРАЙС!$B:$H,5,0)</f>
        <v>4505</v>
      </c>
      <c r="J111" s="8">
        <f t="shared" si="17"/>
        <v>1.0987791342952276</v>
      </c>
      <c r="K111" s="8">
        <f>VLOOKUP($G111,ПРАЙС!$B:$H,7,0)</f>
        <v>4950</v>
      </c>
      <c r="L111" s="8">
        <f t="shared" si="18"/>
        <v>1.22</v>
      </c>
      <c r="M111" s="9">
        <f t="shared" si="19"/>
        <v>5496.0999999999995</v>
      </c>
      <c r="N111" s="94">
        <f t="shared" si="20"/>
        <v>5490</v>
      </c>
      <c r="O111" s="21">
        <f>VLOOKUP($A111,'Выгр Кат'!$A:$R,O$1,0)</f>
        <v>4505</v>
      </c>
      <c r="P111" s="21">
        <f>VLOOKUP($A111,'Выгр Кат'!$A:$R,P$1,0)</f>
        <v>6090</v>
      </c>
      <c r="Q111" s="70">
        <f t="shared" si="21"/>
        <v>0</v>
      </c>
      <c r="R111" s="70">
        <f t="shared" si="22"/>
        <v>600</v>
      </c>
      <c r="S111" s="85">
        <f t="shared" si="26"/>
        <v>5215.5</v>
      </c>
      <c r="T111" s="81">
        <f>IFERROR((VLOOKUP($A111,'Из ГУГЛа'!$B:$G,6,0)+V111)*U111,VLOOKUP($A111,'Из ГУГЛа'!$B:$G,6,0))</f>
        <v>5890</v>
      </c>
      <c r="U111" s="83">
        <v>1</v>
      </c>
      <c r="V111" s="83">
        <v>0</v>
      </c>
      <c r="W111" s="48">
        <f t="shared" si="23"/>
        <v>0.15771365149833527</v>
      </c>
      <c r="X111" s="48">
        <f t="shared" si="24"/>
        <v>0.11451612903225807</v>
      </c>
      <c r="Y111" s="48">
        <f t="shared" si="25"/>
        <v>0.3074361820199778</v>
      </c>
      <c r="Z111" s="79">
        <f t="shared" si="31"/>
        <v>5890</v>
      </c>
      <c r="AA111" t="s">
        <v>777</v>
      </c>
      <c r="AB111" s="75">
        <v>4950</v>
      </c>
    </row>
    <row r="112" spans="1:28" ht="46.5" thickTop="1" thickBot="1">
      <c r="A112" s="9">
        <v>141274</v>
      </c>
      <c r="B112" s="21">
        <f>VLOOKUP($A112,'Выгр Кат'!$A:$R,B$1,0)</f>
        <v>19575</v>
      </c>
      <c r="C112" s="54" t="str">
        <f>VLOOKUP($A112,'Выгр Кат'!$A:$R,C$1,0)</f>
        <v>Глушитель прямоточный "AUTOPRODUCT" для Лада Калина 2 (универсал, Кросс)</v>
      </c>
      <c r="D112" s="21" t="str">
        <f>VLOOKUP($A112,'Выгр Кат'!$A:$R,D$1,0)</f>
        <v>Y</v>
      </c>
      <c r="E112" s="21" t="str">
        <f>VLOOKUP($A112,'Выгр Кат'!$A:$R,E$1,0)</f>
        <v>1</v>
      </c>
      <c r="F112" s="21" t="str">
        <f>VLOOKUP($A112,'Выгр Кат'!$A:$R,F$1,0)</f>
        <v>АР 0548</v>
      </c>
      <c r="G112" s="7" t="s">
        <v>226</v>
      </c>
      <c r="H112" s="6" t="s">
        <v>3</v>
      </c>
      <c r="I112" s="94">
        <f>VLOOKUP($G112,ПРАЙС!$B:$H,5,0)</f>
        <v>4505</v>
      </c>
      <c r="J112" s="8">
        <f t="shared" si="17"/>
        <v>1.0987791342952276</v>
      </c>
      <c r="K112" s="8">
        <f>VLOOKUP($G112,ПРАЙС!$B:$H,7,0)</f>
        <v>4950</v>
      </c>
      <c r="L112" s="8">
        <f t="shared" si="18"/>
        <v>1.22</v>
      </c>
      <c r="M112" s="9">
        <f t="shared" si="19"/>
        <v>5496.0999999999995</v>
      </c>
      <c r="N112" s="94">
        <f t="shared" si="20"/>
        <v>5490</v>
      </c>
      <c r="O112" s="21">
        <f>VLOOKUP($A112,'Выгр Кат'!$A:$R,O$1,0)</f>
        <v>4505</v>
      </c>
      <c r="P112" s="21">
        <f>VLOOKUP($A112,'Выгр Кат'!$A:$R,P$1,0)</f>
        <v>6090</v>
      </c>
      <c r="Q112" s="70">
        <f t="shared" si="21"/>
        <v>0</v>
      </c>
      <c r="R112" s="70">
        <f t="shared" si="22"/>
        <v>600</v>
      </c>
      <c r="S112" s="85">
        <f t="shared" si="26"/>
        <v>5215.5</v>
      </c>
      <c r="T112" s="81">
        <f>IFERROR((VLOOKUP($A112,'Из ГУГЛа'!$B:$G,6,0)+V112)*U112,VLOOKUP($A112,'Из ГУГЛа'!$B:$G,6,0))</f>
        <v>5890</v>
      </c>
      <c r="U112" s="83">
        <v>1</v>
      </c>
      <c r="V112" s="83">
        <v>0</v>
      </c>
      <c r="W112" s="48">
        <f t="shared" si="23"/>
        <v>0.15771365149833527</v>
      </c>
      <c r="X112" s="48">
        <f t="shared" si="24"/>
        <v>0.11451612903225807</v>
      </c>
      <c r="Y112" s="48">
        <f t="shared" si="25"/>
        <v>0.3074361820199778</v>
      </c>
      <c r="Z112" s="79">
        <f t="shared" si="31"/>
        <v>5890</v>
      </c>
      <c r="AA112" t="s">
        <v>898</v>
      </c>
      <c r="AB112" s="13"/>
    </row>
    <row r="113" spans="1:28" ht="46.5" thickTop="1" thickBot="1">
      <c r="A113" s="9">
        <v>195293</v>
      </c>
      <c r="B113" s="21">
        <f>VLOOKUP($A113,'Выгр Кат'!$A:$R,B$1,0)</f>
        <v>3371</v>
      </c>
      <c r="C113" s="54" t="str">
        <f>VLOOKUP($A113,'Выгр Кат'!$A:$R,C$1,0)</f>
        <v>Поперечина передней подвески Drive "AUTOPRODUCT" для ВАЗ 2110-2112, Лада Приора</v>
      </c>
      <c r="D113" s="21" t="str">
        <f>VLOOKUP($A113,'Выгр Кат'!$A:$R,D$1,0)</f>
        <v>Y</v>
      </c>
      <c r="E113" s="21" t="str">
        <f>VLOOKUP($A113,'Выгр Кат'!$A:$R,E$1,0)</f>
        <v>1</v>
      </c>
      <c r="F113" s="21" t="str">
        <f>VLOOKUP($A113,'Выгр Кат'!$A:$R,F$1,0)</f>
        <v>АР 0440</v>
      </c>
      <c r="G113" s="7" t="s">
        <v>288</v>
      </c>
      <c r="H113" s="6" t="s">
        <v>3</v>
      </c>
      <c r="I113" s="94">
        <f>VLOOKUP($G113,ПРАЙС!$B:$H,5,0)</f>
        <v>4825</v>
      </c>
      <c r="J113" s="8">
        <f t="shared" si="17"/>
        <v>1.1792746113989638</v>
      </c>
      <c r="K113" s="8">
        <f>VLOOKUP($G113,ПРАЙС!$B:$H,7,0)</f>
        <v>5690</v>
      </c>
      <c r="L113" s="8">
        <f t="shared" si="18"/>
        <v>1.22</v>
      </c>
      <c r="M113" s="9">
        <f t="shared" si="19"/>
        <v>5886.5</v>
      </c>
      <c r="N113" s="94">
        <f t="shared" si="20"/>
        <v>5890</v>
      </c>
      <c r="O113" s="21">
        <f>VLOOKUP($A113,'Выгр Кат'!$A:$R,O$1,0)</f>
        <v>4565</v>
      </c>
      <c r="P113" s="21">
        <f>VLOOKUP($A113,'Выгр Кат'!$A:$R,P$1,0)</f>
        <v>6090</v>
      </c>
      <c r="Q113" s="70">
        <f t="shared" si="21"/>
        <v>-260</v>
      </c>
      <c r="R113" s="70">
        <f t="shared" si="22"/>
        <v>200</v>
      </c>
      <c r="S113" s="85">
        <f t="shared" si="26"/>
        <v>5595.5</v>
      </c>
      <c r="T113" s="81">
        <f>IFERROR((VLOOKUP($A113,'Из ГУГЛа'!$B:$G,6,0)+V113)*U113,VLOOKUP($A113,'Из ГУГЛа'!$B:$G,6,0))</f>
        <v>5890</v>
      </c>
      <c r="U113" s="83">
        <v>1</v>
      </c>
      <c r="V113" s="83">
        <v>0</v>
      </c>
      <c r="W113" s="48">
        <f t="shared" si="23"/>
        <v>0.15968911917098438</v>
      </c>
      <c r="X113" s="48">
        <f t="shared" si="24"/>
        <v>0.05</v>
      </c>
      <c r="Y113" s="48">
        <f t="shared" si="25"/>
        <v>0.2207253886010363</v>
      </c>
      <c r="Z113" s="79">
        <f t="shared" si="31"/>
        <v>5890</v>
      </c>
      <c r="AA113" t="s">
        <v>821</v>
      </c>
      <c r="AB113" s="67">
        <v>5350</v>
      </c>
    </row>
    <row r="114" spans="1:28" ht="46.5" thickTop="1" thickBot="1">
      <c r="A114" s="9">
        <v>223619</v>
      </c>
      <c r="B114" s="21">
        <f>VLOOKUP($A114,'Выгр Кат'!$A:$R,B$1,0)</f>
        <v>3659</v>
      </c>
      <c r="C114" s="54" t="str">
        <f>VLOOKUP($A114,'Выгр Кат'!$A:$R,C$1,0)</f>
        <v>Усилитель кузова задний "AUTOPRODUCT" для ВАЗ (2111, 2112), Лада Приора, Приора 2</v>
      </c>
      <c r="D114" s="21" t="str">
        <f>VLOOKUP($A114,'Выгр Кат'!$A:$R,D$1,0)</f>
        <v>Y</v>
      </c>
      <c r="E114" s="21" t="str">
        <f>VLOOKUP($A114,'Выгр Кат'!$A:$R,E$1,0)</f>
        <v>1</v>
      </c>
      <c r="F114" s="21" t="str">
        <f>VLOOKUP($A114,'Выгр Кат'!$A:$R,F$1,0)</f>
        <v>АР 0260</v>
      </c>
      <c r="G114" s="7" t="s">
        <v>293</v>
      </c>
      <c r="H114" s="6" t="s">
        <v>3</v>
      </c>
      <c r="I114" s="94">
        <f>VLOOKUP($G114,ПРАЙС!$B:$H,5,0)</f>
        <v>4755</v>
      </c>
      <c r="J114" s="8">
        <f t="shared" si="17"/>
        <v>1.259726603575184</v>
      </c>
      <c r="K114" s="8">
        <f>VLOOKUP($G114,ПРАЙС!$B:$H,7,0)</f>
        <v>5990</v>
      </c>
      <c r="L114" s="8">
        <f t="shared" si="18"/>
        <v>1.259726603575184</v>
      </c>
      <c r="M114" s="9">
        <f t="shared" si="19"/>
        <v>5990</v>
      </c>
      <c r="N114" s="94">
        <f t="shared" si="20"/>
        <v>5990</v>
      </c>
      <c r="O114" s="21">
        <f>VLOOKUP($A114,'Выгр Кат'!$A:$R,O$1,0)</f>
        <v>4755</v>
      </c>
      <c r="P114" s="21">
        <f>VLOOKUP($A114,'Выгр Кат'!$A:$R,P$1,0)</f>
        <v>6390</v>
      </c>
      <c r="Q114" s="70">
        <f t="shared" si="21"/>
        <v>0</v>
      </c>
      <c r="R114" s="70">
        <f t="shared" si="22"/>
        <v>400</v>
      </c>
      <c r="S114" s="85">
        <f t="shared" si="26"/>
        <v>5690.5</v>
      </c>
      <c r="T114" s="81">
        <f>IFERROR((VLOOKUP($A114,'Из ГУГЛа'!$B:$G,6,0)+V114)*U114,VLOOKUP($A114,'Из ГУГЛа'!$B:$G,6,0))</f>
        <v>6190</v>
      </c>
      <c r="U114" s="83">
        <v>1</v>
      </c>
      <c r="V114" s="83">
        <v>0</v>
      </c>
      <c r="W114" s="48">
        <f t="shared" si="23"/>
        <v>0.19674027339642475</v>
      </c>
      <c r="X114" s="48">
        <f t="shared" si="24"/>
        <v>8.0694668820678508E-2</v>
      </c>
      <c r="Y114" s="48">
        <f t="shared" si="25"/>
        <v>0.3017875920084121</v>
      </c>
      <c r="Z114" s="79">
        <f t="shared" si="31"/>
        <v>6190</v>
      </c>
      <c r="AA114" t="s">
        <v>899</v>
      </c>
      <c r="AB114" s="13"/>
    </row>
    <row r="115" spans="1:28" ht="91.5" thickTop="1" thickBot="1">
      <c r="A115" s="9">
        <v>222889</v>
      </c>
      <c r="B115" s="21">
        <f>VLOOKUP($A115,'Выгр Кат'!$A:$R,B$1,0)</f>
        <v>19579</v>
      </c>
      <c r="C115" s="54" t="str">
        <f>VLOOKUP($A115,'Выгр Кат'!$A:$R,C$1,0)</f>
        <v>Тяга рулевая в сборе "AUTOPRODUCT" под увеличенную колею (+70 мм) для ВАЗ 2110-2112, Лада (Калина, Калина 2, Приора, Приора 2, Гранта), Датсун (mi-DO, on-Do)</v>
      </c>
      <c r="D115" s="21" t="str">
        <f>VLOOKUP($A115,'Выгр Кат'!$A:$R,D$1,0)</f>
        <v>Y</v>
      </c>
      <c r="E115" s="21" t="str">
        <f>VLOOKUP($A115,'Выгр Кат'!$A:$R,E$1,0)</f>
        <v>1</v>
      </c>
      <c r="F115" s="21" t="str">
        <f>VLOOKUP($A115,'Выгр Кат'!$A:$R,F$1,0)</f>
        <v>АР 0580</v>
      </c>
      <c r="G115" s="7" t="s">
        <v>319</v>
      </c>
      <c r="H115" s="6" t="s">
        <v>3</v>
      </c>
      <c r="I115" s="92">
        <f>O115</f>
        <v>4305</v>
      </c>
      <c r="J115" s="8" t="e">
        <f t="shared" si="17"/>
        <v>#N/A</v>
      </c>
      <c r="K115" s="8" t="e">
        <f>VLOOKUP($G115,ПРАЙС!$B:$H,7,0)</f>
        <v>#N/A</v>
      </c>
      <c r="L115" s="8" t="e">
        <f t="shared" si="18"/>
        <v>#N/A</v>
      </c>
      <c r="M115" s="92">
        <f>P115</f>
        <v>7790</v>
      </c>
      <c r="N115" s="94">
        <f t="shared" si="20"/>
        <v>7790</v>
      </c>
      <c r="O115" s="21">
        <f>VLOOKUP($A115,'Выгр Кат'!$A:$R,O$1,0)</f>
        <v>4305</v>
      </c>
      <c r="P115" s="21">
        <f>VLOOKUP($A115,'Выгр Кат'!$A:$R,P$1,0)</f>
        <v>7790</v>
      </c>
      <c r="Q115" s="70">
        <f t="shared" si="21"/>
        <v>0</v>
      </c>
      <c r="R115" s="70">
        <f t="shared" si="22"/>
        <v>0</v>
      </c>
      <c r="S115" s="85">
        <f t="shared" si="26"/>
        <v>7400.5</v>
      </c>
      <c r="T115" s="81">
        <f>IFERROR((VLOOKUP($A115,'Из ГУГЛа'!$B:$G,6,0)+V115)*U115,VLOOKUP($A115,'Из ГУГЛа'!$B:$G,6,0))</f>
        <v>7490</v>
      </c>
      <c r="U115" s="83">
        <v>1</v>
      </c>
      <c r="V115" s="83">
        <v>0</v>
      </c>
      <c r="W115" s="48">
        <f t="shared" si="23"/>
        <v>0.71904761904761916</v>
      </c>
      <c r="X115" s="48">
        <f t="shared" si="24"/>
        <v>1.1949265687583444E-2</v>
      </c>
      <c r="Y115" s="48">
        <f t="shared" si="25"/>
        <v>0.73983739837398366</v>
      </c>
      <c r="Z115" s="78">
        <v>7490</v>
      </c>
      <c r="AA115" t="s">
        <v>790</v>
      </c>
      <c r="AB115" s="75">
        <v>5550</v>
      </c>
    </row>
    <row r="116" spans="1:28" ht="31.5" thickTop="1" thickBot="1">
      <c r="A116" s="9">
        <v>136706</v>
      </c>
      <c r="B116" s="21">
        <f>VLOOKUP($A116,'Выгр Кат'!$A:$R,B$1,0)</f>
        <v>30298</v>
      </c>
      <c r="C116" s="54" t="str">
        <f>VLOOKUP($A116,'Выгр Кат'!$A:$R,C$1,0)</f>
        <v>Бесшумный кронштейн запасного колеса "AutoProduct" для Лада Ларгус</v>
      </c>
      <c r="D116" s="21" t="str">
        <f>VLOOKUP($A116,'Выгр Кат'!$A:$R,D$1,0)</f>
        <v>Y</v>
      </c>
      <c r="E116" s="21" t="str">
        <f>VLOOKUP($A116,'Выгр Кат'!$A:$R,E$1,0)</f>
        <v>1ск1</v>
      </c>
      <c r="F116" s="21" t="str">
        <f>VLOOKUP($A116,'Выгр Кат'!$A:$R,F$1,0)</f>
        <v>АР 0760</v>
      </c>
      <c r="G116" s="7" t="s">
        <v>239</v>
      </c>
      <c r="H116" s="6" t="s">
        <v>3</v>
      </c>
      <c r="I116" s="94">
        <f>VLOOKUP($G116,ПРАЙС!$B:$H,5,0)</f>
        <v>4770</v>
      </c>
      <c r="J116" s="8">
        <f t="shared" si="17"/>
        <v>1.2893081761006289</v>
      </c>
      <c r="K116" s="8">
        <f>VLOOKUP($G116,ПРАЙС!$B:$H,7,0)</f>
        <v>6150</v>
      </c>
      <c r="L116" s="8">
        <f t="shared" si="18"/>
        <v>1.2893081761006289</v>
      </c>
      <c r="M116" s="9">
        <f t="shared" si="19"/>
        <v>6150</v>
      </c>
      <c r="N116" s="94">
        <f t="shared" si="20"/>
        <v>6190</v>
      </c>
      <c r="O116" s="21">
        <f>VLOOKUP($A116,'Выгр Кат'!$A:$R,O$1,0)</f>
        <v>4770</v>
      </c>
      <c r="P116" s="21">
        <f>VLOOKUP($A116,'Выгр Кат'!$A:$R,P$1,0)</f>
        <v>6390</v>
      </c>
      <c r="Q116" s="70">
        <f t="shared" si="21"/>
        <v>0</v>
      </c>
      <c r="R116" s="70">
        <f t="shared" si="22"/>
        <v>200</v>
      </c>
      <c r="S116" s="85">
        <f t="shared" si="26"/>
        <v>5880.5</v>
      </c>
      <c r="T116" s="81">
        <f>IFERROR((VLOOKUP($A116,'Из ГУГЛа'!$B:$G,6,0)+V116)*U116,VLOOKUP($A116,'Из ГУГЛа'!$B:$G,6,0))</f>
        <v>6190</v>
      </c>
      <c r="U116" s="83">
        <v>1</v>
      </c>
      <c r="V116" s="83">
        <v>0</v>
      </c>
      <c r="W116" s="48">
        <f t="shared" si="23"/>
        <v>0.23280922431865836</v>
      </c>
      <c r="X116" s="48">
        <f t="shared" si="24"/>
        <v>0.05</v>
      </c>
      <c r="Y116" s="48">
        <f t="shared" si="25"/>
        <v>0.29769392033542985</v>
      </c>
      <c r="Z116" s="78">
        <v>6190</v>
      </c>
      <c r="AA116" t="s">
        <v>797</v>
      </c>
      <c r="AB116" s="67">
        <v>5990</v>
      </c>
    </row>
    <row r="117" spans="1:28" ht="91.5" thickTop="1" thickBot="1">
      <c r="A117" s="9">
        <v>201661</v>
      </c>
      <c r="B117" s="21">
        <f>VLOOKUP($A117,'Выгр Кат'!$A:$R,B$1,0)</f>
        <v>18974</v>
      </c>
      <c r="C117" s="54" t="str">
        <f>VLOOKUP($A117,'Выгр Кат'!$A:$R,C$1,0)</f>
        <v>Проставки задней балки для расширения колеи "AUTOPRODUCT" (+70 мм) для ВАЗ (2108-21099, 2113-2115, 2110-2112), Лада (Калина, Калина 2, Приора, Приора 2, Гранта), Датсун (mi-DO, on-DO)</v>
      </c>
      <c r="D117" s="21" t="str">
        <f>VLOOKUP($A117,'Выгр Кат'!$A:$R,D$1,0)</f>
        <v>Y</v>
      </c>
      <c r="E117" s="21" t="str">
        <f>VLOOKUP($A117,'Выгр Кат'!$A:$R,E$1,0)</f>
        <v>1</v>
      </c>
      <c r="F117" s="21" t="str">
        <f>VLOOKUP($A117,'Выгр Кат'!$A:$R,F$1,0)</f>
        <v>АР 0273</v>
      </c>
      <c r="G117" s="7" t="s">
        <v>335</v>
      </c>
      <c r="H117" s="6" t="s">
        <v>3</v>
      </c>
      <c r="I117" s="94">
        <f>VLOOKUP($G117,ПРАЙС!$B:$H,5,0)</f>
        <v>5390</v>
      </c>
      <c r="J117" s="8">
        <f t="shared" si="17"/>
        <v>1.2597402597402598</v>
      </c>
      <c r="K117" s="8">
        <f>VLOOKUP($G117,ПРАЙС!$B:$H,7,0)</f>
        <v>6790</v>
      </c>
      <c r="L117" s="8">
        <f t="shared" si="18"/>
        <v>1.2597402597402598</v>
      </c>
      <c r="M117" s="9">
        <f t="shared" si="19"/>
        <v>6790.0000000000009</v>
      </c>
      <c r="N117" s="94">
        <f t="shared" si="20"/>
        <v>6790</v>
      </c>
      <c r="O117" s="21">
        <f>VLOOKUP($A117,'Выгр Кат'!$A:$R,O$1,0)</f>
        <v>5390</v>
      </c>
      <c r="P117" s="21">
        <f>VLOOKUP($A117,'Выгр Кат'!$A:$R,P$1,0)</f>
        <v>7290</v>
      </c>
      <c r="Q117" s="70">
        <f t="shared" si="21"/>
        <v>0</v>
      </c>
      <c r="R117" s="70">
        <f t="shared" si="22"/>
        <v>500</v>
      </c>
      <c r="S117" s="85">
        <f t="shared" si="26"/>
        <v>6450.5</v>
      </c>
      <c r="T117" s="81">
        <f>IFERROR((VLOOKUP($A117,'Из ГУГЛа'!$B:$G,6,0)+V117)*U117,VLOOKUP($A117,'Из ГУГЛа'!$B:$G,6,0))</f>
        <v>6990</v>
      </c>
      <c r="U117" s="83">
        <v>1</v>
      </c>
      <c r="V117" s="83">
        <v>0</v>
      </c>
      <c r="W117" s="48">
        <f t="shared" si="23"/>
        <v>0.19675324675324668</v>
      </c>
      <c r="X117" s="48">
        <f t="shared" si="24"/>
        <v>7.7181688125894141E-2</v>
      </c>
      <c r="Y117" s="48">
        <f t="shared" si="25"/>
        <v>0.29684601113172548</v>
      </c>
      <c r="Z117" s="79">
        <f>T117</f>
        <v>6990</v>
      </c>
      <c r="AA117" t="s">
        <v>778</v>
      </c>
      <c r="AB117" s="75">
        <v>6790</v>
      </c>
    </row>
    <row r="118" spans="1:28" ht="46.5" thickTop="1" thickBot="1">
      <c r="A118" s="9">
        <v>194499</v>
      </c>
      <c r="B118" s="21">
        <f>VLOOKUP($A118,'Выгр Кат'!$A:$R,B$1,0)</f>
        <v>2849</v>
      </c>
      <c r="C118" s="54" t="str">
        <f>VLOOKUP($A118,'Выгр Кат'!$A:$R,C$1,0)</f>
        <v>Подрамник Drive без защиты "AUTOPRODUCT" для ВАЗ 2108-21099, 2113-2115</v>
      </c>
      <c r="D118" s="21" t="str">
        <f>VLOOKUP($A118,'Выгр Кат'!$A:$R,D$1,0)</f>
        <v>Y</v>
      </c>
      <c r="E118" s="21" t="str">
        <f>VLOOKUP($A118,'Выгр Кат'!$A:$R,E$1,0)</f>
        <v>1</v>
      </c>
      <c r="F118" s="21" t="str">
        <f>VLOOKUP($A118,'Выгр Кат'!$A:$R,F$1,0)</f>
        <v>АР 0051</v>
      </c>
      <c r="G118" s="7" t="s">
        <v>263</v>
      </c>
      <c r="H118" s="6" t="s">
        <v>3</v>
      </c>
      <c r="I118" s="94">
        <f>VLOOKUP($G118,ПРАЙС!$B:$H,5,0)</f>
        <v>5790</v>
      </c>
      <c r="J118" s="8">
        <f t="shared" si="17"/>
        <v>1.3039723661485318</v>
      </c>
      <c r="K118" s="8">
        <f>VLOOKUP($G118,ПРАЙС!$B:$H,7,0)</f>
        <v>7550</v>
      </c>
      <c r="L118" s="8">
        <f t="shared" si="18"/>
        <v>1.3039723661485318</v>
      </c>
      <c r="M118" s="9">
        <f t="shared" si="19"/>
        <v>7549.9999999999991</v>
      </c>
      <c r="N118" s="94">
        <f t="shared" si="20"/>
        <v>7590</v>
      </c>
      <c r="O118" s="21">
        <f>VLOOKUP($A118,'Выгр Кат'!$A:$R,O$1,0)</f>
        <v>5790</v>
      </c>
      <c r="P118" s="21">
        <f>VLOOKUP($A118,'Выгр Кат'!$A:$R,P$1,0)</f>
        <v>7790</v>
      </c>
      <c r="Q118" s="70">
        <f t="shared" si="21"/>
        <v>0</v>
      </c>
      <c r="R118" s="70">
        <f t="shared" si="22"/>
        <v>200</v>
      </c>
      <c r="S118" s="85">
        <f t="shared" si="26"/>
        <v>7210.5</v>
      </c>
      <c r="T118" s="81">
        <f>IFERROR((VLOOKUP($A118,'Из ГУГЛа'!$B:$G,6,0)+V118)*U118,VLOOKUP($A118,'Из ГУГЛа'!$B:$G,6,0))</f>
        <v>7490</v>
      </c>
      <c r="U118" s="83">
        <v>1</v>
      </c>
      <c r="V118" s="83">
        <v>0</v>
      </c>
      <c r="W118" s="48">
        <f t="shared" si="23"/>
        <v>0.24533678756476673</v>
      </c>
      <c r="X118" s="48">
        <f t="shared" si="24"/>
        <v>3.7316421895861152E-2</v>
      </c>
      <c r="Y118" s="48">
        <f t="shared" si="25"/>
        <v>0.2936096718480139</v>
      </c>
      <c r="Z118" s="78">
        <v>7490</v>
      </c>
      <c r="AA118" t="s">
        <v>791</v>
      </c>
      <c r="AB118" s="67">
        <v>6990</v>
      </c>
    </row>
    <row r="119" spans="1:28" ht="106.5" thickTop="1" thickBot="1">
      <c r="A119" s="9">
        <v>139090</v>
      </c>
      <c r="B119" s="21">
        <f>VLOOKUP($A119,'Выгр Кат'!$A:$R,B$1,0)</f>
        <v>19569</v>
      </c>
      <c r="C119" s="54" t="str">
        <f>VLOOKUP($A119,'Выгр Кат'!$A:$R,C$1,0)</f>
        <v>Валы привода передних колёс "AUTOPRODUCT" под промежуточный вал (колея +70 мм) для ВАЗ (2108-21099, 2110-2112, 2113-2115), Лада (Калина, Калина 2, Приора, Приора 2, Гранта), Датсун (mi-Do, on-Do)</v>
      </c>
      <c r="D119" s="21" t="str">
        <f>VLOOKUP($A119,'Выгр Кат'!$A:$R,D$1,0)</f>
        <v>Y</v>
      </c>
      <c r="E119" s="21" t="str">
        <f>VLOOKUP($A119,'Выгр Кат'!$A:$R,E$1,0)</f>
        <v>1</v>
      </c>
      <c r="F119" s="21" t="str">
        <f>VLOOKUP($A119,'Выгр Кат'!$A:$R,F$1,0)</f>
        <v>АР 0484 / АР90-2215070-71</v>
      </c>
      <c r="G119" s="7" t="s">
        <v>345</v>
      </c>
      <c r="H119" s="6" t="s">
        <v>3</v>
      </c>
      <c r="I119" s="92">
        <f>O119</f>
        <v>7490</v>
      </c>
      <c r="J119" s="8" t="e">
        <f t="shared" si="17"/>
        <v>#N/A</v>
      </c>
      <c r="K119" s="8" t="e">
        <f>VLOOKUP($G119,ПРАЙС!$B:$H,7,0)</f>
        <v>#N/A</v>
      </c>
      <c r="L119" s="8" t="e">
        <f t="shared" si="18"/>
        <v>#N/A</v>
      </c>
      <c r="M119" s="92">
        <f>P119</f>
        <v>9790</v>
      </c>
      <c r="N119" s="94">
        <f t="shared" si="20"/>
        <v>9790</v>
      </c>
      <c r="O119" s="21">
        <f>VLOOKUP($A119,'Выгр Кат'!$A:$R,O$1,0)</f>
        <v>7490</v>
      </c>
      <c r="P119" s="21">
        <f>VLOOKUP($A119,'Выгр Кат'!$A:$R,P$1,0)</f>
        <v>9790</v>
      </c>
      <c r="Q119" s="70">
        <f t="shared" si="21"/>
        <v>0</v>
      </c>
      <c r="R119" s="70">
        <f t="shared" si="22"/>
        <v>0</v>
      </c>
      <c r="S119" s="85">
        <f t="shared" si="26"/>
        <v>9300.5</v>
      </c>
      <c r="T119" s="81">
        <f>IFERROR((VLOOKUP($A119,'Из ГУГЛа'!$B:$G,6,0)+V119)*U119,VLOOKUP($A119,'Из ГУГЛа'!$B:$G,6,0))</f>
        <v>9390</v>
      </c>
      <c r="U119" s="83">
        <v>1</v>
      </c>
      <c r="V119" s="83">
        <v>0</v>
      </c>
      <c r="W119" s="48">
        <f t="shared" si="23"/>
        <v>0.24172229639519349</v>
      </c>
      <c r="X119" s="48">
        <f t="shared" si="24"/>
        <v>9.5314164004259849E-3</v>
      </c>
      <c r="Y119" s="48">
        <f t="shared" si="25"/>
        <v>0.25367156208277697</v>
      </c>
      <c r="Z119" s="78">
        <v>9390</v>
      </c>
      <c r="AA119" t="s">
        <v>900</v>
      </c>
      <c r="AB119" s="68"/>
    </row>
    <row r="120" spans="1:28" ht="61.5" thickTop="1" thickBot="1">
      <c r="A120" s="9">
        <v>194501</v>
      </c>
      <c r="B120" s="21">
        <f>VLOOKUP($A120,'Выгр Кат'!$A:$R,B$1,0)</f>
        <v>2847</v>
      </c>
      <c r="C120" s="54" t="str">
        <f>VLOOKUP($A120,'Выгр Кат'!$A:$R,C$1,0)</f>
        <v>Подрамник Drive без защиты "AUTOPRODUCT" для Лада Калина, Калина 2, Гранта (после 2013 года выпуска)</v>
      </c>
      <c r="D120" s="21" t="str">
        <f>VLOOKUP($A120,'Выгр Кат'!$A:$R,D$1,0)</f>
        <v>Y</v>
      </c>
      <c r="E120" s="21" t="str">
        <f>VLOOKUP($A120,'Выгр Кат'!$A:$R,E$1,0)</f>
        <v>1</v>
      </c>
      <c r="F120" s="21" t="str">
        <f>VLOOKUP($A120,'Выгр Кат'!$A:$R,F$1,0)</f>
        <v>АР 0561</v>
      </c>
      <c r="G120" s="7" t="s">
        <v>269</v>
      </c>
      <c r="H120" s="6" t="s">
        <v>3</v>
      </c>
      <c r="I120" s="94">
        <f>VLOOKUP($G120,ПРАЙС!$B:$H,5,0)</f>
        <v>5810</v>
      </c>
      <c r="J120" s="8">
        <f t="shared" si="17"/>
        <v>1.2891566265060241</v>
      </c>
      <c r="K120" s="8">
        <f>VLOOKUP($G120,ПРАЙС!$B:$H,7,0)</f>
        <v>7490</v>
      </c>
      <c r="L120" s="8">
        <f t="shared" si="18"/>
        <v>1.2891566265060241</v>
      </c>
      <c r="M120" s="9">
        <f t="shared" si="19"/>
        <v>7490</v>
      </c>
      <c r="N120" s="94">
        <f t="shared" si="20"/>
        <v>7490</v>
      </c>
      <c r="O120" s="21">
        <f>VLOOKUP($A120,'Выгр Кат'!$A:$R,O$1,0)</f>
        <v>5675</v>
      </c>
      <c r="P120" s="21">
        <f>VLOOKUP($A120,'Выгр Кат'!$A:$R,P$1,0)</f>
        <v>7690</v>
      </c>
      <c r="Q120" s="70">
        <f t="shared" si="21"/>
        <v>-135</v>
      </c>
      <c r="R120" s="70">
        <f t="shared" si="22"/>
        <v>200</v>
      </c>
      <c r="S120" s="85">
        <f t="shared" si="26"/>
        <v>7115.5</v>
      </c>
      <c r="T120" s="81">
        <f>IFERROR((VLOOKUP($A120,'Из ГУГЛа'!$B:$G,6,0)+V120)*U120,VLOOKUP($A120,'Из ГУГЛа'!$B:$G,6,0))</f>
        <v>7390</v>
      </c>
      <c r="U120" s="83">
        <v>1</v>
      </c>
      <c r="V120" s="83">
        <v>0</v>
      </c>
      <c r="W120" s="48">
        <f t="shared" si="23"/>
        <v>0.22469879518072289</v>
      </c>
      <c r="X120" s="48">
        <f t="shared" si="24"/>
        <v>3.7144790257104196E-2</v>
      </c>
      <c r="Y120" s="48">
        <f t="shared" si="25"/>
        <v>0.27194492254733227</v>
      </c>
      <c r="Z120" s="78">
        <v>7390</v>
      </c>
      <c r="AA120" t="s">
        <v>779</v>
      </c>
      <c r="AB120" s="35">
        <v>7150</v>
      </c>
    </row>
    <row r="121" spans="1:28" ht="46.5" thickTop="1" thickBot="1">
      <c r="A121" s="9">
        <v>194479</v>
      </c>
      <c r="B121" s="21">
        <f>VLOOKUP($A121,'Выгр Кат'!$A:$R,B$1,0)</f>
        <v>19533</v>
      </c>
      <c r="C121" s="54" t="str">
        <f>VLOOKUP($A121,'Выгр Кат'!$A:$R,C$1,0)</f>
        <v>Подрамник "AUTOPRODUCT" SPORT без защиты для ВАЗ 2108-21099, 2113-2115</v>
      </c>
      <c r="D121" s="21" t="str">
        <f>VLOOKUP($A121,'Выгр Кат'!$A:$R,D$1,0)</f>
        <v>Y</v>
      </c>
      <c r="E121" s="21" t="str">
        <f>VLOOKUP($A121,'Выгр Кат'!$A:$R,E$1,0)</f>
        <v>0</v>
      </c>
      <c r="F121" s="21" t="str">
        <f>VLOOKUP($A121,'Выгр Кат'!$A:$R,F$1,0)</f>
        <v>АР 0055</v>
      </c>
      <c r="G121" s="7" t="s">
        <v>264</v>
      </c>
      <c r="H121" s="6" t="s">
        <v>3</v>
      </c>
      <c r="I121" s="94">
        <f>VLOOKUP($G121,ПРАЙС!$B:$H,5,0)</f>
        <v>5900</v>
      </c>
      <c r="J121" s="8">
        <f t="shared" si="17"/>
        <v>1.3203389830508474</v>
      </c>
      <c r="K121" s="8">
        <f>VLOOKUP($G121,ПРАЙС!$B:$H,7,0)</f>
        <v>7790</v>
      </c>
      <c r="L121" s="8">
        <f t="shared" si="18"/>
        <v>1.3203389830508474</v>
      </c>
      <c r="M121" s="9">
        <f t="shared" si="19"/>
        <v>7790</v>
      </c>
      <c r="N121" s="94">
        <f t="shared" si="20"/>
        <v>7790</v>
      </c>
      <c r="O121" s="21">
        <f>VLOOKUP($A121,'Выгр Кат'!$A:$R,O$1,0)</f>
        <v>5900</v>
      </c>
      <c r="P121" s="21">
        <f>VLOOKUP($A121,'Выгр Кат'!$A:$R,P$1,0)</f>
        <v>7990</v>
      </c>
      <c r="Q121" s="70">
        <f t="shared" si="21"/>
        <v>0</v>
      </c>
      <c r="R121" s="70">
        <f t="shared" si="22"/>
        <v>200</v>
      </c>
      <c r="S121" s="85">
        <f t="shared" si="26"/>
        <v>7400.5</v>
      </c>
      <c r="T121" s="81">
        <f>IFERROR((VLOOKUP($A121,'Из ГУГЛа'!$B:$G,6,0)+V121)*U121,VLOOKUP($A121,'Из ГУГЛа'!$B:$G,6,0))</f>
        <v>7690</v>
      </c>
      <c r="U121" s="83">
        <v>1</v>
      </c>
      <c r="V121" s="83">
        <v>0</v>
      </c>
      <c r="W121" s="48">
        <f t="shared" si="23"/>
        <v>0.25432203389830499</v>
      </c>
      <c r="X121" s="48">
        <f t="shared" si="24"/>
        <v>3.7646293888166447E-2</v>
      </c>
      <c r="Y121" s="48">
        <f t="shared" si="25"/>
        <v>0.30338983050847457</v>
      </c>
      <c r="Z121" s="78">
        <v>7690</v>
      </c>
      <c r="AA121" t="s">
        <v>901</v>
      </c>
      <c r="AB121" s="68"/>
    </row>
    <row r="122" spans="1:28" ht="46.5" thickTop="1" thickBot="1">
      <c r="A122" s="9">
        <v>194480</v>
      </c>
      <c r="B122" s="21">
        <f>VLOOKUP($A122,'Выгр Кат'!$A:$R,B$1,0)</f>
        <v>19553</v>
      </c>
      <c r="C122" s="54" t="str">
        <f>VLOOKUP($A122,'Выгр Кат'!$A:$R,C$1,0)</f>
        <v>Подрамник "AUTOPRODUCT" SPORT без защиты для Лада Калина, Калина 2, Гранта (с 2013 г.в.)</v>
      </c>
      <c r="D122" s="21" t="str">
        <f>VLOOKUP($A122,'Выгр Кат'!$A:$R,D$1,0)</f>
        <v>Y</v>
      </c>
      <c r="E122" s="21" t="str">
        <f>VLOOKUP($A122,'Выгр Кат'!$A:$R,E$1,0)</f>
        <v>1</v>
      </c>
      <c r="F122" s="21" t="str">
        <f>VLOOKUP($A122,'Выгр Кат'!$A:$R,F$1,0)</f>
        <v>АР 0565</v>
      </c>
      <c r="G122" s="7" t="s">
        <v>270</v>
      </c>
      <c r="H122" s="6" t="s">
        <v>3</v>
      </c>
      <c r="I122" s="92">
        <f>O122</f>
        <v>5820</v>
      </c>
      <c r="J122" s="8" t="e">
        <f t="shared" si="17"/>
        <v>#N/A</v>
      </c>
      <c r="K122" s="8" t="e">
        <f>VLOOKUP($G122,ПРАЙС!$B:$H,7,0)</f>
        <v>#N/A</v>
      </c>
      <c r="L122" s="8" t="e">
        <f t="shared" si="18"/>
        <v>#N/A</v>
      </c>
      <c r="M122" s="92">
        <f>P122</f>
        <v>7890</v>
      </c>
      <c r="N122" s="94">
        <f t="shared" si="20"/>
        <v>7890</v>
      </c>
      <c r="O122" s="21">
        <f>VLOOKUP($A122,'Выгр Кат'!$A:$R,O$1,0)</f>
        <v>5820</v>
      </c>
      <c r="P122" s="21">
        <f>VLOOKUP($A122,'Выгр Кат'!$A:$R,P$1,0)</f>
        <v>7890</v>
      </c>
      <c r="Q122" s="70">
        <f t="shared" si="21"/>
        <v>0</v>
      </c>
      <c r="R122" s="70">
        <f t="shared" si="22"/>
        <v>0</v>
      </c>
      <c r="S122" s="85">
        <f t="shared" si="26"/>
        <v>7495.5</v>
      </c>
      <c r="T122" s="81">
        <f>IFERROR((VLOOKUP($A122,'Из ГУГЛа'!$B:$G,6,0)+V122)*U122,VLOOKUP($A122,'Из ГУГЛа'!$B:$G,6,0))</f>
        <v>7590</v>
      </c>
      <c r="U122" s="83">
        <v>1</v>
      </c>
      <c r="V122" s="83">
        <v>0</v>
      </c>
      <c r="W122" s="48">
        <f t="shared" si="23"/>
        <v>0.28788659793814442</v>
      </c>
      <c r="X122" s="48">
        <f t="shared" si="24"/>
        <v>1.2450592885375493E-2</v>
      </c>
      <c r="Y122" s="48">
        <f t="shared" si="25"/>
        <v>0.30412371134020622</v>
      </c>
      <c r="Z122" s="78">
        <v>7590</v>
      </c>
      <c r="AA122" t="s">
        <v>782</v>
      </c>
      <c r="AB122" s="75">
        <v>7250</v>
      </c>
    </row>
    <row r="123" spans="1:28" ht="46.5" thickTop="1" thickBot="1">
      <c r="A123" s="9">
        <v>194500</v>
      </c>
      <c r="B123" s="21">
        <f>VLOOKUP($A123,'Выгр Кат'!$A:$R,B$1,0)</f>
        <v>2846</v>
      </c>
      <c r="C123" s="54" t="str">
        <f>VLOOKUP($A123,'Выгр Кат'!$A:$R,C$1,0)</f>
        <v>Подрамник Drive без защиты "AUTOPRODUCT" для Лада Калина, Гранта (до 2013 года выпуска)</v>
      </c>
      <c r="D123" s="21" t="str">
        <f>VLOOKUP($A123,'Выгр Кат'!$A:$R,D$1,0)</f>
        <v>Y</v>
      </c>
      <c r="E123" s="21" t="str">
        <f>VLOOKUP($A123,'Выгр Кат'!$A:$R,E$1,0)</f>
        <v>1</v>
      </c>
      <c r="F123" s="21" t="str">
        <f>VLOOKUP($A123,'Выгр Кат'!$A:$R,F$1,0)</f>
        <v>АР 0341</v>
      </c>
      <c r="G123" s="7" t="s">
        <v>267</v>
      </c>
      <c r="H123" s="6" t="s">
        <v>3</v>
      </c>
      <c r="I123" s="94">
        <f>VLOOKUP($G123,ПРАЙС!$B:$H,5,0)</f>
        <v>6040</v>
      </c>
      <c r="J123" s="8">
        <f t="shared" si="17"/>
        <v>1.2897350993377483</v>
      </c>
      <c r="K123" s="8">
        <f>VLOOKUP($G123,ПРАЙС!$B:$H,7,0)</f>
        <v>7790</v>
      </c>
      <c r="L123" s="8">
        <f t="shared" si="18"/>
        <v>1.2897350993377483</v>
      </c>
      <c r="M123" s="9">
        <f t="shared" si="19"/>
        <v>7790</v>
      </c>
      <c r="N123" s="94">
        <f t="shared" si="20"/>
        <v>7790</v>
      </c>
      <c r="O123" s="21">
        <f>VLOOKUP($A123,'Выгр Кат'!$A:$R,O$1,0)</f>
        <v>6040</v>
      </c>
      <c r="P123" s="21">
        <f>VLOOKUP($A123,'Выгр Кат'!$A:$R,P$1,0)</f>
        <v>8090</v>
      </c>
      <c r="Q123" s="70">
        <f t="shared" si="21"/>
        <v>0</v>
      </c>
      <c r="R123" s="70">
        <f t="shared" si="22"/>
        <v>300</v>
      </c>
      <c r="S123" s="85">
        <f t="shared" si="26"/>
        <v>7400.5</v>
      </c>
      <c r="T123" s="81">
        <f>IFERROR((VLOOKUP($A123,'Из ГУГЛа'!$B:$G,6,0)+V123)*U123,VLOOKUP($A123,'Из ГУГЛа'!$B:$G,6,0))</f>
        <v>7890</v>
      </c>
      <c r="U123" s="83">
        <v>1</v>
      </c>
      <c r="V123" s="83">
        <v>0</v>
      </c>
      <c r="W123" s="48">
        <f t="shared" si="23"/>
        <v>0.22524834437086083</v>
      </c>
      <c r="X123" s="48">
        <f t="shared" si="24"/>
        <v>6.2040557667934093E-2</v>
      </c>
      <c r="Y123" s="48">
        <f t="shared" si="25"/>
        <v>0.30629139072847678</v>
      </c>
      <c r="Z123" s="79">
        <f>T123</f>
        <v>7890</v>
      </c>
      <c r="AA123" t="s">
        <v>902</v>
      </c>
      <c r="AB123" s="13"/>
    </row>
    <row r="124" spans="1:28" ht="46.5" thickTop="1" thickBot="1">
      <c r="A124" s="14">
        <v>212985</v>
      </c>
      <c r="B124" s="21">
        <f>VLOOKUP($A124,'Выгр Кат'!$A:$R,B$1,0)</f>
        <v>34117</v>
      </c>
      <c r="C124" s="54" t="str">
        <f>VLOOKUP($A124,'Выгр Кат'!$A:$R,C$1,0)</f>
        <v>Рычаг задней подвески "СМЗ" для ВАЗ (2108-21099, 2113-2115, 2110-2112), Лада (Приора, Приора 2)</v>
      </c>
      <c r="D124" s="21" t="str">
        <f>VLOOKUP($A124,'Выгр Кат'!$A:$R,D$1,0)</f>
        <v>Y</v>
      </c>
      <c r="E124" s="21" t="str">
        <f>VLOOKUP($A124,'Выгр Кат'!$A:$R,E$1,0)</f>
        <v>1</v>
      </c>
      <c r="F124" s="21" t="str">
        <f>VLOOKUP($A124,'Выгр Кат'!$A:$R,F$1,0)</f>
        <v>AP 0454 / 21700-2914008-00</v>
      </c>
      <c r="G124" s="26" t="s">
        <v>374</v>
      </c>
      <c r="H124" s="6" t="s">
        <v>3</v>
      </c>
      <c r="I124" s="94">
        <f>VLOOKUP($G124,ПРАЙС!$B:$H,5,0)</f>
        <v>9990</v>
      </c>
      <c r="J124" s="8">
        <f t="shared" si="17"/>
        <v>1</v>
      </c>
      <c r="K124" s="8">
        <f>VLOOKUP($G124,ПРАЙС!$B:$H,7,0)</f>
        <v>9990</v>
      </c>
      <c r="L124" s="8">
        <f t="shared" si="18"/>
        <v>1.22</v>
      </c>
      <c r="M124" s="9">
        <f t="shared" si="19"/>
        <v>12187.8</v>
      </c>
      <c r="N124" s="94">
        <f t="shared" si="20"/>
        <v>12190</v>
      </c>
      <c r="O124" s="21">
        <f>VLOOKUP($A124,'Выгр Кат'!$A:$R,O$1,0)</f>
        <v>9990</v>
      </c>
      <c r="P124" s="21">
        <f>VLOOKUP($A124,'Выгр Кат'!$A:$R,P$1,0)</f>
        <v>12690</v>
      </c>
      <c r="Q124" s="70">
        <f t="shared" si="21"/>
        <v>0</v>
      </c>
      <c r="R124" s="70">
        <f t="shared" si="22"/>
        <v>500</v>
      </c>
      <c r="S124" s="85">
        <f t="shared" si="26"/>
        <v>11580.5</v>
      </c>
      <c r="T124" s="81" t="str">
        <f>IFERROR((VLOOKUP($A124,'Из ГУГЛа'!$B:$G,6,0)+V124)*U124,VLOOKUP($A124,'Из ГУГЛа'!$B:$G,6,0))</f>
        <v/>
      </c>
      <c r="U124" s="83">
        <v>1</v>
      </c>
      <c r="V124" s="83">
        <v>0</v>
      </c>
      <c r="W124" s="48">
        <f t="shared" si="23"/>
        <v>0.15920920920920922</v>
      </c>
      <c r="X124" s="48" t="str">
        <f t="shared" si="24"/>
        <v/>
      </c>
      <c r="Y124" s="48" t="str">
        <f t="shared" si="25"/>
        <v/>
      </c>
      <c r="Z124" s="79" t="s">
        <v>927</v>
      </c>
      <c r="AB124" s="68"/>
    </row>
    <row r="125" spans="1:28" ht="76.5" thickTop="1" thickBot="1">
      <c r="A125" s="9">
        <v>213107</v>
      </c>
      <c r="B125" s="21">
        <f>VLOOKUP($A125,'Выгр Кат'!$A:$R,B$1,0)</f>
        <v>19532</v>
      </c>
      <c r="C125" s="54" t="str">
        <f>VLOOKUP($A125,'Выгр Кат'!$A:$R,C$1,0)</f>
        <v>Рычаги подрамника жесткие "AUTOPRODUCT" для ВАЗ (2108-21099, 2110-2112, 2113-2115), Лада (Калина, Калина 2, Приора, Приора 2, Гранта), Датсун (mi-Do, on-Do)</v>
      </c>
      <c r="D125" s="21" t="str">
        <f>VLOOKUP($A125,'Выгр Кат'!$A:$R,D$1,0)</f>
        <v>Y</v>
      </c>
      <c r="E125" s="21" t="str">
        <f>VLOOKUP($A125,'Выгр Кат'!$A:$R,E$1,0)</f>
        <v>1</v>
      </c>
      <c r="F125" s="21" t="str">
        <f>VLOOKUP($A125,'Выгр Кат'!$A:$R,F$1,0)</f>
        <v>АР 0038</v>
      </c>
      <c r="G125" s="7" t="s">
        <v>261</v>
      </c>
      <c r="H125" s="6" t="s">
        <v>3</v>
      </c>
      <c r="I125" s="94">
        <f>VLOOKUP($G125,ПРАЙС!$B:$H,5,0)</f>
        <v>6970</v>
      </c>
      <c r="J125" s="8">
        <f t="shared" si="17"/>
        <v>1.2898134863701578</v>
      </c>
      <c r="K125" s="8">
        <f>VLOOKUP($G125,ПРАЙС!$B:$H,7,0)</f>
        <v>8990</v>
      </c>
      <c r="L125" s="8">
        <f t="shared" si="18"/>
        <v>1.2898134863701578</v>
      </c>
      <c r="M125" s="9">
        <f t="shared" si="19"/>
        <v>8990</v>
      </c>
      <c r="N125" s="94">
        <f t="shared" si="20"/>
        <v>8990</v>
      </c>
      <c r="O125" s="21">
        <f>VLOOKUP($A125,'Выгр Кат'!$A:$R,O$1,0)</f>
        <v>6970</v>
      </c>
      <c r="P125" s="21">
        <f>VLOOKUP($A125,'Выгр Кат'!$A:$R,P$1,0)</f>
        <v>9490</v>
      </c>
      <c r="Q125" s="70">
        <f t="shared" si="21"/>
        <v>0</v>
      </c>
      <c r="R125" s="70">
        <f t="shared" si="22"/>
        <v>500</v>
      </c>
      <c r="S125" s="85">
        <f t="shared" si="26"/>
        <v>8540.5</v>
      </c>
      <c r="T125" s="81">
        <f>IFERROR((VLOOKUP($A125,'Из ГУГЛа'!$B:$G,6,0)+V125)*U125,VLOOKUP($A125,'Из ГУГЛа'!$B:$G,6,0))</f>
        <v>9090</v>
      </c>
      <c r="U125" s="83">
        <v>1</v>
      </c>
      <c r="V125" s="83">
        <v>0</v>
      </c>
      <c r="W125" s="48">
        <f t="shared" si="23"/>
        <v>0.22532281205164995</v>
      </c>
      <c r="X125" s="48">
        <f t="shared" si="24"/>
        <v>6.0451045104510451E-2</v>
      </c>
      <c r="Y125" s="48">
        <f t="shared" si="25"/>
        <v>0.30416068866571022</v>
      </c>
      <c r="Z125" s="78">
        <v>9090</v>
      </c>
      <c r="AA125" t="s">
        <v>780</v>
      </c>
      <c r="AB125" s="67">
        <v>8550</v>
      </c>
    </row>
    <row r="126" spans="1:28" ht="61.5" thickTop="1" thickBot="1">
      <c r="A126" s="9">
        <v>194504</v>
      </c>
      <c r="B126" s="21">
        <f>VLOOKUP($A126,'Выгр Кат'!$A:$R,B$1,0)</f>
        <v>2845</v>
      </c>
      <c r="C126" s="54" t="str">
        <f>VLOOKUP($A126,'Выгр Кат'!$A:$R,C$1,0)</f>
        <v>Подрамник Drive, ПУ без защиты "AUTOPRODUCT" для Лада Калина, Калина 2, Гранта (после 2013 года выпуска)</v>
      </c>
      <c r="D126" s="21" t="str">
        <f>VLOOKUP($A126,'Выгр Кат'!$A:$R,D$1,0)</f>
        <v>Y</v>
      </c>
      <c r="E126" s="21" t="str">
        <f>VLOOKUP($A126,'Выгр Кат'!$A:$R,E$1,0)</f>
        <v>1</v>
      </c>
      <c r="F126" s="21" t="str">
        <f>VLOOKUP($A126,'Выгр Кат'!$A:$R,F$1,0)</f>
        <v>АР 0556</v>
      </c>
      <c r="G126" s="7" t="s">
        <v>268</v>
      </c>
      <c r="H126" s="6" t="s">
        <v>3</v>
      </c>
      <c r="I126" s="94">
        <f>VLOOKUP($G126,ПРАЙС!$B:$H,5,0)</f>
        <v>6555</v>
      </c>
      <c r="J126" s="8">
        <f t="shared" si="17"/>
        <v>1.2189168573607934</v>
      </c>
      <c r="K126" s="8">
        <f>VLOOKUP($G126,ПРАЙС!$B:$H,7,0)</f>
        <v>7990</v>
      </c>
      <c r="L126" s="8">
        <f t="shared" si="18"/>
        <v>1.22</v>
      </c>
      <c r="M126" s="9">
        <f t="shared" si="19"/>
        <v>7997.0999999999995</v>
      </c>
      <c r="N126" s="94">
        <f t="shared" si="20"/>
        <v>7990</v>
      </c>
      <c r="O126" s="21">
        <f>VLOOKUP($A126,'Выгр Кат'!$A:$R,O$1,0)</f>
        <v>6195</v>
      </c>
      <c r="P126" s="21">
        <f>VLOOKUP($A126,'Выгр Кат'!$A:$R,P$1,0)</f>
        <v>8290</v>
      </c>
      <c r="Q126" s="70">
        <f t="shared" si="21"/>
        <v>-360</v>
      </c>
      <c r="R126" s="70">
        <f t="shared" si="22"/>
        <v>300</v>
      </c>
      <c r="S126" s="85">
        <f t="shared" si="26"/>
        <v>7590.5</v>
      </c>
      <c r="T126" s="81">
        <f>IFERROR((VLOOKUP($A126,'Из ГУГЛа'!$B:$G,6,0)+V126)*U126,VLOOKUP($A126,'Из ГУГЛа'!$B:$G,6,0))</f>
        <v>8090</v>
      </c>
      <c r="U126" s="83">
        <v>1</v>
      </c>
      <c r="V126" s="83">
        <v>0</v>
      </c>
      <c r="W126" s="48">
        <f t="shared" si="23"/>
        <v>0.15797101449275353</v>
      </c>
      <c r="X126" s="48">
        <f t="shared" si="24"/>
        <v>6.1742892459826948E-2</v>
      </c>
      <c r="Y126" s="48">
        <f t="shared" si="25"/>
        <v>0.23417238749046532</v>
      </c>
      <c r="Z126" s="79">
        <f>T126</f>
        <v>8090</v>
      </c>
      <c r="AA126" t="s">
        <v>905</v>
      </c>
      <c r="AB126" s="68"/>
    </row>
    <row r="127" spans="1:28" ht="46.5" thickTop="1" thickBot="1">
      <c r="A127" s="9">
        <v>194503</v>
      </c>
      <c r="B127" s="21">
        <f>VLOOKUP($A127,'Выгр Кат'!$A:$R,B$1,0)</f>
        <v>2844</v>
      </c>
      <c r="C127" s="54" t="str">
        <f>VLOOKUP($A127,'Выгр Кат'!$A:$R,C$1,0)</f>
        <v>Подрамник Drive, ПУ без защиты "AUTOPRODUCT" для Лада Калина, Гранта (до 2013 года выпуска)</v>
      </c>
      <c r="D127" s="21" t="str">
        <f>VLOOKUP($A127,'Выгр Кат'!$A:$R,D$1,0)</f>
        <v>Y</v>
      </c>
      <c r="E127" s="21" t="str">
        <f>VLOOKUP($A127,'Выгр Кат'!$A:$R,E$1,0)</f>
        <v>1</v>
      </c>
      <c r="F127" s="21" t="str">
        <f>VLOOKUP($A127,'Выгр Кат'!$A:$R,F$1,0)</f>
        <v>АР 0331</v>
      </c>
      <c r="G127" s="7" t="s">
        <v>266</v>
      </c>
      <c r="H127" s="6" t="s">
        <v>3</v>
      </c>
      <c r="I127" s="94">
        <f>VLOOKUP($G127,ПРАЙС!$B:$H,5,0)</f>
        <v>6815</v>
      </c>
      <c r="J127" s="8">
        <f t="shared" si="17"/>
        <v>1.2457813646368305</v>
      </c>
      <c r="K127" s="8">
        <f>VLOOKUP($G127,ПРАЙС!$B:$H,7,0)</f>
        <v>8490</v>
      </c>
      <c r="L127" s="8">
        <f t="shared" si="18"/>
        <v>1.2457813646368305</v>
      </c>
      <c r="M127" s="9">
        <f t="shared" si="19"/>
        <v>8490</v>
      </c>
      <c r="N127" s="94">
        <f t="shared" si="20"/>
        <v>8490</v>
      </c>
      <c r="O127" s="21">
        <f>VLOOKUP($A127,'Выгр Кат'!$A:$R,O$1,0)</f>
        <v>6510</v>
      </c>
      <c r="P127" s="21">
        <f>VLOOKUP($A127,'Выгр Кат'!$A:$R,P$1,0)</f>
        <v>8890</v>
      </c>
      <c r="Q127" s="70">
        <f t="shared" si="21"/>
        <v>-305</v>
      </c>
      <c r="R127" s="70">
        <f t="shared" si="22"/>
        <v>400</v>
      </c>
      <c r="S127" s="85">
        <f t="shared" si="26"/>
        <v>8065.5</v>
      </c>
      <c r="T127" s="81">
        <f>IFERROR((VLOOKUP($A127,'Из ГУГЛа'!$B:$G,6,0)+V127)*U127,VLOOKUP($A127,'Из ГУГЛа'!$B:$G,6,0))</f>
        <v>8490</v>
      </c>
      <c r="U127" s="83">
        <v>1</v>
      </c>
      <c r="V127" s="83">
        <v>0</v>
      </c>
      <c r="W127" s="48">
        <f t="shared" si="23"/>
        <v>0.18349229640498899</v>
      </c>
      <c r="X127" s="48">
        <f t="shared" si="24"/>
        <v>0.05</v>
      </c>
      <c r="Y127" s="48">
        <f t="shared" si="25"/>
        <v>0.24578136463683053</v>
      </c>
      <c r="Z127" s="78">
        <v>8490</v>
      </c>
      <c r="AA127" t="s">
        <v>781</v>
      </c>
      <c r="AB127" s="67">
        <v>7750</v>
      </c>
    </row>
    <row r="128" spans="1:28" ht="46.5" thickTop="1" thickBot="1">
      <c r="A128" s="9">
        <v>194477</v>
      </c>
      <c r="B128" s="21">
        <f>VLOOKUP($A128,'Выгр Кат'!$A:$R,B$1,0)</f>
        <v>2821</v>
      </c>
      <c r="C128" s="54" t="str">
        <f>VLOOKUP($A128,'Выгр Кат'!$A:$R,C$1,0)</f>
        <v>Подрамник "AUTOPRODUCT" Drive без защиты для ВАЗ 2110-2112, Лада (Приора, Приора 2)</v>
      </c>
      <c r="D128" s="21" t="str">
        <f>VLOOKUP($A128,'Выгр Кат'!$A:$R,D$1,0)</f>
        <v>Y</v>
      </c>
      <c r="E128" s="21" t="str">
        <f>VLOOKUP($A128,'Выгр Кат'!$A:$R,E$1,0)</f>
        <v>1</v>
      </c>
      <c r="F128" s="21" t="str">
        <f>VLOOKUP($A128,'Выгр Кат'!$A:$R,F$1,0)</f>
        <v>АР 0191</v>
      </c>
      <c r="G128" s="7" t="s">
        <v>265</v>
      </c>
      <c r="H128" s="6" t="s">
        <v>3</v>
      </c>
      <c r="I128" s="94">
        <f>VLOOKUP($G128,ПРАЙС!$B:$H,5,0)</f>
        <v>6970</v>
      </c>
      <c r="J128" s="8">
        <f t="shared" si="17"/>
        <v>1.2898134863701578</v>
      </c>
      <c r="K128" s="8">
        <f>VLOOKUP($G128,ПРАЙС!$B:$H,7,0)</f>
        <v>8990</v>
      </c>
      <c r="L128" s="8">
        <f t="shared" si="18"/>
        <v>1.2898134863701578</v>
      </c>
      <c r="M128" s="9">
        <f t="shared" si="19"/>
        <v>8990</v>
      </c>
      <c r="N128" s="94">
        <f t="shared" si="20"/>
        <v>8990</v>
      </c>
      <c r="O128" s="21">
        <f>VLOOKUP($A128,'Выгр Кат'!$A:$R,O$1,0)</f>
        <v>6970</v>
      </c>
      <c r="P128" s="21">
        <f>VLOOKUP($A128,'Выгр Кат'!$A:$R,P$1,0)</f>
        <v>9490</v>
      </c>
      <c r="Q128" s="70">
        <f t="shared" si="21"/>
        <v>0</v>
      </c>
      <c r="R128" s="70">
        <f t="shared" si="22"/>
        <v>500</v>
      </c>
      <c r="S128" s="85">
        <f t="shared" si="26"/>
        <v>8540.5</v>
      </c>
      <c r="T128" s="81">
        <f>IFERROR((VLOOKUP($A128,'Из ГУГЛа'!$B:$G,6,0)+V128)*U128,VLOOKUP($A128,'Из ГУГЛа'!$B:$G,6,0))</f>
        <v>9090</v>
      </c>
      <c r="U128" s="83">
        <v>1</v>
      </c>
      <c r="V128" s="83">
        <v>0</v>
      </c>
      <c r="W128" s="48">
        <f t="shared" si="23"/>
        <v>0.22532281205164995</v>
      </c>
      <c r="X128" s="48">
        <f t="shared" si="24"/>
        <v>6.0451045104510451E-2</v>
      </c>
      <c r="Y128" s="48">
        <f t="shared" si="25"/>
        <v>0.30416068866571022</v>
      </c>
      <c r="Z128" s="79">
        <f>T128</f>
        <v>9090</v>
      </c>
      <c r="AA128" t="s">
        <v>811</v>
      </c>
      <c r="AB128" s="67">
        <v>8500</v>
      </c>
    </row>
    <row r="129" spans="1:28" ht="91.5" thickTop="1" thickBot="1">
      <c r="A129" s="9">
        <v>213100</v>
      </c>
      <c r="B129" s="21">
        <f>VLOOKUP($A129,'Выгр Кат'!$A:$R,B$1,0)</f>
        <v>19519</v>
      </c>
      <c r="C129" s="54" t="str">
        <f>VLOOKUP($A129,'Выгр Кат'!$A:$R,C$1,0)</f>
        <v>Рычаги нижние "AUTOPRODUCT" под подрамник (увеличенная колея +70 мм) для ВАЗ (2108-21099, 2113-2115, 2110-2112), Лада (Калина, Калина 2, Приора, Приора 2, Гранта), Датсун (mi-DO, on-DO)</v>
      </c>
      <c r="D129" s="21" t="str">
        <f>VLOOKUP($A129,'Выгр Кат'!$A:$R,D$1,0)</f>
        <v>Y</v>
      </c>
      <c r="E129" s="21" t="str">
        <f>VLOOKUP($A129,'Выгр Кат'!$A:$R,E$1,0)</f>
        <v>1</v>
      </c>
      <c r="F129" s="21" t="str">
        <f>VLOOKUP($A129,'Выгр Кат'!$A:$R,F$1,0)</f>
        <v>АР 0037</v>
      </c>
      <c r="G129" s="7" t="s">
        <v>260</v>
      </c>
      <c r="H129" s="6" t="s">
        <v>3</v>
      </c>
      <c r="I129" s="94">
        <f>VLOOKUP($G129,ПРАЙС!$B:$H,5,0)</f>
        <v>6970</v>
      </c>
      <c r="J129" s="8">
        <f t="shared" si="17"/>
        <v>1.2898134863701578</v>
      </c>
      <c r="K129" s="8">
        <f>VLOOKUP($G129,ПРАЙС!$B:$H,7,0)</f>
        <v>8990</v>
      </c>
      <c r="L129" s="8">
        <f t="shared" si="18"/>
        <v>1.2898134863701578</v>
      </c>
      <c r="M129" s="9">
        <f t="shared" si="19"/>
        <v>8990</v>
      </c>
      <c r="N129" s="94">
        <f t="shared" si="20"/>
        <v>8990</v>
      </c>
      <c r="O129" s="21">
        <f>VLOOKUP($A129,'Выгр Кат'!$A:$R,O$1,0)</f>
        <v>6970</v>
      </c>
      <c r="P129" s="21">
        <f>VLOOKUP($A129,'Выгр Кат'!$A:$R,P$1,0)</f>
        <v>9590</v>
      </c>
      <c r="Q129" s="70">
        <f t="shared" si="21"/>
        <v>0</v>
      </c>
      <c r="R129" s="70">
        <f t="shared" si="22"/>
        <v>600</v>
      </c>
      <c r="S129" s="85">
        <f t="shared" si="26"/>
        <v>8540.5</v>
      </c>
      <c r="T129" s="81" t="str">
        <f>IFERROR((VLOOKUP($A129,'Из ГУГЛа'!$B:$G,6,0)+V129)*U129,VLOOKUP($A129,'Из ГУГЛа'!$B:$G,6,0))</f>
        <v/>
      </c>
      <c r="U129" s="83">
        <v>1</v>
      </c>
      <c r="V129" s="83">
        <v>0</v>
      </c>
      <c r="W129" s="48">
        <f t="shared" si="23"/>
        <v>0.22532281205164995</v>
      </c>
      <c r="X129" s="48">
        <f t="shared" si="24"/>
        <v>7.0674646354733403E-2</v>
      </c>
      <c r="Y129" s="48">
        <f t="shared" si="25"/>
        <v>0.31850789096126264</v>
      </c>
      <c r="Z129" s="78">
        <v>9190</v>
      </c>
      <c r="AA129" t="s">
        <v>798</v>
      </c>
      <c r="AB129" s="75">
        <v>8550</v>
      </c>
    </row>
    <row r="130" spans="1:28" ht="46.5" thickTop="1" thickBot="1">
      <c r="A130" s="14">
        <v>212986</v>
      </c>
      <c r="B130" s="21">
        <f>VLOOKUP($A130,'Выгр Кат'!$A:$R,B$1,0)</f>
        <v>34118</v>
      </c>
      <c r="C130" s="54" t="str">
        <f>VLOOKUP($A130,'Выгр Кат'!$A:$R,C$1,0)</f>
        <v>Рычаг задней подвески "СМЗ" для Лада (Калина, Калина 2, Гранта), Датсун (mi-Do, on-Do)</v>
      </c>
      <c r="D130" s="21" t="str">
        <f>VLOOKUP($A130,'Выгр Кат'!$A:$R,D$1,0)</f>
        <v>Y</v>
      </c>
      <c r="E130" s="21" t="str">
        <f>VLOOKUP($A130,'Выгр Кат'!$A:$R,E$1,0)</f>
        <v>1ск1</v>
      </c>
      <c r="F130" s="21" t="str">
        <f>VLOOKUP($A130,'Выгр Кат'!$A:$R,F$1,0)</f>
        <v>AP 0411 / 11180-2914008-00</v>
      </c>
      <c r="G130" s="26" t="s">
        <v>324</v>
      </c>
      <c r="H130" s="6" t="s">
        <v>3</v>
      </c>
      <c r="I130" s="92">
        <f>O130</f>
        <v>9095</v>
      </c>
      <c r="J130" s="8" t="e">
        <f t="shared" si="17"/>
        <v>#N/A</v>
      </c>
      <c r="K130" s="8" t="e">
        <f>VLOOKUP($G130,ПРАЙС!$B:$H,7,0)</f>
        <v>#N/A</v>
      </c>
      <c r="L130" s="8" t="e">
        <f t="shared" si="18"/>
        <v>#N/A</v>
      </c>
      <c r="M130" s="92">
        <f>P130</f>
        <v>12590</v>
      </c>
      <c r="N130" s="94">
        <f t="shared" si="20"/>
        <v>12590</v>
      </c>
      <c r="O130" s="21">
        <f>VLOOKUP($A130,'Выгр Кат'!$A:$R,O$1,0)</f>
        <v>9095</v>
      </c>
      <c r="P130" s="21">
        <f>VLOOKUP($A130,'Выгр Кат'!$A:$R,P$1,0)</f>
        <v>12590</v>
      </c>
      <c r="Q130" s="70">
        <f t="shared" si="21"/>
        <v>0</v>
      </c>
      <c r="R130" s="70">
        <f t="shared" si="22"/>
        <v>0</v>
      </c>
      <c r="S130" s="85">
        <f t="shared" si="26"/>
        <v>11960.5</v>
      </c>
      <c r="T130" s="81" t="str">
        <f>IFERROR((VLOOKUP($A130,'Из ГУГЛа'!$B:$G,6,0)+V130)*U130,VLOOKUP($A130,'Из ГУГЛа'!$B:$G,6,0))</f>
        <v/>
      </c>
      <c r="U130" s="83">
        <v>1</v>
      </c>
      <c r="V130" s="83">
        <v>0</v>
      </c>
      <c r="W130" s="48">
        <f t="shared" si="23"/>
        <v>0.31506322155030242</v>
      </c>
      <c r="X130" s="48" t="str">
        <f t="shared" si="24"/>
        <v/>
      </c>
      <c r="Y130" s="48" t="str">
        <f t="shared" si="25"/>
        <v/>
      </c>
      <c r="Z130" s="79" t="s">
        <v>927</v>
      </c>
      <c r="AB130" s="13"/>
    </row>
    <row r="131" spans="1:28" ht="91.5" thickTop="1" thickBot="1">
      <c r="A131" s="14">
        <v>213109</v>
      </c>
      <c r="B131" s="21">
        <f>VLOOKUP($A131,'Выгр Кат'!$A:$R,B$1,0)</f>
        <v>35080</v>
      </c>
      <c r="C131" s="54" t="str">
        <f>VLOOKUP($A131,'Выгр Кат'!$A:$R,C$1,0)</f>
        <v>Рычаги регулируемые передние "AUTOPRODUCT" на полиуретане для ВАЗ (2108-21099, 2113-2115, 2110-2112), Лада (Калина, Калина 2, Приора, Приора 2, Гранта), Датсун (mi-DO, on-DO)</v>
      </c>
      <c r="D131" s="21" t="str">
        <f>VLOOKUP($A131,'Выгр Кат'!$A:$R,D$1,0)</f>
        <v>Y</v>
      </c>
      <c r="E131" s="21" t="str">
        <f>VLOOKUP($A131,'Выгр Кат'!$A:$R,E$1,0)</f>
        <v>1</v>
      </c>
      <c r="F131" s="21" t="str">
        <f>VLOOKUP($A131,'Выгр Кат'!$A:$R,F$1,0)</f>
        <v>AP 0431</v>
      </c>
      <c r="G131" s="23" t="s">
        <v>339</v>
      </c>
      <c r="H131" s="6" t="s">
        <v>3</v>
      </c>
      <c r="I131" s="94">
        <f>VLOOKUP($G131,ПРАЙС!$B:$H,5,0)</f>
        <v>8890</v>
      </c>
      <c r="J131" s="8">
        <f t="shared" ref="J131:J194" si="32">K131/I131</f>
        <v>1.1799775028121484</v>
      </c>
      <c r="K131" s="8">
        <f>VLOOKUP($G131,ПРАЙС!$B:$H,7,0)</f>
        <v>10490</v>
      </c>
      <c r="L131" s="8">
        <f t="shared" ref="L131:L194" si="33">IF(J131&lt;$L$2,$L$2,J131)</f>
        <v>1.22</v>
      </c>
      <c r="M131" s="9">
        <f t="shared" ref="M131:M173" si="34">I131*L131</f>
        <v>10845.8</v>
      </c>
      <c r="N131" s="94">
        <f t="shared" ref="N131:N194" si="35">IF(M131&lt;=1000,(ROUNDUP(M131,-1)-1),(ROUNDUP(M131,-2)-10))</f>
        <v>10890</v>
      </c>
      <c r="O131" s="21">
        <f>VLOOKUP($A131,'Выгр Кат'!$A:$R,O$1,0)</f>
        <v>8890</v>
      </c>
      <c r="P131" s="21">
        <f>VLOOKUP($A131,'Выгр Кат'!$A:$R,P$1,0)</f>
        <v>11690</v>
      </c>
      <c r="Q131" s="70">
        <f t="shared" ref="Q131:Q194" si="36">O131-I131</f>
        <v>0</v>
      </c>
      <c r="R131" s="70">
        <f t="shared" ref="R131:R194" si="37">P131-N131</f>
        <v>800</v>
      </c>
      <c r="S131" s="85">
        <f t="shared" si="26"/>
        <v>10345.5</v>
      </c>
      <c r="T131" s="81">
        <f>IFERROR((VLOOKUP($A131,'Из ГУГЛа'!$B:$G,6,0)+V131)*U131,VLOOKUP($A131,'Из ГУГЛа'!$B:$G,6,0))</f>
        <v>11190</v>
      </c>
      <c r="U131" s="83">
        <v>1</v>
      </c>
      <c r="V131" s="83">
        <v>0</v>
      </c>
      <c r="W131" s="48">
        <f t="shared" ref="W131:W194" si="38">IFERROR(S131/I131-1,"")</f>
        <v>0.16372328458942631</v>
      </c>
      <c r="X131" s="48">
        <f t="shared" ref="X131:X194" si="39">IFERROR((Z131-S131)/Z131,"")</f>
        <v>7.5469168900804295E-2</v>
      </c>
      <c r="Y131" s="48">
        <f t="shared" ref="Y131:Y194" si="40">IFERROR(IF(Z131="","",Z131/I131-1),"")</f>
        <v>0.25871766029246346</v>
      </c>
      <c r="Z131" s="79">
        <f t="shared" ref="Z131:Z132" si="41">T131</f>
        <v>11190</v>
      </c>
      <c r="AA131" t="s">
        <v>810</v>
      </c>
      <c r="AB131" s="35">
        <v>9990</v>
      </c>
    </row>
    <row r="132" spans="1:28" ht="76.5" thickTop="1" thickBot="1">
      <c r="A132" s="9">
        <v>213108</v>
      </c>
      <c r="B132" s="21">
        <f>VLOOKUP($A132,'Выгр Кат'!$A:$R,B$1,0)</f>
        <v>3007</v>
      </c>
      <c r="C132" s="54" t="str">
        <f>VLOOKUP($A132,'Выгр Кат'!$A:$R,C$1,0)</f>
        <v>Рычаги регулируемые передние "AUTOPRODUCT" для ВАЗ (2108-21099, 2113-2115, 2110-2112), Лада (Калина, Калина 2, Приора, Приора 2, Гранта), Датсун (mi-DO, on-DO)</v>
      </c>
      <c r="D132" s="21" t="str">
        <f>VLOOKUP($A132,'Выгр Кат'!$A:$R,D$1,0)</f>
        <v>Y</v>
      </c>
      <c r="E132" s="21" t="str">
        <f>VLOOKUP($A132,'Выгр Кат'!$A:$R,E$1,0)</f>
        <v>1</v>
      </c>
      <c r="F132" s="21" t="str">
        <f>VLOOKUP($A132,'Выгр Кат'!$A:$R,F$1,0)</f>
        <v>АР 0430</v>
      </c>
      <c r="G132" s="7" t="s">
        <v>338</v>
      </c>
      <c r="H132" s="6" t="s">
        <v>3</v>
      </c>
      <c r="I132" s="94">
        <f>VLOOKUP($G132,ПРАЙС!$B:$H,5,0)</f>
        <v>8890</v>
      </c>
      <c r="J132" s="8">
        <f t="shared" si="32"/>
        <v>1.1799775028121484</v>
      </c>
      <c r="K132" s="8">
        <f>VLOOKUP($G132,ПРАЙС!$B:$H,7,0)</f>
        <v>10490</v>
      </c>
      <c r="L132" s="8">
        <f t="shared" si="33"/>
        <v>1.22</v>
      </c>
      <c r="M132" s="9">
        <f t="shared" si="34"/>
        <v>10845.8</v>
      </c>
      <c r="N132" s="94">
        <f t="shared" si="35"/>
        <v>10890</v>
      </c>
      <c r="O132" s="21">
        <f>VLOOKUP($A132,'Выгр Кат'!$A:$R,O$1,0)</f>
        <v>8325</v>
      </c>
      <c r="P132" s="21">
        <f>VLOOKUP($A132,'Выгр Кат'!$A:$R,P$1,0)</f>
        <v>10590</v>
      </c>
      <c r="Q132" s="70">
        <f t="shared" si="36"/>
        <v>-565</v>
      </c>
      <c r="R132" s="70">
        <f t="shared" si="37"/>
        <v>-300</v>
      </c>
      <c r="S132" s="85">
        <f t="shared" ref="S132:S195" si="42">IFERROR(N132*(1-$S$2),"")</f>
        <v>10345.5</v>
      </c>
      <c r="T132" s="81">
        <f>IFERROR((VLOOKUP($A132,'Из ГУГЛа'!$B:$G,6,0)+V132)*U132,VLOOKUP($A132,'Из ГУГЛа'!$B:$G,6,0))</f>
        <v>10390</v>
      </c>
      <c r="U132" s="83">
        <v>1</v>
      </c>
      <c r="V132" s="83">
        <v>0</v>
      </c>
      <c r="W132" s="48">
        <f t="shared" si="38"/>
        <v>0.16372328458942631</v>
      </c>
      <c r="X132" s="48">
        <f t="shared" si="39"/>
        <v>4.2829643888354189E-3</v>
      </c>
      <c r="Y132" s="48">
        <f t="shared" si="40"/>
        <v>0.16872890888638925</v>
      </c>
      <c r="Z132" s="79">
        <f t="shared" si="41"/>
        <v>10390</v>
      </c>
      <c r="AA132" t="s">
        <v>809</v>
      </c>
      <c r="AB132" s="35">
        <v>9990</v>
      </c>
    </row>
    <row r="133" spans="1:28" ht="91.5" thickTop="1" thickBot="1">
      <c r="A133" s="9">
        <v>213110</v>
      </c>
      <c r="B133" s="21">
        <f>VLOOKUP($A133,'Выгр Кат'!$A:$R,B$1,0)</f>
        <v>19482</v>
      </c>
      <c r="C133" s="54" t="str">
        <f>VLOOKUP($A133,'Выгр Кат'!$A:$R,C$1,0)</f>
        <v>Рычаги регулируемые передние "AUTOPRODUCT" под увеличенную колею (+70 мм) для ВАЗ (2108-21099, 2113-2115, 2110-2112), Лада (Калина, Калина 2, Приора, Приора 2, Гранта), Датсун (mi-DO, on-DO)</v>
      </c>
      <c r="D133" s="21" t="str">
        <f>VLOOKUP($A133,'Выгр Кат'!$A:$R,D$1,0)</f>
        <v>Y</v>
      </c>
      <c r="E133" s="21" t="str">
        <f>VLOOKUP($A133,'Выгр Кат'!$A:$R,E$1,0)</f>
        <v>1</v>
      </c>
      <c r="F133" s="21" t="str">
        <f>VLOOKUP($A133,'Выгр Кат'!$A:$R,F$1,0)</f>
        <v>АР 0437</v>
      </c>
      <c r="G133" s="7" t="s">
        <v>340</v>
      </c>
      <c r="H133" s="6" t="s">
        <v>3</v>
      </c>
      <c r="I133" s="92">
        <f>O133</f>
        <v>8425</v>
      </c>
      <c r="J133" s="8" t="e">
        <f t="shared" si="32"/>
        <v>#N/A</v>
      </c>
      <c r="K133" s="8" t="e">
        <f>VLOOKUP($G133,ПРАЙС!$B:$H,7,0)</f>
        <v>#N/A</v>
      </c>
      <c r="L133" s="8" t="e">
        <f t="shared" si="33"/>
        <v>#N/A</v>
      </c>
      <c r="M133" s="92">
        <f>P133</f>
        <v>14290</v>
      </c>
      <c r="N133" s="94">
        <f t="shared" si="35"/>
        <v>14290</v>
      </c>
      <c r="O133" s="21">
        <f>VLOOKUP($A133,'Выгр Кат'!$A:$R,O$1,0)</f>
        <v>8425</v>
      </c>
      <c r="P133" s="21">
        <f>VLOOKUP($A133,'Выгр Кат'!$A:$R,P$1,0)</f>
        <v>14290</v>
      </c>
      <c r="Q133" s="70">
        <f t="shared" si="36"/>
        <v>0</v>
      </c>
      <c r="R133" s="70">
        <f t="shared" si="37"/>
        <v>0</v>
      </c>
      <c r="S133" s="85">
        <f t="shared" si="42"/>
        <v>13575.5</v>
      </c>
      <c r="T133" s="81">
        <f>IFERROR((VLOOKUP($A133,'Из ГУГЛа'!$B:$G,6,0)+V133)*U133,VLOOKUP($A133,'Из ГУГЛа'!$B:$G,6,0))</f>
        <v>13690</v>
      </c>
      <c r="U133" s="83">
        <v>1</v>
      </c>
      <c r="V133" s="83">
        <v>0</v>
      </c>
      <c r="W133" s="48">
        <f t="shared" si="38"/>
        <v>0.61133531157270027</v>
      </c>
      <c r="X133" s="48">
        <f t="shared" si="39"/>
        <v>8.3637691745799859E-3</v>
      </c>
      <c r="Y133" s="48">
        <f t="shared" si="40"/>
        <v>0.62492581602373898</v>
      </c>
      <c r="Z133" s="78">
        <v>13690</v>
      </c>
      <c r="AA133" t="s">
        <v>808</v>
      </c>
      <c r="AB133" s="75">
        <v>10550</v>
      </c>
    </row>
    <row r="134" spans="1:28" ht="61.5" thickTop="1" thickBot="1">
      <c r="A134" s="9">
        <v>194519</v>
      </c>
      <c r="B134" s="21">
        <f>VLOOKUP($A134,'Выгр Кат'!$A:$R,B$1,0)</f>
        <v>2843</v>
      </c>
      <c r="C134" s="54" t="str">
        <f>VLOOKUP($A134,'Выгр Кат'!$A:$R,C$1,0)</f>
        <v>Подрамник с жёсткими рычагами без защиты "AUTOPRODUCT" для Лада Калина, Калина 2, Гранта (после 2013 года выпуска)</v>
      </c>
      <c r="D134" s="21" t="str">
        <f>VLOOKUP($A134,'Выгр Кат'!$A:$R,D$1,0)</f>
        <v>Y</v>
      </c>
      <c r="E134" s="21" t="str">
        <f>VLOOKUP($A134,'Выгр Кат'!$A:$R,E$1,0)</f>
        <v>1</v>
      </c>
      <c r="F134" s="21" t="str">
        <f>VLOOKUP($A134,'Выгр Кат'!$A:$R,F$1,0)</f>
        <v>АР 0551</v>
      </c>
      <c r="G134" s="7" t="s">
        <v>274</v>
      </c>
      <c r="H134" s="6" t="s">
        <v>3</v>
      </c>
      <c r="I134" s="94">
        <f>VLOOKUP($G134,ПРАЙС!$B:$H,5,0)</f>
        <v>12585</v>
      </c>
      <c r="J134" s="8">
        <f t="shared" si="32"/>
        <v>1.2467222884386173</v>
      </c>
      <c r="K134" s="8">
        <f>VLOOKUP($G134,ПРАЙС!$B:$H,7,0)</f>
        <v>15690</v>
      </c>
      <c r="L134" s="8">
        <f t="shared" si="33"/>
        <v>1.2467222884386173</v>
      </c>
      <c r="M134" s="9">
        <f t="shared" si="34"/>
        <v>15689.999999999998</v>
      </c>
      <c r="N134" s="94">
        <f t="shared" si="35"/>
        <v>15690</v>
      </c>
      <c r="O134" s="21">
        <f>VLOOKUP($A134,'Выгр Кат'!$A:$R,O$1,0)</f>
        <v>12165</v>
      </c>
      <c r="P134" s="21">
        <f>VLOOKUP($A134,'Выгр Кат'!$A:$R,P$1,0)</f>
        <v>15790</v>
      </c>
      <c r="Q134" s="70">
        <f t="shared" si="36"/>
        <v>-420</v>
      </c>
      <c r="R134" s="70">
        <f t="shared" si="37"/>
        <v>100</v>
      </c>
      <c r="S134" s="85">
        <f t="shared" si="42"/>
        <v>14905.5</v>
      </c>
      <c r="T134" s="81">
        <f>IFERROR((VLOOKUP($A134,'Из ГУГЛа'!$B:$G,6,0)+V134)*U134,VLOOKUP($A134,'Из ГУГЛа'!$B:$G,6,0))</f>
        <v>15190</v>
      </c>
      <c r="U134" s="83">
        <v>1</v>
      </c>
      <c r="V134" s="83">
        <v>0</v>
      </c>
      <c r="W134" s="48">
        <f t="shared" si="38"/>
        <v>0.18438617401668655</v>
      </c>
      <c r="X134" s="48">
        <f t="shared" si="39"/>
        <v>1.8729427254772876E-2</v>
      </c>
      <c r="Y134" s="48">
        <f t="shared" si="40"/>
        <v>0.20699245133094957</v>
      </c>
      <c r="Z134" s="79">
        <f t="shared" ref="Z134:Z137" si="43">T134</f>
        <v>15190</v>
      </c>
      <c r="AA134" t="s">
        <v>799</v>
      </c>
      <c r="AB134" s="67">
        <v>14990</v>
      </c>
    </row>
    <row r="135" spans="1:28" ht="46.5" thickTop="1" thickBot="1">
      <c r="A135" s="9">
        <v>194517</v>
      </c>
      <c r="B135" s="21">
        <f>VLOOKUP($A135,'Выгр Кат'!$A:$R,B$1,0)</f>
        <v>2848</v>
      </c>
      <c r="C135" s="54" t="str">
        <f>VLOOKUP($A135,'Выгр Кат'!$A:$R,C$1,0)</f>
        <v>Подрамник с жёсткими рычагами без защиты "AUTOPRODUCT" для ВАЗ 2108-21099, 2113-2115</v>
      </c>
      <c r="D135" s="21" t="str">
        <f>VLOOKUP($A135,'Выгр Кат'!$A:$R,D$1,0)</f>
        <v>Y</v>
      </c>
      <c r="E135" s="21" t="str">
        <f>VLOOKUP($A135,'Выгр Кат'!$A:$R,E$1,0)</f>
        <v>1</v>
      </c>
      <c r="F135" s="21" t="str">
        <f>VLOOKUP($A135,'Выгр Кат'!$A:$R,F$1,0)</f>
        <v>АР 0033</v>
      </c>
      <c r="G135" s="7" t="s">
        <v>271</v>
      </c>
      <c r="H135" s="6" t="s">
        <v>3</v>
      </c>
      <c r="I135" s="94">
        <f>VLOOKUP($G135,ПРАЙС!$B:$H,5,0)</f>
        <v>12450</v>
      </c>
      <c r="J135" s="8">
        <f t="shared" si="32"/>
        <v>1.2602409638554217</v>
      </c>
      <c r="K135" s="8">
        <f>VLOOKUP($G135,ПРАЙС!$B:$H,7,0)</f>
        <v>15690</v>
      </c>
      <c r="L135" s="8">
        <f t="shared" si="33"/>
        <v>1.2602409638554217</v>
      </c>
      <c r="M135" s="9">
        <f t="shared" si="34"/>
        <v>15690</v>
      </c>
      <c r="N135" s="94">
        <f t="shared" si="35"/>
        <v>15690</v>
      </c>
      <c r="O135" s="21">
        <f>VLOOKUP($A135,'Выгр Кат'!$A:$R,O$1,0)</f>
        <v>12165</v>
      </c>
      <c r="P135" s="21">
        <f>VLOOKUP($A135,'Выгр Кат'!$A:$R,P$1,0)</f>
        <v>15790</v>
      </c>
      <c r="Q135" s="70">
        <f t="shared" si="36"/>
        <v>-285</v>
      </c>
      <c r="R135" s="70">
        <f t="shared" si="37"/>
        <v>100</v>
      </c>
      <c r="S135" s="85">
        <f t="shared" si="42"/>
        <v>14905.5</v>
      </c>
      <c r="T135" s="81">
        <f>IFERROR((VLOOKUP($A135,'Из ГУГЛа'!$B:$G,6,0)+V135)*U135,VLOOKUP($A135,'Из ГУГЛа'!$B:$G,6,0))</f>
        <v>15190</v>
      </c>
      <c r="U135" s="83">
        <v>1</v>
      </c>
      <c r="V135" s="83">
        <v>0</v>
      </c>
      <c r="W135" s="48">
        <f t="shared" si="38"/>
        <v>0.19722891566265055</v>
      </c>
      <c r="X135" s="48">
        <f t="shared" si="39"/>
        <v>1.8729427254772876E-2</v>
      </c>
      <c r="Y135" s="48">
        <f t="shared" si="40"/>
        <v>0.22008032128514055</v>
      </c>
      <c r="Z135" s="79">
        <f t="shared" si="43"/>
        <v>15190</v>
      </c>
      <c r="AA135" t="s">
        <v>800</v>
      </c>
      <c r="AB135" s="75">
        <v>14990</v>
      </c>
    </row>
    <row r="136" spans="1:28" ht="46.5" thickTop="1" thickBot="1">
      <c r="A136" s="9">
        <v>194518</v>
      </c>
      <c r="B136" s="21">
        <f>VLOOKUP($A136,'Выгр Кат'!$A:$R,B$1,0)</f>
        <v>2842</v>
      </c>
      <c r="C136" s="54" t="str">
        <f>VLOOKUP($A136,'Выгр Кат'!$A:$R,C$1,0)</f>
        <v>Подрамник с жёсткими рычагами без защиты "AUTOPRODUCT" для Лада Калина, Гранта</v>
      </c>
      <c r="D136" s="21" t="str">
        <f>VLOOKUP($A136,'Выгр Кат'!$A:$R,D$1,0)</f>
        <v>Y</v>
      </c>
      <c r="E136" s="21" t="str">
        <f>VLOOKUP($A136,'Выгр Кат'!$A:$R,E$1,0)</f>
        <v>1</v>
      </c>
      <c r="F136" s="21" t="str">
        <f>VLOOKUP($A136,'Выгр Кат'!$A:$R,F$1,0)</f>
        <v>АР 0321</v>
      </c>
      <c r="G136" s="7" t="s">
        <v>273</v>
      </c>
      <c r="H136" s="6" t="s">
        <v>3</v>
      </c>
      <c r="I136" s="94">
        <f>VLOOKUP($G136,ПРАЙС!$B:$H,5,0)</f>
        <v>12585</v>
      </c>
      <c r="J136" s="8">
        <f t="shared" si="32"/>
        <v>1.2467222884386173</v>
      </c>
      <c r="K136" s="8">
        <f>VLOOKUP($G136,ПРАЙС!$B:$H,7,0)</f>
        <v>15690</v>
      </c>
      <c r="L136" s="8">
        <f t="shared" si="33"/>
        <v>1.2467222884386173</v>
      </c>
      <c r="M136" s="9">
        <f t="shared" si="34"/>
        <v>15689.999999999998</v>
      </c>
      <c r="N136" s="94">
        <f t="shared" si="35"/>
        <v>15690</v>
      </c>
      <c r="O136" s="21">
        <f>VLOOKUP($A136,'Выгр Кат'!$A:$R,O$1,0)</f>
        <v>12730</v>
      </c>
      <c r="P136" s="21">
        <f>VLOOKUP($A136,'Выгр Кат'!$A:$R,P$1,0)</f>
        <v>16590</v>
      </c>
      <c r="Q136" s="70">
        <f t="shared" si="36"/>
        <v>145</v>
      </c>
      <c r="R136" s="70">
        <f t="shared" si="37"/>
        <v>900</v>
      </c>
      <c r="S136" s="85">
        <f t="shared" si="42"/>
        <v>14905.5</v>
      </c>
      <c r="T136" s="81">
        <f>IFERROR((VLOOKUP($A136,'Из ГУГЛа'!$B:$G,6,0)+V136)*U136,VLOOKUP($A136,'Из ГУГЛа'!$B:$G,6,0))</f>
        <v>15890</v>
      </c>
      <c r="U136" s="83">
        <v>1</v>
      </c>
      <c r="V136" s="83">
        <v>0</v>
      </c>
      <c r="W136" s="48">
        <f t="shared" si="38"/>
        <v>0.18438617401668655</v>
      </c>
      <c r="X136" s="48">
        <f t="shared" si="39"/>
        <v>6.195720578980491E-2</v>
      </c>
      <c r="Y136" s="48">
        <f t="shared" si="40"/>
        <v>0.2626142232816846</v>
      </c>
      <c r="Z136" s="79">
        <f t="shared" si="43"/>
        <v>15890</v>
      </c>
      <c r="AA136" t="s">
        <v>801</v>
      </c>
      <c r="AB136" s="75">
        <v>14990</v>
      </c>
    </row>
    <row r="137" spans="1:28" ht="61.5" thickTop="1" thickBot="1">
      <c r="A137" s="9">
        <v>194481</v>
      </c>
      <c r="B137" s="21">
        <f>VLOOKUP($A137,'Выгр Кат'!$A:$R,B$1,0)</f>
        <v>2827</v>
      </c>
      <c r="C137" s="54" t="str">
        <f>VLOOKUP($A137,'Выгр Кат'!$A:$R,C$1,0)</f>
        <v>Подрамник "AUTOPRODUCT" без защиты, с жесткими рычагами для ВАЗ 2110-2112, Лада (Приора, Приора 2)</v>
      </c>
      <c r="D137" s="21" t="str">
        <f>VLOOKUP($A137,'Выгр Кат'!$A:$R,D$1,0)</f>
        <v>Y</v>
      </c>
      <c r="E137" s="21" t="str">
        <f>VLOOKUP($A137,'Выгр Кат'!$A:$R,E$1,0)</f>
        <v>0</v>
      </c>
      <c r="F137" s="21" t="str">
        <f>VLOOKUP($A137,'Выгр Кат'!$A:$R,F$1,0)</f>
        <v>АР 0171</v>
      </c>
      <c r="G137" s="7" t="s">
        <v>272</v>
      </c>
      <c r="H137" s="6" t="s">
        <v>3</v>
      </c>
      <c r="I137" s="94">
        <f>VLOOKUP($G137,ПРАЙС!$B:$H,5,0)</f>
        <v>12975</v>
      </c>
      <c r="J137" s="8">
        <f t="shared" si="32"/>
        <v>1.2323699421965317</v>
      </c>
      <c r="K137" s="8">
        <f>VLOOKUP($G137,ПРАЙС!$B:$H,7,0)</f>
        <v>15990</v>
      </c>
      <c r="L137" s="8">
        <f t="shared" si="33"/>
        <v>1.2323699421965317</v>
      </c>
      <c r="M137" s="9">
        <f t="shared" si="34"/>
        <v>15990</v>
      </c>
      <c r="N137" s="94">
        <f t="shared" si="35"/>
        <v>15990</v>
      </c>
      <c r="O137" s="21">
        <f>VLOOKUP($A137,'Выгр Кат'!$A:$R,O$1,0)</f>
        <v>12685</v>
      </c>
      <c r="P137" s="21">
        <f>VLOOKUP($A137,'Выгр Кат'!$A:$R,P$1,0)</f>
        <v>16590</v>
      </c>
      <c r="Q137" s="70">
        <f t="shared" si="36"/>
        <v>-290</v>
      </c>
      <c r="R137" s="70">
        <f t="shared" si="37"/>
        <v>600</v>
      </c>
      <c r="S137" s="85">
        <f t="shared" si="42"/>
        <v>15190.5</v>
      </c>
      <c r="T137" s="81">
        <f>IFERROR((VLOOKUP($A137,'Из ГУГЛа'!$B:$G,6,0)+V137)*U137,VLOOKUP($A137,'Из ГУГЛа'!$B:$G,6,0))</f>
        <v>15890</v>
      </c>
      <c r="U137" s="83">
        <v>1</v>
      </c>
      <c r="V137" s="83">
        <v>0</v>
      </c>
      <c r="W137" s="48">
        <f t="shared" si="38"/>
        <v>0.17075144508670514</v>
      </c>
      <c r="X137" s="48">
        <f t="shared" si="39"/>
        <v>4.4021397105097546E-2</v>
      </c>
      <c r="Y137" s="48">
        <f t="shared" si="40"/>
        <v>0.22466281310211955</v>
      </c>
      <c r="Z137" s="79">
        <f t="shared" si="43"/>
        <v>15890</v>
      </c>
      <c r="AA137" t="s">
        <v>807</v>
      </c>
      <c r="AB137" s="35">
        <v>15990</v>
      </c>
    </row>
    <row r="138" spans="1:28" ht="61.5" thickTop="1" thickBot="1">
      <c r="A138" s="9">
        <v>212987</v>
      </c>
      <c r="B138" s="21">
        <f>VLOOKUP($A138,'Выгр Кат'!$A:$R,B$1,0)</f>
        <v>31867</v>
      </c>
      <c r="C138" s="54" t="str">
        <f>VLOOKUP($A138,'Выгр Кат'!$A:$R,C$1,0)</f>
        <v>Рычаг задней подвески (балка) "AUTOPRODUCT" в сборе для Лада (Калина, Калина 2, Гранта), Datsun (mi-DO, on-DO)</v>
      </c>
      <c r="D138" s="21" t="str">
        <f>VLOOKUP($A138,'Выгр Кат'!$A:$R,D$1,0)</f>
        <v>Y</v>
      </c>
      <c r="E138" s="21" t="str">
        <f>VLOOKUP($A138,'Выгр Кат'!$A:$R,E$1,0)</f>
        <v>1</v>
      </c>
      <c r="F138" s="21" t="str">
        <f>VLOOKUP($A138,'Выгр Кат'!$A:$R,F$1,0)</f>
        <v>AP 0400</v>
      </c>
      <c r="G138" s="7" t="s">
        <v>322</v>
      </c>
      <c r="H138" s="6" t="s">
        <v>3</v>
      </c>
      <c r="I138" s="92">
        <f t="shared" ref="I138:I141" si="44">O138</f>
        <v>14110</v>
      </c>
      <c r="J138" s="8" t="e">
        <f t="shared" si="32"/>
        <v>#N/A</v>
      </c>
      <c r="K138" s="8" t="e">
        <f>VLOOKUP($G138,ПРАЙС!$B:$H,7,0)</f>
        <v>#N/A</v>
      </c>
      <c r="L138" s="8" t="e">
        <f t="shared" si="33"/>
        <v>#N/A</v>
      </c>
      <c r="M138" s="92">
        <f t="shared" ref="M138:M141" si="45">P138</f>
        <v>18290</v>
      </c>
      <c r="N138" s="94">
        <f t="shared" si="35"/>
        <v>18290</v>
      </c>
      <c r="O138" s="21">
        <f>VLOOKUP($A138,'Выгр Кат'!$A:$R,O$1,0)</f>
        <v>14110</v>
      </c>
      <c r="P138" s="21">
        <f>VLOOKUP($A138,'Выгр Кат'!$A:$R,P$1,0)</f>
        <v>18290</v>
      </c>
      <c r="Q138" s="70">
        <f t="shared" si="36"/>
        <v>0</v>
      </c>
      <c r="R138" s="70">
        <f t="shared" si="37"/>
        <v>0</v>
      </c>
      <c r="S138" s="85">
        <f t="shared" si="42"/>
        <v>17375.5</v>
      </c>
      <c r="T138" s="81" t="str">
        <f>IFERROR((VLOOKUP($A138,'Из ГУГЛа'!$B:$G,6,0)+V138)*U138,VLOOKUP($A138,'Из ГУГЛа'!$B:$G,6,0))</f>
        <v/>
      </c>
      <c r="U138" s="83">
        <v>1</v>
      </c>
      <c r="V138" s="83">
        <v>0</v>
      </c>
      <c r="W138" s="48">
        <f t="shared" si="38"/>
        <v>0.23143160878809366</v>
      </c>
      <c r="X138" s="48">
        <f t="shared" si="39"/>
        <v>1.2194428652643547E-2</v>
      </c>
      <c r="Y138" s="48">
        <f t="shared" si="40"/>
        <v>0.24663359319631462</v>
      </c>
      <c r="Z138" s="78">
        <v>17590</v>
      </c>
      <c r="AA138" t="s">
        <v>802</v>
      </c>
      <c r="AB138" s="35">
        <v>17990</v>
      </c>
    </row>
    <row r="139" spans="1:28" ht="46.5" thickTop="1" thickBot="1">
      <c r="A139" s="9">
        <v>212992</v>
      </c>
      <c r="B139" s="21">
        <f>VLOOKUP($A139,'Выгр Кат'!$A:$R,B$1,0)</f>
        <v>3595</v>
      </c>
      <c r="C139" s="54" t="str">
        <f>VLOOKUP($A139,'Выгр Кат'!$A:$R,C$1,0)</f>
        <v>Рычаг задний в сборе, ПУ "AUTOPRODUCT" для Лада Калина, Калина 2, Гранта</v>
      </c>
      <c r="D139" s="21" t="str">
        <f>VLOOKUP($A139,'Выгр Кат'!$A:$R,D$1,0)</f>
        <v>Y</v>
      </c>
      <c r="E139" s="21" t="str">
        <f>VLOOKUP($A139,'Выгр Кат'!$A:$R,E$1,0)</f>
        <v>1</v>
      </c>
      <c r="F139" s="21" t="str">
        <f>VLOOKUP($A139,'Выгр Кат'!$A:$R,F$1,0)</f>
        <v>АР 0410</v>
      </c>
      <c r="G139" s="7" t="s">
        <v>323</v>
      </c>
      <c r="H139" s="6" t="s">
        <v>3</v>
      </c>
      <c r="I139" s="92">
        <f t="shared" si="44"/>
        <v>17295</v>
      </c>
      <c r="J139" s="8" t="e">
        <f t="shared" si="32"/>
        <v>#N/A</v>
      </c>
      <c r="K139" s="8" t="e">
        <f>VLOOKUP($G139,ПРАЙС!$B:$H,7,0)</f>
        <v>#N/A</v>
      </c>
      <c r="L139" s="8" t="e">
        <f t="shared" si="33"/>
        <v>#N/A</v>
      </c>
      <c r="M139" s="92">
        <f t="shared" si="45"/>
        <v>25990</v>
      </c>
      <c r="N139" s="94">
        <f t="shared" si="35"/>
        <v>25990</v>
      </c>
      <c r="O139" s="21">
        <f>VLOOKUP($A139,'Выгр Кат'!$A:$R,O$1,0)</f>
        <v>17295</v>
      </c>
      <c r="P139" s="21">
        <f>VLOOKUP($A139,'Выгр Кат'!$A:$R,P$1,0)</f>
        <v>25990</v>
      </c>
      <c r="Q139" s="70">
        <f t="shared" si="36"/>
        <v>0</v>
      </c>
      <c r="R139" s="70">
        <f t="shared" si="37"/>
        <v>0</v>
      </c>
      <c r="S139" s="85">
        <f t="shared" si="42"/>
        <v>24690.5</v>
      </c>
      <c r="T139" s="81">
        <f>IFERROR((VLOOKUP($A139,'Из ГУГЛа'!$B:$G,6,0)+V139)*U139,VLOOKUP($A139,'Из ГУГЛа'!$B:$G,6,0))</f>
        <v>24990</v>
      </c>
      <c r="U139" s="83">
        <v>1</v>
      </c>
      <c r="V139" s="83">
        <v>0</v>
      </c>
      <c r="W139" s="48">
        <f t="shared" si="38"/>
        <v>0.42760913558832025</v>
      </c>
      <c r="X139" s="48">
        <f t="shared" si="39"/>
        <v>1.1984793917567026E-2</v>
      </c>
      <c r="Y139" s="48">
        <f t="shared" si="40"/>
        <v>0.44492627927146566</v>
      </c>
      <c r="Z139" s="78">
        <v>24990</v>
      </c>
      <c r="AA139" t="s">
        <v>803</v>
      </c>
      <c r="AB139" s="67">
        <v>18990</v>
      </c>
    </row>
    <row r="140" spans="1:28" ht="46.5" thickTop="1" thickBot="1">
      <c r="A140" s="9">
        <v>212988</v>
      </c>
      <c r="B140" s="21">
        <f>VLOOKUP($A140,'Выгр Кат'!$A:$R,B$1,0)</f>
        <v>3714</v>
      </c>
      <c r="C140" s="54" t="str">
        <f>VLOOKUP($A140,'Выгр Кат'!$A:$R,C$1,0)</f>
        <v>Рычаг задний в сборе "AUTOPRODUCT" для ВАЗ (2108-21099, 2110-2112, 2113-2115), Лада Приора</v>
      </c>
      <c r="D140" s="21" t="str">
        <f>VLOOKUP($A140,'Выгр Кат'!$A:$R,D$1,0)</f>
        <v>Y</v>
      </c>
      <c r="E140" s="21" t="str">
        <f>VLOOKUP($A140,'Выгр Кат'!$A:$R,E$1,0)</f>
        <v>1</v>
      </c>
      <c r="F140" s="21" t="str">
        <f>VLOOKUP($A140,'Выгр Кат'!$A:$R,F$1,0)</f>
        <v>АР 0230</v>
      </c>
      <c r="G140" s="7" t="s">
        <v>320</v>
      </c>
      <c r="H140" s="6" t="s">
        <v>3</v>
      </c>
      <c r="I140" s="92">
        <f t="shared" si="44"/>
        <v>14855</v>
      </c>
      <c r="J140" s="8" t="e">
        <f t="shared" si="32"/>
        <v>#N/A</v>
      </c>
      <c r="K140" s="8" t="e">
        <f>VLOOKUP($G140,ПРАЙС!$B:$H,7,0)</f>
        <v>#N/A</v>
      </c>
      <c r="L140" s="8" t="e">
        <f t="shared" si="33"/>
        <v>#N/A</v>
      </c>
      <c r="M140" s="92">
        <f t="shared" si="45"/>
        <v>19390</v>
      </c>
      <c r="N140" s="94">
        <f t="shared" si="35"/>
        <v>19390</v>
      </c>
      <c r="O140" s="21">
        <f>VLOOKUP($A140,'Выгр Кат'!$A:$R,O$1,0)</f>
        <v>14855</v>
      </c>
      <c r="P140" s="21">
        <f>VLOOKUP($A140,'Выгр Кат'!$A:$R,P$1,0)</f>
        <v>19390</v>
      </c>
      <c r="Q140" s="70">
        <f t="shared" si="36"/>
        <v>0</v>
      </c>
      <c r="R140" s="70">
        <f t="shared" si="37"/>
        <v>0</v>
      </c>
      <c r="S140" s="85">
        <f t="shared" si="42"/>
        <v>18420.5</v>
      </c>
      <c r="T140" s="81">
        <f>IFERROR((VLOOKUP($A140,'Из ГУГЛа'!$B:$G,6,0)+V140)*U140,VLOOKUP($A140,'Из ГУГЛа'!$B:$G,6,0))</f>
        <v>18590</v>
      </c>
      <c r="U140" s="83">
        <v>1</v>
      </c>
      <c r="V140" s="83">
        <v>0</v>
      </c>
      <c r="W140" s="48">
        <f t="shared" si="38"/>
        <v>0.24002019522046458</v>
      </c>
      <c r="X140" s="48">
        <f t="shared" si="39"/>
        <v>9.117805271651425E-3</v>
      </c>
      <c r="Y140" s="48">
        <f t="shared" si="40"/>
        <v>0.25143049478290136</v>
      </c>
      <c r="Z140" s="78">
        <v>18590</v>
      </c>
      <c r="AA140" t="s">
        <v>804</v>
      </c>
      <c r="AB140" s="35">
        <v>19390</v>
      </c>
    </row>
    <row r="141" spans="1:28" ht="46.5" thickTop="1" thickBot="1">
      <c r="A141" s="9">
        <v>212991</v>
      </c>
      <c r="B141" s="21">
        <f>VLOOKUP($A141,'Выгр Кат'!$A:$R,B$1,0)</f>
        <v>3715</v>
      </c>
      <c r="C141" s="54" t="str">
        <f>VLOOKUP($A141,'Выгр Кат'!$A:$R,C$1,0)</f>
        <v>Рычаг задний в сборе, ПУ "AUTOPRODUCT" для ВАЗ (2108-21099, 2110-2112, 2113-2115), Лада Приора</v>
      </c>
      <c r="D141" s="21" t="str">
        <f>VLOOKUP($A141,'Выгр Кат'!$A:$R,D$1,0)</f>
        <v>Y</v>
      </c>
      <c r="E141" s="21" t="str">
        <f>VLOOKUP($A141,'Выгр Кат'!$A:$R,E$1,0)</f>
        <v>1</v>
      </c>
      <c r="F141" s="21" t="str">
        <f>VLOOKUP($A141,'Выгр Кат'!$A:$R,F$1,0)</f>
        <v>АР 0240</v>
      </c>
      <c r="G141" s="7" t="s">
        <v>321</v>
      </c>
      <c r="H141" s="6" t="s">
        <v>3</v>
      </c>
      <c r="I141" s="92">
        <f t="shared" si="44"/>
        <v>15315</v>
      </c>
      <c r="J141" s="8" t="e">
        <f t="shared" si="32"/>
        <v>#N/A</v>
      </c>
      <c r="K141" s="8" t="e">
        <f>VLOOKUP($G141,ПРАЙС!$B:$H,7,0)</f>
        <v>#N/A</v>
      </c>
      <c r="L141" s="8" t="e">
        <f t="shared" si="33"/>
        <v>#N/A</v>
      </c>
      <c r="M141" s="92">
        <f t="shared" si="45"/>
        <v>19990</v>
      </c>
      <c r="N141" s="94">
        <f t="shared" si="35"/>
        <v>19990</v>
      </c>
      <c r="O141" s="21">
        <f>VLOOKUP($A141,'Выгр Кат'!$A:$R,O$1,0)</f>
        <v>15315</v>
      </c>
      <c r="P141" s="21">
        <f>VLOOKUP($A141,'Выгр Кат'!$A:$R,P$1,0)</f>
        <v>19990</v>
      </c>
      <c r="Q141" s="70">
        <f t="shared" si="36"/>
        <v>0</v>
      </c>
      <c r="R141" s="70">
        <f t="shared" si="37"/>
        <v>0</v>
      </c>
      <c r="S141" s="85">
        <f t="shared" si="42"/>
        <v>18990.5</v>
      </c>
      <c r="T141" s="81">
        <f>IFERROR((VLOOKUP($A141,'Из ГУГЛа'!$B:$G,6,0)+V141)*U141,VLOOKUP($A141,'Из ГУГЛа'!$B:$G,6,0))</f>
        <v>19190</v>
      </c>
      <c r="U141" s="83">
        <v>1</v>
      </c>
      <c r="V141" s="83">
        <v>0</v>
      </c>
      <c r="W141" s="48">
        <f t="shared" si="38"/>
        <v>0.23999347045380337</v>
      </c>
      <c r="X141" s="48">
        <f t="shared" si="39"/>
        <v>1.0396039603960397E-2</v>
      </c>
      <c r="Y141" s="48">
        <f t="shared" si="40"/>
        <v>0.25301991511589939</v>
      </c>
      <c r="Z141" s="78">
        <v>19190</v>
      </c>
      <c r="AA141" t="s">
        <v>805</v>
      </c>
      <c r="AB141" s="67">
        <v>19990</v>
      </c>
    </row>
    <row r="142" spans="1:28" ht="61.5" thickTop="1" thickBot="1">
      <c r="A142" s="9">
        <v>194098</v>
      </c>
      <c r="B142" s="21">
        <f>VLOOKUP($A142,'Выгр Кат'!$A:$R,B$1,0)</f>
        <v>17088</v>
      </c>
      <c r="C142" s="54" t="str">
        <f>VLOOKUP($A142,'Выгр Кат'!$A:$R,C$1,0)</f>
        <v>Подвеска задняя независимая "AUTOPRODUCT" для ВАЗ (2108-21099, 2113-2115, 2110-2112), Лада (Приора, Приора 2)</v>
      </c>
      <c r="D142" s="21" t="str">
        <f>VLOOKUP($A142,'Выгр Кат'!$A:$R,D$1,0)</f>
        <v>Y</v>
      </c>
      <c r="E142" s="21" t="str">
        <f>VLOOKUP($A142,'Выгр Кат'!$A:$R,E$1,0)</f>
        <v>1</v>
      </c>
      <c r="F142" s="21" t="str">
        <f>VLOOKUP($A142,'Выгр Кат'!$A:$R,F$1,0)</f>
        <v>АР 0107</v>
      </c>
      <c r="G142" s="7" t="s">
        <v>240</v>
      </c>
      <c r="H142" s="6" t="s">
        <v>3</v>
      </c>
      <c r="I142" s="94">
        <f>VLOOKUP($G142,ПРАЙС!$B:$H,5,0)</f>
        <v>30490</v>
      </c>
      <c r="J142" s="8">
        <f t="shared" si="32"/>
        <v>1.1803870121351263</v>
      </c>
      <c r="K142" s="8">
        <f>VLOOKUP($G142,ПРАЙС!$B:$H,7,0)</f>
        <v>35990</v>
      </c>
      <c r="L142" s="8">
        <f t="shared" si="33"/>
        <v>1.22</v>
      </c>
      <c r="M142" s="9">
        <f t="shared" si="34"/>
        <v>37197.799999999996</v>
      </c>
      <c r="N142" s="94">
        <f t="shared" si="35"/>
        <v>37190</v>
      </c>
      <c r="O142" s="21">
        <f>VLOOKUP($A142,'Выгр Кат'!$A:$R,O$1,0)</f>
        <v>30490</v>
      </c>
      <c r="P142" s="21">
        <f>VLOOKUP($A142,'Выгр Кат'!$A:$R,P$1,0)</f>
        <v>38390</v>
      </c>
      <c r="Q142" s="70">
        <f t="shared" si="36"/>
        <v>0</v>
      </c>
      <c r="R142" s="70">
        <f t="shared" si="37"/>
        <v>1200</v>
      </c>
      <c r="S142" s="85">
        <f t="shared" si="42"/>
        <v>35330.5</v>
      </c>
      <c r="T142" s="81">
        <f>IFERROR((VLOOKUP($A142,'Из ГУГЛа'!$B:$G,6,0)+V142)*U142,VLOOKUP($A142,'Из ГУГЛа'!$B:$G,6,0))</f>
        <v>36590</v>
      </c>
      <c r="U142" s="83">
        <v>1</v>
      </c>
      <c r="V142" s="83">
        <v>0</v>
      </c>
      <c r="W142" s="48">
        <f t="shared" si="38"/>
        <v>0.15875696949819607</v>
      </c>
      <c r="X142" s="48">
        <f t="shared" si="39"/>
        <v>3.4421973216725882E-2</v>
      </c>
      <c r="Y142" s="48">
        <f t="shared" si="40"/>
        <v>0.20006559527713996</v>
      </c>
      <c r="Z142" s="79">
        <f>T142</f>
        <v>36590</v>
      </c>
      <c r="AA142" t="s">
        <v>785</v>
      </c>
      <c r="AB142" s="67">
        <v>34990</v>
      </c>
    </row>
    <row r="143" spans="1:28" ht="61.5" thickTop="1" thickBot="1">
      <c r="A143" s="9">
        <v>194099</v>
      </c>
      <c r="B143" s="21">
        <f>VLOOKUP($A143,'Выгр Кат'!$A:$R,B$1,0)</f>
        <v>3152</v>
      </c>
      <c r="C143" s="54" t="str">
        <f>VLOOKUP($A143,'Выгр Кат'!$A:$R,C$1,0)</f>
        <v>Подвеска задняя независимая "AUTOPRODUCT" для Лада (Калина, Калина 2, Гранта), Датсун (mi-DO, on-DO)</v>
      </c>
      <c r="D143" s="21" t="str">
        <f>VLOOKUP($A143,'Выгр Кат'!$A:$R,D$1,0)</f>
        <v>Y</v>
      </c>
      <c r="E143" s="21" t="str">
        <f>VLOOKUP($A143,'Выгр Кат'!$A:$R,E$1,0)</f>
        <v>1</v>
      </c>
      <c r="F143" s="21" t="str">
        <f>VLOOKUP($A143,'Выгр Кат'!$A:$R,F$1,0)</f>
        <v>АР 0589</v>
      </c>
      <c r="G143" s="7" t="s">
        <v>241</v>
      </c>
      <c r="H143" s="6" t="s">
        <v>3</v>
      </c>
      <c r="I143" s="94">
        <f>VLOOKUP($G143,ПРАЙС!$B:$H,5,0)</f>
        <v>30490</v>
      </c>
      <c r="J143" s="8">
        <f t="shared" si="32"/>
        <v>1.1803870121351263</v>
      </c>
      <c r="K143" s="8">
        <f>VLOOKUP($G143,ПРАЙС!$B:$H,7,0)</f>
        <v>35990</v>
      </c>
      <c r="L143" s="8">
        <f t="shared" si="33"/>
        <v>1.22</v>
      </c>
      <c r="M143" s="9">
        <f t="shared" si="34"/>
        <v>37197.799999999996</v>
      </c>
      <c r="N143" s="94">
        <f t="shared" si="35"/>
        <v>37190</v>
      </c>
      <c r="O143" s="21">
        <f>VLOOKUP($A143,'Выгр Кат'!$A:$R,O$1,0)</f>
        <v>30490</v>
      </c>
      <c r="P143" s="21">
        <f>VLOOKUP($A143,'Выгр Кат'!$A:$R,P$1,0)</f>
        <v>38390</v>
      </c>
      <c r="Q143" s="70">
        <f t="shared" si="36"/>
        <v>0</v>
      </c>
      <c r="R143" s="70">
        <f t="shared" si="37"/>
        <v>1200</v>
      </c>
      <c r="S143" s="85">
        <f t="shared" si="42"/>
        <v>35330.5</v>
      </c>
      <c r="T143" s="81">
        <f>IFERROR((VLOOKUP($A143,'Из ГУГЛа'!$B:$G,6,0)+V143)*U143,VLOOKUP($A143,'Из ГУГЛа'!$B:$G,6,0))</f>
        <v>36590</v>
      </c>
      <c r="U143" s="83">
        <v>1</v>
      </c>
      <c r="V143" s="83">
        <v>0</v>
      </c>
      <c r="W143" s="48">
        <f t="shared" si="38"/>
        <v>0.15875696949819607</v>
      </c>
      <c r="X143" s="48">
        <f t="shared" si="39"/>
        <v>3.4421973216725882E-2</v>
      </c>
      <c r="Y143" s="48">
        <f t="shared" si="40"/>
        <v>0.20006559527713996</v>
      </c>
      <c r="Z143" s="78">
        <v>36590</v>
      </c>
      <c r="AA143" t="s">
        <v>806</v>
      </c>
      <c r="AB143" s="35">
        <v>34990</v>
      </c>
    </row>
    <row r="144" spans="1:28" ht="46.5" thickTop="1" thickBot="1">
      <c r="A144" s="9">
        <v>194502</v>
      </c>
      <c r="B144" s="21">
        <f>VLOOKUP($A144,'Выгр Кат'!$A:$R,B$1,0)</f>
        <v>2850</v>
      </c>
      <c r="C144" s="54" t="str">
        <f>VLOOKUP($A144,'Выгр Кат'!$A:$R,C$1,0)</f>
        <v>Подрамник Drive, ПУ без защиты "AUTOPRODUCT" для ВАЗ 2108-21099, 2113-2115</v>
      </c>
      <c r="D144" s="21" t="str">
        <f>VLOOKUP($A144,'Выгр Кат'!$A:$R,D$1,0)</f>
        <v>Y</v>
      </c>
      <c r="E144" s="21" t="str">
        <f>VLOOKUP($A144,'Выгр Кат'!$A:$R,E$1,0)</f>
        <v>1</v>
      </c>
      <c r="F144" s="21" t="str">
        <f>VLOOKUP($A144,'Выгр Кат'!$A:$R,F$1,0)</f>
        <v>АР 0041</v>
      </c>
      <c r="G144" s="7" t="s">
        <v>451</v>
      </c>
      <c r="H144" s="6" t="s">
        <v>3</v>
      </c>
      <c r="I144" s="94">
        <f>VLOOKUP($G144,ПРАЙС!$B:$H,5,0)</f>
        <v>6475</v>
      </c>
      <c r="J144" s="8">
        <f t="shared" si="32"/>
        <v>1.2185328185328186</v>
      </c>
      <c r="K144" s="8">
        <f>VLOOKUP($G144,ПРАЙС!$B:$H,7,0)</f>
        <v>7890</v>
      </c>
      <c r="L144" s="8">
        <f t="shared" si="33"/>
        <v>1.22</v>
      </c>
      <c r="M144" s="9">
        <f t="shared" si="34"/>
        <v>7899.5</v>
      </c>
      <c r="N144" s="94">
        <f t="shared" si="35"/>
        <v>7890</v>
      </c>
      <c r="O144" s="21">
        <f>VLOOKUP($A144,'Выгр Кат'!$A:$R,O$1,0)</f>
        <v>6120</v>
      </c>
      <c r="P144" s="21">
        <f>VLOOKUP($A144,'Выгр Кат'!$A:$R,P$1,0)</f>
        <v>7890</v>
      </c>
      <c r="Q144" s="70">
        <f t="shared" si="36"/>
        <v>-355</v>
      </c>
      <c r="R144" s="70">
        <f t="shared" si="37"/>
        <v>0</v>
      </c>
      <c r="S144" s="85">
        <f t="shared" si="42"/>
        <v>7495.5</v>
      </c>
      <c r="T144" s="81" t="str">
        <f>IFERROR((VLOOKUP($A144,'Из ГУГЛа'!$B:$G,6,0)+V144)*U144,VLOOKUP($A144,'Из ГУГЛа'!$B:$G,6,0))</f>
        <v/>
      </c>
      <c r="U144" s="83">
        <v>1</v>
      </c>
      <c r="V144" s="83">
        <v>0</v>
      </c>
      <c r="W144" s="48">
        <f t="shared" si="38"/>
        <v>0.15760617760617768</v>
      </c>
      <c r="X144" s="48" t="str">
        <f t="shared" si="39"/>
        <v/>
      </c>
      <c r="Y144" s="48" t="str">
        <f t="shared" si="40"/>
        <v/>
      </c>
      <c r="Z144" s="79" t="s">
        <v>927</v>
      </c>
      <c r="AB144" s="68"/>
    </row>
    <row r="145" spans="1:28" ht="46.5" thickTop="1" thickBot="1">
      <c r="A145" s="9">
        <v>194478</v>
      </c>
      <c r="B145" s="21">
        <f>VLOOKUP($A145,'Выгр Кат'!$A:$R,B$1,0)</f>
        <v>2823</v>
      </c>
      <c r="C145" s="54" t="str">
        <f>VLOOKUP($A145,'Выгр Кат'!$A:$R,C$1,0)</f>
        <v>Подрамник "AUTOPRODUCT" Drive без защиты, на полиуретане для ВАЗ 2110-2112, Лада (Приора, Приора 2)</v>
      </c>
      <c r="D145" s="21" t="str">
        <f>VLOOKUP($A145,'Выгр Кат'!$A:$R,D$1,0)</f>
        <v>Y</v>
      </c>
      <c r="E145" s="21" t="str">
        <f>VLOOKUP($A145,'Выгр Кат'!$A:$R,E$1,0)</f>
        <v>1</v>
      </c>
      <c r="F145" s="21" t="str">
        <f>VLOOKUP($A145,'Выгр Кат'!$A:$R,F$1,0)</f>
        <v>АР 0181</v>
      </c>
      <c r="G145" s="7" t="s">
        <v>513</v>
      </c>
      <c r="H145" s="6" t="s">
        <v>3</v>
      </c>
      <c r="I145" s="94">
        <f>VLOOKUP($G145,ПРАЙС!$B:$H,5,0)</f>
        <v>7540</v>
      </c>
      <c r="J145" s="8">
        <f t="shared" si="32"/>
        <v>1.2188328912466844</v>
      </c>
      <c r="K145" s="8">
        <f>VLOOKUP($G145,ПРАЙС!$B:$H,7,0)</f>
        <v>9190</v>
      </c>
      <c r="L145" s="8">
        <f t="shared" si="33"/>
        <v>1.22</v>
      </c>
      <c r="M145" s="9">
        <f t="shared" si="34"/>
        <v>9198.7999999999993</v>
      </c>
      <c r="N145" s="94">
        <f t="shared" si="35"/>
        <v>9190</v>
      </c>
      <c r="O145" s="21">
        <f>VLOOKUP($A145,'Выгр Кат'!$A:$R,O$1,0)</f>
        <v>7295</v>
      </c>
      <c r="P145" s="21">
        <f>VLOOKUP($A145,'Выгр Кат'!$A:$R,P$1,0)</f>
        <v>9190</v>
      </c>
      <c r="Q145" s="70">
        <f t="shared" si="36"/>
        <v>-245</v>
      </c>
      <c r="R145" s="70">
        <f t="shared" si="37"/>
        <v>0</v>
      </c>
      <c r="S145" s="85">
        <f t="shared" si="42"/>
        <v>8730.5</v>
      </c>
      <c r="T145" s="81" t="str">
        <f>IFERROR((VLOOKUP($A145,'Из ГУГЛа'!$B:$G,6,0)+V145)*U145,VLOOKUP($A145,'Из ГУГЛа'!$B:$G,6,0))</f>
        <v/>
      </c>
      <c r="U145" s="83">
        <v>1</v>
      </c>
      <c r="V145" s="83">
        <v>0</v>
      </c>
      <c r="W145" s="48">
        <f t="shared" si="38"/>
        <v>0.15789124668435006</v>
      </c>
      <c r="X145" s="48" t="str">
        <f t="shared" si="39"/>
        <v/>
      </c>
      <c r="Y145" s="48" t="str">
        <f t="shared" si="40"/>
        <v/>
      </c>
      <c r="Z145" s="79" t="s">
        <v>927</v>
      </c>
      <c r="AB145" s="68"/>
    </row>
    <row r="146" spans="1:28" ht="46.5" thickTop="1" thickBot="1">
      <c r="A146" s="9">
        <v>202746</v>
      </c>
      <c r="B146" s="21">
        <f>VLOOKUP($A146,'Выгр Кат'!$A:$R,B$1,0)</f>
        <v>2461</v>
      </c>
      <c r="C146" s="54" t="str">
        <f>VLOOKUP($A146,'Выгр Кат'!$A:$R,C$1,0)</f>
        <v>Распорка передняя "AUTOPRODUCT" для ВАЗ 2108-21099, 2113-2115 (с 16-ти клапанным двигателем)</v>
      </c>
      <c r="D146" s="21" t="str">
        <f>VLOOKUP($A146,'Выгр Кат'!$A:$R,D$1,0)</f>
        <v>Y</v>
      </c>
      <c r="E146" s="21" t="str">
        <f>VLOOKUP($A146,'Выгр Кат'!$A:$R,E$1,0)</f>
        <v>1</v>
      </c>
      <c r="F146" s="21" t="str">
        <f>VLOOKUP($A146,'Выгр Кат'!$A:$R,F$1,0)</f>
        <v>АР 0290</v>
      </c>
      <c r="G146" s="7" t="s">
        <v>441</v>
      </c>
      <c r="H146" s="6" t="s">
        <v>3</v>
      </c>
      <c r="I146" s="94">
        <f>VLOOKUP($G146,ПРАЙС!$B:$H,5,0)</f>
        <v>1235</v>
      </c>
      <c r="J146" s="8">
        <f t="shared" si="32"/>
        <v>1.2874493927125505</v>
      </c>
      <c r="K146" s="8">
        <f>VLOOKUP($G146,ПРАЙС!$B:$H,7,0)</f>
        <v>1590</v>
      </c>
      <c r="L146" s="8">
        <f t="shared" si="33"/>
        <v>1.2874493927125505</v>
      </c>
      <c r="M146" s="9">
        <f t="shared" si="34"/>
        <v>1590</v>
      </c>
      <c r="N146" s="94">
        <f t="shared" si="35"/>
        <v>1590</v>
      </c>
      <c r="O146" s="21">
        <f>VLOOKUP($A146,'Выгр Кат'!$A:$R,O$1,0)</f>
        <v>1235</v>
      </c>
      <c r="P146" s="21">
        <f>VLOOKUP($A146,'Выгр Кат'!$A:$R,P$1,0)</f>
        <v>1690</v>
      </c>
      <c r="Q146" s="70">
        <f t="shared" si="36"/>
        <v>0</v>
      </c>
      <c r="R146" s="70">
        <f t="shared" si="37"/>
        <v>100</v>
      </c>
      <c r="S146" s="85">
        <f t="shared" si="42"/>
        <v>1510.5</v>
      </c>
      <c r="T146" s="81">
        <f>IFERROR((VLOOKUP($A146,'Из ГУГЛа'!$B:$G,6,0)+V146)*U146,VLOOKUP($A146,'Из ГУГЛа'!$B:$G,6,0))</f>
        <v>1690</v>
      </c>
      <c r="U146" s="83">
        <v>1</v>
      </c>
      <c r="V146" s="83">
        <v>0</v>
      </c>
      <c r="W146" s="48">
        <f t="shared" si="38"/>
        <v>0.22307692307692317</v>
      </c>
      <c r="X146" s="48">
        <f t="shared" si="39"/>
        <v>0.10621301775147929</v>
      </c>
      <c r="Y146" s="48">
        <f t="shared" si="40"/>
        <v>0.36842105263157898</v>
      </c>
      <c r="Z146" s="78">
        <v>1690</v>
      </c>
      <c r="AA146" t="s">
        <v>817</v>
      </c>
      <c r="AB146" s="35">
        <v>1490</v>
      </c>
    </row>
    <row r="147" spans="1:28" ht="61.5" thickTop="1" thickBot="1">
      <c r="A147" s="9">
        <v>181838</v>
      </c>
      <c r="B147" s="21">
        <f>VLOOKUP($A147,'Выгр Кат'!$A:$R,B$1,0)</f>
        <v>19457</v>
      </c>
      <c r="C147" s="54" t="str">
        <f>VLOOKUP($A147,'Выгр Кат'!$A:$R,C$1,0)</f>
        <v>Опоры передней подвески верхние ШС 20 (комплект) для ВАЗ 2108-099, 2113-15, 2110-12, 2170-72, 1117-19, 2190-94, Datsun on-DO, Datsun mi-DO</v>
      </c>
      <c r="D147" s="21" t="str">
        <f>VLOOKUP($A147,'Выгр Кат'!$A:$R,D$1,0)</f>
        <v>Y</v>
      </c>
      <c r="E147" s="21" t="str">
        <f>VLOOKUP($A147,'Выгр Кат'!$A:$R,E$1,0)</f>
        <v>1</v>
      </c>
      <c r="F147" s="21" t="str">
        <f>VLOOKUP($A147,'Выгр Кат'!$A:$R,F$1,0)</f>
        <v>АР-С 2540</v>
      </c>
      <c r="G147" s="60" t="s">
        <v>716</v>
      </c>
      <c r="H147" s="6" t="s">
        <v>3</v>
      </c>
      <c r="I147" s="92">
        <f>O147</f>
        <v>15000</v>
      </c>
      <c r="J147" s="8" t="e">
        <f t="shared" si="32"/>
        <v>#N/A</v>
      </c>
      <c r="K147" s="8" t="e">
        <f>VLOOKUP($G147,ПРАЙС!$B:$H,7,0)</f>
        <v>#N/A</v>
      </c>
      <c r="L147" s="8" t="e">
        <f t="shared" si="33"/>
        <v>#N/A</v>
      </c>
      <c r="M147" s="92">
        <f>P147</f>
        <v>18990</v>
      </c>
      <c r="N147" s="94">
        <f t="shared" si="35"/>
        <v>18990</v>
      </c>
      <c r="O147" s="21">
        <f>VLOOKUP($A147,'Выгр Кат'!$A:$R,O$1,0)</f>
        <v>15000</v>
      </c>
      <c r="P147" s="21">
        <f>VLOOKUP($A147,'Выгр Кат'!$A:$R,P$1,0)</f>
        <v>18990</v>
      </c>
      <c r="Q147" s="70">
        <f t="shared" si="36"/>
        <v>0</v>
      </c>
      <c r="R147" s="70">
        <f t="shared" si="37"/>
        <v>0</v>
      </c>
      <c r="S147" s="85">
        <f t="shared" si="42"/>
        <v>18040.5</v>
      </c>
      <c r="T147" s="81" t="str">
        <f>IFERROR((VLOOKUP($A147,'Из ГУГЛа'!$B:$G,6,0)+V147)*U147,VLOOKUP($A147,'Из ГУГЛа'!$B:$G,6,0))</f>
        <v/>
      </c>
      <c r="U147" s="83">
        <v>1</v>
      </c>
      <c r="V147" s="83">
        <v>0</v>
      </c>
      <c r="W147" s="48">
        <f t="shared" si="38"/>
        <v>0.2027000000000001</v>
      </c>
      <c r="X147" s="48" t="str">
        <f t="shared" si="39"/>
        <v/>
      </c>
      <c r="Y147" s="48" t="str">
        <f t="shared" si="40"/>
        <v/>
      </c>
      <c r="Z147" s="79" t="s">
        <v>927</v>
      </c>
      <c r="AB147" s="68"/>
    </row>
    <row r="148" spans="1:28" ht="46.5" thickTop="1" thickBot="1">
      <c r="A148" s="9">
        <v>140765</v>
      </c>
      <c r="B148" s="21">
        <f>VLOOKUP($A148,'Выгр Кат'!$A:$R,B$1,0)</f>
        <v>32606</v>
      </c>
      <c r="C148" s="54" t="str">
        <f>VLOOKUP($A148,'Выгр Кат'!$A:$R,C$1,0)</f>
        <v>Гиб (переход через заднюю балку) "AutoProduct" d51 мм для Лада Приора, Приора 2</v>
      </c>
      <c r="D148" s="21" t="str">
        <f>VLOOKUP($A148,'Выгр Кат'!$A:$R,D$1,0)</f>
        <v>Y</v>
      </c>
      <c r="E148" s="21" t="str">
        <f>VLOOKUP($A148,'Выгр Кат'!$A:$R,E$1,0)</f>
        <v>1</v>
      </c>
      <c r="F148" s="21" t="str">
        <f>VLOOKUP($A148,'Выгр Кат'!$A:$R,F$1,0)</f>
        <v>AP 0424</v>
      </c>
      <c r="G148" s="7" t="s">
        <v>460</v>
      </c>
      <c r="H148" s="6" t="s">
        <v>3</v>
      </c>
      <c r="I148" s="94">
        <f>VLOOKUP($G148,ПРАЙС!$B:$H,5,0)</f>
        <v>845</v>
      </c>
      <c r="J148" s="8">
        <f t="shared" si="32"/>
        <v>1.1715976331360947</v>
      </c>
      <c r="K148" s="8">
        <f>VLOOKUP($G148,ПРАЙС!$B:$H,7,0)</f>
        <v>990</v>
      </c>
      <c r="L148" s="8">
        <f t="shared" si="33"/>
        <v>1.22</v>
      </c>
      <c r="M148" s="9">
        <f t="shared" si="34"/>
        <v>1030.9000000000001</v>
      </c>
      <c r="N148" s="94">
        <f t="shared" si="35"/>
        <v>1090</v>
      </c>
      <c r="O148" s="21">
        <f>VLOOKUP($A148,'Выгр Кат'!$A:$R,O$1,0)</f>
        <v>845</v>
      </c>
      <c r="P148" s="21">
        <f>VLOOKUP($A148,'Выгр Кат'!$A:$R,P$1,0)</f>
        <v>1090</v>
      </c>
      <c r="Q148" s="70">
        <f t="shared" si="36"/>
        <v>0</v>
      </c>
      <c r="R148" s="70">
        <f t="shared" si="37"/>
        <v>0</v>
      </c>
      <c r="S148" s="85">
        <f t="shared" si="42"/>
        <v>1035.5</v>
      </c>
      <c r="T148" s="81" t="str">
        <f>IFERROR((VLOOKUP($A148,'Из ГУГЛа'!$B:$G,6,0)+V148)*U148,VLOOKUP($A148,'Из ГУГЛа'!$B:$G,6,0))</f>
        <v/>
      </c>
      <c r="U148" s="83">
        <v>1</v>
      </c>
      <c r="V148" s="83">
        <v>0</v>
      </c>
      <c r="W148" s="48">
        <f t="shared" si="38"/>
        <v>0.22544378698224854</v>
      </c>
      <c r="X148" s="48" t="str">
        <f t="shared" si="39"/>
        <v/>
      </c>
      <c r="Y148" s="48" t="str">
        <f t="shared" si="40"/>
        <v/>
      </c>
      <c r="Z148" s="79" t="s">
        <v>927</v>
      </c>
      <c r="AB148" s="68"/>
    </row>
    <row r="149" spans="1:28" ht="76.5" thickTop="1" thickBot="1">
      <c r="A149" s="56">
        <v>158256</v>
      </c>
      <c r="B149" s="21">
        <f>VLOOKUP($A149,'Выгр Кат'!$A:$R,B$1,0)</f>
        <v>38220</v>
      </c>
      <c r="C149" s="54" t="str">
        <f>VLOOKUP($A149,'Выгр Кат'!$A:$R,C$1,0)</f>
        <v>Комплект "AUTOPRODUCT" усиленных кронштейнов СА (двигателя) для тросовой МКПП для Лада Калина, Калина 2, Гранта, Гранта FL (тросовая КПП)</v>
      </c>
      <c r="D149" s="21" t="str">
        <f>VLOOKUP($A149,'Выгр Кат'!$A:$R,D$1,0)</f>
        <v>Y</v>
      </c>
      <c r="E149" s="21" t="str">
        <f>VLOOKUP($A149,'Выгр Кат'!$A:$R,E$1,0)</f>
        <v>1</v>
      </c>
      <c r="F149" s="21" t="str">
        <f>VLOOKUP($A149,'Выгр Кат'!$A:$R,F$1,0)</f>
        <v>AP 0483</v>
      </c>
      <c r="G149" s="58" t="s">
        <v>433</v>
      </c>
      <c r="H149" s="6" t="s">
        <v>3</v>
      </c>
      <c r="I149" s="94">
        <f>VLOOKUP($G149,ПРАЙС!$B:$H,5,0)</f>
        <v>3250</v>
      </c>
      <c r="J149" s="8">
        <f t="shared" si="32"/>
        <v>1.2892307692307692</v>
      </c>
      <c r="K149" s="8">
        <f>VLOOKUP($G149,ПРАЙС!$B:$H,7,0)</f>
        <v>4190</v>
      </c>
      <c r="L149" s="8">
        <f t="shared" si="33"/>
        <v>1.2892307692307692</v>
      </c>
      <c r="M149" s="9">
        <f t="shared" si="34"/>
        <v>4190</v>
      </c>
      <c r="N149" s="94">
        <f t="shared" si="35"/>
        <v>4190</v>
      </c>
      <c r="O149" s="21">
        <f>VLOOKUP($A149,'Выгр Кат'!$A:$R,O$1,0)</f>
        <v>3330</v>
      </c>
      <c r="P149" s="21">
        <f>VLOOKUP($A149,'Выгр Кат'!$A:$R,P$1,0)</f>
        <v>4190</v>
      </c>
      <c r="Q149" s="70">
        <f t="shared" si="36"/>
        <v>80</v>
      </c>
      <c r="R149" s="70">
        <f t="shared" si="37"/>
        <v>0</v>
      </c>
      <c r="S149" s="85">
        <f t="shared" si="42"/>
        <v>3980.5</v>
      </c>
      <c r="T149" s="81" t="str">
        <f>IFERROR((VLOOKUP($A149,'Из ГУГЛа'!$B:$G,6,0)+V149)*U149,VLOOKUP($A149,'Из ГУГЛа'!$B:$G,6,0))</f>
        <v/>
      </c>
      <c r="U149" s="83">
        <v>1</v>
      </c>
      <c r="V149" s="83">
        <v>0</v>
      </c>
      <c r="W149" s="48">
        <f t="shared" si="38"/>
        <v>0.22476923076923083</v>
      </c>
      <c r="X149" s="48" t="str">
        <f t="shared" si="39"/>
        <v/>
      </c>
      <c r="Y149" s="48" t="str">
        <f t="shared" si="40"/>
        <v/>
      </c>
      <c r="Z149" s="79" t="s">
        <v>927</v>
      </c>
      <c r="AB149" s="68"/>
    </row>
    <row r="150" spans="1:28" ht="31.5" thickTop="1" thickBot="1">
      <c r="A150" s="56">
        <v>158388</v>
      </c>
      <c r="B150" s="21">
        <f>VLOOKUP($A150,'Выгр Кат'!$A:$R,B$1,0)</f>
        <v>38226</v>
      </c>
      <c r="C150" s="54" t="str">
        <f>VLOOKUP($A150,'Выгр Кат'!$A:$R,C$1,0)</f>
        <v>Комплект втулок "AUTOPRODUCT" АР 0673 для Лада Веста</v>
      </c>
      <c r="D150" s="21" t="str">
        <f>VLOOKUP($A150,'Выгр Кат'!$A:$R,D$1,0)</f>
        <v>Y</v>
      </c>
      <c r="E150" s="21" t="str">
        <f>VLOOKUP($A150,'Выгр Кат'!$A:$R,E$1,0)</f>
        <v>1</v>
      </c>
      <c r="F150" s="21" t="str">
        <f>VLOOKUP($A150,'Выгр Кат'!$A:$R,F$1,0)</f>
        <v>АР 0677</v>
      </c>
      <c r="G150" s="58" t="s">
        <v>463</v>
      </c>
      <c r="H150" s="6" t="s">
        <v>3</v>
      </c>
      <c r="I150" s="94">
        <f>VLOOKUP($G150,ПРАЙС!$B:$H,5,0)</f>
        <v>655</v>
      </c>
      <c r="J150" s="8">
        <f t="shared" si="32"/>
        <v>1.2977099236641221</v>
      </c>
      <c r="K150" s="8">
        <f>VLOOKUP($G150,ПРАЙС!$B:$H,7,0)</f>
        <v>850</v>
      </c>
      <c r="L150" s="8">
        <f t="shared" si="33"/>
        <v>1.2977099236641221</v>
      </c>
      <c r="M150" s="9">
        <f t="shared" si="34"/>
        <v>850</v>
      </c>
      <c r="N150" s="94">
        <f t="shared" si="35"/>
        <v>849</v>
      </c>
      <c r="O150" s="21">
        <f>VLOOKUP($A150,'Выгр Кат'!$A:$R,O$1,0)</f>
        <v>665</v>
      </c>
      <c r="P150" s="21">
        <f>VLOOKUP($A150,'Выгр Кат'!$A:$R,P$1,0)</f>
        <v>849</v>
      </c>
      <c r="Q150" s="70">
        <f t="shared" si="36"/>
        <v>10</v>
      </c>
      <c r="R150" s="70">
        <f t="shared" si="37"/>
        <v>0</v>
      </c>
      <c r="S150" s="85">
        <f t="shared" si="42"/>
        <v>806.55</v>
      </c>
      <c r="T150" s="81" t="str">
        <f>IFERROR((VLOOKUP($A150,'Из ГУГЛа'!$B:$G,6,0)+V150)*U150,VLOOKUP($A150,'Из ГУГЛа'!$B:$G,6,0))</f>
        <v/>
      </c>
      <c r="U150" s="83">
        <v>1</v>
      </c>
      <c r="V150" s="83">
        <v>0</v>
      </c>
      <c r="W150" s="48">
        <f t="shared" si="38"/>
        <v>0.23137404580152654</v>
      </c>
      <c r="X150" s="48" t="str">
        <f t="shared" si="39"/>
        <v/>
      </c>
      <c r="Y150" s="48" t="str">
        <f t="shared" si="40"/>
        <v/>
      </c>
      <c r="Z150" s="79" t="s">
        <v>927</v>
      </c>
      <c r="AB150" s="68"/>
    </row>
    <row r="151" spans="1:28" ht="46.5" thickTop="1" thickBot="1">
      <c r="A151" s="56">
        <v>160524</v>
      </c>
      <c r="B151" s="21">
        <f>VLOOKUP($A151,'Выгр Кат'!$A:$R,B$1,0)</f>
        <v>38225</v>
      </c>
      <c r="C151" s="54" t="str">
        <f>VLOOKUP($A151,'Выгр Кат'!$A:$R,C$1,0)</f>
        <v>Кронштейн "AUTOPRODUCT" правой опоры двигателя с подушкой 2110-1001286 в сборе для Лада Веста</v>
      </c>
      <c r="D151" s="21" t="str">
        <f>VLOOKUP($A151,'Выгр Кат'!$A:$R,D$1,0)</f>
        <v>Y</v>
      </c>
      <c r="E151" s="21" t="str">
        <f>VLOOKUP($A151,'Выгр Кат'!$A:$R,E$1,0)</f>
        <v>1</v>
      </c>
      <c r="F151" s="21" t="str">
        <f>VLOOKUP($A151,'Выгр Кат'!$A:$R,F$1,0)</f>
        <v>AP 0663</v>
      </c>
      <c r="G151" s="58" t="s">
        <v>462</v>
      </c>
      <c r="H151" s="6" t="s">
        <v>3</v>
      </c>
      <c r="I151" s="92">
        <f>O151</f>
        <v>2290</v>
      </c>
      <c r="J151" s="8" t="e">
        <f t="shared" si="32"/>
        <v>#N/A</v>
      </c>
      <c r="K151" s="8" t="e">
        <f>VLOOKUP($G151,ПРАЙС!$B:$H,7,0)</f>
        <v>#N/A</v>
      </c>
      <c r="L151" s="8" t="e">
        <f t="shared" si="33"/>
        <v>#N/A</v>
      </c>
      <c r="M151" s="92">
        <f>P151</f>
        <v>3090</v>
      </c>
      <c r="N151" s="94">
        <f t="shared" si="35"/>
        <v>3090</v>
      </c>
      <c r="O151" s="21">
        <f>VLOOKUP($A151,'Выгр Кат'!$A:$R,O$1,0)</f>
        <v>2290</v>
      </c>
      <c r="P151" s="21">
        <f>VLOOKUP($A151,'Выгр Кат'!$A:$R,P$1,0)</f>
        <v>3090</v>
      </c>
      <c r="Q151" s="70">
        <f t="shared" si="36"/>
        <v>0</v>
      </c>
      <c r="R151" s="70">
        <f t="shared" si="37"/>
        <v>0</v>
      </c>
      <c r="S151" s="85">
        <f t="shared" si="42"/>
        <v>2935.5</v>
      </c>
      <c r="T151" s="81">
        <f>IFERROR((VLOOKUP($A151,'Из ГУГЛа'!$B:$G,6,0)+V151)*U151,VLOOKUP($A151,'Из ГУГЛа'!$B:$G,6,0))</f>
        <v>2990</v>
      </c>
      <c r="U151" s="83">
        <v>1</v>
      </c>
      <c r="V151" s="83">
        <v>0</v>
      </c>
      <c r="W151" s="48">
        <f t="shared" si="38"/>
        <v>0.28187772925764198</v>
      </c>
      <c r="X151" s="48">
        <f t="shared" si="39"/>
        <v>1.8227424749163879E-2</v>
      </c>
      <c r="Y151" s="48">
        <f t="shared" si="40"/>
        <v>0.30567685589519655</v>
      </c>
      <c r="Z151" s="78">
        <v>2990</v>
      </c>
      <c r="AA151" t="s">
        <v>816</v>
      </c>
      <c r="AB151" s="35">
        <v>2950</v>
      </c>
    </row>
    <row r="152" spans="1:28" ht="61.5" thickTop="1" thickBot="1">
      <c r="A152" s="56">
        <v>217325</v>
      </c>
      <c r="B152" s="21">
        <f>VLOOKUP($A152,'Выгр Кат'!$A:$R,B$1,0)</f>
        <v>38224</v>
      </c>
      <c r="C152" s="54" t="str">
        <f>VLOOKUP($A152,'Выгр Кат'!$A:$R,C$1,0)</f>
        <v>Стабилизатор поперечной устойчивости "AUTOPRODUCT" 24 мм, в сборе для Лада Калина, Калина 2, Гранта</v>
      </c>
      <c r="D152" s="21" t="str">
        <f>VLOOKUP($A152,'Выгр Кат'!$A:$R,D$1,0)</f>
        <v>Y</v>
      </c>
      <c r="E152" s="21" t="str">
        <f>VLOOKUP($A152,'Выгр Кат'!$A:$R,E$1,0)</f>
        <v>1</v>
      </c>
      <c r="F152" s="21" t="str">
        <f>VLOOKUP($A152,'Выгр Кат'!$A:$R,F$1,0)</f>
        <v>AP 0581</v>
      </c>
      <c r="G152" s="58" t="s">
        <v>459</v>
      </c>
      <c r="H152" s="6" t="s">
        <v>3</v>
      </c>
      <c r="I152" s="94">
        <f>VLOOKUP($G152,ПРАЙС!$B:$H,5,0)</f>
        <v>2260</v>
      </c>
      <c r="J152" s="8">
        <f t="shared" si="32"/>
        <v>1.2876106194690264</v>
      </c>
      <c r="K152" s="8">
        <f>VLOOKUP($G152,ПРАЙС!$B:$H,7,0)</f>
        <v>2910</v>
      </c>
      <c r="L152" s="8">
        <f t="shared" si="33"/>
        <v>1.2876106194690264</v>
      </c>
      <c r="M152" s="9">
        <f t="shared" si="34"/>
        <v>2909.9999999999995</v>
      </c>
      <c r="N152" s="94">
        <f t="shared" si="35"/>
        <v>2990</v>
      </c>
      <c r="O152" s="21">
        <f>VLOOKUP($A152,'Выгр Кат'!$A:$R,O$1,0)</f>
        <v>2260</v>
      </c>
      <c r="P152" s="21">
        <f>VLOOKUP($A152,'Выгр Кат'!$A:$R,P$1,0)</f>
        <v>3190</v>
      </c>
      <c r="Q152" s="70">
        <f t="shared" si="36"/>
        <v>0</v>
      </c>
      <c r="R152" s="70">
        <f t="shared" si="37"/>
        <v>200</v>
      </c>
      <c r="S152" s="85">
        <f t="shared" si="42"/>
        <v>2840.5</v>
      </c>
      <c r="T152" s="81">
        <f>IFERROR((VLOOKUP($A152,'Из ГУГЛа'!$B:$G,6,0)+V152)*U152,VLOOKUP($A152,'Из ГУГЛа'!$B:$G,6,0))</f>
        <v>2990</v>
      </c>
      <c r="U152" s="83">
        <v>1</v>
      </c>
      <c r="V152" s="83">
        <v>0</v>
      </c>
      <c r="W152" s="48">
        <f t="shared" si="38"/>
        <v>0.25685840707964602</v>
      </c>
      <c r="X152" s="48">
        <f t="shared" si="39"/>
        <v>0.05</v>
      </c>
      <c r="Y152" s="48">
        <f t="shared" si="40"/>
        <v>0.32300884955752207</v>
      </c>
      <c r="Z152" s="79">
        <f>T152</f>
        <v>2990</v>
      </c>
      <c r="AA152" t="s">
        <v>904</v>
      </c>
      <c r="AB152" s="68"/>
    </row>
    <row r="153" spans="1:28" ht="61.5" thickTop="1" thickBot="1">
      <c r="A153" s="56">
        <v>217324</v>
      </c>
      <c r="B153" s="21">
        <f>VLOOKUP($A153,'Выгр Кат'!$A:$R,B$1,0)</f>
        <v>38223</v>
      </c>
      <c r="C153" s="54" t="str">
        <f>VLOOKUP($A153,'Выгр Кат'!$A:$R,C$1,0)</f>
        <v>Стабилизатор поперечной устойчивости "AUTOPRODUCT" 22 мм, в сборе с усиленными стойками для Лада Калина, Калина 2, Гранта</v>
      </c>
      <c r="D153" s="21" t="str">
        <f>VLOOKUP($A153,'Выгр Кат'!$A:$R,D$1,0)</f>
        <v>Y</v>
      </c>
      <c r="E153" s="21" t="str">
        <f>VLOOKUP($A153,'Выгр Кат'!$A:$R,E$1,0)</f>
        <v>1</v>
      </c>
      <c r="F153" s="21" t="str">
        <f>VLOOKUP($A153,'Выгр Кат'!$A:$R,F$1,0)</f>
        <v>AP 0578-У</v>
      </c>
      <c r="G153" s="58" t="s">
        <v>458</v>
      </c>
      <c r="H153" s="6" t="s">
        <v>3</v>
      </c>
      <c r="I153" s="94">
        <f>VLOOKUP($G153,ПРАЙС!$B:$H,5,0)</f>
        <v>2470</v>
      </c>
      <c r="J153" s="8">
        <f t="shared" si="32"/>
        <v>1.2591093117408907</v>
      </c>
      <c r="K153" s="8">
        <f>VLOOKUP($G153,ПРАЙС!$B:$H,7,0)</f>
        <v>3110</v>
      </c>
      <c r="L153" s="8">
        <f t="shared" si="33"/>
        <v>1.2591093117408907</v>
      </c>
      <c r="M153" s="9">
        <f t="shared" si="34"/>
        <v>3110</v>
      </c>
      <c r="N153" s="94">
        <f t="shared" si="35"/>
        <v>3190</v>
      </c>
      <c r="O153" s="21">
        <f>VLOOKUP($A153,'Выгр Кат'!$A:$R,O$1,0)</f>
        <v>2415</v>
      </c>
      <c r="P153" s="21">
        <f>VLOOKUP($A153,'Выгр Кат'!$A:$R,P$1,0)</f>
        <v>3190</v>
      </c>
      <c r="Q153" s="70">
        <f t="shared" si="36"/>
        <v>-55</v>
      </c>
      <c r="R153" s="70">
        <f t="shared" si="37"/>
        <v>0</v>
      </c>
      <c r="S153" s="85">
        <f t="shared" si="42"/>
        <v>3030.5</v>
      </c>
      <c r="T153" s="81" t="str">
        <f>IFERROR((VLOOKUP($A153,'Из ГУГЛа'!$B:$G,6,0)+V153)*U153,VLOOKUP($A153,'Из ГУГЛа'!$B:$G,6,0))</f>
        <v/>
      </c>
      <c r="U153" s="83">
        <v>1</v>
      </c>
      <c r="V153" s="83">
        <v>0</v>
      </c>
      <c r="W153" s="48">
        <f t="shared" si="38"/>
        <v>0.22692307692307701</v>
      </c>
      <c r="X153" s="48" t="str">
        <f t="shared" si="39"/>
        <v/>
      </c>
      <c r="Y153" s="48" t="str">
        <f t="shared" si="40"/>
        <v/>
      </c>
      <c r="Z153" s="79" t="s">
        <v>927</v>
      </c>
      <c r="AB153" s="67">
        <v>2990</v>
      </c>
    </row>
    <row r="154" spans="1:28" ht="61.5" thickTop="1" thickBot="1">
      <c r="A154" s="56">
        <v>217322</v>
      </c>
      <c r="B154" s="21">
        <f>VLOOKUP($A154,'Выгр Кат'!$A:$R,B$1,0)</f>
        <v>38222</v>
      </c>
      <c r="C154" s="54" t="str">
        <f>VLOOKUP($A154,'Выгр Кат'!$A:$R,C$1,0)</f>
        <v>Стабилизатор поперечной устойчивости "AUTOPRODUCT" 22 мм, в сборе для Лада Калина, Калина 2, Гранта</v>
      </c>
      <c r="D154" s="21" t="str">
        <f>VLOOKUP($A154,'Выгр Кат'!$A:$R,D$1,0)</f>
        <v>Y</v>
      </c>
      <c r="E154" s="21" t="str">
        <f>VLOOKUP($A154,'Выгр Кат'!$A:$R,E$1,0)</f>
        <v>1ск1</v>
      </c>
      <c r="F154" s="21" t="str">
        <f>VLOOKUP($A154,'Выгр Кат'!$A:$R,F$1,0)</f>
        <v>AP 0578</v>
      </c>
      <c r="G154" s="58" t="s">
        <v>457</v>
      </c>
      <c r="H154" s="6" t="s">
        <v>3</v>
      </c>
      <c r="I154" s="94">
        <f>VLOOKUP($G154,ПРАЙС!$B:$H,5,0)</f>
        <v>2720</v>
      </c>
      <c r="J154" s="8">
        <f t="shared" si="32"/>
        <v>1.1433823529411764</v>
      </c>
      <c r="K154" s="8">
        <f>VLOOKUP($G154,ПРАЙС!$B:$H,7,0)</f>
        <v>3110</v>
      </c>
      <c r="L154" s="8">
        <f t="shared" si="33"/>
        <v>1.22</v>
      </c>
      <c r="M154" s="9">
        <f t="shared" si="34"/>
        <v>3318.4</v>
      </c>
      <c r="N154" s="94">
        <f t="shared" si="35"/>
        <v>3390</v>
      </c>
      <c r="O154" s="21">
        <f>VLOOKUP($A154,'Выгр Кат'!$A:$R,O$1,0)</f>
        <v>2640</v>
      </c>
      <c r="P154" s="21">
        <f>VLOOKUP($A154,'Выгр Кат'!$A:$R,P$1,0)</f>
        <v>3490</v>
      </c>
      <c r="Q154" s="70">
        <f t="shared" si="36"/>
        <v>-80</v>
      </c>
      <c r="R154" s="70">
        <f t="shared" si="37"/>
        <v>100</v>
      </c>
      <c r="S154" s="85">
        <f t="shared" si="42"/>
        <v>3220.5</v>
      </c>
      <c r="T154" s="81">
        <f>IFERROR((VLOOKUP($A154,'Из ГУГЛа'!$B:$G,6,0)+V154)*U154,VLOOKUP($A154,'Из ГУГЛа'!$B:$G,6,0))</f>
        <v>3390</v>
      </c>
      <c r="U154" s="83">
        <v>1</v>
      </c>
      <c r="V154" s="83">
        <v>0</v>
      </c>
      <c r="W154" s="48">
        <f t="shared" si="38"/>
        <v>0.18400735294117654</v>
      </c>
      <c r="X154" s="48">
        <f t="shared" si="39"/>
        <v>0.05</v>
      </c>
      <c r="Y154" s="48">
        <f t="shared" si="40"/>
        <v>0.24632352941176472</v>
      </c>
      <c r="Z154" s="79">
        <f>T154</f>
        <v>3390</v>
      </c>
      <c r="AA154" t="s">
        <v>815</v>
      </c>
      <c r="AB154" s="67">
        <v>2990</v>
      </c>
    </row>
    <row r="155" spans="1:28" ht="46.5" thickTop="1" thickBot="1">
      <c r="A155" s="56">
        <v>140885</v>
      </c>
      <c r="B155" s="21">
        <f>VLOOKUP($A155,'Выгр Кат'!$A:$R,B$1,0)</f>
        <v>38221</v>
      </c>
      <c r="C155" s="54" t="str">
        <f>VLOOKUP($A155,'Выгр Кат'!$A:$R,C$1,0)</f>
        <v>Глушитель "AUTOPRODUCT" основной (нержавейка) для Лада Калина 2 хэтчбек</v>
      </c>
      <c r="D155" s="21" t="str">
        <f>VLOOKUP($A155,'Выгр Кат'!$A:$R,D$1,0)</f>
        <v>Y</v>
      </c>
      <c r="E155" s="21" t="str">
        <f>VLOOKUP($A155,'Выгр Кат'!$A:$R,E$1,0)</f>
        <v>1</v>
      </c>
      <c r="F155" s="21" t="str">
        <f>VLOOKUP($A155,'Выгр Кат'!$A:$R,F$1,0)</f>
        <v>AP 0544</v>
      </c>
      <c r="G155" s="58" t="s">
        <v>370</v>
      </c>
      <c r="H155" s="6" t="s">
        <v>3</v>
      </c>
      <c r="I155" s="94">
        <f>VLOOKUP($G155,ПРАЙС!$B:$H,5,0)</f>
        <v>6655</v>
      </c>
      <c r="J155" s="8">
        <f t="shared" si="32"/>
        <v>1.1555221637866266</v>
      </c>
      <c r="K155" s="8">
        <f>VLOOKUP($G155,ПРАЙС!$B:$H,7,0)</f>
        <v>7690</v>
      </c>
      <c r="L155" s="8">
        <f t="shared" si="33"/>
        <v>1.22</v>
      </c>
      <c r="M155" s="9">
        <f t="shared" si="34"/>
        <v>8119.0999999999995</v>
      </c>
      <c r="N155" s="94">
        <f t="shared" si="35"/>
        <v>8190</v>
      </c>
      <c r="O155" s="21">
        <f>VLOOKUP($A155,'Выгр Кат'!$A:$R,O$1,0)</f>
        <v>7690</v>
      </c>
      <c r="P155" s="21">
        <f>VLOOKUP($A155,'Выгр Кат'!$A:$R,P$1,0)</f>
        <v>9690</v>
      </c>
      <c r="Q155" s="70">
        <f t="shared" si="36"/>
        <v>1035</v>
      </c>
      <c r="R155" s="70">
        <f t="shared" si="37"/>
        <v>1500</v>
      </c>
      <c r="S155" s="85">
        <f t="shared" si="42"/>
        <v>7780.5</v>
      </c>
      <c r="T155" s="81" t="str">
        <f>IFERROR((VLOOKUP($A155,'Из ГУГЛа'!$B:$G,6,0)+V155)*U155,VLOOKUP($A155,'Из ГУГЛа'!$B:$G,6,0))</f>
        <v/>
      </c>
      <c r="U155" s="83">
        <v>1</v>
      </c>
      <c r="V155" s="83">
        <v>0</v>
      </c>
      <c r="W155" s="48">
        <f t="shared" si="38"/>
        <v>0.16912096168294521</v>
      </c>
      <c r="X155" s="48" t="str">
        <f t="shared" si="39"/>
        <v/>
      </c>
      <c r="Y155" s="48" t="str">
        <f t="shared" si="40"/>
        <v/>
      </c>
      <c r="Z155" s="79" t="s">
        <v>927</v>
      </c>
      <c r="AB155" s="13"/>
    </row>
    <row r="156" spans="1:28" ht="61.5" thickTop="1" thickBot="1">
      <c r="A156" s="56">
        <v>217323</v>
      </c>
      <c r="B156" s="21">
        <f>VLOOKUP($A156,'Выгр Кат'!$A:$R,B$1,0)</f>
        <v>38219</v>
      </c>
      <c r="C156" s="54" t="str">
        <f>VLOOKUP($A156,'Выгр Кат'!$A:$R,C$1,0)</f>
        <v>Стабилизатор поперечной устойчивости "AUTOPRODUCT" 22 мм, в сборе с усиленными стойками для ВАЗ 2110-2112, Лада Приора</v>
      </c>
      <c r="D156" s="21" t="str">
        <f>VLOOKUP($A156,'Выгр Кат'!$A:$R,D$1,0)</f>
        <v>Y</v>
      </c>
      <c r="E156" s="21" t="str">
        <f>VLOOKUP($A156,'Выгр Кат'!$A:$R,E$1,0)</f>
        <v>1</v>
      </c>
      <c r="F156" s="21" t="str">
        <f>VLOOKUP($A156,'Выгр Кат'!$A:$R,F$1,0)</f>
        <v>AP 0458-У</v>
      </c>
      <c r="G156" s="58" t="s">
        <v>434</v>
      </c>
      <c r="H156" s="6" t="s">
        <v>3</v>
      </c>
      <c r="I156" s="94">
        <f>VLOOKUP($G156,ПРАЙС!$B:$H,5,0)</f>
        <v>2715</v>
      </c>
      <c r="J156" s="8">
        <f t="shared" si="32"/>
        <v>1.2596685082872927</v>
      </c>
      <c r="K156" s="8">
        <f>VLOOKUP($G156,ПРАЙС!$B:$H,7,0)</f>
        <v>3420</v>
      </c>
      <c r="L156" s="8">
        <f t="shared" si="33"/>
        <v>1.2596685082872927</v>
      </c>
      <c r="M156" s="9">
        <f t="shared" si="34"/>
        <v>3419.9999999999995</v>
      </c>
      <c r="N156" s="94">
        <f t="shared" si="35"/>
        <v>3490</v>
      </c>
      <c r="O156" s="21">
        <f>VLOOKUP($A156,'Выгр Кат'!$A:$R,O$1,0)</f>
        <v>2655</v>
      </c>
      <c r="P156" s="21">
        <f>VLOOKUP($A156,'Выгр Кат'!$A:$R,P$1,0)</f>
        <v>3490</v>
      </c>
      <c r="Q156" s="70">
        <f t="shared" si="36"/>
        <v>-60</v>
      </c>
      <c r="R156" s="70">
        <f t="shared" si="37"/>
        <v>0</v>
      </c>
      <c r="S156" s="85">
        <f t="shared" si="42"/>
        <v>3315.5</v>
      </c>
      <c r="T156" s="81" t="str">
        <f>IFERROR((VLOOKUP($A156,'Из ГУГЛа'!$B:$G,6,0)+V156)*U156,VLOOKUP($A156,'Из ГУГЛа'!$B:$G,6,0))</f>
        <v/>
      </c>
      <c r="U156" s="83">
        <v>1</v>
      </c>
      <c r="V156" s="83">
        <v>0</v>
      </c>
      <c r="W156" s="48">
        <f t="shared" si="38"/>
        <v>0.22117863720073672</v>
      </c>
      <c r="X156" s="48" t="str">
        <f t="shared" si="39"/>
        <v/>
      </c>
      <c r="Y156" s="48" t="str">
        <f t="shared" si="40"/>
        <v/>
      </c>
      <c r="Z156" s="79" t="s">
        <v>927</v>
      </c>
      <c r="AB156" s="67">
        <v>3300</v>
      </c>
    </row>
    <row r="157" spans="1:28" ht="61.5" thickTop="1" thickBot="1">
      <c r="A157" s="56">
        <v>217321</v>
      </c>
      <c r="B157" s="21">
        <f>VLOOKUP($A157,'Выгр Кат'!$A:$R,B$1,0)</f>
        <v>38218</v>
      </c>
      <c r="C157" s="54" t="str">
        <f>VLOOKUP($A157,'Выгр Кат'!$A:$R,C$1,0)</f>
        <v>Стабилизатор поперечной устойчивости "AUTOPRODUCT" 22 мм, в сборе для ВАЗ 2110-2112, Лада Приора</v>
      </c>
      <c r="D157" s="21" t="str">
        <f>VLOOKUP($A157,'Выгр Кат'!$A:$R,D$1,0)</f>
        <v>Y</v>
      </c>
      <c r="E157" s="21" t="str">
        <f>VLOOKUP($A157,'Выгр Кат'!$A:$R,E$1,0)</f>
        <v>1</v>
      </c>
      <c r="F157" s="21" t="str">
        <f>VLOOKUP($A157,'Выгр Кат'!$A:$R,F$1,0)</f>
        <v>AP 0458</v>
      </c>
      <c r="G157" s="58" t="s">
        <v>435</v>
      </c>
      <c r="H157" s="6" t="s">
        <v>3</v>
      </c>
      <c r="I157" s="94">
        <f>VLOOKUP($G157,ПРАЙС!$B:$H,5,0)</f>
        <v>2415</v>
      </c>
      <c r="J157" s="8">
        <f t="shared" si="32"/>
        <v>1.2877846790890268</v>
      </c>
      <c r="K157" s="8">
        <f>VLOOKUP($G157,ПРАЙС!$B:$H,7,0)</f>
        <v>3110</v>
      </c>
      <c r="L157" s="8">
        <f t="shared" si="33"/>
        <v>1.2877846790890268</v>
      </c>
      <c r="M157" s="9">
        <f t="shared" si="34"/>
        <v>3110</v>
      </c>
      <c r="N157" s="94">
        <f t="shared" si="35"/>
        <v>3190</v>
      </c>
      <c r="O157" s="21">
        <f>VLOOKUP($A157,'Выгр Кат'!$A:$R,O$1,0)</f>
        <v>2390</v>
      </c>
      <c r="P157" s="21">
        <f>VLOOKUP($A157,'Выгр Кат'!$A:$R,P$1,0)</f>
        <v>3190</v>
      </c>
      <c r="Q157" s="70">
        <f t="shared" si="36"/>
        <v>-25</v>
      </c>
      <c r="R157" s="70">
        <f t="shared" si="37"/>
        <v>0</v>
      </c>
      <c r="S157" s="85">
        <f t="shared" si="42"/>
        <v>3030.5</v>
      </c>
      <c r="T157" s="81">
        <f>IFERROR((VLOOKUP($A157,'Из ГУГЛа'!$B:$G,6,0)+V157)*U157,VLOOKUP($A157,'Из ГУГЛа'!$B:$G,6,0))</f>
        <v>3090</v>
      </c>
      <c r="U157" s="83">
        <v>1</v>
      </c>
      <c r="V157" s="83">
        <v>0</v>
      </c>
      <c r="W157" s="48">
        <f t="shared" si="38"/>
        <v>0.25486542443064186</v>
      </c>
      <c r="X157" s="48">
        <f t="shared" si="39"/>
        <v>1.9255663430420712E-2</v>
      </c>
      <c r="Y157" s="48">
        <f t="shared" si="40"/>
        <v>0.27950310559006208</v>
      </c>
      <c r="Z157" s="78">
        <v>3090</v>
      </c>
      <c r="AA157" t="s">
        <v>814</v>
      </c>
      <c r="AB157" s="75">
        <v>2990</v>
      </c>
    </row>
    <row r="158" spans="1:28" ht="46.5" thickTop="1" thickBot="1">
      <c r="A158" s="27">
        <v>204316</v>
      </c>
      <c r="B158" s="21">
        <f>VLOOKUP($A158,'Выгр Кат'!$A:$R,B$1,0)</f>
        <v>38214</v>
      </c>
      <c r="C158" s="54" t="str">
        <f>VLOOKUP($A158,'Выгр Кат'!$A:$R,C$1,0)</f>
        <v>Ремкомплект "AUTOPRODUCT" задней распорки/усилителя задних стоек</v>
      </c>
      <c r="D158" s="21" t="str">
        <f>VLOOKUP($A158,'Выгр Кат'!$A:$R,D$1,0)</f>
        <v>Y</v>
      </c>
      <c r="E158" s="21" t="str">
        <f>VLOOKUP($A158,'Выгр Кат'!$A:$R,E$1,0)</f>
        <v>1</v>
      </c>
      <c r="F158" s="21" t="str">
        <f>VLOOKUP($A158,'Выгр Кат'!$A:$R,F$1,0)</f>
        <v>АР 0253</v>
      </c>
      <c r="G158" s="63" t="s">
        <v>368</v>
      </c>
      <c r="H158" s="6" t="s">
        <v>3</v>
      </c>
      <c r="I158" s="94">
        <f>VLOOKUP($G158,ПРАЙС!$B:$H,5,0)</f>
        <v>155</v>
      </c>
      <c r="J158" s="8">
        <f t="shared" si="32"/>
        <v>1.2903225806451613</v>
      </c>
      <c r="K158" s="8">
        <f>VLOOKUP($G158,ПРАЙС!$B:$H,7,0)</f>
        <v>200</v>
      </c>
      <c r="L158" s="8">
        <f t="shared" si="33"/>
        <v>1.2903225806451613</v>
      </c>
      <c r="M158" s="9">
        <f t="shared" si="34"/>
        <v>200</v>
      </c>
      <c r="N158" s="94">
        <f t="shared" si="35"/>
        <v>199</v>
      </c>
      <c r="O158" s="21">
        <f>VLOOKUP($A158,'Выгр Кат'!$A:$R,O$1,0)</f>
        <v>155</v>
      </c>
      <c r="P158" s="21">
        <f>VLOOKUP($A158,'Выгр Кат'!$A:$R,P$1,0)</f>
        <v>339</v>
      </c>
      <c r="Q158" s="70">
        <f t="shared" si="36"/>
        <v>0</v>
      </c>
      <c r="R158" s="70">
        <f t="shared" si="37"/>
        <v>140</v>
      </c>
      <c r="S158" s="85">
        <f t="shared" si="42"/>
        <v>189.04999999999998</v>
      </c>
      <c r="T158" s="81">
        <f>IFERROR((VLOOKUP($A158,'Из ГУГЛа'!$B:$G,6,0)+V158)*U158,VLOOKUP($A158,'Из ГУГЛа'!$B:$G,6,0))</f>
        <v>329</v>
      </c>
      <c r="U158" s="83">
        <v>1</v>
      </c>
      <c r="V158" s="83">
        <v>0</v>
      </c>
      <c r="W158" s="48">
        <f t="shared" si="38"/>
        <v>0.21967741935483853</v>
      </c>
      <c r="X158" s="48">
        <f t="shared" si="39"/>
        <v>0.4253799392097265</v>
      </c>
      <c r="Y158" s="48">
        <f t="shared" si="40"/>
        <v>1.1225806451612903</v>
      </c>
      <c r="Z158" s="78">
        <v>329</v>
      </c>
      <c r="AA158" t="s">
        <v>813</v>
      </c>
      <c r="AB158" s="67">
        <v>200</v>
      </c>
    </row>
    <row r="159" spans="1:28" ht="76.5" thickTop="1" thickBot="1">
      <c r="A159" s="27">
        <v>158255</v>
      </c>
      <c r="B159" s="21">
        <f>VLOOKUP($A159,'Выгр Кат'!$A:$R,B$1,0)</f>
        <v>38217</v>
      </c>
      <c r="C159" s="54" t="str">
        <f>VLOOKUP($A159,'Выгр Кат'!$A:$R,C$1,0)</f>
        <v>Комплект "AUTOPRODUCT" усиленных кронштейнов СА (двигателя) для кулисной МКПП для Лада Калина, Калина 2, Гранта, Гранта FL (кулисная КПП)</v>
      </c>
      <c r="D159" s="21" t="str">
        <f>VLOOKUP($A159,'Выгр Кат'!$A:$R,D$1,0)</f>
        <v>Y</v>
      </c>
      <c r="E159" s="21" t="str">
        <f>VLOOKUP($A159,'Выгр Кат'!$A:$R,E$1,0)</f>
        <v>1</v>
      </c>
      <c r="F159" s="21" t="str">
        <f>VLOOKUP($A159,'Выгр Кат'!$A:$R,F$1,0)</f>
        <v>AP 0307</v>
      </c>
      <c r="G159" s="58" t="s">
        <v>437</v>
      </c>
      <c r="H159" s="6" t="s">
        <v>3</v>
      </c>
      <c r="I159" s="94">
        <f>VLOOKUP($G159,ПРАЙС!$B:$H,5,0)</f>
        <v>3065</v>
      </c>
      <c r="J159" s="8">
        <f t="shared" si="32"/>
        <v>1.2887438825448614</v>
      </c>
      <c r="K159" s="8">
        <f>VLOOKUP($G159,ПРАЙС!$B:$H,7,0)</f>
        <v>3950</v>
      </c>
      <c r="L159" s="8">
        <f t="shared" si="33"/>
        <v>1.2887438825448614</v>
      </c>
      <c r="M159" s="9">
        <f t="shared" si="34"/>
        <v>3950</v>
      </c>
      <c r="N159" s="94">
        <f t="shared" si="35"/>
        <v>3990</v>
      </c>
      <c r="O159" s="21">
        <f>VLOOKUP($A159,'Выгр Кат'!$A:$R,O$1,0)</f>
        <v>3065</v>
      </c>
      <c r="P159" s="21">
        <f>VLOOKUP($A159,'Выгр Кат'!$A:$R,P$1,0)</f>
        <v>3990</v>
      </c>
      <c r="Q159" s="70">
        <f t="shared" si="36"/>
        <v>0</v>
      </c>
      <c r="R159" s="70">
        <f t="shared" si="37"/>
        <v>0</v>
      </c>
      <c r="S159" s="85">
        <f t="shared" si="42"/>
        <v>3790.5</v>
      </c>
      <c r="T159" s="81" t="str">
        <f>IFERROR((VLOOKUP($A159,'Из ГУГЛа'!$B:$G,6,0)+V159)*U159,VLOOKUP($A159,'Из ГУГЛа'!$B:$G,6,0))</f>
        <v/>
      </c>
      <c r="U159" s="83">
        <v>1</v>
      </c>
      <c r="V159" s="83">
        <v>0</v>
      </c>
      <c r="W159" s="48">
        <f t="shared" si="38"/>
        <v>0.23670473083197385</v>
      </c>
      <c r="X159" s="48" t="str">
        <f t="shared" si="39"/>
        <v/>
      </c>
      <c r="Y159" s="48" t="str">
        <f t="shared" si="40"/>
        <v/>
      </c>
      <c r="Z159" s="79" t="s">
        <v>927</v>
      </c>
      <c r="AB159" s="13"/>
    </row>
    <row r="160" spans="1:28" ht="46.5" thickTop="1" thickBot="1">
      <c r="A160" s="31">
        <v>213106</v>
      </c>
      <c r="B160" s="21">
        <f>VLOOKUP($A160,'Выгр Кат'!$A:$R,B$1,0)</f>
        <v>41784</v>
      </c>
      <c r="C160" s="54" t="str">
        <f>VLOOKUP($A160,'Выгр Кат'!$A:$R,C$1,0)</f>
        <v>Рычаги подрамника "AUTOPRODUCT" жесткие с регулировкой развала для Лада Веста</v>
      </c>
      <c r="D160" s="21" t="str">
        <f>VLOOKUP($A160,'Выгр Кат'!$A:$R,D$1,0)</f>
        <v>Y</v>
      </c>
      <c r="E160" s="21" t="str">
        <f>VLOOKUP($A160,'Выгр Кат'!$A:$R,E$1,0)</f>
        <v>1</v>
      </c>
      <c r="F160" s="21" t="str">
        <f>VLOOKUP($A160,'Выгр Кат'!$A:$R,F$1,0)</f>
        <v>AP 0685</v>
      </c>
      <c r="G160" s="32" t="s">
        <v>496</v>
      </c>
      <c r="H160" s="6" t="s">
        <v>3</v>
      </c>
      <c r="I160" s="94">
        <f>VLOOKUP($G160,ПРАЙС!$B:$H,5,0)</f>
        <v>10415</v>
      </c>
      <c r="J160" s="8">
        <f t="shared" si="32"/>
        <v>1.1800288046087375</v>
      </c>
      <c r="K160" s="8">
        <f>VLOOKUP($G160,ПРАЙС!$B:$H,7,0)</f>
        <v>12290</v>
      </c>
      <c r="L160" s="8">
        <f t="shared" si="33"/>
        <v>1.22</v>
      </c>
      <c r="M160" s="9">
        <f t="shared" si="34"/>
        <v>12706.3</v>
      </c>
      <c r="N160" s="94">
        <f t="shared" si="35"/>
        <v>12790</v>
      </c>
      <c r="O160" s="21">
        <f>VLOOKUP($A160,'Выгр Кат'!$A:$R,O$1,0)</f>
        <v>10415</v>
      </c>
      <c r="P160" s="21">
        <f>VLOOKUP($A160,'Выгр Кат'!$A:$R,P$1,0)</f>
        <v>13290</v>
      </c>
      <c r="Q160" s="70">
        <f t="shared" si="36"/>
        <v>0</v>
      </c>
      <c r="R160" s="70">
        <f t="shared" si="37"/>
        <v>500</v>
      </c>
      <c r="S160" s="85">
        <f t="shared" si="42"/>
        <v>12150.5</v>
      </c>
      <c r="T160" s="81" t="str">
        <f>IFERROR((VLOOKUP($A160,'Из ГУГЛа'!$B:$G,6,0)+V160)*U160,VLOOKUP($A160,'Из ГУГЛа'!$B:$G,6,0))</f>
        <v/>
      </c>
      <c r="U160" s="83">
        <v>1</v>
      </c>
      <c r="V160" s="83">
        <v>0</v>
      </c>
      <c r="W160" s="48">
        <f t="shared" si="38"/>
        <v>0.16663466154584738</v>
      </c>
      <c r="X160" s="48" t="str">
        <f t="shared" si="39"/>
        <v/>
      </c>
      <c r="Y160" s="48" t="str">
        <f t="shared" si="40"/>
        <v/>
      </c>
      <c r="Z160" s="79" t="s">
        <v>927</v>
      </c>
      <c r="AB160" s="13"/>
    </row>
    <row r="161" spans="1:28" ht="91.5" thickTop="1" thickBot="1">
      <c r="A161" s="57">
        <v>217326</v>
      </c>
      <c r="B161" s="21">
        <f>VLOOKUP($A161,'Выгр Кат'!$A:$R,B$1,0)</f>
        <v>57961</v>
      </c>
      <c r="C161" s="54" t="str">
        <f>VLOOKUP($A161,'Выгр Кат'!$A:$R,C$1,0)</f>
        <v>Стабилизатор поперечной устойчивости "AUTOPRODUCT" Drive 24 мм в сборе (с усиленными стойками) для Лада (Калина, Калина 2, Гранта, Гранта FL), Датсун (mi-DO, on-DO)</v>
      </c>
      <c r="D161" s="21" t="str">
        <f>VLOOKUP($A161,'Выгр Кат'!$A:$R,D$1,0)</f>
        <v>Y</v>
      </c>
      <c r="E161" s="21" t="str">
        <f>VLOOKUP($A161,'Выгр Кат'!$A:$R,E$1,0)</f>
        <v>1</v>
      </c>
      <c r="F161" s="21" t="str">
        <f>VLOOKUP($A161,'Выгр Кат'!$A:$R,F$1,0)</f>
        <v>AP 0581-У</v>
      </c>
      <c r="G161" s="32" t="s">
        <v>491</v>
      </c>
      <c r="H161" s="6" t="s">
        <v>3</v>
      </c>
      <c r="I161" s="94">
        <f>VLOOKUP($G161,ПРАЙС!$B:$H,5,0)</f>
        <v>2500</v>
      </c>
      <c r="J161" s="8">
        <f t="shared" si="32"/>
        <v>1.288</v>
      </c>
      <c r="K161" s="8">
        <f>VLOOKUP($G161,ПРАЙС!$B:$H,7,0)</f>
        <v>3220</v>
      </c>
      <c r="L161" s="8">
        <f t="shared" si="33"/>
        <v>1.288</v>
      </c>
      <c r="M161" s="9">
        <f t="shared" si="34"/>
        <v>3220</v>
      </c>
      <c r="N161" s="94">
        <f t="shared" si="35"/>
        <v>3290</v>
      </c>
      <c r="O161" s="21">
        <f>VLOOKUP($A161,'Выгр Кат'!$A:$R,O$1,0)</f>
        <v>2500</v>
      </c>
      <c r="P161" s="21">
        <f>VLOOKUP($A161,'Выгр Кат'!$A:$R,P$1,0)</f>
        <v>3390</v>
      </c>
      <c r="Q161" s="70">
        <f t="shared" si="36"/>
        <v>0</v>
      </c>
      <c r="R161" s="70">
        <f t="shared" si="37"/>
        <v>100</v>
      </c>
      <c r="S161" s="85">
        <f t="shared" si="42"/>
        <v>3125.5</v>
      </c>
      <c r="T161" s="81">
        <f>IFERROR((VLOOKUP($A161,'Из ГУГЛа'!$B:$G,6,0)+V161)*U161,VLOOKUP($A161,'Из ГУГЛа'!$B:$G,6,0))</f>
        <v>3290</v>
      </c>
      <c r="U161" s="83">
        <v>1</v>
      </c>
      <c r="V161" s="83">
        <v>0</v>
      </c>
      <c r="W161" s="48">
        <f t="shared" si="38"/>
        <v>0.25019999999999998</v>
      </c>
      <c r="X161" s="48">
        <f t="shared" si="39"/>
        <v>0.05</v>
      </c>
      <c r="Y161" s="48">
        <f t="shared" si="40"/>
        <v>0.31600000000000006</v>
      </c>
      <c r="Z161" s="79">
        <v>3290</v>
      </c>
      <c r="AA161" t="s">
        <v>812</v>
      </c>
      <c r="AB161" s="67">
        <v>3100</v>
      </c>
    </row>
    <row r="162" spans="1:28" ht="46.5" thickTop="1" thickBot="1">
      <c r="A162" s="55">
        <v>136705</v>
      </c>
      <c r="B162" s="21">
        <f>VLOOKUP($A162,'Выгр Кат'!$A:$R,B$1,0)</f>
        <v>108759</v>
      </c>
      <c r="C162" s="54" t="str">
        <f>VLOOKUP($A162,'Выгр Кат'!$A:$R,C$1,0)</f>
        <v>Бесшумный кронштейн запасного колеса "AutoProduct" (белый) для Лада Ларгус</v>
      </c>
      <c r="D162" s="21" t="str">
        <f>VLOOKUP($A162,'Выгр Кат'!$A:$R,D$1,0)</f>
        <v>Y</v>
      </c>
      <c r="E162" s="21" t="str">
        <f>VLOOKUP($A162,'Выгр Кат'!$A:$R,E$1,0)</f>
        <v>1</v>
      </c>
      <c r="F162" s="21" t="str">
        <f>VLOOKUP($A162,'Выгр Кат'!$A:$R,F$1,0)</f>
        <v>AP 0760-Б</v>
      </c>
      <c r="G162" s="62" t="s">
        <v>711</v>
      </c>
      <c r="H162" s="6" t="s">
        <v>3</v>
      </c>
      <c r="I162" s="94">
        <f>VLOOKUP($G162,ПРАЙС!$B:$H,5,0)</f>
        <v>4770</v>
      </c>
      <c r="J162" s="8">
        <f t="shared" si="32"/>
        <v>1.2893081761006289</v>
      </c>
      <c r="K162" s="8">
        <f>VLOOKUP($G162,ПРАЙС!$B:$H,7,0)</f>
        <v>6150</v>
      </c>
      <c r="L162" s="8">
        <f t="shared" si="33"/>
        <v>1.2893081761006289</v>
      </c>
      <c r="M162" s="9">
        <f t="shared" si="34"/>
        <v>6150</v>
      </c>
      <c r="N162" s="94">
        <f t="shared" si="35"/>
        <v>6190</v>
      </c>
      <c r="O162" s="21">
        <f>VLOOKUP($A162,'Выгр Кат'!$A:$R,O$1,0)</f>
        <v>4770</v>
      </c>
      <c r="P162" s="21">
        <f>VLOOKUP($A162,'Выгр Кат'!$A:$R,P$1,0)</f>
        <v>6390</v>
      </c>
      <c r="Q162" s="70">
        <f t="shared" si="36"/>
        <v>0</v>
      </c>
      <c r="R162" s="70">
        <f t="shared" si="37"/>
        <v>200</v>
      </c>
      <c r="S162" s="85">
        <f t="shared" si="42"/>
        <v>5880.5</v>
      </c>
      <c r="T162" s="81">
        <f>IFERROR((VLOOKUP($A162,'Из ГУГЛа'!$B:$G,6,0)+V162)*U162,VLOOKUP($A162,'Из ГУГЛа'!$B:$G,6,0))</f>
        <v>6190</v>
      </c>
      <c r="U162" s="83">
        <v>1</v>
      </c>
      <c r="V162" s="83">
        <v>0</v>
      </c>
      <c r="W162" s="48">
        <f t="shared" si="38"/>
        <v>0.23280922431865836</v>
      </c>
      <c r="X162" s="48">
        <f t="shared" si="39"/>
        <v>0.05</v>
      </c>
      <c r="Y162" s="48">
        <f t="shared" si="40"/>
        <v>0.29769392033542985</v>
      </c>
      <c r="Z162" s="78">
        <v>6190</v>
      </c>
      <c r="AA162" t="s">
        <v>932</v>
      </c>
      <c r="AB162" s="68"/>
    </row>
    <row r="163" spans="1:28" ht="46.5" thickTop="1" thickBot="1">
      <c r="A163" s="55">
        <v>144405</v>
      </c>
      <c r="B163" s="21">
        <f>VLOOKUP($A163,'Выгр Кат'!$A:$R,B$1,0)</f>
        <v>157000</v>
      </c>
      <c r="C163" s="54" t="str">
        <f>VLOOKUP($A163,'Выгр Кат'!$A:$R,C$1,0)</f>
        <v>Дополнительная опора поперечины "AUTOPRODUCT" для Лада Веста, Веста NG</v>
      </c>
      <c r="D163" s="21" t="str">
        <f>VLOOKUP($A163,'Выгр Кат'!$A:$R,D$1,0)</f>
        <v>Y</v>
      </c>
      <c r="E163" s="21" t="str">
        <f>VLOOKUP($A163,'Выгр Кат'!$A:$R,E$1,0)</f>
        <v>1</v>
      </c>
      <c r="F163" s="21" t="str">
        <f>VLOOKUP($A163,'Выгр Кат'!$A:$R,F$1,0)</f>
        <v>AP 0670</v>
      </c>
      <c r="G163" s="59" t="s">
        <v>731</v>
      </c>
      <c r="H163" s="6" t="s">
        <v>3</v>
      </c>
      <c r="I163" s="94">
        <f>VLOOKUP($G163,ПРАЙС!$B:$H,5,0)</f>
        <v>1315</v>
      </c>
      <c r="J163" s="8">
        <f t="shared" si="32"/>
        <v>1.2851711026615971</v>
      </c>
      <c r="K163" s="8">
        <f>VLOOKUP($G163,ПРАЙС!$B:$H,7,0)</f>
        <v>1690</v>
      </c>
      <c r="L163" s="8">
        <f t="shared" si="33"/>
        <v>1.2851711026615971</v>
      </c>
      <c r="M163" s="9">
        <f t="shared" si="34"/>
        <v>1690.0000000000002</v>
      </c>
      <c r="N163" s="94">
        <f t="shared" si="35"/>
        <v>1690</v>
      </c>
      <c r="O163" s="21">
        <f>VLOOKUP($A163,'Выгр Кат'!$A:$R,O$1,0)</f>
        <v>1315</v>
      </c>
      <c r="P163" s="21">
        <f>VLOOKUP($A163,'Выгр Кат'!$A:$R,P$1,0)</f>
        <v>1690</v>
      </c>
      <c r="Q163" s="70">
        <f t="shared" si="36"/>
        <v>0</v>
      </c>
      <c r="R163" s="70">
        <f t="shared" si="37"/>
        <v>0</v>
      </c>
      <c r="S163" s="85">
        <f t="shared" si="42"/>
        <v>1605.5</v>
      </c>
      <c r="T163" s="81" t="str">
        <f>IFERROR((VLOOKUP($A163,'Из ГУГЛа'!$B:$G,6,0)+V163)*U163,VLOOKUP($A163,'Из ГУГЛа'!$B:$G,6,0))</f>
        <v/>
      </c>
      <c r="U163" s="83">
        <v>1</v>
      </c>
      <c r="V163" s="83">
        <v>0</v>
      </c>
      <c r="W163" s="48">
        <f t="shared" si="38"/>
        <v>0.22091254752851719</v>
      </c>
      <c r="X163" s="48" t="str">
        <f t="shared" si="39"/>
        <v/>
      </c>
      <c r="Y163" s="48" t="str">
        <f t="shared" si="40"/>
        <v/>
      </c>
      <c r="Z163" s="79" t="s">
        <v>927</v>
      </c>
      <c r="AB163" s="13"/>
    </row>
    <row r="164" spans="1:28" ht="46.5" thickTop="1" thickBot="1">
      <c r="A164" s="55">
        <v>194100</v>
      </c>
      <c r="B164" s="21">
        <f>VLOOKUP($A164,'Выгр Кат'!$A:$R,B$1,0)</f>
        <v>157024</v>
      </c>
      <c r="C164" s="54" t="str">
        <f>VLOOKUP($A164,'Выгр Кат'!$A:$R,C$1,0)</f>
        <v>Подвеска задняя независимая "AUTOPRODUCT" для Лада Веста, Веста NG</v>
      </c>
      <c r="D164" s="21" t="str">
        <f>VLOOKUP($A164,'Выгр Кат'!$A:$R,D$1,0)</f>
        <v>Y</v>
      </c>
      <c r="E164" s="21" t="str">
        <f>VLOOKUP($A164,'Выгр Кат'!$A:$R,E$1,0)</f>
        <v>1</v>
      </c>
      <c r="F164" s="21" t="str">
        <f>VLOOKUP($A164,'Выгр Кат'!$A:$R,F$1,0)</f>
        <v>AP 0730</v>
      </c>
      <c r="G164" s="59" t="s">
        <v>732</v>
      </c>
      <c r="H164" s="6" t="s">
        <v>3</v>
      </c>
      <c r="I164" s="94">
        <f>VLOOKUP($G164,ПРАЙС!$B:$H,5,0)</f>
        <v>48500</v>
      </c>
      <c r="J164" s="8">
        <f t="shared" si="32"/>
        <v>1.2061855670103092</v>
      </c>
      <c r="K164" s="8">
        <f>VLOOKUP($G164,ПРАЙС!$B:$H,7,0)</f>
        <v>58500</v>
      </c>
      <c r="L164" s="8">
        <f t="shared" si="33"/>
        <v>1.22</v>
      </c>
      <c r="M164" s="9">
        <f t="shared" si="34"/>
        <v>59170</v>
      </c>
      <c r="N164" s="94">
        <f t="shared" si="35"/>
        <v>59190</v>
      </c>
      <c r="O164" s="21">
        <f>VLOOKUP($A164,'Выгр Кат'!$A:$R,O$1,0)</f>
        <v>46395</v>
      </c>
      <c r="P164" s="21">
        <f>VLOOKUP($A164,'Выгр Кат'!$A:$R,P$1,0)</f>
        <v>58390</v>
      </c>
      <c r="Q164" s="70">
        <f t="shared" si="36"/>
        <v>-2105</v>
      </c>
      <c r="R164" s="70">
        <f t="shared" si="37"/>
        <v>-800</v>
      </c>
      <c r="S164" s="85">
        <f t="shared" si="42"/>
        <v>56230.5</v>
      </c>
      <c r="T164" s="81">
        <f>IFERROR((VLOOKUP($A164,'Из ГУГЛа'!$B:$G,6,0)+V164)*U164,VLOOKUP($A164,'Из ГУГЛа'!$B:$G,6,0))</f>
        <v>55690</v>
      </c>
      <c r="U164" s="83">
        <v>1</v>
      </c>
      <c r="V164" s="83">
        <v>0</v>
      </c>
      <c r="W164" s="48">
        <f t="shared" si="38"/>
        <v>0.15939175257731963</v>
      </c>
      <c r="X164" s="48">
        <f t="shared" si="39"/>
        <v>-9.7055126593643386E-3</v>
      </c>
      <c r="Y164" s="48">
        <f t="shared" si="40"/>
        <v>0.14824742268041247</v>
      </c>
      <c r="Z164" s="79">
        <f>T164</f>
        <v>55690</v>
      </c>
      <c r="AA164" t="s">
        <v>933</v>
      </c>
      <c r="AB164" s="68"/>
    </row>
    <row r="165" spans="1:28" ht="76.5" thickTop="1" thickBot="1">
      <c r="A165" s="55">
        <v>195277</v>
      </c>
      <c r="B165" s="21">
        <f>VLOOKUP($A165,'Выгр Кат'!$A:$R,B$1,0)</f>
        <v>157064</v>
      </c>
      <c r="C165" s="54" t="str">
        <f>VLOOKUP($A165,'Выгр Кат'!$A:$R,C$1,0)</f>
        <v>Поперечина передней подвески "AUTOPRODUCT" SPORT на полиуретановых сайлентблоках для Лада (Калина, Калина 2, Гранта), Датсун (mi-DO, on-DO)</v>
      </c>
      <c r="D165" s="21" t="str">
        <f>VLOOKUP($A165,'Выгр Кат'!$A:$R,D$1,0)</f>
        <v>Y</v>
      </c>
      <c r="E165" s="21" t="str">
        <f>VLOOKUP($A165,'Выгр Кат'!$A:$R,E$1,0)</f>
        <v>1</v>
      </c>
      <c r="F165" s="21" t="str">
        <f>VLOOKUP($A165,'Выгр Кат'!$A:$R,F$1,0)</f>
        <v>AP 0386</v>
      </c>
      <c r="G165" s="59" t="s">
        <v>733</v>
      </c>
      <c r="H165" s="6" t="s">
        <v>3</v>
      </c>
      <c r="I165" s="94">
        <f>VLOOKUP($G165,ПРАЙС!$B:$H,5,0)</f>
        <v>3385</v>
      </c>
      <c r="J165" s="8">
        <f t="shared" si="32"/>
        <v>1.1787296898079764</v>
      </c>
      <c r="K165" s="8">
        <f>VLOOKUP($G165,ПРАЙС!$B:$H,7,0)</f>
        <v>3990</v>
      </c>
      <c r="L165" s="8">
        <f t="shared" si="33"/>
        <v>1.22</v>
      </c>
      <c r="M165" s="9">
        <f t="shared" si="34"/>
        <v>4129.7</v>
      </c>
      <c r="N165" s="94">
        <f t="shared" si="35"/>
        <v>4190</v>
      </c>
      <c r="O165" s="21">
        <f>VLOOKUP($A165,'Выгр Кат'!$A:$R,O$1,0)</f>
        <v>3350</v>
      </c>
      <c r="P165" s="21">
        <f>VLOOKUP($A165,'Выгр Кат'!$A:$R,P$1,0)</f>
        <v>4590</v>
      </c>
      <c r="Q165" s="70">
        <f t="shared" si="36"/>
        <v>-35</v>
      </c>
      <c r="R165" s="70">
        <f t="shared" si="37"/>
        <v>400</v>
      </c>
      <c r="S165" s="85">
        <f t="shared" si="42"/>
        <v>3980.5</v>
      </c>
      <c r="T165" s="81">
        <f>IFERROR((VLOOKUP($A165,'Из ГУГЛа'!$B:$G,6,0)+V165)*U165,VLOOKUP($A165,'Из ГУГЛа'!$B:$G,6,0))</f>
        <v>4390</v>
      </c>
      <c r="U165" s="83">
        <v>1</v>
      </c>
      <c r="V165" s="83">
        <v>0</v>
      </c>
      <c r="W165" s="48">
        <f t="shared" si="38"/>
        <v>0.17592319054652883</v>
      </c>
      <c r="X165" s="48">
        <f t="shared" si="39"/>
        <v>9.3280182232346243E-2</v>
      </c>
      <c r="Y165" s="48">
        <f t="shared" si="40"/>
        <v>0.29689807976366311</v>
      </c>
      <c r="Z165" s="78">
        <v>4390</v>
      </c>
      <c r="AA165" t="s">
        <v>934</v>
      </c>
      <c r="AB165" s="68"/>
    </row>
    <row r="166" spans="1:28" ht="76.5" thickTop="1" thickBot="1">
      <c r="A166" s="15">
        <v>274423</v>
      </c>
      <c r="B166" s="21">
        <f>VLOOKUP($A166,'Выгр Кат'!$A:$R,B$1,0)</f>
        <v>225755</v>
      </c>
      <c r="C166" s="54" t="str">
        <f>VLOOKUP($A166,'Выгр Кат'!$A:$R,C$1,0)</f>
        <v>Защита двигателя "AUTOPRODUCT" для подрамника (стальная, оцинкованная) для Лада (Калина, Калина 2, Гранта, Гранта FL), Датсун (mi-DO, on-DO)</v>
      </c>
      <c r="D166" s="21" t="str">
        <f>VLOOKUP($A166,'Выгр Кат'!$A:$R,D$1,0)</f>
        <v>Y</v>
      </c>
      <c r="E166" s="21" t="str">
        <f>VLOOKUP($A166,'Выгр Кат'!$A:$R,E$1,0)</f>
        <v>1</v>
      </c>
      <c r="F166" s="21" t="str">
        <f>VLOOKUP($A166,'Выгр Кат'!$A:$R,F$1,0)</f>
        <v>AP 0596</v>
      </c>
      <c r="G166" s="62" t="s">
        <v>940</v>
      </c>
      <c r="H166" s="6" t="s">
        <v>3</v>
      </c>
      <c r="I166" s="94">
        <f>VLOOKUP($G166,ПРАЙС!$B:$H,5,0)</f>
        <v>2430</v>
      </c>
      <c r="J166" s="8">
        <f t="shared" si="32"/>
        <v>1.2304526748971194</v>
      </c>
      <c r="K166" s="8">
        <f>VLOOKUP($G166,ПРАЙС!$B:$H,7,0)</f>
        <v>2990</v>
      </c>
      <c r="L166" s="8">
        <f t="shared" si="33"/>
        <v>1.2304526748971194</v>
      </c>
      <c r="M166" s="9">
        <f t="shared" si="34"/>
        <v>2990</v>
      </c>
      <c r="N166" s="94">
        <f t="shared" si="35"/>
        <v>2990</v>
      </c>
      <c r="O166" s="21">
        <f>VLOOKUP($A166,'Выгр Кат'!$A:$R,O$1,0)</f>
        <v>2375</v>
      </c>
      <c r="P166" s="21">
        <f>VLOOKUP($A166,'Выгр Кат'!$A:$R,P$1,0)</f>
        <v>2990</v>
      </c>
      <c r="Q166" s="70">
        <f t="shared" si="36"/>
        <v>-55</v>
      </c>
      <c r="R166" s="70">
        <f t="shared" si="37"/>
        <v>0</v>
      </c>
      <c r="S166" s="85">
        <f t="shared" si="42"/>
        <v>2840.5</v>
      </c>
      <c r="T166" s="81" t="str">
        <f>IFERROR((VLOOKUP($A166,'Из ГУГЛа'!$B:$G,6,0)+V166)*U166,VLOOKUP($A166,'Из ГУГЛа'!$B:$G,6,0))</f>
        <v/>
      </c>
      <c r="U166" s="83">
        <v>1</v>
      </c>
      <c r="V166" s="83">
        <v>0</v>
      </c>
      <c r="W166" s="48">
        <f t="shared" si="38"/>
        <v>0.1689300411522634</v>
      </c>
      <c r="X166" s="48" t="str">
        <f t="shared" si="39"/>
        <v/>
      </c>
      <c r="Y166" s="48" t="str">
        <f t="shared" si="40"/>
        <v/>
      </c>
      <c r="Z166" s="79" t="s">
        <v>927</v>
      </c>
      <c r="AB166" s="13"/>
    </row>
    <row r="167" spans="1:28" ht="46.5" thickTop="1" thickBot="1">
      <c r="A167" s="15">
        <v>266607</v>
      </c>
      <c r="B167" s="21">
        <f>VLOOKUP($A167,'Выгр Кат'!$A:$R,B$1,0)</f>
        <v>216191</v>
      </c>
      <c r="C167" s="54" t="str">
        <f>VLOOKUP($A167,'Выгр Кат'!$A:$R,C$1,0)</f>
        <v>Комплект деталей "AUTOPRODUCT" на ЗНП под дисковые тормоза для Лада Веста</v>
      </c>
      <c r="D167" s="21" t="str">
        <f>VLOOKUP($A167,'Выгр Кат'!$A:$R,D$1,0)</f>
        <v>Y</v>
      </c>
      <c r="E167" s="21" t="str">
        <f>VLOOKUP($A167,'Выгр Кат'!$A:$R,E$1,0)</f>
        <v>1</v>
      </c>
      <c r="F167" s="21" t="str">
        <f>VLOOKUP($A167,'Выгр Кат'!$A:$R,F$1,0)</f>
        <v>AP 0735</v>
      </c>
      <c r="G167" s="62" t="s">
        <v>494</v>
      </c>
      <c r="H167" s="6" t="s">
        <v>3</v>
      </c>
      <c r="I167" s="94">
        <f>VLOOKUP($G167,ПРАЙС!$B:$H,5,0)</f>
        <v>1905</v>
      </c>
      <c r="J167" s="8">
        <f t="shared" si="32"/>
        <v>1.2860892388451444</v>
      </c>
      <c r="K167" s="8">
        <f>VLOOKUP($G167,ПРАЙС!$B:$H,7,0)</f>
        <v>2450</v>
      </c>
      <c r="L167" s="8">
        <f t="shared" si="33"/>
        <v>1.2860892388451444</v>
      </c>
      <c r="M167" s="9">
        <f t="shared" si="34"/>
        <v>2450</v>
      </c>
      <c r="N167" s="94">
        <f t="shared" si="35"/>
        <v>2490</v>
      </c>
      <c r="O167" s="21">
        <f>VLOOKUP($A167,'Выгр Кат'!$A:$R,O$1,0)</f>
        <v>1950</v>
      </c>
      <c r="P167" s="21">
        <f>VLOOKUP($A167,'Выгр Кат'!$A:$R,P$1,0)</f>
        <v>2490</v>
      </c>
      <c r="Q167" s="70">
        <f t="shared" si="36"/>
        <v>45</v>
      </c>
      <c r="R167" s="70">
        <f t="shared" si="37"/>
        <v>0</v>
      </c>
      <c r="S167" s="85">
        <f t="shared" si="42"/>
        <v>2365.5</v>
      </c>
      <c r="T167" s="81" t="str">
        <f>IFERROR((VLOOKUP($A167,'Из ГУГЛа'!$B:$G,6,0)+V167)*U167,VLOOKUP($A167,'Из ГУГЛа'!$B:$G,6,0))</f>
        <v/>
      </c>
      <c r="U167" s="83">
        <v>1</v>
      </c>
      <c r="V167" s="83">
        <v>0</v>
      </c>
      <c r="W167" s="48">
        <f t="shared" si="38"/>
        <v>0.24173228346456699</v>
      </c>
      <c r="X167" s="48" t="str">
        <f t="shared" si="39"/>
        <v/>
      </c>
      <c r="Y167" s="48" t="str">
        <f t="shared" si="40"/>
        <v/>
      </c>
      <c r="Z167" s="79" t="s">
        <v>927</v>
      </c>
      <c r="AB167" s="68"/>
    </row>
    <row r="168" spans="1:28" ht="61.5" thickTop="1" thickBot="1">
      <c r="A168" s="15">
        <v>274399</v>
      </c>
      <c r="B168" s="21">
        <f>VLOOKUP($A168,'Выгр Кат'!$A:$R,B$1,0)</f>
        <v>225737</v>
      </c>
      <c r="C168" s="54" t="str">
        <f>VLOOKUP($A168,'Выгр Кат'!$A:$R,C$1,0)</f>
        <v>Подрамник с жёсткими рычагами, увеличенный клиренс "AUTOPRODUCT" для Лада Калина 2, Гранта FL (после 2013 года выпуска)</v>
      </c>
      <c r="D168" s="21" t="str">
        <f>VLOOKUP($A168,'Выгр Кат'!$A:$R,D$1,0)</f>
        <v>Y</v>
      </c>
      <c r="E168" s="21" t="str">
        <f>VLOOKUP($A168,'Выгр Кат'!$A:$R,E$1,0)</f>
        <v>1</v>
      </c>
      <c r="F168" s="21" t="str">
        <f>VLOOKUP($A168,'Выгр Кат'!$A:$R,F$1,0)</f>
        <v>AP 0591</v>
      </c>
      <c r="G168" s="72" t="s">
        <v>945</v>
      </c>
      <c r="H168" s="6" t="s">
        <v>3</v>
      </c>
      <c r="I168" s="94">
        <f>VLOOKUP($G168,ПРАЙС!$B:$H,5,0)</f>
        <v>13635</v>
      </c>
      <c r="J168" s="8">
        <f t="shared" si="32"/>
        <v>1.2607260726072607</v>
      </c>
      <c r="K168" s="8">
        <f>VLOOKUP($G168,ПРАЙС!$B:$H,7,0)</f>
        <v>17190</v>
      </c>
      <c r="L168" s="8">
        <f t="shared" si="33"/>
        <v>1.2607260726072607</v>
      </c>
      <c r="M168" s="9">
        <f t="shared" si="34"/>
        <v>17190</v>
      </c>
      <c r="N168" s="94">
        <f t="shared" si="35"/>
        <v>17190</v>
      </c>
      <c r="O168" s="21">
        <f>VLOOKUP($A168,'Выгр Кат'!$A:$R,O$1,0)</f>
        <v>13635</v>
      </c>
      <c r="P168" s="21">
        <f>VLOOKUP($A168,'Выгр Кат'!$A:$R,P$1,0)</f>
        <v>17190</v>
      </c>
      <c r="Q168" s="70">
        <f t="shared" si="36"/>
        <v>0</v>
      </c>
      <c r="R168" s="70">
        <f t="shared" si="37"/>
        <v>0</v>
      </c>
      <c r="S168" s="85">
        <f t="shared" si="42"/>
        <v>16330.5</v>
      </c>
      <c r="T168" s="81" t="str">
        <f>IFERROR((VLOOKUP($A168,'Из ГУГЛа'!$B:$G,6,0)+V168)*U168,VLOOKUP($A168,'Из ГУГЛа'!$B:$G,6,0))</f>
        <v/>
      </c>
      <c r="U168" s="83">
        <v>1</v>
      </c>
      <c r="V168" s="83">
        <v>0</v>
      </c>
      <c r="W168" s="48">
        <f t="shared" si="38"/>
        <v>0.19768976897689772</v>
      </c>
      <c r="X168" s="48" t="str">
        <f t="shared" si="39"/>
        <v/>
      </c>
      <c r="Y168" s="48" t="str">
        <f t="shared" si="40"/>
        <v/>
      </c>
      <c r="Z168" s="79" t="s">
        <v>927</v>
      </c>
      <c r="AB168" s="68"/>
    </row>
    <row r="169" spans="1:28" ht="46.5" thickTop="1" thickBot="1">
      <c r="A169" s="71">
        <v>194482</v>
      </c>
      <c r="B169" s="21">
        <f>VLOOKUP($A169,'Выгр Кат'!$A:$R,B$1,0)</f>
        <v>35084</v>
      </c>
      <c r="C169" s="54" t="str">
        <f>VLOOKUP($A169,'Выгр Кат'!$A:$R,C$1,0)</f>
        <v>Подрамник "AUTOPRODUCT" поперечины передней подвески для Шевроле Нива</v>
      </c>
      <c r="D169" s="21" t="str">
        <f>VLOOKUP($A169,'Выгр Кат'!$A:$R,D$1,0)</f>
        <v>Y</v>
      </c>
      <c r="E169" s="21" t="str">
        <f>VLOOKUP($A169,'Выгр Кат'!$A:$R,E$1,0)</f>
        <v>1</v>
      </c>
      <c r="F169" s="21" t="str">
        <f>VLOOKUP($A169,'Выгр Кат'!$A:$R,F$1,0)</f>
        <v>AP 0474</v>
      </c>
      <c r="G169" s="73" t="s">
        <v>400</v>
      </c>
      <c r="H169" s="6" t="s">
        <v>3</v>
      </c>
      <c r="I169" s="92">
        <f>O169</f>
        <v>1775</v>
      </c>
      <c r="J169" s="8" t="e">
        <f t="shared" si="32"/>
        <v>#N/A</v>
      </c>
      <c r="K169" s="8" t="e">
        <f>VLOOKUP($G169,ПРАЙС!$B:$H,7,0)</f>
        <v>#N/A</v>
      </c>
      <c r="L169" s="8" t="e">
        <f t="shared" si="33"/>
        <v>#N/A</v>
      </c>
      <c r="M169" s="92">
        <f>P169</f>
        <v>2390</v>
      </c>
      <c r="N169" s="94">
        <f t="shared" si="35"/>
        <v>2390</v>
      </c>
      <c r="O169" s="21">
        <f>VLOOKUP($A169,'Выгр Кат'!$A:$R,O$1,0)</f>
        <v>1775</v>
      </c>
      <c r="P169" s="21">
        <f>VLOOKUP($A169,'Выгр Кат'!$A:$R,P$1,0)</f>
        <v>2390</v>
      </c>
      <c r="Q169" s="70">
        <f t="shared" si="36"/>
        <v>0</v>
      </c>
      <c r="R169" s="70">
        <f t="shared" si="37"/>
        <v>0</v>
      </c>
      <c r="S169" s="85">
        <f t="shared" si="42"/>
        <v>2270.5</v>
      </c>
      <c r="T169" s="81" t="str">
        <f>IFERROR((VLOOKUP($A169,'Из ГУГЛа'!$B:$G,6,0)+V169)*U169,VLOOKUP($A169,'Из ГУГЛа'!$B:$G,6,0))</f>
        <v/>
      </c>
      <c r="U169" s="83">
        <v>1</v>
      </c>
      <c r="V169" s="83">
        <v>0</v>
      </c>
      <c r="W169" s="48">
        <f t="shared" si="38"/>
        <v>0.27915492957746468</v>
      </c>
      <c r="X169" s="48" t="str">
        <f t="shared" si="39"/>
        <v/>
      </c>
      <c r="Y169" s="48" t="str">
        <f t="shared" si="40"/>
        <v/>
      </c>
      <c r="Z169" s="80"/>
      <c r="AB169" s="68"/>
    </row>
    <row r="170" spans="1:28" ht="61.5" thickTop="1" thickBot="1">
      <c r="A170" s="15">
        <v>217358</v>
      </c>
      <c r="B170" s="21">
        <f>VLOOKUP($A170,'Выгр Кат'!$A:$R,B$1,0)</f>
        <v>19578</v>
      </c>
      <c r="C170" s="54" t="str">
        <f>VLOOKUP($A170,'Выгр Кат'!$A:$R,C$1,0)</f>
        <v>Стабилизатор поперечной устойчивости 20 мм в сборе "AUTOPRODUCT" для Лада Калина, Калина 2, Гранта</v>
      </c>
      <c r="D170" s="21" t="str">
        <f>VLOOKUP($A170,'Выгр Кат'!$A:$R,D$1,0)</f>
        <v>Y</v>
      </c>
      <c r="E170" s="21" t="str">
        <f>VLOOKUP($A170,'Выгр Кат'!$A:$R,E$1,0)</f>
        <v>0</v>
      </c>
      <c r="F170" s="21" t="str">
        <f>VLOOKUP($A170,'Выгр Кат'!$A:$R,F$1,0)</f>
        <v>АР 0577</v>
      </c>
      <c r="G170" s="62" t="s">
        <v>344</v>
      </c>
      <c r="H170" s="6" t="s">
        <v>3</v>
      </c>
      <c r="I170" s="92">
        <f>O170</f>
        <v>1990</v>
      </c>
      <c r="J170" s="8" t="e">
        <f t="shared" si="32"/>
        <v>#N/A</v>
      </c>
      <c r="K170" s="8" t="e">
        <f>VLOOKUP($G170,ПРАЙС!$B:$H,7,0)</f>
        <v>#N/A</v>
      </c>
      <c r="L170" s="8" t="e">
        <f t="shared" si="33"/>
        <v>#N/A</v>
      </c>
      <c r="M170" s="92">
        <f>P170</f>
        <v>2590</v>
      </c>
      <c r="N170" s="94">
        <f t="shared" si="35"/>
        <v>2590</v>
      </c>
      <c r="O170" s="21">
        <f>VLOOKUP($A170,'Выгр Кат'!$A:$R,O$1,0)</f>
        <v>1990</v>
      </c>
      <c r="P170" s="21">
        <f>VLOOKUP($A170,'Выгр Кат'!$A:$R,P$1,0)</f>
        <v>2590</v>
      </c>
      <c r="Q170" s="70">
        <f t="shared" si="36"/>
        <v>0</v>
      </c>
      <c r="R170" s="70">
        <f t="shared" si="37"/>
        <v>0</v>
      </c>
      <c r="S170" s="85">
        <f t="shared" si="42"/>
        <v>2460.5</v>
      </c>
      <c r="T170" s="81" t="str">
        <f>IFERROR((VLOOKUP($A170,'Из ГУГЛа'!$B:$G,6,0)+V170)*U170,VLOOKUP($A170,'Из ГУГЛа'!$B:$G,6,0))</f>
        <v/>
      </c>
      <c r="U170" s="83">
        <v>1</v>
      </c>
      <c r="V170" s="83">
        <v>0</v>
      </c>
      <c r="W170" s="48">
        <f t="shared" si="38"/>
        <v>0.23643216080402008</v>
      </c>
      <c r="X170" s="48" t="str">
        <f t="shared" si="39"/>
        <v/>
      </c>
      <c r="Y170" s="48" t="str">
        <f t="shared" si="40"/>
        <v/>
      </c>
      <c r="Z170" s="79" t="s">
        <v>927</v>
      </c>
      <c r="AB170" s="13"/>
    </row>
    <row r="171" spans="1:28" ht="91.5" thickTop="1" thickBot="1">
      <c r="A171" s="15">
        <v>139226</v>
      </c>
      <c r="B171" s="21">
        <f>VLOOKUP($A171,'Выгр Кат'!$A:$R,B$1,0)</f>
        <v>19529</v>
      </c>
      <c r="C171" s="54" t="str">
        <f>VLOOKUP($A171,'Выгр Кат'!$A:$R,C$1,0)</f>
        <v>Винтовой самоблокирующийся дифференциал "AUTOPRODUCT" для ВАЗ (2108-21099, 2110-2112, 2113-2115), Лада (Калина, Калина 2, Приора, Приора 2, Гранта), Датсун (mi-Do, on-Do)</v>
      </c>
      <c r="D171" s="21" t="str">
        <f>VLOOKUP($A171,'Выгр Кат'!$A:$R,D$1,0)</f>
        <v>Y</v>
      </c>
      <c r="E171" s="21" t="str">
        <f>VLOOKUP($A171,'Выгр Кат'!$A:$R,E$1,0)</f>
        <v>1</v>
      </c>
      <c r="F171" s="21" t="str">
        <f>VLOOKUP($A171,'Выгр Кат'!$A:$R,F$1,0)</f>
        <v>АР 0029 / АР08-2303012-10</v>
      </c>
      <c r="G171" s="62" t="s">
        <v>385</v>
      </c>
      <c r="H171" s="6" t="s">
        <v>3</v>
      </c>
      <c r="I171" s="94">
        <f>VLOOKUP($G171,ПРАЙС!$B:$H,5,0)</f>
        <v>9315</v>
      </c>
      <c r="J171" s="8">
        <f t="shared" si="32"/>
        <v>1.1798174986580783</v>
      </c>
      <c r="K171" s="8">
        <f>VLOOKUP($G171,ПРАЙС!$B:$H,7,0)</f>
        <v>10990</v>
      </c>
      <c r="L171" s="8">
        <f t="shared" si="33"/>
        <v>1.22</v>
      </c>
      <c r="M171" s="9">
        <f t="shared" si="34"/>
        <v>11364.3</v>
      </c>
      <c r="N171" s="94">
        <f t="shared" si="35"/>
        <v>11390</v>
      </c>
      <c r="O171" s="21">
        <f>VLOOKUP($A171,'Выгр Кат'!$A:$R,O$1,0)</f>
        <v>9315</v>
      </c>
      <c r="P171" s="21">
        <f>VLOOKUP($A171,'Выгр Кат'!$A:$R,P$1,0)</f>
        <v>12090</v>
      </c>
      <c r="Q171" s="70">
        <f t="shared" si="36"/>
        <v>0</v>
      </c>
      <c r="R171" s="70">
        <f t="shared" si="37"/>
        <v>700</v>
      </c>
      <c r="S171" s="85">
        <f t="shared" si="42"/>
        <v>10820.5</v>
      </c>
      <c r="T171" s="81">
        <f>IFERROR((VLOOKUP($A171,'Из ГУГЛа'!$B:$G,6,0)+V171)*U171,VLOOKUP($A171,'Из ГУГЛа'!$B:$G,6,0))</f>
        <v>11590</v>
      </c>
      <c r="U171" s="83">
        <v>1</v>
      </c>
      <c r="V171" s="83">
        <v>0</v>
      </c>
      <c r="W171" s="48">
        <f t="shared" si="38"/>
        <v>0.16162104133118627</v>
      </c>
      <c r="X171" s="48">
        <f t="shared" si="39"/>
        <v>6.6393442622950813E-2</v>
      </c>
      <c r="Y171" s="48">
        <f t="shared" si="40"/>
        <v>0.24422973698336015</v>
      </c>
      <c r="Z171" s="78">
        <v>11590</v>
      </c>
      <c r="AA171" t="s">
        <v>784</v>
      </c>
      <c r="AB171" s="67">
        <v>9990</v>
      </c>
    </row>
    <row r="172" spans="1:28" ht="106.5" thickTop="1" thickBot="1">
      <c r="A172" s="9">
        <v>139228</v>
      </c>
      <c r="B172" s="21">
        <f>VLOOKUP($A172,'Выгр Кат'!$A:$R,B$1,0)</f>
        <v>17737</v>
      </c>
      <c r="C172" s="54" t="str">
        <f>VLOOKUP($A172,'Выгр Кат'!$A:$R,C$1,0)</f>
        <v>Винтовой самоблокирующийся дифференциал "AUTOPRODUCT", необслуживаемый для ВАЗ (2108-21099, 2113-2115, 2110-2112), Лада (Калина, Калина 2, Приора, Приора 2, Гранта, Ларгус, Веста), Датсун (mi-DO, on-DO)</v>
      </c>
      <c r="D172" s="21" t="str">
        <f>VLOOKUP($A172,'Выгр Кат'!$A:$R,D$1,0)</f>
        <v>Y</v>
      </c>
      <c r="E172" s="21" t="str">
        <f>VLOOKUP($A172,'Выгр Кат'!$A:$R,E$1,0)</f>
        <v>1</v>
      </c>
      <c r="F172" s="21" t="str">
        <f>VLOOKUP($A172,'Выгр Кат'!$A:$R,F$1,0)</f>
        <v>AP 0030</v>
      </c>
      <c r="G172" s="62" t="s">
        <v>387</v>
      </c>
      <c r="H172" s="6" t="s">
        <v>3</v>
      </c>
      <c r="I172" s="94">
        <f>VLOOKUP($G172,ПРАЙС!$B:$H,5,0)</f>
        <v>9315</v>
      </c>
      <c r="J172" s="8">
        <f t="shared" si="32"/>
        <v>1.1798174986580783</v>
      </c>
      <c r="K172" s="8">
        <f>VLOOKUP($G172,ПРАЙС!$B:$H,7,0)</f>
        <v>10990</v>
      </c>
      <c r="L172" s="8">
        <f t="shared" si="33"/>
        <v>1.22</v>
      </c>
      <c r="M172" s="9">
        <f t="shared" si="34"/>
        <v>11364.3</v>
      </c>
      <c r="N172" s="94">
        <f t="shared" si="35"/>
        <v>11390</v>
      </c>
      <c r="O172" s="21">
        <f>VLOOKUP($A172,'Выгр Кат'!$A:$R,O$1,0)</f>
        <v>9315</v>
      </c>
      <c r="P172" s="21">
        <f>VLOOKUP($A172,'Выгр Кат'!$A:$R,P$1,0)</f>
        <v>11790</v>
      </c>
      <c r="Q172" s="70">
        <f t="shared" si="36"/>
        <v>0</v>
      </c>
      <c r="R172" s="70">
        <f t="shared" si="37"/>
        <v>400</v>
      </c>
      <c r="S172" s="85">
        <f t="shared" si="42"/>
        <v>10820.5</v>
      </c>
      <c r="T172" s="81" t="str">
        <f>IFERROR((VLOOKUP($A172,'Из ГУГЛа'!$B:$G,6,0)+V172)*U172,VLOOKUP($A172,'Из ГУГЛа'!$B:$G,6,0))</f>
        <v/>
      </c>
      <c r="U172" s="83">
        <v>1</v>
      </c>
      <c r="V172" s="83">
        <v>0</v>
      </c>
      <c r="W172" s="48">
        <f t="shared" si="38"/>
        <v>0.16162104133118627</v>
      </c>
      <c r="X172" s="48" t="str">
        <f t="shared" si="39"/>
        <v/>
      </c>
      <c r="Y172" s="48" t="str">
        <f t="shared" si="40"/>
        <v/>
      </c>
      <c r="Z172" s="79" t="s">
        <v>927</v>
      </c>
      <c r="AB172" s="68"/>
    </row>
    <row r="173" spans="1:28" ht="61.5" thickTop="1" thickBot="1">
      <c r="A173" s="9">
        <v>139229</v>
      </c>
      <c r="B173" s="21">
        <f>VLOOKUP($A173,'Выгр Кат'!$A:$R,B$1,0)</f>
        <v>19522</v>
      </c>
      <c r="C173" s="54" t="str">
        <f>VLOOKUP($A173,'Выгр Кат'!$A:$R,C$1,0)</f>
        <v>Винтовой самоблокирующийся дифференциал (РЗМ) "AUTOPRODUCT" для ВАЗ 2101-2107, Лада Нива 4x4, Шевроле Нива</v>
      </c>
      <c r="D173" s="21" t="str">
        <f>VLOOKUP($A173,'Выгр Кат'!$A:$R,D$1,0)</f>
        <v>Y</v>
      </c>
      <c r="E173" s="21" t="str">
        <f>VLOOKUP($A173,'Выгр Кат'!$A:$R,E$1,0)</f>
        <v>1</v>
      </c>
      <c r="F173" s="21" t="str">
        <f>VLOOKUP($A173,'Выгр Кат'!$A:$R,F$1,0)</f>
        <v>АР 0005</v>
      </c>
      <c r="G173" s="7" t="s">
        <v>381</v>
      </c>
      <c r="H173" s="6" t="s">
        <v>3</v>
      </c>
      <c r="I173" s="92">
        <f>O173</f>
        <v>10160</v>
      </c>
      <c r="J173" s="8" t="e">
        <f t="shared" si="32"/>
        <v>#N/A</v>
      </c>
      <c r="K173" s="8" t="e">
        <f>VLOOKUP($G173,ПРАЙС!$B:$H,7,0)</f>
        <v>#N/A</v>
      </c>
      <c r="L173" s="8" t="e">
        <f t="shared" si="33"/>
        <v>#N/A</v>
      </c>
      <c r="M173" s="92">
        <f>P173</f>
        <v>13190</v>
      </c>
      <c r="N173" s="94">
        <f t="shared" si="35"/>
        <v>13190</v>
      </c>
      <c r="O173" s="21">
        <f>VLOOKUP($A173,'Выгр Кат'!$A:$R,O$1,0)</f>
        <v>10160</v>
      </c>
      <c r="P173" s="21">
        <f>VLOOKUP($A173,'Выгр Кат'!$A:$R,P$1,0)</f>
        <v>13190</v>
      </c>
      <c r="Q173" s="70">
        <f t="shared" si="36"/>
        <v>0</v>
      </c>
      <c r="R173" s="70">
        <f t="shared" si="37"/>
        <v>0</v>
      </c>
      <c r="S173" s="85">
        <f t="shared" si="42"/>
        <v>12530.5</v>
      </c>
      <c r="T173" s="81">
        <f>IFERROR((VLOOKUP($A173,'Из ГУГЛа'!$B:$G,6,0)+V173)*U173,VLOOKUP($A173,'Из ГУГЛа'!$B:$G,6,0))</f>
        <v>12690</v>
      </c>
      <c r="U173" s="83">
        <v>1</v>
      </c>
      <c r="V173" s="83">
        <v>0</v>
      </c>
      <c r="W173" s="48">
        <f t="shared" si="38"/>
        <v>0.23331692913385838</v>
      </c>
      <c r="X173" s="48">
        <f t="shared" si="39"/>
        <v>1.2568951930654059E-2</v>
      </c>
      <c r="Y173" s="48">
        <f t="shared" si="40"/>
        <v>0.24901574803149606</v>
      </c>
      <c r="Z173" s="78">
        <v>12690</v>
      </c>
      <c r="AA173" t="s">
        <v>783</v>
      </c>
      <c r="AB173" s="67">
        <v>10990</v>
      </c>
    </row>
    <row r="174" spans="1:28" ht="61.5" thickTop="1" thickBot="1">
      <c r="A174" s="9">
        <v>139230</v>
      </c>
      <c r="B174" s="21">
        <f>VLOOKUP($A174,'Выгр Кат'!$A:$R,B$1,0)</f>
        <v>19523</v>
      </c>
      <c r="C174" s="54" t="str">
        <f>VLOOKUP($A174,'Выгр Кат'!$A:$R,C$1,0)</f>
        <v>Винтовой самоблокирующийся дифференциал (РПМ) "AUTOPRODUCT" для Лада Нива 4x4, Шевроле Нива</v>
      </c>
      <c r="D174" s="21" t="str">
        <f>VLOOKUP($A174,'Выгр Кат'!$A:$R,D$1,0)</f>
        <v>Y</v>
      </c>
      <c r="E174" s="21" t="str">
        <f>VLOOKUP($A174,'Выгр Кат'!$A:$R,E$1,0)</f>
        <v>1</v>
      </c>
      <c r="F174" s="21" t="str">
        <f>VLOOKUP($A174,'Выгр Кат'!$A:$R,F$1,0)</f>
        <v>АР 0006</v>
      </c>
      <c r="G174" s="51" t="s">
        <v>382</v>
      </c>
      <c r="H174" s="6" t="s">
        <v>3</v>
      </c>
      <c r="I174" s="94">
        <f>VLOOKUP($G174,ПРАЙС!$B:$H,5,0)</f>
        <v>10160</v>
      </c>
      <c r="J174" s="8">
        <f t="shared" si="32"/>
        <v>1.1801181102362204</v>
      </c>
      <c r="K174" s="8">
        <f>VLOOKUP($G174,ПРАЙС!$B:$H,7,0)</f>
        <v>11990</v>
      </c>
      <c r="L174" s="8">
        <f t="shared" si="33"/>
        <v>1.22</v>
      </c>
      <c r="M174" s="9">
        <f>I174*L174</f>
        <v>12395.199999999999</v>
      </c>
      <c r="N174" s="94">
        <f t="shared" si="35"/>
        <v>12390</v>
      </c>
      <c r="O174" s="21">
        <f>VLOOKUP($A174,'Выгр Кат'!$A:$R,O$1,0)</f>
        <v>10160</v>
      </c>
      <c r="P174" s="21">
        <f>VLOOKUP($A174,'Выгр Кат'!$A:$R,P$1,0)</f>
        <v>12890</v>
      </c>
      <c r="Q174" s="70">
        <f t="shared" si="36"/>
        <v>0</v>
      </c>
      <c r="R174" s="70">
        <f t="shared" si="37"/>
        <v>500</v>
      </c>
      <c r="S174" s="85">
        <f t="shared" si="42"/>
        <v>11770.5</v>
      </c>
      <c r="T174" s="81" t="str">
        <f>IFERROR((VLOOKUP($A174,'Из ГУГЛа'!$B:$G,6,0)+V174)*U174,VLOOKUP($A174,'Из ГУГЛа'!$B:$G,6,0))</f>
        <v/>
      </c>
      <c r="U174" s="83">
        <v>1</v>
      </c>
      <c r="V174" s="83">
        <v>0</v>
      </c>
      <c r="W174" s="48">
        <f t="shared" si="38"/>
        <v>0.15851377952755907</v>
      </c>
      <c r="X174" s="48" t="str">
        <f t="shared" si="39"/>
        <v/>
      </c>
      <c r="Y174" s="48" t="str">
        <f t="shared" si="40"/>
        <v/>
      </c>
      <c r="Z174" s="79" t="s">
        <v>927</v>
      </c>
      <c r="AB174" s="13"/>
    </row>
    <row r="175" spans="1:28" ht="61.5" thickTop="1" thickBot="1">
      <c r="A175" s="14">
        <v>139227</v>
      </c>
      <c r="B175" s="21">
        <f>VLOOKUP($A175,'Выгр Кат'!$A:$R,B$1,0)</f>
        <v>35076</v>
      </c>
      <c r="C175" s="54" t="str">
        <f>VLOOKUP($A175,'Выгр Кат'!$A:$R,C$1,0)</f>
        <v>Винтовой самоблокирующийся дифференциал "AUTOPRODUCT" необслуживаемый для Лада Нива 4х4, Шевроле Нива</v>
      </c>
      <c r="D175" s="21" t="str">
        <f>VLOOKUP($A175,'Выгр Кат'!$A:$R,D$1,0)</f>
        <v>Y</v>
      </c>
      <c r="E175" s="21" t="str">
        <f>VLOOKUP($A175,'Выгр Кат'!$A:$R,E$1,0)</f>
        <v>1</v>
      </c>
      <c r="F175" s="21" t="str">
        <f>VLOOKUP($A175,'Выгр Кат'!$A:$R,F$1,0)</f>
        <v>AP 0007</v>
      </c>
      <c r="G175" s="74" t="s">
        <v>446</v>
      </c>
      <c r="H175" s="6" t="s">
        <v>3</v>
      </c>
      <c r="I175" s="92">
        <f>O175</f>
        <v>10160</v>
      </c>
      <c r="J175" s="8" t="e">
        <f t="shared" si="32"/>
        <v>#N/A</v>
      </c>
      <c r="K175" s="8" t="e">
        <f>VLOOKUP($G175,ПРАЙС!$B:$H,7,0)</f>
        <v>#N/A</v>
      </c>
      <c r="L175" s="8" t="e">
        <f t="shared" si="33"/>
        <v>#N/A</v>
      </c>
      <c r="M175" s="92">
        <f>P175</f>
        <v>13190</v>
      </c>
      <c r="N175" s="94">
        <f t="shared" si="35"/>
        <v>13190</v>
      </c>
      <c r="O175" s="21">
        <f>VLOOKUP($A175,'Выгр Кат'!$A:$R,O$1,0)</f>
        <v>10160</v>
      </c>
      <c r="P175" s="21">
        <f>VLOOKUP($A175,'Выгр Кат'!$A:$R,P$1,0)</f>
        <v>13190</v>
      </c>
      <c r="Q175" s="70">
        <f t="shared" si="36"/>
        <v>0</v>
      </c>
      <c r="R175" s="70">
        <f t="shared" si="37"/>
        <v>0</v>
      </c>
      <c r="S175" s="85">
        <f t="shared" si="42"/>
        <v>12530.5</v>
      </c>
      <c r="T175" s="81">
        <f>IFERROR((VLOOKUP($A175,'Из ГУГЛа'!$B:$G,6,0)+V175)*U175,VLOOKUP($A175,'Из ГУГЛа'!$B:$G,6,0))</f>
        <v>12690</v>
      </c>
      <c r="U175" s="83">
        <v>1</v>
      </c>
      <c r="V175" s="83">
        <v>0</v>
      </c>
      <c r="W175" s="48">
        <f t="shared" si="38"/>
        <v>0.23331692913385838</v>
      </c>
      <c r="X175" s="48">
        <f t="shared" si="39"/>
        <v>1.2568951930654059E-2</v>
      </c>
      <c r="Y175" s="48">
        <f t="shared" si="40"/>
        <v>0.24901574803149606</v>
      </c>
      <c r="Z175" s="78">
        <v>12690</v>
      </c>
      <c r="AA175" t="s">
        <v>903</v>
      </c>
      <c r="AB175" s="13"/>
    </row>
    <row r="176" spans="1:28" ht="76.5" thickTop="1" thickBot="1">
      <c r="A176" s="9">
        <v>204518</v>
      </c>
      <c r="B176" s="21">
        <f>VLOOKUP($A176,'Выгр Кат'!$A:$R,B$1,0)</f>
        <v>31869</v>
      </c>
      <c r="C176" s="54" t="str">
        <f>VLOOKUP($A176,'Выгр Кат'!$A:$R,C$1,0)</f>
        <v>Ремонтный комплект регулируемых передних рычагов "AUTOPRODUCT" для ВАЗ (2108-21099, 2110-2112, 2113-2115), Лада (Приора, Калина, Гранта), Datsun (mi-DO, on-DO)</v>
      </c>
      <c r="D176" s="21" t="str">
        <f>VLOOKUP($A176,'Выгр Кат'!$A:$R,D$1,0)</f>
        <v>Y</v>
      </c>
      <c r="E176" s="21" t="str">
        <f>VLOOKUP($A176,'Выгр Кат'!$A:$R,E$1,0)</f>
        <v>0</v>
      </c>
      <c r="F176" s="21" t="str">
        <f>VLOOKUP($A176,'Выгр Кат'!$A:$R,F$1,0)</f>
        <v>AP 0439</v>
      </c>
      <c r="G176" s="51" t="s">
        <v>341</v>
      </c>
      <c r="H176" s="6" t="s">
        <v>3</v>
      </c>
      <c r="I176" s="92">
        <f t="shared" ref="I176:I212" si="46">O176</f>
        <v>1050</v>
      </c>
      <c r="J176" s="8" t="e">
        <f t="shared" si="32"/>
        <v>#N/A</v>
      </c>
      <c r="K176" s="8" t="e">
        <f>VLOOKUP($G176,ПРАЙС!$B:$H,7,0)</f>
        <v>#N/A</v>
      </c>
      <c r="L176" s="8" t="e">
        <f t="shared" si="33"/>
        <v>#N/A</v>
      </c>
      <c r="M176" s="92">
        <f t="shared" ref="M176:M212" si="47">P176</f>
        <v>1490</v>
      </c>
      <c r="N176" s="94">
        <f t="shared" si="35"/>
        <v>1490</v>
      </c>
      <c r="O176" s="21">
        <f>VLOOKUP($A176,'Выгр Кат'!$A:$R,O$1,0)</f>
        <v>1050</v>
      </c>
      <c r="P176" s="21">
        <f>VLOOKUP($A176,'Выгр Кат'!$A:$R,P$1,0)</f>
        <v>1490</v>
      </c>
      <c r="Q176" s="70">
        <f t="shared" si="36"/>
        <v>0</v>
      </c>
      <c r="R176" s="70">
        <f t="shared" si="37"/>
        <v>0</v>
      </c>
      <c r="S176" s="85">
        <f t="shared" si="42"/>
        <v>1415.5</v>
      </c>
      <c r="T176" s="81">
        <f>IFERROR((VLOOKUP($A176,'Из ГУГЛа'!$B:$G,6,0)+V176)*U176,VLOOKUP($A176,'Из ГУГЛа'!$B:$G,6,0))</f>
        <v>1490</v>
      </c>
      <c r="U176" s="83">
        <v>1</v>
      </c>
      <c r="V176" s="83">
        <v>0</v>
      </c>
      <c r="W176" s="48">
        <f t="shared" si="38"/>
        <v>0.34809523809523801</v>
      </c>
      <c r="X176" s="48">
        <f t="shared" si="39"/>
        <v>0.05</v>
      </c>
      <c r="Y176" s="48">
        <f t="shared" si="40"/>
        <v>0.41904761904761911</v>
      </c>
      <c r="Z176" s="78">
        <v>1490</v>
      </c>
      <c r="AA176" t="s">
        <v>865</v>
      </c>
      <c r="AB176" s="13"/>
    </row>
    <row r="177" spans="1:28" ht="46.5" thickTop="1" thickBot="1">
      <c r="A177" s="9">
        <v>202999</v>
      </c>
      <c r="B177" s="21">
        <f>VLOOKUP($A177,'Выгр Кат'!$A:$R,B$1,0)</f>
        <v>19556</v>
      </c>
      <c r="C177" s="54" t="str">
        <f>VLOOKUP($A177,'Выгр Кат'!$A:$R,C$1,0)</f>
        <v>Растяжка передних стоек "AUTOPRODUCT" для Лада Калина NFR (СНТО С ПРОИЗВОДСТВА)</v>
      </c>
      <c r="D177" s="21" t="str">
        <f>VLOOKUP($A177,'Выгр Кат'!$A:$R,D$1,0)</f>
        <v>N</v>
      </c>
      <c r="E177" s="21" t="str">
        <f>VLOOKUP($A177,'Выгр Кат'!$A:$R,E$1,0)</f>
        <v>1</v>
      </c>
      <c r="F177" s="21" t="str">
        <f>VLOOKUP($A177,'Выгр Кат'!$A:$R,F$1,0)</f>
        <v>АР 0423</v>
      </c>
      <c r="G177" s="7" t="s">
        <v>396</v>
      </c>
      <c r="H177" s="6" t="s">
        <v>3</v>
      </c>
      <c r="I177" s="92">
        <f t="shared" si="46"/>
        <v>935</v>
      </c>
      <c r="J177" s="8" t="e">
        <f t="shared" si="32"/>
        <v>#N/A</v>
      </c>
      <c r="K177" s="8" t="e">
        <f>VLOOKUP($G177,ПРАЙС!$B:$H,7,0)</f>
        <v>#N/A</v>
      </c>
      <c r="L177" s="8" t="e">
        <f t="shared" si="33"/>
        <v>#N/A</v>
      </c>
      <c r="M177" s="92">
        <f>P177</f>
        <v>1290</v>
      </c>
      <c r="N177" s="94">
        <f t="shared" si="35"/>
        <v>1290</v>
      </c>
      <c r="O177" s="21">
        <f>VLOOKUP($A177,'Выгр Кат'!$A:$R,O$1,0)</f>
        <v>935</v>
      </c>
      <c r="P177" s="21">
        <f>VLOOKUP($A177,'Выгр Кат'!$A:$R,P$1,0)</f>
        <v>1290</v>
      </c>
      <c r="Q177" s="70">
        <f t="shared" si="36"/>
        <v>0</v>
      </c>
      <c r="R177" s="70">
        <f t="shared" si="37"/>
        <v>0</v>
      </c>
      <c r="S177" s="85">
        <f t="shared" si="42"/>
        <v>1225.5</v>
      </c>
      <c r="T177" s="81" t="str">
        <f>IFERROR((VLOOKUP($A177,'Из ГУГЛа'!$B:$G,6,0)+V177)*U177,VLOOKUP($A177,'Из ГУГЛа'!$B:$G,6,0))</f>
        <v/>
      </c>
      <c r="U177" s="83">
        <v>1</v>
      </c>
      <c r="V177" s="83">
        <v>0</v>
      </c>
      <c r="W177" s="48">
        <f t="shared" si="38"/>
        <v>0.31069518716577549</v>
      </c>
      <c r="X177" s="48" t="str">
        <f t="shared" si="39"/>
        <v/>
      </c>
      <c r="Y177" s="48" t="str">
        <f t="shared" si="40"/>
        <v/>
      </c>
      <c r="Z177" s="79" t="s">
        <v>927</v>
      </c>
      <c r="AB177" s="13"/>
    </row>
    <row r="178" spans="1:28" ht="46.5" thickTop="1" thickBot="1">
      <c r="A178" s="9">
        <v>170839</v>
      </c>
      <c r="B178" s="21">
        <f>VLOOKUP($A178,'Выгр Кат'!$A:$R,B$1,0)</f>
        <v>19592</v>
      </c>
      <c r="C178" s="54" t="str">
        <f>VLOOKUP($A178,'Выгр Кат'!$A:$R,C$1,0)</f>
        <v>Накладки педалей нержавейка "AUTOPRODUCT" (MT) для Лада XRAY, Renault Logan 2</v>
      </c>
      <c r="D178" s="21" t="str">
        <f>VLOOKUP($A178,'Выгр Кат'!$A:$R,D$1,0)</f>
        <v>Y</v>
      </c>
      <c r="E178" s="21" t="str">
        <f>VLOOKUP($A178,'Выгр Кат'!$A:$R,E$1,0)</f>
        <v>0</v>
      </c>
      <c r="F178" s="21" t="str">
        <f>VLOOKUP($A178,'Выгр Кат'!$A:$R,F$1,0)</f>
        <v>АР 0700</v>
      </c>
      <c r="G178" s="7" t="s">
        <v>278</v>
      </c>
      <c r="H178" s="6" t="s">
        <v>3</v>
      </c>
      <c r="I178" s="92">
        <f t="shared" si="46"/>
        <v>1700</v>
      </c>
      <c r="J178" s="8" t="e">
        <f t="shared" si="32"/>
        <v>#N/A</v>
      </c>
      <c r="K178" s="8" t="e">
        <f>VLOOKUP($G178,ПРАЙС!$B:$H,7,0)</f>
        <v>#N/A</v>
      </c>
      <c r="L178" s="8" t="e">
        <f t="shared" si="33"/>
        <v>#N/A</v>
      </c>
      <c r="M178" s="92">
        <f t="shared" si="47"/>
        <v>2390</v>
      </c>
      <c r="N178" s="94">
        <f t="shared" si="35"/>
        <v>2390</v>
      </c>
      <c r="O178" s="21">
        <f>VLOOKUP($A178,'Выгр Кат'!$A:$R,O$1,0)</f>
        <v>1700</v>
      </c>
      <c r="P178" s="21">
        <f>VLOOKUP($A178,'Выгр Кат'!$A:$R,P$1,0)</f>
        <v>2390</v>
      </c>
      <c r="Q178" s="70">
        <f t="shared" si="36"/>
        <v>0</v>
      </c>
      <c r="R178" s="70">
        <f t="shared" si="37"/>
        <v>0</v>
      </c>
      <c r="S178" s="85">
        <f t="shared" si="42"/>
        <v>2270.5</v>
      </c>
      <c r="T178" s="81">
        <f>IFERROR((VLOOKUP($A178,'Из ГУГЛа'!$B:$G,6,0)+V178)*U178,VLOOKUP($A178,'Из ГУГЛа'!$B:$G,6,0))</f>
        <v>2290</v>
      </c>
      <c r="U178" s="83">
        <v>1</v>
      </c>
      <c r="V178" s="83">
        <v>0</v>
      </c>
      <c r="W178" s="48">
        <f t="shared" si="38"/>
        <v>0.33558823529411774</v>
      </c>
      <c r="X178" s="48">
        <f t="shared" si="39"/>
        <v>8.5152838427947596E-3</v>
      </c>
      <c r="Y178" s="48">
        <f t="shared" si="40"/>
        <v>0.34705882352941186</v>
      </c>
      <c r="Z178" s="78">
        <v>2290</v>
      </c>
      <c r="AA178" t="s">
        <v>830</v>
      </c>
      <c r="AB178" s="67">
        <v>2090</v>
      </c>
    </row>
    <row r="179" spans="1:28" ht="46.5" thickTop="1" thickBot="1">
      <c r="A179" s="9">
        <v>201573</v>
      </c>
      <c r="B179" s="21">
        <f>VLOOKUP($A179,'Выгр Кат'!$A:$R,B$1,0)</f>
        <v>19526</v>
      </c>
      <c r="C179" s="54" t="str">
        <f>VLOOKUP($A179,'Выгр Кат'!$A:$R,C$1,0)</f>
        <v>Промежуточный вал привода колеса "AUTOPRODUCT" для ВАЗ 2108-21099, 2113-2115</v>
      </c>
      <c r="D179" s="21" t="str">
        <f>VLOOKUP($A179,'Выгр Кат'!$A:$R,D$1,0)</f>
        <v>Y</v>
      </c>
      <c r="E179" s="21" t="str">
        <f>VLOOKUP($A179,'Выгр Кат'!$A:$R,E$1,0)</f>
        <v>0</v>
      </c>
      <c r="F179" s="21" t="str">
        <f>VLOOKUP($A179,'Выгр Кат'!$A:$R,F$1,0)</f>
        <v>АР 0025 / АР08-2215090</v>
      </c>
      <c r="G179" s="7" t="s">
        <v>507</v>
      </c>
      <c r="H179" s="6" t="s">
        <v>3</v>
      </c>
      <c r="I179" s="92">
        <f t="shared" si="46"/>
        <v>7990</v>
      </c>
      <c r="J179" s="8" t="e">
        <f t="shared" si="32"/>
        <v>#N/A</v>
      </c>
      <c r="K179" s="8" t="e">
        <f>VLOOKUP($G179,ПРАЙС!$B:$H,7,0)</f>
        <v>#N/A</v>
      </c>
      <c r="L179" s="8" t="e">
        <f t="shared" si="33"/>
        <v>#N/A</v>
      </c>
      <c r="M179" s="92">
        <f t="shared" si="47"/>
        <v>10790</v>
      </c>
      <c r="N179" s="94">
        <f t="shared" si="35"/>
        <v>10790</v>
      </c>
      <c r="O179" s="21">
        <f>VLOOKUP($A179,'Выгр Кат'!$A:$R,O$1,0)</f>
        <v>7990</v>
      </c>
      <c r="P179" s="21">
        <f>VLOOKUP($A179,'Выгр Кат'!$A:$R,P$1,0)</f>
        <v>10790</v>
      </c>
      <c r="Q179" s="70">
        <f t="shared" si="36"/>
        <v>0</v>
      </c>
      <c r="R179" s="70">
        <f t="shared" si="37"/>
        <v>0</v>
      </c>
      <c r="S179" s="85">
        <f t="shared" si="42"/>
        <v>10250.5</v>
      </c>
      <c r="T179" s="81" t="str">
        <f>IFERROR((VLOOKUP($A179,'Из ГУГЛа'!$B:$G,6,0)+V179)*U179,VLOOKUP($A179,'Из ГУГЛа'!$B:$G,6,0))</f>
        <v/>
      </c>
      <c r="U179" s="83">
        <v>1</v>
      </c>
      <c r="V179" s="83">
        <v>0</v>
      </c>
      <c r="W179" s="48">
        <f t="shared" si="38"/>
        <v>0.28291614518147679</v>
      </c>
      <c r="X179" s="48" t="str">
        <f t="shared" si="39"/>
        <v/>
      </c>
      <c r="Y179" s="48" t="str">
        <f t="shared" si="40"/>
        <v/>
      </c>
      <c r="Z179" s="79" t="s">
        <v>927</v>
      </c>
      <c r="AB179" s="13"/>
    </row>
    <row r="180" spans="1:28" ht="46.5" thickTop="1" thickBot="1">
      <c r="A180" s="9">
        <v>201574</v>
      </c>
      <c r="B180" s="21">
        <f>VLOOKUP($A180,'Выгр Кат'!$A:$R,B$1,0)</f>
        <v>19544</v>
      </c>
      <c r="C180" s="54" t="str">
        <f>VLOOKUP($A180,'Выгр Кат'!$A:$R,C$1,0)</f>
        <v>Промежуточный вал привода колеса "AUTOPRODUCT" для ВАЗ 2110-2112, Лада (Приора, Приора 2)</v>
      </c>
      <c r="D180" s="21" t="str">
        <f>VLOOKUP($A180,'Выгр Кат'!$A:$R,D$1,0)</f>
        <v>Y</v>
      </c>
      <c r="E180" s="21" t="str">
        <f>VLOOKUP($A180,'Выгр Кат'!$A:$R,E$1,0)</f>
        <v>0</v>
      </c>
      <c r="F180" s="21" t="str">
        <f>VLOOKUP($A180,'Выгр Кат'!$A:$R,F$1,0)</f>
        <v>АР 0155 / АР10-2215090</v>
      </c>
      <c r="G180" s="7" t="s">
        <v>512</v>
      </c>
      <c r="H180" s="6" t="s">
        <v>3</v>
      </c>
      <c r="I180" s="92">
        <f t="shared" si="46"/>
        <v>7990</v>
      </c>
      <c r="J180" s="8" t="e">
        <f t="shared" si="32"/>
        <v>#N/A</v>
      </c>
      <c r="K180" s="8" t="e">
        <f>VLOOKUP($G180,ПРАЙС!$B:$H,7,0)</f>
        <v>#N/A</v>
      </c>
      <c r="L180" s="8" t="e">
        <f t="shared" si="33"/>
        <v>#N/A</v>
      </c>
      <c r="M180" s="92">
        <f t="shared" si="47"/>
        <v>10790</v>
      </c>
      <c r="N180" s="94">
        <f t="shared" si="35"/>
        <v>10790</v>
      </c>
      <c r="O180" s="21">
        <f>VLOOKUP($A180,'Выгр Кат'!$A:$R,O$1,0)</f>
        <v>7990</v>
      </c>
      <c r="P180" s="21">
        <f>VLOOKUP($A180,'Выгр Кат'!$A:$R,P$1,0)</f>
        <v>10790</v>
      </c>
      <c r="Q180" s="70">
        <f t="shared" si="36"/>
        <v>0</v>
      </c>
      <c r="R180" s="70">
        <f t="shared" si="37"/>
        <v>0</v>
      </c>
      <c r="S180" s="85">
        <f t="shared" si="42"/>
        <v>10250.5</v>
      </c>
      <c r="T180" s="81" t="str">
        <f>IFERROR((VLOOKUP($A180,'Из ГУГЛа'!$B:$G,6,0)+V180)*U180,VLOOKUP($A180,'Из ГУГЛа'!$B:$G,6,0))</f>
        <v/>
      </c>
      <c r="U180" s="83">
        <v>1</v>
      </c>
      <c r="V180" s="83">
        <v>0</v>
      </c>
      <c r="W180" s="48">
        <f t="shared" si="38"/>
        <v>0.28291614518147679</v>
      </c>
      <c r="X180" s="48" t="str">
        <f t="shared" si="39"/>
        <v/>
      </c>
      <c r="Y180" s="48" t="str">
        <f t="shared" si="40"/>
        <v/>
      </c>
      <c r="Z180" s="79" t="s">
        <v>927</v>
      </c>
      <c r="AB180" s="13"/>
    </row>
    <row r="181" spans="1:28" ht="60.75" thickTop="1">
      <c r="A181" s="9">
        <v>144233</v>
      </c>
      <c r="B181" s="21">
        <f>VLOOKUP($A181,'Выгр Кат'!$A:$R,B$1,0)</f>
        <v>19521</v>
      </c>
      <c r="C181" s="54" t="str">
        <f>VLOOKUP($A181,'Выгр Кат'!$A:$R,C$1,0)</f>
        <v>Дисковый самоблокирующийся дифференциал (РЗМ) "AUTOPRODUCT" для ВАЗ 2104-2107, Лада Нива 4x4, Шевроле Нива</v>
      </c>
      <c r="D181" s="21" t="str">
        <f>VLOOKUP($A181,'Выгр Кат'!$A:$R,D$1,0)</f>
        <v>Y</v>
      </c>
      <c r="E181" s="21" t="str">
        <f>VLOOKUP($A181,'Выгр Кат'!$A:$R,E$1,0)</f>
        <v>0</v>
      </c>
      <c r="F181" s="21" t="str">
        <f>VLOOKUP($A181,'Выгр Кат'!$A:$R,F$1,0)</f>
        <v>АР 0004 / АР01-2303012-05</v>
      </c>
      <c r="G181" s="7" t="s">
        <v>506</v>
      </c>
      <c r="H181" s="6" t="s">
        <v>3</v>
      </c>
      <c r="I181" s="92">
        <f t="shared" si="46"/>
        <v>12095</v>
      </c>
      <c r="J181" s="8" t="e">
        <f t="shared" si="32"/>
        <v>#N/A</v>
      </c>
      <c r="K181" s="8" t="e">
        <f>VLOOKUP($G181,ПРАЙС!$B:$H,7,0)</f>
        <v>#N/A</v>
      </c>
      <c r="L181" s="8" t="e">
        <f t="shared" si="33"/>
        <v>#N/A</v>
      </c>
      <c r="M181" s="92">
        <f t="shared" si="47"/>
        <v>15190</v>
      </c>
      <c r="N181" s="94">
        <f t="shared" si="35"/>
        <v>15190</v>
      </c>
      <c r="O181" s="21">
        <f>VLOOKUP($A181,'Выгр Кат'!$A:$R,O$1,0)</f>
        <v>12095</v>
      </c>
      <c r="P181" s="21">
        <f>VLOOKUP($A181,'Выгр Кат'!$A:$R,P$1,0)</f>
        <v>15190</v>
      </c>
      <c r="Q181" s="70">
        <f t="shared" si="36"/>
        <v>0</v>
      </c>
      <c r="R181" s="70">
        <f t="shared" si="37"/>
        <v>0</v>
      </c>
      <c r="S181" s="85">
        <f t="shared" si="42"/>
        <v>14430.5</v>
      </c>
      <c r="T181" s="81" t="str">
        <f>IFERROR((VLOOKUP($A181,'Из ГУГЛа'!$B:$G,6,0)+V181)*U181,VLOOKUP($A181,'Из ГУГЛа'!$B:$G,6,0))</f>
        <v/>
      </c>
      <c r="U181" s="83">
        <v>1</v>
      </c>
      <c r="V181" s="83">
        <v>0</v>
      </c>
      <c r="W181" s="48">
        <f t="shared" si="38"/>
        <v>0.19309632079371641</v>
      </c>
      <c r="X181" s="48" t="str">
        <f t="shared" si="39"/>
        <v/>
      </c>
      <c r="Y181" s="48" t="str">
        <f t="shared" si="40"/>
        <v/>
      </c>
      <c r="Z181" s="80"/>
      <c r="AB181" s="13"/>
    </row>
    <row r="182" spans="1:28" ht="90">
      <c r="A182" s="9">
        <v>144229</v>
      </c>
      <c r="B182" s="21">
        <f>VLOOKUP($A182,'Выгр Кат'!$A:$R,B$1,0)</f>
        <v>19527</v>
      </c>
      <c r="C182" s="54" t="str">
        <f>VLOOKUP($A182,'Выгр Кат'!$A:$R,C$1,0)</f>
        <v>Дисковый дифференциал повышенного трения "AUTOPRODUCT" для ВАЗ (2108-21099, 2110-2112, 2113-2115), Лада (Приора, Гранта, Калина, Калина 2), Датсун (mi-DO, on-DO)</v>
      </c>
      <c r="D182" s="21" t="str">
        <f>VLOOKUP($A182,'Выгр Кат'!$A:$R,D$1,0)</f>
        <v>Y</v>
      </c>
      <c r="E182" s="21" t="str">
        <f>VLOOKUP($A182,'Выгр Кат'!$A:$R,E$1,0)</f>
        <v>0</v>
      </c>
      <c r="F182" s="21" t="str">
        <f>VLOOKUP($A182,'Выгр Кат'!$A:$R,F$1,0)</f>
        <v>АР 0027 / АР08-2303012</v>
      </c>
      <c r="G182" s="7" t="s">
        <v>508</v>
      </c>
      <c r="H182" s="6" t="s">
        <v>3</v>
      </c>
      <c r="I182" s="92">
        <f t="shared" si="46"/>
        <v>10825</v>
      </c>
      <c r="J182" s="8" t="e">
        <f t="shared" si="32"/>
        <v>#N/A</v>
      </c>
      <c r="K182" s="8" t="e">
        <f>VLOOKUP($G182,ПРАЙС!$B:$H,7,0)</f>
        <v>#N/A</v>
      </c>
      <c r="L182" s="8" t="e">
        <f t="shared" si="33"/>
        <v>#N/A</v>
      </c>
      <c r="M182" s="92">
        <f t="shared" si="47"/>
        <v>13590</v>
      </c>
      <c r="N182" s="94">
        <f t="shared" si="35"/>
        <v>13590</v>
      </c>
      <c r="O182" s="21">
        <f>VLOOKUP($A182,'Выгр Кат'!$A:$R,O$1,0)</f>
        <v>10825</v>
      </c>
      <c r="P182" s="21">
        <f>VLOOKUP($A182,'Выгр Кат'!$A:$R,P$1,0)</f>
        <v>13590</v>
      </c>
      <c r="Q182" s="70">
        <f t="shared" si="36"/>
        <v>0</v>
      </c>
      <c r="R182" s="70">
        <f t="shared" si="37"/>
        <v>0</v>
      </c>
      <c r="S182" s="85">
        <f t="shared" si="42"/>
        <v>12910.5</v>
      </c>
      <c r="T182" s="81" t="str">
        <f>IFERROR((VLOOKUP($A182,'Из ГУГЛа'!$B:$G,6,0)+V182)*U182,VLOOKUP($A182,'Из ГУГЛа'!$B:$G,6,0))</f>
        <v/>
      </c>
      <c r="U182" s="83">
        <v>1</v>
      </c>
      <c r="V182" s="83">
        <v>0</v>
      </c>
      <c r="W182" s="48">
        <f t="shared" si="38"/>
        <v>0.19265588914549658</v>
      </c>
      <c r="X182" s="48" t="str">
        <f t="shared" si="39"/>
        <v/>
      </c>
      <c r="Y182" s="48" t="str">
        <f t="shared" si="40"/>
        <v/>
      </c>
      <c r="Z182" s="80"/>
      <c r="AB182" s="13"/>
    </row>
    <row r="183" spans="1:28" ht="75">
      <c r="A183" s="9">
        <v>144230</v>
      </c>
      <c r="B183" s="21">
        <f>VLOOKUP($A183,'Выгр Кат'!$A:$R,B$1,0)</f>
        <v>19528</v>
      </c>
      <c r="C183" s="54" t="str">
        <f>VLOOKUP($A183,'Выгр Кат'!$A:$R,C$1,0)</f>
        <v>Дисковый самоблокирующийся дифференциал "AUTOPRODUCT" для ВАЗ (2108-21099, 2110-2112, 2113-2115), Лада (Приора, Гранта, Калина, Калина 2)</v>
      </c>
      <c r="D183" s="21" t="str">
        <f>VLOOKUP($A183,'Выгр Кат'!$A:$R,D$1,0)</f>
        <v>Y</v>
      </c>
      <c r="E183" s="21" t="str">
        <f>VLOOKUP($A183,'Выгр Кат'!$A:$R,E$1,0)</f>
        <v>0</v>
      </c>
      <c r="F183" s="21" t="str">
        <f>VLOOKUP($A183,'Выгр Кат'!$A:$R,F$1,0)</f>
        <v>АР 0028 / АР08-2303012-05</v>
      </c>
      <c r="G183" s="7" t="s">
        <v>509</v>
      </c>
      <c r="H183" s="6" t="s">
        <v>3</v>
      </c>
      <c r="I183" s="92">
        <f t="shared" si="46"/>
        <v>12035</v>
      </c>
      <c r="J183" s="8" t="e">
        <f t="shared" si="32"/>
        <v>#N/A</v>
      </c>
      <c r="K183" s="8" t="e">
        <f>VLOOKUP($G183,ПРАЙС!$B:$H,7,0)</f>
        <v>#N/A</v>
      </c>
      <c r="L183" s="8" t="e">
        <f t="shared" si="33"/>
        <v>#N/A</v>
      </c>
      <c r="M183" s="92">
        <f t="shared" si="47"/>
        <v>15090</v>
      </c>
      <c r="N183" s="94">
        <f t="shared" si="35"/>
        <v>15090</v>
      </c>
      <c r="O183" s="21">
        <f>VLOOKUP($A183,'Выгр Кат'!$A:$R,O$1,0)</f>
        <v>12035</v>
      </c>
      <c r="P183" s="21">
        <f>VLOOKUP($A183,'Выгр Кат'!$A:$R,P$1,0)</f>
        <v>15090</v>
      </c>
      <c r="Q183" s="70">
        <f t="shared" si="36"/>
        <v>0</v>
      </c>
      <c r="R183" s="70">
        <f t="shared" si="37"/>
        <v>0</v>
      </c>
      <c r="S183" s="85">
        <f t="shared" si="42"/>
        <v>14335.5</v>
      </c>
      <c r="T183" s="81" t="str">
        <f>IFERROR((VLOOKUP($A183,'Из ГУГЛа'!$B:$G,6,0)+V183)*U183,VLOOKUP($A183,'Из ГУГЛа'!$B:$G,6,0))</f>
        <v/>
      </c>
      <c r="U183" s="83">
        <v>1</v>
      </c>
      <c r="V183" s="83">
        <v>0</v>
      </c>
      <c r="W183" s="48">
        <f t="shared" si="38"/>
        <v>0.19115081013710022</v>
      </c>
      <c r="X183" s="48" t="str">
        <f t="shared" si="39"/>
        <v/>
      </c>
      <c r="Y183" s="48" t="str">
        <f t="shared" si="40"/>
        <v/>
      </c>
      <c r="Z183" s="80"/>
      <c r="AB183" s="13"/>
    </row>
    <row r="184" spans="1:28" ht="45">
      <c r="A184" s="9">
        <v>151514</v>
      </c>
      <c r="B184" s="21">
        <f>VLOOKUP($A184,'Выгр Кат'!$A:$R,B$1,0)</f>
        <v>3707</v>
      </c>
      <c r="C184" s="54" t="str">
        <f>VLOOKUP($A184,'Выгр Кат'!$A:$R,C$1,0)</f>
        <v>Защита двигателя алюминиевая для подрамника "AUTOPRODUCT" для ВАЗ 2108-21099, 2113-2115</v>
      </c>
      <c r="D184" s="21" t="str">
        <f>VLOOKUP($A184,'Выгр Кат'!$A:$R,D$1,0)</f>
        <v>Y</v>
      </c>
      <c r="E184" s="21" t="str">
        <f>VLOOKUP($A184,'Выгр Кат'!$A:$R,E$1,0)</f>
        <v>0</v>
      </c>
      <c r="F184" s="21" t="str">
        <f>VLOOKUP($A184,'Выгр Кат'!$A:$R,F$1,0)</f>
        <v>АР 0070</v>
      </c>
      <c r="G184" s="51" t="s">
        <v>510</v>
      </c>
      <c r="H184" s="6" t="s">
        <v>3</v>
      </c>
      <c r="I184" s="92">
        <f t="shared" si="46"/>
        <v>3270</v>
      </c>
      <c r="J184" s="8" t="e">
        <f t="shared" si="32"/>
        <v>#N/A</v>
      </c>
      <c r="K184" s="8" t="e">
        <f>VLOOKUP($G184,ПРАЙС!$B:$H,7,0)</f>
        <v>#N/A</v>
      </c>
      <c r="L184" s="8" t="e">
        <f t="shared" si="33"/>
        <v>#N/A</v>
      </c>
      <c r="M184" s="92">
        <f t="shared" si="47"/>
        <v>4390</v>
      </c>
      <c r="N184" s="94">
        <f t="shared" si="35"/>
        <v>4390</v>
      </c>
      <c r="O184" s="21">
        <f>VLOOKUP($A184,'Выгр Кат'!$A:$R,O$1,0)</f>
        <v>3270</v>
      </c>
      <c r="P184" s="21">
        <f>VLOOKUP($A184,'Выгр Кат'!$A:$R,P$1,0)</f>
        <v>4390</v>
      </c>
      <c r="Q184" s="70">
        <f t="shared" si="36"/>
        <v>0</v>
      </c>
      <c r="R184" s="70">
        <f t="shared" si="37"/>
        <v>0</v>
      </c>
      <c r="S184" s="85">
        <f t="shared" si="42"/>
        <v>4170.5</v>
      </c>
      <c r="T184" s="81" t="str">
        <f>IFERROR((VLOOKUP($A184,'Из ГУГЛа'!$B:$G,6,0)+V184)*U184,VLOOKUP($A184,'Из ГУГЛа'!$B:$G,6,0))</f>
        <v/>
      </c>
      <c r="U184" s="83">
        <v>1</v>
      </c>
      <c r="V184" s="83">
        <v>0</v>
      </c>
      <c r="W184" s="48">
        <f t="shared" si="38"/>
        <v>0.2753822629969418</v>
      </c>
      <c r="X184" s="48" t="str">
        <f t="shared" si="39"/>
        <v/>
      </c>
      <c r="Y184" s="48" t="str">
        <f t="shared" si="40"/>
        <v/>
      </c>
      <c r="Z184" s="80"/>
      <c r="AB184" s="13"/>
    </row>
    <row r="185" spans="1:28" ht="60">
      <c r="A185" s="9">
        <v>151523</v>
      </c>
      <c r="B185" s="21">
        <f>VLOOKUP($A185,'Выгр Кат'!$A:$R,B$1,0)</f>
        <v>3709</v>
      </c>
      <c r="C185" s="54" t="str">
        <f>VLOOKUP($A185,'Выгр Кат'!$A:$R,C$1,0)</f>
        <v>Защита двигателя стальная оцинкованная для поперечины "AUTOPRODUCT" для ВАЗ 2108-21099, 2113-2115</v>
      </c>
      <c r="D185" s="21" t="str">
        <f>VLOOKUP($A185,'Выгр Кат'!$A:$R,D$1,0)</f>
        <v>Y</v>
      </c>
      <c r="E185" s="21" t="str">
        <f>VLOOKUP($A185,'Выгр Кат'!$A:$R,E$1,0)</f>
        <v>0</v>
      </c>
      <c r="F185" s="21" t="str">
        <f>VLOOKUP($A185,'Выгр Кат'!$A:$R,F$1,0)</f>
        <v>АР 0072</v>
      </c>
      <c r="G185" s="7" t="s">
        <v>511</v>
      </c>
      <c r="H185" s="6" t="s">
        <v>3</v>
      </c>
      <c r="I185" s="92">
        <f t="shared" si="46"/>
        <v>4120</v>
      </c>
      <c r="J185" s="8" t="e">
        <f t="shared" si="32"/>
        <v>#N/A</v>
      </c>
      <c r="K185" s="8" t="e">
        <f>VLOOKUP($G185,ПРАЙС!$B:$H,7,0)</f>
        <v>#N/A</v>
      </c>
      <c r="L185" s="8" t="e">
        <f t="shared" si="33"/>
        <v>#N/A</v>
      </c>
      <c r="M185" s="92">
        <f t="shared" si="47"/>
        <v>5790</v>
      </c>
      <c r="N185" s="94">
        <f t="shared" si="35"/>
        <v>5790</v>
      </c>
      <c r="O185" s="21">
        <f>VLOOKUP($A185,'Выгр Кат'!$A:$R,O$1,0)</f>
        <v>4120</v>
      </c>
      <c r="P185" s="21">
        <f>VLOOKUP($A185,'Выгр Кат'!$A:$R,P$1,0)</f>
        <v>5790</v>
      </c>
      <c r="Q185" s="70">
        <f t="shared" si="36"/>
        <v>0</v>
      </c>
      <c r="R185" s="70">
        <f t="shared" si="37"/>
        <v>0</v>
      </c>
      <c r="S185" s="85">
        <f t="shared" si="42"/>
        <v>5500.5</v>
      </c>
      <c r="T185" s="81" t="str">
        <f>IFERROR((VLOOKUP($A185,'Из ГУГЛа'!$B:$G,6,0)+V185)*U185,VLOOKUP($A185,'Из ГУГЛа'!$B:$G,6,0))</f>
        <v/>
      </c>
      <c r="U185" s="83">
        <v>1</v>
      </c>
      <c r="V185" s="83">
        <v>0</v>
      </c>
      <c r="W185" s="48">
        <f t="shared" si="38"/>
        <v>0.33507281553398061</v>
      </c>
      <c r="X185" s="48" t="str">
        <f t="shared" si="39"/>
        <v/>
      </c>
      <c r="Y185" s="48" t="str">
        <f t="shared" si="40"/>
        <v/>
      </c>
      <c r="Z185" s="80"/>
      <c r="AB185" s="13"/>
    </row>
    <row r="186" spans="1:28" ht="60">
      <c r="A186" s="9">
        <v>195275</v>
      </c>
      <c r="B186" s="21">
        <f>VLOOKUP($A186,'Выгр Кат'!$A:$R,B$1,0)</f>
        <v>31793</v>
      </c>
      <c r="C186" s="54" t="str">
        <f>VLOOKUP($A186,'Выгр Кат'!$A:$R,C$1,0)</f>
        <v>Поперечина передней подвески "AUTOPRODUCT" SPORT (с полиуретановыми сайлентблоками) для ВАЗ 2108-21099, 2113-2115</v>
      </c>
      <c r="D186" s="21" t="str">
        <f>VLOOKUP($A186,'Выгр Кат'!$A:$R,D$1,0)</f>
        <v>Y</v>
      </c>
      <c r="E186" s="21" t="str">
        <f>VLOOKUP($A186,'Выгр Кат'!$A:$R,E$1,0)</f>
        <v>0</v>
      </c>
      <c r="F186" s="21" t="str">
        <f>VLOOKUP($A186,'Выгр Кат'!$A:$R,F$1,0)</f>
        <v>AP 0096</v>
      </c>
      <c r="G186" s="7" t="s">
        <v>461</v>
      </c>
      <c r="H186" s="6" t="s">
        <v>3</v>
      </c>
      <c r="I186" s="92">
        <f t="shared" si="46"/>
        <v>3440</v>
      </c>
      <c r="J186" s="8" t="e">
        <f t="shared" si="32"/>
        <v>#N/A</v>
      </c>
      <c r="K186" s="8" t="e">
        <f>VLOOKUP($G186,ПРАЙС!$B:$H,7,0)</f>
        <v>#N/A</v>
      </c>
      <c r="L186" s="8" t="e">
        <f t="shared" si="33"/>
        <v>#N/A</v>
      </c>
      <c r="M186" s="92">
        <f t="shared" si="47"/>
        <v>4890</v>
      </c>
      <c r="N186" s="94">
        <f t="shared" si="35"/>
        <v>4890</v>
      </c>
      <c r="O186" s="21">
        <f>VLOOKUP($A186,'Выгр Кат'!$A:$R,O$1,0)</f>
        <v>3440</v>
      </c>
      <c r="P186" s="21">
        <f>VLOOKUP($A186,'Выгр Кат'!$A:$R,P$1,0)</f>
        <v>4890</v>
      </c>
      <c r="Q186" s="70">
        <f t="shared" si="36"/>
        <v>0</v>
      </c>
      <c r="R186" s="70">
        <f t="shared" si="37"/>
        <v>0</v>
      </c>
      <c r="S186" s="85">
        <f t="shared" si="42"/>
        <v>4645.5</v>
      </c>
      <c r="T186" s="81" t="str">
        <f>IFERROR((VLOOKUP($A186,'Из ГУГЛа'!$B:$G,6,0)+V186)*U186,VLOOKUP($A186,'Из ГУГЛа'!$B:$G,6,0))</f>
        <v/>
      </c>
      <c r="U186" s="83">
        <v>1</v>
      </c>
      <c r="V186" s="83">
        <v>0</v>
      </c>
      <c r="W186" s="48">
        <f t="shared" si="38"/>
        <v>0.35043604651162785</v>
      </c>
      <c r="X186" s="48" t="str">
        <f t="shared" si="39"/>
        <v/>
      </c>
      <c r="Y186" s="48" t="str">
        <f t="shared" si="40"/>
        <v/>
      </c>
      <c r="Z186" s="80"/>
      <c r="AB186" s="13"/>
    </row>
    <row r="187" spans="1:28" ht="45">
      <c r="A187" s="9">
        <v>151515</v>
      </c>
      <c r="B187" s="21">
        <f>VLOOKUP($A187,'Выгр Кат'!$A:$R,B$1,0)</f>
        <v>3646</v>
      </c>
      <c r="C187" s="54" t="str">
        <f>VLOOKUP($A187,'Выгр Кат'!$A:$R,C$1,0)</f>
        <v>Защита двигателя алюминиевая для подрамника "AUTOPRODUCT" для ВАЗ 2110-2112, Лада Приора, Приора 2</v>
      </c>
      <c r="D187" s="21" t="str">
        <f>VLOOKUP($A187,'Выгр Кат'!$A:$R,D$1,0)</f>
        <v>Y</v>
      </c>
      <c r="E187" s="21" t="str">
        <f>VLOOKUP($A187,'Выгр Кат'!$A:$R,E$1,0)</f>
        <v>0</v>
      </c>
      <c r="F187" s="21" t="str">
        <f>VLOOKUP($A187,'Выгр Кат'!$A:$R,F$1,0)</f>
        <v>АР 0210</v>
      </c>
      <c r="G187" s="7" t="s">
        <v>514</v>
      </c>
      <c r="H187" s="6" t="s">
        <v>3</v>
      </c>
      <c r="I187" s="92">
        <f t="shared" si="46"/>
        <v>3535</v>
      </c>
      <c r="J187" s="8" t="e">
        <f t="shared" si="32"/>
        <v>#N/A</v>
      </c>
      <c r="K187" s="8" t="e">
        <f>VLOOKUP($G187,ПРАЙС!$B:$H,7,0)</f>
        <v>#N/A</v>
      </c>
      <c r="L187" s="8" t="e">
        <f t="shared" si="33"/>
        <v>#N/A</v>
      </c>
      <c r="M187" s="92">
        <f t="shared" si="47"/>
        <v>4690</v>
      </c>
      <c r="N187" s="94">
        <f t="shared" si="35"/>
        <v>4690</v>
      </c>
      <c r="O187" s="21">
        <f>VLOOKUP($A187,'Выгр Кат'!$A:$R,O$1,0)</f>
        <v>3535</v>
      </c>
      <c r="P187" s="21">
        <f>VLOOKUP($A187,'Выгр Кат'!$A:$R,P$1,0)</f>
        <v>4690</v>
      </c>
      <c r="Q187" s="70">
        <f t="shared" si="36"/>
        <v>0</v>
      </c>
      <c r="R187" s="70">
        <f t="shared" si="37"/>
        <v>0</v>
      </c>
      <c r="S187" s="85">
        <f t="shared" si="42"/>
        <v>4455.5</v>
      </c>
      <c r="T187" s="81" t="str">
        <f>IFERROR((VLOOKUP($A187,'Из ГУГЛа'!$B:$G,6,0)+V187)*U187,VLOOKUP($A187,'Из ГУГЛа'!$B:$G,6,0))</f>
        <v/>
      </c>
      <c r="U187" s="83">
        <v>1</v>
      </c>
      <c r="V187" s="83">
        <v>0</v>
      </c>
      <c r="W187" s="48">
        <f t="shared" si="38"/>
        <v>0.26039603960396041</v>
      </c>
      <c r="X187" s="48" t="str">
        <f t="shared" si="39"/>
        <v/>
      </c>
      <c r="Y187" s="48" t="str">
        <f t="shared" si="40"/>
        <v/>
      </c>
      <c r="Z187" s="80"/>
      <c r="AB187" s="13"/>
    </row>
    <row r="188" spans="1:28" ht="45">
      <c r="A188" s="15">
        <v>151517</v>
      </c>
      <c r="B188" s="21">
        <f>VLOOKUP($A188,'Выгр Кат'!$A:$R,B$1,0)</f>
        <v>3647</v>
      </c>
      <c r="C188" s="54" t="str">
        <f>VLOOKUP($A188,'Выгр Кат'!$A:$R,C$1,0)</f>
        <v>Защита двигателя алюминиевая для поперечины "AUTOPRODUCT" для ВАЗ 2110-2112, Лада Приора, Приора 2</v>
      </c>
      <c r="D188" s="21" t="str">
        <f>VLOOKUP($A188,'Выгр Кат'!$A:$R,D$1,0)</f>
        <v>Y</v>
      </c>
      <c r="E188" s="21" t="str">
        <f>VLOOKUP($A188,'Выгр Кат'!$A:$R,E$1,0)</f>
        <v>0</v>
      </c>
      <c r="F188" s="21" t="str">
        <f>VLOOKUP($A188,'Выгр Кат'!$A:$R,F$1,0)</f>
        <v>АР 0212</v>
      </c>
      <c r="G188" s="61" t="s">
        <v>515</v>
      </c>
      <c r="H188" s="6" t="s">
        <v>3</v>
      </c>
      <c r="I188" s="92">
        <f t="shared" si="46"/>
        <v>4120</v>
      </c>
      <c r="J188" s="8" t="e">
        <f t="shared" si="32"/>
        <v>#N/A</v>
      </c>
      <c r="K188" s="8" t="e">
        <f>VLOOKUP($G188,ПРАЙС!$B:$H,7,0)</f>
        <v>#N/A</v>
      </c>
      <c r="L188" s="8" t="e">
        <f t="shared" si="33"/>
        <v>#N/A</v>
      </c>
      <c r="M188" s="92">
        <f t="shared" si="47"/>
        <v>5790</v>
      </c>
      <c r="N188" s="94">
        <f t="shared" si="35"/>
        <v>5790</v>
      </c>
      <c r="O188" s="21">
        <f>VLOOKUP($A188,'Выгр Кат'!$A:$R,O$1,0)</f>
        <v>4120</v>
      </c>
      <c r="P188" s="21">
        <f>VLOOKUP($A188,'Выгр Кат'!$A:$R,P$1,0)</f>
        <v>5790</v>
      </c>
      <c r="Q188" s="70">
        <f t="shared" si="36"/>
        <v>0</v>
      </c>
      <c r="R188" s="70">
        <f t="shared" si="37"/>
        <v>0</v>
      </c>
      <c r="S188" s="85">
        <f t="shared" si="42"/>
        <v>5500.5</v>
      </c>
      <c r="T188" s="81" t="str">
        <f>IFERROR((VLOOKUP($A188,'Из ГУГЛа'!$B:$G,6,0)+V188)*U188,VLOOKUP($A188,'Из ГУГЛа'!$B:$G,6,0))</f>
        <v/>
      </c>
      <c r="U188" s="83">
        <v>1</v>
      </c>
      <c r="V188" s="83">
        <v>0</v>
      </c>
      <c r="W188" s="48">
        <f t="shared" si="38"/>
        <v>0.33507281553398061</v>
      </c>
      <c r="X188" s="48" t="str">
        <f t="shared" si="39"/>
        <v/>
      </c>
      <c r="Y188" s="48" t="str">
        <f t="shared" si="40"/>
        <v/>
      </c>
      <c r="Z188" s="80"/>
      <c r="AB188" s="13"/>
    </row>
    <row r="189" spans="1:28" ht="90">
      <c r="A189" s="15">
        <v>159922</v>
      </c>
      <c r="B189" s="21">
        <f>VLOOKUP($A189,'Выгр Кат'!$A:$R,B$1,0)</f>
        <v>19545</v>
      </c>
      <c r="C189" s="54" t="str">
        <f>VLOOKUP($A189,'Выгр Кат'!$A:$R,C$1,0)</f>
        <v>Комплект увеличения жёсткости заднего рычага "AUTOPRODUCT" для ВАЗ (2108-21099, 2113-2115, 2110-2112), Лада (Калина, Калина 2, Приора, Приора 2, Гранта), Датсун (mi-DO, on-DO)</v>
      </c>
      <c r="D189" s="21" t="str">
        <f>VLOOKUP($A189,'Выгр Кат'!$A:$R,D$1,0)</f>
        <v>Y</v>
      </c>
      <c r="E189" s="21" t="str">
        <f>VLOOKUP($A189,'Выгр Кат'!$A:$R,E$1,0)</f>
        <v>0</v>
      </c>
      <c r="F189" s="21" t="str">
        <f>VLOOKUP($A189,'Выгр Кат'!$A:$R,F$1,0)</f>
        <v>АР 0235</v>
      </c>
      <c r="G189" s="7" t="s">
        <v>442</v>
      </c>
      <c r="H189" s="6" t="s">
        <v>3</v>
      </c>
      <c r="I189" s="92">
        <f t="shared" si="46"/>
        <v>3805</v>
      </c>
      <c r="J189" s="8" t="e">
        <f t="shared" si="32"/>
        <v>#N/A</v>
      </c>
      <c r="K189" s="8" t="e">
        <f>VLOOKUP($G189,ПРАЙС!$B:$H,7,0)</f>
        <v>#N/A</v>
      </c>
      <c r="L189" s="8" t="e">
        <f t="shared" si="33"/>
        <v>#N/A</v>
      </c>
      <c r="M189" s="92">
        <f t="shared" si="47"/>
        <v>4990</v>
      </c>
      <c r="N189" s="94">
        <f t="shared" si="35"/>
        <v>4990</v>
      </c>
      <c r="O189" s="21">
        <f>VLOOKUP($A189,'Выгр Кат'!$A:$R,O$1,0)</f>
        <v>3805</v>
      </c>
      <c r="P189" s="21">
        <f>VLOOKUP($A189,'Выгр Кат'!$A:$R,P$1,0)</f>
        <v>4990</v>
      </c>
      <c r="Q189" s="70">
        <f t="shared" si="36"/>
        <v>0</v>
      </c>
      <c r="R189" s="70">
        <f t="shared" si="37"/>
        <v>0</v>
      </c>
      <c r="S189" s="85">
        <f t="shared" si="42"/>
        <v>4740.5</v>
      </c>
      <c r="T189" s="81" t="str">
        <f>IFERROR((VLOOKUP($A189,'Из ГУГЛа'!$B:$G,6,0)+V189)*U189,VLOOKUP($A189,'Из ГУГЛа'!$B:$G,6,0))</f>
        <v/>
      </c>
      <c r="U189" s="83">
        <v>1</v>
      </c>
      <c r="V189" s="83">
        <v>0</v>
      </c>
      <c r="W189" s="48">
        <f t="shared" si="38"/>
        <v>0.24586070959264128</v>
      </c>
      <c r="X189" s="48" t="str">
        <f t="shared" si="39"/>
        <v/>
      </c>
      <c r="Y189" s="48" t="str">
        <f t="shared" si="40"/>
        <v/>
      </c>
      <c r="Z189" s="80"/>
      <c r="AB189" s="13"/>
    </row>
    <row r="190" spans="1:28" ht="45">
      <c r="A190" s="15">
        <v>195300</v>
      </c>
      <c r="B190" s="21">
        <f>VLOOKUP($A190,'Выгр Кат'!$A:$R,B$1,0)</f>
        <v>3375</v>
      </c>
      <c r="C190" s="54" t="str">
        <f>VLOOKUP($A190,'Выгр Кат'!$A:$R,C$1,0)</f>
        <v>Поперечина передней подвески Safe "AUTOPRODUCT" для ВАЗ 2110-2112, Лада Приора</v>
      </c>
      <c r="D190" s="21" t="str">
        <f>VLOOKUP($A190,'Выгр Кат'!$A:$R,D$1,0)</f>
        <v>Y</v>
      </c>
      <c r="E190" s="21" t="str">
        <f>VLOOKUP($A190,'Выгр Кат'!$A:$R,E$1,0)</f>
        <v>0</v>
      </c>
      <c r="F190" s="21" t="str">
        <f>VLOOKUP($A190,'Выгр Кат'!$A:$R,F$1,0)</f>
        <v>АР 0280</v>
      </c>
      <c r="G190" s="7" t="s">
        <v>516</v>
      </c>
      <c r="H190" s="6" t="s">
        <v>3</v>
      </c>
      <c r="I190" s="92">
        <f t="shared" si="46"/>
        <v>2530</v>
      </c>
      <c r="J190" s="8" t="e">
        <f t="shared" si="32"/>
        <v>#N/A</v>
      </c>
      <c r="K190" s="8" t="e">
        <f>VLOOKUP($G190,ПРАЙС!$B:$H,7,0)</f>
        <v>#N/A</v>
      </c>
      <c r="L190" s="8" t="e">
        <f t="shared" si="33"/>
        <v>#N/A</v>
      </c>
      <c r="M190" s="92">
        <f t="shared" si="47"/>
        <v>3390</v>
      </c>
      <c r="N190" s="94">
        <f t="shared" si="35"/>
        <v>3390</v>
      </c>
      <c r="O190" s="21">
        <f>VLOOKUP($A190,'Выгр Кат'!$A:$R,O$1,0)</f>
        <v>2530</v>
      </c>
      <c r="P190" s="21">
        <f>VLOOKUP($A190,'Выгр Кат'!$A:$R,P$1,0)</f>
        <v>3390</v>
      </c>
      <c r="Q190" s="70">
        <f t="shared" si="36"/>
        <v>0</v>
      </c>
      <c r="R190" s="70">
        <f t="shared" si="37"/>
        <v>0</v>
      </c>
      <c r="S190" s="85">
        <f t="shared" si="42"/>
        <v>3220.5</v>
      </c>
      <c r="T190" s="81" t="str">
        <f>IFERROR((VLOOKUP($A190,'Из ГУГЛа'!$B:$G,6,0)+V190)*U190,VLOOKUP($A190,'Из ГУГЛа'!$B:$G,6,0))</f>
        <v/>
      </c>
      <c r="U190" s="83">
        <v>1</v>
      </c>
      <c r="V190" s="83">
        <v>0</v>
      </c>
      <c r="W190" s="48">
        <f t="shared" si="38"/>
        <v>0.27292490118577084</v>
      </c>
      <c r="X190" s="48" t="str">
        <f t="shared" si="39"/>
        <v/>
      </c>
      <c r="Y190" s="48" t="str">
        <f t="shared" si="40"/>
        <v/>
      </c>
      <c r="Z190" s="80"/>
      <c r="AB190" s="13"/>
    </row>
    <row r="191" spans="1:28" ht="75">
      <c r="A191" s="15">
        <v>222888</v>
      </c>
      <c r="B191" s="21">
        <f>VLOOKUP($A191,'Выгр Кат'!$A:$R,B$1,0)</f>
        <v>19596</v>
      </c>
      <c r="C191" s="54" t="str">
        <f>VLOOKUP($A191,'Выгр Кат'!$A:$R,C$1,0)</f>
        <v>Тяга рулевая в сборе "AUTOPRODUCT" для ВАЗ 2110-2112, Лада (Калина, Калина 2, Приора, Приора 2, Гранта), Датсун (mi-DO, on-DO)</v>
      </c>
      <c r="D191" s="21" t="str">
        <f>VLOOKUP($A191,'Выгр Кат'!$A:$R,D$1,0)</f>
        <v>Y</v>
      </c>
      <c r="E191" s="21" t="str">
        <f>VLOOKUP($A191,'Выгр Кат'!$A:$R,E$1,0)</f>
        <v>0</v>
      </c>
      <c r="F191" s="21" t="str">
        <f>VLOOKUP($A191,'Выгр Кат'!$A:$R,F$1,0)</f>
        <v>АР-С 2575</v>
      </c>
      <c r="G191" s="60" t="s">
        <v>717</v>
      </c>
      <c r="H191" s="6" t="s">
        <v>3</v>
      </c>
      <c r="I191" s="92">
        <f t="shared" si="46"/>
        <v>6430</v>
      </c>
      <c r="J191" s="8" t="e">
        <f t="shared" si="32"/>
        <v>#N/A</v>
      </c>
      <c r="K191" s="8" t="e">
        <f>VLOOKUP($G191,ПРАЙС!$B:$H,7,0)</f>
        <v>#N/A</v>
      </c>
      <c r="L191" s="8" t="e">
        <f t="shared" si="33"/>
        <v>#N/A</v>
      </c>
      <c r="M191" s="92">
        <f t="shared" si="47"/>
        <v>7790</v>
      </c>
      <c r="N191" s="94">
        <f t="shared" si="35"/>
        <v>7790</v>
      </c>
      <c r="O191" s="21">
        <f>VLOOKUP($A191,'Выгр Кат'!$A:$R,O$1,0)</f>
        <v>6430</v>
      </c>
      <c r="P191" s="21">
        <f>VLOOKUP($A191,'Выгр Кат'!$A:$R,P$1,0)</f>
        <v>7790</v>
      </c>
      <c r="Q191" s="70">
        <f t="shared" si="36"/>
        <v>0</v>
      </c>
      <c r="R191" s="70">
        <f t="shared" si="37"/>
        <v>0</v>
      </c>
      <c r="S191" s="85">
        <f t="shared" si="42"/>
        <v>7400.5</v>
      </c>
      <c r="T191" s="81" t="str">
        <f>IFERROR((VLOOKUP($A191,'Из ГУГЛа'!$B:$G,6,0)+V191)*U191,VLOOKUP($A191,'Из ГУГЛа'!$B:$G,6,0))</f>
        <v/>
      </c>
      <c r="U191" s="83">
        <v>1</v>
      </c>
      <c r="V191" s="83">
        <v>0</v>
      </c>
      <c r="W191" s="48">
        <f t="shared" si="38"/>
        <v>0.15093312597200614</v>
      </c>
      <c r="X191" s="48" t="str">
        <f t="shared" si="39"/>
        <v/>
      </c>
      <c r="Y191" s="48" t="str">
        <f t="shared" si="40"/>
        <v/>
      </c>
      <c r="Z191" s="80"/>
      <c r="AB191" s="13"/>
    </row>
    <row r="192" spans="1:28" ht="30">
      <c r="A192" s="15">
        <v>169761</v>
      </c>
      <c r="B192" s="21">
        <f>VLOOKUP($A192,'Выгр Кат'!$A:$R,B$1,0)</f>
        <v>5471</v>
      </c>
      <c r="C192" s="54" t="str">
        <f>VLOOKUP($A192,'Выгр Кат'!$A:$R,C$1,0)</f>
        <v>Накладки на педали для Лада Гранта, Калина 2 с АКПП</v>
      </c>
      <c r="D192" s="21" t="str">
        <f>VLOOKUP($A192,'Выгр Кат'!$A:$R,D$1,0)</f>
        <v>Y</v>
      </c>
      <c r="E192" s="21" t="str">
        <f>VLOOKUP($A192,'Выгр Кат'!$A:$R,E$1,0)</f>
        <v>0</v>
      </c>
      <c r="F192" s="21" t="str">
        <f>VLOOKUP($A192,'Выгр Кат'!$A:$R,F$1,0)</f>
        <v>АР 0427/АР90-1108010</v>
      </c>
      <c r="G192" s="7" t="s">
        <v>715</v>
      </c>
      <c r="H192" s="6" t="s">
        <v>3</v>
      </c>
      <c r="I192" s="92">
        <f t="shared" si="46"/>
        <v>995</v>
      </c>
      <c r="J192" s="8" t="e">
        <f t="shared" si="32"/>
        <v>#N/A</v>
      </c>
      <c r="K192" s="8" t="e">
        <f>VLOOKUP($G192,ПРАЙС!$B:$H,7,0)</f>
        <v>#N/A</v>
      </c>
      <c r="L192" s="8" t="e">
        <f t="shared" si="33"/>
        <v>#N/A</v>
      </c>
      <c r="M192" s="92">
        <f t="shared" si="47"/>
        <v>1290</v>
      </c>
      <c r="N192" s="94">
        <f t="shared" si="35"/>
        <v>1290</v>
      </c>
      <c r="O192" s="21">
        <f>VLOOKUP($A192,'Выгр Кат'!$A:$R,O$1,0)</f>
        <v>995</v>
      </c>
      <c r="P192" s="21">
        <f>VLOOKUP($A192,'Выгр Кат'!$A:$R,P$1,0)</f>
        <v>1290</v>
      </c>
      <c r="Q192" s="70">
        <f t="shared" si="36"/>
        <v>0</v>
      </c>
      <c r="R192" s="70">
        <f t="shared" si="37"/>
        <v>0</v>
      </c>
      <c r="S192" s="85">
        <f t="shared" si="42"/>
        <v>1225.5</v>
      </c>
      <c r="T192" s="81" t="str">
        <f>IFERROR((VLOOKUP($A192,'Из ГУГЛа'!$B:$G,6,0)+V192)*U192,VLOOKUP($A192,'Из ГУГЛа'!$B:$G,6,0))</f>
        <v/>
      </c>
      <c r="U192" s="83">
        <v>1</v>
      </c>
      <c r="V192" s="83">
        <v>0</v>
      </c>
      <c r="W192" s="48">
        <f t="shared" si="38"/>
        <v>0.23165829145728645</v>
      </c>
      <c r="X192" s="48" t="str">
        <f t="shared" si="39"/>
        <v/>
      </c>
      <c r="Y192" s="48" t="str">
        <f t="shared" si="40"/>
        <v/>
      </c>
      <c r="Z192" s="80"/>
      <c r="AB192" s="13"/>
    </row>
    <row r="193" spans="1:28" ht="45">
      <c r="A193" s="15">
        <v>169762</v>
      </c>
      <c r="B193" s="21">
        <f>VLOOKUP($A193,'Выгр Кат'!$A:$R,B$1,0)</f>
        <v>5455</v>
      </c>
      <c r="C193" s="54" t="str">
        <f>VLOOKUP($A193,'Выгр Кат'!$A:$R,C$1,0)</f>
        <v>Накладки на педали для Лада Приора, Калина, Калина 2, Гранта Е-газ "BOSCH"</v>
      </c>
      <c r="D193" s="21" t="str">
        <f>VLOOKUP($A193,'Выгр Кат'!$A:$R,D$1,0)</f>
        <v>Y</v>
      </c>
      <c r="E193" s="21" t="str">
        <f>VLOOKUP($A193,'Выгр Кат'!$A:$R,E$1,0)</f>
        <v>0</v>
      </c>
      <c r="F193" s="21">
        <f>VLOOKUP($A193,'Выгр Кат'!$A:$R,F$1,0)</f>
        <v>0</v>
      </c>
      <c r="G193" s="5"/>
      <c r="H193" s="6" t="s">
        <v>3</v>
      </c>
      <c r="I193" s="92">
        <f t="shared" si="46"/>
        <v>1400</v>
      </c>
      <c r="J193" s="8" t="e">
        <f t="shared" si="32"/>
        <v>#N/A</v>
      </c>
      <c r="K193" s="8" t="e">
        <f>VLOOKUP($G193,ПРАЙС!$B:$H,7,0)</f>
        <v>#N/A</v>
      </c>
      <c r="L193" s="8" t="e">
        <f t="shared" si="33"/>
        <v>#N/A</v>
      </c>
      <c r="M193" s="92">
        <f t="shared" si="47"/>
        <v>2090</v>
      </c>
      <c r="N193" s="94">
        <f t="shared" si="35"/>
        <v>2090</v>
      </c>
      <c r="O193" s="21">
        <f>VLOOKUP($A193,'Выгр Кат'!$A:$R,O$1,0)</f>
        <v>1400</v>
      </c>
      <c r="P193" s="21">
        <f>VLOOKUP($A193,'Выгр Кат'!$A:$R,P$1,0)</f>
        <v>2090</v>
      </c>
      <c r="Q193" s="70">
        <f t="shared" si="36"/>
        <v>0</v>
      </c>
      <c r="R193" s="70">
        <f t="shared" si="37"/>
        <v>0</v>
      </c>
      <c r="S193" s="85">
        <f t="shared" si="42"/>
        <v>1985.5</v>
      </c>
      <c r="T193" s="81" t="str">
        <f>IFERROR((VLOOKUP($A193,'Из ГУГЛа'!$B:$G,6,0)+V193)*U193,VLOOKUP($A193,'Из ГУГЛа'!$B:$G,6,0))</f>
        <v/>
      </c>
      <c r="U193" s="83">
        <v>1</v>
      </c>
      <c r="V193" s="83">
        <v>0</v>
      </c>
      <c r="W193" s="48">
        <f t="shared" si="38"/>
        <v>0.41821428571428565</v>
      </c>
      <c r="X193" s="48" t="str">
        <f t="shared" si="39"/>
        <v/>
      </c>
      <c r="Y193" s="48" t="str">
        <f t="shared" si="40"/>
        <v/>
      </c>
      <c r="Z193" s="80"/>
      <c r="AB193" s="13"/>
    </row>
    <row r="194" spans="1:28" ht="30">
      <c r="A194" s="15">
        <v>169764</v>
      </c>
      <c r="B194" s="21">
        <f>VLOOKUP($A194,'Выгр Кат'!$A:$R,B$1,0)</f>
        <v>5457</v>
      </c>
      <c r="C194" s="54" t="str">
        <f>VLOOKUP($A194,'Выгр Кат'!$A:$R,C$1,0)</f>
        <v>Накладки на педали для Нива 4х4 Е-газ</v>
      </c>
      <c r="D194" s="21" t="str">
        <f>VLOOKUP($A194,'Выгр Кат'!$A:$R,D$1,0)</f>
        <v>Y</v>
      </c>
      <c r="E194" s="21" t="str">
        <f>VLOOKUP($A194,'Выгр Кат'!$A:$R,E$1,0)</f>
        <v>0</v>
      </c>
      <c r="F194" s="21">
        <f>VLOOKUP($A194,'Выгр Кат'!$A:$R,F$1,0)</f>
        <v>0</v>
      </c>
      <c r="G194" s="5"/>
      <c r="H194" s="6" t="s">
        <v>3</v>
      </c>
      <c r="I194" s="92">
        <f t="shared" si="46"/>
        <v>860</v>
      </c>
      <c r="J194" s="8" t="e">
        <f t="shared" si="32"/>
        <v>#N/A</v>
      </c>
      <c r="K194" s="8" t="e">
        <f>VLOOKUP($G194,ПРАЙС!$B:$H,7,0)</f>
        <v>#N/A</v>
      </c>
      <c r="L194" s="8" t="e">
        <f t="shared" si="33"/>
        <v>#N/A</v>
      </c>
      <c r="M194" s="92">
        <f t="shared" si="47"/>
        <v>1190</v>
      </c>
      <c r="N194" s="94">
        <f t="shared" si="35"/>
        <v>1190</v>
      </c>
      <c r="O194" s="21">
        <f>VLOOKUP($A194,'Выгр Кат'!$A:$R,O$1,0)</f>
        <v>860</v>
      </c>
      <c r="P194" s="21">
        <f>VLOOKUP($A194,'Выгр Кат'!$A:$R,P$1,0)</f>
        <v>1190</v>
      </c>
      <c r="Q194" s="70">
        <f t="shared" si="36"/>
        <v>0</v>
      </c>
      <c r="R194" s="70">
        <f t="shared" si="37"/>
        <v>0</v>
      </c>
      <c r="S194" s="85">
        <f t="shared" si="42"/>
        <v>1130.5</v>
      </c>
      <c r="T194" s="81" t="str">
        <f>IFERROR((VLOOKUP($A194,'Из ГУГЛа'!$B:$G,6,0)+V194)*U194,VLOOKUP($A194,'Из ГУГЛа'!$B:$G,6,0))</f>
        <v/>
      </c>
      <c r="U194" s="83">
        <v>1</v>
      </c>
      <c r="V194" s="83">
        <v>0</v>
      </c>
      <c r="W194" s="48">
        <f t="shared" si="38"/>
        <v>0.3145348837209303</v>
      </c>
      <c r="X194" s="48" t="str">
        <f t="shared" si="39"/>
        <v/>
      </c>
      <c r="Y194" s="48" t="str">
        <f t="shared" si="40"/>
        <v/>
      </c>
      <c r="Z194" s="80"/>
      <c r="AB194" s="13"/>
    </row>
    <row r="195" spans="1:28" ht="30">
      <c r="A195" s="15">
        <v>169760</v>
      </c>
      <c r="B195" s="21">
        <f>VLOOKUP($A195,'Выгр Кат'!$A:$R,B$1,0)</f>
        <v>5461</v>
      </c>
      <c r="C195" s="54" t="str">
        <f>VLOOKUP($A195,'Выгр Кат'!$A:$R,C$1,0)</f>
        <v>Накладки на педали для ВАЗ (2108-21099, 2110-2112, 2113-2115)</v>
      </c>
      <c r="D195" s="21" t="str">
        <f>VLOOKUP($A195,'Выгр Кат'!$A:$R,D$1,0)</f>
        <v>Y</v>
      </c>
      <c r="E195" s="21" t="str">
        <f>VLOOKUP($A195,'Выгр Кат'!$A:$R,E$1,0)</f>
        <v>0</v>
      </c>
      <c r="F195" s="21" t="str">
        <f>VLOOKUP($A195,'Выгр Кат'!$A:$R,F$1,0)</f>
        <v>АР 0291 / АР14-1108010</v>
      </c>
      <c r="G195" s="5" t="s">
        <v>714</v>
      </c>
      <c r="H195" s="6" t="s">
        <v>3</v>
      </c>
      <c r="I195" s="92">
        <f t="shared" si="46"/>
        <v>860</v>
      </c>
      <c r="J195" s="8" t="e">
        <f t="shared" ref="J195:J258" si="48">K195/I195</f>
        <v>#N/A</v>
      </c>
      <c r="K195" s="8" t="e">
        <f>VLOOKUP($G195,ПРАЙС!$B:$H,7,0)</f>
        <v>#N/A</v>
      </c>
      <c r="L195" s="8" t="e">
        <f t="shared" ref="L195:L212" si="49">IF(J195&lt;$L$2,$L$2,J195)</f>
        <v>#N/A</v>
      </c>
      <c r="M195" s="92">
        <f t="shared" si="47"/>
        <v>1190</v>
      </c>
      <c r="N195" s="94">
        <f t="shared" ref="N195:N258" si="50">IF(M195&lt;=1000,(ROUNDUP(M195,-1)-1),(ROUNDUP(M195,-2)-10))</f>
        <v>1190</v>
      </c>
      <c r="O195" s="21">
        <f>VLOOKUP($A195,'Выгр Кат'!$A:$R,O$1,0)</f>
        <v>860</v>
      </c>
      <c r="P195" s="21">
        <f>VLOOKUP($A195,'Выгр Кат'!$A:$R,P$1,0)</f>
        <v>1190</v>
      </c>
      <c r="Q195" s="70">
        <f t="shared" ref="Q195:Q212" si="51">O195-I195</f>
        <v>0</v>
      </c>
      <c r="R195" s="70">
        <f t="shared" ref="R195:R212" si="52">P195-N195</f>
        <v>0</v>
      </c>
      <c r="S195" s="85">
        <f t="shared" si="42"/>
        <v>1130.5</v>
      </c>
      <c r="T195" s="81" t="str">
        <f>IFERROR((VLOOKUP($A195,'Из ГУГЛа'!$B:$G,6,0)+V195)*U195,VLOOKUP($A195,'Из ГУГЛа'!$B:$G,6,0))</f>
        <v/>
      </c>
      <c r="U195" s="83">
        <v>1</v>
      </c>
      <c r="V195" s="83">
        <v>0</v>
      </c>
      <c r="W195" s="48">
        <f t="shared" ref="W195:W212" si="53">IFERROR(S195/I195-1,"")</f>
        <v>0.3145348837209303</v>
      </c>
      <c r="X195" s="48" t="str">
        <f t="shared" ref="X195:X212" si="54">IFERROR((Z195-S195)/Z195,"")</f>
        <v/>
      </c>
      <c r="Y195" s="48" t="str">
        <f t="shared" ref="Y195:Y258" si="55">IFERROR(IF(Z195="","",Z195/I195-1),"")</f>
        <v/>
      </c>
      <c r="Z195" s="80"/>
      <c r="AB195" s="13"/>
    </row>
    <row r="196" spans="1:28" ht="45">
      <c r="A196" s="9">
        <v>169765</v>
      </c>
      <c r="B196" s="21">
        <f>VLOOKUP($A196,'Выгр Кат'!$A:$R,B$1,0)</f>
        <v>5464</v>
      </c>
      <c r="C196" s="54" t="str">
        <f>VLOOKUP($A196,'Выгр Кат'!$A:$R,C$1,0)</f>
        <v>Накладки на педали механическая для Лада Приора, Калина, Калина 2, Гранта</v>
      </c>
      <c r="D196" s="21" t="str">
        <f>VLOOKUP($A196,'Выгр Кат'!$A:$R,D$1,0)</f>
        <v>Y</v>
      </c>
      <c r="E196" s="21" t="str">
        <f>VLOOKUP($A196,'Выгр Кат'!$A:$R,E$1,0)</f>
        <v>0</v>
      </c>
      <c r="F196" s="21">
        <f>VLOOKUP($A196,'Выгр Кат'!$A:$R,F$1,0)</f>
        <v>0</v>
      </c>
      <c r="G196" s="7"/>
      <c r="H196" s="6" t="s">
        <v>3</v>
      </c>
      <c r="I196" s="92">
        <f t="shared" si="46"/>
        <v>1400</v>
      </c>
      <c r="J196" s="8" t="e">
        <f t="shared" si="48"/>
        <v>#N/A</v>
      </c>
      <c r="K196" s="8" t="e">
        <f>VLOOKUP($G196,ПРАЙС!$B:$H,7,0)</f>
        <v>#N/A</v>
      </c>
      <c r="L196" s="8" t="e">
        <f t="shared" si="49"/>
        <v>#N/A</v>
      </c>
      <c r="M196" s="92">
        <f t="shared" si="47"/>
        <v>2090</v>
      </c>
      <c r="N196" s="94">
        <f t="shared" si="50"/>
        <v>2090</v>
      </c>
      <c r="O196" s="21">
        <f>VLOOKUP($A196,'Выгр Кат'!$A:$R,O$1,0)</f>
        <v>1400</v>
      </c>
      <c r="P196" s="21">
        <f>VLOOKUP($A196,'Выгр Кат'!$A:$R,P$1,0)</f>
        <v>2090</v>
      </c>
      <c r="Q196" s="70">
        <f t="shared" si="51"/>
        <v>0</v>
      </c>
      <c r="R196" s="70">
        <f t="shared" si="52"/>
        <v>0</v>
      </c>
      <c r="S196" s="85">
        <f t="shared" ref="S196:S212" si="56">IFERROR(N196*(1-$S$2),"")</f>
        <v>1985.5</v>
      </c>
      <c r="T196" s="81" t="str">
        <f>IFERROR((VLOOKUP($A196,'Из ГУГЛа'!$B:$G,6,0)+V196)*U196,VLOOKUP($A196,'Из ГУГЛа'!$B:$G,6,0))</f>
        <v/>
      </c>
      <c r="U196" s="83">
        <v>1</v>
      </c>
      <c r="V196" s="83">
        <v>0</v>
      </c>
      <c r="W196" s="48">
        <f t="shared" si="53"/>
        <v>0.41821428571428565</v>
      </c>
      <c r="X196" s="48" t="str">
        <f t="shared" si="54"/>
        <v/>
      </c>
      <c r="Y196" s="48" t="str">
        <f t="shared" si="55"/>
        <v/>
      </c>
      <c r="Z196" s="80"/>
      <c r="AB196" s="13"/>
    </row>
    <row r="197" spans="1:28" ht="45">
      <c r="A197" s="9">
        <v>169763</v>
      </c>
      <c r="B197" s="21">
        <f>VLOOKUP($A197,'Выгр Кат'!$A:$R,B$1,0)</f>
        <v>5468</v>
      </c>
      <c r="C197" s="54" t="str">
        <f>VLOOKUP($A197,'Выгр Кат'!$A:$R,C$1,0)</f>
        <v>Накладки на педали для Лада Приора, Калина, Калина 2, Гранта Е-газ "Арзамас"</v>
      </c>
      <c r="D197" s="21" t="str">
        <f>VLOOKUP($A197,'Выгр Кат'!$A:$R,D$1,0)</f>
        <v>Y</v>
      </c>
      <c r="E197" s="21" t="str">
        <f>VLOOKUP($A197,'Выгр Кат'!$A:$R,E$1,0)</f>
        <v>0</v>
      </c>
      <c r="F197" s="21" t="str">
        <f>VLOOKUP($A197,'Выгр Кат'!$A:$R,F$1,0)</f>
        <v>АР 0426</v>
      </c>
      <c r="G197" s="7" t="s">
        <v>713</v>
      </c>
      <c r="H197" s="6" t="s">
        <v>3</v>
      </c>
      <c r="I197" s="92">
        <f t="shared" si="46"/>
        <v>1400</v>
      </c>
      <c r="J197" s="8" t="e">
        <f t="shared" si="48"/>
        <v>#N/A</v>
      </c>
      <c r="K197" s="8" t="e">
        <f>VLOOKUP($G197,ПРАЙС!$B:$H,7,0)</f>
        <v>#N/A</v>
      </c>
      <c r="L197" s="8" t="e">
        <f t="shared" si="49"/>
        <v>#N/A</v>
      </c>
      <c r="M197" s="92">
        <f t="shared" si="47"/>
        <v>2090</v>
      </c>
      <c r="N197" s="94">
        <f t="shared" si="50"/>
        <v>2090</v>
      </c>
      <c r="O197" s="21">
        <f>VLOOKUP($A197,'Выгр Кат'!$A:$R,O$1,0)</f>
        <v>1400</v>
      </c>
      <c r="P197" s="21">
        <f>VLOOKUP($A197,'Выгр Кат'!$A:$R,P$1,0)</f>
        <v>2090</v>
      </c>
      <c r="Q197" s="70">
        <f t="shared" si="51"/>
        <v>0</v>
      </c>
      <c r="R197" s="70">
        <f t="shared" si="52"/>
        <v>0</v>
      </c>
      <c r="S197" s="85">
        <f t="shared" si="56"/>
        <v>1985.5</v>
      </c>
      <c r="T197" s="81" t="str">
        <f>IFERROR((VLOOKUP($A197,'Из ГУГЛа'!$B:$G,6,0)+V197)*U197,VLOOKUP($A197,'Из ГУГЛа'!$B:$G,6,0))</f>
        <v/>
      </c>
      <c r="U197" s="83">
        <v>1</v>
      </c>
      <c r="V197" s="83">
        <v>0</v>
      </c>
      <c r="W197" s="48">
        <f t="shared" si="53"/>
        <v>0.41821428571428565</v>
      </c>
      <c r="X197" s="48" t="str">
        <f t="shared" si="54"/>
        <v/>
      </c>
      <c r="Y197" s="48" t="str">
        <f t="shared" si="55"/>
        <v/>
      </c>
      <c r="Z197" s="80"/>
      <c r="AB197" s="13"/>
    </row>
    <row r="198" spans="1:28" ht="45">
      <c r="A198" s="9">
        <v>181755</v>
      </c>
      <c r="B198" s="21">
        <f>VLOOKUP($A198,'Выгр Кат'!$A:$R,B$1,0)</f>
        <v>16474</v>
      </c>
      <c r="C198" s="54" t="str">
        <f>VLOOKUP($A198,'Выгр Кат'!$A:$R,C$1,0)</f>
        <v>Опора стойки передней подвески +12мм с ЭУР серии "Parts" для Lada, Datsun</v>
      </c>
      <c r="D198" s="21" t="str">
        <f>VLOOKUP($A198,'Выгр Кат'!$A:$R,D$1,0)</f>
        <v>Y</v>
      </c>
      <c r="E198" s="21" t="str">
        <f>VLOOKUP($A198,'Выгр Кат'!$A:$R,E$1,0)</f>
        <v>0</v>
      </c>
      <c r="F198" s="21">
        <f>VLOOKUP($A198,'Выгр Кат'!$A:$R,F$1,0)</f>
        <v>0</v>
      </c>
      <c r="G198" s="5"/>
      <c r="H198" s="6" t="s">
        <v>3</v>
      </c>
      <c r="I198" s="92">
        <f t="shared" si="46"/>
        <v>0</v>
      </c>
      <c r="J198" s="8" t="e">
        <f t="shared" si="48"/>
        <v>#N/A</v>
      </c>
      <c r="K198" s="8" t="e">
        <f>VLOOKUP($G198,ПРАЙС!$B:$H,7,0)</f>
        <v>#N/A</v>
      </c>
      <c r="L198" s="8" t="e">
        <f t="shared" si="49"/>
        <v>#N/A</v>
      </c>
      <c r="M198" s="92">
        <f t="shared" si="47"/>
        <v>649</v>
      </c>
      <c r="N198" s="94">
        <f t="shared" si="50"/>
        <v>649</v>
      </c>
      <c r="O198" s="21">
        <f>VLOOKUP($A198,'Выгр Кат'!$A:$R,O$1,0)</f>
        <v>0</v>
      </c>
      <c r="P198" s="21">
        <f>VLOOKUP($A198,'Выгр Кат'!$A:$R,P$1,0)</f>
        <v>649</v>
      </c>
      <c r="Q198" s="70">
        <f t="shared" si="51"/>
        <v>0</v>
      </c>
      <c r="R198" s="70">
        <f t="shared" si="52"/>
        <v>0</v>
      </c>
      <c r="S198" s="85">
        <f t="shared" si="56"/>
        <v>616.54999999999995</v>
      </c>
      <c r="T198" s="81" t="str">
        <f>IFERROR((VLOOKUP($A198,'Из ГУГЛа'!$B:$G,6,0)+V198)*U198,VLOOKUP($A198,'Из ГУГЛа'!$B:$G,6,0))</f>
        <v/>
      </c>
      <c r="U198" s="83">
        <v>1</v>
      </c>
      <c r="V198" s="83">
        <v>0</v>
      </c>
      <c r="W198" s="48" t="str">
        <f t="shared" si="53"/>
        <v/>
      </c>
      <c r="X198" s="48" t="str">
        <f t="shared" si="54"/>
        <v/>
      </c>
      <c r="Y198" s="48" t="str">
        <f t="shared" si="55"/>
        <v/>
      </c>
      <c r="Z198" s="80"/>
      <c r="AB198" s="13"/>
    </row>
    <row r="199" spans="1:28" ht="45">
      <c r="A199" s="9">
        <v>151516</v>
      </c>
      <c r="B199" s="21">
        <f>VLOOKUP($A199,'Выгр Кат'!$A:$R,B$1,0)</f>
        <v>3602</v>
      </c>
      <c r="C199" s="54" t="str">
        <f>VLOOKUP($A199,'Выгр Кат'!$A:$R,C$1,0)</f>
        <v>Защита двигателя алюминиевая для подрамника "AUTOPRODUCT" для Лада Калина, Калина 2, Гранта</v>
      </c>
      <c r="D199" s="21" t="str">
        <f>VLOOKUP($A199,'Выгр Кат'!$A:$R,D$1,0)</f>
        <v>Y</v>
      </c>
      <c r="E199" s="21" t="str">
        <f>VLOOKUP($A199,'Выгр Кат'!$A:$R,E$1,0)</f>
        <v>0</v>
      </c>
      <c r="F199" s="21" t="str">
        <f>VLOOKUP($A199,'Выгр Кат'!$A:$R,F$1,0)</f>
        <v>АР 0360</v>
      </c>
      <c r="G199" s="7" t="s">
        <v>517</v>
      </c>
      <c r="H199" s="6" t="s">
        <v>3</v>
      </c>
      <c r="I199" s="92">
        <f t="shared" si="46"/>
        <v>3330</v>
      </c>
      <c r="J199" s="8" t="e">
        <f t="shared" si="48"/>
        <v>#N/A</v>
      </c>
      <c r="K199" s="8" t="e">
        <f>VLOOKUP($G199,ПРАЙС!$B:$H,7,0)</f>
        <v>#N/A</v>
      </c>
      <c r="L199" s="8" t="e">
        <f t="shared" si="49"/>
        <v>#N/A</v>
      </c>
      <c r="M199" s="92">
        <f t="shared" si="47"/>
        <v>4390</v>
      </c>
      <c r="N199" s="94">
        <f t="shared" si="50"/>
        <v>4390</v>
      </c>
      <c r="O199" s="21">
        <f>VLOOKUP($A199,'Выгр Кат'!$A:$R,O$1,0)</f>
        <v>3330</v>
      </c>
      <c r="P199" s="21">
        <f>VLOOKUP($A199,'Выгр Кат'!$A:$R,P$1,0)</f>
        <v>4390</v>
      </c>
      <c r="Q199" s="70">
        <f t="shared" si="51"/>
        <v>0</v>
      </c>
      <c r="R199" s="70">
        <f t="shared" si="52"/>
        <v>0</v>
      </c>
      <c r="S199" s="85">
        <f t="shared" si="56"/>
        <v>4170.5</v>
      </c>
      <c r="T199" s="81" t="str">
        <f>IFERROR((VLOOKUP($A199,'Из ГУГЛа'!$B:$G,6,0)+V199)*U199,VLOOKUP($A199,'Из ГУГЛа'!$B:$G,6,0))</f>
        <v/>
      </c>
      <c r="U199" s="83">
        <v>1</v>
      </c>
      <c r="V199" s="83">
        <v>0</v>
      </c>
      <c r="W199" s="48">
        <f t="shared" si="53"/>
        <v>0.2524024024024023</v>
      </c>
      <c r="X199" s="48" t="str">
        <f t="shared" si="54"/>
        <v/>
      </c>
      <c r="Y199" s="48" t="str">
        <f t="shared" si="55"/>
        <v/>
      </c>
      <c r="Z199" s="80"/>
      <c r="AB199" s="13"/>
    </row>
    <row r="200" spans="1:28" ht="45">
      <c r="A200" s="9">
        <v>151518</v>
      </c>
      <c r="B200" s="21">
        <f>VLOOKUP($A200,'Выгр Кат'!$A:$R,B$1,0)</f>
        <v>3604</v>
      </c>
      <c r="C200" s="54" t="str">
        <f>VLOOKUP($A200,'Выгр Кат'!$A:$R,C$1,0)</f>
        <v>Защита двигателя алюминиевая для поперечины "AUTOPRODUCT" для Лада Калина, Калина 2, Гранта</v>
      </c>
      <c r="D200" s="21" t="str">
        <f>VLOOKUP($A200,'Выгр Кат'!$A:$R,D$1,0)</f>
        <v>Y</v>
      </c>
      <c r="E200" s="21" t="str">
        <f>VLOOKUP($A200,'Выгр Кат'!$A:$R,E$1,0)</f>
        <v>0</v>
      </c>
      <c r="F200" s="21" t="str">
        <f>VLOOKUP($A200,'Выгр Кат'!$A:$R,F$1,0)</f>
        <v>АР 0362</v>
      </c>
      <c r="G200" s="7" t="s">
        <v>518</v>
      </c>
      <c r="H200" s="6" t="s">
        <v>3</v>
      </c>
      <c r="I200" s="92">
        <f t="shared" si="46"/>
        <v>4305</v>
      </c>
      <c r="J200" s="8" t="e">
        <f t="shared" si="48"/>
        <v>#N/A</v>
      </c>
      <c r="K200" s="8" t="e">
        <f>VLOOKUP($G200,ПРАЙС!$B:$H,7,0)</f>
        <v>#N/A</v>
      </c>
      <c r="L200" s="8" t="e">
        <f t="shared" si="49"/>
        <v>#N/A</v>
      </c>
      <c r="M200" s="92">
        <f t="shared" si="47"/>
        <v>6090</v>
      </c>
      <c r="N200" s="94">
        <f t="shared" si="50"/>
        <v>6090</v>
      </c>
      <c r="O200" s="21">
        <f>VLOOKUP($A200,'Выгр Кат'!$A:$R,O$1,0)</f>
        <v>4305</v>
      </c>
      <c r="P200" s="21">
        <f>VLOOKUP($A200,'Выгр Кат'!$A:$R,P$1,0)</f>
        <v>6090</v>
      </c>
      <c r="Q200" s="70">
        <f t="shared" si="51"/>
        <v>0</v>
      </c>
      <c r="R200" s="70">
        <f t="shared" si="52"/>
        <v>0</v>
      </c>
      <c r="S200" s="85">
        <f t="shared" si="56"/>
        <v>5785.5</v>
      </c>
      <c r="T200" s="81" t="str">
        <f>IFERROR((VLOOKUP($A200,'Из ГУГЛа'!$B:$G,6,0)+V200)*U200,VLOOKUP($A200,'Из ГУГЛа'!$B:$G,6,0))</f>
        <v/>
      </c>
      <c r="U200" s="83">
        <v>1</v>
      </c>
      <c r="V200" s="83">
        <v>0</v>
      </c>
      <c r="W200" s="48">
        <f t="shared" si="53"/>
        <v>0.34390243902439033</v>
      </c>
      <c r="X200" s="48" t="str">
        <f t="shared" si="54"/>
        <v/>
      </c>
      <c r="Y200" s="48" t="str">
        <f t="shared" si="55"/>
        <v/>
      </c>
      <c r="Z200" s="80"/>
      <c r="AB200" s="13"/>
    </row>
    <row r="201" spans="1:28" ht="45">
      <c r="A201" s="9">
        <v>195297</v>
      </c>
      <c r="B201" s="21">
        <f>VLOOKUP($A201,'Выгр Кат'!$A:$R,B$1,0)</f>
        <v>3373</v>
      </c>
      <c r="C201" s="54" t="str">
        <f>VLOOKUP($A201,'Выгр Кат'!$A:$R,C$1,0)</f>
        <v>Поперечина передней подвески Drive, ПУ "AUTOPRODUCT" для ВАЗ 2110-2112, Лада (Приора, Приора 2)</v>
      </c>
      <c r="D201" s="21" t="str">
        <f>VLOOKUP($A201,'Выгр Кат'!$A:$R,D$1,0)</f>
        <v>Y</v>
      </c>
      <c r="E201" s="21" t="str">
        <f>VLOOKUP($A201,'Выгр Кат'!$A:$R,E$1,0)</f>
        <v>0</v>
      </c>
      <c r="F201" s="21" t="str">
        <f>VLOOKUP($A201,'Выгр Кат'!$A:$R,F$1,0)</f>
        <v>АР 0450</v>
      </c>
      <c r="G201" s="7" t="s">
        <v>519</v>
      </c>
      <c r="H201" s="6" t="s">
        <v>3</v>
      </c>
      <c r="I201" s="92">
        <f t="shared" si="46"/>
        <v>3455</v>
      </c>
      <c r="J201" s="8" t="e">
        <f t="shared" si="48"/>
        <v>#N/A</v>
      </c>
      <c r="K201" s="8" t="e">
        <f>VLOOKUP($G201,ПРАЙС!$B:$H,7,0)</f>
        <v>#N/A</v>
      </c>
      <c r="L201" s="8" t="e">
        <f t="shared" si="49"/>
        <v>#N/A</v>
      </c>
      <c r="M201" s="92">
        <f t="shared" si="47"/>
        <v>4590</v>
      </c>
      <c r="N201" s="94">
        <f t="shared" si="50"/>
        <v>4590</v>
      </c>
      <c r="O201" s="21">
        <f>VLOOKUP($A201,'Выгр Кат'!$A:$R,O$1,0)</f>
        <v>3455</v>
      </c>
      <c r="P201" s="21">
        <f>VLOOKUP($A201,'Выгр Кат'!$A:$R,P$1,0)</f>
        <v>4590</v>
      </c>
      <c r="Q201" s="70">
        <f t="shared" si="51"/>
        <v>0</v>
      </c>
      <c r="R201" s="70">
        <f t="shared" si="52"/>
        <v>0</v>
      </c>
      <c r="S201" s="85">
        <f t="shared" si="56"/>
        <v>4360.5</v>
      </c>
      <c r="T201" s="81" t="str">
        <f>IFERROR((VLOOKUP($A201,'Из ГУГЛа'!$B:$G,6,0)+V201)*U201,VLOOKUP($A201,'Из ГУГЛа'!$B:$G,6,0))</f>
        <v/>
      </c>
      <c r="U201" s="83">
        <v>1</v>
      </c>
      <c r="V201" s="83">
        <v>0</v>
      </c>
      <c r="W201" s="48">
        <f t="shared" si="53"/>
        <v>0.26208393632416782</v>
      </c>
      <c r="X201" s="48" t="str">
        <f t="shared" si="54"/>
        <v/>
      </c>
      <c r="Y201" s="48" t="str">
        <f t="shared" si="55"/>
        <v/>
      </c>
      <c r="Z201" s="80"/>
      <c r="AB201" s="13"/>
    </row>
    <row r="202" spans="1:28" ht="60">
      <c r="A202" s="9">
        <v>158702</v>
      </c>
      <c r="B202" s="21">
        <f>VLOOKUP($A202,'Выгр Кат'!$A:$R,B$1,0)</f>
        <v>19565</v>
      </c>
      <c r="C202" s="54" t="str">
        <f>VLOOKUP($A202,'Выгр Кат'!$A:$R,C$1,0)</f>
        <v>Комплект наконечника тяги рулевой трапеции в сборе левый со скруткой "AUTOPRODUCT" для Лада Нива 4x4, Шевроле Нива</v>
      </c>
      <c r="D202" s="21" t="str">
        <f>VLOOKUP($A202,'Выгр Кат'!$A:$R,D$1,0)</f>
        <v>Y</v>
      </c>
      <c r="E202" s="21" t="str">
        <f>VLOOKUP($A202,'Выгр Кат'!$A:$R,E$1,0)</f>
        <v>0</v>
      </c>
      <c r="F202" s="21" t="str">
        <f>VLOOKUP($A202,'Выгр Кат'!$A:$R,F$1,0)</f>
        <v>АР 0476</v>
      </c>
      <c r="G202" s="7" t="s">
        <v>520</v>
      </c>
      <c r="H202" s="6" t="s">
        <v>3</v>
      </c>
      <c r="I202" s="92">
        <f t="shared" si="46"/>
        <v>1365</v>
      </c>
      <c r="J202" s="8" t="e">
        <f t="shared" si="48"/>
        <v>#N/A</v>
      </c>
      <c r="K202" s="8" t="e">
        <f>VLOOKUP($G202,ПРАЙС!$B:$H,7,0)</f>
        <v>#N/A</v>
      </c>
      <c r="L202" s="8" t="e">
        <f t="shared" si="49"/>
        <v>#N/A</v>
      </c>
      <c r="M202" s="92">
        <f t="shared" si="47"/>
        <v>1890</v>
      </c>
      <c r="N202" s="94">
        <f t="shared" si="50"/>
        <v>1890</v>
      </c>
      <c r="O202" s="21">
        <f>VLOOKUP($A202,'Выгр Кат'!$A:$R,O$1,0)</f>
        <v>1365</v>
      </c>
      <c r="P202" s="21">
        <f>VLOOKUP($A202,'Выгр Кат'!$A:$R,P$1,0)</f>
        <v>1890</v>
      </c>
      <c r="Q202" s="70">
        <f t="shared" si="51"/>
        <v>0</v>
      </c>
      <c r="R202" s="70">
        <f t="shared" si="52"/>
        <v>0</v>
      </c>
      <c r="S202" s="85">
        <f t="shared" si="56"/>
        <v>1795.5</v>
      </c>
      <c r="T202" s="81" t="str">
        <f>IFERROR((VLOOKUP($A202,'Из ГУГЛа'!$B:$G,6,0)+V202)*U202,VLOOKUP($A202,'Из ГУГЛа'!$B:$G,6,0))</f>
        <v/>
      </c>
      <c r="U202" s="83">
        <v>1</v>
      </c>
      <c r="V202" s="83">
        <v>0</v>
      </c>
      <c r="W202" s="48">
        <f t="shared" si="53"/>
        <v>0.31538461538461537</v>
      </c>
      <c r="X202" s="48" t="str">
        <f t="shared" si="54"/>
        <v/>
      </c>
      <c r="Y202" s="48" t="str">
        <f t="shared" si="55"/>
        <v/>
      </c>
      <c r="Z202" s="80"/>
      <c r="AB202" s="13"/>
    </row>
    <row r="203" spans="1:28" ht="45">
      <c r="A203" s="9">
        <v>139091</v>
      </c>
      <c r="B203" s="21">
        <f>VLOOKUP($A203,'Выгр Кат'!$A:$R,B$1,0)</f>
        <v>19568</v>
      </c>
      <c r="C203" s="54" t="str">
        <f>VLOOKUP($A203,'Выгр Кат'!$A:$R,C$1,0)</f>
        <v>Валы привода передних колёс усиленные "AUTOPRODUCT" для Лада Нива 4x4, Шевроле Нива</v>
      </c>
      <c r="D203" s="21" t="str">
        <f>VLOOKUP($A203,'Выгр Кат'!$A:$R,D$1,0)</f>
        <v>Y</v>
      </c>
      <c r="E203" s="21" t="str">
        <f>VLOOKUP($A203,'Выгр Кат'!$A:$R,E$1,0)</f>
        <v>0</v>
      </c>
      <c r="F203" s="21" t="str">
        <f>VLOOKUP($A203,'Выгр Кат'!$A:$R,F$1,0)</f>
        <v>АР 0480 / АР21-2215070</v>
      </c>
      <c r="G203" s="7" t="s">
        <v>521</v>
      </c>
      <c r="H203" s="6" t="s">
        <v>3</v>
      </c>
      <c r="I203" s="92">
        <f t="shared" si="46"/>
        <v>5980</v>
      </c>
      <c r="J203" s="8" t="e">
        <f t="shared" si="48"/>
        <v>#N/A</v>
      </c>
      <c r="K203" s="8" t="e">
        <f>VLOOKUP($G203,ПРАЙС!$B:$H,7,0)</f>
        <v>#N/A</v>
      </c>
      <c r="L203" s="8" t="e">
        <f t="shared" si="49"/>
        <v>#N/A</v>
      </c>
      <c r="M203" s="92">
        <f t="shared" si="47"/>
        <v>8090</v>
      </c>
      <c r="N203" s="94">
        <f t="shared" si="50"/>
        <v>8090</v>
      </c>
      <c r="O203" s="21">
        <f>VLOOKUP($A203,'Выгр Кат'!$A:$R,O$1,0)</f>
        <v>5980</v>
      </c>
      <c r="P203" s="21">
        <f>VLOOKUP($A203,'Выгр Кат'!$A:$R,P$1,0)</f>
        <v>8090</v>
      </c>
      <c r="Q203" s="70">
        <f t="shared" si="51"/>
        <v>0</v>
      </c>
      <c r="R203" s="70">
        <f t="shared" si="52"/>
        <v>0</v>
      </c>
      <c r="S203" s="85">
        <f t="shared" si="56"/>
        <v>7685.5</v>
      </c>
      <c r="T203" s="81" t="str">
        <f>IFERROR((VLOOKUP($A203,'Из ГУГЛа'!$B:$G,6,0)+V203)*U203,VLOOKUP($A203,'Из ГУГЛа'!$B:$G,6,0))</f>
        <v/>
      </c>
      <c r="U203" s="83">
        <v>1</v>
      </c>
      <c r="V203" s="83">
        <v>0</v>
      </c>
      <c r="W203" s="48">
        <f t="shared" si="53"/>
        <v>0.28520066889632112</v>
      </c>
      <c r="X203" s="48" t="str">
        <f t="shared" si="54"/>
        <v/>
      </c>
      <c r="Y203" s="48" t="str">
        <f t="shared" si="55"/>
        <v/>
      </c>
      <c r="Z203" s="80"/>
      <c r="AB203" s="13"/>
    </row>
    <row r="204" spans="1:28" ht="30">
      <c r="A204" s="9">
        <v>223672</v>
      </c>
      <c r="B204" s="21">
        <f>VLOOKUP($A204,'Выгр Кат'!$A:$R,B$1,0)</f>
        <v>3730</v>
      </c>
      <c r="C204" s="54" t="str">
        <f>VLOOKUP($A204,'Выгр Кат'!$A:$R,C$1,0)</f>
        <v>Усилитель раздаточной коробки "AUTOPRODUCT" для Лада Нива 4х4</v>
      </c>
      <c r="D204" s="21" t="str">
        <f>VLOOKUP($A204,'Выгр Кат'!$A:$R,D$1,0)</f>
        <v>Y</v>
      </c>
      <c r="E204" s="21" t="str">
        <f>VLOOKUP($A204,'Выгр Кат'!$A:$R,E$1,0)</f>
        <v>0</v>
      </c>
      <c r="F204" s="21" t="str">
        <f>VLOOKUP($A204,'Выгр Кат'!$A:$R,F$1,0)</f>
        <v>АР 0481</v>
      </c>
      <c r="G204" s="7" t="s">
        <v>522</v>
      </c>
      <c r="H204" s="6" t="s">
        <v>3</v>
      </c>
      <c r="I204" s="92">
        <f t="shared" si="46"/>
        <v>1530</v>
      </c>
      <c r="J204" s="8" t="e">
        <f t="shared" si="48"/>
        <v>#N/A</v>
      </c>
      <c r="K204" s="8" t="e">
        <f>VLOOKUP($G204,ПРАЙС!$B:$H,7,0)</f>
        <v>#N/A</v>
      </c>
      <c r="L204" s="8" t="e">
        <f t="shared" si="49"/>
        <v>#N/A</v>
      </c>
      <c r="M204" s="92">
        <f t="shared" si="47"/>
        <v>1990</v>
      </c>
      <c r="N204" s="94">
        <f t="shared" si="50"/>
        <v>1990</v>
      </c>
      <c r="O204" s="21">
        <f>VLOOKUP($A204,'Выгр Кат'!$A:$R,O$1,0)</f>
        <v>1530</v>
      </c>
      <c r="P204" s="21">
        <f>VLOOKUP($A204,'Выгр Кат'!$A:$R,P$1,0)</f>
        <v>1990</v>
      </c>
      <c r="Q204" s="70">
        <f t="shared" si="51"/>
        <v>0</v>
      </c>
      <c r="R204" s="70">
        <f t="shared" si="52"/>
        <v>0</v>
      </c>
      <c r="S204" s="85">
        <f t="shared" si="56"/>
        <v>1890.5</v>
      </c>
      <c r="T204" s="81" t="str">
        <f>IFERROR((VLOOKUP($A204,'Из ГУГЛа'!$B:$G,6,0)+V204)*U204,VLOOKUP($A204,'Из ГУГЛа'!$B:$G,6,0))</f>
        <v/>
      </c>
      <c r="U204" s="83">
        <v>1</v>
      </c>
      <c r="V204" s="83">
        <v>0</v>
      </c>
      <c r="W204" s="48">
        <f t="shared" si="53"/>
        <v>0.23562091503267979</v>
      </c>
      <c r="X204" s="48" t="str">
        <f t="shared" si="54"/>
        <v/>
      </c>
      <c r="Y204" s="48" t="str">
        <f t="shared" si="55"/>
        <v/>
      </c>
      <c r="Z204" s="80"/>
      <c r="AB204" s="13"/>
    </row>
    <row r="205" spans="1:28" ht="45">
      <c r="A205" s="9">
        <v>201857</v>
      </c>
      <c r="B205" s="21">
        <f>VLOOKUP($A205,'Выгр Кат'!$A:$R,B$1,0)</f>
        <v>16463</v>
      </c>
      <c r="C205" s="54" t="str">
        <f>VLOOKUP($A205,'Выгр Кат'!$A:$R,C$1,0)</f>
        <v>Пружина передней подвески -30 серии Drive для Lada Kalina, Kalina 2, Granta, Datsun</v>
      </c>
      <c r="D205" s="21" t="str">
        <f>VLOOKUP($A205,'Выгр Кат'!$A:$R,D$1,0)</f>
        <v>Y</v>
      </c>
      <c r="E205" s="21" t="str">
        <f>VLOOKUP($A205,'Выгр Кат'!$A:$R,E$1,0)</f>
        <v>0</v>
      </c>
      <c r="F205" s="21" t="str">
        <f>VLOOKUP($A205,'Выгр Кат'!$A:$R,F$1,0)</f>
        <v>АР 0510</v>
      </c>
      <c r="G205" s="7" t="s">
        <v>523</v>
      </c>
      <c r="H205" s="6" t="s">
        <v>3</v>
      </c>
      <c r="I205" s="92">
        <f t="shared" si="46"/>
        <v>2900</v>
      </c>
      <c r="J205" s="8" t="e">
        <f t="shared" si="48"/>
        <v>#N/A</v>
      </c>
      <c r="K205" s="8" t="e">
        <f>VLOOKUP($G205,ПРАЙС!$B:$H,7,0)</f>
        <v>#N/A</v>
      </c>
      <c r="L205" s="8" t="e">
        <f t="shared" si="49"/>
        <v>#N/A</v>
      </c>
      <c r="M205" s="92">
        <f t="shared" si="47"/>
        <v>3590</v>
      </c>
      <c r="N205" s="94">
        <f t="shared" si="50"/>
        <v>3590</v>
      </c>
      <c r="O205" s="21">
        <f>VLOOKUP($A205,'Выгр Кат'!$A:$R,O$1,0)</f>
        <v>2900</v>
      </c>
      <c r="P205" s="21">
        <f>VLOOKUP($A205,'Выгр Кат'!$A:$R,P$1,0)</f>
        <v>3590</v>
      </c>
      <c r="Q205" s="70">
        <f t="shared" si="51"/>
        <v>0</v>
      </c>
      <c r="R205" s="70">
        <f t="shared" si="52"/>
        <v>0</v>
      </c>
      <c r="S205" s="85">
        <f t="shared" si="56"/>
        <v>3410.5</v>
      </c>
      <c r="T205" s="81" t="str">
        <f>IFERROR((VLOOKUP($A205,'Из ГУГЛа'!$B:$G,6,0)+V205)*U205,VLOOKUP($A205,'Из ГУГЛа'!$B:$G,6,0))</f>
        <v/>
      </c>
      <c r="U205" s="83">
        <v>1</v>
      </c>
      <c r="V205" s="83">
        <v>0</v>
      </c>
      <c r="W205" s="48">
        <f t="shared" si="53"/>
        <v>0.17603448275862066</v>
      </c>
      <c r="X205" s="48" t="str">
        <f t="shared" si="54"/>
        <v/>
      </c>
      <c r="Y205" s="48" t="str">
        <f t="shared" si="55"/>
        <v/>
      </c>
      <c r="Z205" s="80"/>
      <c r="AB205" s="13"/>
    </row>
    <row r="206" spans="1:28" ht="60">
      <c r="A206" s="9">
        <v>217354</v>
      </c>
      <c r="B206" s="21">
        <f>VLOOKUP($A206,'Выгр Кат'!$A:$R,B$1,0)</f>
        <v>19577</v>
      </c>
      <c r="C206" s="54" t="str">
        <f>VLOOKUP($A206,'Выгр Кат'!$A:$R,C$1,0)</f>
        <v>Стабилизатор поперечной устойчивости (18 мм) "AUTOPRODUCT" для Лада Калина, Калина 2, Гранта</v>
      </c>
      <c r="D206" s="21" t="str">
        <f>VLOOKUP($A206,'Выгр Кат'!$A:$R,D$1,0)</f>
        <v>Y</v>
      </c>
      <c r="E206" s="21" t="str">
        <f>VLOOKUP($A206,'Выгр Кат'!$A:$R,E$1,0)</f>
        <v>0</v>
      </c>
      <c r="F206" s="21" t="str">
        <f>VLOOKUP($A206,'Выгр Кат'!$A:$R,F$1,0)</f>
        <v>АР 0576</v>
      </c>
      <c r="G206" s="7" t="s">
        <v>524</v>
      </c>
      <c r="H206" s="6" t="s">
        <v>3</v>
      </c>
      <c r="I206" s="92">
        <f t="shared" si="46"/>
        <v>0</v>
      </c>
      <c r="J206" s="8" t="e">
        <f t="shared" si="48"/>
        <v>#N/A</v>
      </c>
      <c r="K206" s="8" t="e">
        <f>VLOOKUP($G206,ПРАЙС!$B:$H,7,0)</f>
        <v>#N/A</v>
      </c>
      <c r="L206" s="8" t="e">
        <f t="shared" si="49"/>
        <v>#N/A</v>
      </c>
      <c r="M206" s="92">
        <f t="shared" si="47"/>
        <v>2490</v>
      </c>
      <c r="N206" s="94">
        <f t="shared" si="50"/>
        <v>2490</v>
      </c>
      <c r="O206" s="21">
        <f>VLOOKUP($A206,'Выгр Кат'!$A:$R,O$1,0)</f>
        <v>0</v>
      </c>
      <c r="P206" s="21">
        <f>VLOOKUP($A206,'Выгр Кат'!$A:$R,P$1,0)</f>
        <v>2490</v>
      </c>
      <c r="Q206" s="70">
        <f t="shared" si="51"/>
        <v>0</v>
      </c>
      <c r="R206" s="70">
        <f t="shared" si="52"/>
        <v>0</v>
      </c>
      <c r="S206" s="85">
        <f t="shared" si="56"/>
        <v>2365.5</v>
      </c>
      <c r="T206" s="81" t="str">
        <f>IFERROR((VLOOKUP($A206,'Из ГУГЛа'!$B:$G,6,0)+V206)*U206,VLOOKUP($A206,'Из ГУГЛа'!$B:$G,6,0))</f>
        <v/>
      </c>
      <c r="U206" s="83">
        <v>1</v>
      </c>
      <c r="V206" s="83">
        <v>0</v>
      </c>
      <c r="W206" s="48" t="str">
        <f t="shared" si="53"/>
        <v/>
      </c>
      <c r="X206" s="48" t="str">
        <f t="shared" si="54"/>
        <v/>
      </c>
      <c r="Y206" s="48" t="str">
        <f t="shared" si="55"/>
        <v/>
      </c>
      <c r="Z206" s="80"/>
      <c r="AB206" s="13"/>
    </row>
    <row r="207" spans="1:28" ht="45">
      <c r="A207" s="9">
        <v>201941</v>
      </c>
      <c r="B207" s="21">
        <f>VLOOKUP($A207,'Выгр Кат'!$A:$R,B$1,0)</f>
        <v>16443</v>
      </c>
      <c r="C207" s="54" t="str">
        <f>VLOOKUP($A207,'Выгр Кат'!$A:$R,C$1,0)</f>
        <v>Пружины передней подвески -40 серии Drive "AUTOPRODUCT" для Лада Веста</v>
      </c>
      <c r="D207" s="21" t="str">
        <f>VLOOKUP($A207,'Выгр Кат'!$A:$R,D$1,0)</f>
        <v>Y</v>
      </c>
      <c r="E207" s="21" t="str">
        <f>VLOOKUP($A207,'Выгр Кат'!$A:$R,E$1,0)</f>
        <v>0</v>
      </c>
      <c r="F207" s="21" t="str">
        <f>VLOOKUP($A207,'Выгр Кат'!$A:$R,F$1,0)</f>
        <v>АР 0675</v>
      </c>
      <c r="G207" s="7" t="s">
        <v>525</v>
      </c>
      <c r="H207" s="6" t="s">
        <v>3</v>
      </c>
      <c r="I207" s="92">
        <f t="shared" si="46"/>
        <v>3890</v>
      </c>
      <c r="J207" s="8" t="e">
        <f t="shared" si="48"/>
        <v>#N/A</v>
      </c>
      <c r="K207" s="8" t="e">
        <f>VLOOKUP($G207,ПРАЙС!$B:$H,7,0)</f>
        <v>#N/A</v>
      </c>
      <c r="L207" s="8" t="e">
        <f t="shared" si="49"/>
        <v>#N/A</v>
      </c>
      <c r="M207" s="92">
        <f t="shared" si="47"/>
        <v>4790</v>
      </c>
      <c r="N207" s="94">
        <f t="shared" si="50"/>
        <v>4790</v>
      </c>
      <c r="O207" s="21">
        <f>VLOOKUP($A207,'Выгр Кат'!$A:$R,O$1,0)</f>
        <v>3890</v>
      </c>
      <c r="P207" s="21">
        <f>VLOOKUP($A207,'Выгр Кат'!$A:$R,P$1,0)</f>
        <v>4790</v>
      </c>
      <c r="Q207" s="70">
        <f t="shared" si="51"/>
        <v>0</v>
      </c>
      <c r="R207" s="70">
        <f t="shared" si="52"/>
        <v>0</v>
      </c>
      <c r="S207" s="85">
        <f t="shared" si="56"/>
        <v>4550.5</v>
      </c>
      <c r="T207" s="81" t="str">
        <f>IFERROR((VLOOKUP($A207,'Из ГУГЛа'!$B:$G,6,0)+V207)*U207,VLOOKUP($A207,'Из ГУГЛа'!$B:$G,6,0))</f>
        <v/>
      </c>
      <c r="U207" s="83">
        <v>1</v>
      </c>
      <c r="V207" s="83">
        <v>0</v>
      </c>
      <c r="W207" s="48">
        <f t="shared" si="53"/>
        <v>0.16979434447300767</v>
      </c>
      <c r="X207" s="48" t="str">
        <f t="shared" si="54"/>
        <v/>
      </c>
      <c r="Y207" s="48" t="str">
        <f t="shared" si="55"/>
        <v/>
      </c>
      <c r="Z207" s="80"/>
      <c r="AB207" s="13"/>
    </row>
    <row r="208" spans="1:28" ht="30">
      <c r="A208" s="9">
        <v>201877</v>
      </c>
      <c r="B208" s="21">
        <f>VLOOKUP($A208,'Выгр Кат'!$A:$R,B$1,0)</f>
        <v>19588</v>
      </c>
      <c r="C208" s="54" t="str">
        <f>VLOOKUP($A208,'Выгр Кат'!$A:$R,C$1,0)</f>
        <v>Пружины задней подвески -40 серии Drive "AUTOPRODUCT" для Лада Веста</v>
      </c>
      <c r="D208" s="21" t="str">
        <f>VLOOKUP($A208,'Выгр Кат'!$A:$R,D$1,0)</f>
        <v>Y</v>
      </c>
      <c r="E208" s="21" t="str">
        <f>VLOOKUP($A208,'Выгр Кат'!$A:$R,E$1,0)</f>
        <v>0</v>
      </c>
      <c r="F208" s="21" t="str">
        <f>VLOOKUP($A208,'Выгр Кат'!$A:$R,F$1,0)</f>
        <v>АР 0676</v>
      </c>
      <c r="G208" s="7" t="s">
        <v>526</v>
      </c>
      <c r="H208" s="6" t="s">
        <v>3</v>
      </c>
      <c r="I208" s="92">
        <f t="shared" si="46"/>
        <v>4050</v>
      </c>
      <c r="J208" s="8" t="e">
        <f t="shared" si="48"/>
        <v>#N/A</v>
      </c>
      <c r="K208" s="8" t="e">
        <f>VLOOKUP($G208,ПРАЙС!$B:$H,7,0)</f>
        <v>#N/A</v>
      </c>
      <c r="L208" s="8" t="e">
        <f t="shared" si="49"/>
        <v>#N/A</v>
      </c>
      <c r="M208" s="92">
        <f t="shared" si="47"/>
        <v>5690</v>
      </c>
      <c r="N208" s="94">
        <f t="shared" si="50"/>
        <v>5690</v>
      </c>
      <c r="O208" s="21">
        <f>VLOOKUP($A208,'Выгр Кат'!$A:$R,O$1,0)</f>
        <v>4050</v>
      </c>
      <c r="P208" s="21">
        <f>VLOOKUP($A208,'Выгр Кат'!$A:$R,P$1,0)</f>
        <v>5690</v>
      </c>
      <c r="Q208" s="70">
        <f t="shared" si="51"/>
        <v>0</v>
      </c>
      <c r="R208" s="70">
        <f t="shared" si="52"/>
        <v>0</v>
      </c>
      <c r="S208" s="85">
        <f t="shared" si="56"/>
        <v>5405.5</v>
      </c>
      <c r="T208" s="81" t="str">
        <f>IFERROR((VLOOKUP($A208,'Из ГУГЛа'!$B:$G,6,0)+V208)*U208,VLOOKUP($A208,'Из ГУГЛа'!$B:$G,6,0))</f>
        <v/>
      </c>
      <c r="U208" s="83">
        <v>1</v>
      </c>
      <c r="V208" s="83">
        <v>0</v>
      </c>
      <c r="W208" s="48">
        <f t="shared" si="53"/>
        <v>0.3346913580246913</v>
      </c>
      <c r="X208" s="48" t="str">
        <f t="shared" si="54"/>
        <v/>
      </c>
      <c r="Y208" s="48" t="str">
        <f t="shared" si="55"/>
        <v/>
      </c>
      <c r="Z208" s="80"/>
      <c r="AB208" s="13"/>
    </row>
    <row r="209" spans="1:28" ht="30">
      <c r="A209" s="15">
        <v>223322</v>
      </c>
      <c r="B209" s="21">
        <f>VLOOKUP($A209,'Выгр Кат'!$A:$R,B$1,0)</f>
        <v>19590</v>
      </c>
      <c r="C209" s="54" t="str">
        <f>VLOOKUP($A209,'Выгр Кат'!$A:$R,C$1,0)</f>
        <v>Упор капота "AUTOPRODUCT" для Лада Веста</v>
      </c>
      <c r="D209" s="21" t="str">
        <f>VLOOKUP($A209,'Выгр Кат'!$A:$R,D$1,0)</f>
        <v>Y</v>
      </c>
      <c r="E209" s="21" t="str">
        <f>VLOOKUP($A209,'Выгр Кат'!$A:$R,E$1,0)</f>
        <v>0</v>
      </c>
      <c r="F209" s="21" t="str">
        <f>VLOOKUP($A209,'Выгр Кат'!$A:$R,F$1,0)</f>
        <v>АР 0687</v>
      </c>
      <c r="G209" s="7" t="s">
        <v>527</v>
      </c>
      <c r="H209" s="6" t="s">
        <v>3</v>
      </c>
      <c r="I209" s="92">
        <f t="shared" si="46"/>
        <v>1575</v>
      </c>
      <c r="J209" s="8" t="e">
        <f t="shared" si="48"/>
        <v>#N/A</v>
      </c>
      <c r="K209" s="8" t="e">
        <f>VLOOKUP($G209,ПРАЙС!$B:$H,7,0)</f>
        <v>#N/A</v>
      </c>
      <c r="L209" s="8" t="e">
        <f t="shared" si="49"/>
        <v>#N/A</v>
      </c>
      <c r="M209" s="92">
        <f t="shared" si="47"/>
        <v>2390</v>
      </c>
      <c r="N209" s="94">
        <f t="shared" si="50"/>
        <v>2390</v>
      </c>
      <c r="O209" s="21">
        <f>VLOOKUP($A209,'Выгр Кат'!$A:$R,O$1,0)</f>
        <v>1575</v>
      </c>
      <c r="P209" s="21">
        <f>VLOOKUP($A209,'Выгр Кат'!$A:$R,P$1,0)</f>
        <v>2390</v>
      </c>
      <c r="Q209" s="70">
        <f t="shared" si="51"/>
        <v>0</v>
      </c>
      <c r="R209" s="70">
        <f t="shared" si="52"/>
        <v>0</v>
      </c>
      <c r="S209" s="85">
        <f t="shared" si="56"/>
        <v>2270.5</v>
      </c>
      <c r="T209" s="81" t="str">
        <f>IFERROR((VLOOKUP($A209,'Из ГУГЛа'!$B:$G,6,0)+V209)*U209,VLOOKUP($A209,'Из ГУГЛа'!$B:$G,6,0))</f>
        <v/>
      </c>
      <c r="U209" s="83">
        <v>1</v>
      </c>
      <c r="V209" s="83">
        <v>0</v>
      </c>
      <c r="W209" s="48">
        <f t="shared" si="53"/>
        <v>0.44158730158730153</v>
      </c>
      <c r="X209" s="48" t="str">
        <f t="shared" si="54"/>
        <v/>
      </c>
      <c r="Y209" s="48" t="str">
        <f t="shared" si="55"/>
        <v/>
      </c>
      <c r="Z209" s="80"/>
      <c r="AB209" s="13"/>
    </row>
    <row r="210" spans="1:28" ht="30">
      <c r="A210" s="15">
        <v>202760</v>
      </c>
      <c r="B210" s="21">
        <f>VLOOKUP($A210,'Выгр Кат'!$A:$R,B$1,0)</f>
        <v>19591</v>
      </c>
      <c r="C210" s="54" t="str">
        <f>VLOOKUP($A210,'Выгр Кат'!$A:$R,C$1,0)</f>
        <v>Распорка передняя с упором капота "AUTOPRODUCT" для Лада Веста</v>
      </c>
      <c r="D210" s="21" t="str">
        <f>VLOOKUP($A210,'Выгр Кат'!$A:$R,D$1,0)</f>
        <v>Y</v>
      </c>
      <c r="E210" s="21" t="str">
        <f>VLOOKUP($A210,'Выгр Кат'!$A:$R,E$1,0)</f>
        <v>0</v>
      </c>
      <c r="F210" s="21" t="str">
        <f>VLOOKUP($A210,'Выгр Кат'!$A:$R,F$1,0)</f>
        <v>АР 0693</v>
      </c>
      <c r="G210" s="7" t="s">
        <v>720</v>
      </c>
      <c r="H210" s="6" t="s">
        <v>3</v>
      </c>
      <c r="I210" s="92">
        <f t="shared" si="46"/>
        <v>2685</v>
      </c>
      <c r="J210" s="8" t="e">
        <f t="shared" si="48"/>
        <v>#N/A</v>
      </c>
      <c r="K210" s="8" t="e">
        <f>VLOOKUP($G210,ПРАЙС!$B:$H,7,0)</f>
        <v>#N/A</v>
      </c>
      <c r="L210" s="8" t="e">
        <f t="shared" si="49"/>
        <v>#N/A</v>
      </c>
      <c r="M210" s="92">
        <f t="shared" si="47"/>
        <v>3590</v>
      </c>
      <c r="N210" s="94">
        <f t="shared" si="50"/>
        <v>3590</v>
      </c>
      <c r="O210" s="21">
        <f>VLOOKUP($A210,'Выгр Кат'!$A:$R,O$1,0)</f>
        <v>2685</v>
      </c>
      <c r="P210" s="21">
        <f>VLOOKUP($A210,'Выгр Кат'!$A:$R,P$1,0)</f>
        <v>3590</v>
      </c>
      <c r="Q210" s="70">
        <f t="shared" si="51"/>
        <v>0</v>
      </c>
      <c r="R210" s="70">
        <f t="shared" si="52"/>
        <v>0</v>
      </c>
      <c r="S210" s="85">
        <f t="shared" si="56"/>
        <v>3410.5</v>
      </c>
      <c r="T210" s="81" t="str">
        <f>IFERROR((VLOOKUP($A210,'Из ГУГЛа'!$B:$G,6,0)+V210)*U210,VLOOKUP($A210,'Из ГУГЛа'!$B:$G,6,0))</f>
        <v/>
      </c>
      <c r="U210" s="83">
        <v>1</v>
      </c>
      <c r="V210" s="83">
        <v>0</v>
      </c>
      <c r="W210" s="48">
        <f t="shared" si="53"/>
        <v>0.27020484171322168</v>
      </c>
      <c r="X210" s="48" t="str">
        <f t="shared" si="54"/>
        <v/>
      </c>
      <c r="Y210" s="48" t="str">
        <f t="shared" si="55"/>
        <v/>
      </c>
      <c r="Z210" s="80"/>
      <c r="AB210" s="13"/>
    </row>
    <row r="211" spans="1:28" ht="60">
      <c r="A211" s="15">
        <v>212990</v>
      </c>
      <c r="B211" s="21">
        <f>VLOOKUP($A211,'Выгр Кат'!$A:$R,B$1,0)</f>
        <v>3712</v>
      </c>
      <c r="C211" s="54" t="str">
        <f>VLOOKUP($A211,'Выгр Кат'!$A:$R,C$1,0)</f>
        <v>Рычаг задний в сборе R1 Sprint "AUTOPRODUCT" для ВАЗ (2108-21099, 2110-2112, 2113-2115), Лада (Калина, Калина 2, Приора, Гранта)</v>
      </c>
      <c r="D211" s="21" t="str">
        <f>VLOOKUP($A211,'Выгр Кат'!$A:$R,D$1,0)</f>
        <v>Y</v>
      </c>
      <c r="E211" s="21" t="str">
        <f>VLOOKUP($A211,'Выгр Кат'!$A:$R,E$1,0)</f>
        <v>0</v>
      </c>
      <c r="F211" s="21" t="str">
        <f>VLOOKUP($A211,'Выгр Кат'!$A:$R,F$1,0)</f>
        <v>АР-S 2454</v>
      </c>
      <c r="G211" s="7" t="s">
        <v>719</v>
      </c>
      <c r="H211" s="6" t="s">
        <v>3</v>
      </c>
      <c r="I211" s="92">
        <f t="shared" si="46"/>
        <v>15300</v>
      </c>
      <c r="J211" s="8" t="e">
        <f t="shared" si="48"/>
        <v>#N/A</v>
      </c>
      <c r="K211" s="8" t="e">
        <f>VLOOKUP($G211,ПРАЙС!$B:$H,7,0)</f>
        <v>#N/A</v>
      </c>
      <c r="L211" s="8" t="e">
        <f t="shared" si="49"/>
        <v>#N/A</v>
      </c>
      <c r="M211" s="92">
        <f t="shared" si="47"/>
        <v>18590</v>
      </c>
      <c r="N211" s="94">
        <f t="shared" si="50"/>
        <v>18590</v>
      </c>
      <c r="O211" s="21">
        <f>VLOOKUP($A211,'Выгр Кат'!$A:$R,O$1,0)</f>
        <v>15300</v>
      </c>
      <c r="P211" s="21">
        <f>VLOOKUP($A211,'Выгр Кат'!$A:$R,P$1,0)</f>
        <v>18590</v>
      </c>
      <c r="Q211" s="70">
        <f t="shared" si="51"/>
        <v>0</v>
      </c>
      <c r="R211" s="70">
        <f t="shared" si="52"/>
        <v>0</v>
      </c>
      <c r="S211" s="85">
        <f t="shared" si="56"/>
        <v>17660.5</v>
      </c>
      <c r="T211" s="81" t="str">
        <f>IFERROR((VLOOKUP($A211,'Из ГУГЛа'!$B:$G,6,0)+V211)*U211,VLOOKUP($A211,'Из ГУГЛа'!$B:$G,6,0))</f>
        <v/>
      </c>
      <c r="U211" s="83">
        <v>1</v>
      </c>
      <c r="V211" s="83">
        <v>0</v>
      </c>
      <c r="W211" s="48">
        <f t="shared" si="53"/>
        <v>0.15428104575163393</v>
      </c>
      <c r="X211" s="48" t="str">
        <f t="shared" si="54"/>
        <v/>
      </c>
      <c r="Y211" s="48" t="str">
        <f t="shared" si="55"/>
        <v/>
      </c>
      <c r="Z211" s="80"/>
      <c r="AB211" s="13"/>
    </row>
    <row r="212" spans="1:28" ht="60">
      <c r="A212" s="15">
        <v>212989</v>
      </c>
      <c r="B212" s="21">
        <f>VLOOKUP($A212,'Выгр Кат'!$A:$R,B$1,0)</f>
        <v>3713</v>
      </c>
      <c r="C212" s="54" t="str">
        <f>VLOOKUP($A212,'Выгр Кат'!$A:$R,C$1,0)</f>
        <v>Рычаг задний в сборе R1 "AUTOPRODUCT" для ВАЗ (2108-21099, 2110-2112, 2113-2115), Лада (Калина, Калина 2, Приора, Гранта)</v>
      </c>
      <c r="D212" s="21" t="str">
        <f>VLOOKUP($A212,'Выгр Кат'!$A:$R,D$1,0)</f>
        <v>Y</v>
      </c>
      <c r="E212" s="21" t="str">
        <f>VLOOKUP($A212,'Выгр Кат'!$A:$R,E$1,0)</f>
        <v>0</v>
      </c>
      <c r="F212" s="21" t="str">
        <f>VLOOKUP($A212,'Выгр Кат'!$A:$R,F$1,0)</f>
        <v>АР-S 2455</v>
      </c>
      <c r="G212" s="7" t="s">
        <v>718</v>
      </c>
      <c r="H212" s="6" t="s">
        <v>3</v>
      </c>
      <c r="I212" s="92">
        <f t="shared" si="46"/>
        <v>16100</v>
      </c>
      <c r="J212" s="8" t="e">
        <f t="shared" si="48"/>
        <v>#N/A</v>
      </c>
      <c r="K212" s="8" t="e">
        <f>VLOOKUP($G212,ПРАЙС!$B:$H,7,0)</f>
        <v>#N/A</v>
      </c>
      <c r="L212" s="8" t="e">
        <f t="shared" si="49"/>
        <v>#N/A</v>
      </c>
      <c r="M212" s="92">
        <f t="shared" si="47"/>
        <v>19490</v>
      </c>
      <c r="N212" s="94">
        <f t="shared" si="50"/>
        <v>19490</v>
      </c>
      <c r="O212" s="21">
        <f>VLOOKUP($A212,'Выгр Кат'!$A:$R,O$1,0)</f>
        <v>16100</v>
      </c>
      <c r="P212" s="21">
        <f>VLOOKUP($A212,'Выгр Кат'!$A:$R,P$1,0)</f>
        <v>19490</v>
      </c>
      <c r="Q212" s="70">
        <f t="shared" si="51"/>
        <v>0</v>
      </c>
      <c r="R212" s="70">
        <f t="shared" si="52"/>
        <v>0</v>
      </c>
      <c r="S212" s="85">
        <f t="shared" si="56"/>
        <v>18515.5</v>
      </c>
      <c r="T212" s="81" t="str">
        <f>IFERROR((VLOOKUP($A212,'Из ГУГЛа'!$B:$G,6,0)+V212)*U212,VLOOKUP($A212,'Из ГУГЛа'!$B:$G,6,0))</f>
        <v/>
      </c>
      <c r="U212" s="83">
        <v>1</v>
      </c>
      <c r="V212" s="83">
        <v>0</v>
      </c>
      <c r="W212" s="48">
        <f t="shared" si="53"/>
        <v>0.15003105590062105</v>
      </c>
      <c r="X212" s="48" t="str">
        <f t="shared" si="54"/>
        <v/>
      </c>
      <c r="Y212" s="48" t="str">
        <f t="shared" si="55"/>
        <v/>
      </c>
      <c r="Z212" s="80"/>
      <c r="AB212" s="13"/>
    </row>
    <row r="214" spans="1:28">
      <c r="M214" s="95">
        <f>I214*L214</f>
        <v>0</v>
      </c>
    </row>
    <row r="215" spans="1:28">
      <c r="M215" s="86">
        <f>Z215*1</f>
        <v>0</v>
      </c>
    </row>
    <row r="216" spans="1:28">
      <c r="M216" s="87">
        <f>Z216*1.02</f>
        <v>0</v>
      </c>
    </row>
    <row r="217" spans="1:28">
      <c r="M217" s="88">
        <f>Z217*1.04</f>
        <v>0</v>
      </c>
    </row>
    <row r="218" spans="1:28">
      <c r="M218" s="89">
        <f>Z218*1.05</f>
        <v>0</v>
      </c>
    </row>
    <row r="219" spans="1:28">
      <c r="M219" s="89">
        <f>Z219*1.06</f>
        <v>0</v>
      </c>
    </row>
    <row r="220" spans="1:28">
      <c r="M220" s="90">
        <f>Z220*1.07</f>
        <v>0</v>
      </c>
    </row>
    <row r="221" spans="1:28">
      <c r="M221" s="91">
        <f>Z221*1.08</f>
        <v>0</v>
      </c>
    </row>
    <row r="222" spans="1:28">
      <c r="M222" s="96">
        <f>I222*1.15*100/93</f>
        <v>0</v>
      </c>
    </row>
  </sheetData>
  <autoFilter ref="A2:AB212" xr:uid="{CDB77DDC-8161-4DE3-AC5B-171103531659}"/>
  <conditionalFormatting sqref="A3:A212">
    <cfRule type="expression" dxfId="10" priority="6">
      <formula>AND($Q3=0,$R3=0)</formula>
    </cfRule>
  </conditionalFormatting>
  <conditionalFormatting sqref="W3:W212">
    <cfRule type="cellIs" dxfId="9" priority="5" operator="lessThan">
      <formula>0.15</formula>
    </cfRule>
  </conditionalFormatting>
  <conditionalFormatting sqref="X3:X212">
    <cfRule type="cellIs" dxfId="8" priority="4" operator="lessThan">
      <formula>0%</formula>
    </cfRule>
  </conditionalFormatting>
  <conditionalFormatting sqref="Y3:Y212">
    <cfRule type="cellIs" dxfId="7" priority="3" operator="lessThan">
      <formula>0.15</formula>
    </cfRule>
  </conditionalFormatting>
  <conditionalFormatting sqref="C3:C212">
    <cfRule type="expression" dxfId="6" priority="2">
      <formula>OR(D3="N",E3="0")</formula>
    </cfRule>
  </conditionalFormatting>
  <conditionalFormatting sqref="T2:T212">
    <cfRule type="expression" dxfId="5" priority="1">
      <formula>VALUE(T2)&lt;&gt;Z2</formula>
    </cfRule>
  </conditionalFormatting>
  <hyperlinks>
    <hyperlink ref="AB127" r:id="rId1" display="https://autoproduct.biz/catalog/item/223/" xr:uid="{31B8A401-70C8-4699-9D47-2457B0B0B411}"/>
    <hyperlink ref="AB173" r:id="rId2" display="https://autoproduct.biz/catalog/item/287/" xr:uid="{A419CF1F-E73E-40A2-A08F-D01D69683BB3}"/>
    <hyperlink ref="AB6" r:id="rId3" display="https://autoproduct.biz/catalog/item/357/" xr:uid="{05DE2B22-F642-4661-B3FC-E62A901EEF70}"/>
    <hyperlink ref="AB34" r:id="rId4" display="https://autoproduct.biz/catalog/item/196/" xr:uid="{1C1743C2-8C95-4341-ACB4-644B44EBA2DF}"/>
    <hyperlink ref="AB42" r:id="rId5" display="https://autoproduct.biz/catalog/item/42/" xr:uid="{6A0254FF-63A0-4EE6-BEAD-C9082D4C1C5A}"/>
    <hyperlink ref="AB47" r:id="rId6" display="https://autoproduct.biz/catalog/item/57/" xr:uid="{3AE0BC25-B22E-4FAC-BBD6-B65ED6C7C0ED}"/>
    <hyperlink ref="AB55" r:id="rId7" display="https://autoproduct.biz/catalog/item/420/" xr:uid="{A8471B4B-C357-4492-A26B-860582028DD3}"/>
    <hyperlink ref="AB72" r:id="rId8" display="https://autoproduct.biz/catalog/item/432/" xr:uid="{9949D432-8A2D-4C8C-B894-79BF0B233227}"/>
    <hyperlink ref="AB79" r:id="rId9" display="https://autoproduct.biz/catalog/item/229/" xr:uid="{ABD9DFA7-E286-44E2-A14C-9FB8585DB200}"/>
    <hyperlink ref="AB89" r:id="rId10" display="https://autoproduct.biz/catalog/item/41/" xr:uid="{B3607538-2BD3-44FB-92E5-A9A6E97B5A6C}"/>
    <hyperlink ref="AB93" r:id="rId11" display="https://autoproduct.biz/catalog/item/538/" xr:uid="{EEB03C1C-7F95-4C1C-B3C5-78F1E7E898A1}"/>
    <hyperlink ref="AB100" r:id="rId12" display="https://autoproduct.biz/catalog/item/339/" xr:uid="{469A8888-0CA6-4570-8955-B818E151C20D}"/>
    <hyperlink ref="AB107" r:id="rId13" display="https://autoproduct.biz/catalog/item/344/" xr:uid="{07510F3F-1A04-4B2E-B5F9-4091A0F1D86C}"/>
    <hyperlink ref="AB116" r:id="rId14" display="https://autoproduct.biz/catalog/item/532/" xr:uid="{AF77968A-B82D-4756-8E42-3848B9C5CB12}"/>
    <hyperlink ref="AB117" r:id="rId15" display="https://autoproduct.biz/catalog/item/263/" xr:uid="{E6B87E6C-F856-4CCC-8705-2C26E7C85EBE}"/>
    <hyperlink ref="AB122" r:id="rId16" display="https://autoproduct.biz/catalog/item/152/" xr:uid="{1EE5FE94-3C67-44D0-8113-A2929C24F2E8}"/>
    <hyperlink ref="AB120" r:id="rId17" display="https://autoproduct.biz/catalog/item/226/" xr:uid="{31AD58CE-E082-4FA8-BF26-2A8A4FD3E017}"/>
    <hyperlink ref="AB129" r:id="rId18" display="https://autoproduct.biz/catalog/item/424/" xr:uid="{DC16FE62-7000-4A6D-A605-8333690FD685}"/>
    <hyperlink ref="AB131" r:id="rId19" display="https://autoproduct.biz/catalog/item/189/" xr:uid="{F8E16930-EDAD-4A21-B50A-4E3C4ADA9064}"/>
    <hyperlink ref="AB132" r:id="rId20" display="https://autoproduct.biz/catalog/item/88/" xr:uid="{6E40FDAF-9107-48F6-91B4-B4444CC09D06}"/>
    <hyperlink ref="AB133" r:id="rId21" display="https://autoproduct.biz/catalog/item/249/" xr:uid="{BA66E321-1F80-4430-B025-D00429B8756A}"/>
    <hyperlink ref="AB171" r:id="rId22" display="https://autoproduct.biz/catalog/item/288/" xr:uid="{2BA14CA8-C286-4326-810B-5303339DF88E}"/>
    <hyperlink ref="AB134" r:id="rId23" display="https://autoproduct.biz/catalog/item/225/" xr:uid="{12A82807-42C5-4054-8A8B-1553E49F688F}"/>
    <hyperlink ref="AB135" r:id="rId24" display="https://autoproduct.biz/catalog/item/216/" xr:uid="{7282E2F3-76EF-41B9-B8C2-68AEFD7B593A}"/>
    <hyperlink ref="AB136" r:id="rId25" display="https://autoproduct.biz/catalog/item/222/" xr:uid="{77688DBE-A973-4302-9438-C40E8F413792}"/>
    <hyperlink ref="AB138" r:id="rId26" display="https://autoproduct.biz/catalog/item/84/" xr:uid="{EF34068C-4136-4F11-9875-1EE758FB749F}"/>
    <hyperlink ref="AB139" r:id="rId27" display="https://autoproduct.biz/catalog/item/85/" xr:uid="{4F46FBED-AFFC-4C3D-AD96-6D47406CAC1F}"/>
    <hyperlink ref="AB140" r:id="rId28" display="https://autoproduct.biz/catalog/item/66/" xr:uid="{2C45B102-731E-4DC6-9537-A54C068238F3}"/>
    <hyperlink ref="AB141" r:id="rId29" display="https://autoproduct.biz/catalog/item/67/" xr:uid="{CD4D960F-F70E-4285-B35A-DA4944D5F4A4}"/>
    <hyperlink ref="AB143" r:id="rId30" display="https://autoproduct.biz/catalog/item/382/" xr:uid="{BDAB7F80-4C28-49F9-A5EA-6055CDB1831F}"/>
    <hyperlink ref="AB142" r:id="rId31" display="https://autoproduct.biz/catalog/item/383/" xr:uid="{62191230-A077-4E0C-817D-6C808BCFC4EC}"/>
    <hyperlink ref="AB137" r:id="rId32" display="https://autoproduct.biz/catalog/item/217/" xr:uid="{6D7585A1-DC04-47DD-8B38-4F657BB13575}"/>
    <hyperlink ref="AB128" r:id="rId33" display="https://autoproduct.biz/catalog/item/221/" xr:uid="{F3AC3987-806C-49A2-A592-068851747CEB}"/>
    <hyperlink ref="AB125" r:id="rId34" display="https://autoproduct.biz/catalog/item/422/" xr:uid="{DB1AD4DB-8301-4395-A409-9902742B028C}"/>
    <hyperlink ref="AB111" r:id="rId35" display="м" xr:uid="{8827673E-E11C-47B0-8E89-2B5E747513C4}"/>
    <hyperlink ref="AB98" r:id="rId36" display="https://autoproduct.biz/catalog/item/124/" xr:uid="{42F15434-1E00-4E20-B5C4-6F9735CF402B}"/>
    <hyperlink ref="AB96" r:id="rId37" display="https://autoproduct.biz/catalog/item/540/" xr:uid="{D3B28FAB-5CD9-4F48-9BAE-F40E07D1E193}"/>
    <hyperlink ref="AB94" r:id="rId38" display="м" xr:uid="{BAC52480-207E-4DB7-BCE0-863F0FDA526B}"/>
    <hyperlink ref="AB49" r:id="rId39" display="https://autoproduct.biz/catalog/item/86/" xr:uid="{61764DC7-D2D9-4086-8314-9D63C5DFEA41}"/>
    <hyperlink ref="AB32" r:id="rId40" display="м" xr:uid="{561AB7AE-F08E-4AE9-9735-2FAB90A117D8}"/>
    <hyperlink ref="AB26" r:id="rId41" display="https://autoproduct.biz/catalog/item/70/" xr:uid="{86BE2216-C0A6-49FA-9100-E0006FDBAF1F}"/>
    <hyperlink ref="AB14" r:id="rId42" display="https://autoproduct.biz/catalog/item/127/" xr:uid="{ECA75D75-A42E-4620-8F3C-BD82B54B65B0}"/>
    <hyperlink ref="AB9" r:id="rId43" display="м" xr:uid="{81DD614C-E010-431A-A0C2-D07A10A637D1}"/>
    <hyperlink ref="AB7" r:id="rId44" display="https://autoproduct.biz/catalog/item/295/" xr:uid="{EFC4B775-B57A-45A6-A087-E3B60E93A620}"/>
    <hyperlink ref="AB5" r:id="rId45" display="https://autoproduct.biz/catalog/item/74/" xr:uid="{667A8423-75E8-46A9-945C-6EB0EC953BCC}"/>
    <hyperlink ref="AB4" r:id="rId46" display="https://autoproduct.biz/catalog/item/58/" xr:uid="{C4886B47-8293-479E-B7E8-5AACB6E0AD7F}"/>
    <hyperlink ref="AB63" r:id="rId47" display="https://autoproduct.biz/catalog/item/429/" xr:uid="{A8616705-8BFA-4073-8A35-6443D27A94FA}"/>
    <hyperlink ref="AB115" r:id="rId48" display="https://autoproduct.biz/catalog/item/253/" xr:uid="{44BE0109-D571-47AA-8987-1B31332D22F2}"/>
    <hyperlink ref="AB118" r:id="rId49" display="https://autoproduct.biz/catalog/item/219/" xr:uid="{DEB8D10D-CC2C-437A-85BC-EDE94BE9BC36}"/>
    <hyperlink ref="AB161" r:id="rId50" display="https://autoproduct.biz/catalog/item/554/" xr:uid="{7F3C2503-3481-478C-9C35-71392BBC6AD8}"/>
    <hyperlink ref="AB158" r:id="rId51" display="https://autoproduct.biz/catalog/item/527/" xr:uid="{4C4B8FFF-28D7-49C4-9537-795AF4C3E81B}"/>
    <hyperlink ref="AB157" r:id="rId52" display="https://autoproduct.biz/catalog/item/546/" xr:uid="{24E2B5E3-9EE5-4B12-8640-5DB989AD6E9F}"/>
    <hyperlink ref="AB156" r:id="rId53" display="https://autoproduct.biz/catalog/item/547/" xr:uid="{6AB83E3B-64FE-4AE7-B21B-8480F80D1AA6}"/>
    <hyperlink ref="AB154" r:id="rId54" display="https://autoproduct.biz/catalog/item/551/" xr:uid="{7B87836E-E642-4529-AFFE-FC910B615C5A}"/>
    <hyperlink ref="AB153" r:id="rId55" display="https://autoproduct.biz/catalog/item/552/" xr:uid="{CE6785ED-4445-4978-B999-DD0E845EE736}"/>
    <hyperlink ref="AB151" r:id="rId56" display="https://autoproduct.biz/catalog/item/550/" xr:uid="{412413EB-F116-420C-A005-FDF41A32FAE7}"/>
    <hyperlink ref="AB146" r:id="rId57" display="https://autoproduct.biz/catalog/item/121/" xr:uid="{29FC94EF-8CEC-47BB-AD4E-D52D7FB981C7}"/>
    <hyperlink ref="AB105" r:id="rId58" display="https://autoproduct.biz/catalog/item/342/" xr:uid="{97A97133-5A20-49A5-85F5-38F2C648B2A1}"/>
    <hyperlink ref="AB102" r:id="rId59" display="https://autoproduct.biz/catalog/item/341/" xr:uid="{1E10FF8A-64A4-407E-BACB-69202843E043}"/>
    <hyperlink ref="AB104" r:id="rId60" display="https://autoproduct.biz/catalog/item/345/" xr:uid="{56DFC6FA-4EA5-4FD9-AE87-27CBD1E25651}"/>
    <hyperlink ref="AB113" r:id="rId61" display="https://autoproduct.biz/catalog/item/89/" xr:uid="{E517ECEB-6709-4D5F-9090-315E4F53FF98}"/>
    <hyperlink ref="AB91" r:id="rId62" display="https://autoproduct.biz/catalog/item/82/" xr:uid="{B0E0D077-9D02-4957-9D77-71347C78A0EF}"/>
    <hyperlink ref="AB88" r:id="rId63" display="https://autoproduct.biz/catalog/item/296/" xr:uid="{C5756A85-E0F9-4AA0-A507-EA0BF6418038}"/>
    <hyperlink ref="AB85" r:id="rId64" display="https://autoproduct.biz/catalog/item/81/" xr:uid="{773D8829-43AC-41CC-86CF-866814383CF9}"/>
    <hyperlink ref="AB83" r:id="rId65" display="https://autoproduct.biz/catalog/item/53/" xr:uid="{2902DC74-EBB7-42E0-A1B8-0838D73DF2C9}"/>
    <hyperlink ref="AB81" r:id="rId66" display="https://autoproduct.biz/catalog/item/265/" xr:uid="{76D3BFF2-7D7A-4B3C-91F8-EF10C0FD0620}"/>
    <hyperlink ref="AB77" r:id="rId67" display="https://autoproduct.biz/catalog/item/401/" xr:uid="{FBD638FC-8C45-4BBA-8114-0CB82A0193B8}"/>
    <hyperlink ref="AB73" r:id="rId68" display="https://autoproduct.biz/catalog/item/73/" xr:uid="{C595B5CB-E20A-43A0-B3A4-E8EFA9505458}"/>
    <hyperlink ref="AB178" r:id="rId69" display="https://autoproduct.biz/catalog/item/360/" xr:uid="{CE78AA04-6623-4EBA-9BC3-0009441622A5}"/>
    <hyperlink ref="AB70" r:id="rId70" display="https://autoproduct.biz/catalog/item/363/" xr:uid="{B2476AB4-AEE4-41F4-89BA-56BF435A8B9A}"/>
    <hyperlink ref="AB66" r:id="rId71" display="м" xr:uid="{9909B712-BBF0-480C-85A6-A4BBC78FC703}"/>
    <hyperlink ref="AB59" r:id="rId72" display="https://autoproduct.biz/catalog/item/526/" xr:uid="{079C8598-E634-4AE2-9DBC-C0DC444AF903}"/>
    <hyperlink ref="AB57" r:id="rId73" display="https://autoproduct.biz/catalog/item/123/" xr:uid="{9D685B11-5766-4375-BB04-1DABD9C84B68}"/>
    <hyperlink ref="AB61" r:id="rId74" display="https://autoproduct.biz/catalog/item/349/" xr:uid="{5E5DC9A5-A735-4094-B7AC-FB2B9B8A58A6}"/>
    <hyperlink ref="AB52" r:id="rId75" display="https://autoproduct.biz/catalog/item/369/" xr:uid="{6566F175-1FA4-4CB6-BDD7-BB167C35123A}"/>
    <hyperlink ref="AB45" r:id="rId76" display="https://autoproduct.biz/catalog/item/118/" xr:uid="{D3422B7B-988D-45CE-B4DE-354A97088D5B}"/>
    <hyperlink ref="AB44" r:id="rId77" display="https://autoproduct.biz/catalog/item/318/" xr:uid="{3D2E0B7D-F163-4484-A237-FB6857196B5D}"/>
    <hyperlink ref="AB41" r:id="rId78" display="https://autoproduct.biz/catalog/item/348/" xr:uid="{5638A365-183B-4F3E-B32C-58CCB6CE08D8}"/>
    <hyperlink ref="AB37" r:id="rId79" display="https://autoproduct.biz/catalog/item/135/" xr:uid="{C7B90A73-2CB3-4CB0-9802-FA0B5F9A43F6}"/>
    <hyperlink ref="AB39" r:id="rId80" display="https://autoproduct.biz/catalog/item/43/" xr:uid="{D654F1ED-1886-4334-9FD5-6D92D546A536}"/>
    <hyperlink ref="AB29" r:id="rId81" display="https://autoproduct.biz/catalog/item/92/" xr:uid="{59D35B4A-E768-4BEE-B6DC-6C9E2F5118EA}"/>
    <hyperlink ref="AB30" r:id="rId82" display="https://autoproduct.biz/catalog/item/232/" xr:uid="{9F1DE71F-9B8C-4658-AED7-B5ABF591F92E}"/>
    <hyperlink ref="AB23" r:id="rId83" display="https://autoproduct.biz/catalog/item/136/" xr:uid="{8E3C6841-EC79-46C1-A745-CE661DA1FC2D}"/>
    <hyperlink ref="AB20" r:id="rId84" display="https://autoproduct.biz/catalog/item/133/" xr:uid="{D63509FD-7500-41CE-9B81-2276C1566541}"/>
    <hyperlink ref="AB17" r:id="rId85" display="https://autoproduct.biz/catalog/item/119/" xr:uid="{159213A9-8B55-4952-B8AB-7BB144527077}"/>
    <hyperlink ref="AB33" r:id="rId86" display="https://autoproduct.biz/catalog/item/362/" xr:uid="{BA704F14-87AE-4279-8F37-92873EE9E4AF}"/>
  </hyperlinks>
  <pageMargins left="0.75" right="0.75" top="1" bottom="1" header="0.5" footer="0.5"/>
  <pageSetup paperSize="9" orientation="portrait" r:id="rId8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K170"/>
  <sheetViews>
    <sheetView topLeftCell="A24" workbookViewId="0">
      <selection activeCell="B33" sqref="B33"/>
    </sheetView>
  </sheetViews>
  <sheetFormatPr defaultColWidth="9" defaultRowHeight="15"/>
  <cols>
    <col min="1" max="1" width="8.7109375" style="24" customWidth="1"/>
    <col min="2" max="2" width="14" style="24" customWidth="1"/>
    <col min="3" max="3" width="30" style="24" customWidth="1"/>
    <col min="4" max="4" width="10" style="24" customWidth="1"/>
    <col min="5" max="5" width="3" style="24" customWidth="1"/>
    <col min="6" max="6" width="12" style="24" customWidth="1"/>
    <col min="7" max="7" width="3" style="24" customWidth="1"/>
    <col min="8" max="8" width="12" style="24" customWidth="1"/>
    <col min="9" max="9" width="14.5703125" bestFit="1" customWidth="1"/>
  </cols>
  <sheetData>
    <row r="1" spans="2:10" ht="22.5" customHeight="1">
      <c r="B1" s="38" t="s">
        <v>367</v>
      </c>
      <c r="C1" s="38" t="s">
        <v>379</v>
      </c>
      <c r="D1" s="38" t="s">
        <v>476</v>
      </c>
      <c r="E1" s="97" t="s">
        <v>447</v>
      </c>
      <c r="F1" s="97"/>
      <c r="G1" s="97" t="s">
        <v>380</v>
      </c>
      <c r="H1" s="97"/>
      <c r="I1" s="30"/>
    </row>
    <row r="2" spans="2:10">
      <c r="B2" s="39"/>
      <c r="C2" s="39"/>
      <c r="D2" s="39"/>
      <c r="E2" s="39"/>
      <c r="F2" s="39"/>
      <c r="G2" s="39"/>
      <c r="H2" s="39"/>
      <c r="I2" s="33" t="str">
        <f>IFERROR(INDEX(Кат!$H:$H,MATCH(ПРАЙС!B2,Кат!$G:$G,0)),"")</f>
        <v/>
      </c>
      <c r="J2" t="str">
        <f>IFERROR(INDEX(Кат!$A:$A,MATCH(ПРАЙС!B2,Кат!$G:$G,0)),"")</f>
        <v/>
      </c>
    </row>
    <row r="3" spans="2:10" ht="30">
      <c r="B3" s="40" t="s">
        <v>954</v>
      </c>
      <c r="C3" s="40" t="s">
        <v>955</v>
      </c>
      <c r="D3" s="40" t="s">
        <v>1099</v>
      </c>
      <c r="E3" s="41" t="s">
        <v>133</v>
      </c>
      <c r="F3" s="42">
        <v>855</v>
      </c>
      <c r="G3" s="41" t="s">
        <v>133</v>
      </c>
      <c r="H3" s="42">
        <v>990</v>
      </c>
      <c r="I3" s="33" t="str">
        <f>IFERROR(INDEX(Кат!$H:$H,MATCH(ПРАЙС!B3,Кат!$G:$G,0)),"")</f>
        <v/>
      </c>
      <c r="J3" t="str">
        <f>IFERROR(INDEX(Кат!$A:$A,MATCH(ПРАЙС!B3,Кат!$G:$G,0)),"")</f>
        <v/>
      </c>
    </row>
    <row r="4" spans="2:10" ht="45">
      <c r="B4" s="40" t="s">
        <v>1048</v>
      </c>
      <c r="C4" s="40" t="s">
        <v>1049</v>
      </c>
      <c r="D4" s="40"/>
      <c r="E4" s="41" t="s">
        <v>133</v>
      </c>
      <c r="F4" s="43">
        <v>2540</v>
      </c>
      <c r="G4" s="41" t="s">
        <v>133</v>
      </c>
      <c r="H4" s="43">
        <v>2990</v>
      </c>
      <c r="I4" s="33" t="str">
        <f>IFERROR(INDEX(Кат!$H:$H,MATCH(ПРАЙС!B4,Кат!$G:$G,0)),"")</f>
        <v/>
      </c>
      <c r="J4" t="str">
        <f>IFERROR(INDEX(Кат!$A:$A,MATCH(ПРАЙС!B4,Кат!$G:$G,0)),"")</f>
        <v/>
      </c>
    </row>
    <row r="5" spans="2:10" ht="45">
      <c r="B5" s="40" t="s">
        <v>1051</v>
      </c>
      <c r="C5" s="40" t="s">
        <v>1052</v>
      </c>
      <c r="D5" s="40" t="s">
        <v>484</v>
      </c>
      <c r="E5" s="41" t="s">
        <v>133</v>
      </c>
      <c r="F5" s="43">
        <v>2540</v>
      </c>
      <c r="G5" s="41" t="s">
        <v>133</v>
      </c>
      <c r="H5" s="43">
        <v>2990</v>
      </c>
      <c r="I5" s="33" t="str">
        <f>IFERROR(INDEX(Кат!$H:$H,MATCH(ПРАЙС!B5,Кат!$G:$G,0)),"")</f>
        <v/>
      </c>
      <c r="J5" t="str">
        <f>IFERROR(INDEX(Кат!$A:$A,MATCH(ПРАЙС!B5,Кат!$G:$G,0)),"")</f>
        <v/>
      </c>
    </row>
    <row r="6" spans="2:10" ht="60">
      <c r="B6" s="40" t="s">
        <v>1054</v>
      </c>
      <c r="C6" s="40" t="s">
        <v>1055</v>
      </c>
      <c r="D6" s="40" t="s">
        <v>960</v>
      </c>
      <c r="E6" s="41" t="s">
        <v>133</v>
      </c>
      <c r="F6" s="43">
        <v>2630</v>
      </c>
      <c r="G6" s="41" t="s">
        <v>133</v>
      </c>
      <c r="H6" s="43">
        <v>3390</v>
      </c>
      <c r="I6" s="33" t="str">
        <f>IFERROR(INDEX(Кат!$H:$H,MATCH(ПРАЙС!B6,Кат!$G:$G,0)),"")</f>
        <v/>
      </c>
      <c r="J6" t="str">
        <f>IFERROR(INDEX(Кат!$A:$A,MATCH(ПРАЙС!B6,Кат!$G:$G,0)),"")</f>
        <v/>
      </c>
    </row>
    <row r="7" spans="2:10" ht="60">
      <c r="B7" s="40" t="s">
        <v>1056</v>
      </c>
      <c r="C7" s="40" t="s">
        <v>1057</v>
      </c>
      <c r="D7" s="40" t="s">
        <v>960</v>
      </c>
      <c r="E7" s="41" t="s">
        <v>133</v>
      </c>
      <c r="F7" s="43">
        <v>2695</v>
      </c>
      <c r="G7" s="41" t="s">
        <v>133</v>
      </c>
      <c r="H7" s="43">
        <v>3390</v>
      </c>
      <c r="I7" s="33" t="str">
        <f>IFERROR(INDEX(Кат!$H:$H,MATCH(ПРАЙС!B7,Кат!$G:$G,0)),"")</f>
        <v/>
      </c>
      <c r="J7" t="str">
        <f>IFERROR(INDEX(Кат!$A:$A,MATCH(ПРАЙС!B7,Кат!$G:$G,0)),"")</f>
        <v/>
      </c>
    </row>
    <row r="8" spans="2:10" ht="45">
      <c r="B8" s="40" t="s">
        <v>1058</v>
      </c>
      <c r="C8" s="40" t="s">
        <v>1059</v>
      </c>
      <c r="D8" s="40" t="s">
        <v>489</v>
      </c>
      <c r="E8" s="41" t="s">
        <v>133</v>
      </c>
      <c r="F8" s="43">
        <v>2630</v>
      </c>
      <c r="G8" s="41" t="s">
        <v>133</v>
      </c>
      <c r="H8" s="43">
        <v>3390</v>
      </c>
      <c r="I8" s="33" t="str">
        <f>IFERROR(INDEX(Кат!$H:$H,MATCH(ПРАЙС!B8,Кат!$G:$G,0)),"")</f>
        <v/>
      </c>
      <c r="J8" t="str">
        <f>IFERROR(INDEX(Кат!$A:$A,MATCH(ПРАЙС!B8,Кат!$G:$G,0)),"")</f>
        <v/>
      </c>
    </row>
    <row r="9" spans="2:10" ht="60">
      <c r="B9" s="40" t="s">
        <v>1061</v>
      </c>
      <c r="C9" s="40" t="s">
        <v>1062</v>
      </c>
      <c r="D9" s="40"/>
      <c r="E9" s="41" t="s">
        <v>133</v>
      </c>
      <c r="F9" s="43">
        <v>2285</v>
      </c>
      <c r="G9" s="41" t="s">
        <v>133</v>
      </c>
      <c r="H9" s="43">
        <v>2690</v>
      </c>
      <c r="I9" s="33" t="str">
        <f>IFERROR(INDEX(Кат!$H:$H,MATCH(ПРАЙС!B9,Кат!$G:$G,0)),"")</f>
        <v/>
      </c>
      <c r="J9" t="str">
        <f>IFERROR(INDEX(Кат!$A:$A,MATCH(ПРАЙС!B9,Кат!$G:$G,0)),"")</f>
        <v/>
      </c>
    </row>
    <row r="10" spans="2:10" ht="60">
      <c r="B10" s="40" t="s">
        <v>1063</v>
      </c>
      <c r="C10" s="40" t="s">
        <v>1064</v>
      </c>
      <c r="D10" s="40" t="s">
        <v>481</v>
      </c>
      <c r="E10" s="41" t="s">
        <v>133</v>
      </c>
      <c r="F10" s="43">
        <v>1945</v>
      </c>
      <c r="G10" s="41" t="s">
        <v>133</v>
      </c>
      <c r="H10" s="43">
        <v>2290</v>
      </c>
      <c r="I10" s="33" t="str">
        <f>IFERROR(INDEX(Кат!$H:$H,MATCH(ПРАЙС!B10,Кат!$G:$G,0)),"")</f>
        <v/>
      </c>
      <c r="J10" t="str">
        <f>IFERROR(INDEX(Кат!$A:$A,MATCH(ПРАЙС!B10,Кат!$G:$G,0)),"")</f>
        <v/>
      </c>
    </row>
    <row r="11" spans="2:10" ht="60">
      <c r="B11" s="40" t="s">
        <v>1065</v>
      </c>
      <c r="C11" s="40" t="s">
        <v>1066</v>
      </c>
      <c r="D11" s="40" t="s">
        <v>1053</v>
      </c>
      <c r="E11" s="41" t="s">
        <v>133</v>
      </c>
      <c r="F11" s="43">
        <v>2115</v>
      </c>
      <c r="G11" s="41" t="s">
        <v>133</v>
      </c>
      <c r="H11" s="43">
        <v>2490</v>
      </c>
      <c r="I11" s="33" t="str">
        <f>IFERROR(INDEX(Кат!$H:$H,MATCH(ПРАЙС!B11,Кат!$G:$G,0)),"")</f>
        <v/>
      </c>
      <c r="J11" t="str">
        <f>IFERROR(INDEX(Кат!$A:$A,MATCH(ПРАЙС!B11,Кат!$G:$G,0)),"")</f>
        <v/>
      </c>
    </row>
    <row r="12" spans="2:10" ht="45">
      <c r="B12" s="40" t="s">
        <v>315</v>
      </c>
      <c r="C12" s="40" t="s">
        <v>131</v>
      </c>
      <c r="D12" s="40" t="s">
        <v>956</v>
      </c>
      <c r="E12" s="41" t="s">
        <v>132</v>
      </c>
      <c r="F12" s="42">
        <v>725</v>
      </c>
      <c r="G12" s="41" t="s">
        <v>132</v>
      </c>
      <c r="H12" s="42">
        <v>930</v>
      </c>
      <c r="I12" s="33" t="str">
        <f>IFERROR(INDEX(Кат!$H:$H,MATCH(ПРАЙС!B12,Кат!$G:$G,0)),"")</f>
        <v>АВТОПРОДУКТ</v>
      </c>
      <c r="J12">
        <f>IFERROR(INDEX(Кат!$A:$A,MATCH(ПРАЙС!B12,Кат!$G:$G,0)),"")</f>
        <v>222924</v>
      </c>
    </row>
    <row r="13" spans="2:10" ht="75">
      <c r="B13" s="40" t="s">
        <v>382</v>
      </c>
      <c r="C13" s="40" t="s">
        <v>383</v>
      </c>
      <c r="D13" s="40" t="s">
        <v>477</v>
      </c>
      <c r="E13" s="41" t="s">
        <v>133</v>
      </c>
      <c r="F13" s="43">
        <v>10160</v>
      </c>
      <c r="G13" s="41" t="s">
        <v>133</v>
      </c>
      <c r="H13" s="43">
        <v>11990</v>
      </c>
      <c r="I13" s="33" t="str">
        <f>IFERROR(INDEX(Кат!$H:$H,MATCH(ПРАЙС!B13,Кат!$G:$G,0)),"")</f>
        <v>АВТОПРОДУКТ</v>
      </c>
      <c r="J13">
        <f>IFERROR(INDEX(Кат!$A:$A,MATCH(ПРАЙС!B13,Кат!$G:$G,0)),"")</f>
        <v>139230</v>
      </c>
    </row>
    <row r="14" spans="2:10" ht="60">
      <c r="B14" s="40" t="s">
        <v>445</v>
      </c>
      <c r="C14" s="40" t="s">
        <v>444</v>
      </c>
      <c r="D14" s="40" t="s">
        <v>481</v>
      </c>
      <c r="E14" s="41" t="s">
        <v>133</v>
      </c>
      <c r="F14" s="43">
        <v>10160</v>
      </c>
      <c r="G14" s="41" t="s">
        <v>133</v>
      </c>
      <c r="H14" s="43">
        <v>11990</v>
      </c>
      <c r="I14" s="33" t="str">
        <f>IFERROR(INDEX(Кат!$H:$H,MATCH(ПРАЙС!B14,Кат!$G:$G,0)),"")</f>
        <v/>
      </c>
      <c r="J14" t="str">
        <f>IFERROR(INDEX(Кат!$A:$A,MATCH(ПРАЙС!B14,Кат!$G:$G,0)),"")</f>
        <v/>
      </c>
    </row>
    <row r="15" spans="2:10" ht="45">
      <c r="B15" s="40" t="s">
        <v>250</v>
      </c>
      <c r="C15" s="40" t="s">
        <v>134</v>
      </c>
      <c r="D15" s="40"/>
      <c r="E15" s="41" t="s">
        <v>132</v>
      </c>
      <c r="F15" s="43">
        <v>3250</v>
      </c>
      <c r="G15" s="41" t="s">
        <v>132</v>
      </c>
      <c r="H15" s="43">
        <v>4190</v>
      </c>
      <c r="I15" s="33" t="str">
        <f>IFERROR(INDEX(Кат!$H:$H,MATCH(ПРАЙС!B15,Кат!$G:$G,0)),"")</f>
        <v>АВТОПРОДУКТ</v>
      </c>
      <c r="J15">
        <f>IFERROR(INDEX(Кат!$A:$A,MATCH(ПРАЙС!B15,Кат!$G:$G,0)),"")</f>
        <v>181854</v>
      </c>
    </row>
    <row r="16" spans="2:10" ht="45">
      <c r="B16" s="40" t="s">
        <v>251</v>
      </c>
      <c r="C16" s="40" t="s">
        <v>135</v>
      </c>
      <c r="D16" s="40"/>
      <c r="E16" s="41" t="s">
        <v>133</v>
      </c>
      <c r="F16" s="43">
        <v>1095</v>
      </c>
      <c r="G16" s="41" t="s">
        <v>133</v>
      </c>
      <c r="H16" s="43">
        <v>1410</v>
      </c>
      <c r="I16" s="33" t="str">
        <f>IFERROR(INDEX(Кат!$H:$H,MATCH(ПРАЙС!B16,Кат!$G:$G,0)),"")</f>
        <v>АВТОПРОДУКТ</v>
      </c>
      <c r="J16">
        <f>IFERROR(INDEX(Кат!$A:$A,MATCH(ПРАЙС!B16,Кат!$G:$G,0)),"")</f>
        <v>181704</v>
      </c>
    </row>
    <row r="17" spans="2:10" ht="45">
      <c r="B17" s="40" t="s">
        <v>252</v>
      </c>
      <c r="C17" s="40" t="s">
        <v>136</v>
      </c>
      <c r="D17" s="40" t="s">
        <v>1100</v>
      </c>
      <c r="E17" s="41" t="s">
        <v>133</v>
      </c>
      <c r="F17" s="43">
        <v>1095</v>
      </c>
      <c r="G17" s="41" t="s">
        <v>133</v>
      </c>
      <c r="H17" s="43">
        <v>1410</v>
      </c>
      <c r="I17" s="33" t="str">
        <f>IFERROR(INDEX(Кат!$H:$H,MATCH(ПРАЙС!B17,Кат!$G:$G,0)),"")</f>
        <v>АВТОПРОДУКТ</v>
      </c>
      <c r="J17">
        <f>IFERROR(INDEX(Кат!$A:$A,MATCH(ПРАЙС!B17,Кат!$G:$G,0)),"")</f>
        <v>181703</v>
      </c>
    </row>
    <row r="18" spans="2:10" ht="45">
      <c r="B18" s="40" t="s">
        <v>253</v>
      </c>
      <c r="C18" s="40" t="s">
        <v>137</v>
      </c>
      <c r="D18" s="40" t="s">
        <v>1101</v>
      </c>
      <c r="E18" s="41" t="s">
        <v>133</v>
      </c>
      <c r="F18" s="43">
        <v>1415</v>
      </c>
      <c r="G18" s="41" t="s">
        <v>133</v>
      </c>
      <c r="H18" s="43">
        <v>1820</v>
      </c>
      <c r="I18" s="33" t="str">
        <f>IFERROR(INDEX(Кат!$H:$H,MATCH(ПРАЙС!B18,Кат!$G:$G,0)),"")</f>
        <v>АВТОПРОДУКТ</v>
      </c>
      <c r="J18">
        <f>IFERROR(INDEX(Кат!$A:$A,MATCH(ПРАЙС!B18,Кат!$G:$G,0)),"")</f>
        <v>181702</v>
      </c>
    </row>
    <row r="19" spans="2:10" ht="45">
      <c r="B19" s="40" t="s">
        <v>254</v>
      </c>
      <c r="C19" s="40" t="s">
        <v>138</v>
      </c>
      <c r="D19" s="40" t="s">
        <v>1102</v>
      </c>
      <c r="E19" s="41" t="s">
        <v>133</v>
      </c>
      <c r="F19" s="43">
        <v>1020</v>
      </c>
      <c r="G19" s="41" t="s">
        <v>133</v>
      </c>
      <c r="H19" s="43">
        <v>1310</v>
      </c>
      <c r="I19" s="33" t="str">
        <f>IFERROR(INDEX(Кат!$H:$H,MATCH(ПРАЙС!B19,Кат!$G:$G,0)),"")</f>
        <v>АВТОПРОДУКТ</v>
      </c>
      <c r="J19">
        <f>IFERROR(INDEX(Кат!$A:$A,MATCH(ПРАЙС!B19,Кат!$G:$G,0)),"")</f>
        <v>181701</v>
      </c>
    </row>
    <row r="20" spans="2:10" ht="30">
      <c r="B20" s="40" t="s">
        <v>211</v>
      </c>
      <c r="C20" s="40" t="s">
        <v>384</v>
      </c>
      <c r="D20" s="40" t="s">
        <v>489</v>
      </c>
      <c r="E20" s="41" t="s">
        <v>133</v>
      </c>
      <c r="F20" s="43">
        <v>4280</v>
      </c>
      <c r="G20" s="41" t="s">
        <v>133</v>
      </c>
      <c r="H20" s="43">
        <v>4790</v>
      </c>
      <c r="I20" s="33" t="str">
        <f>IFERROR(INDEX(Кат!$H:$H,MATCH(ПРАЙС!B20,Кат!$G:$G,0)),"")</f>
        <v>АВТОПРОДУКТ</v>
      </c>
      <c r="J20">
        <f>IFERROR(INDEX(Кат!$A:$A,MATCH(ПРАЙС!B20,Кат!$G:$G,0)),"")</f>
        <v>141266</v>
      </c>
    </row>
    <row r="21" spans="2:10" ht="30">
      <c r="B21" s="40" t="s">
        <v>482</v>
      </c>
      <c r="C21" s="40" t="s">
        <v>483</v>
      </c>
      <c r="D21" s="40" t="s">
        <v>485</v>
      </c>
      <c r="E21" s="41" t="s">
        <v>132</v>
      </c>
      <c r="F21" s="42">
        <v>500</v>
      </c>
      <c r="G21" s="41" t="s">
        <v>132</v>
      </c>
      <c r="H21" s="42">
        <v>590</v>
      </c>
      <c r="I21" s="33" t="str">
        <f>IFERROR(INDEX(Кат!$H:$H,MATCH(ПРАЙС!B21,Кат!$G:$G,0)),"")</f>
        <v/>
      </c>
      <c r="J21" t="str">
        <f>IFERROR(INDEX(Кат!$A:$A,MATCH(ПРАЙС!B21,Кат!$G:$G,0)),"")</f>
        <v/>
      </c>
    </row>
    <row r="22" spans="2:10" ht="75">
      <c r="B22" s="40" t="s">
        <v>385</v>
      </c>
      <c r="C22" s="40" t="s">
        <v>386</v>
      </c>
      <c r="D22" s="40"/>
      <c r="E22" s="41" t="s">
        <v>133</v>
      </c>
      <c r="F22" s="43">
        <v>9315</v>
      </c>
      <c r="G22" s="41" t="s">
        <v>133</v>
      </c>
      <c r="H22" s="43">
        <v>10990</v>
      </c>
      <c r="I22" s="33" t="str">
        <f>IFERROR(INDEX(Кат!$H:$H,MATCH(ПРАЙС!B22,Кат!$G:$G,0)),"")</f>
        <v>АВТОПРОДУКТ</v>
      </c>
      <c r="J22">
        <f>IFERROR(INDEX(Кат!$A:$A,MATCH(ПРАЙС!B22,Кат!$G:$G,0)),"")</f>
        <v>139226</v>
      </c>
    </row>
    <row r="23" spans="2:10" ht="75">
      <c r="B23" s="40" t="s">
        <v>387</v>
      </c>
      <c r="C23" s="40" t="s">
        <v>388</v>
      </c>
      <c r="D23" s="40"/>
      <c r="E23" s="41" t="s">
        <v>133</v>
      </c>
      <c r="F23" s="43">
        <v>9315</v>
      </c>
      <c r="G23" s="41" t="s">
        <v>133</v>
      </c>
      <c r="H23" s="43">
        <v>10990</v>
      </c>
      <c r="I23" s="33" t="str">
        <f>IFERROR(INDEX(Кат!$H:$H,MATCH(ПРАЙС!B23,Кат!$G:$G,0)),"")</f>
        <v>АВТОПРОДУКТ</v>
      </c>
      <c r="J23">
        <f>IFERROR(INDEX(Кат!$A:$A,MATCH(ПРАЙС!B23,Кат!$G:$G,0)),"")</f>
        <v>139228</v>
      </c>
    </row>
    <row r="24" spans="2:10" ht="45">
      <c r="B24" s="40" t="s">
        <v>271</v>
      </c>
      <c r="C24" s="40" t="s">
        <v>139</v>
      </c>
      <c r="D24" s="40"/>
      <c r="E24" s="41" t="s">
        <v>133</v>
      </c>
      <c r="F24" s="43">
        <v>12450</v>
      </c>
      <c r="G24" s="41" t="s">
        <v>133</v>
      </c>
      <c r="H24" s="43">
        <v>15690</v>
      </c>
      <c r="I24" s="33" t="str">
        <f>IFERROR(INDEX(Кат!$H:$H,MATCH(ПРАЙС!B24,Кат!$G:$G,0)),"")</f>
        <v>АВТОПРОДУКТ</v>
      </c>
      <c r="J24">
        <f>IFERROR(INDEX(Кат!$A:$A,MATCH(ПРАЙС!B24,Кат!$G:$G,0)),"")</f>
        <v>194517</v>
      </c>
    </row>
    <row r="25" spans="2:10" ht="60">
      <c r="B25" s="40" t="s">
        <v>258</v>
      </c>
      <c r="C25" s="40" t="s">
        <v>140</v>
      </c>
      <c r="D25" s="40" t="s">
        <v>486</v>
      </c>
      <c r="E25" s="41" t="s">
        <v>132</v>
      </c>
      <c r="F25" s="43">
        <v>1225</v>
      </c>
      <c r="G25" s="41" t="s">
        <v>132</v>
      </c>
      <c r="H25" s="43">
        <v>1490</v>
      </c>
      <c r="I25" s="33" t="str">
        <f>IFERROR(INDEX(Кат!$H:$H,MATCH(ПРАЙС!B25,Кат!$G:$G,0)),"")</f>
        <v>АВТОПРОДУКТ</v>
      </c>
      <c r="J25">
        <f>IFERROR(INDEX(Кат!$A:$A,MATCH(ПРАЙС!B25,Кат!$G:$G,0)),"")</f>
        <v>225383</v>
      </c>
    </row>
    <row r="26" spans="2:10" ht="60">
      <c r="B26" s="40" t="s">
        <v>259</v>
      </c>
      <c r="C26" s="40" t="s">
        <v>141</v>
      </c>
      <c r="D26" s="40" t="s">
        <v>497</v>
      </c>
      <c r="E26" s="41" t="s">
        <v>133</v>
      </c>
      <c r="F26" s="43">
        <v>1310</v>
      </c>
      <c r="G26" s="41" t="s">
        <v>133</v>
      </c>
      <c r="H26" s="43">
        <v>1590</v>
      </c>
      <c r="I26" s="33" t="str">
        <f>IFERROR(INDEX(Кат!$H:$H,MATCH(ПРАЙС!B26,Кат!$G:$G,0)),"")</f>
        <v>АВТОПРОДУКТ</v>
      </c>
      <c r="J26">
        <f>IFERROR(INDEX(Кат!$A:$A,MATCH(ПРАЙС!B26,Кат!$G:$G,0)),"")</f>
        <v>213164</v>
      </c>
    </row>
    <row r="27" spans="2:10" ht="60">
      <c r="B27" s="40" t="s">
        <v>260</v>
      </c>
      <c r="C27" s="40" t="s">
        <v>1069</v>
      </c>
      <c r="D27" s="40" t="s">
        <v>484</v>
      </c>
      <c r="E27" s="41" t="s">
        <v>132</v>
      </c>
      <c r="F27" s="43">
        <v>6970</v>
      </c>
      <c r="G27" s="41" t="s">
        <v>132</v>
      </c>
      <c r="H27" s="43">
        <v>8990</v>
      </c>
      <c r="I27" s="33" t="str">
        <f>IFERROR(INDEX(Кат!$H:$H,MATCH(ПРАЙС!B27,Кат!$G:$G,0)),"")</f>
        <v>АВТОПРОДУКТ</v>
      </c>
      <c r="J27">
        <f>IFERROR(INDEX(Кат!$A:$A,MATCH(ПРАЙС!B27,Кат!$G:$G,0)),"")</f>
        <v>213100</v>
      </c>
    </row>
    <row r="28" spans="2:10" ht="60">
      <c r="B28" s="40" t="s">
        <v>261</v>
      </c>
      <c r="C28" s="40" t="s">
        <v>142</v>
      </c>
      <c r="D28" s="40" t="s">
        <v>967</v>
      </c>
      <c r="E28" s="41" t="s">
        <v>132</v>
      </c>
      <c r="F28" s="43">
        <v>6970</v>
      </c>
      <c r="G28" s="41" t="s">
        <v>132</v>
      </c>
      <c r="H28" s="43">
        <v>8990</v>
      </c>
      <c r="I28" s="33" t="str">
        <f>IFERROR(INDEX(Кат!$H:$H,MATCH(ПРАЙС!B28,Кат!$G:$G,0)),"")</f>
        <v>АВТОПРОДУКТ</v>
      </c>
      <c r="J28">
        <f>IFERROR(INDEX(Кат!$A:$A,MATCH(ПРАЙС!B28,Кат!$G:$G,0)),"")</f>
        <v>213107</v>
      </c>
    </row>
    <row r="29" spans="2:10" ht="30">
      <c r="B29" s="40" t="s">
        <v>451</v>
      </c>
      <c r="C29" s="40" t="s">
        <v>452</v>
      </c>
      <c r="D29" s="40"/>
      <c r="E29" s="41" t="s">
        <v>133</v>
      </c>
      <c r="F29" s="43">
        <v>6475</v>
      </c>
      <c r="G29" s="41" t="s">
        <v>133</v>
      </c>
      <c r="H29" s="43">
        <v>7890</v>
      </c>
      <c r="I29" s="33" t="str">
        <f>IFERROR(INDEX(Кат!$H:$H,MATCH(ПРАЙС!B29,Кат!$G:$G,0)),"")</f>
        <v>АВТОПРОДУКТ</v>
      </c>
      <c r="J29">
        <f>IFERROR(INDEX(Кат!$A:$A,MATCH(ПРАЙС!B29,Кат!$G:$G,0)),"")</f>
        <v>194502</v>
      </c>
    </row>
    <row r="30" spans="2:10" ht="60">
      <c r="B30" s="40" t="s">
        <v>262</v>
      </c>
      <c r="C30" s="40" t="s">
        <v>143</v>
      </c>
      <c r="D30" s="40"/>
      <c r="E30" s="41" t="s">
        <v>132</v>
      </c>
      <c r="F30" s="43">
        <v>2010</v>
      </c>
      <c r="G30" s="41" t="s">
        <v>132</v>
      </c>
      <c r="H30" s="43">
        <v>2590</v>
      </c>
      <c r="I30" s="33" t="str">
        <f>IFERROR(INDEX(Кат!$H:$H,MATCH(ПРАЙС!B30,Кат!$G:$G,0)),"")</f>
        <v>АВТОПРОДУКТ</v>
      </c>
      <c r="J30">
        <f>IFERROR(INDEX(Кат!$A:$A,MATCH(ПРАЙС!B30,Кат!$G:$G,0)),"")</f>
        <v>203970</v>
      </c>
    </row>
    <row r="31" spans="2:10" ht="30">
      <c r="B31" s="40" t="s">
        <v>263</v>
      </c>
      <c r="C31" s="40" t="s">
        <v>144</v>
      </c>
      <c r="D31" s="40"/>
      <c r="E31" s="41" t="s">
        <v>133</v>
      </c>
      <c r="F31" s="43">
        <v>5790</v>
      </c>
      <c r="G31" s="41" t="s">
        <v>133</v>
      </c>
      <c r="H31" s="43">
        <v>7550</v>
      </c>
      <c r="I31" s="33" t="str">
        <f>IFERROR(INDEX(Кат!$H:$H,MATCH(ПРАЙС!B31,Кат!$G:$G,0)),"")</f>
        <v>АВТОПРОДУКТ</v>
      </c>
      <c r="J31">
        <f>IFERROR(INDEX(Кат!$A:$A,MATCH(ПРАЙС!B31,Кат!$G:$G,0)),"")</f>
        <v>194499</v>
      </c>
    </row>
    <row r="32" spans="2:10" ht="30">
      <c r="B32" s="40" t="s">
        <v>264</v>
      </c>
      <c r="C32" s="40" t="s">
        <v>145</v>
      </c>
      <c r="D32" s="40"/>
      <c r="E32" s="41" t="s">
        <v>133</v>
      </c>
      <c r="F32" s="43">
        <v>5900</v>
      </c>
      <c r="G32" s="41" t="s">
        <v>133</v>
      </c>
      <c r="H32" s="43">
        <v>7790</v>
      </c>
      <c r="I32" s="33" t="str">
        <f>IFERROR(INDEX(Кат!$H:$H,MATCH(ПРАЙС!B32,Кат!$G:$G,0)),"")</f>
        <v>АВТОПРОДУКТ</v>
      </c>
      <c r="J32">
        <f>IFERROR(INDEX(Кат!$A:$A,MATCH(ПРАЙС!B32,Кат!$G:$G,0)),"")</f>
        <v>194479</v>
      </c>
    </row>
    <row r="33" spans="2:10" ht="45">
      <c r="B33" s="40" t="s">
        <v>230</v>
      </c>
      <c r="C33" s="40" t="s">
        <v>498</v>
      </c>
      <c r="D33" s="40" t="s">
        <v>1103</v>
      </c>
      <c r="E33" s="41" t="s">
        <v>133</v>
      </c>
      <c r="F33" s="43">
        <v>1955</v>
      </c>
      <c r="G33" s="41" t="s">
        <v>133</v>
      </c>
      <c r="H33" s="43">
        <v>2490</v>
      </c>
      <c r="I33" s="33" t="str">
        <f>IFERROR(INDEX(Кат!$H:$H,MATCH(ПРАЙС!B33,Кат!$G:$G,0)),"")</f>
        <v>АВТОПРОДУКТ</v>
      </c>
      <c r="J33">
        <f>IFERROR(INDEX(Кат!$A:$A,MATCH(ПРАЙС!B33,Кат!$G:$G,0)),"")</f>
        <v>151520</v>
      </c>
    </row>
    <row r="34" spans="2:10" ht="30">
      <c r="B34" s="40" t="s">
        <v>233</v>
      </c>
      <c r="C34" s="40" t="s">
        <v>146</v>
      </c>
      <c r="D34" s="40" t="s">
        <v>1072</v>
      </c>
      <c r="E34" s="41" t="s">
        <v>132</v>
      </c>
      <c r="F34" s="42">
        <v>605</v>
      </c>
      <c r="G34" s="41" t="s">
        <v>132</v>
      </c>
      <c r="H34" s="42">
        <v>790</v>
      </c>
      <c r="I34" s="33" t="str">
        <f>IFERROR(INDEX(Кат!$H:$H,MATCH(ПРАЙС!B34,Кат!$G:$G,0)),"")</f>
        <v>АВТОПРОДУКТ</v>
      </c>
      <c r="J34">
        <f>IFERROR(INDEX(Кат!$A:$A,MATCH(ПРАЙС!B34,Кат!$G:$G,0)),"")</f>
        <v>223539</v>
      </c>
    </row>
    <row r="35" spans="2:10" ht="30">
      <c r="B35" s="40" t="s">
        <v>234</v>
      </c>
      <c r="C35" s="40" t="s">
        <v>147</v>
      </c>
      <c r="D35" s="40" t="s">
        <v>726</v>
      </c>
      <c r="E35" s="41" t="s">
        <v>132</v>
      </c>
      <c r="F35" s="42">
        <v>785</v>
      </c>
      <c r="G35" s="41" t="s">
        <v>132</v>
      </c>
      <c r="H35" s="43">
        <v>1030</v>
      </c>
      <c r="I35" s="33" t="str">
        <f>IFERROR(INDEX(Кат!$H:$H,MATCH(ПРАЙС!B35,Кат!$G:$G,0)),"")</f>
        <v>АВТОПРОДУКТ</v>
      </c>
      <c r="J35">
        <f>IFERROR(INDEX(Кат!$A:$A,MATCH(ПРАЙС!B35,Кат!$G:$G,0)),"")</f>
        <v>223542</v>
      </c>
    </row>
    <row r="36" spans="2:10" ht="30">
      <c r="B36" s="40" t="s">
        <v>280</v>
      </c>
      <c r="C36" s="40" t="s">
        <v>148</v>
      </c>
      <c r="D36" s="40" t="s">
        <v>1104</v>
      </c>
      <c r="E36" s="41" t="s">
        <v>133</v>
      </c>
      <c r="F36" s="43">
        <v>2550</v>
      </c>
      <c r="G36" s="41" t="s">
        <v>133</v>
      </c>
      <c r="H36" s="43">
        <v>3250</v>
      </c>
      <c r="I36" s="33" t="str">
        <f>IFERROR(INDEX(Кат!$H:$H,MATCH(ПРАЙС!B36,Кат!$G:$G,0)),"")</f>
        <v>АВТОПРОДУКТ</v>
      </c>
      <c r="J36">
        <f>IFERROR(INDEX(Кат!$A:$A,MATCH(ПРАЙС!B36,Кат!$G:$G,0)),"")</f>
        <v>195292</v>
      </c>
    </row>
    <row r="37" spans="2:10" ht="30">
      <c r="B37" s="40" t="s">
        <v>281</v>
      </c>
      <c r="C37" s="40" t="s">
        <v>149</v>
      </c>
      <c r="D37" s="40" t="s">
        <v>1050</v>
      </c>
      <c r="E37" s="41" t="s">
        <v>133</v>
      </c>
      <c r="F37" s="43">
        <v>3380</v>
      </c>
      <c r="G37" s="41" t="s">
        <v>133</v>
      </c>
      <c r="H37" s="43">
        <v>3710</v>
      </c>
      <c r="I37" s="33" t="str">
        <f>IFERROR(INDEX(Кат!$H:$H,MATCH(ПРАЙС!B37,Кат!$G:$G,0)),"")</f>
        <v>АВТОПРОДУКТ</v>
      </c>
      <c r="J37">
        <f>IFERROR(INDEX(Кат!$A:$A,MATCH(ПРАЙС!B37,Кат!$G:$G,0)),"")</f>
        <v>195296</v>
      </c>
    </row>
    <row r="38" spans="2:10" ht="30">
      <c r="B38" s="40" t="s">
        <v>284</v>
      </c>
      <c r="C38" s="40" t="s">
        <v>150</v>
      </c>
      <c r="D38" s="40"/>
      <c r="E38" s="41" t="s">
        <v>133</v>
      </c>
      <c r="F38" s="43">
        <v>2245</v>
      </c>
      <c r="G38" s="41" t="s">
        <v>133</v>
      </c>
      <c r="H38" s="43">
        <v>2890</v>
      </c>
      <c r="I38" s="33" t="str">
        <f>IFERROR(INDEX(Кат!$H:$H,MATCH(ПРАЙС!B38,Кат!$G:$G,0)),"")</f>
        <v>АВТОПРОДУКТ</v>
      </c>
      <c r="J38">
        <f>IFERROR(INDEX(Кат!$A:$A,MATCH(ПРАЙС!B38,Кат!$G:$G,0)),"")</f>
        <v>195299</v>
      </c>
    </row>
    <row r="39" spans="2:10" ht="60">
      <c r="B39" s="40" t="s">
        <v>740</v>
      </c>
      <c r="C39" s="40" t="s">
        <v>741</v>
      </c>
      <c r="D39" s="40" t="s">
        <v>485</v>
      </c>
      <c r="E39" s="41" t="s">
        <v>132</v>
      </c>
      <c r="F39" s="43">
        <v>6555</v>
      </c>
      <c r="G39" s="41" t="s">
        <v>132</v>
      </c>
      <c r="H39" s="43">
        <v>7990</v>
      </c>
      <c r="I39" s="33" t="str">
        <f>IFERROR(INDEX(Кат!$H:$H,MATCH(ПРАЙС!B39,Кат!$G:$G,0)),"")</f>
        <v/>
      </c>
      <c r="J39" t="str">
        <f>IFERROR(INDEX(Кат!$A:$A,MATCH(ПРАЙС!B39,Кат!$G:$G,0)),"")</f>
        <v/>
      </c>
    </row>
    <row r="40" spans="2:10" ht="45">
      <c r="B40" s="40" t="s">
        <v>240</v>
      </c>
      <c r="C40" s="40" t="s">
        <v>696</v>
      </c>
      <c r="D40" s="40" t="s">
        <v>478</v>
      </c>
      <c r="E40" s="41" t="s">
        <v>133</v>
      </c>
      <c r="F40" s="43">
        <v>30490</v>
      </c>
      <c r="G40" s="41" t="s">
        <v>133</v>
      </c>
      <c r="H40" s="43">
        <v>35990</v>
      </c>
      <c r="I40" s="33" t="str">
        <f>IFERROR(INDEX(Кат!$H:$H,MATCH(ПРАЙС!B40,Кат!$G:$G,0)),"")</f>
        <v>АВТОПРОДУКТ</v>
      </c>
      <c r="J40">
        <f>IFERROR(INDEX(Кат!$A:$A,MATCH(ПРАЙС!B40,Кат!$G:$G,0)),"")</f>
        <v>194098</v>
      </c>
    </row>
    <row r="41" spans="2:10" ht="60">
      <c r="B41" s="40" t="s">
        <v>327</v>
      </c>
      <c r="C41" s="40" t="s">
        <v>151</v>
      </c>
      <c r="D41" s="40" t="s">
        <v>1105</v>
      </c>
      <c r="E41" s="41" t="s">
        <v>132</v>
      </c>
      <c r="F41" s="42">
        <v>510</v>
      </c>
      <c r="G41" s="41" t="s">
        <v>132</v>
      </c>
      <c r="H41" s="42">
        <v>650</v>
      </c>
      <c r="I41" s="33" t="str">
        <f>IFERROR(INDEX(Кат!$H:$H,MATCH(ПРАЙС!B41,Кат!$G:$G,0)),"")</f>
        <v>АВТОПРОДУКТ</v>
      </c>
      <c r="J41">
        <f>IFERROR(INDEX(Кат!$A:$A,MATCH(ПРАЙС!B41,Кат!$G:$G,0)),"")</f>
        <v>201733</v>
      </c>
    </row>
    <row r="42" spans="2:10" ht="60">
      <c r="B42" s="40" t="s">
        <v>328</v>
      </c>
      <c r="C42" s="40" t="s">
        <v>152</v>
      </c>
      <c r="D42" s="40" t="s">
        <v>1106</v>
      </c>
      <c r="E42" s="41" t="s">
        <v>132</v>
      </c>
      <c r="F42" s="42">
        <v>670</v>
      </c>
      <c r="G42" s="41" t="s">
        <v>132</v>
      </c>
      <c r="H42" s="42">
        <v>860</v>
      </c>
      <c r="I42" s="33" t="str">
        <f>IFERROR(INDEX(Кат!$H:$H,MATCH(ПРАЙС!B42,Кат!$G:$G,0)),"")</f>
        <v>АВТОПРОДУКТ</v>
      </c>
      <c r="J42">
        <f>IFERROR(INDEX(Кат!$A:$A,MATCH(ПРАЙС!B42,Кат!$G:$G,0)),"")</f>
        <v>201629</v>
      </c>
    </row>
    <row r="43" spans="2:10" ht="60">
      <c r="B43" s="40" t="s">
        <v>329</v>
      </c>
      <c r="C43" s="40" t="s">
        <v>697</v>
      </c>
      <c r="D43" s="40" t="s">
        <v>1107</v>
      </c>
      <c r="E43" s="41" t="s">
        <v>132</v>
      </c>
      <c r="F43" s="42">
        <v>770</v>
      </c>
      <c r="G43" s="41" t="s">
        <v>132</v>
      </c>
      <c r="H43" s="42">
        <v>990</v>
      </c>
      <c r="I43" s="33" t="str">
        <f>IFERROR(INDEX(Кат!$H:$H,MATCH(ПРАЙС!B43,Кат!$G:$G,0)),"")</f>
        <v>АВТОПРОДУКТ</v>
      </c>
      <c r="J43">
        <f>IFERROR(INDEX(Кат!$A:$A,MATCH(ПРАЙС!B43,Кат!$G:$G,0)),"")</f>
        <v>201662</v>
      </c>
    </row>
    <row r="44" spans="2:10" ht="60">
      <c r="B44" s="40" t="s">
        <v>330</v>
      </c>
      <c r="C44" s="40" t="s">
        <v>153</v>
      </c>
      <c r="D44" s="40" t="s">
        <v>1108</v>
      </c>
      <c r="E44" s="41" t="s">
        <v>132</v>
      </c>
      <c r="F44" s="42">
        <v>895</v>
      </c>
      <c r="G44" s="41" t="s">
        <v>132</v>
      </c>
      <c r="H44" s="43">
        <v>1150</v>
      </c>
      <c r="I44" s="33" t="str">
        <f>IFERROR(INDEX(Кат!$H:$H,MATCH(ПРАЙС!B44,Кат!$G:$G,0)),"")</f>
        <v>АВТОПРОДУКТ</v>
      </c>
      <c r="J44">
        <f>IFERROR(INDEX(Кат!$A:$A,MATCH(ПРАЙС!B44,Кат!$G:$G,0)),"")</f>
        <v>201631</v>
      </c>
    </row>
    <row r="45" spans="2:10" ht="60">
      <c r="B45" s="40" t="s">
        <v>331</v>
      </c>
      <c r="C45" s="40" t="s">
        <v>154</v>
      </c>
      <c r="D45" s="40" t="s">
        <v>1109</v>
      </c>
      <c r="E45" s="41" t="s">
        <v>132</v>
      </c>
      <c r="F45" s="42">
        <v>960</v>
      </c>
      <c r="G45" s="41" t="s">
        <v>132</v>
      </c>
      <c r="H45" s="43">
        <v>1230</v>
      </c>
      <c r="I45" s="33" t="str">
        <f>IFERROR(INDEX(Кат!$H:$H,MATCH(ПРАЙС!B45,Кат!$G:$G,0)),"")</f>
        <v>АВТОПРОДУКТ</v>
      </c>
      <c r="J45">
        <f>IFERROR(INDEX(Кат!$A:$A,MATCH(ПРАЙС!B45,Кат!$G:$G,0)),"")</f>
        <v>201633</v>
      </c>
    </row>
    <row r="46" spans="2:10" ht="30">
      <c r="B46" s="40" t="s">
        <v>317</v>
      </c>
      <c r="C46" s="40" t="s">
        <v>742</v>
      </c>
      <c r="D46" s="40" t="s">
        <v>1110</v>
      </c>
      <c r="E46" s="41" t="s">
        <v>132</v>
      </c>
      <c r="F46" s="42">
        <v>585</v>
      </c>
      <c r="G46" s="41" t="s">
        <v>132</v>
      </c>
      <c r="H46" s="42">
        <v>750</v>
      </c>
      <c r="I46" s="33" t="str">
        <f>IFERROR(INDEX(Кат!$H:$H,MATCH(ПРАЙС!B46,Кат!$G:$G,0)),"")</f>
        <v>АВТОПРОДУКТ</v>
      </c>
      <c r="J46">
        <f>IFERROR(INDEX(Кат!$A:$A,MATCH(ПРАЙС!B46,Кат!$G:$G,0)),"")</f>
        <v>181850</v>
      </c>
    </row>
    <row r="47" spans="2:10" ht="60">
      <c r="B47" s="40" t="s">
        <v>332</v>
      </c>
      <c r="C47" s="40" t="s">
        <v>155</v>
      </c>
      <c r="D47" s="40"/>
      <c r="E47" s="41" t="s">
        <v>132</v>
      </c>
      <c r="F47" s="42">
        <v>960</v>
      </c>
      <c r="G47" s="41" t="s">
        <v>132</v>
      </c>
      <c r="H47" s="43">
        <v>1230</v>
      </c>
      <c r="I47" s="33" t="str">
        <f>IFERROR(INDEX(Кат!$H:$H,MATCH(ПРАЙС!B47,Кат!$G:$G,0)),"")</f>
        <v>АВТОПРОДУКТ</v>
      </c>
      <c r="J47">
        <f>IFERROR(INDEX(Кат!$A:$A,MATCH(ПРАЙС!B47,Кат!$G:$G,0)),"")</f>
        <v>201632</v>
      </c>
    </row>
    <row r="48" spans="2:10" ht="60">
      <c r="B48" s="40" t="s">
        <v>333</v>
      </c>
      <c r="C48" s="40" t="s">
        <v>487</v>
      </c>
      <c r="D48" s="40" t="s">
        <v>1111</v>
      </c>
      <c r="E48" s="41" t="s">
        <v>132</v>
      </c>
      <c r="F48" s="42">
        <v>510</v>
      </c>
      <c r="G48" s="41" t="s">
        <v>132</v>
      </c>
      <c r="H48" s="42">
        <v>650</v>
      </c>
      <c r="I48" s="33" t="str">
        <f>IFERROR(INDEX(Кат!$H:$H,MATCH(ПРАЙС!B48,Кат!$G:$G,0)),"")</f>
        <v>АВТОПРОДУКТ</v>
      </c>
      <c r="J48">
        <f>IFERROR(INDEX(Кат!$A:$A,MATCH(ПРАЙС!B48,Кат!$G:$G,0)),"")</f>
        <v>201628</v>
      </c>
    </row>
    <row r="49" spans="2:10" ht="30">
      <c r="B49" s="40" t="s">
        <v>291</v>
      </c>
      <c r="C49" s="40" t="s">
        <v>156</v>
      </c>
      <c r="D49" s="40" t="s">
        <v>488</v>
      </c>
      <c r="E49" s="41" t="s">
        <v>133</v>
      </c>
      <c r="F49" s="43">
        <v>4410</v>
      </c>
      <c r="G49" s="41" t="s">
        <v>133</v>
      </c>
      <c r="H49" s="43">
        <v>5490</v>
      </c>
      <c r="I49" s="33" t="str">
        <f>IFERROR(INDEX(Кат!$H:$H,MATCH(ПРАЙС!B49,Кат!$G:$G,0)),"")</f>
        <v>АВТОПРОДУКТ</v>
      </c>
      <c r="J49">
        <f>IFERROR(INDEX(Кат!$A:$A,MATCH(ПРАЙС!B49,Кат!$G:$G,0)),"")</f>
        <v>223620</v>
      </c>
    </row>
    <row r="50" spans="2:10" ht="60">
      <c r="B50" s="40" t="s">
        <v>301</v>
      </c>
      <c r="C50" s="40" t="s">
        <v>157</v>
      </c>
      <c r="D50" s="40"/>
      <c r="E50" s="41" t="s">
        <v>133</v>
      </c>
      <c r="F50" s="43">
        <v>1520</v>
      </c>
      <c r="G50" s="41" t="s">
        <v>133</v>
      </c>
      <c r="H50" s="43">
        <v>1790</v>
      </c>
      <c r="I50" s="33" t="str">
        <f>IFERROR(INDEX(Кат!$H:$H,MATCH(ПРАЙС!B50,Кат!$G:$G,0)),"")</f>
        <v>АВТОПРОДУКТ</v>
      </c>
      <c r="J50">
        <f>IFERROR(INDEX(Кат!$A:$A,MATCH(ПРАЙС!B50,Кат!$G:$G,0)),"")</f>
        <v>202756</v>
      </c>
    </row>
    <row r="51" spans="2:10" ht="45">
      <c r="B51" s="40" t="s">
        <v>302</v>
      </c>
      <c r="C51" s="40" t="s">
        <v>158</v>
      </c>
      <c r="D51" s="40" t="s">
        <v>1068</v>
      </c>
      <c r="E51" s="41" t="s">
        <v>133</v>
      </c>
      <c r="F51" s="43">
        <v>1080</v>
      </c>
      <c r="G51" s="41" t="s">
        <v>133</v>
      </c>
      <c r="H51" s="43">
        <v>1390</v>
      </c>
      <c r="I51" s="33" t="str">
        <f>IFERROR(INDEX(Кат!$H:$H,MATCH(ПРАЙС!B51,Кат!$G:$G,0)),"")</f>
        <v>АВТОПРОДУКТ</v>
      </c>
      <c r="J51">
        <f>IFERROR(INDEX(Кат!$A:$A,MATCH(ПРАЙС!B51,Кат!$G:$G,0)),"")</f>
        <v>202745</v>
      </c>
    </row>
    <row r="52" spans="2:10" ht="30">
      <c r="B52" s="40" t="s">
        <v>212</v>
      </c>
      <c r="C52" s="40" t="s">
        <v>389</v>
      </c>
      <c r="D52" s="40" t="s">
        <v>484</v>
      </c>
      <c r="E52" s="41" t="s">
        <v>133</v>
      </c>
      <c r="F52" s="43">
        <v>4030</v>
      </c>
      <c r="G52" s="41" t="s">
        <v>133</v>
      </c>
      <c r="H52" s="43">
        <v>4750</v>
      </c>
      <c r="I52" s="33" t="str">
        <f>IFERROR(INDEX(Кат!$H:$H,MATCH(ПРАЙС!B52,Кат!$G:$G,0)),"")</f>
        <v>АВТОПРОДУКТ</v>
      </c>
      <c r="J52">
        <f>IFERROR(INDEX(Кат!$A:$A,MATCH(ПРАЙС!B52,Кат!$G:$G,0)),"")</f>
        <v>141267</v>
      </c>
    </row>
    <row r="53" spans="2:10" ht="45">
      <c r="B53" s="40" t="s">
        <v>213</v>
      </c>
      <c r="C53" s="40" t="s">
        <v>443</v>
      </c>
      <c r="D53" s="40" t="s">
        <v>1060</v>
      </c>
      <c r="E53" s="41" t="s">
        <v>133</v>
      </c>
      <c r="F53" s="42">
        <v>845</v>
      </c>
      <c r="G53" s="41" t="s">
        <v>133</v>
      </c>
      <c r="H53" s="42">
        <v>990</v>
      </c>
      <c r="I53" s="33" t="str">
        <f>IFERROR(INDEX(Кат!$H:$H,MATCH(ПРАЙС!B53,Кат!$G:$G,0)),"")</f>
        <v>АВТОПРОДУКТ</v>
      </c>
      <c r="J53">
        <f>IFERROR(INDEX(Кат!$A:$A,MATCH(ПРАЙС!B53,Кат!$G:$G,0)),"")</f>
        <v>140766</v>
      </c>
    </row>
    <row r="54" spans="2:10" ht="30">
      <c r="B54" s="40" t="s">
        <v>346</v>
      </c>
      <c r="C54" s="40" t="s">
        <v>698</v>
      </c>
      <c r="D54" s="40"/>
      <c r="E54" s="41" t="s">
        <v>133</v>
      </c>
      <c r="F54" s="42">
        <v>465</v>
      </c>
      <c r="G54" s="41" t="s">
        <v>133</v>
      </c>
      <c r="H54" s="42">
        <v>590</v>
      </c>
      <c r="I54" s="33" t="str">
        <f>IFERROR(INDEX(Кат!$H:$H,MATCH(ПРАЙС!B54,Кат!$G:$G,0)),"")</f>
        <v>АВТОПРОДУКТ</v>
      </c>
      <c r="J54">
        <f>IFERROR(INDEX(Кат!$A:$A,MATCH(ПРАЙС!B54,Кат!$G:$G,0)),"")</f>
        <v>225418</v>
      </c>
    </row>
    <row r="55" spans="2:10" ht="30">
      <c r="B55" s="40" t="s">
        <v>214</v>
      </c>
      <c r="C55" s="40" t="s">
        <v>390</v>
      </c>
      <c r="D55" s="40" t="s">
        <v>956</v>
      </c>
      <c r="E55" s="41" t="s">
        <v>133</v>
      </c>
      <c r="F55" s="43">
        <v>4030</v>
      </c>
      <c r="G55" s="41" t="s">
        <v>133</v>
      </c>
      <c r="H55" s="43">
        <v>4750</v>
      </c>
      <c r="I55" s="33" t="str">
        <f>IFERROR(INDEX(Кат!$H:$H,MATCH(ПРАЙС!B55,Кат!$G:$G,0)),"")</f>
        <v>АВТОПРОДУКТ</v>
      </c>
      <c r="J55">
        <f>IFERROR(INDEX(Кат!$A:$A,MATCH(ПРАЙС!B55,Кат!$G:$G,0)),"")</f>
        <v>141268</v>
      </c>
    </row>
    <row r="56" spans="2:10" ht="30">
      <c r="B56" s="40" t="s">
        <v>215</v>
      </c>
      <c r="C56" s="40" t="s">
        <v>391</v>
      </c>
      <c r="D56" s="40" t="s">
        <v>485</v>
      </c>
      <c r="E56" s="41" t="s">
        <v>133</v>
      </c>
      <c r="F56" s="43">
        <v>3685</v>
      </c>
      <c r="G56" s="41" t="s">
        <v>133</v>
      </c>
      <c r="H56" s="43">
        <v>4750</v>
      </c>
      <c r="I56" s="33" t="str">
        <f>IFERROR(INDEX(Кат!$H:$H,MATCH(ПРАЙС!B56,Кат!$G:$G,0)),"")</f>
        <v>АВТОПРОДУКТ</v>
      </c>
      <c r="J56">
        <f>IFERROR(INDEX(Кат!$A:$A,MATCH(ПРАЙС!B56,Кат!$G:$G,0)),"")</f>
        <v>141269</v>
      </c>
    </row>
    <row r="57" spans="2:10" ht="45">
      <c r="B57" s="40" t="s">
        <v>216</v>
      </c>
      <c r="C57" s="40" t="s">
        <v>681</v>
      </c>
      <c r="D57" s="40" t="s">
        <v>702</v>
      </c>
      <c r="E57" s="41" t="s">
        <v>133</v>
      </c>
      <c r="F57" s="42">
        <v>845</v>
      </c>
      <c r="G57" s="41" t="s">
        <v>133</v>
      </c>
      <c r="H57" s="42">
        <v>990</v>
      </c>
      <c r="I57" s="33" t="str">
        <f>IFERROR(INDEX(Кат!$H:$H,MATCH(ПРАЙС!B57,Кат!$G:$G,0)),"")</f>
        <v>АВТОПРОДУКТ</v>
      </c>
      <c r="J57">
        <f>IFERROR(INDEX(Кат!$A:$A,MATCH(ПРАЙС!B57,Кат!$G:$G,0)),"")</f>
        <v>140763</v>
      </c>
    </row>
    <row r="58" spans="2:10" ht="60">
      <c r="B58" s="40" t="s">
        <v>296</v>
      </c>
      <c r="C58" s="40" t="s">
        <v>453</v>
      </c>
      <c r="D58" s="40" t="s">
        <v>1108</v>
      </c>
      <c r="E58" s="41" t="s">
        <v>133</v>
      </c>
      <c r="F58" s="42">
        <v>795</v>
      </c>
      <c r="G58" s="41" t="s">
        <v>133</v>
      </c>
      <c r="H58" s="43">
        <v>1020</v>
      </c>
      <c r="I58" s="33" t="str">
        <f>IFERROR(INDEX(Кат!$H:$H,MATCH(ПРАЙС!B58,Кат!$G:$G,0)),"")</f>
        <v>АВТОПРОДУКТ</v>
      </c>
      <c r="J58">
        <f>IFERROR(INDEX(Кат!$A:$A,MATCH(ПРАЙС!B58,Кат!$G:$G,0)),"")</f>
        <v>202750</v>
      </c>
    </row>
    <row r="59" spans="2:10" ht="45">
      <c r="B59" s="40" t="s">
        <v>272</v>
      </c>
      <c r="C59" s="40" t="s">
        <v>699</v>
      </c>
      <c r="D59" s="40"/>
      <c r="E59" s="41" t="s">
        <v>133</v>
      </c>
      <c r="F59" s="43">
        <v>12975</v>
      </c>
      <c r="G59" s="41" t="s">
        <v>133</v>
      </c>
      <c r="H59" s="43">
        <v>15990</v>
      </c>
      <c r="I59" s="33" t="str">
        <f>IFERROR(INDEX(Кат!$H:$H,MATCH(ПРАЙС!B59,Кат!$G:$G,0)),"")</f>
        <v>АВТОПРОДУКТ</v>
      </c>
      <c r="J59">
        <f>IFERROR(INDEX(Кат!$A:$A,MATCH(ПРАЙС!B59,Кат!$G:$G,0)),"")</f>
        <v>194481</v>
      </c>
    </row>
    <row r="60" spans="2:10" ht="30">
      <c r="B60" s="40" t="s">
        <v>957</v>
      </c>
      <c r="C60" s="40" t="s">
        <v>958</v>
      </c>
      <c r="D60" s="40"/>
      <c r="E60" s="41" t="s">
        <v>133</v>
      </c>
      <c r="F60" s="43">
        <v>7540</v>
      </c>
      <c r="G60" s="41" t="s">
        <v>133</v>
      </c>
      <c r="H60" s="43">
        <v>9190</v>
      </c>
      <c r="I60" s="33" t="str">
        <f>IFERROR(INDEX(Кат!$H:$H,MATCH(ПРАЙС!B60,Кат!$G:$G,0)),"")</f>
        <v>АВТОПРОДУКТ</v>
      </c>
      <c r="J60">
        <f>IFERROR(INDEX(Кат!$A:$A,MATCH(ПРАЙС!B60,Кат!$G:$G,0)),"")</f>
        <v>194478</v>
      </c>
    </row>
    <row r="61" spans="2:10" ht="30">
      <c r="B61" s="40" t="s">
        <v>265</v>
      </c>
      <c r="C61" s="40" t="s">
        <v>700</v>
      </c>
      <c r="D61" s="40"/>
      <c r="E61" s="41" t="s">
        <v>133</v>
      </c>
      <c r="F61" s="43">
        <v>6970</v>
      </c>
      <c r="G61" s="41" t="s">
        <v>133</v>
      </c>
      <c r="H61" s="43">
        <v>8990</v>
      </c>
      <c r="I61" s="33" t="str">
        <f>IFERROR(INDEX(Кат!$H:$H,MATCH(ПРАЙС!B61,Кат!$G:$G,0)),"")</f>
        <v>АВТОПРОДУКТ</v>
      </c>
      <c r="J61">
        <f>IFERROR(INDEX(Кат!$A:$A,MATCH(ПРАЙС!B61,Кат!$G:$G,0)),"")</f>
        <v>194477</v>
      </c>
    </row>
    <row r="62" spans="2:10" ht="60">
      <c r="B62" s="40" t="s">
        <v>231</v>
      </c>
      <c r="C62" s="40" t="s">
        <v>159</v>
      </c>
      <c r="D62" s="40" t="s">
        <v>1112</v>
      </c>
      <c r="E62" s="41" t="s">
        <v>133</v>
      </c>
      <c r="F62" s="43">
        <v>2140</v>
      </c>
      <c r="G62" s="41" t="s">
        <v>133</v>
      </c>
      <c r="H62" s="43">
        <v>2690</v>
      </c>
      <c r="I62" s="33" t="str">
        <f>IFERROR(INDEX(Кат!$H:$H,MATCH(ПРАЙС!B62,Кат!$G:$G,0)),"")</f>
        <v>АВТОПРОДУКТ</v>
      </c>
      <c r="J62">
        <f>IFERROR(INDEX(Кат!$A:$A,MATCH(ПРАЙС!B62,Кат!$G:$G,0)),"")</f>
        <v>151521</v>
      </c>
    </row>
    <row r="63" spans="2:10" ht="30">
      <c r="B63" s="40" t="s">
        <v>235</v>
      </c>
      <c r="C63" s="40" t="s">
        <v>160</v>
      </c>
      <c r="D63" s="40" t="s">
        <v>1113</v>
      </c>
      <c r="E63" s="41" t="s">
        <v>132</v>
      </c>
      <c r="F63" s="42">
        <v>615</v>
      </c>
      <c r="G63" s="41" t="s">
        <v>132</v>
      </c>
      <c r="H63" s="42">
        <v>790</v>
      </c>
      <c r="I63" s="33" t="str">
        <f>IFERROR(INDEX(Кат!$H:$H,MATCH(ПРАЙС!B63,Кат!$G:$G,0)),"")</f>
        <v>АВТОПРОДУКТ</v>
      </c>
      <c r="J63">
        <f>IFERROR(INDEX(Кат!$A:$A,MATCH(ПРАЙС!B63,Кат!$G:$G,0)),"")</f>
        <v>223540</v>
      </c>
    </row>
    <row r="64" spans="2:10" ht="45">
      <c r="B64" s="40" t="s">
        <v>236</v>
      </c>
      <c r="C64" s="40" t="s">
        <v>161</v>
      </c>
      <c r="D64" s="40" t="s">
        <v>478</v>
      </c>
      <c r="E64" s="41" t="s">
        <v>132</v>
      </c>
      <c r="F64" s="42">
        <v>805</v>
      </c>
      <c r="G64" s="41" t="s">
        <v>132</v>
      </c>
      <c r="H64" s="43">
        <v>1030</v>
      </c>
      <c r="I64" s="33" t="str">
        <f>IFERROR(INDEX(Кат!$H:$H,MATCH(ПРАЙС!B64,Кат!$G:$G,0)),"")</f>
        <v>АВТОПРОДУКТ</v>
      </c>
      <c r="J64">
        <f>IFERROR(INDEX(Кат!$A:$A,MATCH(ПРАЙС!B64,Кат!$G:$G,0)),"")</f>
        <v>223543</v>
      </c>
    </row>
    <row r="65" spans="2:11" ht="60">
      <c r="B65" s="40" t="s">
        <v>334</v>
      </c>
      <c r="C65" s="40" t="s">
        <v>162</v>
      </c>
      <c r="D65" s="40" t="s">
        <v>1114</v>
      </c>
      <c r="E65" s="41" t="s">
        <v>132</v>
      </c>
      <c r="F65" s="42">
        <v>550</v>
      </c>
      <c r="G65" s="41" t="s">
        <v>132</v>
      </c>
      <c r="H65" s="42">
        <v>695</v>
      </c>
      <c r="I65" s="33" t="str">
        <f>IFERROR(INDEX(Кат!$H:$H,MATCH(ПРАЙС!B65,Кат!$G:$G,0)),"")</f>
        <v>АВТОПРОДУКТ</v>
      </c>
      <c r="J65">
        <f>IFERROR(INDEX(Кат!$A:$A,MATCH(ПРАЙС!B65,Кат!$G:$G,0)),"")</f>
        <v>201736</v>
      </c>
      <c r="K65" s="36"/>
    </row>
    <row r="66" spans="2:11" ht="45">
      <c r="B66" s="40" t="s">
        <v>318</v>
      </c>
      <c r="C66" s="40" t="s">
        <v>743</v>
      </c>
      <c r="D66" s="40" t="s">
        <v>1105</v>
      </c>
      <c r="E66" s="41" t="s">
        <v>133</v>
      </c>
      <c r="F66" s="42">
        <v>615</v>
      </c>
      <c r="G66" s="41" t="s">
        <v>133</v>
      </c>
      <c r="H66" s="42">
        <v>790</v>
      </c>
      <c r="I66" s="33" t="str">
        <f>IFERROR(INDEX(Кат!$H:$H,MATCH(ПРАЙС!B66,Кат!$G:$G,0)),"")</f>
        <v>АВТОПРОДУКТ</v>
      </c>
      <c r="J66">
        <f>IFERROR(INDEX(Кат!$A:$A,MATCH(ПРАЙС!B66,Кат!$G:$G,0)),"")</f>
        <v>181851</v>
      </c>
    </row>
    <row r="67" spans="2:11" ht="30">
      <c r="B67" s="40" t="s">
        <v>292</v>
      </c>
      <c r="C67" s="40" t="s">
        <v>163</v>
      </c>
      <c r="D67" s="40"/>
      <c r="E67" s="41" t="s">
        <v>133</v>
      </c>
      <c r="F67" s="43">
        <v>1470</v>
      </c>
      <c r="G67" s="41" t="s">
        <v>133</v>
      </c>
      <c r="H67" s="43">
        <v>1730</v>
      </c>
      <c r="I67" s="33" t="str">
        <f>IFERROR(INDEX(Кат!$H:$H,MATCH(ПРАЙС!B67,Кат!$G:$G,0)),"")</f>
        <v>АВТОПРОДУКТ</v>
      </c>
      <c r="J67">
        <f>IFERROR(INDEX(Кат!$A:$A,MATCH(ПРАЙС!B67,Кат!$G:$G,0)),"")</f>
        <v>202742</v>
      </c>
    </row>
    <row r="68" spans="2:11" ht="75">
      <c r="B68" s="40" t="s">
        <v>368</v>
      </c>
      <c r="C68" s="40" t="s">
        <v>369</v>
      </c>
      <c r="D68" s="40" t="s">
        <v>1115</v>
      </c>
      <c r="E68" s="41" t="s">
        <v>132</v>
      </c>
      <c r="F68" s="42">
        <v>155</v>
      </c>
      <c r="G68" s="41" t="s">
        <v>132</v>
      </c>
      <c r="H68" s="42">
        <v>200</v>
      </c>
      <c r="I68" s="33" t="str">
        <f>IFERROR(INDEX(Кат!$H:$H,MATCH(ПРАЙС!B68,Кат!$G:$G,0)),"")</f>
        <v>АВТОПРОДУКТ</v>
      </c>
      <c r="J68">
        <f>IFERROR(INDEX(Кат!$A:$A,MATCH(ПРАЙС!B68,Кат!$G:$G,0)),"")</f>
        <v>204316</v>
      </c>
    </row>
    <row r="69" spans="2:11" ht="45">
      <c r="B69" s="40" t="s">
        <v>293</v>
      </c>
      <c r="C69" s="40" t="s">
        <v>164</v>
      </c>
      <c r="D69" s="40" t="s">
        <v>1116</v>
      </c>
      <c r="E69" s="41" t="s">
        <v>133</v>
      </c>
      <c r="F69" s="43">
        <v>4755</v>
      </c>
      <c r="G69" s="41" t="s">
        <v>133</v>
      </c>
      <c r="H69" s="43">
        <v>5990</v>
      </c>
      <c r="I69" s="33" t="str">
        <f>IFERROR(INDEX(Кат!$H:$H,MATCH(ПРАЙС!B69,Кат!$G:$G,0)),"")</f>
        <v>АВТОПРОДУКТ</v>
      </c>
      <c r="J69">
        <f>IFERROR(INDEX(Кат!$A:$A,MATCH(ПРАЙС!B69,Кат!$G:$G,0)),"")</f>
        <v>223619</v>
      </c>
    </row>
    <row r="70" spans="2:11" ht="45">
      <c r="B70" s="40" t="s">
        <v>255</v>
      </c>
      <c r="C70" s="40" t="s">
        <v>165</v>
      </c>
      <c r="D70" s="40" t="s">
        <v>1117</v>
      </c>
      <c r="E70" s="41" t="s">
        <v>133</v>
      </c>
      <c r="F70" s="42">
        <v>790</v>
      </c>
      <c r="G70" s="41" t="s">
        <v>133</v>
      </c>
      <c r="H70" s="42">
        <v>990</v>
      </c>
      <c r="I70" s="33" t="str">
        <f>IFERROR(INDEX(Кат!$H:$H,MATCH(ПРАЙС!B70,Кат!$G:$G,0)),"")</f>
        <v>АВТОПРОДУКТ</v>
      </c>
      <c r="J70">
        <f>IFERROR(INDEX(Кат!$A:$A,MATCH(ПРАЙС!B70,Кат!$G:$G,0)),"")</f>
        <v>203075</v>
      </c>
    </row>
    <row r="71" spans="2:11" ht="30">
      <c r="B71" s="40" t="s">
        <v>217</v>
      </c>
      <c r="C71" s="40" t="s">
        <v>392</v>
      </c>
      <c r="D71" s="40" t="s">
        <v>1070</v>
      </c>
      <c r="E71" s="41" t="s">
        <v>133</v>
      </c>
      <c r="F71" s="43">
        <v>4145</v>
      </c>
      <c r="G71" s="41" t="s">
        <v>133</v>
      </c>
      <c r="H71" s="43">
        <v>4890</v>
      </c>
      <c r="I71" s="33" t="str">
        <f>IFERROR(INDEX(Кат!$H:$H,MATCH(ПРАЙС!B71,Кат!$G:$G,0)),"")</f>
        <v>АВТОПРОДУКТ</v>
      </c>
      <c r="J71">
        <f>IFERROR(INDEX(Кат!$A:$A,MATCH(ПРАЙС!B71,Кат!$G:$G,0)),"")</f>
        <v>141270</v>
      </c>
    </row>
    <row r="72" spans="2:11" ht="75">
      <c r="B72" s="40" t="s">
        <v>335</v>
      </c>
      <c r="C72" s="40" t="s">
        <v>701</v>
      </c>
      <c r="D72" s="40"/>
      <c r="E72" s="41" t="s">
        <v>132</v>
      </c>
      <c r="F72" s="43">
        <v>5390</v>
      </c>
      <c r="G72" s="41" t="s">
        <v>132</v>
      </c>
      <c r="H72" s="43">
        <v>6790</v>
      </c>
      <c r="I72" s="33" t="str">
        <f>IFERROR(INDEX(Кат!$H:$H,MATCH(ПРАЙС!B72,Кат!$G:$G,0)),"")</f>
        <v>АВТОПРОДУКТ</v>
      </c>
      <c r="J72">
        <f>IFERROR(INDEX(Кат!$A:$A,MATCH(ПРАЙС!B72,Кат!$G:$G,0)),"")</f>
        <v>201661</v>
      </c>
    </row>
    <row r="73" spans="2:11" ht="45">
      <c r="B73" s="40" t="s">
        <v>313</v>
      </c>
      <c r="C73" s="40" t="s">
        <v>166</v>
      </c>
      <c r="D73" s="40"/>
      <c r="E73" s="41" t="s">
        <v>133</v>
      </c>
      <c r="F73" s="42">
        <v>505</v>
      </c>
      <c r="G73" s="41" t="s">
        <v>133</v>
      </c>
      <c r="H73" s="42">
        <v>650</v>
      </c>
      <c r="I73" s="33" t="str">
        <f>IFERROR(INDEX(Кат!$H:$H,MATCH(ПРАЙС!B73,Кат!$G:$G,0)),"")</f>
        <v>АВТОПРОДУКТ</v>
      </c>
      <c r="J73">
        <f>IFERROR(INDEX(Кат!$A:$A,MATCH(ПРАЙС!B73,Кат!$G:$G,0)),"")</f>
        <v>223693</v>
      </c>
    </row>
    <row r="74" spans="2:11" ht="45">
      <c r="B74" s="40" t="s">
        <v>314</v>
      </c>
      <c r="C74" s="40" t="s">
        <v>167</v>
      </c>
      <c r="D74" s="40"/>
      <c r="E74" s="41" t="s">
        <v>133</v>
      </c>
      <c r="F74" s="42">
        <v>515</v>
      </c>
      <c r="G74" s="41" t="s">
        <v>133</v>
      </c>
      <c r="H74" s="42">
        <v>650</v>
      </c>
      <c r="I74" s="33" t="str">
        <f>IFERROR(INDEX(Кат!$H:$H,MATCH(ПРАЙС!B74,Кат!$G:$G,0)),"")</f>
        <v>АВТОПРОДУКТ</v>
      </c>
      <c r="J74">
        <f>IFERROR(INDEX(Кат!$A:$A,MATCH(ПРАЙС!B74,Кат!$G:$G,0)),"")</f>
        <v>223694</v>
      </c>
    </row>
    <row r="75" spans="2:11" ht="45">
      <c r="B75" s="40" t="s">
        <v>441</v>
      </c>
      <c r="C75" s="40" t="s">
        <v>440</v>
      </c>
      <c r="D75" s="40"/>
      <c r="E75" s="41" t="s">
        <v>133</v>
      </c>
      <c r="F75" s="43">
        <v>1235</v>
      </c>
      <c r="G75" s="41" t="s">
        <v>133</v>
      </c>
      <c r="H75" s="43">
        <v>1590</v>
      </c>
      <c r="I75" s="33" t="str">
        <f>IFERROR(INDEX(Кат!$H:$H,MATCH(ПРАЙС!B75,Кат!$G:$G,0)),"")</f>
        <v>АВТОПРОДУКТ</v>
      </c>
      <c r="J75">
        <f>IFERROR(INDEX(Кат!$A:$A,MATCH(ПРАЙС!B75,Кат!$G:$G,0)),"")</f>
        <v>202746</v>
      </c>
    </row>
    <row r="76" spans="2:11" ht="30">
      <c r="B76" s="40" t="s">
        <v>218</v>
      </c>
      <c r="C76" s="40" t="s">
        <v>682</v>
      </c>
      <c r="D76" s="40" t="s">
        <v>739</v>
      </c>
      <c r="E76" s="41" t="s">
        <v>133</v>
      </c>
      <c r="F76" s="43">
        <v>4145</v>
      </c>
      <c r="G76" s="41" t="s">
        <v>133</v>
      </c>
      <c r="H76" s="43">
        <v>4890</v>
      </c>
      <c r="I76" s="33" t="str">
        <f>IFERROR(INDEX(Кат!$H:$H,MATCH(ПРАЙС!B76,Кат!$G:$G,0)),"")</f>
        <v>АВТОПРОДУКТ</v>
      </c>
      <c r="J76">
        <f>IFERROR(INDEX(Кат!$A:$A,MATCH(ПРАЙС!B76,Кат!$G:$G,0)),"")</f>
        <v>141271</v>
      </c>
    </row>
    <row r="77" spans="2:11" ht="30">
      <c r="B77" s="40" t="s">
        <v>219</v>
      </c>
      <c r="C77" s="40" t="s">
        <v>683</v>
      </c>
      <c r="D77" s="40" t="s">
        <v>960</v>
      </c>
      <c r="E77" s="41" t="s">
        <v>133</v>
      </c>
      <c r="F77" s="43">
        <v>4145</v>
      </c>
      <c r="G77" s="41" t="s">
        <v>133</v>
      </c>
      <c r="H77" s="43">
        <v>4890</v>
      </c>
      <c r="I77" s="33" t="str">
        <f>IFERROR(INDEX(Кат!$H:$H,MATCH(ПРАЙС!B77,Кат!$G:$G,0)),"")</f>
        <v>АВТОПРОДУКТ</v>
      </c>
      <c r="J77">
        <f>IFERROR(INDEX(Кат!$A:$A,MATCH(ПРАЙС!B77,Кат!$G:$G,0)),"")</f>
        <v>141113</v>
      </c>
    </row>
    <row r="78" spans="2:11" ht="60">
      <c r="B78" s="40" t="s">
        <v>303</v>
      </c>
      <c r="C78" s="40" t="s">
        <v>168</v>
      </c>
      <c r="D78" s="40" t="s">
        <v>1118</v>
      </c>
      <c r="E78" s="41" t="s">
        <v>133</v>
      </c>
      <c r="F78" s="43">
        <v>1945</v>
      </c>
      <c r="G78" s="41" t="s">
        <v>133</v>
      </c>
      <c r="H78" s="43">
        <v>2290</v>
      </c>
      <c r="I78" s="33" t="str">
        <f>IFERROR(INDEX(Кат!$H:$H,MATCH(ПРАЙС!B78,Кат!$G:$G,0)),"")</f>
        <v>АВТОПРОДУКТ</v>
      </c>
      <c r="J78">
        <f>IFERROR(INDEX(Кат!$A:$A,MATCH(ПРАЙС!B78,Кат!$G:$G,0)),"")</f>
        <v>202757</v>
      </c>
    </row>
    <row r="79" spans="2:11" ht="60">
      <c r="B79" s="40" t="s">
        <v>304</v>
      </c>
      <c r="C79" s="40" t="s">
        <v>439</v>
      </c>
      <c r="D79" s="40"/>
      <c r="E79" s="41" t="s">
        <v>133</v>
      </c>
      <c r="F79" s="43">
        <v>2285</v>
      </c>
      <c r="G79" s="41" t="s">
        <v>133</v>
      </c>
      <c r="H79" s="43">
        <v>2690</v>
      </c>
      <c r="I79" s="33" t="str">
        <f>IFERROR(INDEX(Кат!$H:$H,MATCH(ПРАЙС!B79,Кат!$G:$G,0)),"")</f>
        <v>АВТОПРОДУКТ</v>
      </c>
      <c r="J79">
        <f>IFERROR(INDEX(Кат!$A:$A,MATCH(ПРАЙС!B79,Кат!$G:$G,0)),"")</f>
        <v>202734</v>
      </c>
    </row>
    <row r="80" spans="2:11" ht="30">
      <c r="B80" s="40" t="s">
        <v>347</v>
      </c>
      <c r="C80" s="40" t="s">
        <v>169</v>
      </c>
      <c r="D80" s="40" t="s">
        <v>1119</v>
      </c>
      <c r="E80" s="41" t="s">
        <v>133</v>
      </c>
      <c r="F80" s="42">
        <v>455</v>
      </c>
      <c r="G80" s="41" t="s">
        <v>133</v>
      </c>
      <c r="H80" s="42">
        <v>590</v>
      </c>
      <c r="I80" s="33" t="str">
        <f>IFERROR(INDEX(Кат!$H:$H,MATCH(ПРАЙС!B80,Кат!$G:$G,0)),"")</f>
        <v>АВТОПРОДУКТ</v>
      </c>
      <c r="J80">
        <f>IFERROR(INDEX(Кат!$A:$A,MATCH(ПРАЙС!B80,Кат!$G:$G,0)),"")</f>
        <v>225419</v>
      </c>
    </row>
    <row r="81" spans="2:11" ht="60">
      <c r="B81" s="40" t="s">
        <v>227</v>
      </c>
      <c r="C81" s="40" t="s">
        <v>170</v>
      </c>
      <c r="D81" s="40"/>
      <c r="E81" s="41" t="s">
        <v>133</v>
      </c>
      <c r="F81" s="43">
        <v>2195</v>
      </c>
      <c r="G81" s="41" t="s">
        <v>133</v>
      </c>
      <c r="H81" s="43">
        <v>2590</v>
      </c>
      <c r="I81" s="33" t="str">
        <f>IFERROR(INDEX(Кат!$H:$H,MATCH(ПРАЙС!B81,Кат!$G:$G,0)),"")</f>
        <v>АВТОПРОДУКТ</v>
      </c>
      <c r="J81">
        <f>IFERROR(INDEX(Кат!$A:$A,MATCH(ПРАЙС!B81,Кат!$G:$G,0)),"")</f>
        <v>160614</v>
      </c>
    </row>
    <row r="82" spans="2:11" ht="60">
      <c r="B82" s="40" t="s">
        <v>246</v>
      </c>
      <c r="C82" s="40" t="s">
        <v>438</v>
      </c>
      <c r="D82" s="40" t="s">
        <v>1120</v>
      </c>
      <c r="E82" s="41" t="s">
        <v>133</v>
      </c>
      <c r="F82" s="43">
        <v>1605</v>
      </c>
      <c r="G82" s="41" t="s">
        <v>133</v>
      </c>
      <c r="H82" s="43">
        <v>1890</v>
      </c>
      <c r="I82" s="33" t="str">
        <f>IFERROR(INDEX(Кат!$H:$H,MATCH(ПРАЙС!B82,Кат!$G:$G,0)),"")</f>
        <v>АВТОПРОДУКТ</v>
      </c>
      <c r="J82">
        <f>IFERROR(INDEX(Кат!$A:$A,MATCH(ПРАЙС!B82,Кат!$G:$G,0)),"")</f>
        <v>217372</v>
      </c>
    </row>
    <row r="83" spans="2:11" ht="30">
      <c r="B83" s="40" t="s">
        <v>220</v>
      </c>
      <c r="C83" s="40" t="s">
        <v>499</v>
      </c>
      <c r="D83" s="40" t="s">
        <v>725</v>
      </c>
      <c r="E83" s="41" t="s">
        <v>133</v>
      </c>
      <c r="F83" s="43">
        <v>4145</v>
      </c>
      <c r="G83" s="41" t="s">
        <v>133</v>
      </c>
      <c r="H83" s="43">
        <v>4890</v>
      </c>
      <c r="I83" s="33" t="str">
        <f>IFERROR(INDEX(Кат!$H:$H,MATCH(ПРАЙС!B83,Кат!$G:$G,0)),"")</f>
        <v>АВТОПРОДУКТ</v>
      </c>
      <c r="J83">
        <f>IFERROR(INDEX(Кат!$A:$A,MATCH(ПРАЙС!B83,Кат!$G:$G,0)),"")</f>
        <v>141273</v>
      </c>
    </row>
    <row r="84" spans="2:11" ht="60">
      <c r="B84" s="40" t="s">
        <v>247</v>
      </c>
      <c r="C84" s="40" t="s">
        <v>1073</v>
      </c>
      <c r="D84" s="40" t="s">
        <v>490</v>
      </c>
      <c r="E84" s="41" t="s">
        <v>133</v>
      </c>
      <c r="F84" s="43">
        <v>1625</v>
      </c>
      <c r="G84" s="41" t="s">
        <v>133</v>
      </c>
      <c r="H84" s="43">
        <v>2090</v>
      </c>
      <c r="I84" s="33" t="str">
        <f>IFERROR(INDEX(Кат!$H:$H,MATCH(ПРАЙС!B84,Кат!$G:$G,0)),"")</f>
        <v>АВТОПРОДУКТ</v>
      </c>
      <c r="J84">
        <f>IFERROR(INDEX(Кат!$A:$A,MATCH(ПРАЙС!B84,Кат!$G:$G,0)),"")</f>
        <v>160643</v>
      </c>
    </row>
    <row r="85" spans="2:11" ht="45">
      <c r="B85" s="40" t="s">
        <v>437</v>
      </c>
      <c r="C85" s="40" t="s">
        <v>436</v>
      </c>
      <c r="D85" s="40"/>
      <c r="E85" s="41" t="s">
        <v>132</v>
      </c>
      <c r="F85" s="43">
        <v>3065</v>
      </c>
      <c r="G85" s="41" t="s">
        <v>132</v>
      </c>
      <c r="H85" s="43">
        <v>3950</v>
      </c>
      <c r="I85" s="33" t="str">
        <f>IFERROR(INDEX(Кат!$H:$H,MATCH(ПРАЙС!B85,Кат!$G:$G,0)),"")</f>
        <v>АВТОПРОДУКТ</v>
      </c>
      <c r="J85">
        <f>IFERROR(INDEX(Кат!$A:$A,MATCH(ПРАЙС!B85,Кат!$G:$G,0)),"")</f>
        <v>158255</v>
      </c>
    </row>
    <row r="86" spans="2:11" ht="45">
      <c r="B86" s="40" t="s">
        <v>297</v>
      </c>
      <c r="C86" s="40" t="s">
        <v>454</v>
      </c>
      <c r="D86" s="40" t="s">
        <v>1121</v>
      </c>
      <c r="E86" s="41" t="s">
        <v>133</v>
      </c>
      <c r="F86" s="42">
        <v>850</v>
      </c>
      <c r="G86" s="41" t="s">
        <v>133</v>
      </c>
      <c r="H86" s="43">
        <v>1070</v>
      </c>
      <c r="I86" s="33" t="str">
        <f>IFERROR(INDEX(Кат!$H:$H,MATCH(ПРАЙС!B86,Кат!$G:$G,0)),"")</f>
        <v>АВТОПРОДУКТ</v>
      </c>
      <c r="J86">
        <f>IFERROR(INDEX(Кат!$A:$A,MATCH(ПРАЙС!B86,Кат!$G:$G,0)),"")</f>
        <v>202754</v>
      </c>
    </row>
    <row r="87" spans="2:11" ht="45">
      <c r="B87" s="40" t="s">
        <v>273</v>
      </c>
      <c r="C87" s="40" t="s">
        <v>703</v>
      </c>
      <c r="D87" s="40"/>
      <c r="E87" s="41" t="s">
        <v>133</v>
      </c>
      <c r="F87" s="43">
        <v>12585</v>
      </c>
      <c r="G87" s="41" t="s">
        <v>133</v>
      </c>
      <c r="H87" s="43">
        <v>15690</v>
      </c>
      <c r="I87" s="33" t="str">
        <f>IFERROR(INDEX(Кат!$H:$H,MATCH(ПРАЙС!B87,Кат!$G:$G,0)),"")</f>
        <v>АВТОПРОДУКТ</v>
      </c>
      <c r="J87">
        <f>IFERROR(INDEX(Кат!$A:$A,MATCH(ПРАЙС!B87,Кат!$G:$G,0)),"")</f>
        <v>194518</v>
      </c>
    </row>
    <row r="88" spans="2:11" ht="45">
      <c r="B88" s="40" t="s">
        <v>744</v>
      </c>
      <c r="C88" s="40" t="s">
        <v>745</v>
      </c>
      <c r="D88" s="40" t="s">
        <v>481</v>
      </c>
      <c r="E88" s="41" t="s">
        <v>133</v>
      </c>
      <c r="F88" s="43">
        <v>6630</v>
      </c>
      <c r="G88" s="41" t="s">
        <v>133</v>
      </c>
      <c r="H88" s="43">
        <v>8550</v>
      </c>
      <c r="I88" s="33" t="str">
        <f>IFERROR(INDEX(Кат!$H:$H,MATCH(ПРАЙС!B88,Кат!$G:$G,0)),"")</f>
        <v/>
      </c>
      <c r="J88" t="str">
        <f>IFERROR(INDEX(Кат!$A:$A,MATCH(ПРАЙС!B88,Кат!$G:$G,0)),"")</f>
        <v/>
      </c>
    </row>
    <row r="89" spans="2:11" ht="30">
      <c r="B89" s="40" t="s">
        <v>266</v>
      </c>
      <c r="C89" s="40" t="s">
        <v>1122</v>
      </c>
      <c r="D89" s="40"/>
      <c r="E89" s="41" t="s">
        <v>133</v>
      </c>
      <c r="F89" s="43">
        <v>6815</v>
      </c>
      <c r="G89" s="41" t="s">
        <v>133</v>
      </c>
      <c r="H89" s="43">
        <v>8490</v>
      </c>
      <c r="I89" s="33" t="str">
        <f>IFERROR(INDEX(Кат!$H:$H,MATCH(ПРАЙС!B89,Кат!$G:$G,0)),"")</f>
        <v>АВТОПРОДУКТ</v>
      </c>
      <c r="J89">
        <f>IFERROR(INDEX(Кат!$A:$A,MATCH(ПРАЙС!B89,Кат!$G:$G,0)),"")</f>
        <v>194503</v>
      </c>
    </row>
    <row r="90" spans="2:11" ht="30">
      <c r="B90" s="40" t="s">
        <v>267</v>
      </c>
      <c r="C90" s="40" t="s">
        <v>393</v>
      </c>
      <c r="D90" s="40"/>
      <c r="E90" s="41" t="s">
        <v>133</v>
      </c>
      <c r="F90" s="43">
        <v>6040</v>
      </c>
      <c r="G90" s="41" t="s">
        <v>133</v>
      </c>
      <c r="H90" s="43">
        <v>7790</v>
      </c>
      <c r="I90" s="33" t="str">
        <f>IFERROR(INDEX(Кат!$H:$H,MATCH(ПРАЙС!B90,Кат!$G:$G,0)),"")</f>
        <v>АВТОПРОДУКТ</v>
      </c>
      <c r="J90">
        <f>IFERROR(INDEX(Кат!$A:$A,MATCH(ПРАЙС!B90,Кат!$G:$G,0)),"")</f>
        <v>194500</v>
      </c>
    </row>
    <row r="91" spans="2:11" ht="60">
      <c r="B91" s="40" t="s">
        <v>232</v>
      </c>
      <c r="C91" s="40" t="s">
        <v>704</v>
      </c>
      <c r="D91" s="40" t="s">
        <v>1123</v>
      </c>
      <c r="E91" s="41" t="s">
        <v>133</v>
      </c>
      <c r="F91" s="43">
        <v>1980</v>
      </c>
      <c r="G91" s="41" t="s">
        <v>133</v>
      </c>
      <c r="H91" s="43">
        <v>2490</v>
      </c>
      <c r="I91" s="33" t="str">
        <f>IFERROR(INDEX(Кат!$H:$H,MATCH(ПРАЙС!B91,Кат!$G:$G,0)),"")</f>
        <v>АВТОПРОДУКТ</v>
      </c>
      <c r="J91">
        <f>IFERROR(INDEX(Кат!$A:$A,MATCH(ПРАЙС!B91,Кат!$G:$G,0)),"")</f>
        <v>151522</v>
      </c>
    </row>
    <row r="92" spans="2:11" ht="45">
      <c r="B92" s="40" t="s">
        <v>237</v>
      </c>
      <c r="C92" s="40" t="s">
        <v>171</v>
      </c>
      <c r="D92" s="40" t="s">
        <v>1124</v>
      </c>
      <c r="E92" s="41" t="s">
        <v>132</v>
      </c>
      <c r="F92" s="42">
        <v>615</v>
      </c>
      <c r="G92" s="41" t="s">
        <v>132</v>
      </c>
      <c r="H92" s="42">
        <v>790</v>
      </c>
      <c r="I92" s="33" t="str">
        <f>IFERROR(INDEX(Кат!$H:$H,MATCH(ПРАЙС!B92,Кат!$G:$G,0)),"")</f>
        <v>АВТОПРОДУКТ</v>
      </c>
      <c r="J92">
        <f>IFERROR(INDEX(Кат!$A:$A,MATCH(ПРАЙС!B92,Кат!$G:$G,0)),"")</f>
        <v>223541</v>
      </c>
    </row>
    <row r="93" spans="2:11" ht="30">
      <c r="B93" s="40" t="s">
        <v>285</v>
      </c>
      <c r="C93" s="40" t="s">
        <v>172</v>
      </c>
      <c r="D93" s="40"/>
      <c r="E93" s="41" t="s">
        <v>133</v>
      </c>
      <c r="F93" s="43">
        <v>2505</v>
      </c>
      <c r="G93" s="41" t="s">
        <v>133</v>
      </c>
      <c r="H93" s="43">
        <v>3190</v>
      </c>
      <c r="I93" s="33" t="str">
        <f>IFERROR(INDEX(Кат!$H:$H,MATCH(ПРАЙС!B93,Кат!$G:$G,0)),"")</f>
        <v>АВТОПРОДУКТ</v>
      </c>
      <c r="J93">
        <f>IFERROR(INDEX(Кат!$A:$A,MATCH(ПРАЙС!B93,Кат!$G:$G,0)),"")</f>
        <v>195294</v>
      </c>
    </row>
    <row r="94" spans="2:11" ht="30">
      <c r="B94" s="40" t="s">
        <v>394</v>
      </c>
      <c r="C94" s="40" t="s">
        <v>395</v>
      </c>
      <c r="D94" s="40"/>
      <c r="E94" s="41" t="s">
        <v>133</v>
      </c>
      <c r="F94" s="43">
        <v>3455</v>
      </c>
      <c r="G94" s="41" t="s">
        <v>133</v>
      </c>
      <c r="H94" s="43">
        <v>3790</v>
      </c>
      <c r="I94" s="33" t="str">
        <f>IFERROR(INDEX(Кат!$H:$H,MATCH(ПРАЙС!B94,Кат!$G:$G,0)),"")</f>
        <v>АВТОПРОДУКТ</v>
      </c>
      <c r="J94">
        <f>IFERROR(INDEX(Кат!$A:$A,MATCH(ПРАЙС!B94,Кат!$G:$G,0)),"")</f>
        <v>195298</v>
      </c>
    </row>
    <row r="95" spans="2:11" ht="30">
      <c r="B95" s="40" t="s">
        <v>286</v>
      </c>
      <c r="C95" s="40" t="s">
        <v>173</v>
      </c>
      <c r="D95" s="40"/>
      <c r="E95" s="41" t="s">
        <v>133</v>
      </c>
      <c r="F95" s="43">
        <v>2740</v>
      </c>
      <c r="G95" s="41" t="s">
        <v>133</v>
      </c>
      <c r="H95" s="43">
        <v>3450</v>
      </c>
      <c r="I95" s="33" t="str">
        <f>IFERROR(INDEX(Кат!$H:$H,MATCH(ПРАЙС!B95,Кат!$G:$G,0)),"")</f>
        <v>АВТОПРОДУКТ</v>
      </c>
      <c r="J95">
        <f>IFERROR(INDEX(Кат!$A:$A,MATCH(ПРАЙС!B95,Кат!$G:$G,0)),"")</f>
        <v>195276</v>
      </c>
    </row>
    <row r="96" spans="2:11" ht="45">
      <c r="B96" s="40" t="s">
        <v>500</v>
      </c>
      <c r="C96" s="40" t="s">
        <v>501</v>
      </c>
      <c r="D96" s="40"/>
      <c r="E96" s="41" t="s">
        <v>133</v>
      </c>
      <c r="F96" s="43">
        <v>3385</v>
      </c>
      <c r="G96" s="41" t="s">
        <v>133</v>
      </c>
      <c r="H96" s="43">
        <v>3990</v>
      </c>
      <c r="I96" s="33" t="str">
        <f>IFERROR(INDEX(Кат!$H:$H,MATCH(ПРАЙС!B96,Кат!$G:$G,0)),"")</f>
        <v>АВТОПРОДУКТ</v>
      </c>
      <c r="J96">
        <f>IFERROR(INDEX(Кат!$A:$A,MATCH(ПРАЙС!B96,Кат!$G:$G,0)),"")</f>
        <v>195277</v>
      </c>
      <c r="K96" s="36"/>
    </row>
    <row r="97" spans="2:11" ht="30">
      <c r="B97" s="40" t="s">
        <v>287</v>
      </c>
      <c r="C97" s="40" t="s">
        <v>174</v>
      </c>
      <c r="D97" s="40"/>
      <c r="E97" s="41" t="s">
        <v>133</v>
      </c>
      <c r="F97" s="43">
        <v>2215</v>
      </c>
      <c r="G97" s="41" t="s">
        <v>133</v>
      </c>
      <c r="H97" s="43">
        <v>2890</v>
      </c>
      <c r="I97" s="33" t="str">
        <f>IFERROR(INDEX(Кат!$H:$H,MATCH(ПРАЙС!B97,Кат!$G:$G,0)),"")</f>
        <v>АВТОПРОДУКТ</v>
      </c>
      <c r="J97">
        <f>IFERROR(INDEX(Кат!$A:$A,MATCH(ПРАЙС!B97,Кат!$G:$G,0)),"")</f>
        <v>195301</v>
      </c>
    </row>
    <row r="98" spans="2:11" ht="30">
      <c r="B98" s="40" t="s">
        <v>294</v>
      </c>
      <c r="C98" s="40" t="s">
        <v>175</v>
      </c>
      <c r="D98" s="40"/>
      <c r="E98" s="41" t="s">
        <v>133</v>
      </c>
      <c r="F98" s="43">
        <v>1490</v>
      </c>
      <c r="G98" s="41" t="s">
        <v>133</v>
      </c>
      <c r="H98" s="43">
        <v>1830</v>
      </c>
      <c r="I98" s="33" t="str">
        <f>IFERROR(INDEX(Кат!$H:$H,MATCH(ПРАЙС!B98,Кат!$G:$G,0)),"")</f>
        <v>АВТОПРОДУКТ</v>
      </c>
      <c r="J98">
        <f>IFERROR(INDEX(Кат!$A:$A,MATCH(ПРАЙС!B98,Кат!$G:$G,0)),"")</f>
        <v>202743</v>
      </c>
    </row>
    <row r="99" spans="2:11" ht="45">
      <c r="B99" s="40" t="s">
        <v>295</v>
      </c>
      <c r="C99" s="40" t="s">
        <v>705</v>
      </c>
      <c r="D99" s="40"/>
      <c r="E99" s="41" t="s">
        <v>133</v>
      </c>
      <c r="F99" s="43">
        <v>4425</v>
      </c>
      <c r="G99" s="41" t="s">
        <v>133</v>
      </c>
      <c r="H99" s="43">
        <v>5390</v>
      </c>
      <c r="I99" s="33" t="str">
        <f>IFERROR(INDEX(Кат!$H:$H,MATCH(ПРАЙС!B99,Кат!$G:$G,0)),"")</f>
        <v>АВТОПРОДУКТ</v>
      </c>
      <c r="J99">
        <f>IFERROR(INDEX(Кат!$A:$A,MATCH(ПРАЙС!B99,Кат!$G:$G,0)),"")</f>
        <v>223621</v>
      </c>
      <c r="K99" s="36"/>
    </row>
    <row r="100" spans="2:11" ht="60">
      <c r="B100" s="40" t="s">
        <v>305</v>
      </c>
      <c r="C100" s="40" t="s">
        <v>176</v>
      </c>
      <c r="D100" s="40"/>
      <c r="E100" s="41" t="s">
        <v>133</v>
      </c>
      <c r="F100" s="43">
        <v>1610</v>
      </c>
      <c r="G100" s="41" t="s">
        <v>133</v>
      </c>
      <c r="H100" s="43">
        <v>1920</v>
      </c>
      <c r="I100" s="33" t="str">
        <f>IFERROR(INDEX(Кат!$H:$H,MATCH(ПРАЙС!B100,Кат!$G:$G,0)),"")</f>
        <v>АВТОПРОДУКТ</v>
      </c>
      <c r="J100">
        <f>IFERROR(INDEX(Кат!$A:$A,MATCH(ПРАЙС!B100,Кат!$G:$G,0)),"")</f>
        <v>203072</v>
      </c>
    </row>
    <row r="101" spans="2:11" ht="45">
      <c r="B101" s="40" t="s">
        <v>306</v>
      </c>
      <c r="C101" s="40" t="s">
        <v>684</v>
      </c>
      <c r="D101" s="40" t="s">
        <v>1107</v>
      </c>
      <c r="E101" s="41" t="s">
        <v>133</v>
      </c>
      <c r="F101" s="43">
        <v>1220</v>
      </c>
      <c r="G101" s="41" t="s">
        <v>133</v>
      </c>
      <c r="H101" s="43">
        <v>1550</v>
      </c>
      <c r="I101" s="33" t="str">
        <f>IFERROR(INDEX(Кат!$H:$H,MATCH(ПРАЙС!B101,Кат!$G:$G,0)),"")</f>
        <v>АВТОПРОДУКТ</v>
      </c>
      <c r="J101">
        <f>IFERROR(INDEX(Кат!$A:$A,MATCH(ПРАЙС!B101,Кат!$G:$G,0)),"")</f>
        <v>202747</v>
      </c>
    </row>
    <row r="102" spans="2:11" ht="60">
      <c r="B102" s="40" t="s">
        <v>307</v>
      </c>
      <c r="C102" s="40" t="s">
        <v>177</v>
      </c>
      <c r="D102" s="40" t="s">
        <v>485</v>
      </c>
      <c r="E102" s="41" t="s">
        <v>133</v>
      </c>
      <c r="F102" s="43">
        <v>2455</v>
      </c>
      <c r="G102" s="41" t="s">
        <v>133</v>
      </c>
      <c r="H102" s="43">
        <v>2990</v>
      </c>
      <c r="I102" s="33" t="str">
        <f>IFERROR(INDEX(Кат!$H:$H,MATCH(ПРАЙС!B102,Кат!$G:$G,0)),"")</f>
        <v>АВТОПРОДУКТ</v>
      </c>
      <c r="J102">
        <f>IFERROR(INDEX(Кат!$A:$A,MATCH(ПРАЙС!B102,Кат!$G:$G,0)),"")</f>
        <v>202758</v>
      </c>
    </row>
    <row r="103" spans="2:11" ht="45">
      <c r="B103" s="40" t="s">
        <v>460</v>
      </c>
      <c r="C103" s="40" t="s">
        <v>746</v>
      </c>
      <c r="D103" s="40" t="s">
        <v>480</v>
      </c>
      <c r="E103" s="41" t="s">
        <v>133</v>
      </c>
      <c r="F103" s="42">
        <v>845</v>
      </c>
      <c r="G103" s="41" t="s">
        <v>133</v>
      </c>
      <c r="H103" s="42">
        <v>990</v>
      </c>
      <c r="I103" s="33" t="str">
        <f>IFERROR(INDEX(Кат!$H:$H,MATCH(ПРАЙС!B103,Кат!$G:$G,0)),"")</f>
        <v>АВТОПРОДУКТ</v>
      </c>
      <c r="J103">
        <f>IFERROR(INDEX(Кат!$A:$A,MATCH(ПРАЙС!B103,Кат!$G:$G,0)),"")</f>
        <v>140765</v>
      </c>
    </row>
    <row r="104" spans="2:11" ht="30">
      <c r="B104" s="40" t="s">
        <v>221</v>
      </c>
      <c r="C104" s="40" t="s">
        <v>397</v>
      </c>
      <c r="D104" s="40" t="s">
        <v>725</v>
      </c>
      <c r="E104" s="41" t="s">
        <v>133</v>
      </c>
      <c r="F104" s="43">
        <v>4145</v>
      </c>
      <c r="G104" s="41" t="s">
        <v>133</v>
      </c>
      <c r="H104" s="43">
        <v>4890</v>
      </c>
      <c r="I104" s="33" t="str">
        <f>IFERROR(INDEX(Кат!$H:$H,MATCH(ПРАЙС!B104,Кат!$G:$G,0)),"")</f>
        <v>АВТОПРОДУКТ</v>
      </c>
      <c r="J104">
        <f>IFERROR(INDEX(Кат!$A:$A,MATCH(ПРАЙС!B104,Кат!$G:$G,0)),"")</f>
        <v>141276</v>
      </c>
    </row>
    <row r="105" spans="2:11" ht="60">
      <c r="B105" s="40" t="s">
        <v>338</v>
      </c>
      <c r="C105" s="40" t="s">
        <v>706</v>
      </c>
      <c r="D105" s="40"/>
      <c r="E105" s="41" t="s">
        <v>132</v>
      </c>
      <c r="F105" s="43">
        <v>8890</v>
      </c>
      <c r="G105" s="41" t="s">
        <v>132</v>
      </c>
      <c r="H105" s="43">
        <v>10490</v>
      </c>
      <c r="I105" s="33" t="str">
        <f>IFERROR(INDEX(Кат!$H:$H,MATCH(ПРАЙС!B105,Кат!$G:$G,0)),"")</f>
        <v>АВТОПРОДУКТ</v>
      </c>
      <c r="J105">
        <f>IFERROR(INDEX(Кат!$A:$A,MATCH(ПРАЙС!B105,Кат!$G:$G,0)),"")</f>
        <v>213108</v>
      </c>
    </row>
    <row r="106" spans="2:11" ht="75">
      <c r="B106" s="40" t="s">
        <v>339</v>
      </c>
      <c r="C106" s="40" t="s">
        <v>502</v>
      </c>
      <c r="D106" s="40"/>
      <c r="E106" s="41" t="s">
        <v>132</v>
      </c>
      <c r="F106" s="43">
        <v>8890</v>
      </c>
      <c r="G106" s="41" t="s">
        <v>132</v>
      </c>
      <c r="H106" s="43">
        <v>10490</v>
      </c>
      <c r="I106" s="33" t="str">
        <f>IFERROR(INDEX(Кат!$H:$H,MATCH(ПРАЙС!B106,Кат!$G:$G,0)),"")</f>
        <v>АВТОПРОДУКТ</v>
      </c>
      <c r="J106">
        <f>IFERROR(INDEX(Кат!$A:$A,MATCH(ПРАЙС!B106,Кат!$G:$G,0)),"")</f>
        <v>213109</v>
      </c>
    </row>
    <row r="107" spans="2:11" ht="30">
      <c r="B107" s="40" t="s">
        <v>288</v>
      </c>
      <c r="C107" s="40" t="s">
        <v>707</v>
      </c>
      <c r="D107" s="40"/>
      <c r="E107" s="41" t="s">
        <v>133</v>
      </c>
      <c r="F107" s="43">
        <v>4825</v>
      </c>
      <c r="G107" s="41" t="s">
        <v>133</v>
      </c>
      <c r="H107" s="43">
        <v>5690</v>
      </c>
      <c r="I107" s="33" t="str">
        <f>IFERROR(INDEX(Кат!$H:$H,MATCH(ПРАЙС!B107,Кат!$G:$G,0)),"")</f>
        <v>АВТОПРОДУКТ</v>
      </c>
      <c r="J107">
        <f>IFERROR(INDEX(Кат!$A:$A,MATCH(ПРАЙС!B107,Кат!$G:$G,0)),"")</f>
        <v>195293</v>
      </c>
    </row>
    <row r="108" spans="2:11" ht="45">
      <c r="B108" s="40" t="s">
        <v>256</v>
      </c>
      <c r="C108" s="40" t="s">
        <v>178</v>
      </c>
      <c r="D108" s="40" t="s">
        <v>1125</v>
      </c>
      <c r="E108" s="41" t="s">
        <v>133</v>
      </c>
      <c r="F108" s="43">
        <v>1070</v>
      </c>
      <c r="G108" s="41" t="s">
        <v>133</v>
      </c>
      <c r="H108" s="43">
        <v>1390</v>
      </c>
      <c r="I108" s="33" t="str">
        <f>IFERROR(INDEX(Кат!$H:$H,MATCH(ПРАЙС!B108,Кат!$G:$G,0)),"")</f>
        <v>АВТОПРОДУКТ</v>
      </c>
      <c r="J108">
        <f>IFERROR(INDEX(Кат!$A:$A,MATCH(ПРАЙС!B108,Кат!$G:$G,0)),"")</f>
        <v>144406</v>
      </c>
    </row>
    <row r="109" spans="2:11" ht="45">
      <c r="B109" s="40" t="s">
        <v>342</v>
      </c>
      <c r="C109" s="40" t="s">
        <v>747</v>
      </c>
      <c r="D109" s="40" t="s">
        <v>481</v>
      </c>
      <c r="E109" s="41" t="s">
        <v>133</v>
      </c>
      <c r="F109" s="43">
        <v>2110</v>
      </c>
      <c r="G109" s="41" t="s">
        <v>133</v>
      </c>
      <c r="H109" s="43">
        <v>2110</v>
      </c>
      <c r="I109" s="33" t="str">
        <f>IFERROR(INDEX(Кат!$H:$H,MATCH(ПРАЙС!B109,Кат!$G:$G,0)),"")</f>
        <v>АВТОПРОДУКТ</v>
      </c>
      <c r="J109">
        <f>IFERROR(INDEX(Кат!$A:$A,MATCH(ПРАЙС!B109,Кат!$G:$G,0)),"")</f>
        <v>217364</v>
      </c>
    </row>
    <row r="110" spans="2:11" ht="45">
      <c r="B110" s="40" t="s">
        <v>374</v>
      </c>
      <c r="C110" s="40" t="s">
        <v>398</v>
      </c>
      <c r="D110" s="40"/>
      <c r="E110" s="41" t="s">
        <v>133</v>
      </c>
      <c r="F110" s="43">
        <v>9990</v>
      </c>
      <c r="G110" s="41" t="s">
        <v>133</v>
      </c>
      <c r="H110" s="43">
        <v>9990</v>
      </c>
      <c r="I110" s="33" t="str">
        <f>IFERROR(INDEX(Кат!$H:$H,MATCH(ПРАЙС!B110,Кат!$G:$G,0)),"")</f>
        <v>АВТОПРОДУКТ</v>
      </c>
      <c r="J110">
        <f>IFERROR(INDEX(Кат!$A:$A,MATCH(ПРАЙС!B110,Кат!$G:$G,0)),"")</f>
        <v>212985</v>
      </c>
    </row>
    <row r="111" spans="2:11" ht="45">
      <c r="B111" s="40" t="s">
        <v>228</v>
      </c>
      <c r="C111" s="40" t="s">
        <v>179</v>
      </c>
      <c r="D111" s="40" t="s">
        <v>484</v>
      </c>
      <c r="E111" s="41" t="s">
        <v>133</v>
      </c>
      <c r="F111" s="43">
        <v>1595</v>
      </c>
      <c r="G111" s="41" t="s">
        <v>133</v>
      </c>
      <c r="H111" s="43">
        <v>2050</v>
      </c>
      <c r="I111" s="33" t="str">
        <f>IFERROR(INDEX(Кат!$H:$H,MATCH(ПРАЙС!B111,Кат!$G:$G,0)),"")</f>
        <v>АВТОПРОДУКТ</v>
      </c>
      <c r="J111">
        <f>IFERROR(INDEX(Кат!$A:$A,MATCH(ПРАЙС!B111,Кат!$G:$G,0)),"")</f>
        <v>223499</v>
      </c>
    </row>
    <row r="112" spans="2:11" ht="60">
      <c r="B112" s="40" t="s">
        <v>435</v>
      </c>
      <c r="C112" s="40" t="s">
        <v>748</v>
      </c>
      <c r="D112" s="40" t="s">
        <v>479</v>
      </c>
      <c r="E112" s="41" t="s">
        <v>133</v>
      </c>
      <c r="F112" s="43">
        <v>2415</v>
      </c>
      <c r="G112" s="41" t="s">
        <v>133</v>
      </c>
      <c r="H112" s="43">
        <v>3110</v>
      </c>
      <c r="I112" s="33" t="str">
        <f>IFERROR(INDEX(Кат!$H:$H,MATCH(ПРАЙС!B112,Кат!$G:$G,0)),"")</f>
        <v>АВТОПРОДУКТ</v>
      </c>
      <c r="J112">
        <f>IFERROR(INDEX(Кат!$A:$A,MATCH(ПРАЙС!B112,Кат!$G:$G,0)),"")</f>
        <v>217321</v>
      </c>
    </row>
    <row r="113" spans="2:10" ht="75">
      <c r="B113" s="40" t="s">
        <v>434</v>
      </c>
      <c r="C113" s="40" t="s">
        <v>749</v>
      </c>
      <c r="D113" s="40" t="s">
        <v>478</v>
      </c>
      <c r="E113" s="41" t="s">
        <v>133</v>
      </c>
      <c r="F113" s="43">
        <v>2715</v>
      </c>
      <c r="G113" s="41" t="s">
        <v>133</v>
      </c>
      <c r="H113" s="43">
        <v>3420</v>
      </c>
      <c r="I113" s="33" t="str">
        <f>IFERROR(INDEX(Кат!$H:$H,MATCH(ПРАЙС!B113,Кат!$G:$G,0)),"")</f>
        <v>АВТОПРОДУКТ</v>
      </c>
      <c r="J113">
        <f>IFERROR(INDEX(Кат!$A:$A,MATCH(ПРАЙС!B113,Кат!$G:$G,0)),"")</f>
        <v>217323</v>
      </c>
    </row>
    <row r="114" spans="2:10" ht="45">
      <c r="B114" s="40" t="s">
        <v>308</v>
      </c>
      <c r="C114" s="40" t="s">
        <v>180</v>
      </c>
      <c r="D114" s="40"/>
      <c r="E114" s="41" t="s">
        <v>133</v>
      </c>
      <c r="F114" s="43">
        <v>1545</v>
      </c>
      <c r="G114" s="41" t="s">
        <v>133</v>
      </c>
      <c r="H114" s="43">
        <v>1990</v>
      </c>
      <c r="I114" s="33" t="str">
        <f>IFERROR(INDEX(Кат!$H:$H,MATCH(ПРАЙС!B114,Кат!$G:$G,0)),"")</f>
        <v>АВТОПРОДУКТ</v>
      </c>
      <c r="J114">
        <f>IFERROR(INDEX(Кат!$A:$A,MATCH(ПРАЙС!B114,Кат!$G:$G,0)),"")</f>
        <v>202749</v>
      </c>
    </row>
    <row r="115" spans="2:10" ht="45">
      <c r="B115" s="40" t="s">
        <v>309</v>
      </c>
      <c r="C115" s="40" t="s">
        <v>181</v>
      </c>
      <c r="D115" s="40" t="s">
        <v>490</v>
      </c>
      <c r="E115" s="41" t="s">
        <v>133</v>
      </c>
      <c r="F115" s="43">
        <v>1145</v>
      </c>
      <c r="G115" s="41" t="s">
        <v>133</v>
      </c>
      <c r="H115" s="43">
        <v>1470</v>
      </c>
      <c r="I115" s="33" t="str">
        <f>IFERROR(INDEX(Кат!$H:$H,MATCH(ПРАЙС!B115,Кат!$G:$G,0)),"")</f>
        <v>АВТОПРОДУКТ</v>
      </c>
      <c r="J115">
        <f>IFERROR(INDEX(Кат!$A:$A,MATCH(ПРАЙС!B115,Кат!$G:$G,0)),"")</f>
        <v>202748</v>
      </c>
    </row>
    <row r="116" spans="2:10" ht="60">
      <c r="B116" s="40" t="s">
        <v>310</v>
      </c>
      <c r="C116" s="40" t="s">
        <v>182</v>
      </c>
      <c r="D116" s="40" t="s">
        <v>1112</v>
      </c>
      <c r="E116" s="41" t="s">
        <v>133</v>
      </c>
      <c r="F116" s="43">
        <v>2210</v>
      </c>
      <c r="G116" s="41" t="s">
        <v>133</v>
      </c>
      <c r="H116" s="43">
        <v>2690</v>
      </c>
      <c r="I116" s="33" t="str">
        <f>IFERROR(INDEX(Кат!$H:$H,MATCH(ПРАЙС!B116,Кат!$G:$G,0)),"")</f>
        <v>АВТОПРОДУКТ</v>
      </c>
      <c r="J116">
        <f>IFERROR(INDEX(Кат!$A:$A,MATCH(ПРАЙС!B116,Кат!$G:$G,0)),"")</f>
        <v>202759</v>
      </c>
    </row>
    <row r="117" spans="2:10" ht="30">
      <c r="B117" s="40" t="s">
        <v>222</v>
      </c>
      <c r="C117" s="40" t="s">
        <v>399</v>
      </c>
      <c r="D117" s="40" t="s">
        <v>1126</v>
      </c>
      <c r="E117" s="41" t="s">
        <v>133</v>
      </c>
      <c r="F117" s="43">
        <v>4195</v>
      </c>
      <c r="G117" s="41" t="s">
        <v>133</v>
      </c>
      <c r="H117" s="43">
        <v>4950</v>
      </c>
      <c r="I117" s="33" t="str">
        <f>IFERROR(INDEX(Кат!$H:$H,MATCH(ПРАЙС!B117,Кат!$G:$G,0)),"")</f>
        <v>АВТОПРОДУКТ</v>
      </c>
      <c r="J117">
        <f>IFERROR(INDEX(Кат!$A:$A,MATCH(ПРАЙС!B117,Кат!$G:$G,0)),"")</f>
        <v>141277</v>
      </c>
    </row>
    <row r="118" spans="2:10" ht="45">
      <c r="B118" s="40" t="s">
        <v>298</v>
      </c>
      <c r="C118" s="40" t="s">
        <v>455</v>
      </c>
      <c r="D118" s="40"/>
      <c r="E118" s="41" t="s">
        <v>133</v>
      </c>
      <c r="F118" s="42">
        <v>765</v>
      </c>
      <c r="G118" s="41" t="s">
        <v>133</v>
      </c>
      <c r="H118" s="42">
        <v>990</v>
      </c>
      <c r="I118" s="33" t="str">
        <f>IFERROR(INDEX(Кат!$H:$H,MATCH(ПРАЙС!B118,Кат!$G:$G,0)),"")</f>
        <v>АВТОПРОДУКТ</v>
      </c>
      <c r="J118">
        <f>IFERROR(INDEX(Кат!$A:$A,MATCH(ПРАЙС!B118,Кат!$G:$G,0)),"")</f>
        <v>202751</v>
      </c>
    </row>
    <row r="119" spans="2:10" ht="60">
      <c r="B119" s="40" t="s">
        <v>245</v>
      </c>
      <c r="C119" s="40" t="s">
        <v>183</v>
      </c>
      <c r="D119" s="40"/>
      <c r="E119" s="41" t="s">
        <v>133</v>
      </c>
      <c r="F119" s="42">
        <v>850</v>
      </c>
      <c r="G119" s="41" t="s">
        <v>133</v>
      </c>
      <c r="H119" s="43">
        <v>1090</v>
      </c>
      <c r="I119" s="33" t="str">
        <f>IFERROR(INDEX(Кат!$H:$H,MATCH(ПРАЙС!B119,Кат!$G:$G,0)),"")</f>
        <v>АВТОПРОДУКТ</v>
      </c>
      <c r="J119">
        <f>IFERROR(INDEX(Кат!$A:$A,MATCH(ПРАЙС!B119,Кат!$G:$G,0)),"")</f>
        <v>181690</v>
      </c>
    </row>
    <row r="120" spans="2:10" ht="45">
      <c r="B120" s="40" t="s">
        <v>401</v>
      </c>
      <c r="C120" s="40" t="s">
        <v>184</v>
      </c>
      <c r="D120" s="40" t="s">
        <v>488</v>
      </c>
      <c r="E120" s="41" t="s">
        <v>132</v>
      </c>
      <c r="F120" s="43">
        <v>3175</v>
      </c>
      <c r="G120" s="41" t="s">
        <v>132</v>
      </c>
      <c r="H120" s="43">
        <v>4090</v>
      </c>
      <c r="I120" s="33" t="str">
        <f>IFERROR(INDEX(Кат!$H:$H,MATCH(ПРАЙС!B120,Кат!$G:$G,0)),"")</f>
        <v>АВТОПРОДУКТ</v>
      </c>
      <c r="J120">
        <f>IFERROR(INDEX(Кат!$A:$A,MATCH(ПРАЙС!B120,Кат!$G:$G,0)),"")</f>
        <v>159921</v>
      </c>
    </row>
    <row r="121" spans="2:10" ht="45">
      <c r="B121" s="40" t="s">
        <v>402</v>
      </c>
      <c r="C121" s="40" t="s">
        <v>403</v>
      </c>
      <c r="D121" s="40"/>
      <c r="E121" s="41" t="s">
        <v>133</v>
      </c>
      <c r="F121" s="42">
        <v>610</v>
      </c>
      <c r="G121" s="41" t="s">
        <v>133</v>
      </c>
      <c r="H121" s="42">
        <v>790</v>
      </c>
      <c r="I121" s="33" t="str">
        <f>IFERROR(INDEX(Кат!$H:$H,MATCH(ПРАЙС!B121,Кат!$G:$G,0)),"")</f>
        <v>АВТОПРОДУКТ</v>
      </c>
      <c r="J121">
        <f>IFERROR(INDEX(Кат!$A:$A,MATCH(ПРАЙС!B121,Кат!$G:$G,0)),"")</f>
        <v>171132</v>
      </c>
    </row>
    <row r="122" spans="2:10" ht="60">
      <c r="B122" s="40" t="s">
        <v>433</v>
      </c>
      <c r="C122" s="40" t="s">
        <v>432</v>
      </c>
      <c r="D122" s="40"/>
      <c r="E122" s="41" t="s">
        <v>132</v>
      </c>
      <c r="F122" s="43">
        <v>3250</v>
      </c>
      <c r="G122" s="41" t="s">
        <v>132</v>
      </c>
      <c r="H122" s="43">
        <v>4190</v>
      </c>
      <c r="I122" s="33" t="str">
        <f>IFERROR(INDEX(Кат!$H:$H,MATCH(ПРАЙС!B122,Кат!$G:$G,0)),"")</f>
        <v>АВТОПРОДУКТ</v>
      </c>
      <c r="J122">
        <f>IFERROR(INDEX(Кат!$A:$A,MATCH(ПРАЙС!B122,Кат!$G:$G,0)),"")</f>
        <v>158256</v>
      </c>
    </row>
    <row r="123" spans="2:10" ht="60">
      <c r="B123" s="40" t="s">
        <v>248</v>
      </c>
      <c r="C123" s="40" t="s">
        <v>185</v>
      </c>
      <c r="D123" s="40" t="s">
        <v>959</v>
      </c>
      <c r="E123" s="41" t="s">
        <v>133</v>
      </c>
      <c r="F123" s="43">
        <v>1750</v>
      </c>
      <c r="G123" s="41" t="s">
        <v>133</v>
      </c>
      <c r="H123" s="43">
        <v>2250</v>
      </c>
      <c r="I123" s="33" t="str">
        <f>IFERROR(INDEX(Кат!$H:$H,MATCH(ПРАЙС!B123,Кат!$G:$G,0)),"")</f>
        <v>АВТОПРОДУКТ</v>
      </c>
      <c r="J123">
        <f>IFERROR(INDEX(Кат!$A:$A,MATCH(ПРАЙС!B123,Кат!$G:$G,0)),"")</f>
        <v>223469</v>
      </c>
    </row>
    <row r="124" spans="2:10" ht="60">
      <c r="B124" s="40" t="s">
        <v>249</v>
      </c>
      <c r="C124" s="40" t="s">
        <v>186</v>
      </c>
      <c r="D124" s="40"/>
      <c r="E124" s="41" t="s">
        <v>133</v>
      </c>
      <c r="F124" s="43">
        <v>1640</v>
      </c>
      <c r="G124" s="41" t="s">
        <v>133</v>
      </c>
      <c r="H124" s="43">
        <v>2090</v>
      </c>
      <c r="I124" s="33" t="str">
        <f>IFERROR(INDEX(Кат!$H:$H,MATCH(ПРАЙС!B124,Кат!$G:$G,0)),"")</f>
        <v>АВТОПРОДУКТ</v>
      </c>
      <c r="J124">
        <f>IFERROR(INDEX(Кат!$A:$A,MATCH(ПРАЙС!B124,Кат!$G:$G,0)),"")</f>
        <v>160642</v>
      </c>
    </row>
    <row r="125" spans="2:10" ht="45">
      <c r="B125" s="40" t="s">
        <v>238</v>
      </c>
      <c r="C125" s="40" t="s">
        <v>187</v>
      </c>
      <c r="D125" s="40"/>
      <c r="E125" s="41" t="s">
        <v>132</v>
      </c>
      <c r="F125" s="42">
        <v>865</v>
      </c>
      <c r="G125" s="41" t="s">
        <v>132</v>
      </c>
      <c r="H125" s="43">
        <v>1030</v>
      </c>
      <c r="I125" s="33" t="str">
        <f>IFERROR(INDEX(Кат!$H:$H,MATCH(ПРАЙС!B125,Кат!$G:$G,0)),"")</f>
        <v>АВТОПРОДУКТ</v>
      </c>
      <c r="J125">
        <f>IFERROR(INDEX(Кат!$A:$A,MATCH(ПРАЙС!B125,Кат!$G:$G,0)),"")</f>
        <v>223544</v>
      </c>
    </row>
    <row r="126" spans="2:10" ht="45">
      <c r="B126" s="40" t="s">
        <v>223</v>
      </c>
      <c r="C126" s="40" t="s">
        <v>685</v>
      </c>
      <c r="D126" s="40" t="s">
        <v>490</v>
      </c>
      <c r="E126" s="41" t="s">
        <v>133</v>
      </c>
      <c r="F126" s="42">
        <v>860</v>
      </c>
      <c r="G126" s="41" t="s">
        <v>133</v>
      </c>
      <c r="H126" s="42">
        <v>990</v>
      </c>
      <c r="I126" s="33" t="str">
        <f>IFERROR(INDEX(Кат!$H:$H,MATCH(ПРАЙС!B126,Кат!$G:$G,0)),"")</f>
        <v>АВТОПРОДУКТ</v>
      </c>
      <c r="J126">
        <f>IFERROR(INDEX(Кат!$A:$A,MATCH(ПРАЙС!B126,Кат!$G:$G,0)),"")</f>
        <v>140764</v>
      </c>
    </row>
    <row r="127" spans="2:10" ht="30">
      <c r="B127" s="40" t="s">
        <v>224</v>
      </c>
      <c r="C127" s="40" t="s">
        <v>503</v>
      </c>
      <c r="D127" s="40" t="s">
        <v>486</v>
      </c>
      <c r="E127" s="41" t="s">
        <v>133</v>
      </c>
      <c r="F127" s="43">
        <v>4950</v>
      </c>
      <c r="G127" s="41" t="s">
        <v>133</v>
      </c>
      <c r="H127" s="43">
        <v>4950</v>
      </c>
      <c r="I127" s="33" t="str">
        <f>IFERROR(INDEX(Кат!$H:$H,MATCH(ПРАЙС!B127,Кат!$G:$G,0)),"")</f>
        <v>АВТОПРОДУКТ</v>
      </c>
      <c r="J127">
        <f>IFERROR(INDEX(Кат!$A:$A,MATCH(ПРАЙС!B127,Кат!$G:$G,0)),"")</f>
        <v>141272</v>
      </c>
    </row>
    <row r="128" spans="2:10" ht="30">
      <c r="B128" s="40" t="s">
        <v>370</v>
      </c>
      <c r="C128" s="40" t="s">
        <v>371</v>
      </c>
      <c r="D128" s="40" t="s">
        <v>481</v>
      </c>
      <c r="E128" s="41" t="s">
        <v>133</v>
      </c>
      <c r="F128" s="43">
        <v>6655</v>
      </c>
      <c r="G128" s="41" t="s">
        <v>133</v>
      </c>
      <c r="H128" s="43">
        <v>7690</v>
      </c>
      <c r="I128" s="33" t="str">
        <f>IFERROR(INDEX(Кат!$H:$H,MATCH(ПРАЙС!B128,Кат!$G:$G,0)),"")</f>
        <v>АВТОПРОДУКТ</v>
      </c>
      <c r="J128">
        <f>IFERROR(INDEX(Кат!$A:$A,MATCH(ПРАЙС!B128,Кат!$G:$G,0)),"")</f>
        <v>140885</v>
      </c>
    </row>
    <row r="129" spans="2:10" ht="60">
      <c r="B129" s="40" t="s">
        <v>961</v>
      </c>
      <c r="C129" s="40" t="s">
        <v>962</v>
      </c>
      <c r="D129" s="40" t="s">
        <v>478</v>
      </c>
      <c r="E129" s="41" t="s">
        <v>133</v>
      </c>
      <c r="F129" s="43">
        <v>5235</v>
      </c>
      <c r="G129" s="41" t="s">
        <v>133</v>
      </c>
      <c r="H129" s="43">
        <v>5745</v>
      </c>
      <c r="I129" s="33" t="str">
        <f>IFERROR(INDEX(Кат!$H:$H,MATCH(ПРАЙС!B129,Кат!$G:$G,0)),"")</f>
        <v/>
      </c>
      <c r="J129" t="str">
        <f>IFERROR(INDEX(Кат!$A:$A,MATCH(ПРАЙС!B129,Кат!$G:$G,0)),"")</f>
        <v/>
      </c>
    </row>
    <row r="130" spans="2:10" ht="30">
      <c r="B130" s="40" t="s">
        <v>225</v>
      </c>
      <c r="C130" s="40" t="s">
        <v>404</v>
      </c>
      <c r="D130" s="40" t="s">
        <v>479</v>
      </c>
      <c r="E130" s="41" t="s">
        <v>133</v>
      </c>
      <c r="F130" s="43">
        <v>4505</v>
      </c>
      <c r="G130" s="41" t="s">
        <v>133</v>
      </c>
      <c r="H130" s="43">
        <v>4950</v>
      </c>
      <c r="I130" s="33" t="str">
        <f>IFERROR(INDEX(Кат!$H:$H,MATCH(ПРАЙС!B130,Кат!$G:$G,0)),"")</f>
        <v>АВТОПРОДУКТ</v>
      </c>
      <c r="J130">
        <f>IFERROR(INDEX(Кат!$A:$A,MATCH(ПРАЙС!B130,Кат!$G:$G,0)),"")</f>
        <v>141275</v>
      </c>
    </row>
    <row r="131" spans="2:10" ht="30">
      <c r="B131" s="40" t="s">
        <v>226</v>
      </c>
      <c r="C131" s="40" t="s">
        <v>405</v>
      </c>
      <c r="D131" s="40" t="s">
        <v>1076</v>
      </c>
      <c r="E131" s="41" t="s">
        <v>133</v>
      </c>
      <c r="F131" s="43">
        <v>4505</v>
      </c>
      <c r="G131" s="41" t="s">
        <v>133</v>
      </c>
      <c r="H131" s="43">
        <v>4950</v>
      </c>
      <c r="I131" s="33" t="str">
        <f>IFERROR(INDEX(Кат!$H:$H,MATCH(ПРАЙС!B131,Кат!$G:$G,0)),"")</f>
        <v>АВТОПРОДУКТ</v>
      </c>
      <c r="J131">
        <f>IFERROR(INDEX(Кат!$A:$A,MATCH(ПРАЙС!B131,Кат!$G:$G,0)),"")</f>
        <v>141274</v>
      </c>
    </row>
    <row r="132" spans="2:10" ht="45">
      <c r="B132" s="40" t="s">
        <v>274</v>
      </c>
      <c r="C132" s="40" t="s">
        <v>1074</v>
      </c>
      <c r="D132" s="40"/>
      <c r="E132" s="41" t="s">
        <v>133</v>
      </c>
      <c r="F132" s="43">
        <v>12585</v>
      </c>
      <c r="G132" s="41" t="s">
        <v>133</v>
      </c>
      <c r="H132" s="43">
        <v>15690</v>
      </c>
      <c r="I132" s="33" t="str">
        <f>IFERROR(INDEX(Кат!$H:$H,MATCH(ПРАЙС!B132,Кат!$G:$G,0)),"")</f>
        <v>АВТОПРОДУКТ</v>
      </c>
      <c r="J132">
        <f>IFERROR(INDEX(Кат!$A:$A,MATCH(ПРАЙС!B132,Кат!$G:$G,0)),"")</f>
        <v>194519</v>
      </c>
    </row>
    <row r="133" spans="2:10" ht="45">
      <c r="B133" s="40" t="s">
        <v>750</v>
      </c>
      <c r="C133" s="40" t="s">
        <v>751</v>
      </c>
      <c r="D133" s="40"/>
      <c r="E133" s="41" t="s">
        <v>133</v>
      </c>
      <c r="F133" s="43">
        <v>6195</v>
      </c>
      <c r="G133" s="41" t="s">
        <v>133</v>
      </c>
      <c r="H133" s="43">
        <v>7990</v>
      </c>
      <c r="I133" s="33" t="str">
        <f>IFERROR(INDEX(Кат!$H:$H,MATCH(ПРАЙС!B133,Кат!$G:$G,0)),"")</f>
        <v/>
      </c>
      <c r="J133" t="str">
        <f>IFERROR(INDEX(Кат!$A:$A,MATCH(ПРАЙС!B133,Кат!$G:$G,0)),"")</f>
        <v/>
      </c>
    </row>
    <row r="134" spans="2:10" ht="45">
      <c r="B134" s="40" t="s">
        <v>268</v>
      </c>
      <c r="C134" s="40" t="s">
        <v>686</v>
      </c>
      <c r="D134" s="40"/>
      <c r="E134" s="41" t="s">
        <v>133</v>
      </c>
      <c r="F134" s="43">
        <v>6555</v>
      </c>
      <c r="G134" s="41" t="s">
        <v>133</v>
      </c>
      <c r="H134" s="43">
        <v>7990</v>
      </c>
      <c r="I134" s="33" t="str">
        <f>IFERROR(INDEX(Кат!$H:$H,MATCH(ПРАЙС!B134,Кат!$G:$G,0)),"")</f>
        <v>АВТОПРОДУКТ</v>
      </c>
      <c r="J134">
        <f>IFERROR(INDEX(Кат!$A:$A,MATCH(ПРАЙС!B134,Кат!$G:$G,0)),"")</f>
        <v>194504</v>
      </c>
    </row>
    <row r="135" spans="2:10" ht="30">
      <c r="B135" s="40" t="s">
        <v>269</v>
      </c>
      <c r="C135" s="40" t="s">
        <v>431</v>
      </c>
      <c r="D135" s="40" t="s">
        <v>485</v>
      </c>
      <c r="E135" s="41" t="s">
        <v>133</v>
      </c>
      <c r="F135" s="43">
        <v>5810</v>
      </c>
      <c r="G135" s="41" t="s">
        <v>133</v>
      </c>
      <c r="H135" s="43">
        <v>7490</v>
      </c>
      <c r="I135" s="33" t="str">
        <f>IFERROR(INDEX(Кат!$H:$H,MATCH(ПРАЙС!B135,Кат!$G:$G,0)),"")</f>
        <v>АВТОПРОДУКТ</v>
      </c>
      <c r="J135">
        <f>IFERROR(INDEX(Кат!$A:$A,MATCH(ПРАЙС!B135,Кат!$G:$G,0)),"")</f>
        <v>194501</v>
      </c>
    </row>
    <row r="136" spans="2:10" ht="60">
      <c r="B136" s="40" t="s">
        <v>299</v>
      </c>
      <c r="C136" s="40" t="s">
        <v>456</v>
      </c>
      <c r="D136" s="40" t="s">
        <v>1071</v>
      </c>
      <c r="E136" s="41" t="s">
        <v>133</v>
      </c>
      <c r="F136" s="42">
        <v>695</v>
      </c>
      <c r="G136" s="41" t="s">
        <v>133</v>
      </c>
      <c r="H136" s="42">
        <v>890</v>
      </c>
      <c r="I136" s="33" t="str">
        <f>IFERROR(INDEX(Кат!$H:$H,MATCH(ПРАЙС!B136,Кат!$G:$G,0)),"")</f>
        <v>АВТОПРОДУКТ</v>
      </c>
      <c r="J136">
        <f>IFERROR(INDEX(Кат!$A:$A,MATCH(ПРАЙС!B136,Кат!$G:$G,0)),"")</f>
        <v>202753</v>
      </c>
    </row>
    <row r="137" spans="2:10" ht="60">
      <c r="B137" s="40" t="s">
        <v>300</v>
      </c>
      <c r="C137" s="40" t="s">
        <v>687</v>
      </c>
      <c r="D137" s="40" t="s">
        <v>1127</v>
      </c>
      <c r="E137" s="41" t="s">
        <v>133</v>
      </c>
      <c r="F137" s="43">
        <v>1050</v>
      </c>
      <c r="G137" s="41" t="s">
        <v>133</v>
      </c>
      <c r="H137" s="43">
        <v>1350</v>
      </c>
      <c r="I137" s="33" t="str">
        <f>IFERROR(INDEX(Кат!$H:$H,MATCH(ПРАЙС!B137,Кат!$G:$G,0)),"")</f>
        <v>АВТОПРОДУКТ</v>
      </c>
      <c r="J137">
        <f>IFERROR(INDEX(Кат!$A:$A,MATCH(ПРАЙС!B137,Кат!$G:$G,0)),"")</f>
        <v>202752</v>
      </c>
    </row>
    <row r="138" spans="2:10" ht="60">
      <c r="B138" s="40" t="s">
        <v>343</v>
      </c>
      <c r="C138" s="40" t="s">
        <v>752</v>
      </c>
      <c r="D138" s="40"/>
      <c r="E138" s="41" t="s">
        <v>133</v>
      </c>
      <c r="F138" s="43">
        <v>1795</v>
      </c>
      <c r="G138" s="41" t="s">
        <v>133</v>
      </c>
      <c r="H138" s="43">
        <v>2110</v>
      </c>
      <c r="I138" s="33" t="str">
        <f>IFERROR(INDEX(Кат!$H:$H,MATCH(ПРАЙС!B138,Кат!$G:$G,0)),"")</f>
        <v>АВТОПРОДУКТ</v>
      </c>
      <c r="J138">
        <f>IFERROR(INDEX(Кат!$A:$A,MATCH(ПРАЙС!B138,Кат!$G:$G,0)),"")</f>
        <v>217355</v>
      </c>
    </row>
    <row r="139" spans="2:10" ht="60">
      <c r="B139" s="40" t="s">
        <v>457</v>
      </c>
      <c r="C139" s="40" t="s">
        <v>753</v>
      </c>
      <c r="D139" s="40" t="s">
        <v>479</v>
      </c>
      <c r="E139" s="41" t="s">
        <v>133</v>
      </c>
      <c r="F139" s="43">
        <v>2720</v>
      </c>
      <c r="G139" s="41" t="s">
        <v>133</v>
      </c>
      <c r="H139" s="43">
        <v>3110</v>
      </c>
      <c r="I139" s="33" t="str">
        <f>IFERROR(INDEX(Кат!$H:$H,MATCH(ПРАЙС!B139,Кат!$G:$G,0)),"")</f>
        <v>АВТОПРОДУКТ</v>
      </c>
      <c r="J139">
        <f>IFERROR(INDEX(Кат!$A:$A,MATCH(ПРАЙС!B139,Кат!$G:$G,0)),"")</f>
        <v>217322</v>
      </c>
    </row>
    <row r="140" spans="2:10" ht="60">
      <c r="B140" s="40" t="s">
        <v>458</v>
      </c>
      <c r="C140" s="40" t="s">
        <v>754</v>
      </c>
      <c r="D140" s="40"/>
      <c r="E140" s="41" t="s">
        <v>133</v>
      </c>
      <c r="F140" s="43">
        <v>2470</v>
      </c>
      <c r="G140" s="41" t="s">
        <v>133</v>
      </c>
      <c r="H140" s="43">
        <v>3110</v>
      </c>
      <c r="I140" s="33" t="str">
        <f>IFERROR(INDEX(Кат!$H:$H,MATCH(ПРАЙС!B140,Кат!$G:$G,0)),"")</f>
        <v>АВТОПРОДУКТ</v>
      </c>
      <c r="J140">
        <f>IFERROR(INDEX(Кат!$A:$A,MATCH(ПРАЙС!B140,Кат!$G:$G,0)),"")</f>
        <v>217324</v>
      </c>
    </row>
    <row r="141" spans="2:10" ht="60">
      <c r="B141" s="40" t="s">
        <v>459</v>
      </c>
      <c r="C141" s="40" t="s">
        <v>755</v>
      </c>
      <c r="D141" s="40"/>
      <c r="E141" s="41" t="s">
        <v>133</v>
      </c>
      <c r="F141" s="43">
        <v>2260</v>
      </c>
      <c r="G141" s="41" t="s">
        <v>133</v>
      </c>
      <c r="H141" s="43">
        <v>2910</v>
      </c>
      <c r="I141" s="33" t="str">
        <f>IFERROR(INDEX(Кат!$H:$H,MATCH(ПРАЙС!B141,Кат!$G:$G,0)),"")</f>
        <v>АВТОПРОДУКТ</v>
      </c>
      <c r="J141">
        <f>IFERROR(INDEX(Кат!$A:$A,MATCH(ПРАЙС!B141,Кат!$G:$G,0)),"")</f>
        <v>217325</v>
      </c>
    </row>
    <row r="142" spans="2:10" ht="60">
      <c r="B142" s="40" t="s">
        <v>491</v>
      </c>
      <c r="C142" s="40" t="s">
        <v>756</v>
      </c>
      <c r="D142" s="40"/>
      <c r="E142" s="41" t="s">
        <v>133</v>
      </c>
      <c r="F142" s="43">
        <v>2500</v>
      </c>
      <c r="G142" s="41" t="s">
        <v>133</v>
      </c>
      <c r="H142" s="43">
        <v>3220</v>
      </c>
      <c r="I142" s="33" t="str">
        <f>IFERROR(INDEX(Кат!$H:$H,MATCH(ПРАЙС!B142,Кат!$G:$G,0)),"")</f>
        <v>АВТОПРОДУКТ</v>
      </c>
      <c r="J142">
        <f>IFERROR(INDEX(Кат!$A:$A,MATCH(ПРАЙС!B142,Кат!$G:$G,0)),"")</f>
        <v>217326</v>
      </c>
    </row>
    <row r="143" spans="2:10" ht="75">
      <c r="B143" s="40" t="s">
        <v>242</v>
      </c>
      <c r="C143" s="40" t="s">
        <v>188</v>
      </c>
      <c r="D143" s="40" t="s">
        <v>1108</v>
      </c>
      <c r="E143" s="41" t="s">
        <v>133</v>
      </c>
      <c r="F143" s="42">
        <v>510</v>
      </c>
      <c r="G143" s="41" t="s">
        <v>133</v>
      </c>
      <c r="H143" s="42">
        <v>650</v>
      </c>
      <c r="I143" s="33" t="str">
        <f>IFERROR(INDEX(Кат!$H:$H,MATCH(ПРАЙС!B143,Кат!$G:$G,0)),"")</f>
        <v>АВТОПРОДУКТ</v>
      </c>
      <c r="J143">
        <f>IFERROR(INDEX(Кат!$A:$A,MATCH(ПРАЙС!B143,Кат!$G:$G,0)),"")</f>
        <v>160774</v>
      </c>
    </row>
    <row r="144" spans="2:10" ht="45">
      <c r="B144" s="40" t="s">
        <v>241</v>
      </c>
      <c r="C144" s="40" t="s">
        <v>688</v>
      </c>
      <c r="D144" s="40"/>
      <c r="E144" s="41" t="s">
        <v>133</v>
      </c>
      <c r="F144" s="43">
        <v>30490</v>
      </c>
      <c r="G144" s="41" t="s">
        <v>133</v>
      </c>
      <c r="H144" s="43">
        <v>35990</v>
      </c>
      <c r="I144" s="33" t="str">
        <f>IFERROR(INDEX(Кат!$H:$H,MATCH(ПРАЙС!B144,Кат!$G:$G,0)),"")</f>
        <v>АВТОПРОДУКТ</v>
      </c>
      <c r="J144">
        <f>IFERROR(INDEX(Кат!$A:$A,MATCH(ПРАЙС!B144,Кат!$G:$G,0)),"")</f>
        <v>194099</v>
      </c>
    </row>
    <row r="145" spans="2:10" ht="75">
      <c r="B145" s="40" t="s">
        <v>945</v>
      </c>
      <c r="C145" s="40" t="s">
        <v>963</v>
      </c>
      <c r="D145" s="40"/>
      <c r="E145" s="41" t="s">
        <v>133</v>
      </c>
      <c r="F145" s="43">
        <v>13635</v>
      </c>
      <c r="G145" s="41" t="s">
        <v>133</v>
      </c>
      <c r="H145" s="43">
        <v>17190</v>
      </c>
      <c r="I145" s="33" t="str">
        <f>IFERROR(INDEX(Кат!$H:$H,MATCH(ПРАЙС!B145,Кат!$G:$G,0)),"")</f>
        <v>АВТОПРОДУКТ</v>
      </c>
      <c r="J145">
        <f>IFERROR(INDEX(Кат!$A:$A,MATCH(ПРАЙС!B145,Кат!$G:$G,0)),"")</f>
        <v>274399</v>
      </c>
    </row>
    <row r="146" spans="2:10" ht="60">
      <c r="B146" s="40" t="s">
        <v>940</v>
      </c>
      <c r="C146" s="40" t="s">
        <v>964</v>
      </c>
      <c r="D146" s="40" t="s">
        <v>1128</v>
      </c>
      <c r="E146" s="41" t="s">
        <v>133</v>
      </c>
      <c r="F146" s="43">
        <v>2430</v>
      </c>
      <c r="G146" s="41" t="s">
        <v>133</v>
      </c>
      <c r="H146" s="43">
        <v>2990</v>
      </c>
      <c r="I146" s="33" t="str">
        <f>IFERROR(INDEX(Кат!$H:$H,MATCH(ПРАЙС!B146,Кат!$G:$G,0)),"")</f>
        <v>АВТОПРОДУКТ</v>
      </c>
      <c r="J146">
        <f>IFERROR(INDEX(Кат!$A:$A,MATCH(ПРАЙС!B146,Кат!$G:$G,0)),"")</f>
        <v>274423</v>
      </c>
    </row>
    <row r="147" spans="2:10" ht="30">
      <c r="B147" s="40" t="s">
        <v>244</v>
      </c>
      <c r="C147" s="40" t="s">
        <v>189</v>
      </c>
      <c r="D147" s="40" t="s">
        <v>1067</v>
      </c>
      <c r="E147" s="41" t="s">
        <v>132</v>
      </c>
      <c r="F147" s="43">
        <v>2175</v>
      </c>
      <c r="G147" s="41" t="s">
        <v>132</v>
      </c>
      <c r="H147" s="43">
        <v>2590</v>
      </c>
      <c r="I147" s="33" t="str">
        <f>IFERROR(INDEX(Кат!$H:$H,MATCH(ПРАЙС!B147,Кат!$G:$G,0)),"")</f>
        <v>АВТОПРОДУКТ</v>
      </c>
      <c r="J147">
        <f>IFERROR(INDEX(Кат!$A:$A,MATCH(ПРАЙС!B147,Кат!$G:$G,0)),"")</f>
        <v>159496</v>
      </c>
    </row>
    <row r="148" spans="2:10" ht="30">
      <c r="B148" s="40" t="s">
        <v>210</v>
      </c>
      <c r="C148" s="40" t="s">
        <v>190</v>
      </c>
      <c r="D148" s="40" t="s">
        <v>725</v>
      </c>
      <c r="E148" s="41" t="s">
        <v>132</v>
      </c>
      <c r="F148" s="43">
        <v>1700</v>
      </c>
      <c r="G148" s="41" t="s">
        <v>132</v>
      </c>
      <c r="H148" s="43">
        <v>2190</v>
      </c>
      <c r="I148" s="33" t="str">
        <f>IFERROR(INDEX(Кат!$H:$H,MATCH(ПРАЙС!B148,Кат!$G:$G,0)),"")</f>
        <v>АВТОПРОДУКТ</v>
      </c>
      <c r="J148">
        <f>IFERROR(INDEX(Кат!$A:$A,MATCH(ПРАЙС!B148,Кат!$G:$G,0)),"")</f>
        <v>170840</v>
      </c>
    </row>
    <row r="149" spans="2:10" ht="30">
      <c r="B149" s="40" t="s">
        <v>275</v>
      </c>
      <c r="C149" s="40" t="s">
        <v>430</v>
      </c>
      <c r="D149" s="40"/>
      <c r="E149" s="41" t="s">
        <v>132</v>
      </c>
      <c r="F149" s="43">
        <v>1700</v>
      </c>
      <c r="G149" s="41" t="s">
        <v>132</v>
      </c>
      <c r="H149" s="43">
        <v>2190</v>
      </c>
      <c r="I149" s="33" t="str">
        <f>IFERROR(INDEX(Кат!$H:$H,MATCH(ПРАЙС!B149,Кат!$G:$G,0)),"")</f>
        <v>АВТОПРОДУКТ</v>
      </c>
      <c r="J149">
        <f>IFERROR(INDEX(Кат!$A:$A,MATCH(ПРАЙС!B149,Кат!$G:$G,0)),"")</f>
        <v>170841</v>
      </c>
    </row>
    <row r="150" spans="2:10" ht="45">
      <c r="B150" s="40" t="s">
        <v>276</v>
      </c>
      <c r="C150" s="40" t="s">
        <v>191</v>
      </c>
      <c r="D150" s="40" t="s">
        <v>702</v>
      </c>
      <c r="E150" s="41" t="s">
        <v>132</v>
      </c>
      <c r="F150" s="43">
        <v>1235</v>
      </c>
      <c r="G150" s="41" t="s">
        <v>132</v>
      </c>
      <c r="H150" s="43">
        <v>1590</v>
      </c>
      <c r="I150" s="33" t="str">
        <f>IFERROR(INDEX(Кат!$H:$H,MATCH(ПРАЙС!B150,Кат!$G:$G,0)),"")</f>
        <v>АВТОПРОДУКТ</v>
      </c>
      <c r="J150">
        <f>IFERROR(INDEX(Кат!$A:$A,MATCH(ПРАЙС!B150,Кат!$G:$G,0)),"")</f>
        <v>170836</v>
      </c>
    </row>
    <row r="151" spans="2:10" ht="45">
      <c r="B151" s="40" t="s">
        <v>277</v>
      </c>
      <c r="C151" s="40" t="s">
        <v>192</v>
      </c>
      <c r="D151" s="40"/>
      <c r="E151" s="41" t="s">
        <v>132</v>
      </c>
      <c r="F151" s="43">
        <v>1235</v>
      </c>
      <c r="G151" s="41" t="s">
        <v>132</v>
      </c>
      <c r="H151" s="43">
        <v>1590</v>
      </c>
      <c r="I151" s="33" t="str">
        <f>IFERROR(INDEX(Кат!$H:$H,MATCH(ПРАЙС!B151,Кат!$G:$G,0)),"")</f>
        <v>АВТОПРОДУКТ</v>
      </c>
      <c r="J151">
        <f>IFERROR(INDEX(Кат!$A:$A,MATCH(ПРАЙС!B151,Кат!$G:$G,0)),"")</f>
        <v>170837</v>
      </c>
    </row>
    <row r="152" spans="2:10" ht="45">
      <c r="B152" s="40" t="s">
        <v>708</v>
      </c>
      <c r="C152" s="40" t="s">
        <v>709</v>
      </c>
      <c r="D152" s="40"/>
      <c r="E152" s="41" t="s">
        <v>133</v>
      </c>
      <c r="F152" s="43">
        <v>1315</v>
      </c>
      <c r="G152" s="41" t="s">
        <v>133</v>
      </c>
      <c r="H152" s="43">
        <v>1690</v>
      </c>
      <c r="I152" s="33" t="str">
        <f>IFERROR(INDEX(Кат!$H:$H,MATCH(ПРАЙС!B152,Кат!$G:$G,0)),"")</f>
        <v>АВТОПРОДУКТ</v>
      </c>
      <c r="J152">
        <f>IFERROR(INDEX(Кат!$A:$A,MATCH(ПРАЙС!B152,Кат!$G:$G,0)),"")</f>
        <v>144405</v>
      </c>
    </row>
    <row r="153" spans="2:10" ht="45">
      <c r="B153" s="40" t="s">
        <v>406</v>
      </c>
      <c r="C153" s="40" t="s">
        <v>407</v>
      </c>
      <c r="D153" s="40" t="s">
        <v>484</v>
      </c>
      <c r="E153" s="41" t="s">
        <v>133</v>
      </c>
      <c r="F153" s="43">
        <v>3095</v>
      </c>
      <c r="G153" s="41" t="s">
        <v>133</v>
      </c>
      <c r="H153" s="43">
        <v>3990</v>
      </c>
      <c r="I153" s="33" t="str">
        <f>IFERROR(INDEX(Кат!$H:$H,MATCH(ПРАЙС!B153,Кат!$G:$G,0)),"")</f>
        <v>АВТОПРОДУКТ</v>
      </c>
      <c r="J153">
        <f>IFERROR(INDEX(Кат!$A:$A,MATCH(ПРАЙС!B153,Кат!$G:$G,0)),"")</f>
        <v>195245</v>
      </c>
    </row>
    <row r="154" spans="2:10" ht="45">
      <c r="B154" s="40" t="s">
        <v>289</v>
      </c>
      <c r="C154" s="40" t="s">
        <v>290</v>
      </c>
      <c r="D154" s="40" t="s">
        <v>1075</v>
      </c>
      <c r="E154" s="41" t="s">
        <v>133</v>
      </c>
      <c r="F154" s="43">
        <v>3685</v>
      </c>
      <c r="G154" s="41" t="s">
        <v>133</v>
      </c>
      <c r="H154" s="43">
        <v>4750</v>
      </c>
      <c r="I154" s="33" t="str">
        <f>IFERROR(INDEX(Кат!$H:$H,MATCH(ПРАЙС!B154,Кат!$G:$G,0)),"")</f>
        <v>АВТОПРОДУКТ</v>
      </c>
      <c r="J154">
        <f>IFERROR(INDEX(Кат!$A:$A,MATCH(ПРАЙС!B154,Кат!$G:$G,0)),"")</f>
        <v>195246</v>
      </c>
    </row>
    <row r="155" spans="2:10" ht="30">
      <c r="B155" s="40" t="s">
        <v>463</v>
      </c>
      <c r="C155" s="40" t="s">
        <v>492</v>
      </c>
      <c r="D155" s="40" t="s">
        <v>725</v>
      </c>
      <c r="E155" s="41" t="s">
        <v>132</v>
      </c>
      <c r="F155" s="42">
        <v>655</v>
      </c>
      <c r="G155" s="41" t="s">
        <v>132</v>
      </c>
      <c r="H155" s="42">
        <v>850</v>
      </c>
      <c r="I155" s="33" t="str">
        <f>IFERROR(INDEX(Кат!$H:$H,MATCH(ПРАЙС!B155,Кат!$G:$G,0)),"")</f>
        <v>АВТОПРОДУКТ</v>
      </c>
      <c r="J155">
        <f>IFERROR(INDEX(Кат!$A:$A,MATCH(ПРАЙС!B155,Кат!$G:$G,0)),"")</f>
        <v>158388</v>
      </c>
    </row>
    <row r="156" spans="2:10" ht="30">
      <c r="B156" s="40" t="s">
        <v>336</v>
      </c>
      <c r="C156" s="40" t="s">
        <v>193</v>
      </c>
      <c r="D156" s="40"/>
      <c r="E156" s="41" t="s">
        <v>133</v>
      </c>
      <c r="F156" s="42">
        <v>455</v>
      </c>
      <c r="G156" s="41" t="s">
        <v>133</v>
      </c>
      <c r="H156" s="42">
        <v>590</v>
      </c>
      <c r="I156" s="33" t="str">
        <f>IFERROR(INDEX(Кат!$H:$H,MATCH(ПРАЙС!B156,Кат!$G:$G,0)),"")</f>
        <v>АВТОПРОДУКТ</v>
      </c>
      <c r="J156">
        <f>IFERROR(INDEX(Кат!$A:$A,MATCH(ПРАЙС!B156,Кат!$G:$G,0)),"")</f>
        <v>201630</v>
      </c>
    </row>
    <row r="157" spans="2:10" ht="45">
      <c r="B157" s="40" t="s">
        <v>496</v>
      </c>
      <c r="C157" s="40" t="s">
        <v>504</v>
      </c>
      <c r="D157" s="40"/>
      <c r="E157" s="41" t="s">
        <v>132</v>
      </c>
      <c r="F157" s="43">
        <v>10415</v>
      </c>
      <c r="G157" s="41" t="s">
        <v>132</v>
      </c>
      <c r="H157" s="43">
        <v>12290</v>
      </c>
      <c r="I157" s="33" t="str">
        <f>IFERROR(INDEX(Кат!$H:$H,MATCH(ПРАЙС!B157,Кат!$G:$G,0)),"")</f>
        <v>АВТОПРОДУКТ</v>
      </c>
      <c r="J157">
        <f>IFERROR(INDEX(Кат!$A:$A,MATCH(ПРАЙС!B157,Кат!$G:$G,0)),"")</f>
        <v>213106</v>
      </c>
    </row>
    <row r="158" spans="2:10" ht="30">
      <c r="B158" s="40" t="s">
        <v>311</v>
      </c>
      <c r="C158" s="40" t="s">
        <v>194</v>
      </c>
      <c r="D158" s="40"/>
      <c r="E158" s="41" t="s">
        <v>133</v>
      </c>
      <c r="F158" s="43">
        <v>1235</v>
      </c>
      <c r="G158" s="41" t="s">
        <v>133</v>
      </c>
      <c r="H158" s="43">
        <v>1590</v>
      </c>
      <c r="I158" s="33" t="str">
        <f>IFERROR(INDEX(Кат!$H:$H,MATCH(ПРАЙС!B158,Кат!$G:$G,0)),"")</f>
        <v>АВТОПРОДУКТ</v>
      </c>
      <c r="J158">
        <f>IFERROR(INDEX(Кат!$A:$A,MATCH(ПРАЙС!B158,Кат!$G:$G,0)),"")</f>
        <v>202736</v>
      </c>
    </row>
    <row r="159" spans="2:10" ht="45">
      <c r="B159" s="40" t="s">
        <v>312</v>
      </c>
      <c r="C159" s="40" t="s">
        <v>195</v>
      </c>
      <c r="D159" s="40" t="s">
        <v>1129</v>
      </c>
      <c r="E159" s="41" t="s">
        <v>133</v>
      </c>
      <c r="F159" s="43">
        <v>1415</v>
      </c>
      <c r="G159" s="41" t="s">
        <v>133</v>
      </c>
      <c r="H159" s="43">
        <v>1820</v>
      </c>
      <c r="I159" s="33" t="str">
        <f>IFERROR(INDEX(Кат!$H:$H,MATCH(ПРАЙС!B159,Кат!$G:$G,0)),"")</f>
        <v>АВТОПРОДУКТ</v>
      </c>
      <c r="J159">
        <f>IFERROR(INDEX(Кат!$A:$A,MATCH(ПРАЙС!B159,Кат!$G:$G,0)),"")</f>
        <v>202737</v>
      </c>
    </row>
    <row r="160" spans="2:10" ht="30">
      <c r="B160" s="40" t="s">
        <v>710</v>
      </c>
      <c r="C160" s="40" t="s">
        <v>493</v>
      </c>
      <c r="D160" s="40"/>
      <c r="E160" s="41" t="s">
        <v>133</v>
      </c>
      <c r="F160" s="43">
        <v>48500</v>
      </c>
      <c r="G160" s="41" t="s">
        <v>133</v>
      </c>
      <c r="H160" s="43">
        <v>58500</v>
      </c>
      <c r="I160" s="33" t="str">
        <f>IFERROR(INDEX(Кат!$H:$H,MATCH(ПРАЙС!B160,Кат!$G:$G,0)),"")</f>
        <v>АВТОПРОДУКТ</v>
      </c>
      <c r="J160">
        <f>IFERROR(INDEX(Кат!$A:$A,MATCH(ПРАЙС!B160,Кат!$G:$G,0)),"")</f>
        <v>194100</v>
      </c>
    </row>
    <row r="161" spans="2:11" ht="30">
      <c r="B161" s="40" t="s">
        <v>727</v>
      </c>
      <c r="C161" s="40" t="s">
        <v>728</v>
      </c>
      <c r="D161" s="40" t="s">
        <v>478</v>
      </c>
      <c r="E161" s="41" t="s">
        <v>132</v>
      </c>
      <c r="F161" s="43">
        <v>2680</v>
      </c>
      <c r="G161" s="41" t="s">
        <v>132</v>
      </c>
      <c r="H161" s="43">
        <v>3190</v>
      </c>
      <c r="I161" s="33" t="str">
        <f>IFERROR(INDEX(Кат!$H:$H,MATCH(ПРАЙС!B161,Кат!$G:$G,0)),"")</f>
        <v/>
      </c>
      <c r="J161" t="str">
        <f>IFERROR(INDEX(Кат!$A:$A,MATCH(ПРАЙС!B161,Кат!$G:$G,0)),"")</f>
        <v/>
      </c>
    </row>
    <row r="162" spans="2:11" ht="45">
      <c r="B162" s="40" t="s">
        <v>729</v>
      </c>
      <c r="C162" s="40" t="s">
        <v>730</v>
      </c>
      <c r="D162" s="40" t="s">
        <v>479</v>
      </c>
      <c r="E162" s="41" t="s">
        <v>132</v>
      </c>
      <c r="F162" s="43">
        <v>7120</v>
      </c>
      <c r="G162" s="41" t="s">
        <v>132</v>
      </c>
      <c r="H162" s="43">
        <v>8490</v>
      </c>
      <c r="I162" s="33" t="str">
        <f>IFERROR(INDEX(Кат!$H:$H,MATCH(ПРАЙС!B162,Кат!$G:$G,0)),"")</f>
        <v/>
      </c>
      <c r="J162" t="str">
        <f>IFERROR(INDEX(Кат!$A:$A,MATCH(ПРАЙС!B162,Кат!$G:$G,0)),"")</f>
        <v/>
      </c>
    </row>
    <row r="163" spans="2:11" ht="45">
      <c r="B163" s="40" t="s">
        <v>494</v>
      </c>
      <c r="C163" s="40" t="s">
        <v>505</v>
      </c>
      <c r="D163" s="40" t="s">
        <v>480</v>
      </c>
      <c r="E163" s="41" t="s">
        <v>132</v>
      </c>
      <c r="F163" s="43">
        <v>1905</v>
      </c>
      <c r="G163" s="41" t="s">
        <v>132</v>
      </c>
      <c r="H163" s="43">
        <v>2450</v>
      </c>
      <c r="I163" s="33" t="str">
        <f>IFERROR(INDEX(Кат!$H:$H,MATCH(ПРАЙС!B163,Кат!$G:$G,0)),"")</f>
        <v>АВТОПРОДУКТ</v>
      </c>
      <c r="J163">
        <f>IFERROR(INDEX(Кат!$A:$A,MATCH(ПРАЙС!B163,Кат!$G:$G,0)),"")</f>
        <v>266607</v>
      </c>
    </row>
    <row r="164" spans="2:11" ht="45">
      <c r="B164" s="40" t="s">
        <v>337</v>
      </c>
      <c r="C164" s="40" t="s">
        <v>428</v>
      </c>
      <c r="D164" s="40" t="s">
        <v>959</v>
      </c>
      <c r="E164" s="41" t="s">
        <v>132</v>
      </c>
      <c r="F164" s="43">
        <v>1205</v>
      </c>
      <c r="G164" s="41" t="s">
        <v>132</v>
      </c>
      <c r="H164" s="43">
        <v>1550</v>
      </c>
      <c r="I164" s="33" t="str">
        <f>IFERROR(INDEX(Кат!$H:$H,MATCH(ПРАЙС!B164,Кат!$G:$G,0)),"")</f>
        <v>АВТОПРОДУКТ</v>
      </c>
      <c r="J164">
        <f>IFERROR(INDEX(Кат!$A:$A,MATCH(ПРАЙС!B164,Кат!$G:$G,0)),"")</f>
        <v>201634</v>
      </c>
    </row>
    <row r="165" spans="2:11" ht="45">
      <c r="B165" s="40" t="s">
        <v>239</v>
      </c>
      <c r="C165" s="40" t="s">
        <v>689</v>
      </c>
      <c r="D165" s="40"/>
      <c r="E165" s="41" t="s">
        <v>133</v>
      </c>
      <c r="F165" s="43">
        <v>4770</v>
      </c>
      <c r="G165" s="41" t="s">
        <v>133</v>
      </c>
      <c r="H165" s="43">
        <v>6150</v>
      </c>
      <c r="I165" s="33" t="str">
        <f>IFERROR(INDEX(Кат!$H:$H,MATCH(ПРАЙС!B165,Кат!$G:$G,0)),"")</f>
        <v>АВТОПРОДУКТ</v>
      </c>
      <c r="J165">
        <f>IFERROR(INDEX(Кат!$A:$A,MATCH(ПРАЙС!B165,Кат!$G:$G,0)),"")</f>
        <v>136706</v>
      </c>
      <c r="K165" s="36"/>
    </row>
    <row r="166" spans="2:11" ht="45">
      <c r="B166" s="40" t="s">
        <v>711</v>
      </c>
      <c r="C166" s="40" t="s">
        <v>712</v>
      </c>
      <c r="D166" s="40"/>
      <c r="E166" s="41" t="s">
        <v>133</v>
      </c>
      <c r="F166" s="43">
        <v>4770</v>
      </c>
      <c r="G166" s="41" t="s">
        <v>133</v>
      </c>
      <c r="H166" s="43">
        <v>6150</v>
      </c>
      <c r="I166" s="33" t="str">
        <f>IFERROR(INDEX(Кат!$H:$H,MATCH(ПРАЙС!B166,Кат!$G:$G,0)),"")</f>
        <v>АВТОПРОДУКТ</v>
      </c>
      <c r="J166">
        <f>IFERROR(INDEX(Кат!$A:$A,MATCH(ПРАЙС!B166,Кат!$G:$G,0)),"")</f>
        <v>136705</v>
      </c>
      <c r="K166" s="36"/>
    </row>
    <row r="167" spans="2:11" ht="45">
      <c r="B167" s="40" t="s">
        <v>758</v>
      </c>
      <c r="C167" s="40" t="s">
        <v>965</v>
      </c>
      <c r="D167" s="40"/>
      <c r="E167" s="41" t="s">
        <v>132</v>
      </c>
      <c r="F167" s="43">
        <v>3275</v>
      </c>
      <c r="G167" s="41" t="s">
        <v>132</v>
      </c>
      <c r="H167" s="43">
        <v>3590</v>
      </c>
      <c r="I167" s="33" t="str">
        <f>IFERROR(INDEX(Кат!$H:$H,MATCH(ПРАЙС!B167,Кат!$G:$G,0)),"")</f>
        <v/>
      </c>
      <c r="J167" t="str">
        <f>IFERROR(INDEX(Кат!$A:$A,MATCH(ПРАЙС!B167,Кат!$G:$G,0)),"")</f>
        <v/>
      </c>
    </row>
    <row r="168" spans="2:11" ht="45">
      <c r="B168" s="40" t="s">
        <v>759</v>
      </c>
      <c r="C168" s="40" t="s">
        <v>966</v>
      </c>
      <c r="D168" s="40" t="s">
        <v>477</v>
      </c>
      <c r="E168" s="41" t="s">
        <v>132</v>
      </c>
      <c r="F168" s="43">
        <v>5455</v>
      </c>
      <c r="G168" s="41" t="s">
        <v>132</v>
      </c>
      <c r="H168" s="43">
        <v>5990</v>
      </c>
      <c r="I168" s="33" t="str">
        <f>IFERROR(INDEX(Кат!$H:$H,MATCH(ПРАЙС!B168,Кат!$G:$G,0)),"")</f>
        <v/>
      </c>
      <c r="J168" t="str">
        <f>IFERROR(INDEX(Кат!$A:$A,MATCH(ПРАЙС!B168,Кат!$G:$G,0)),"")</f>
        <v/>
      </c>
    </row>
    <row r="169" spans="2:11" ht="60">
      <c r="B169" s="40" t="s">
        <v>229</v>
      </c>
      <c r="C169" s="40" t="s">
        <v>757</v>
      </c>
      <c r="D169" s="40" t="s">
        <v>1130</v>
      </c>
      <c r="E169" s="41" t="s">
        <v>132</v>
      </c>
      <c r="F169" s="42">
        <v>465</v>
      </c>
      <c r="G169" s="41" t="s">
        <v>132</v>
      </c>
      <c r="H169" s="42">
        <v>550</v>
      </c>
      <c r="I169" s="33" t="str">
        <f>IFERROR(INDEX(Кат!$H:$H,MATCH(ПРАЙС!B169,Кат!$G:$G,0)),"")</f>
        <v>АВТОПРОДУКТ</v>
      </c>
      <c r="J169">
        <f>IFERROR(INDEX(Кат!$A:$A,MATCH(ПРАЙС!B169,Кат!$G:$G,0)),"")</f>
        <v>223309</v>
      </c>
      <c r="K169" s="36"/>
    </row>
    <row r="170" spans="2:11" ht="45">
      <c r="B170" s="40" t="s">
        <v>257</v>
      </c>
      <c r="C170" s="40" t="s">
        <v>196</v>
      </c>
      <c r="D170" s="40"/>
      <c r="E170" s="41" t="s">
        <v>132</v>
      </c>
      <c r="F170" s="43">
        <v>4115</v>
      </c>
      <c r="G170" s="41" t="s">
        <v>132</v>
      </c>
      <c r="H170" s="43">
        <v>4850</v>
      </c>
      <c r="I170" s="33" t="str">
        <f>IFERROR(INDEX(Кат!$H:$H,MATCH(ПРАЙС!B170,Кат!$G:$G,0)),"")</f>
        <v>АВТОПРОДУКТ</v>
      </c>
      <c r="J170">
        <f>IFERROR(INDEX(Кат!$A:$A,MATCH(ПРАЙС!B170,Кат!$G:$G,0)),"")</f>
        <v>181855</v>
      </c>
    </row>
  </sheetData>
  <autoFilter ref="A1:J169" xr:uid="{00000000-0001-0000-0100-000000000000}">
    <filterColumn colId="4" showButton="0"/>
    <filterColumn colId="6" showButton="0"/>
  </autoFilter>
  <mergeCells count="2">
    <mergeCell ref="E1:F1"/>
    <mergeCell ref="G1:H1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I9"/>
  <sheetViews>
    <sheetView workbookViewId="0">
      <selection activeCell="I12" sqref="I12"/>
    </sheetView>
  </sheetViews>
  <sheetFormatPr defaultRowHeight="15"/>
  <cols>
    <col min="1" max="1" width="8.42578125" customWidth="1"/>
    <col min="2" max="2" width="14" customWidth="1"/>
    <col min="3" max="3" width="13.140625" customWidth="1"/>
    <col min="5" max="5" width="12.28515625" customWidth="1"/>
    <col min="6" max="6" width="10.85546875" customWidth="1"/>
  </cols>
  <sheetData>
    <row r="1" spans="1:9">
      <c r="B1" s="98" t="s">
        <v>418</v>
      </c>
      <c r="C1" s="98"/>
      <c r="E1" s="98" t="s">
        <v>419</v>
      </c>
      <c r="F1" s="98"/>
    </row>
    <row r="2" spans="1:9">
      <c r="A2" s="21" t="s">
        <v>420</v>
      </c>
      <c r="B2" s="17">
        <v>0.1</v>
      </c>
      <c r="C2" s="12">
        <v>2</v>
      </c>
      <c r="E2" s="3">
        <v>0.1</v>
      </c>
      <c r="F2" s="3">
        <v>2</v>
      </c>
      <c r="H2" t="s">
        <v>734</v>
      </c>
      <c r="I2" s="37" t="e">
        <f>MIN(Кат!#REF!)</f>
        <v>#REF!</v>
      </c>
    </row>
    <row r="3" spans="1:9">
      <c r="A3" s="21" t="s">
        <v>421</v>
      </c>
      <c r="B3" s="18">
        <v>100</v>
      </c>
      <c r="C3" s="3">
        <v>1.8</v>
      </c>
      <c r="E3" s="2">
        <v>100</v>
      </c>
      <c r="F3" s="2">
        <v>1.8</v>
      </c>
      <c r="H3" t="s">
        <v>735</v>
      </c>
      <c r="I3" s="37" t="e">
        <f>MAX(Кат!#REF!)</f>
        <v>#REF!</v>
      </c>
    </row>
    <row r="4" spans="1:9">
      <c r="A4" s="21" t="s">
        <v>422</v>
      </c>
      <c r="B4" s="19">
        <v>300</v>
      </c>
      <c r="C4" s="3">
        <v>1.6</v>
      </c>
      <c r="E4" s="3">
        <v>300</v>
      </c>
      <c r="F4" s="3">
        <v>1.6</v>
      </c>
    </row>
    <row r="5" spans="1:9">
      <c r="A5" s="21" t="s">
        <v>423</v>
      </c>
      <c r="B5" s="19">
        <v>500</v>
      </c>
      <c r="C5" s="3">
        <v>1.55</v>
      </c>
      <c r="E5" s="3">
        <v>500</v>
      </c>
      <c r="F5" s="3">
        <v>1.55</v>
      </c>
    </row>
    <row r="6" spans="1:9">
      <c r="A6" s="21" t="s">
        <v>424</v>
      </c>
      <c r="B6" s="20">
        <v>1000</v>
      </c>
      <c r="C6" s="16">
        <v>1.4</v>
      </c>
      <c r="E6" s="3">
        <v>1000</v>
      </c>
      <c r="F6" s="3">
        <v>1.5</v>
      </c>
    </row>
    <row r="7" spans="1:9">
      <c r="A7" s="21" t="s">
        <v>425</v>
      </c>
      <c r="B7" s="20">
        <v>2000</v>
      </c>
      <c r="C7" s="16">
        <v>1.3</v>
      </c>
      <c r="E7" s="3">
        <v>2000</v>
      </c>
      <c r="F7" s="3">
        <v>1.4</v>
      </c>
    </row>
    <row r="8" spans="1:9">
      <c r="A8" s="21" t="s">
        <v>426</v>
      </c>
      <c r="B8" s="20">
        <v>5000</v>
      </c>
      <c r="C8" s="16">
        <v>1.25</v>
      </c>
      <c r="E8" s="3">
        <v>5000</v>
      </c>
      <c r="F8" s="3">
        <v>1.35</v>
      </c>
    </row>
    <row r="9" spans="1:9">
      <c r="A9" s="21" t="s">
        <v>427</v>
      </c>
      <c r="B9" s="20">
        <v>10000</v>
      </c>
      <c r="C9" s="16">
        <v>1.2</v>
      </c>
      <c r="E9" s="3">
        <v>10000</v>
      </c>
      <c r="F9" s="3">
        <v>1.3</v>
      </c>
    </row>
  </sheetData>
  <mergeCells count="2">
    <mergeCell ref="B1:C1"/>
    <mergeCell ref="E1:F1"/>
  </mergeCell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B58E6-E25A-45BE-B8B6-E61D8AEE5566}">
  <sheetPr codeName="Лист5"/>
  <dimension ref="A1:O211"/>
  <sheetViews>
    <sheetView showGridLines="0" workbookViewId="0">
      <pane ySplit="1" topLeftCell="A207" activePane="bottomLeft" state="frozen"/>
      <selection pane="bottomLeft" sqref="A1:M211"/>
    </sheetView>
  </sheetViews>
  <sheetFormatPr defaultRowHeight="15"/>
  <cols>
    <col min="1" max="1" width="7" bestFit="1" customWidth="1"/>
    <col min="2" max="2" width="7" customWidth="1"/>
    <col min="3" max="3" width="44.42578125" customWidth="1"/>
    <col min="4" max="4" width="7.5703125" bestFit="1" customWidth="1"/>
    <col min="5" max="5" width="25.5703125" bestFit="1" customWidth="1"/>
    <col min="6" max="6" width="14.140625" bestFit="1" customWidth="1"/>
    <col min="7" max="7" width="13.28515625" bestFit="1" customWidth="1"/>
    <col min="8" max="8" width="8.42578125" bestFit="1" customWidth="1"/>
    <col min="9" max="9" width="10.85546875" bestFit="1" customWidth="1"/>
    <col min="10" max="10" width="42.140625" customWidth="1"/>
    <col min="11" max="11" width="9.5703125" bestFit="1" customWidth="1"/>
    <col min="12" max="12" width="8.85546875" bestFit="1" customWidth="1"/>
    <col min="13" max="13" width="12.140625" bestFit="1" customWidth="1"/>
    <col min="14" max="14" width="10.5703125" bestFit="1" customWidth="1"/>
    <col min="15" max="15" width="14.5703125" customWidth="1"/>
  </cols>
  <sheetData>
    <row r="1" spans="1:15" ht="30">
      <c r="A1" s="99" t="s">
        <v>0</v>
      </c>
      <c r="B1" s="99" t="s">
        <v>1028</v>
      </c>
      <c r="C1" s="99" t="s">
        <v>936</v>
      </c>
      <c r="D1" s="99" t="s">
        <v>1029</v>
      </c>
      <c r="E1" s="99" t="s">
        <v>1030</v>
      </c>
      <c r="F1" s="99" t="s">
        <v>1031</v>
      </c>
      <c r="G1" s="99" t="s">
        <v>1032</v>
      </c>
      <c r="H1" s="99" t="s">
        <v>450</v>
      </c>
      <c r="I1" s="99" t="s">
        <v>380</v>
      </c>
      <c r="J1" s="99" t="s">
        <v>1033</v>
      </c>
      <c r="K1" s="99" t="s">
        <v>1034</v>
      </c>
      <c r="L1" s="99" t="s">
        <v>1035</v>
      </c>
      <c r="M1" s="99" t="s">
        <v>1036</v>
      </c>
      <c r="N1" s="11" t="s">
        <v>952</v>
      </c>
      <c r="O1" s="11"/>
    </row>
    <row r="2" spans="1:15" ht="45">
      <c r="A2" s="100">
        <v>136705</v>
      </c>
      <c r="B2" s="100">
        <v>108759</v>
      </c>
      <c r="C2" s="101" t="s">
        <v>724</v>
      </c>
      <c r="D2" s="101" t="s">
        <v>937</v>
      </c>
      <c r="E2" s="101" t="s">
        <v>711</v>
      </c>
      <c r="F2" s="101" t="s">
        <v>711</v>
      </c>
      <c r="G2" s="101" t="s">
        <v>3</v>
      </c>
      <c r="H2" s="102">
        <v>4770</v>
      </c>
      <c r="I2" s="102">
        <v>6390</v>
      </c>
      <c r="J2" s="101" t="s">
        <v>932</v>
      </c>
      <c r="K2" s="101" t="s">
        <v>2</v>
      </c>
      <c r="L2" s="101"/>
      <c r="M2" s="101"/>
      <c r="N2" s="11" t="str">
        <f>_xlfn.CONCAT(K2,IF(L2&lt;&gt;"",_xlfn.CONCAT("ск",L2),""))</f>
        <v>1</v>
      </c>
      <c r="O2" s="11" t="str">
        <f>INDEX(Кат!$H:$H,MATCH($A2,Кат!$A:$A,0))</f>
        <v>АВТОПРОДУКТ</v>
      </c>
    </row>
    <row r="3" spans="1:15" ht="45">
      <c r="A3" s="100">
        <v>136706</v>
      </c>
      <c r="B3" s="100">
        <v>30298</v>
      </c>
      <c r="C3" s="101" t="s">
        <v>123</v>
      </c>
      <c r="D3" s="101" t="s">
        <v>937</v>
      </c>
      <c r="E3" s="101" t="s">
        <v>530</v>
      </c>
      <c r="F3" s="101" t="s">
        <v>239</v>
      </c>
      <c r="G3" s="101" t="s">
        <v>3</v>
      </c>
      <c r="H3" s="102">
        <v>4770</v>
      </c>
      <c r="I3" s="102">
        <v>6390</v>
      </c>
      <c r="J3" s="101" t="s">
        <v>797</v>
      </c>
      <c r="K3" s="101" t="s">
        <v>2</v>
      </c>
      <c r="L3" s="101" t="s">
        <v>2</v>
      </c>
      <c r="M3" s="101"/>
      <c r="N3" s="11" t="str">
        <f t="shared" ref="N3:N66" si="0">_xlfn.CONCAT(K3,IF(L3&lt;&gt;"",_xlfn.CONCAT("ск",L3),""))</f>
        <v>1ск1</v>
      </c>
      <c r="O3" s="11" t="str">
        <f>INDEX(Кат!$H:$H,MATCH($A3,Кат!$A:$A,0))</f>
        <v>АВТОПРОДУКТ</v>
      </c>
    </row>
    <row r="4" spans="1:15" ht="90">
      <c r="A4" s="100">
        <v>139090</v>
      </c>
      <c r="B4" s="100">
        <v>19569</v>
      </c>
      <c r="C4" s="101" t="s">
        <v>102</v>
      </c>
      <c r="D4" s="101" t="s">
        <v>937</v>
      </c>
      <c r="E4" s="101" t="s">
        <v>1092</v>
      </c>
      <c r="F4" s="101" t="s">
        <v>345</v>
      </c>
      <c r="G4" s="101" t="s">
        <v>3</v>
      </c>
      <c r="H4" s="102">
        <v>7490</v>
      </c>
      <c r="I4" s="102">
        <v>9790</v>
      </c>
      <c r="J4" s="101" t="s">
        <v>900</v>
      </c>
      <c r="K4" s="101" t="s">
        <v>2</v>
      </c>
      <c r="L4" s="101"/>
      <c r="M4" s="101" t="s">
        <v>937</v>
      </c>
      <c r="N4" s="11" t="str">
        <f t="shared" si="0"/>
        <v>1</v>
      </c>
      <c r="O4" s="11" t="str">
        <f>INDEX(Кат!$H:$H,MATCH($A4,Кат!$A:$A,0))</f>
        <v>АВТОПРОДУКТ</v>
      </c>
    </row>
    <row r="5" spans="1:15" ht="45">
      <c r="A5" s="100">
        <v>139091</v>
      </c>
      <c r="B5" s="100">
        <v>19568</v>
      </c>
      <c r="C5" s="101" t="s">
        <v>101</v>
      </c>
      <c r="D5" s="101" t="s">
        <v>937</v>
      </c>
      <c r="E5" s="101" t="s">
        <v>1093</v>
      </c>
      <c r="F5" s="101" t="s">
        <v>521</v>
      </c>
      <c r="G5" s="101" t="s">
        <v>3</v>
      </c>
      <c r="H5" s="102">
        <v>5980</v>
      </c>
      <c r="I5" s="102">
        <v>8090</v>
      </c>
      <c r="J5" s="101"/>
      <c r="K5" s="101" t="s">
        <v>938</v>
      </c>
      <c r="L5" s="101"/>
      <c r="M5" s="101"/>
      <c r="N5" s="11" t="str">
        <f t="shared" si="0"/>
        <v>0</v>
      </c>
      <c r="O5" s="11" t="str">
        <f>INDEX(Кат!$H:$H,MATCH($A5,Кат!$A:$A,0))</f>
        <v>АВТОПРОДУКТ</v>
      </c>
    </row>
    <row r="6" spans="1:15" ht="75">
      <c r="A6" s="100">
        <v>139226</v>
      </c>
      <c r="B6" s="100">
        <v>19529</v>
      </c>
      <c r="C6" s="101" t="s">
        <v>77</v>
      </c>
      <c r="D6" s="101" t="s">
        <v>937</v>
      </c>
      <c r="E6" s="101" t="s">
        <v>1037</v>
      </c>
      <c r="F6" s="101" t="s">
        <v>385</v>
      </c>
      <c r="G6" s="101" t="s">
        <v>3</v>
      </c>
      <c r="H6" s="102">
        <v>9315</v>
      </c>
      <c r="I6" s="102">
        <v>12090</v>
      </c>
      <c r="J6" s="101" t="s">
        <v>784</v>
      </c>
      <c r="K6" s="101" t="s">
        <v>2</v>
      </c>
      <c r="L6" s="101"/>
      <c r="M6" s="101" t="s">
        <v>937</v>
      </c>
      <c r="N6" s="11" t="str">
        <f t="shared" si="0"/>
        <v>1</v>
      </c>
      <c r="O6" s="11" t="str">
        <f>INDEX(Кат!$H:$H,MATCH($A6,Кат!$A:$A,0))</f>
        <v>АВТОПРОДУКТ</v>
      </c>
    </row>
    <row r="7" spans="1:15" ht="60">
      <c r="A7" s="100">
        <v>139227</v>
      </c>
      <c r="B7" s="100">
        <v>35076</v>
      </c>
      <c r="C7" s="101" t="s">
        <v>410</v>
      </c>
      <c r="D7" s="101" t="s">
        <v>937</v>
      </c>
      <c r="E7" s="101" t="s">
        <v>446</v>
      </c>
      <c r="F7" s="101" t="s">
        <v>446</v>
      </c>
      <c r="G7" s="101" t="s">
        <v>3</v>
      </c>
      <c r="H7" s="102">
        <v>10160</v>
      </c>
      <c r="I7" s="102">
        <v>13190</v>
      </c>
      <c r="J7" s="101" t="s">
        <v>903</v>
      </c>
      <c r="K7" s="101" t="s">
        <v>2</v>
      </c>
      <c r="L7" s="101"/>
      <c r="M7" s="101"/>
      <c r="N7" s="11" t="str">
        <f t="shared" si="0"/>
        <v>1</v>
      </c>
      <c r="O7" s="11" t="str">
        <f>INDEX(Кат!$H:$H,MATCH($A7,Кат!$A:$A,0))</f>
        <v>АВТОПРОДУКТ</v>
      </c>
    </row>
    <row r="8" spans="1:15" ht="90">
      <c r="A8" s="100">
        <v>139228</v>
      </c>
      <c r="B8" s="100">
        <v>17737</v>
      </c>
      <c r="C8" s="101" t="s">
        <v>63</v>
      </c>
      <c r="D8" s="101" t="s">
        <v>937</v>
      </c>
      <c r="E8" s="101" t="s">
        <v>387</v>
      </c>
      <c r="F8" s="101" t="s">
        <v>387</v>
      </c>
      <c r="G8" s="101" t="s">
        <v>3</v>
      </c>
      <c r="H8" s="102">
        <v>9315</v>
      </c>
      <c r="I8" s="102">
        <v>11790</v>
      </c>
      <c r="J8" s="101"/>
      <c r="K8" s="101" t="s">
        <v>2</v>
      </c>
      <c r="L8" s="101"/>
      <c r="M8" s="101"/>
      <c r="N8" s="11" t="str">
        <f t="shared" si="0"/>
        <v>1</v>
      </c>
      <c r="O8" s="11" t="str">
        <f>INDEX(Кат!$H:$H,MATCH($A8,Кат!$A:$A,0))</f>
        <v>АВТОПРОДУКТ</v>
      </c>
    </row>
    <row r="9" spans="1:15" ht="45">
      <c r="A9" s="100">
        <v>139229</v>
      </c>
      <c r="B9" s="100">
        <v>19522</v>
      </c>
      <c r="C9" s="101" t="s">
        <v>71</v>
      </c>
      <c r="D9" s="101" t="s">
        <v>937</v>
      </c>
      <c r="E9" s="101" t="s">
        <v>531</v>
      </c>
      <c r="F9" s="101" t="s">
        <v>381</v>
      </c>
      <c r="G9" s="101" t="s">
        <v>3</v>
      </c>
      <c r="H9" s="102">
        <v>10160</v>
      </c>
      <c r="I9" s="102">
        <v>13190</v>
      </c>
      <c r="J9" s="101" t="s">
        <v>783</v>
      </c>
      <c r="K9" s="101" t="s">
        <v>2</v>
      </c>
      <c r="L9" s="101"/>
      <c r="M9" s="101"/>
      <c r="N9" s="11" t="str">
        <f t="shared" si="0"/>
        <v>1</v>
      </c>
      <c r="O9" s="11" t="str">
        <f>INDEX(Кат!$H:$H,MATCH($A9,Кат!$A:$A,0))</f>
        <v>АВТОПРОДУКТ</v>
      </c>
    </row>
    <row r="10" spans="1:15" ht="45">
      <c r="A10" s="100">
        <v>139230</v>
      </c>
      <c r="B10" s="100">
        <v>19523</v>
      </c>
      <c r="C10" s="101" t="s">
        <v>72</v>
      </c>
      <c r="D10" s="101" t="s">
        <v>937</v>
      </c>
      <c r="E10" s="101" t="s">
        <v>532</v>
      </c>
      <c r="F10" s="101" t="s">
        <v>382</v>
      </c>
      <c r="G10" s="101" t="s">
        <v>3</v>
      </c>
      <c r="H10" s="102">
        <v>10160</v>
      </c>
      <c r="I10" s="102">
        <v>12890</v>
      </c>
      <c r="J10" s="101"/>
      <c r="K10" s="101" t="s">
        <v>2</v>
      </c>
      <c r="L10" s="101"/>
      <c r="M10" s="101"/>
      <c r="N10" s="11" t="str">
        <f t="shared" si="0"/>
        <v>1</v>
      </c>
      <c r="O10" s="11" t="str">
        <f>INDEX(Кат!$H:$H,MATCH($A10,Кат!$A:$A,0))</f>
        <v>АВТОПРОДУКТ</v>
      </c>
    </row>
    <row r="11" spans="1:15" ht="45">
      <c r="A11" s="100">
        <v>140685</v>
      </c>
      <c r="B11" s="100">
        <v>35088</v>
      </c>
      <c r="C11" s="101" t="s">
        <v>694</v>
      </c>
      <c r="D11" s="101" t="s">
        <v>937</v>
      </c>
      <c r="E11" s="101" t="s">
        <v>243</v>
      </c>
      <c r="F11" s="101" t="s">
        <v>243</v>
      </c>
      <c r="G11" s="101" t="s">
        <v>3</v>
      </c>
      <c r="H11" s="102">
        <v>230</v>
      </c>
      <c r="I11" s="102">
        <v>489</v>
      </c>
      <c r="J11" s="101" t="s">
        <v>968</v>
      </c>
      <c r="K11" s="101" t="s">
        <v>2</v>
      </c>
      <c r="L11" s="101"/>
      <c r="M11" s="101"/>
      <c r="N11" s="11" t="str">
        <f t="shared" si="0"/>
        <v>1</v>
      </c>
      <c r="O11" s="11" t="str">
        <f>INDEX(Кат!$H:$H,MATCH($A11,Кат!$A:$A,0))</f>
        <v>АВТОПРОДУКТ</v>
      </c>
    </row>
    <row r="12" spans="1:15" ht="45">
      <c r="A12" s="100">
        <v>140763</v>
      </c>
      <c r="B12" s="100">
        <v>31519</v>
      </c>
      <c r="C12" s="101" t="s">
        <v>1038</v>
      </c>
      <c r="D12" s="101" t="s">
        <v>937</v>
      </c>
      <c r="E12" s="101" t="s">
        <v>216</v>
      </c>
      <c r="F12" s="101" t="s">
        <v>216</v>
      </c>
      <c r="G12" s="101" t="s">
        <v>3</v>
      </c>
      <c r="H12" s="102">
        <v>860</v>
      </c>
      <c r="I12" s="102">
        <v>1290</v>
      </c>
      <c r="J12" s="101" t="s">
        <v>856</v>
      </c>
      <c r="K12" s="101" t="s">
        <v>2</v>
      </c>
      <c r="L12" s="101"/>
      <c r="M12" s="101"/>
      <c r="N12" s="11" t="str">
        <f t="shared" si="0"/>
        <v>1</v>
      </c>
      <c r="O12" s="11" t="str">
        <f>INDEX(Кат!$H:$H,MATCH($A12,Кат!$A:$A,0))</f>
        <v>АВТОПРОДУКТ</v>
      </c>
    </row>
    <row r="13" spans="1:15" ht="45">
      <c r="A13" s="100">
        <v>140764</v>
      </c>
      <c r="B13" s="100">
        <v>31889</v>
      </c>
      <c r="C13" s="101" t="s">
        <v>1039</v>
      </c>
      <c r="D13" s="101" t="s">
        <v>937</v>
      </c>
      <c r="E13" s="101" t="s">
        <v>223</v>
      </c>
      <c r="F13" s="101" t="s">
        <v>223</v>
      </c>
      <c r="G13" s="101" t="s">
        <v>3</v>
      </c>
      <c r="H13" s="102">
        <v>845</v>
      </c>
      <c r="I13" s="102">
        <v>1290</v>
      </c>
      <c r="J13" s="101" t="s">
        <v>858</v>
      </c>
      <c r="K13" s="101" t="s">
        <v>2</v>
      </c>
      <c r="L13" s="101"/>
      <c r="M13" s="101"/>
      <c r="N13" s="11" t="str">
        <f t="shared" si="0"/>
        <v>1</v>
      </c>
      <c r="O13" s="11" t="str">
        <f>INDEX(Кат!$H:$H,MATCH($A13,Кат!$A:$A,0))</f>
        <v>АВТОПРОДУКТ</v>
      </c>
    </row>
    <row r="14" spans="1:15" ht="45">
      <c r="A14" s="100">
        <v>140765</v>
      </c>
      <c r="B14" s="100">
        <v>32606</v>
      </c>
      <c r="C14" s="101" t="s">
        <v>1040</v>
      </c>
      <c r="D14" s="101" t="s">
        <v>937</v>
      </c>
      <c r="E14" s="101" t="s">
        <v>460</v>
      </c>
      <c r="F14" s="101" t="s">
        <v>460</v>
      </c>
      <c r="G14" s="101" t="s">
        <v>3</v>
      </c>
      <c r="H14" s="102">
        <v>845</v>
      </c>
      <c r="I14" s="102">
        <v>1090</v>
      </c>
      <c r="J14" s="101"/>
      <c r="K14" s="101" t="s">
        <v>2</v>
      </c>
      <c r="L14" s="101"/>
      <c r="M14" s="101"/>
      <c r="N14" s="11" t="str">
        <f t="shared" si="0"/>
        <v>1</v>
      </c>
      <c r="O14" s="11" t="str">
        <f>INDEX(Кат!$H:$H,MATCH($A14,Кат!$A:$A,0))</f>
        <v>АВТОПРОДУКТ</v>
      </c>
    </row>
    <row r="15" spans="1:15" ht="45">
      <c r="A15" s="100">
        <v>140766</v>
      </c>
      <c r="B15" s="100">
        <v>31805</v>
      </c>
      <c r="C15" s="101" t="s">
        <v>203</v>
      </c>
      <c r="D15" s="101" t="s">
        <v>937</v>
      </c>
      <c r="E15" s="101" t="s">
        <v>213</v>
      </c>
      <c r="F15" s="101" t="s">
        <v>213</v>
      </c>
      <c r="G15" s="101" t="s">
        <v>3</v>
      </c>
      <c r="H15" s="102">
        <v>845</v>
      </c>
      <c r="I15" s="102">
        <v>1290</v>
      </c>
      <c r="J15" s="101" t="s">
        <v>855</v>
      </c>
      <c r="K15" s="101" t="s">
        <v>2</v>
      </c>
      <c r="L15" s="101"/>
      <c r="M15" s="101"/>
      <c r="N15" s="11" t="str">
        <f t="shared" si="0"/>
        <v>1</v>
      </c>
      <c r="O15" s="11" t="str">
        <f>INDEX(Кат!$H:$H,MATCH($A15,Кат!$A:$A,0))</f>
        <v>АВТОПРОДУКТ</v>
      </c>
    </row>
    <row r="16" spans="1:15" ht="30">
      <c r="A16" s="100">
        <v>140885</v>
      </c>
      <c r="B16" s="100">
        <v>38221</v>
      </c>
      <c r="C16" s="101" t="s">
        <v>471</v>
      </c>
      <c r="D16" s="101" t="s">
        <v>937</v>
      </c>
      <c r="E16" s="101" t="s">
        <v>370</v>
      </c>
      <c r="F16" s="101" t="s">
        <v>370</v>
      </c>
      <c r="G16" s="101" t="s">
        <v>3</v>
      </c>
      <c r="H16" s="102">
        <v>7690</v>
      </c>
      <c r="I16" s="102">
        <v>9690</v>
      </c>
      <c r="J16" s="101"/>
      <c r="K16" s="101" t="s">
        <v>2</v>
      </c>
      <c r="L16" s="101"/>
      <c r="M16" s="101"/>
      <c r="N16" s="11" t="str">
        <f t="shared" si="0"/>
        <v>1</v>
      </c>
      <c r="O16" s="11" t="str">
        <f>INDEX(Кат!$H:$H,MATCH($A16,Кат!$A:$A,0))</f>
        <v>АВТОПРОДУКТ</v>
      </c>
    </row>
    <row r="17" spans="1:15" ht="45">
      <c r="A17" s="100">
        <v>141113</v>
      </c>
      <c r="B17" s="100">
        <v>31810</v>
      </c>
      <c r="C17" s="101" t="s">
        <v>204</v>
      </c>
      <c r="D17" s="101" t="s">
        <v>937</v>
      </c>
      <c r="E17" s="101" t="s">
        <v>219</v>
      </c>
      <c r="F17" s="101" t="s">
        <v>219</v>
      </c>
      <c r="G17" s="101" t="s">
        <v>3</v>
      </c>
      <c r="H17" s="102">
        <v>4145</v>
      </c>
      <c r="I17" s="102">
        <v>5490</v>
      </c>
      <c r="J17" s="101" t="s">
        <v>796</v>
      </c>
      <c r="K17" s="101" t="s">
        <v>2</v>
      </c>
      <c r="L17" s="101"/>
      <c r="M17" s="101"/>
      <c r="N17" s="11" t="str">
        <f t="shared" si="0"/>
        <v>1</v>
      </c>
      <c r="O17" s="11" t="str">
        <f>INDEX(Кат!$H:$H,MATCH($A17,Кат!$A:$A,0))</f>
        <v>АВТОПРОДУКТ</v>
      </c>
    </row>
    <row r="18" spans="1:15" ht="45">
      <c r="A18" s="100">
        <v>141266</v>
      </c>
      <c r="B18" s="100">
        <v>19525</v>
      </c>
      <c r="C18" s="101" t="s">
        <v>73</v>
      </c>
      <c r="D18" s="101" t="s">
        <v>937</v>
      </c>
      <c r="E18" s="101" t="s">
        <v>533</v>
      </c>
      <c r="F18" s="101" t="s">
        <v>211</v>
      </c>
      <c r="G18" s="101" t="s">
        <v>3</v>
      </c>
      <c r="H18" s="102">
        <v>4280</v>
      </c>
      <c r="I18" s="102">
        <v>5790</v>
      </c>
      <c r="J18" s="101" t="s">
        <v>795</v>
      </c>
      <c r="K18" s="101" t="s">
        <v>2</v>
      </c>
      <c r="L18" s="101"/>
      <c r="M18" s="101"/>
      <c r="N18" s="11" t="str">
        <f t="shared" si="0"/>
        <v>1</v>
      </c>
      <c r="O18" s="11" t="str">
        <f>INDEX(Кат!$H:$H,MATCH($A18,Кат!$A:$A,0))</f>
        <v>АВТОПРОДУКТ</v>
      </c>
    </row>
    <row r="19" spans="1:15" ht="45">
      <c r="A19" s="100">
        <v>141267</v>
      </c>
      <c r="B19" s="100">
        <v>19540</v>
      </c>
      <c r="C19" s="101" t="s">
        <v>85</v>
      </c>
      <c r="D19" s="101" t="s">
        <v>937</v>
      </c>
      <c r="E19" s="101" t="s">
        <v>534</v>
      </c>
      <c r="F19" s="101" t="s">
        <v>212</v>
      </c>
      <c r="G19" s="101" t="s">
        <v>3</v>
      </c>
      <c r="H19" s="102">
        <v>4030</v>
      </c>
      <c r="I19" s="102">
        <v>5390</v>
      </c>
      <c r="J19" s="101" t="s">
        <v>885</v>
      </c>
      <c r="K19" s="101" t="s">
        <v>2</v>
      </c>
      <c r="L19" s="101"/>
      <c r="M19" s="101"/>
      <c r="N19" s="11" t="str">
        <f t="shared" si="0"/>
        <v>1</v>
      </c>
      <c r="O19" s="11" t="str">
        <f>INDEX(Кат!$H:$H,MATCH($A19,Кат!$A:$A,0))</f>
        <v>АВТОПРОДУКТ</v>
      </c>
    </row>
    <row r="20" spans="1:15" ht="45">
      <c r="A20" s="100">
        <v>141268</v>
      </c>
      <c r="B20" s="100">
        <v>19541</v>
      </c>
      <c r="C20" s="101" t="s">
        <v>128</v>
      </c>
      <c r="D20" s="101" t="s">
        <v>937</v>
      </c>
      <c r="E20" s="101" t="s">
        <v>535</v>
      </c>
      <c r="F20" s="101" t="s">
        <v>214</v>
      </c>
      <c r="G20" s="101" t="s">
        <v>3</v>
      </c>
      <c r="H20" s="102">
        <v>4030</v>
      </c>
      <c r="I20" s="102">
        <v>5390</v>
      </c>
      <c r="J20" s="101" t="s">
        <v>820</v>
      </c>
      <c r="K20" s="101" t="s">
        <v>2</v>
      </c>
      <c r="L20" s="101"/>
      <c r="M20" s="101"/>
      <c r="N20" s="11" t="str">
        <f t="shared" si="0"/>
        <v>1</v>
      </c>
      <c r="O20" s="11" t="str">
        <f>INDEX(Кат!$H:$H,MATCH($A20,Кат!$A:$A,0))</f>
        <v>АВТОПРОДУКТ</v>
      </c>
    </row>
    <row r="21" spans="1:15" ht="45">
      <c r="A21" s="100">
        <v>141269</v>
      </c>
      <c r="B21" s="100">
        <v>19542</v>
      </c>
      <c r="C21" s="101" t="s">
        <v>86</v>
      </c>
      <c r="D21" s="101" t="s">
        <v>937</v>
      </c>
      <c r="E21" s="101" t="s">
        <v>536</v>
      </c>
      <c r="F21" s="101" t="s">
        <v>215</v>
      </c>
      <c r="G21" s="101" t="s">
        <v>3</v>
      </c>
      <c r="H21" s="102">
        <v>3685</v>
      </c>
      <c r="I21" s="102">
        <v>4990</v>
      </c>
      <c r="J21" s="101" t="s">
        <v>884</v>
      </c>
      <c r="K21" s="101" t="s">
        <v>2</v>
      </c>
      <c r="L21" s="101"/>
      <c r="M21" s="101"/>
      <c r="N21" s="11" t="str">
        <f t="shared" si="0"/>
        <v>1</v>
      </c>
      <c r="O21" s="11" t="str">
        <f>INDEX(Кат!$H:$H,MATCH($A21,Кат!$A:$A,0))</f>
        <v>АВТОПРОДУКТ</v>
      </c>
    </row>
    <row r="22" spans="1:15" ht="45">
      <c r="A22" s="100">
        <v>141270</v>
      </c>
      <c r="B22" s="100">
        <v>19599</v>
      </c>
      <c r="C22" s="101" t="s">
        <v>121</v>
      </c>
      <c r="D22" s="101" t="s">
        <v>937</v>
      </c>
      <c r="E22" s="101" t="s">
        <v>537</v>
      </c>
      <c r="F22" s="101" t="s">
        <v>217</v>
      </c>
      <c r="G22" s="101" t="s">
        <v>3</v>
      </c>
      <c r="H22" s="102">
        <v>4145</v>
      </c>
      <c r="I22" s="102">
        <v>5490</v>
      </c>
      <c r="J22" s="101" t="s">
        <v>819</v>
      </c>
      <c r="K22" s="101" t="s">
        <v>2</v>
      </c>
      <c r="L22" s="101"/>
      <c r="M22" s="101"/>
      <c r="N22" s="11" t="str">
        <f t="shared" si="0"/>
        <v>1</v>
      </c>
      <c r="O22" s="11" t="str">
        <f>INDEX(Кат!$H:$H,MATCH($A22,Кат!$A:$A,0))</f>
        <v>АВТОПРОДУКТ</v>
      </c>
    </row>
    <row r="23" spans="1:15" ht="45">
      <c r="A23" s="100">
        <v>141271</v>
      </c>
      <c r="B23" s="100">
        <v>19547</v>
      </c>
      <c r="C23" s="101" t="s">
        <v>90</v>
      </c>
      <c r="D23" s="101" t="s">
        <v>937</v>
      </c>
      <c r="E23" s="101" t="s">
        <v>538</v>
      </c>
      <c r="F23" s="101" t="s">
        <v>218</v>
      </c>
      <c r="G23" s="101" t="s">
        <v>3</v>
      </c>
      <c r="H23" s="102">
        <v>4145</v>
      </c>
      <c r="I23" s="102">
        <v>5490</v>
      </c>
      <c r="J23" s="101" t="s">
        <v>883</v>
      </c>
      <c r="K23" s="101" t="s">
        <v>2</v>
      </c>
      <c r="L23" s="101"/>
      <c r="M23" s="101"/>
      <c r="N23" s="11" t="str">
        <f t="shared" si="0"/>
        <v>1</v>
      </c>
      <c r="O23" s="11" t="str">
        <f>INDEX(Кат!$H:$H,MATCH($A23,Кат!$A:$A,0))</f>
        <v>АВТОПРОДУКТ</v>
      </c>
    </row>
    <row r="24" spans="1:15" ht="45">
      <c r="A24" s="100">
        <v>141272</v>
      </c>
      <c r="B24" s="100">
        <v>19573</v>
      </c>
      <c r="C24" s="101" t="s">
        <v>103</v>
      </c>
      <c r="D24" s="101" t="s">
        <v>937</v>
      </c>
      <c r="E24" s="101" t="s">
        <v>539</v>
      </c>
      <c r="F24" s="101" t="s">
        <v>224</v>
      </c>
      <c r="G24" s="101" t="s">
        <v>3</v>
      </c>
      <c r="H24" s="102">
        <v>4195</v>
      </c>
      <c r="I24" s="102">
        <v>5590</v>
      </c>
      <c r="J24" s="101" t="s">
        <v>931</v>
      </c>
      <c r="K24" s="101" t="s">
        <v>2</v>
      </c>
      <c r="L24" s="101"/>
      <c r="M24" s="101"/>
      <c r="N24" s="11" t="str">
        <f t="shared" si="0"/>
        <v>1</v>
      </c>
      <c r="O24" s="11" t="str">
        <f>INDEX(Кат!$H:$H,MATCH($A24,Кат!$A:$A,0))</f>
        <v>АВТОПРОДУКТ</v>
      </c>
    </row>
    <row r="25" spans="1:15" ht="45">
      <c r="A25" s="100">
        <v>141273</v>
      </c>
      <c r="B25" s="100">
        <v>19552</v>
      </c>
      <c r="C25" s="101" t="s">
        <v>93</v>
      </c>
      <c r="D25" s="101" t="s">
        <v>937</v>
      </c>
      <c r="E25" s="101" t="s">
        <v>540</v>
      </c>
      <c r="F25" s="101" t="s">
        <v>220</v>
      </c>
      <c r="G25" s="101" t="s">
        <v>3</v>
      </c>
      <c r="H25" s="102">
        <v>4145</v>
      </c>
      <c r="I25" s="102">
        <v>5490</v>
      </c>
      <c r="J25" s="101" t="s">
        <v>896</v>
      </c>
      <c r="K25" s="101" t="s">
        <v>2</v>
      </c>
      <c r="L25" s="101"/>
      <c r="M25" s="101"/>
      <c r="N25" s="11" t="str">
        <f t="shared" si="0"/>
        <v>1</v>
      </c>
      <c r="O25" s="11" t="str">
        <f>INDEX(Кат!$H:$H,MATCH($A25,Кат!$A:$A,0))</f>
        <v>АВТОПРОДУКТ</v>
      </c>
    </row>
    <row r="26" spans="1:15" ht="45">
      <c r="A26" s="100">
        <v>141274</v>
      </c>
      <c r="B26" s="100">
        <v>19575</v>
      </c>
      <c r="C26" s="101" t="s">
        <v>105</v>
      </c>
      <c r="D26" s="101" t="s">
        <v>937</v>
      </c>
      <c r="E26" s="101" t="s">
        <v>541</v>
      </c>
      <c r="F26" s="101" t="s">
        <v>226</v>
      </c>
      <c r="G26" s="101" t="s">
        <v>3</v>
      </c>
      <c r="H26" s="102">
        <v>4505</v>
      </c>
      <c r="I26" s="102">
        <v>6090</v>
      </c>
      <c r="J26" s="101" t="s">
        <v>898</v>
      </c>
      <c r="K26" s="101" t="s">
        <v>2</v>
      </c>
      <c r="L26" s="101"/>
      <c r="M26" s="101"/>
      <c r="N26" s="11" t="str">
        <f t="shared" si="0"/>
        <v>1</v>
      </c>
      <c r="O26" s="11" t="str">
        <f>INDEX(Кат!$H:$H,MATCH($A26,Кат!$A:$A,0))</f>
        <v>АВТОПРОДУКТ</v>
      </c>
    </row>
    <row r="27" spans="1:15" ht="45">
      <c r="A27" s="100">
        <v>141275</v>
      </c>
      <c r="B27" s="100">
        <v>19574</v>
      </c>
      <c r="C27" s="101" t="s">
        <v>104</v>
      </c>
      <c r="D27" s="101" t="s">
        <v>937</v>
      </c>
      <c r="E27" s="101" t="s">
        <v>542</v>
      </c>
      <c r="F27" s="101" t="s">
        <v>225</v>
      </c>
      <c r="G27" s="101" t="s">
        <v>3</v>
      </c>
      <c r="H27" s="102">
        <v>4505</v>
      </c>
      <c r="I27" s="102">
        <v>6090</v>
      </c>
      <c r="J27" s="101" t="s">
        <v>777</v>
      </c>
      <c r="K27" s="101" t="s">
        <v>2</v>
      </c>
      <c r="L27" s="101"/>
      <c r="M27" s="101"/>
      <c r="N27" s="11" t="str">
        <f t="shared" si="0"/>
        <v>1</v>
      </c>
      <c r="O27" s="11" t="str">
        <f>INDEX(Кат!$H:$H,MATCH($A27,Кат!$A:$A,0))</f>
        <v>АВТОПРОДУКТ</v>
      </c>
    </row>
    <row r="28" spans="1:15" ht="45">
      <c r="A28" s="100">
        <v>141276</v>
      </c>
      <c r="B28" s="100">
        <v>19557</v>
      </c>
      <c r="C28" s="101" t="s">
        <v>96</v>
      </c>
      <c r="D28" s="101" t="s">
        <v>937</v>
      </c>
      <c r="E28" s="101" t="s">
        <v>543</v>
      </c>
      <c r="F28" s="101" t="s">
        <v>221</v>
      </c>
      <c r="G28" s="101" t="s">
        <v>3</v>
      </c>
      <c r="H28" s="102">
        <v>4145</v>
      </c>
      <c r="I28" s="102">
        <v>5490</v>
      </c>
      <c r="J28" s="101" t="s">
        <v>818</v>
      </c>
      <c r="K28" s="101" t="s">
        <v>2</v>
      </c>
      <c r="L28" s="101"/>
      <c r="M28" s="101"/>
      <c r="N28" s="11" t="str">
        <f t="shared" si="0"/>
        <v>1</v>
      </c>
      <c r="O28" s="11" t="str">
        <f>INDEX(Кат!$H:$H,MATCH($A28,Кат!$A:$A,0))</f>
        <v>АВТОПРОДУКТ</v>
      </c>
    </row>
    <row r="29" spans="1:15" ht="45">
      <c r="A29" s="100">
        <v>141277</v>
      </c>
      <c r="B29" s="100">
        <v>19563</v>
      </c>
      <c r="C29" s="101" t="s">
        <v>130</v>
      </c>
      <c r="D29" s="101" t="s">
        <v>937</v>
      </c>
      <c r="E29" s="101" t="s">
        <v>544</v>
      </c>
      <c r="F29" s="101" t="s">
        <v>222</v>
      </c>
      <c r="G29" s="101" t="s">
        <v>3</v>
      </c>
      <c r="H29" s="102">
        <v>4060</v>
      </c>
      <c r="I29" s="102">
        <v>5390</v>
      </c>
      <c r="J29" s="101" t="s">
        <v>897</v>
      </c>
      <c r="K29" s="101" t="s">
        <v>2</v>
      </c>
      <c r="L29" s="101"/>
      <c r="M29" s="101"/>
      <c r="N29" s="11" t="str">
        <f t="shared" si="0"/>
        <v>1</v>
      </c>
      <c r="O29" s="11" t="str">
        <f>INDEX(Кат!$H:$H,MATCH($A29,Кат!$A:$A,0))</f>
        <v>АВТОПРОДУКТ</v>
      </c>
    </row>
    <row r="30" spans="1:15" ht="60">
      <c r="A30" s="100">
        <v>144229</v>
      </c>
      <c r="B30" s="100">
        <v>19527</v>
      </c>
      <c r="C30" s="101" t="s">
        <v>75</v>
      </c>
      <c r="D30" s="101" t="s">
        <v>937</v>
      </c>
      <c r="E30" s="101" t="s">
        <v>1041</v>
      </c>
      <c r="F30" s="101" t="s">
        <v>508</v>
      </c>
      <c r="G30" s="101" t="s">
        <v>3</v>
      </c>
      <c r="H30" s="102">
        <v>10825</v>
      </c>
      <c r="I30" s="102">
        <v>13590</v>
      </c>
      <c r="J30" s="101"/>
      <c r="K30" s="101" t="s">
        <v>938</v>
      </c>
      <c r="L30" s="101"/>
      <c r="M30" s="101"/>
      <c r="N30" s="11" t="str">
        <f t="shared" si="0"/>
        <v>0</v>
      </c>
      <c r="O30" s="11" t="str">
        <f>INDEX(Кат!$H:$H,MATCH($A30,Кат!$A:$A,0))</f>
        <v>АВТОПРОДУКТ</v>
      </c>
    </row>
    <row r="31" spans="1:15" ht="60">
      <c r="A31" s="100">
        <v>144230</v>
      </c>
      <c r="B31" s="100">
        <v>19528</v>
      </c>
      <c r="C31" s="101" t="s">
        <v>76</v>
      </c>
      <c r="D31" s="101" t="s">
        <v>937</v>
      </c>
      <c r="E31" s="101" t="s">
        <v>1042</v>
      </c>
      <c r="F31" s="101" t="s">
        <v>509</v>
      </c>
      <c r="G31" s="101" t="s">
        <v>3</v>
      </c>
      <c r="H31" s="102">
        <v>12035</v>
      </c>
      <c r="I31" s="102">
        <v>15090</v>
      </c>
      <c r="J31" s="101"/>
      <c r="K31" s="101" t="s">
        <v>938</v>
      </c>
      <c r="L31" s="101"/>
      <c r="M31" s="101"/>
      <c r="N31" s="11" t="str">
        <f t="shared" si="0"/>
        <v>0</v>
      </c>
      <c r="O31" s="11" t="str">
        <f>INDEX(Кат!$H:$H,MATCH($A31,Кат!$A:$A,0))</f>
        <v>АВТОПРОДУКТ</v>
      </c>
    </row>
    <row r="32" spans="1:15" ht="45">
      <c r="A32" s="100">
        <v>144233</v>
      </c>
      <c r="B32" s="100">
        <v>19521</v>
      </c>
      <c r="C32" s="101" t="s">
        <v>70</v>
      </c>
      <c r="D32" s="101" t="s">
        <v>937</v>
      </c>
      <c r="E32" s="101" t="s">
        <v>1043</v>
      </c>
      <c r="F32" s="101" t="s">
        <v>506</v>
      </c>
      <c r="G32" s="101" t="s">
        <v>3</v>
      </c>
      <c r="H32" s="102">
        <v>12095</v>
      </c>
      <c r="I32" s="102">
        <v>15190</v>
      </c>
      <c r="J32" s="101"/>
      <c r="K32" s="101" t="s">
        <v>938</v>
      </c>
      <c r="L32" s="101"/>
      <c r="M32" s="101"/>
      <c r="N32" s="11" t="str">
        <f t="shared" si="0"/>
        <v>0</v>
      </c>
      <c r="O32" s="11" t="str">
        <f>INDEX(Кат!$H:$H,MATCH($A32,Кат!$A:$A,0))</f>
        <v>АВТОПРОДУКТ</v>
      </c>
    </row>
    <row r="33" spans="1:15" ht="30">
      <c r="A33" s="100">
        <v>144405</v>
      </c>
      <c r="B33" s="100">
        <v>157000</v>
      </c>
      <c r="C33" s="101" t="s">
        <v>736</v>
      </c>
      <c r="D33" s="101" t="s">
        <v>937</v>
      </c>
      <c r="E33" s="101" t="s">
        <v>708</v>
      </c>
      <c r="F33" s="101"/>
      <c r="G33" s="101" t="s">
        <v>3</v>
      </c>
      <c r="H33" s="102">
        <v>1315</v>
      </c>
      <c r="I33" s="102">
        <v>1690</v>
      </c>
      <c r="J33" s="101"/>
      <c r="K33" s="101" t="s">
        <v>2</v>
      </c>
      <c r="L33" s="101"/>
      <c r="M33" s="101"/>
      <c r="N33" s="11" t="str">
        <f t="shared" si="0"/>
        <v>1</v>
      </c>
      <c r="O33" s="11" t="str">
        <f>INDEX(Кат!$H:$H,MATCH($A33,Кат!$A:$A,0))</f>
        <v>АВТОПРОДУКТ</v>
      </c>
    </row>
    <row r="34" spans="1:15" ht="45">
      <c r="A34" s="100">
        <v>144406</v>
      </c>
      <c r="B34" s="100">
        <v>3641</v>
      </c>
      <c r="C34" s="101" t="s">
        <v>356</v>
      </c>
      <c r="D34" s="101" t="s">
        <v>937</v>
      </c>
      <c r="E34" s="101" t="s">
        <v>545</v>
      </c>
      <c r="F34" s="101" t="s">
        <v>256</v>
      </c>
      <c r="G34" s="101" t="s">
        <v>3</v>
      </c>
      <c r="H34" s="102">
        <v>1180</v>
      </c>
      <c r="I34" s="102">
        <v>1690</v>
      </c>
      <c r="J34" s="101" t="s">
        <v>863</v>
      </c>
      <c r="K34" s="101" t="s">
        <v>2</v>
      </c>
      <c r="L34" s="101" t="s">
        <v>2</v>
      </c>
      <c r="M34" s="101"/>
      <c r="N34" s="11" t="str">
        <f t="shared" si="0"/>
        <v>1ск1</v>
      </c>
      <c r="O34" s="11" t="str">
        <f>INDEX(Кат!$H:$H,MATCH($A34,Кат!$A:$A,0))</f>
        <v>АВТОПРОДУКТ</v>
      </c>
    </row>
    <row r="35" spans="1:15" ht="60">
      <c r="A35" s="100">
        <v>274423</v>
      </c>
      <c r="B35" s="100">
        <v>225755</v>
      </c>
      <c r="C35" s="101" t="s">
        <v>939</v>
      </c>
      <c r="D35" s="101" t="s">
        <v>937</v>
      </c>
      <c r="E35" s="101" t="s">
        <v>940</v>
      </c>
      <c r="F35" s="101"/>
      <c r="G35" s="101" t="s">
        <v>3</v>
      </c>
      <c r="H35" s="102">
        <v>2375</v>
      </c>
      <c r="I35" s="102">
        <v>2990</v>
      </c>
      <c r="J35" s="101"/>
      <c r="K35" s="101" t="s">
        <v>2</v>
      </c>
      <c r="L35" s="101"/>
      <c r="M35" s="101"/>
      <c r="N35" s="11" t="str">
        <f t="shared" si="0"/>
        <v>1</v>
      </c>
      <c r="O35" s="11" t="str">
        <f>INDEX(Кат!$H:$H,MATCH($A35,Кат!$A:$A,0))</f>
        <v>АВТОПРОДУКТ</v>
      </c>
    </row>
    <row r="36" spans="1:15" ht="45">
      <c r="A36" s="100">
        <v>151514</v>
      </c>
      <c r="B36" s="100">
        <v>3707</v>
      </c>
      <c r="C36" s="101" t="s">
        <v>53</v>
      </c>
      <c r="D36" s="101" t="s">
        <v>937</v>
      </c>
      <c r="E36" s="101" t="s">
        <v>546</v>
      </c>
      <c r="F36" s="101" t="s">
        <v>510</v>
      </c>
      <c r="G36" s="101" t="s">
        <v>3</v>
      </c>
      <c r="H36" s="102">
        <v>3270</v>
      </c>
      <c r="I36" s="102">
        <v>4390</v>
      </c>
      <c r="J36" s="101"/>
      <c r="K36" s="101" t="s">
        <v>938</v>
      </c>
      <c r="L36" s="101"/>
      <c r="M36" s="101"/>
      <c r="N36" s="11" t="str">
        <f t="shared" si="0"/>
        <v>0</v>
      </c>
      <c r="O36" s="11" t="str">
        <f>INDEX(Кат!$H:$H,MATCH($A36,Кат!$A:$A,0))</f>
        <v>АВТОПРОДУКТ</v>
      </c>
    </row>
    <row r="37" spans="1:15" ht="45">
      <c r="A37" s="100">
        <v>151515</v>
      </c>
      <c r="B37" s="100">
        <v>3646</v>
      </c>
      <c r="C37" s="101" t="s">
        <v>941</v>
      </c>
      <c r="D37" s="101" t="s">
        <v>937</v>
      </c>
      <c r="E37" s="101" t="s">
        <v>547</v>
      </c>
      <c r="F37" s="101" t="s">
        <v>514</v>
      </c>
      <c r="G37" s="101" t="s">
        <v>3</v>
      </c>
      <c r="H37" s="102">
        <v>3535</v>
      </c>
      <c r="I37" s="102">
        <v>4690</v>
      </c>
      <c r="J37" s="101"/>
      <c r="K37" s="101" t="s">
        <v>938</v>
      </c>
      <c r="L37" s="101"/>
      <c r="M37" s="101"/>
      <c r="N37" s="11" t="str">
        <f t="shared" si="0"/>
        <v>0</v>
      </c>
      <c r="O37" s="11" t="str">
        <f>INDEX(Кат!$H:$H,MATCH($A37,Кат!$A:$A,0))</f>
        <v>АВТОПРОДУКТ</v>
      </c>
    </row>
    <row r="38" spans="1:15" ht="45">
      <c r="A38" s="100">
        <v>151516</v>
      </c>
      <c r="B38" s="100">
        <v>3602</v>
      </c>
      <c r="C38" s="101" t="s">
        <v>45</v>
      </c>
      <c r="D38" s="101" t="s">
        <v>937</v>
      </c>
      <c r="E38" s="101" t="s">
        <v>548</v>
      </c>
      <c r="F38" s="101" t="s">
        <v>517</v>
      </c>
      <c r="G38" s="101" t="s">
        <v>3</v>
      </c>
      <c r="H38" s="102">
        <v>3330</v>
      </c>
      <c r="I38" s="102">
        <v>4390</v>
      </c>
      <c r="J38" s="101"/>
      <c r="K38" s="101" t="s">
        <v>938</v>
      </c>
      <c r="L38" s="101"/>
      <c r="M38" s="101"/>
      <c r="N38" s="11" t="str">
        <f t="shared" si="0"/>
        <v>0</v>
      </c>
      <c r="O38" s="11" t="str">
        <f>INDEX(Кат!$H:$H,MATCH($A38,Кат!$A:$A,0))</f>
        <v>АВТОПРОДУКТ</v>
      </c>
    </row>
    <row r="39" spans="1:15" ht="45">
      <c r="A39" s="100">
        <v>151517</v>
      </c>
      <c r="B39" s="100">
        <v>3647</v>
      </c>
      <c r="C39" s="101" t="s">
        <v>942</v>
      </c>
      <c r="D39" s="101" t="s">
        <v>937</v>
      </c>
      <c r="E39" s="101" t="s">
        <v>549</v>
      </c>
      <c r="F39" s="101" t="s">
        <v>515</v>
      </c>
      <c r="G39" s="101" t="s">
        <v>3</v>
      </c>
      <c r="H39" s="102">
        <v>4120</v>
      </c>
      <c r="I39" s="102">
        <v>5790</v>
      </c>
      <c r="J39" s="101"/>
      <c r="K39" s="101" t="s">
        <v>938</v>
      </c>
      <c r="L39" s="101"/>
      <c r="M39" s="101"/>
      <c r="N39" s="11" t="str">
        <f t="shared" si="0"/>
        <v>0</v>
      </c>
      <c r="O39" s="11" t="str">
        <f>INDEX(Кат!$H:$H,MATCH($A39,Кат!$A:$A,0))</f>
        <v>АВТОПРОДУКТ</v>
      </c>
    </row>
    <row r="40" spans="1:15" ht="45">
      <c r="A40" s="100">
        <v>151518</v>
      </c>
      <c r="B40" s="100">
        <v>3604</v>
      </c>
      <c r="C40" s="101" t="s">
        <v>46</v>
      </c>
      <c r="D40" s="101" t="s">
        <v>937</v>
      </c>
      <c r="E40" s="101" t="s">
        <v>550</v>
      </c>
      <c r="F40" s="101" t="s">
        <v>518</v>
      </c>
      <c r="G40" s="101" t="s">
        <v>3</v>
      </c>
      <c r="H40" s="102">
        <v>4305</v>
      </c>
      <c r="I40" s="102">
        <v>6090</v>
      </c>
      <c r="J40" s="101"/>
      <c r="K40" s="101" t="s">
        <v>938</v>
      </c>
      <c r="L40" s="101"/>
      <c r="M40" s="101"/>
      <c r="N40" s="11" t="str">
        <f t="shared" si="0"/>
        <v>0</v>
      </c>
      <c r="O40" s="11" t="str">
        <f>INDEX(Кат!$H:$H,MATCH($A40,Кат!$A:$A,0))</f>
        <v>АВТОПРОДУКТ</v>
      </c>
    </row>
    <row r="41" spans="1:15" ht="45">
      <c r="A41" s="100">
        <v>151520</v>
      </c>
      <c r="B41" s="100">
        <v>3708</v>
      </c>
      <c r="C41" s="101" t="s">
        <v>54</v>
      </c>
      <c r="D41" s="101" t="s">
        <v>937</v>
      </c>
      <c r="E41" s="101" t="s">
        <v>551</v>
      </c>
      <c r="F41" s="101" t="s">
        <v>230</v>
      </c>
      <c r="G41" s="101" t="s">
        <v>3</v>
      </c>
      <c r="H41" s="102">
        <v>1955</v>
      </c>
      <c r="I41" s="102">
        <v>2690</v>
      </c>
      <c r="J41" s="101"/>
      <c r="K41" s="101" t="s">
        <v>2</v>
      </c>
      <c r="L41" s="101"/>
      <c r="M41" s="101"/>
      <c r="N41" s="11" t="str">
        <f t="shared" si="0"/>
        <v>1</v>
      </c>
      <c r="O41" s="11" t="str">
        <f>INDEX(Кат!$H:$H,MATCH($A41,Кат!$A:$A,0))</f>
        <v>АВТОПРОДУКТ</v>
      </c>
    </row>
    <row r="42" spans="1:15" ht="45">
      <c r="A42" s="100">
        <v>151521</v>
      </c>
      <c r="B42" s="100">
        <v>3648</v>
      </c>
      <c r="C42" s="101" t="s">
        <v>358</v>
      </c>
      <c r="D42" s="101" t="s">
        <v>937</v>
      </c>
      <c r="E42" s="101" t="s">
        <v>552</v>
      </c>
      <c r="F42" s="101" t="s">
        <v>231</v>
      </c>
      <c r="G42" s="101" t="s">
        <v>3</v>
      </c>
      <c r="H42" s="102">
        <v>2140</v>
      </c>
      <c r="I42" s="102">
        <v>2890</v>
      </c>
      <c r="J42" s="101" t="s">
        <v>774</v>
      </c>
      <c r="K42" s="101" t="s">
        <v>2</v>
      </c>
      <c r="L42" s="101" t="s">
        <v>529</v>
      </c>
      <c r="M42" s="101"/>
      <c r="N42" s="11" t="str">
        <f t="shared" si="0"/>
        <v>1ск6</v>
      </c>
      <c r="O42" s="11" t="str">
        <f>INDEX(Кат!$H:$H,MATCH($A42,Кат!$A:$A,0))</f>
        <v>АВТОПРОДУКТ</v>
      </c>
    </row>
    <row r="43" spans="1:15" ht="45">
      <c r="A43" s="100">
        <v>151522</v>
      </c>
      <c r="B43" s="100">
        <v>3605</v>
      </c>
      <c r="C43" s="101" t="s">
        <v>47</v>
      </c>
      <c r="D43" s="101" t="s">
        <v>937</v>
      </c>
      <c r="E43" s="101" t="s">
        <v>553</v>
      </c>
      <c r="F43" s="101" t="s">
        <v>232</v>
      </c>
      <c r="G43" s="101" t="s">
        <v>3</v>
      </c>
      <c r="H43" s="102">
        <v>1935</v>
      </c>
      <c r="I43" s="102">
        <v>2690</v>
      </c>
      <c r="J43" s="101" t="s">
        <v>929</v>
      </c>
      <c r="K43" s="101" t="s">
        <v>2</v>
      </c>
      <c r="L43" s="101" t="s">
        <v>529</v>
      </c>
      <c r="M43" s="101"/>
      <c r="N43" s="11" t="str">
        <f t="shared" si="0"/>
        <v>1ск6</v>
      </c>
      <c r="O43" s="11" t="str">
        <f>INDEX(Кат!$H:$H,MATCH($A43,Кат!$A:$A,0))</f>
        <v>АВТОПРОДУКТ</v>
      </c>
    </row>
    <row r="44" spans="1:15" ht="45">
      <c r="A44" s="100">
        <v>151523</v>
      </c>
      <c r="B44" s="100">
        <v>3709</v>
      </c>
      <c r="C44" s="101" t="s">
        <v>55</v>
      </c>
      <c r="D44" s="101" t="s">
        <v>937</v>
      </c>
      <c r="E44" s="101" t="s">
        <v>554</v>
      </c>
      <c r="F44" s="101" t="s">
        <v>721</v>
      </c>
      <c r="G44" s="101" t="s">
        <v>3</v>
      </c>
      <c r="H44" s="102">
        <v>4120</v>
      </c>
      <c r="I44" s="102">
        <v>5790</v>
      </c>
      <c r="J44" s="101"/>
      <c r="K44" s="101" t="s">
        <v>938</v>
      </c>
      <c r="L44" s="101"/>
      <c r="M44" s="101"/>
      <c r="N44" s="11" t="str">
        <f t="shared" si="0"/>
        <v>0</v>
      </c>
      <c r="O44" s="11" t="str">
        <f>INDEX(Кат!$H:$H,MATCH($A44,Кат!$A:$A,0))</f>
        <v>АВТОПРОДУКТ</v>
      </c>
    </row>
    <row r="45" spans="1:15" ht="60">
      <c r="A45" s="100">
        <v>158255</v>
      </c>
      <c r="B45" s="100">
        <v>38217</v>
      </c>
      <c r="C45" s="101" t="s">
        <v>475</v>
      </c>
      <c r="D45" s="101" t="s">
        <v>937</v>
      </c>
      <c r="E45" s="101" t="s">
        <v>437</v>
      </c>
      <c r="F45" s="101" t="s">
        <v>437</v>
      </c>
      <c r="G45" s="101" t="s">
        <v>3</v>
      </c>
      <c r="H45" s="102">
        <v>3065</v>
      </c>
      <c r="I45" s="102">
        <v>3990</v>
      </c>
      <c r="J45" s="101"/>
      <c r="K45" s="101" t="s">
        <v>2</v>
      </c>
      <c r="L45" s="101"/>
      <c r="M45" s="101"/>
      <c r="N45" s="11" t="str">
        <f t="shared" si="0"/>
        <v>1</v>
      </c>
      <c r="O45" s="11" t="str">
        <f>INDEX(Кат!$H:$H,MATCH($A45,Кат!$A:$A,0))</f>
        <v>АВТОПРОДУКТ</v>
      </c>
    </row>
    <row r="46" spans="1:15" ht="60">
      <c r="A46" s="100">
        <v>158256</v>
      </c>
      <c r="B46" s="100">
        <v>38220</v>
      </c>
      <c r="C46" s="101" t="s">
        <v>464</v>
      </c>
      <c r="D46" s="101" t="s">
        <v>937</v>
      </c>
      <c r="E46" s="101" t="s">
        <v>433</v>
      </c>
      <c r="F46" s="101" t="s">
        <v>433</v>
      </c>
      <c r="G46" s="101" t="s">
        <v>3</v>
      </c>
      <c r="H46" s="102">
        <v>3330</v>
      </c>
      <c r="I46" s="102">
        <v>4190</v>
      </c>
      <c r="J46" s="101"/>
      <c r="K46" s="101" t="s">
        <v>2</v>
      </c>
      <c r="L46" s="101"/>
      <c r="M46" s="101"/>
      <c r="N46" s="11" t="str">
        <f t="shared" si="0"/>
        <v>1</v>
      </c>
      <c r="O46" s="11" t="str">
        <f>INDEX(Кат!$H:$H,MATCH($A46,Кат!$A:$A,0))</f>
        <v>АВТОПРОДУКТ</v>
      </c>
    </row>
    <row r="47" spans="1:15" ht="30">
      <c r="A47" s="100">
        <v>158388</v>
      </c>
      <c r="B47" s="100">
        <v>38226</v>
      </c>
      <c r="C47" s="101" t="s">
        <v>466</v>
      </c>
      <c r="D47" s="101" t="s">
        <v>937</v>
      </c>
      <c r="E47" s="101" t="s">
        <v>555</v>
      </c>
      <c r="F47" s="101" t="s">
        <v>463</v>
      </c>
      <c r="G47" s="101" t="s">
        <v>3</v>
      </c>
      <c r="H47" s="102">
        <v>665</v>
      </c>
      <c r="I47" s="102">
        <v>849</v>
      </c>
      <c r="J47" s="101"/>
      <c r="K47" s="101" t="s">
        <v>2</v>
      </c>
      <c r="L47" s="101"/>
      <c r="M47" s="101"/>
      <c r="N47" s="11" t="str">
        <f t="shared" si="0"/>
        <v>1</v>
      </c>
      <c r="O47" s="11" t="str">
        <f>INDEX(Кат!$H:$H,MATCH($A47,Кат!$A:$A,0))</f>
        <v>АВТОПРОДУКТ</v>
      </c>
    </row>
    <row r="48" spans="1:15" ht="30">
      <c r="A48" s="100">
        <v>266607</v>
      </c>
      <c r="B48" s="100">
        <v>216191</v>
      </c>
      <c r="C48" s="101" t="s">
        <v>943</v>
      </c>
      <c r="D48" s="101" t="s">
        <v>937</v>
      </c>
      <c r="E48" s="101" t="s">
        <v>494</v>
      </c>
      <c r="F48" s="101" t="s">
        <v>494</v>
      </c>
      <c r="G48" s="101" t="s">
        <v>3</v>
      </c>
      <c r="H48" s="102">
        <v>1950</v>
      </c>
      <c r="I48" s="102">
        <v>2490</v>
      </c>
      <c r="J48" s="101"/>
      <c r="K48" s="101" t="s">
        <v>2</v>
      </c>
      <c r="L48" s="101"/>
      <c r="M48" s="101"/>
      <c r="N48" s="11" t="str">
        <f t="shared" si="0"/>
        <v>1</v>
      </c>
      <c r="O48" s="11" t="str">
        <f>INDEX(Кат!$H:$H,MATCH($A48,Кат!$A:$A,0))</f>
        <v>АВТОПРОДУКТ</v>
      </c>
    </row>
    <row r="49" spans="1:15" ht="60">
      <c r="A49" s="100">
        <v>158702</v>
      </c>
      <c r="B49" s="100">
        <v>19565</v>
      </c>
      <c r="C49" s="101" t="s">
        <v>99</v>
      </c>
      <c r="D49" s="101" t="s">
        <v>937</v>
      </c>
      <c r="E49" s="101" t="s">
        <v>556</v>
      </c>
      <c r="F49" s="101" t="s">
        <v>520</v>
      </c>
      <c r="G49" s="101" t="s">
        <v>3</v>
      </c>
      <c r="H49" s="102">
        <v>1365</v>
      </c>
      <c r="I49" s="102">
        <v>1890</v>
      </c>
      <c r="J49" s="101"/>
      <c r="K49" s="101" t="s">
        <v>938</v>
      </c>
      <c r="L49" s="101"/>
      <c r="M49" s="101"/>
      <c r="N49" s="11" t="str">
        <f t="shared" si="0"/>
        <v>0</v>
      </c>
      <c r="O49" s="11" t="str">
        <f>INDEX(Кат!$H:$H,MATCH($A49,Кат!$A:$A,0))</f>
        <v>АВТОПРОДУКТ</v>
      </c>
    </row>
    <row r="50" spans="1:15" ht="60">
      <c r="A50" s="100">
        <v>159496</v>
      </c>
      <c r="B50" s="100">
        <v>19582</v>
      </c>
      <c r="C50" s="101" t="s">
        <v>111</v>
      </c>
      <c r="D50" s="101" t="s">
        <v>937</v>
      </c>
      <c r="E50" s="101" t="s">
        <v>557</v>
      </c>
      <c r="F50" s="101" t="s">
        <v>244</v>
      </c>
      <c r="G50" s="101" t="s">
        <v>3</v>
      </c>
      <c r="H50" s="102">
        <v>2105</v>
      </c>
      <c r="I50" s="102">
        <v>2790</v>
      </c>
      <c r="J50" s="101" t="s">
        <v>893</v>
      </c>
      <c r="K50" s="101" t="s">
        <v>2</v>
      </c>
      <c r="L50" s="101"/>
      <c r="M50" s="101" t="s">
        <v>937</v>
      </c>
      <c r="N50" s="11" t="str">
        <f t="shared" si="0"/>
        <v>1</v>
      </c>
      <c r="O50" s="11" t="str">
        <f>INDEX(Кат!$H:$H,MATCH($A50,Кат!$A:$A,0))</f>
        <v>АВТОПРОДУКТ</v>
      </c>
    </row>
    <row r="51" spans="1:15" ht="45">
      <c r="A51" s="100">
        <v>159921</v>
      </c>
      <c r="B51" s="100">
        <v>19564</v>
      </c>
      <c r="C51" s="101" t="s">
        <v>98</v>
      </c>
      <c r="D51" s="101" t="s">
        <v>937</v>
      </c>
      <c r="E51" s="101" t="s">
        <v>558</v>
      </c>
      <c r="F51" s="101" t="s">
        <v>401</v>
      </c>
      <c r="G51" s="101" t="s">
        <v>3</v>
      </c>
      <c r="H51" s="102">
        <v>3245</v>
      </c>
      <c r="I51" s="102">
        <v>4290</v>
      </c>
      <c r="J51" s="101" t="s">
        <v>888</v>
      </c>
      <c r="K51" s="101" t="s">
        <v>2</v>
      </c>
      <c r="L51" s="101"/>
      <c r="M51" s="101"/>
      <c r="N51" s="11" t="str">
        <f t="shared" si="0"/>
        <v>1</v>
      </c>
      <c r="O51" s="11" t="str">
        <f>INDEX(Кат!$H:$H,MATCH($A51,Кат!$A:$A,0))</f>
        <v>АВТОПРОДУКТ</v>
      </c>
    </row>
    <row r="52" spans="1:15" ht="75">
      <c r="A52" s="100">
        <v>159922</v>
      </c>
      <c r="B52" s="100">
        <v>19545</v>
      </c>
      <c r="C52" s="101" t="s">
        <v>89</v>
      </c>
      <c r="D52" s="101" t="s">
        <v>937</v>
      </c>
      <c r="E52" s="101" t="s">
        <v>559</v>
      </c>
      <c r="F52" s="101" t="s">
        <v>442</v>
      </c>
      <c r="G52" s="101" t="s">
        <v>3</v>
      </c>
      <c r="H52" s="102">
        <v>3805</v>
      </c>
      <c r="I52" s="102">
        <v>4990</v>
      </c>
      <c r="J52" s="101"/>
      <c r="K52" s="101" t="s">
        <v>938</v>
      </c>
      <c r="L52" s="101"/>
      <c r="M52" s="101"/>
      <c r="N52" s="11" t="str">
        <f t="shared" si="0"/>
        <v>0</v>
      </c>
      <c r="O52" s="11" t="str">
        <f>INDEX(Кат!$H:$H,MATCH($A52,Кат!$A:$A,0))</f>
        <v>АВТОПРОДУКТ</v>
      </c>
    </row>
    <row r="53" spans="1:15" ht="45">
      <c r="A53" s="100">
        <v>160523</v>
      </c>
      <c r="B53" s="100">
        <v>35112</v>
      </c>
      <c r="C53" s="101" t="s">
        <v>416</v>
      </c>
      <c r="D53" s="101" t="s">
        <v>937</v>
      </c>
      <c r="E53" s="101" t="s">
        <v>560</v>
      </c>
      <c r="F53" s="101" t="s">
        <v>429</v>
      </c>
      <c r="G53" s="101" t="s">
        <v>3</v>
      </c>
      <c r="H53" s="102">
        <v>2090</v>
      </c>
      <c r="I53" s="102">
        <v>2690</v>
      </c>
      <c r="J53" s="101"/>
      <c r="K53" s="101" t="s">
        <v>2</v>
      </c>
      <c r="L53" s="101"/>
      <c r="M53" s="101"/>
      <c r="N53" s="11" t="str">
        <f t="shared" si="0"/>
        <v>1</v>
      </c>
      <c r="O53" s="11" t="str">
        <f>INDEX(Кат!$H:$H,MATCH($A53,Кат!$A:$A,0))</f>
        <v>АВТОПРОДУКТ</v>
      </c>
    </row>
    <row r="54" spans="1:15" ht="45">
      <c r="A54" s="100">
        <v>160524</v>
      </c>
      <c r="B54" s="100">
        <v>38225</v>
      </c>
      <c r="C54" s="101" t="s">
        <v>467</v>
      </c>
      <c r="D54" s="101" t="s">
        <v>937</v>
      </c>
      <c r="E54" s="101" t="s">
        <v>462</v>
      </c>
      <c r="F54" s="101" t="s">
        <v>462</v>
      </c>
      <c r="G54" s="101" t="s">
        <v>3</v>
      </c>
      <c r="H54" s="102">
        <v>2290</v>
      </c>
      <c r="I54" s="102">
        <v>3090</v>
      </c>
      <c r="J54" s="101" t="s">
        <v>816</v>
      </c>
      <c r="K54" s="101" t="s">
        <v>2</v>
      </c>
      <c r="L54" s="101"/>
      <c r="M54" s="101"/>
      <c r="N54" s="11" t="str">
        <f t="shared" si="0"/>
        <v>1</v>
      </c>
      <c r="O54" s="11" t="str">
        <f>INDEX(Кат!$H:$H,MATCH($A54,Кат!$A:$A,0))</f>
        <v>АВТОПРОДУКТ</v>
      </c>
    </row>
    <row r="55" spans="1:15" ht="45">
      <c r="A55" s="100">
        <v>160614</v>
      </c>
      <c r="B55" s="100">
        <v>19551</v>
      </c>
      <c r="C55" s="101" t="s">
        <v>92</v>
      </c>
      <c r="D55" s="101" t="s">
        <v>937</v>
      </c>
      <c r="E55" s="101" t="s">
        <v>561</v>
      </c>
      <c r="F55" s="101" t="s">
        <v>227</v>
      </c>
      <c r="G55" s="101" t="s">
        <v>3</v>
      </c>
      <c r="H55" s="102">
        <v>2195</v>
      </c>
      <c r="I55" s="102">
        <v>2990</v>
      </c>
      <c r="J55" s="101" t="s">
        <v>895</v>
      </c>
      <c r="K55" s="101" t="s">
        <v>2</v>
      </c>
      <c r="L55" s="101"/>
      <c r="M55" s="101"/>
      <c r="N55" s="11" t="str">
        <f t="shared" si="0"/>
        <v>1</v>
      </c>
      <c r="O55" s="11" t="str">
        <f>INDEX(Кат!$H:$H,MATCH($A55,Кат!$A:$A,0))</f>
        <v>АВТОПРОДУКТ</v>
      </c>
    </row>
    <row r="56" spans="1:15" ht="45">
      <c r="A56" s="100">
        <v>160642</v>
      </c>
      <c r="B56" s="100">
        <v>3610</v>
      </c>
      <c r="C56" s="101" t="s">
        <v>49</v>
      </c>
      <c r="D56" s="101" t="s">
        <v>937</v>
      </c>
      <c r="E56" s="101" t="s">
        <v>562</v>
      </c>
      <c r="F56" s="101" t="s">
        <v>249</v>
      </c>
      <c r="G56" s="101" t="s">
        <v>3</v>
      </c>
      <c r="H56" s="102">
        <v>1625</v>
      </c>
      <c r="I56" s="102">
        <v>2290</v>
      </c>
      <c r="J56" s="101" t="s">
        <v>879</v>
      </c>
      <c r="K56" s="101" t="s">
        <v>2</v>
      </c>
      <c r="L56" s="101"/>
      <c r="M56" s="101"/>
      <c r="N56" s="11" t="str">
        <f t="shared" si="0"/>
        <v>1</v>
      </c>
      <c r="O56" s="11" t="str">
        <f>INDEX(Кат!$H:$H,MATCH($A56,Кат!$A:$A,0))</f>
        <v>АВТОПРОДУКТ</v>
      </c>
    </row>
    <row r="57" spans="1:15" ht="45">
      <c r="A57" s="100">
        <v>160643</v>
      </c>
      <c r="B57" s="100">
        <v>3609</v>
      </c>
      <c r="C57" s="101" t="s">
        <v>48</v>
      </c>
      <c r="D57" s="101" t="s">
        <v>937</v>
      </c>
      <c r="E57" s="101" t="s">
        <v>563</v>
      </c>
      <c r="F57" s="101" t="s">
        <v>247</v>
      </c>
      <c r="G57" s="101" t="s">
        <v>3</v>
      </c>
      <c r="H57" s="102">
        <v>1660</v>
      </c>
      <c r="I57" s="102">
        <v>2290</v>
      </c>
      <c r="J57" s="101" t="s">
        <v>878</v>
      </c>
      <c r="K57" s="101" t="s">
        <v>2</v>
      </c>
      <c r="L57" s="101"/>
      <c r="M57" s="101"/>
      <c r="N57" s="11" t="str">
        <f t="shared" si="0"/>
        <v>1</v>
      </c>
      <c r="O57" s="11" t="str">
        <f>INDEX(Кат!$H:$H,MATCH($A57,Кат!$A:$A,0))</f>
        <v>АВТОПРОДУКТ</v>
      </c>
    </row>
    <row r="58" spans="1:15" ht="60">
      <c r="A58" s="100">
        <v>160774</v>
      </c>
      <c r="B58" s="100">
        <v>19580</v>
      </c>
      <c r="C58" s="101" t="s">
        <v>110</v>
      </c>
      <c r="D58" s="101" t="s">
        <v>937</v>
      </c>
      <c r="E58" s="101" t="s">
        <v>564</v>
      </c>
      <c r="F58" s="101" t="s">
        <v>242</v>
      </c>
      <c r="G58" s="101" t="s">
        <v>3</v>
      </c>
      <c r="H58" s="102">
        <v>510</v>
      </c>
      <c r="I58" s="102">
        <v>849</v>
      </c>
      <c r="J58" s="101" t="s">
        <v>769</v>
      </c>
      <c r="K58" s="101" t="s">
        <v>2</v>
      </c>
      <c r="L58" s="101"/>
      <c r="M58" s="101"/>
      <c r="N58" s="11" t="str">
        <f t="shared" si="0"/>
        <v>1</v>
      </c>
      <c r="O58" s="11" t="str">
        <f>INDEX(Кат!$H:$H,MATCH($A58,Кат!$A:$A,0))</f>
        <v>АВТОПРОДУКТ</v>
      </c>
    </row>
    <row r="59" spans="1:15" ht="30">
      <c r="A59" s="100">
        <v>169760</v>
      </c>
      <c r="B59" s="100">
        <v>5461</v>
      </c>
      <c r="C59" s="101" t="s">
        <v>692</v>
      </c>
      <c r="D59" s="101" t="s">
        <v>937</v>
      </c>
      <c r="E59" s="101" t="s">
        <v>693</v>
      </c>
      <c r="F59" s="101" t="s">
        <v>714</v>
      </c>
      <c r="G59" s="101" t="s">
        <v>3</v>
      </c>
      <c r="H59" s="102">
        <v>860</v>
      </c>
      <c r="I59" s="102">
        <v>1190</v>
      </c>
      <c r="J59" s="101"/>
      <c r="K59" s="101" t="s">
        <v>938</v>
      </c>
      <c r="L59" s="101"/>
      <c r="M59" s="101" t="s">
        <v>937</v>
      </c>
      <c r="N59" s="11" t="str">
        <f t="shared" si="0"/>
        <v>0</v>
      </c>
      <c r="O59" s="11" t="str">
        <f>INDEX(Кат!$H:$H,MATCH($A59,Кат!$A:$A,0))</f>
        <v>АВТОПРОДУКТ</v>
      </c>
    </row>
    <row r="60" spans="1:15" ht="30">
      <c r="A60" s="100">
        <v>169761</v>
      </c>
      <c r="B60" s="100">
        <v>5471</v>
      </c>
      <c r="C60" s="101" t="s">
        <v>5</v>
      </c>
      <c r="D60" s="101" t="s">
        <v>937</v>
      </c>
      <c r="E60" s="101" t="s">
        <v>565</v>
      </c>
      <c r="F60" s="101" t="s">
        <v>715</v>
      </c>
      <c r="G60" s="101" t="s">
        <v>3</v>
      </c>
      <c r="H60" s="102">
        <v>995</v>
      </c>
      <c r="I60" s="102">
        <v>1290</v>
      </c>
      <c r="J60" s="101"/>
      <c r="K60" s="101" t="s">
        <v>938</v>
      </c>
      <c r="L60" s="101"/>
      <c r="M60" s="101"/>
      <c r="N60" s="11" t="str">
        <f t="shared" si="0"/>
        <v>0</v>
      </c>
      <c r="O60" s="11" t="str">
        <f>INDEX(Кат!$H:$H,MATCH($A60,Кат!$A:$A,0))</f>
        <v>АВТОПРОДУКТ</v>
      </c>
    </row>
    <row r="61" spans="1:15" ht="30">
      <c r="A61" s="100">
        <v>169762</v>
      </c>
      <c r="B61" s="100">
        <v>5455</v>
      </c>
      <c r="C61" s="101" t="s">
        <v>378</v>
      </c>
      <c r="D61" s="101" t="s">
        <v>937</v>
      </c>
      <c r="E61" s="101"/>
      <c r="F61" s="101"/>
      <c r="G61" s="101" t="s">
        <v>3</v>
      </c>
      <c r="H61" s="102">
        <v>1400</v>
      </c>
      <c r="I61" s="102">
        <v>2090</v>
      </c>
      <c r="J61" s="101"/>
      <c r="K61" s="101" t="s">
        <v>938</v>
      </c>
      <c r="L61" s="101"/>
      <c r="M61" s="101"/>
      <c r="N61" s="11" t="str">
        <f t="shared" si="0"/>
        <v>0</v>
      </c>
      <c r="O61" s="11" t="str">
        <f>INDEX(Кат!$H:$H,MATCH($A61,Кат!$A:$A,0))</f>
        <v>АВТОПРОДУКТ</v>
      </c>
    </row>
    <row r="62" spans="1:15" ht="30">
      <c r="A62" s="100">
        <v>169763</v>
      </c>
      <c r="B62" s="100">
        <v>5468</v>
      </c>
      <c r="C62" s="101" t="s">
        <v>376</v>
      </c>
      <c r="D62" s="101" t="s">
        <v>937</v>
      </c>
      <c r="E62" s="101" t="s">
        <v>566</v>
      </c>
      <c r="F62" s="101" t="s">
        <v>713</v>
      </c>
      <c r="G62" s="101" t="s">
        <v>3</v>
      </c>
      <c r="H62" s="102">
        <v>1400</v>
      </c>
      <c r="I62" s="102">
        <v>2090</v>
      </c>
      <c r="J62" s="101"/>
      <c r="K62" s="101" t="s">
        <v>938</v>
      </c>
      <c r="L62" s="101"/>
      <c r="M62" s="101"/>
      <c r="N62" s="11" t="str">
        <f t="shared" si="0"/>
        <v>0</v>
      </c>
      <c r="O62" s="11" t="str">
        <f>INDEX(Кат!$H:$H,MATCH($A62,Кат!$A:$A,0))</f>
        <v>АВТОПРОДУКТ</v>
      </c>
    </row>
    <row r="63" spans="1:15" ht="30">
      <c r="A63" s="100">
        <v>169764</v>
      </c>
      <c r="B63" s="100">
        <v>5457</v>
      </c>
      <c r="C63" s="101" t="s">
        <v>4</v>
      </c>
      <c r="D63" s="101" t="s">
        <v>937</v>
      </c>
      <c r="E63" s="101"/>
      <c r="F63" s="101"/>
      <c r="G63" s="101" t="s">
        <v>3</v>
      </c>
      <c r="H63" s="102">
        <v>860</v>
      </c>
      <c r="I63" s="102">
        <v>1190</v>
      </c>
      <c r="J63" s="101"/>
      <c r="K63" s="101" t="s">
        <v>938</v>
      </c>
      <c r="L63" s="101"/>
      <c r="M63" s="101"/>
      <c r="N63" s="11" t="str">
        <f t="shared" si="0"/>
        <v>0</v>
      </c>
      <c r="O63" s="11" t="str">
        <f>INDEX(Кат!$H:$H,MATCH($A63,Кат!$A:$A,0))</f>
        <v>АВТОПРОДУКТ</v>
      </c>
    </row>
    <row r="64" spans="1:15" ht="30">
      <c r="A64" s="100">
        <v>169765</v>
      </c>
      <c r="B64" s="100">
        <v>5464</v>
      </c>
      <c r="C64" s="101" t="s">
        <v>377</v>
      </c>
      <c r="D64" s="101" t="s">
        <v>937</v>
      </c>
      <c r="E64" s="101"/>
      <c r="F64" s="101"/>
      <c r="G64" s="101" t="s">
        <v>3</v>
      </c>
      <c r="H64" s="102">
        <v>1400</v>
      </c>
      <c r="I64" s="102">
        <v>2090</v>
      </c>
      <c r="J64" s="101"/>
      <c r="K64" s="101" t="s">
        <v>938</v>
      </c>
      <c r="L64" s="101"/>
      <c r="M64" s="101"/>
      <c r="N64" s="11" t="str">
        <f t="shared" si="0"/>
        <v>0</v>
      </c>
      <c r="O64" s="11" t="str">
        <f>INDEX(Кат!$H:$H,MATCH($A64,Кат!$A:$A,0))</f>
        <v>АВТОПРОДУКТ</v>
      </c>
    </row>
    <row r="65" spans="1:15" ht="45">
      <c r="A65" s="100">
        <v>170836</v>
      </c>
      <c r="B65" s="100">
        <v>19586</v>
      </c>
      <c r="C65" s="101" t="s">
        <v>112</v>
      </c>
      <c r="D65" s="101" t="s">
        <v>937</v>
      </c>
      <c r="E65" s="101" t="s">
        <v>567</v>
      </c>
      <c r="F65" s="101" t="s">
        <v>276</v>
      </c>
      <c r="G65" s="101" t="s">
        <v>3</v>
      </c>
      <c r="H65" s="102">
        <v>1235</v>
      </c>
      <c r="I65" s="102">
        <v>1690</v>
      </c>
      <c r="J65" s="101" t="s">
        <v>870</v>
      </c>
      <c r="K65" s="101" t="s">
        <v>2</v>
      </c>
      <c r="L65" s="101"/>
      <c r="M65" s="101"/>
      <c r="N65" s="11" t="str">
        <f t="shared" si="0"/>
        <v>1</v>
      </c>
      <c r="O65" s="11" t="str">
        <f>INDEX(Кат!$H:$H,MATCH($A65,Кат!$A:$A,0))</f>
        <v>АВТОПРОДУКТ</v>
      </c>
    </row>
    <row r="66" spans="1:15" ht="45">
      <c r="A66" s="100">
        <v>170837</v>
      </c>
      <c r="B66" s="100">
        <v>19587</v>
      </c>
      <c r="C66" s="101" t="s">
        <v>113</v>
      </c>
      <c r="D66" s="101" t="s">
        <v>937</v>
      </c>
      <c r="E66" s="101" t="s">
        <v>568</v>
      </c>
      <c r="F66" s="101" t="s">
        <v>277</v>
      </c>
      <c r="G66" s="101" t="s">
        <v>3</v>
      </c>
      <c r="H66" s="102">
        <v>1235</v>
      </c>
      <c r="I66" s="102">
        <v>1690</v>
      </c>
      <c r="J66" s="101" t="s">
        <v>835</v>
      </c>
      <c r="K66" s="101" t="s">
        <v>2</v>
      </c>
      <c r="L66" s="101"/>
      <c r="M66" s="101"/>
      <c r="N66" s="11" t="str">
        <f t="shared" si="0"/>
        <v>1</v>
      </c>
      <c r="O66" s="11" t="str">
        <f>INDEX(Кат!$H:$H,MATCH($A66,Кат!$A:$A,0))</f>
        <v>АВТОПРОДУКТ</v>
      </c>
    </row>
    <row r="67" spans="1:15" ht="45">
      <c r="A67" s="100">
        <v>170838</v>
      </c>
      <c r="B67" s="100">
        <v>19593</v>
      </c>
      <c r="C67" s="101" t="s">
        <v>119</v>
      </c>
      <c r="D67" s="101" t="s">
        <v>937</v>
      </c>
      <c r="E67" s="101" t="s">
        <v>569</v>
      </c>
      <c r="F67" s="101" t="s">
        <v>279</v>
      </c>
      <c r="G67" s="101" t="s">
        <v>3</v>
      </c>
      <c r="H67" s="102">
        <v>1235</v>
      </c>
      <c r="I67" s="102">
        <v>1690</v>
      </c>
      <c r="J67" s="101" t="s">
        <v>872</v>
      </c>
      <c r="K67" s="101" t="s">
        <v>2</v>
      </c>
      <c r="L67" s="101"/>
      <c r="M67" s="101"/>
      <c r="N67" s="11" t="str">
        <f t="shared" ref="N67:N130" si="1">_xlfn.CONCAT(K67,IF(L67&lt;&gt;"",_xlfn.CONCAT("ск",L67),""))</f>
        <v>1</v>
      </c>
      <c r="O67" s="11" t="str">
        <f>INDEX(Кат!$H:$H,MATCH($A67,Кат!$A:$A,0))</f>
        <v>АВТОПРОДУКТ</v>
      </c>
    </row>
    <row r="68" spans="1:15" ht="45">
      <c r="A68" s="100">
        <v>170839</v>
      </c>
      <c r="B68" s="100">
        <v>19592</v>
      </c>
      <c r="C68" s="101" t="s">
        <v>118</v>
      </c>
      <c r="D68" s="101" t="s">
        <v>937</v>
      </c>
      <c r="E68" s="101" t="s">
        <v>570</v>
      </c>
      <c r="F68" s="101" t="s">
        <v>278</v>
      </c>
      <c r="G68" s="101" t="s">
        <v>3</v>
      </c>
      <c r="H68" s="102">
        <v>1700</v>
      </c>
      <c r="I68" s="102">
        <v>2390</v>
      </c>
      <c r="J68" s="101" t="s">
        <v>830</v>
      </c>
      <c r="K68" s="101" t="s">
        <v>938</v>
      </c>
      <c r="L68" s="101"/>
      <c r="M68" s="101"/>
      <c r="N68" s="11" t="str">
        <f t="shared" si="1"/>
        <v>0</v>
      </c>
      <c r="O68" s="11" t="str">
        <f>INDEX(Кат!$H:$H,MATCH($A68,Кат!$A:$A,0))</f>
        <v>АВТОПРОДУКТ</v>
      </c>
    </row>
    <row r="69" spans="1:15" ht="45">
      <c r="A69" s="100">
        <v>170840</v>
      </c>
      <c r="B69" s="100">
        <v>35090</v>
      </c>
      <c r="C69" s="101" t="s">
        <v>413</v>
      </c>
      <c r="D69" s="101" t="s">
        <v>937</v>
      </c>
      <c r="E69" s="101" t="s">
        <v>571</v>
      </c>
      <c r="F69" s="101" t="s">
        <v>210</v>
      </c>
      <c r="G69" s="101" t="s">
        <v>3</v>
      </c>
      <c r="H69" s="102">
        <v>1740</v>
      </c>
      <c r="I69" s="102">
        <v>2390</v>
      </c>
      <c r="J69" s="101" t="s">
        <v>882</v>
      </c>
      <c r="K69" s="101" t="s">
        <v>2</v>
      </c>
      <c r="L69" s="101"/>
      <c r="M69" s="101"/>
      <c r="N69" s="11" t="str">
        <f t="shared" si="1"/>
        <v>1</v>
      </c>
      <c r="O69" s="11" t="str">
        <f>INDEX(Кат!$H:$H,MATCH($A69,Кат!$A:$A,0))</f>
        <v>АВТОПРОДУКТ</v>
      </c>
    </row>
    <row r="70" spans="1:15" ht="45">
      <c r="A70" s="100">
        <v>170841</v>
      </c>
      <c r="B70" s="100">
        <v>19585</v>
      </c>
      <c r="C70" s="101" t="s">
        <v>409</v>
      </c>
      <c r="D70" s="101" t="s">
        <v>937</v>
      </c>
      <c r="E70" s="101" t="s">
        <v>572</v>
      </c>
      <c r="F70" s="101" t="s">
        <v>275</v>
      </c>
      <c r="G70" s="101" t="s">
        <v>3</v>
      </c>
      <c r="H70" s="102">
        <v>1700</v>
      </c>
      <c r="I70" s="102">
        <v>2390</v>
      </c>
      <c r="J70" s="101" t="s">
        <v>829</v>
      </c>
      <c r="K70" s="101" t="s">
        <v>2</v>
      </c>
      <c r="L70" s="101"/>
      <c r="M70" s="101"/>
      <c r="N70" s="11" t="str">
        <f t="shared" si="1"/>
        <v>1</v>
      </c>
      <c r="O70" s="11" t="str">
        <f>INDEX(Кат!$H:$H,MATCH($A70,Кат!$A:$A,0))</f>
        <v>АВТОПРОДУКТ</v>
      </c>
    </row>
    <row r="71" spans="1:15" ht="45">
      <c r="A71" s="100">
        <v>171132</v>
      </c>
      <c r="B71" s="100">
        <v>19566</v>
      </c>
      <c r="C71" s="101" t="s">
        <v>100</v>
      </c>
      <c r="D71" s="101" t="s">
        <v>937</v>
      </c>
      <c r="E71" s="101" t="s">
        <v>573</v>
      </c>
      <c r="F71" s="101" t="s">
        <v>402</v>
      </c>
      <c r="G71" s="101" t="s">
        <v>3</v>
      </c>
      <c r="H71" s="102">
        <v>615</v>
      </c>
      <c r="I71" s="102">
        <v>789</v>
      </c>
      <c r="J71" s="101"/>
      <c r="K71" s="101" t="s">
        <v>2</v>
      </c>
      <c r="L71" s="101"/>
      <c r="M71" s="101"/>
      <c r="N71" s="11" t="str">
        <f t="shared" si="1"/>
        <v>1</v>
      </c>
      <c r="O71" s="11" t="str">
        <f>INDEX(Кат!$H:$H,MATCH($A71,Кат!$A:$A,0))</f>
        <v>АВТОПРОДУКТ</v>
      </c>
    </row>
    <row r="72" spans="1:15" ht="45">
      <c r="A72" s="100">
        <v>181690</v>
      </c>
      <c r="B72" s="100">
        <v>3731</v>
      </c>
      <c r="C72" s="101" t="s">
        <v>57</v>
      </c>
      <c r="D72" s="101" t="s">
        <v>937</v>
      </c>
      <c r="E72" s="101" t="s">
        <v>574</v>
      </c>
      <c r="F72" s="101" t="s">
        <v>245</v>
      </c>
      <c r="G72" s="101" t="s">
        <v>3</v>
      </c>
      <c r="H72" s="102">
        <v>850</v>
      </c>
      <c r="I72" s="102">
        <v>1290</v>
      </c>
      <c r="J72" s="101" t="s">
        <v>843</v>
      </c>
      <c r="K72" s="101" t="s">
        <v>2</v>
      </c>
      <c r="L72" s="101" t="s">
        <v>528</v>
      </c>
      <c r="M72" s="101"/>
      <c r="N72" s="11" t="str">
        <f t="shared" si="1"/>
        <v>1ск4</v>
      </c>
      <c r="O72" s="11" t="str">
        <f>INDEX(Кат!$H:$H,MATCH($A72,Кат!$A:$A,0))</f>
        <v>АВТОПРОДУКТ</v>
      </c>
    </row>
    <row r="73" spans="1:15" ht="45">
      <c r="A73" s="100">
        <v>181701</v>
      </c>
      <c r="B73" s="100">
        <v>3701</v>
      </c>
      <c r="C73" s="101" t="s">
        <v>51</v>
      </c>
      <c r="D73" s="101" t="s">
        <v>937</v>
      </c>
      <c r="E73" s="101" t="s">
        <v>575</v>
      </c>
      <c r="F73" s="101" t="s">
        <v>254</v>
      </c>
      <c r="G73" s="101" t="s">
        <v>3</v>
      </c>
      <c r="H73" s="102">
        <v>1020</v>
      </c>
      <c r="I73" s="102">
        <v>1490</v>
      </c>
      <c r="J73" s="101" t="s">
        <v>862</v>
      </c>
      <c r="K73" s="101" t="s">
        <v>2</v>
      </c>
      <c r="L73" s="101"/>
      <c r="M73" s="101"/>
      <c r="N73" s="11" t="str">
        <f t="shared" si="1"/>
        <v>1</v>
      </c>
      <c r="O73" s="11" t="str">
        <f>INDEX(Кат!$H:$H,MATCH($A73,Кат!$A:$A,0))</f>
        <v>АВТОПРОДУКТ</v>
      </c>
    </row>
    <row r="74" spans="1:15" ht="45">
      <c r="A74" s="100">
        <v>181702</v>
      </c>
      <c r="B74" s="100">
        <v>3703</v>
      </c>
      <c r="C74" s="101" t="s">
        <v>200</v>
      </c>
      <c r="D74" s="101" t="s">
        <v>937</v>
      </c>
      <c r="E74" s="101" t="s">
        <v>253</v>
      </c>
      <c r="F74" s="101" t="s">
        <v>253</v>
      </c>
      <c r="G74" s="101" t="s">
        <v>3</v>
      </c>
      <c r="H74" s="102">
        <v>1415</v>
      </c>
      <c r="I74" s="102">
        <v>1890</v>
      </c>
      <c r="J74" s="101" t="s">
        <v>869</v>
      </c>
      <c r="K74" s="101" t="s">
        <v>2</v>
      </c>
      <c r="L74" s="101"/>
      <c r="M74" s="101"/>
      <c r="N74" s="11" t="str">
        <f t="shared" si="1"/>
        <v>1</v>
      </c>
      <c r="O74" s="11" t="str">
        <f>INDEX(Кат!$H:$H,MATCH($A74,Кат!$A:$A,0))</f>
        <v>АВТОПРОДУКТ</v>
      </c>
    </row>
    <row r="75" spans="1:15" ht="45">
      <c r="A75" s="100">
        <v>181703</v>
      </c>
      <c r="B75" s="100">
        <v>3702</v>
      </c>
      <c r="C75" s="101" t="s">
        <v>199</v>
      </c>
      <c r="D75" s="101" t="s">
        <v>937</v>
      </c>
      <c r="E75" s="101" t="s">
        <v>576</v>
      </c>
      <c r="F75" s="101" t="s">
        <v>252</v>
      </c>
      <c r="G75" s="101" t="s">
        <v>3</v>
      </c>
      <c r="H75" s="102">
        <v>1095</v>
      </c>
      <c r="I75" s="102">
        <v>1590</v>
      </c>
      <c r="J75" s="101" t="s">
        <v>839</v>
      </c>
      <c r="K75" s="101" t="s">
        <v>2</v>
      </c>
      <c r="L75" s="101"/>
      <c r="M75" s="101"/>
      <c r="N75" s="11" t="str">
        <f t="shared" si="1"/>
        <v>1</v>
      </c>
      <c r="O75" s="11" t="str">
        <f>INDEX(Кат!$H:$H,MATCH($A75,Кат!$A:$A,0))</f>
        <v>АВТОПРОДУКТ</v>
      </c>
    </row>
    <row r="76" spans="1:15" ht="45">
      <c r="A76" s="100">
        <v>181704</v>
      </c>
      <c r="B76" s="100">
        <v>3700</v>
      </c>
      <c r="C76" s="101" t="s">
        <v>198</v>
      </c>
      <c r="D76" s="101" t="s">
        <v>937</v>
      </c>
      <c r="E76" s="101" t="s">
        <v>577</v>
      </c>
      <c r="F76" s="101" t="s">
        <v>251</v>
      </c>
      <c r="G76" s="101" t="s">
        <v>3</v>
      </c>
      <c r="H76" s="102">
        <v>1095</v>
      </c>
      <c r="I76" s="102">
        <v>1590</v>
      </c>
      <c r="J76" s="101" t="s">
        <v>793</v>
      </c>
      <c r="K76" s="101" t="s">
        <v>2</v>
      </c>
      <c r="L76" s="101"/>
      <c r="M76" s="101"/>
      <c r="N76" s="11" t="str">
        <f t="shared" si="1"/>
        <v>1</v>
      </c>
      <c r="O76" s="11" t="str">
        <f>INDEX(Кат!$H:$H,MATCH($A76,Кат!$A:$A,0))</f>
        <v>АВТОПРОДУКТ</v>
      </c>
    </row>
    <row r="77" spans="1:15" ht="30">
      <c r="A77" s="100">
        <v>181755</v>
      </c>
      <c r="B77" s="100">
        <v>16474</v>
      </c>
      <c r="C77" s="101" t="s">
        <v>61</v>
      </c>
      <c r="D77" s="101" t="s">
        <v>937</v>
      </c>
      <c r="E77" s="101"/>
      <c r="F77" s="101"/>
      <c r="G77" s="101" t="s">
        <v>3</v>
      </c>
      <c r="H77" s="102">
        <v>0</v>
      </c>
      <c r="I77" s="102">
        <v>649</v>
      </c>
      <c r="J77" s="101"/>
      <c r="K77" s="101" t="s">
        <v>938</v>
      </c>
      <c r="L77" s="101"/>
      <c r="M77" s="101" t="s">
        <v>937</v>
      </c>
      <c r="N77" s="11" t="str">
        <f t="shared" si="1"/>
        <v>0</v>
      </c>
      <c r="O77" s="11" t="str">
        <f>INDEX(Кат!$H:$H,MATCH($A77,Кат!$A:$A,0))</f>
        <v>АВТОПРОДУКТ</v>
      </c>
    </row>
    <row r="78" spans="1:15" ht="60">
      <c r="A78" s="100">
        <v>181838</v>
      </c>
      <c r="B78" s="100">
        <v>19457</v>
      </c>
      <c r="C78" s="101" t="s">
        <v>66</v>
      </c>
      <c r="D78" s="101" t="s">
        <v>937</v>
      </c>
      <c r="E78" s="101" t="s">
        <v>578</v>
      </c>
      <c r="F78" s="101" t="s">
        <v>722</v>
      </c>
      <c r="G78" s="101" t="s">
        <v>3</v>
      </c>
      <c r="H78" s="102">
        <v>15000</v>
      </c>
      <c r="I78" s="102">
        <v>18990</v>
      </c>
      <c r="J78" s="101"/>
      <c r="K78" s="101" t="s">
        <v>2</v>
      </c>
      <c r="L78" s="101"/>
      <c r="M78" s="101"/>
      <c r="N78" s="11" t="str">
        <f t="shared" si="1"/>
        <v>1</v>
      </c>
      <c r="O78" s="11" t="str">
        <f>INDEX(Кат!$H:$H,MATCH($A78,Кат!$A:$A,0))</f>
        <v>АВТОПРОДУКТ</v>
      </c>
    </row>
    <row r="79" spans="1:15" ht="45">
      <c r="A79" s="100">
        <v>181850</v>
      </c>
      <c r="B79" s="100">
        <v>19539</v>
      </c>
      <c r="C79" s="101" t="s">
        <v>84</v>
      </c>
      <c r="D79" s="101" t="s">
        <v>937</v>
      </c>
      <c r="E79" s="101" t="s">
        <v>579</v>
      </c>
      <c r="F79" s="101" t="s">
        <v>317</v>
      </c>
      <c r="G79" s="101" t="s">
        <v>3</v>
      </c>
      <c r="H79" s="102">
        <v>585</v>
      </c>
      <c r="I79" s="102">
        <v>989</v>
      </c>
      <c r="J79" s="101" t="s">
        <v>771</v>
      </c>
      <c r="K79" s="101" t="s">
        <v>2</v>
      </c>
      <c r="L79" s="101"/>
      <c r="M79" s="101"/>
      <c r="N79" s="11" t="str">
        <f t="shared" si="1"/>
        <v>1</v>
      </c>
      <c r="O79" s="11" t="str">
        <f>INDEX(Кат!$H:$H,MATCH($A79,Кат!$A:$A,0))</f>
        <v>АВТОПРОДУКТ</v>
      </c>
    </row>
    <row r="80" spans="1:15" ht="45">
      <c r="A80" s="100">
        <v>181851</v>
      </c>
      <c r="B80" s="100">
        <v>19546</v>
      </c>
      <c r="C80" s="101" t="s">
        <v>129</v>
      </c>
      <c r="D80" s="101" t="s">
        <v>937</v>
      </c>
      <c r="E80" s="101" t="s">
        <v>580</v>
      </c>
      <c r="F80" s="101" t="s">
        <v>318</v>
      </c>
      <c r="G80" s="101" t="s">
        <v>3</v>
      </c>
      <c r="H80" s="102">
        <v>615</v>
      </c>
      <c r="I80" s="102">
        <v>989</v>
      </c>
      <c r="J80" s="101" t="s">
        <v>850</v>
      </c>
      <c r="K80" s="101" t="s">
        <v>2</v>
      </c>
      <c r="L80" s="101"/>
      <c r="M80" s="101"/>
      <c r="N80" s="11" t="str">
        <f t="shared" si="1"/>
        <v>1</v>
      </c>
      <c r="O80" s="11" t="str">
        <f>INDEX(Кат!$H:$H,MATCH($A80,Кат!$A:$A,0))</f>
        <v>АВТОПРОДУКТ</v>
      </c>
    </row>
    <row r="81" spans="1:15" ht="45">
      <c r="A81" s="100">
        <v>181854</v>
      </c>
      <c r="B81" s="100">
        <v>3699</v>
      </c>
      <c r="C81" s="101" t="s">
        <v>50</v>
      </c>
      <c r="D81" s="101" t="s">
        <v>937</v>
      </c>
      <c r="E81" s="101" t="s">
        <v>1094</v>
      </c>
      <c r="F81" s="101" t="s">
        <v>250</v>
      </c>
      <c r="G81" s="101" t="s">
        <v>3</v>
      </c>
      <c r="H81" s="102">
        <v>3250</v>
      </c>
      <c r="I81" s="102">
        <v>4290</v>
      </c>
      <c r="J81" s="101" t="s">
        <v>794</v>
      </c>
      <c r="K81" s="101" t="s">
        <v>2</v>
      </c>
      <c r="L81" s="101"/>
      <c r="M81" s="101"/>
      <c r="N81" s="11" t="str">
        <f t="shared" si="1"/>
        <v>1</v>
      </c>
      <c r="O81" s="11" t="str">
        <f>INDEX(Кат!$H:$H,MATCH($A81,Кат!$A:$A,0))</f>
        <v>АВТОПРОДУКТ</v>
      </c>
    </row>
    <row r="82" spans="1:15" ht="45">
      <c r="A82" s="100">
        <v>181855</v>
      </c>
      <c r="B82" s="100">
        <v>3704</v>
      </c>
      <c r="C82" s="101" t="s">
        <v>52</v>
      </c>
      <c r="D82" s="101" t="s">
        <v>937</v>
      </c>
      <c r="E82" s="101" t="s">
        <v>581</v>
      </c>
      <c r="F82" s="101" t="s">
        <v>257</v>
      </c>
      <c r="G82" s="101" t="s">
        <v>3</v>
      </c>
      <c r="H82" s="102">
        <v>3850</v>
      </c>
      <c r="I82" s="102">
        <v>5190</v>
      </c>
      <c r="J82" s="101" t="s">
        <v>930</v>
      </c>
      <c r="K82" s="101" t="s">
        <v>2</v>
      </c>
      <c r="L82" s="101"/>
      <c r="M82" s="101"/>
      <c r="N82" s="11" t="str">
        <f t="shared" si="1"/>
        <v>1</v>
      </c>
      <c r="O82" s="11" t="str">
        <f>INDEX(Кат!$H:$H,MATCH($A82,Кат!$A:$A,0))</f>
        <v>АВТОПРОДУКТ</v>
      </c>
    </row>
    <row r="83" spans="1:15" ht="45">
      <c r="A83" s="100">
        <v>194098</v>
      </c>
      <c r="B83" s="100">
        <v>17088</v>
      </c>
      <c r="C83" s="101" t="s">
        <v>62</v>
      </c>
      <c r="D83" s="101" t="s">
        <v>937</v>
      </c>
      <c r="E83" s="101" t="s">
        <v>582</v>
      </c>
      <c r="F83" s="101" t="s">
        <v>240</v>
      </c>
      <c r="G83" s="101" t="s">
        <v>3</v>
      </c>
      <c r="H83" s="102">
        <v>30490</v>
      </c>
      <c r="I83" s="102">
        <v>38390</v>
      </c>
      <c r="J83" s="101" t="s">
        <v>785</v>
      </c>
      <c r="K83" s="101" t="s">
        <v>2</v>
      </c>
      <c r="L83" s="101"/>
      <c r="M83" s="101" t="s">
        <v>937</v>
      </c>
      <c r="N83" s="11" t="str">
        <f t="shared" si="1"/>
        <v>1</v>
      </c>
      <c r="O83" s="11" t="str">
        <f>INDEX(Кат!$H:$H,MATCH($A83,Кат!$A:$A,0))</f>
        <v>АВТОПРОДУКТ</v>
      </c>
    </row>
    <row r="84" spans="1:15" ht="45">
      <c r="A84" s="100">
        <v>194099</v>
      </c>
      <c r="B84" s="100">
        <v>3152</v>
      </c>
      <c r="C84" s="101" t="s">
        <v>34</v>
      </c>
      <c r="D84" s="101" t="s">
        <v>937</v>
      </c>
      <c r="E84" s="101" t="s">
        <v>583</v>
      </c>
      <c r="F84" s="101" t="s">
        <v>241</v>
      </c>
      <c r="G84" s="101" t="s">
        <v>3</v>
      </c>
      <c r="H84" s="102">
        <v>30490</v>
      </c>
      <c r="I84" s="102">
        <v>38390</v>
      </c>
      <c r="J84" s="101" t="s">
        <v>806</v>
      </c>
      <c r="K84" s="101" t="s">
        <v>2</v>
      </c>
      <c r="L84" s="101"/>
      <c r="M84" s="101"/>
      <c r="N84" s="11" t="str">
        <f t="shared" si="1"/>
        <v>1</v>
      </c>
      <c r="O84" s="11" t="str">
        <f>INDEX(Кат!$H:$H,MATCH($A84,Кат!$A:$A,0))</f>
        <v>АВТОПРОДУКТ</v>
      </c>
    </row>
    <row r="85" spans="1:15" ht="45">
      <c r="A85" s="100">
        <v>194100</v>
      </c>
      <c r="B85" s="100">
        <v>157024</v>
      </c>
      <c r="C85" s="101" t="s">
        <v>737</v>
      </c>
      <c r="D85" s="101" t="s">
        <v>937</v>
      </c>
      <c r="E85" s="101" t="s">
        <v>710</v>
      </c>
      <c r="F85" s="101"/>
      <c r="G85" s="101" t="s">
        <v>3</v>
      </c>
      <c r="H85" s="102">
        <v>46395</v>
      </c>
      <c r="I85" s="102">
        <v>58390</v>
      </c>
      <c r="J85" s="101" t="s">
        <v>933</v>
      </c>
      <c r="K85" s="101" t="s">
        <v>2</v>
      </c>
      <c r="L85" s="101"/>
      <c r="M85" s="101"/>
      <c r="N85" s="11" t="str">
        <f t="shared" si="1"/>
        <v>1</v>
      </c>
      <c r="O85" s="11" t="str">
        <f>INDEX(Кат!$H:$H,MATCH($A85,Кат!$A:$A,0))</f>
        <v>АВТОПРОДУКТ</v>
      </c>
    </row>
    <row r="86" spans="1:15" ht="45">
      <c r="A86" s="100">
        <v>194477</v>
      </c>
      <c r="B86" s="100">
        <v>2821</v>
      </c>
      <c r="C86" s="101" t="s">
        <v>22</v>
      </c>
      <c r="D86" s="101" t="s">
        <v>937</v>
      </c>
      <c r="E86" s="101" t="s">
        <v>584</v>
      </c>
      <c r="F86" s="101" t="s">
        <v>265</v>
      </c>
      <c r="G86" s="101" t="s">
        <v>3</v>
      </c>
      <c r="H86" s="102">
        <v>6970</v>
      </c>
      <c r="I86" s="102">
        <v>9490</v>
      </c>
      <c r="J86" s="101" t="s">
        <v>811</v>
      </c>
      <c r="K86" s="101" t="s">
        <v>2</v>
      </c>
      <c r="L86" s="101"/>
      <c r="M86" s="101" t="s">
        <v>937</v>
      </c>
      <c r="N86" s="11" t="str">
        <f t="shared" si="1"/>
        <v>1</v>
      </c>
      <c r="O86" s="11" t="str">
        <f>INDEX(Кат!$H:$H,MATCH($A86,Кат!$A:$A,0))</f>
        <v>АВТОПРОДУКТ</v>
      </c>
    </row>
    <row r="87" spans="1:15" ht="45">
      <c r="A87" s="100">
        <v>194478</v>
      </c>
      <c r="B87" s="100">
        <v>2823</v>
      </c>
      <c r="C87" s="101" t="s">
        <v>23</v>
      </c>
      <c r="D87" s="101" t="s">
        <v>937</v>
      </c>
      <c r="E87" s="101" t="s">
        <v>585</v>
      </c>
      <c r="F87" s="101" t="s">
        <v>513</v>
      </c>
      <c r="G87" s="101" t="s">
        <v>3</v>
      </c>
      <c r="H87" s="102">
        <v>7295</v>
      </c>
      <c r="I87" s="102">
        <v>9190</v>
      </c>
      <c r="J87" s="101"/>
      <c r="K87" s="101" t="s">
        <v>2</v>
      </c>
      <c r="L87" s="101"/>
      <c r="M87" s="101" t="s">
        <v>937</v>
      </c>
      <c r="N87" s="11" t="str">
        <f t="shared" si="1"/>
        <v>1</v>
      </c>
      <c r="O87" s="11" t="str">
        <f>INDEX(Кат!$H:$H,MATCH($A87,Кат!$A:$A,0))</f>
        <v>АВТОПРОДУКТ</v>
      </c>
    </row>
    <row r="88" spans="1:15" ht="45">
      <c r="A88" s="100">
        <v>194479</v>
      </c>
      <c r="B88" s="100">
        <v>19533</v>
      </c>
      <c r="C88" s="101" t="s">
        <v>79</v>
      </c>
      <c r="D88" s="101" t="s">
        <v>937</v>
      </c>
      <c r="E88" s="101" t="s">
        <v>586</v>
      </c>
      <c r="F88" s="101" t="s">
        <v>264</v>
      </c>
      <c r="G88" s="101" t="s">
        <v>3</v>
      </c>
      <c r="H88" s="102">
        <v>5900</v>
      </c>
      <c r="I88" s="102">
        <v>7990</v>
      </c>
      <c r="J88" s="101" t="s">
        <v>901</v>
      </c>
      <c r="K88" s="101" t="s">
        <v>938</v>
      </c>
      <c r="L88" s="101"/>
      <c r="M88" s="101" t="s">
        <v>937</v>
      </c>
      <c r="N88" s="11" t="str">
        <f t="shared" si="1"/>
        <v>0</v>
      </c>
      <c r="O88" s="11" t="str">
        <f>INDEX(Кат!$H:$H,MATCH($A88,Кат!$A:$A,0))</f>
        <v>АВТОПРОДУКТ</v>
      </c>
    </row>
    <row r="89" spans="1:15" ht="45">
      <c r="A89" s="100">
        <v>194480</v>
      </c>
      <c r="B89" s="100">
        <v>19553</v>
      </c>
      <c r="C89" s="101" t="s">
        <v>94</v>
      </c>
      <c r="D89" s="101" t="s">
        <v>937</v>
      </c>
      <c r="E89" s="101" t="s">
        <v>587</v>
      </c>
      <c r="F89" s="101" t="s">
        <v>270</v>
      </c>
      <c r="G89" s="101" t="s">
        <v>3</v>
      </c>
      <c r="H89" s="102">
        <v>5820</v>
      </c>
      <c r="I89" s="102">
        <v>7890</v>
      </c>
      <c r="J89" s="101" t="s">
        <v>782</v>
      </c>
      <c r="K89" s="101" t="s">
        <v>2</v>
      </c>
      <c r="L89" s="101"/>
      <c r="M89" s="101" t="s">
        <v>937</v>
      </c>
      <c r="N89" s="11" t="str">
        <f t="shared" si="1"/>
        <v>1</v>
      </c>
      <c r="O89" s="11" t="str">
        <f>INDEX(Кат!$H:$H,MATCH($A89,Кат!$A:$A,0))</f>
        <v>АВТОПРОДУКТ</v>
      </c>
    </row>
    <row r="90" spans="1:15" ht="45">
      <c r="A90" s="100">
        <v>194481</v>
      </c>
      <c r="B90" s="100">
        <v>2827</v>
      </c>
      <c r="C90" s="101" t="s">
        <v>24</v>
      </c>
      <c r="D90" s="101" t="s">
        <v>937</v>
      </c>
      <c r="E90" s="101" t="s">
        <v>588</v>
      </c>
      <c r="F90" s="101" t="s">
        <v>272</v>
      </c>
      <c r="G90" s="101" t="s">
        <v>3</v>
      </c>
      <c r="H90" s="102">
        <v>12685</v>
      </c>
      <c r="I90" s="102">
        <v>16590</v>
      </c>
      <c r="J90" s="101" t="s">
        <v>807</v>
      </c>
      <c r="K90" s="101" t="s">
        <v>938</v>
      </c>
      <c r="L90" s="101"/>
      <c r="M90" s="101" t="s">
        <v>937</v>
      </c>
      <c r="N90" s="11" t="str">
        <f t="shared" si="1"/>
        <v>0</v>
      </c>
      <c r="O90" s="11" t="str">
        <f>INDEX(Кат!$H:$H,MATCH($A90,Кат!$A:$A,0))</f>
        <v>АВТОПРОДУКТ</v>
      </c>
    </row>
    <row r="91" spans="1:15" ht="30">
      <c r="A91" s="100">
        <v>194482</v>
      </c>
      <c r="B91" s="100">
        <v>35084</v>
      </c>
      <c r="C91" s="101" t="s">
        <v>412</v>
      </c>
      <c r="D91" s="101" t="s">
        <v>937</v>
      </c>
      <c r="E91" s="101" t="s">
        <v>400</v>
      </c>
      <c r="F91" s="101" t="s">
        <v>400</v>
      </c>
      <c r="G91" s="101" t="s">
        <v>3</v>
      </c>
      <c r="H91" s="102">
        <v>1775</v>
      </c>
      <c r="I91" s="102">
        <v>2390</v>
      </c>
      <c r="J91" s="101"/>
      <c r="K91" s="101" t="s">
        <v>2</v>
      </c>
      <c r="L91" s="101"/>
      <c r="M91" s="101" t="s">
        <v>937</v>
      </c>
      <c r="N91" s="11" t="str">
        <f t="shared" si="1"/>
        <v>1</v>
      </c>
      <c r="O91" s="11" t="str">
        <f>INDEX(Кат!$H:$H,MATCH($A91,Кат!$A:$A,0))</f>
        <v>АВТОПРОДУКТ</v>
      </c>
    </row>
    <row r="92" spans="1:15" ht="45">
      <c r="A92" s="100">
        <v>194499</v>
      </c>
      <c r="B92" s="100">
        <v>2849</v>
      </c>
      <c r="C92" s="101" t="s">
        <v>32</v>
      </c>
      <c r="D92" s="101" t="s">
        <v>937</v>
      </c>
      <c r="E92" s="101" t="s">
        <v>589</v>
      </c>
      <c r="F92" s="101" t="s">
        <v>263</v>
      </c>
      <c r="G92" s="101" t="s">
        <v>3</v>
      </c>
      <c r="H92" s="102">
        <v>5790</v>
      </c>
      <c r="I92" s="102">
        <v>7790</v>
      </c>
      <c r="J92" s="101" t="s">
        <v>791</v>
      </c>
      <c r="K92" s="101" t="s">
        <v>2</v>
      </c>
      <c r="L92" s="101"/>
      <c r="M92" s="101" t="s">
        <v>937</v>
      </c>
      <c r="N92" s="11" t="str">
        <f t="shared" si="1"/>
        <v>1</v>
      </c>
      <c r="O92" s="11" t="str">
        <f>INDEX(Кат!$H:$H,MATCH($A92,Кат!$A:$A,0))</f>
        <v>АВТОПРОДУКТ</v>
      </c>
    </row>
    <row r="93" spans="1:15" ht="45">
      <c r="A93" s="100">
        <v>194500</v>
      </c>
      <c r="B93" s="100">
        <v>2846</v>
      </c>
      <c r="C93" s="101" t="s">
        <v>29</v>
      </c>
      <c r="D93" s="101" t="s">
        <v>937</v>
      </c>
      <c r="E93" s="101" t="s">
        <v>590</v>
      </c>
      <c r="F93" s="101" t="s">
        <v>267</v>
      </c>
      <c r="G93" s="101" t="s">
        <v>3</v>
      </c>
      <c r="H93" s="102">
        <v>6040</v>
      </c>
      <c r="I93" s="102">
        <v>8090</v>
      </c>
      <c r="J93" s="101" t="s">
        <v>902</v>
      </c>
      <c r="K93" s="101" t="s">
        <v>2</v>
      </c>
      <c r="L93" s="101"/>
      <c r="M93" s="101" t="s">
        <v>937</v>
      </c>
      <c r="N93" s="11" t="str">
        <f t="shared" si="1"/>
        <v>1</v>
      </c>
      <c r="O93" s="11" t="str">
        <f>INDEX(Кат!$H:$H,MATCH($A93,Кат!$A:$A,0))</f>
        <v>АВТОПРОДУКТ</v>
      </c>
    </row>
    <row r="94" spans="1:15" ht="45">
      <c r="A94" s="100">
        <v>194501</v>
      </c>
      <c r="B94" s="100">
        <v>2847</v>
      </c>
      <c r="C94" s="101" t="s">
        <v>30</v>
      </c>
      <c r="D94" s="101" t="s">
        <v>937</v>
      </c>
      <c r="E94" s="101" t="s">
        <v>591</v>
      </c>
      <c r="F94" s="101" t="s">
        <v>269</v>
      </c>
      <c r="G94" s="101" t="s">
        <v>3</v>
      </c>
      <c r="H94" s="102">
        <v>5675</v>
      </c>
      <c r="I94" s="102">
        <v>7690</v>
      </c>
      <c r="J94" s="101" t="s">
        <v>779</v>
      </c>
      <c r="K94" s="101" t="s">
        <v>2</v>
      </c>
      <c r="L94" s="101"/>
      <c r="M94" s="101" t="s">
        <v>937</v>
      </c>
      <c r="N94" s="11" t="str">
        <f t="shared" si="1"/>
        <v>1</v>
      </c>
      <c r="O94" s="11" t="str">
        <f>INDEX(Кат!$H:$H,MATCH($A94,Кат!$A:$A,0))</f>
        <v>АВТОПРОДУКТ</v>
      </c>
    </row>
    <row r="95" spans="1:15" ht="45">
      <c r="A95" s="100">
        <v>194502</v>
      </c>
      <c r="B95" s="100">
        <v>2850</v>
      </c>
      <c r="C95" s="101" t="s">
        <v>33</v>
      </c>
      <c r="D95" s="101" t="s">
        <v>937</v>
      </c>
      <c r="E95" s="101" t="s">
        <v>592</v>
      </c>
      <c r="F95" s="101" t="s">
        <v>451</v>
      </c>
      <c r="G95" s="101" t="s">
        <v>3</v>
      </c>
      <c r="H95" s="102">
        <v>6120</v>
      </c>
      <c r="I95" s="102">
        <v>7890</v>
      </c>
      <c r="J95" s="101"/>
      <c r="K95" s="101" t="s">
        <v>2</v>
      </c>
      <c r="L95" s="101"/>
      <c r="M95" s="101" t="s">
        <v>937</v>
      </c>
      <c r="N95" s="11" t="str">
        <f t="shared" si="1"/>
        <v>1</v>
      </c>
      <c r="O95" s="11" t="str">
        <f>INDEX(Кат!$H:$H,MATCH($A95,Кат!$A:$A,0))</f>
        <v>АВТОПРОДУКТ</v>
      </c>
    </row>
    <row r="96" spans="1:15" ht="45">
      <c r="A96" s="100">
        <v>194503</v>
      </c>
      <c r="B96" s="100">
        <v>2844</v>
      </c>
      <c r="C96" s="101" t="s">
        <v>27</v>
      </c>
      <c r="D96" s="101" t="s">
        <v>937</v>
      </c>
      <c r="E96" s="101" t="s">
        <v>593</v>
      </c>
      <c r="F96" s="101" t="s">
        <v>266</v>
      </c>
      <c r="G96" s="101" t="s">
        <v>3</v>
      </c>
      <c r="H96" s="102">
        <v>6510</v>
      </c>
      <c r="I96" s="102">
        <v>8890</v>
      </c>
      <c r="J96" s="101" t="s">
        <v>781</v>
      </c>
      <c r="K96" s="101" t="s">
        <v>2</v>
      </c>
      <c r="L96" s="101"/>
      <c r="M96" s="101" t="s">
        <v>937</v>
      </c>
      <c r="N96" s="11" t="str">
        <f t="shared" si="1"/>
        <v>1</v>
      </c>
      <c r="O96" s="11" t="str">
        <f>INDEX(Кат!$H:$H,MATCH($A96,Кат!$A:$A,0))</f>
        <v>АВТОПРОДУКТ</v>
      </c>
    </row>
    <row r="97" spans="1:15" ht="45">
      <c r="A97" s="100">
        <v>194504</v>
      </c>
      <c r="B97" s="100">
        <v>2845</v>
      </c>
      <c r="C97" s="101" t="s">
        <v>28</v>
      </c>
      <c r="D97" s="101" t="s">
        <v>937</v>
      </c>
      <c r="E97" s="101" t="s">
        <v>594</v>
      </c>
      <c r="F97" s="101" t="s">
        <v>268</v>
      </c>
      <c r="G97" s="101" t="s">
        <v>3</v>
      </c>
      <c r="H97" s="102">
        <v>6195</v>
      </c>
      <c r="I97" s="102">
        <v>8290</v>
      </c>
      <c r="J97" s="101" t="s">
        <v>905</v>
      </c>
      <c r="K97" s="101" t="s">
        <v>2</v>
      </c>
      <c r="L97" s="101"/>
      <c r="M97" s="101" t="s">
        <v>937</v>
      </c>
      <c r="N97" s="11" t="str">
        <f t="shared" si="1"/>
        <v>1</v>
      </c>
      <c r="O97" s="11" t="str">
        <f>INDEX(Кат!$H:$H,MATCH($A97,Кат!$A:$A,0))</f>
        <v>АВТОПРОДУКТ</v>
      </c>
    </row>
    <row r="98" spans="1:15" ht="45">
      <c r="A98" s="100">
        <v>194517</v>
      </c>
      <c r="B98" s="100">
        <v>2848</v>
      </c>
      <c r="C98" s="101" t="s">
        <v>31</v>
      </c>
      <c r="D98" s="101" t="s">
        <v>937</v>
      </c>
      <c r="E98" s="101" t="s">
        <v>595</v>
      </c>
      <c r="F98" s="101" t="s">
        <v>271</v>
      </c>
      <c r="G98" s="101" t="s">
        <v>3</v>
      </c>
      <c r="H98" s="102">
        <v>12165</v>
      </c>
      <c r="I98" s="102">
        <v>15790</v>
      </c>
      <c r="J98" s="101" t="s">
        <v>800</v>
      </c>
      <c r="K98" s="101" t="s">
        <v>2</v>
      </c>
      <c r="L98" s="101"/>
      <c r="M98" s="101" t="s">
        <v>937</v>
      </c>
      <c r="N98" s="11" t="str">
        <f t="shared" si="1"/>
        <v>1</v>
      </c>
      <c r="O98" s="11" t="str">
        <f>INDEX(Кат!$H:$H,MATCH($A98,Кат!$A:$A,0))</f>
        <v>АВТОПРОДУКТ</v>
      </c>
    </row>
    <row r="99" spans="1:15" ht="45">
      <c r="A99" s="100">
        <v>194518</v>
      </c>
      <c r="B99" s="100">
        <v>2842</v>
      </c>
      <c r="C99" s="101" t="s">
        <v>25</v>
      </c>
      <c r="D99" s="101" t="s">
        <v>937</v>
      </c>
      <c r="E99" s="101" t="s">
        <v>596</v>
      </c>
      <c r="F99" s="101" t="s">
        <v>273</v>
      </c>
      <c r="G99" s="101" t="s">
        <v>3</v>
      </c>
      <c r="H99" s="102">
        <v>12730</v>
      </c>
      <c r="I99" s="102">
        <v>16590</v>
      </c>
      <c r="J99" s="101" t="s">
        <v>801</v>
      </c>
      <c r="K99" s="101" t="s">
        <v>2</v>
      </c>
      <c r="L99" s="101"/>
      <c r="M99" s="101" t="s">
        <v>937</v>
      </c>
      <c r="N99" s="11" t="str">
        <f t="shared" si="1"/>
        <v>1</v>
      </c>
      <c r="O99" s="11" t="str">
        <f>INDEX(Кат!$H:$H,MATCH($A99,Кат!$A:$A,0))</f>
        <v>АВТОПРОДУКТ</v>
      </c>
    </row>
    <row r="100" spans="1:15" ht="45">
      <c r="A100" s="100">
        <v>194519</v>
      </c>
      <c r="B100" s="100">
        <v>2843</v>
      </c>
      <c r="C100" s="101" t="s">
        <v>26</v>
      </c>
      <c r="D100" s="101" t="s">
        <v>937</v>
      </c>
      <c r="E100" s="101" t="s">
        <v>597</v>
      </c>
      <c r="F100" s="101" t="s">
        <v>274</v>
      </c>
      <c r="G100" s="101" t="s">
        <v>3</v>
      </c>
      <c r="H100" s="102">
        <v>12165</v>
      </c>
      <c r="I100" s="102">
        <v>15790</v>
      </c>
      <c r="J100" s="101" t="s">
        <v>799</v>
      </c>
      <c r="K100" s="101" t="s">
        <v>2</v>
      </c>
      <c r="L100" s="101"/>
      <c r="M100" s="101" t="s">
        <v>937</v>
      </c>
      <c r="N100" s="11" t="str">
        <f t="shared" si="1"/>
        <v>1</v>
      </c>
      <c r="O100" s="11" t="str">
        <f>INDEX(Кат!$H:$H,MATCH($A100,Кат!$A:$A,0))</f>
        <v>АВТОПРОДУКТ</v>
      </c>
    </row>
    <row r="101" spans="1:15" ht="60">
      <c r="A101" s="100">
        <v>274399</v>
      </c>
      <c r="B101" s="100">
        <v>225737</v>
      </c>
      <c r="C101" s="101" t="s">
        <v>944</v>
      </c>
      <c r="D101" s="101" t="s">
        <v>937</v>
      </c>
      <c r="E101" s="101" t="s">
        <v>945</v>
      </c>
      <c r="F101" s="101"/>
      <c r="G101" s="101" t="s">
        <v>3</v>
      </c>
      <c r="H101" s="102">
        <v>13635</v>
      </c>
      <c r="I101" s="102">
        <v>17190</v>
      </c>
      <c r="J101" s="101"/>
      <c r="K101" s="101" t="s">
        <v>2</v>
      </c>
      <c r="L101" s="101"/>
      <c r="M101" s="101" t="s">
        <v>937</v>
      </c>
      <c r="N101" s="11" t="str">
        <f t="shared" si="1"/>
        <v>1</v>
      </c>
      <c r="O101" s="11" t="str">
        <f>INDEX(Кат!$H:$H,MATCH($A101,Кат!$A:$A,0))</f>
        <v>АВТОПРОДУКТ</v>
      </c>
    </row>
    <row r="102" spans="1:15" ht="30">
      <c r="A102" s="100">
        <v>195245</v>
      </c>
      <c r="B102" s="100">
        <v>35094</v>
      </c>
      <c r="C102" s="101" t="s">
        <v>414</v>
      </c>
      <c r="D102" s="101" t="s">
        <v>937</v>
      </c>
      <c r="E102" s="101" t="s">
        <v>406</v>
      </c>
      <c r="F102" s="101" t="s">
        <v>406</v>
      </c>
      <c r="G102" s="101" t="s">
        <v>3</v>
      </c>
      <c r="H102" s="102">
        <v>3095</v>
      </c>
      <c r="I102" s="102">
        <v>3990</v>
      </c>
      <c r="J102" s="101"/>
      <c r="K102" s="101" t="s">
        <v>2</v>
      </c>
      <c r="L102" s="101"/>
      <c r="M102" s="101"/>
      <c r="N102" s="11" t="str">
        <f t="shared" si="1"/>
        <v>1</v>
      </c>
      <c r="O102" s="11" t="str">
        <f>INDEX(Кат!$H:$H,MATCH($A102,Кат!$A:$A,0))</f>
        <v>АВТОПРОДУКТ</v>
      </c>
    </row>
    <row r="103" spans="1:15" ht="45">
      <c r="A103" s="100">
        <v>195246</v>
      </c>
      <c r="B103" s="100">
        <v>33146</v>
      </c>
      <c r="C103" s="101" t="s">
        <v>375</v>
      </c>
      <c r="D103" s="101" t="s">
        <v>937</v>
      </c>
      <c r="E103" s="101" t="s">
        <v>289</v>
      </c>
      <c r="F103" s="101" t="s">
        <v>289</v>
      </c>
      <c r="G103" s="101" t="s">
        <v>3</v>
      </c>
      <c r="H103" s="102">
        <v>3685</v>
      </c>
      <c r="I103" s="102">
        <v>4990</v>
      </c>
      <c r="J103" s="101" t="s">
        <v>887</v>
      </c>
      <c r="K103" s="101" t="s">
        <v>2</v>
      </c>
      <c r="L103" s="101"/>
      <c r="M103" s="101"/>
      <c r="N103" s="11" t="str">
        <f t="shared" si="1"/>
        <v>1</v>
      </c>
      <c r="O103" s="11" t="str">
        <f>INDEX(Кат!$H:$H,MATCH($A103,Кат!$A:$A,0))</f>
        <v>АВТОПРОДУКТ</v>
      </c>
    </row>
    <row r="104" spans="1:15" ht="60">
      <c r="A104" s="100">
        <v>195275</v>
      </c>
      <c r="B104" s="100">
        <v>31793</v>
      </c>
      <c r="C104" s="101" t="s">
        <v>202</v>
      </c>
      <c r="D104" s="101" t="s">
        <v>937</v>
      </c>
      <c r="E104" s="101" t="s">
        <v>461</v>
      </c>
      <c r="F104" s="101" t="s">
        <v>461</v>
      </c>
      <c r="G104" s="101" t="s">
        <v>3</v>
      </c>
      <c r="H104" s="102">
        <v>3440</v>
      </c>
      <c r="I104" s="102">
        <v>4890</v>
      </c>
      <c r="J104" s="101"/>
      <c r="K104" s="101" t="s">
        <v>938</v>
      </c>
      <c r="L104" s="101"/>
      <c r="M104" s="101"/>
      <c r="N104" s="11" t="str">
        <f t="shared" si="1"/>
        <v>0</v>
      </c>
      <c r="O104" s="11" t="str">
        <f>INDEX(Кат!$H:$H,MATCH($A104,Кат!$A:$A,0))</f>
        <v>АВТОПРОДУКТ</v>
      </c>
    </row>
    <row r="105" spans="1:15" ht="45">
      <c r="A105" s="100">
        <v>195276</v>
      </c>
      <c r="B105" s="100">
        <v>3347</v>
      </c>
      <c r="C105" s="101" t="s">
        <v>205</v>
      </c>
      <c r="D105" s="101" t="s">
        <v>937</v>
      </c>
      <c r="E105" s="101" t="s">
        <v>598</v>
      </c>
      <c r="F105" s="101" t="s">
        <v>286</v>
      </c>
      <c r="G105" s="101" t="s">
        <v>3</v>
      </c>
      <c r="H105" s="102">
        <v>2990</v>
      </c>
      <c r="I105" s="102">
        <v>3990</v>
      </c>
      <c r="J105" s="101" t="s">
        <v>890</v>
      </c>
      <c r="K105" s="101" t="s">
        <v>2</v>
      </c>
      <c r="L105" s="101"/>
      <c r="M105" s="101"/>
      <c r="N105" s="11" t="str">
        <f t="shared" si="1"/>
        <v>1</v>
      </c>
      <c r="O105" s="11" t="str">
        <f>INDEX(Кат!$H:$H,MATCH($A105,Кат!$A:$A,0))</f>
        <v>АВТОПРОДУКТ</v>
      </c>
    </row>
    <row r="106" spans="1:15" ht="60">
      <c r="A106" s="100">
        <v>195277</v>
      </c>
      <c r="B106" s="100">
        <v>157064</v>
      </c>
      <c r="C106" s="101" t="s">
        <v>738</v>
      </c>
      <c r="D106" s="101" t="s">
        <v>937</v>
      </c>
      <c r="E106" s="101" t="s">
        <v>500</v>
      </c>
      <c r="F106" s="101"/>
      <c r="G106" s="101" t="s">
        <v>3</v>
      </c>
      <c r="H106" s="102">
        <v>3350</v>
      </c>
      <c r="I106" s="102">
        <v>4590</v>
      </c>
      <c r="J106" s="101" t="s">
        <v>934</v>
      </c>
      <c r="K106" s="101" t="s">
        <v>2</v>
      </c>
      <c r="L106" s="101"/>
      <c r="M106" s="101"/>
      <c r="N106" s="11" t="str">
        <f t="shared" si="1"/>
        <v>1</v>
      </c>
      <c r="O106" s="11" t="str">
        <f>INDEX(Кат!$H:$H,MATCH($A106,Кат!$A:$A,0))</f>
        <v>АВТОПРОДУКТ</v>
      </c>
    </row>
    <row r="107" spans="1:15" ht="45">
      <c r="A107" s="100">
        <v>195292</v>
      </c>
      <c r="B107" s="100">
        <v>3448</v>
      </c>
      <c r="C107" s="101" t="s">
        <v>38</v>
      </c>
      <c r="D107" s="101" t="s">
        <v>937</v>
      </c>
      <c r="E107" s="101" t="s">
        <v>599</v>
      </c>
      <c r="F107" s="101" t="s">
        <v>280</v>
      </c>
      <c r="G107" s="101" t="s">
        <v>3</v>
      </c>
      <c r="H107" s="102">
        <v>2550</v>
      </c>
      <c r="I107" s="102">
        <v>3390</v>
      </c>
      <c r="J107" s="101" t="s">
        <v>891</v>
      </c>
      <c r="K107" s="101" t="s">
        <v>2</v>
      </c>
      <c r="L107" s="101"/>
      <c r="M107" s="101"/>
      <c r="N107" s="11" t="str">
        <f t="shared" si="1"/>
        <v>1</v>
      </c>
      <c r="O107" s="11" t="str">
        <f>INDEX(Кат!$H:$H,MATCH($A107,Кат!$A:$A,0))</f>
        <v>АВТОПРОДУКТ</v>
      </c>
    </row>
    <row r="108" spans="1:15" ht="45">
      <c r="A108" s="100">
        <v>195293</v>
      </c>
      <c r="B108" s="100">
        <v>3371</v>
      </c>
      <c r="C108" s="101" t="s">
        <v>365</v>
      </c>
      <c r="D108" s="101" t="s">
        <v>937</v>
      </c>
      <c r="E108" s="101" t="s">
        <v>600</v>
      </c>
      <c r="F108" s="101" t="s">
        <v>288</v>
      </c>
      <c r="G108" s="101" t="s">
        <v>3</v>
      </c>
      <c r="H108" s="102">
        <v>4565</v>
      </c>
      <c r="I108" s="102">
        <v>6090</v>
      </c>
      <c r="J108" s="101" t="s">
        <v>821</v>
      </c>
      <c r="K108" s="101" t="s">
        <v>2</v>
      </c>
      <c r="L108" s="101"/>
      <c r="M108" s="101" t="s">
        <v>937</v>
      </c>
      <c r="N108" s="11" t="str">
        <f t="shared" si="1"/>
        <v>1</v>
      </c>
      <c r="O108" s="11" t="str">
        <f>INDEX(Кат!$H:$H,MATCH($A108,Кат!$A:$A,0))</f>
        <v>АВТОПРОДУКТ</v>
      </c>
    </row>
    <row r="109" spans="1:15" ht="45">
      <c r="A109" s="100">
        <v>195294</v>
      </c>
      <c r="B109" s="100">
        <v>3342</v>
      </c>
      <c r="C109" s="101" t="s">
        <v>35</v>
      </c>
      <c r="D109" s="101" t="s">
        <v>937</v>
      </c>
      <c r="E109" s="101" t="s">
        <v>601</v>
      </c>
      <c r="F109" s="101" t="s">
        <v>285</v>
      </c>
      <c r="G109" s="101" t="s">
        <v>3</v>
      </c>
      <c r="H109" s="102">
        <v>2505</v>
      </c>
      <c r="I109" s="102">
        <v>3390</v>
      </c>
      <c r="J109" s="101" t="s">
        <v>824</v>
      </c>
      <c r="K109" s="101" t="s">
        <v>2</v>
      </c>
      <c r="L109" s="101"/>
      <c r="M109" s="101"/>
      <c r="N109" s="11" t="str">
        <f t="shared" si="1"/>
        <v>1</v>
      </c>
      <c r="O109" s="11" t="str">
        <f>INDEX(Кат!$H:$H,MATCH($A109,Кат!$A:$A,0))</f>
        <v>АВТОПРОДУКТ</v>
      </c>
    </row>
    <row r="110" spans="1:15" ht="45">
      <c r="A110" s="100">
        <v>195295</v>
      </c>
      <c r="B110" s="100">
        <v>3452</v>
      </c>
      <c r="C110" s="101" t="s">
        <v>40</v>
      </c>
      <c r="D110" s="101" t="s">
        <v>937</v>
      </c>
      <c r="E110" s="101" t="s">
        <v>602</v>
      </c>
      <c r="F110" s="101" t="s">
        <v>282</v>
      </c>
      <c r="G110" s="101" t="s">
        <v>3</v>
      </c>
      <c r="H110" s="102">
        <v>3770</v>
      </c>
      <c r="I110" s="102">
        <v>5090</v>
      </c>
      <c r="J110" s="101" t="s">
        <v>789</v>
      </c>
      <c r="K110" s="101" t="s">
        <v>2</v>
      </c>
      <c r="L110" s="101"/>
      <c r="M110" s="101"/>
      <c r="N110" s="11" t="str">
        <f t="shared" si="1"/>
        <v>1</v>
      </c>
      <c r="O110" s="11" t="str">
        <f>INDEX(Кат!$H:$H,MATCH($A110,Кат!$A:$A,0))</f>
        <v>АВТОПРОДУКТ</v>
      </c>
    </row>
    <row r="111" spans="1:15" ht="45">
      <c r="A111" s="100">
        <v>195296</v>
      </c>
      <c r="B111" s="100">
        <v>3451</v>
      </c>
      <c r="C111" s="101" t="s">
        <v>39</v>
      </c>
      <c r="D111" s="101" t="s">
        <v>937</v>
      </c>
      <c r="E111" s="101" t="s">
        <v>603</v>
      </c>
      <c r="F111" s="101" t="s">
        <v>281</v>
      </c>
      <c r="G111" s="101" t="s">
        <v>3</v>
      </c>
      <c r="H111" s="102">
        <v>3080</v>
      </c>
      <c r="I111" s="102">
        <v>4090</v>
      </c>
      <c r="J111" s="101" t="s">
        <v>889</v>
      </c>
      <c r="K111" s="101" t="s">
        <v>2</v>
      </c>
      <c r="L111" s="101"/>
      <c r="M111" s="101"/>
      <c r="N111" s="11" t="str">
        <f t="shared" si="1"/>
        <v>1</v>
      </c>
      <c r="O111" s="11" t="str">
        <f>INDEX(Кат!$H:$H,MATCH($A111,Кат!$A:$A,0))</f>
        <v>АВТОПРОДУКТ</v>
      </c>
    </row>
    <row r="112" spans="1:15" ht="45">
      <c r="A112" s="100">
        <v>195297</v>
      </c>
      <c r="B112" s="100">
        <v>3373</v>
      </c>
      <c r="C112" s="101" t="s">
        <v>37</v>
      </c>
      <c r="D112" s="101" t="s">
        <v>937</v>
      </c>
      <c r="E112" s="101" t="s">
        <v>604</v>
      </c>
      <c r="F112" s="101" t="s">
        <v>519</v>
      </c>
      <c r="G112" s="101" t="s">
        <v>3</v>
      </c>
      <c r="H112" s="102">
        <v>3455</v>
      </c>
      <c r="I112" s="102">
        <v>4590</v>
      </c>
      <c r="J112" s="101"/>
      <c r="K112" s="101" t="s">
        <v>938</v>
      </c>
      <c r="L112" s="101"/>
      <c r="M112" s="101"/>
      <c r="N112" s="11" t="str">
        <f t="shared" si="1"/>
        <v>0</v>
      </c>
      <c r="O112" s="11" t="str">
        <f>INDEX(Кат!$H:$H,MATCH($A112,Кат!$A:$A,0))</f>
        <v>АВТОПРОДУКТ</v>
      </c>
    </row>
    <row r="113" spans="1:15" ht="45">
      <c r="A113" s="100">
        <v>195298</v>
      </c>
      <c r="B113" s="100">
        <v>3343</v>
      </c>
      <c r="C113" s="101" t="s">
        <v>125</v>
      </c>
      <c r="D113" s="101" t="s">
        <v>937</v>
      </c>
      <c r="E113" s="101" t="s">
        <v>605</v>
      </c>
      <c r="F113" s="101" t="s">
        <v>394</v>
      </c>
      <c r="G113" s="101" t="s">
        <v>3</v>
      </c>
      <c r="H113" s="102">
        <v>3285</v>
      </c>
      <c r="I113" s="102">
        <v>4490</v>
      </c>
      <c r="J113" s="101" t="s">
        <v>822</v>
      </c>
      <c r="K113" s="101" t="s">
        <v>2</v>
      </c>
      <c r="L113" s="101"/>
      <c r="M113" s="101" t="s">
        <v>937</v>
      </c>
      <c r="N113" s="11" t="str">
        <f t="shared" si="1"/>
        <v>1</v>
      </c>
      <c r="O113" s="11" t="str">
        <f>INDEX(Кат!$H:$H,MATCH($A113,Кат!$A:$A,0))</f>
        <v>АВТОПРОДУКТ</v>
      </c>
    </row>
    <row r="114" spans="1:15" ht="45">
      <c r="A114" s="100">
        <v>195299</v>
      </c>
      <c r="B114" s="100">
        <v>3454</v>
      </c>
      <c r="C114" s="101" t="s">
        <v>42</v>
      </c>
      <c r="D114" s="101" t="s">
        <v>937</v>
      </c>
      <c r="E114" s="101" t="s">
        <v>606</v>
      </c>
      <c r="F114" s="101" t="s">
        <v>284</v>
      </c>
      <c r="G114" s="101" t="s">
        <v>3</v>
      </c>
      <c r="H114" s="102">
        <v>2245</v>
      </c>
      <c r="I114" s="102">
        <v>2990</v>
      </c>
      <c r="J114" s="101" t="s">
        <v>825</v>
      </c>
      <c r="K114" s="101" t="s">
        <v>2</v>
      </c>
      <c r="L114" s="101"/>
      <c r="M114" s="101"/>
      <c r="N114" s="11" t="str">
        <f t="shared" si="1"/>
        <v>1</v>
      </c>
      <c r="O114" s="11" t="str">
        <f>INDEX(Кат!$H:$H,MATCH($A114,Кат!$A:$A,0))</f>
        <v>АВТОПРОДУКТ</v>
      </c>
    </row>
    <row r="115" spans="1:15" ht="45">
      <c r="A115" s="100">
        <v>195300</v>
      </c>
      <c r="B115" s="100">
        <v>3375</v>
      </c>
      <c r="C115" s="101" t="s">
        <v>354</v>
      </c>
      <c r="D115" s="101" t="s">
        <v>937</v>
      </c>
      <c r="E115" s="101" t="s">
        <v>607</v>
      </c>
      <c r="F115" s="101" t="s">
        <v>516</v>
      </c>
      <c r="G115" s="101" t="s">
        <v>3</v>
      </c>
      <c r="H115" s="102">
        <v>2530</v>
      </c>
      <c r="I115" s="102">
        <v>3390</v>
      </c>
      <c r="J115" s="101"/>
      <c r="K115" s="101" t="s">
        <v>938</v>
      </c>
      <c r="L115" s="101"/>
      <c r="M115" s="101"/>
      <c r="N115" s="11" t="str">
        <f t="shared" si="1"/>
        <v>0</v>
      </c>
      <c r="O115" s="11" t="str">
        <f>INDEX(Кат!$H:$H,MATCH($A115,Кат!$A:$A,0))</f>
        <v>АВТОПРОДУКТ</v>
      </c>
    </row>
    <row r="116" spans="1:15" ht="45">
      <c r="A116" s="100">
        <v>195301</v>
      </c>
      <c r="B116" s="100">
        <v>3350</v>
      </c>
      <c r="C116" s="101" t="s">
        <v>36</v>
      </c>
      <c r="D116" s="101" t="s">
        <v>937</v>
      </c>
      <c r="E116" s="101" t="s">
        <v>608</v>
      </c>
      <c r="F116" s="101" t="s">
        <v>287</v>
      </c>
      <c r="G116" s="101" t="s">
        <v>3</v>
      </c>
      <c r="H116" s="102">
        <v>2215</v>
      </c>
      <c r="I116" s="102">
        <v>2990</v>
      </c>
      <c r="J116" s="101" t="s">
        <v>892</v>
      </c>
      <c r="K116" s="101" t="s">
        <v>2</v>
      </c>
      <c r="L116" s="101" t="s">
        <v>2</v>
      </c>
      <c r="M116" s="101"/>
      <c r="N116" s="11" t="str">
        <f t="shared" si="1"/>
        <v>1ск1</v>
      </c>
      <c r="O116" s="11" t="str">
        <f>INDEX(Кат!$H:$H,MATCH($A116,Кат!$A:$A,0))</f>
        <v>АВТОПРОДУКТ</v>
      </c>
    </row>
    <row r="117" spans="1:15" ht="45">
      <c r="A117" s="100">
        <v>195302</v>
      </c>
      <c r="B117" s="100">
        <v>3453</v>
      </c>
      <c r="C117" s="101" t="s">
        <v>41</v>
      </c>
      <c r="D117" s="101" t="s">
        <v>937</v>
      </c>
      <c r="E117" s="101" t="s">
        <v>609</v>
      </c>
      <c r="F117" s="101" t="s">
        <v>283</v>
      </c>
      <c r="G117" s="101" t="s">
        <v>3</v>
      </c>
      <c r="H117" s="102">
        <v>2585</v>
      </c>
      <c r="I117" s="102">
        <v>3490</v>
      </c>
      <c r="J117" s="101" t="s">
        <v>823</v>
      </c>
      <c r="K117" s="101" t="s">
        <v>938</v>
      </c>
      <c r="L117" s="101"/>
      <c r="M117" s="101"/>
      <c r="N117" s="11" t="str">
        <f t="shared" si="1"/>
        <v>0</v>
      </c>
      <c r="O117" s="11" t="str">
        <f>INDEX(Кат!$H:$H,MATCH($A117,Кат!$A:$A,0))</f>
        <v>АВТОПРОДУКТ</v>
      </c>
    </row>
    <row r="118" spans="1:15" ht="45">
      <c r="A118" s="100">
        <v>201573</v>
      </c>
      <c r="B118" s="100">
        <v>19526</v>
      </c>
      <c r="C118" s="101" t="s">
        <v>74</v>
      </c>
      <c r="D118" s="101" t="s">
        <v>937</v>
      </c>
      <c r="E118" s="101" t="s">
        <v>1044</v>
      </c>
      <c r="F118" s="101" t="s">
        <v>507</v>
      </c>
      <c r="G118" s="101" t="s">
        <v>3</v>
      </c>
      <c r="H118" s="102">
        <v>7990</v>
      </c>
      <c r="I118" s="102">
        <v>10790</v>
      </c>
      <c r="J118" s="101"/>
      <c r="K118" s="101" t="s">
        <v>938</v>
      </c>
      <c r="L118" s="101"/>
      <c r="M118" s="101"/>
      <c r="N118" s="11" t="str">
        <f t="shared" si="1"/>
        <v>0</v>
      </c>
      <c r="O118" s="11" t="str">
        <f>INDEX(Кат!$H:$H,MATCH($A118,Кат!$A:$A,0))</f>
        <v>АВТОПРОДУКТ</v>
      </c>
    </row>
    <row r="119" spans="1:15" ht="45">
      <c r="A119" s="100">
        <v>201574</v>
      </c>
      <c r="B119" s="100">
        <v>19544</v>
      </c>
      <c r="C119" s="101" t="s">
        <v>88</v>
      </c>
      <c r="D119" s="101" t="s">
        <v>937</v>
      </c>
      <c r="E119" s="101" t="s">
        <v>1045</v>
      </c>
      <c r="F119" s="101" t="s">
        <v>512</v>
      </c>
      <c r="G119" s="101" t="s">
        <v>3</v>
      </c>
      <c r="H119" s="102">
        <v>7990</v>
      </c>
      <c r="I119" s="102">
        <v>10790</v>
      </c>
      <c r="J119" s="101"/>
      <c r="K119" s="101" t="s">
        <v>938</v>
      </c>
      <c r="L119" s="101"/>
      <c r="M119" s="101"/>
      <c r="N119" s="11" t="str">
        <f t="shared" si="1"/>
        <v>0</v>
      </c>
      <c r="O119" s="11" t="str">
        <f>INDEX(Кат!$H:$H,MATCH($A119,Кат!$A:$A,0))</f>
        <v>АВТОПРОДУКТ</v>
      </c>
    </row>
    <row r="120" spans="1:15" ht="60">
      <c r="A120" s="100">
        <v>201628</v>
      </c>
      <c r="B120" s="100">
        <v>19534</v>
      </c>
      <c r="C120" s="101" t="s">
        <v>80</v>
      </c>
      <c r="D120" s="101" t="s">
        <v>937</v>
      </c>
      <c r="E120" s="101" t="s">
        <v>610</v>
      </c>
      <c r="F120" s="101" t="s">
        <v>333</v>
      </c>
      <c r="G120" s="101" t="s">
        <v>3</v>
      </c>
      <c r="H120" s="102">
        <v>510</v>
      </c>
      <c r="I120" s="102">
        <v>849</v>
      </c>
      <c r="J120" s="101" t="s">
        <v>847</v>
      </c>
      <c r="K120" s="101" t="s">
        <v>2</v>
      </c>
      <c r="L120" s="101"/>
      <c r="M120" s="101"/>
      <c r="N120" s="11" t="str">
        <f t="shared" si="1"/>
        <v>1</v>
      </c>
      <c r="O120" s="11" t="str">
        <f>INDEX(Кат!$H:$H,MATCH($A120,Кат!$A:$A,0))</f>
        <v>АВТОПРОДУКТ</v>
      </c>
    </row>
    <row r="121" spans="1:15" ht="60">
      <c r="A121" s="100">
        <v>201629</v>
      </c>
      <c r="B121" s="100">
        <v>19535</v>
      </c>
      <c r="C121" s="101" t="s">
        <v>127</v>
      </c>
      <c r="D121" s="101" t="s">
        <v>937</v>
      </c>
      <c r="E121" s="101" t="s">
        <v>611</v>
      </c>
      <c r="F121" s="101" t="s">
        <v>328</v>
      </c>
      <c r="G121" s="101" t="s">
        <v>3</v>
      </c>
      <c r="H121" s="102">
        <v>670</v>
      </c>
      <c r="I121" s="102">
        <v>989</v>
      </c>
      <c r="J121" s="101" t="s">
        <v>844</v>
      </c>
      <c r="K121" s="101" t="s">
        <v>2</v>
      </c>
      <c r="L121" s="101"/>
      <c r="M121" s="101"/>
      <c r="N121" s="11" t="str">
        <f t="shared" si="1"/>
        <v>1</v>
      </c>
      <c r="O121" s="11" t="str">
        <f>INDEX(Кат!$H:$H,MATCH($A121,Кат!$A:$A,0))</f>
        <v>АВТОПРОДУКТ</v>
      </c>
    </row>
    <row r="122" spans="1:15" ht="45">
      <c r="A122" s="100">
        <v>201630</v>
      </c>
      <c r="B122" s="100">
        <v>19589</v>
      </c>
      <c r="C122" s="101" t="s">
        <v>115</v>
      </c>
      <c r="D122" s="101" t="s">
        <v>937</v>
      </c>
      <c r="E122" s="101" t="s">
        <v>612</v>
      </c>
      <c r="F122" s="101" t="s">
        <v>336</v>
      </c>
      <c r="G122" s="101" t="s">
        <v>3</v>
      </c>
      <c r="H122" s="102">
        <v>455</v>
      </c>
      <c r="I122" s="102">
        <v>759</v>
      </c>
      <c r="J122" s="101" t="s">
        <v>767</v>
      </c>
      <c r="K122" s="101" t="s">
        <v>2</v>
      </c>
      <c r="L122" s="101"/>
      <c r="M122" s="101"/>
      <c r="N122" s="11" t="str">
        <f t="shared" si="1"/>
        <v>1</v>
      </c>
      <c r="O122" s="11" t="str">
        <f>INDEX(Кат!$H:$H,MATCH($A122,Кат!$A:$A,0))</f>
        <v>АВТОПРОДУКТ</v>
      </c>
    </row>
    <row r="123" spans="1:15" ht="60">
      <c r="A123" s="100">
        <v>201631</v>
      </c>
      <c r="B123" s="100">
        <v>19536</v>
      </c>
      <c r="C123" s="101" t="s">
        <v>81</v>
      </c>
      <c r="D123" s="101" t="s">
        <v>937</v>
      </c>
      <c r="E123" s="101" t="s">
        <v>613</v>
      </c>
      <c r="F123" s="101" t="s">
        <v>330</v>
      </c>
      <c r="G123" s="101" t="s">
        <v>3</v>
      </c>
      <c r="H123" s="102">
        <v>895</v>
      </c>
      <c r="I123" s="102">
        <v>1290</v>
      </c>
      <c r="J123" s="101" t="s">
        <v>840</v>
      </c>
      <c r="K123" s="101" t="s">
        <v>2</v>
      </c>
      <c r="L123" s="101"/>
      <c r="M123" s="101"/>
      <c r="N123" s="11" t="str">
        <f t="shared" si="1"/>
        <v>1</v>
      </c>
      <c r="O123" s="11" t="str">
        <f>INDEX(Кат!$H:$H,MATCH($A123,Кат!$A:$A,0))</f>
        <v>АВТОПРОДУКТ</v>
      </c>
    </row>
    <row r="124" spans="1:15" ht="60">
      <c r="A124" s="100">
        <v>201632</v>
      </c>
      <c r="B124" s="100">
        <v>19538</v>
      </c>
      <c r="C124" s="101" t="s">
        <v>83</v>
      </c>
      <c r="D124" s="101" t="s">
        <v>937</v>
      </c>
      <c r="E124" s="101" t="s">
        <v>614</v>
      </c>
      <c r="F124" s="101" t="s">
        <v>332</v>
      </c>
      <c r="G124" s="101" t="s">
        <v>3</v>
      </c>
      <c r="H124" s="102">
        <v>960</v>
      </c>
      <c r="I124" s="102">
        <v>1390</v>
      </c>
      <c r="J124" s="101" t="s">
        <v>838</v>
      </c>
      <c r="K124" s="101" t="s">
        <v>2</v>
      </c>
      <c r="L124" s="101"/>
      <c r="M124" s="101"/>
      <c r="N124" s="11" t="str">
        <f t="shared" si="1"/>
        <v>1</v>
      </c>
      <c r="O124" s="11" t="str">
        <f>INDEX(Кат!$H:$H,MATCH($A124,Кат!$A:$A,0))</f>
        <v>АВТОПРОДУКТ</v>
      </c>
    </row>
    <row r="125" spans="1:15" ht="60">
      <c r="A125" s="100">
        <v>201633</v>
      </c>
      <c r="B125" s="100">
        <v>19537</v>
      </c>
      <c r="C125" s="101" t="s">
        <v>82</v>
      </c>
      <c r="D125" s="101" t="s">
        <v>937</v>
      </c>
      <c r="E125" s="101" t="s">
        <v>615</v>
      </c>
      <c r="F125" s="101" t="s">
        <v>331</v>
      </c>
      <c r="G125" s="101" t="s">
        <v>3</v>
      </c>
      <c r="H125" s="102">
        <v>960</v>
      </c>
      <c r="I125" s="102">
        <v>1390</v>
      </c>
      <c r="J125" s="101" t="s">
        <v>864</v>
      </c>
      <c r="K125" s="101" t="s">
        <v>2</v>
      </c>
      <c r="L125" s="101"/>
      <c r="M125" s="101"/>
      <c r="N125" s="11" t="str">
        <f t="shared" si="1"/>
        <v>1</v>
      </c>
      <c r="O125" s="11" t="str">
        <f>INDEX(Кат!$H:$H,MATCH($A125,Кат!$A:$A,0))</f>
        <v>АВТОПРОДУКТ</v>
      </c>
    </row>
    <row r="126" spans="1:15" ht="45">
      <c r="A126" s="100">
        <v>201634</v>
      </c>
      <c r="B126" s="100">
        <v>31891</v>
      </c>
      <c r="C126" s="101" t="s">
        <v>209</v>
      </c>
      <c r="D126" s="101" t="s">
        <v>937</v>
      </c>
      <c r="E126" s="101" t="s">
        <v>337</v>
      </c>
      <c r="F126" s="101" t="s">
        <v>337</v>
      </c>
      <c r="G126" s="101" t="s">
        <v>3</v>
      </c>
      <c r="H126" s="102">
        <v>1205</v>
      </c>
      <c r="I126" s="102">
        <v>1690</v>
      </c>
      <c r="J126" s="101" t="s">
        <v>772</v>
      </c>
      <c r="K126" s="101" t="s">
        <v>2</v>
      </c>
      <c r="L126" s="101"/>
      <c r="M126" s="101"/>
      <c r="N126" s="11" t="str">
        <f t="shared" si="1"/>
        <v>1</v>
      </c>
      <c r="O126" s="11" t="str">
        <f>INDEX(Кат!$H:$H,MATCH($A126,Кат!$A:$A,0))</f>
        <v>АВТОПРОДУКТ</v>
      </c>
    </row>
    <row r="127" spans="1:15" ht="75">
      <c r="A127" s="100">
        <v>201661</v>
      </c>
      <c r="B127" s="100">
        <v>18974</v>
      </c>
      <c r="C127" s="101" t="s">
        <v>64</v>
      </c>
      <c r="D127" s="101" t="s">
        <v>937</v>
      </c>
      <c r="E127" s="101" t="s">
        <v>616</v>
      </c>
      <c r="F127" s="101" t="s">
        <v>335</v>
      </c>
      <c r="G127" s="101" t="s">
        <v>3</v>
      </c>
      <c r="H127" s="102">
        <v>5390</v>
      </c>
      <c r="I127" s="102">
        <v>7290</v>
      </c>
      <c r="J127" s="101" t="s">
        <v>778</v>
      </c>
      <c r="K127" s="101" t="s">
        <v>2</v>
      </c>
      <c r="L127" s="101"/>
      <c r="M127" s="101"/>
      <c r="N127" s="11" t="str">
        <f t="shared" si="1"/>
        <v>1</v>
      </c>
      <c r="O127" s="11" t="str">
        <f>INDEX(Кат!$H:$H,MATCH($A127,Кат!$A:$A,0))</f>
        <v>АВТОПРОДУКТ</v>
      </c>
    </row>
    <row r="128" spans="1:15" ht="75">
      <c r="A128" s="100">
        <v>201662</v>
      </c>
      <c r="B128" s="100">
        <v>2396</v>
      </c>
      <c r="C128" s="101" t="s">
        <v>6</v>
      </c>
      <c r="D128" s="101" t="s">
        <v>937</v>
      </c>
      <c r="E128" s="101" t="s">
        <v>617</v>
      </c>
      <c r="F128" s="101" t="s">
        <v>329</v>
      </c>
      <c r="G128" s="101" t="s">
        <v>3</v>
      </c>
      <c r="H128" s="102">
        <v>770</v>
      </c>
      <c r="I128" s="102">
        <v>1190</v>
      </c>
      <c r="J128" s="101" t="s">
        <v>857</v>
      </c>
      <c r="K128" s="101" t="s">
        <v>2</v>
      </c>
      <c r="L128" s="101"/>
      <c r="M128" s="101"/>
      <c r="N128" s="11" t="str">
        <f t="shared" si="1"/>
        <v>1</v>
      </c>
      <c r="O128" s="11" t="str">
        <f>INDEX(Кат!$H:$H,MATCH($A128,Кат!$A:$A,0))</f>
        <v>АВТОПРОДУКТ</v>
      </c>
    </row>
    <row r="129" spans="1:15" ht="75">
      <c r="A129" s="100">
        <v>201733</v>
      </c>
      <c r="B129" s="100">
        <v>31797</v>
      </c>
      <c r="C129" s="101" t="s">
        <v>366</v>
      </c>
      <c r="D129" s="101" t="s">
        <v>937</v>
      </c>
      <c r="E129" s="101" t="s">
        <v>327</v>
      </c>
      <c r="F129" s="101" t="s">
        <v>327</v>
      </c>
      <c r="G129" s="101" t="s">
        <v>3</v>
      </c>
      <c r="H129" s="102">
        <v>510</v>
      </c>
      <c r="I129" s="102">
        <v>849</v>
      </c>
      <c r="J129" s="101" t="s">
        <v>846</v>
      </c>
      <c r="K129" s="101" t="s">
        <v>2</v>
      </c>
      <c r="L129" s="101"/>
      <c r="M129" s="101"/>
      <c r="N129" s="11" t="str">
        <f t="shared" si="1"/>
        <v>1</v>
      </c>
      <c r="O129" s="11" t="str">
        <f>INDEX(Кат!$H:$H,MATCH($A129,Кат!$A:$A,0))</f>
        <v>АВТОПРОДУКТ</v>
      </c>
    </row>
    <row r="130" spans="1:15" ht="60">
      <c r="A130" s="100">
        <v>201736</v>
      </c>
      <c r="B130" s="100">
        <v>18973</v>
      </c>
      <c r="C130" s="101" t="s">
        <v>126</v>
      </c>
      <c r="D130" s="101" t="s">
        <v>937</v>
      </c>
      <c r="E130" s="101" t="s">
        <v>618</v>
      </c>
      <c r="F130" s="101" t="s">
        <v>334</v>
      </c>
      <c r="G130" s="101" t="s">
        <v>3</v>
      </c>
      <c r="H130" s="102">
        <v>550</v>
      </c>
      <c r="I130" s="102">
        <v>929</v>
      </c>
      <c r="J130" s="101" t="s">
        <v>849</v>
      </c>
      <c r="K130" s="101" t="s">
        <v>2</v>
      </c>
      <c r="L130" s="101"/>
      <c r="M130" s="101"/>
      <c r="N130" s="11" t="str">
        <f t="shared" si="1"/>
        <v>1</v>
      </c>
      <c r="O130" s="11" t="str">
        <f>INDEX(Кат!$H:$H,MATCH($A130,Кат!$A:$A,0))</f>
        <v>АВТОПРОДУКТ</v>
      </c>
    </row>
    <row r="131" spans="1:15" ht="30">
      <c r="A131" s="100">
        <v>201857</v>
      </c>
      <c r="B131" s="100">
        <v>16463</v>
      </c>
      <c r="C131" s="101" t="s">
        <v>60</v>
      </c>
      <c r="D131" s="101" t="s">
        <v>937</v>
      </c>
      <c r="E131" s="101" t="s">
        <v>619</v>
      </c>
      <c r="F131" s="101" t="s">
        <v>523</v>
      </c>
      <c r="G131" s="101" t="s">
        <v>3</v>
      </c>
      <c r="H131" s="102">
        <v>2900</v>
      </c>
      <c r="I131" s="102">
        <v>3590</v>
      </c>
      <c r="J131" s="101"/>
      <c r="K131" s="101" t="s">
        <v>938</v>
      </c>
      <c r="L131" s="101"/>
      <c r="M131" s="101"/>
      <c r="N131" s="11" t="str">
        <f t="shared" ref="N131:N194" si="2">_xlfn.CONCAT(K131,IF(L131&lt;&gt;"",_xlfn.CONCAT("ск",L131),""))</f>
        <v>0</v>
      </c>
      <c r="O131" s="11" t="str">
        <f>INDEX(Кат!$H:$H,MATCH($A131,Кат!$A:$A,0))</f>
        <v>АВТОПРОДУКТ</v>
      </c>
    </row>
    <row r="132" spans="1:15" ht="30">
      <c r="A132" s="100">
        <v>201877</v>
      </c>
      <c r="B132" s="100">
        <v>19588</v>
      </c>
      <c r="C132" s="101" t="s">
        <v>114</v>
      </c>
      <c r="D132" s="101" t="s">
        <v>937</v>
      </c>
      <c r="E132" s="101" t="s">
        <v>620</v>
      </c>
      <c r="F132" s="101" t="s">
        <v>526</v>
      </c>
      <c r="G132" s="101" t="s">
        <v>3</v>
      </c>
      <c r="H132" s="102">
        <v>4050</v>
      </c>
      <c r="I132" s="102">
        <v>5690</v>
      </c>
      <c r="J132" s="101"/>
      <c r="K132" s="101" t="s">
        <v>938</v>
      </c>
      <c r="L132" s="101"/>
      <c r="M132" s="101"/>
      <c r="N132" s="11" t="str">
        <f t="shared" si="2"/>
        <v>0</v>
      </c>
      <c r="O132" s="11" t="str">
        <f>INDEX(Кат!$H:$H,MATCH($A132,Кат!$A:$A,0))</f>
        <v>АВТОПРОДУКТ</v>
      </c>
    </row>
    <row r="133" spans="1:15" ht="30">
      <c r="A133" s="100">
        <v>201941</v>
      </c>
      <c r="B133" s="100">
        <v>16443</v>
      </c>
      <c r="C133" s="101" t="s">
        <v>59</v>
      </c>
      <c r="D133" s="101" t="s">
        <v>937</v>
      </c>
      <c r="E133" s="101" t="s">
        <v>621</v>
      </c>
      <c r="F133" s="101" t="s">
        <v>525</v>
      </c>
      <c r="G133" s="101" t="s">
        <v>3</v>
      </c>
      <c r="H133" s="102">
        <v>3890</v>
      </c>
      <c r="I133" s="102">
        <v>4790</v>
      </c>
      <c r="J133" s="101"/>
      <c r="K133" s="101" t="s">
        <v>938</v>
      </c>
      <c r="L133" s="101"/>
      <c r="M133" s="101"/>
      <c r="N133" s="11" t="str">
        <f t="shared" si="2"/>
        <v>0</v>
      </c>
      <c r="O133" s="11" t="str">
        <f>INDEX(Кат!$H:$H,MATCH($A133,Кат!$A:$A,0))</f>
        <v>АВТОПРОДУКТ</v>
      </c>
    </row>
    <row r="134" spans="1:15" ht="60">
      <c r="A134" s="100">
        <v>202734</v>
      </c>
      <c r="B134" s="100">
        <v>22988</v>
      </c>
      <c r="C134" s="101" t="s">
        <v>122</v>
      </c>
      <c r="D134" s="101" t="s">
        <v>937</v>
      </c>
      <c r="E134" s="101" t="s">
        <v>622</v>
      </c>
      <c r="F134" s="101" t="s">
        <v>304</v>
      </c>
      <c r="G134" s="101" t="s">
        <v>3</v>
      </c>
      <c r="H134" s="102">
        <v>2285</v>
      </c>
      <c r="I134" s="102">
        <v>3090</v>
      </c>
      <c r="J134" s="101" t="s">
        <v>827</v>
      </c>
      <c r="K134" s="101" t="s">
        <v>2</v>
      </c>
      <c r="L134" s="101"/>
      <c r="M134" s="101"/>
      <c r="N134" s="11" t="str">
        <f t="shared" si="2"/>
        <v>1</v>
      </c>
      <c r="O134" s="11" t="str">
        <f>INDEX(Кат!$H:$H,MATCH($A134,Кат!$A:$A,0))</f>
        <v>АВТОПРОДУКТ</v>
      </c>
    </row>
    <row r="135" spans="1:15" ht="45">
      <c r="A135" s="100">
        <v>202736</v>
      </c>
      <c r="B135" s="100">
        <v>19395</v>
      </c>
      <c r="C135" s="101" t="s">
        <v>65</v>
      </c>
      <c r="D135" s="101" t="s">
        <v>937</v>
      </c>
      <c r="E135" s="101" t="s">
        <v>311</v>
      </c>
      <c r="F135" s="101" t="s">
        <v>311</v>
      </c>
      <c r="G135" s="101" t="s">
        <v>3</v>
      </c>
      <c r="H135" s="102">
        <v>1235</v>
      </c>
      <c r="I135" s="102">
        <v>1690</v>
      </c>
      <c r="J135" s="101" t="s">
        <v>871</v>
      </c>
      <c r="K135" s="101" t="s">
        <v>2</v>
      </c>
      <c r="L135" s="101"/>
      <c r="M135" s="101"/>
      <c r="N135" s="11" t="str">
        <f t="shared" si="2"/>
        <v>1</v>
      </c>
      <c r="O135" s="11" t="str">
        <f>INDEX(Кат!$H:$H,MATCH($A135,Кат!$A:$A,0))</f>
        <v>АВТОПРОДУКТ</v>
      </c>
    </row>
    <row r="136" spans="1:15" ht="45">
      <c r="A136" s="100">
        <v>202737</v>
      </c>
      <c r="B136" s="100">
        <v>30835</v>
      </c>
      <c r="C136" s="101" t="s">
        <v>124</v>
      </c>
      <c r="D136" s="101" t="s">
        <v>937</v>
      </c>
      <c r="E136" s="101" t="s">
        <v>312</v>
      </c>
      <c r="F136" s="101" t="s">
        <v>312</v>
      </c>
      <c r="G136" s="101" t="s">
        <v>3</v>
      </c>
      <c r="H136" s="102">
        <v>1415</v>
      </c>
      <c r="I136" s="102">
        <v>1890</v>
      </c>
      <c r="J136" s="101" t="s">
        <v>832</v>
      </c>
      <c r="K136" s="101" t="s">
        <v>2</v>
      </c>
      <c r="L136" s="101"/>
      <c r="M136" s="101"/>
      <c r="N136" s="11" t="str">
        <f t="shared" si="2"/>
        <v>1</v>
      </c>
      <c r="O136" s="11" t="str">
        <f>INDEX(Кат!$H:$H,MATCH($A136,Кат!$A:$A,0))</f>
        <v>АВТОПРОДУКТ</v>
      </c>
    </row>
    <row r="137" spans="1:15" ht="45">
      <c r="A137" s="100">
        <v>202742</v>
      </c>
      <c r="B137" s="100">
        <v>2480</v>
      </c>
      <c r="C137" s="101" t="s">
        <v>352</v>
      </c>
      <c r="D137" s="101" t="s">
        <v>937</v>
      </c>
      <c r="E137" s="101" t="s">
        <v>623</v>
      </c>
      <c r="F137" s="101" t="s">
        <v>292</v>
      </c>
      <c r="G137" s="101" t="s">
        <v>3</v>
      </c>
      <c r="H137" s="102">
        <v>1470</v>
      </c>
      <c r="I137" s="102">
        <v>1990</v>
      </c>
      <c r="J137" s="101" t="s">
        <v>873</v>
      </c>
      <c r="K137" s="101" t="s">
        <v>2</v>
      </c>
      <c r="L137" s="101"/>
      <c r="M137" s="101"/>
      <c r="N137" s="11" t="str">
        <f t="shared" si="2"/>
        <v>1</v>
      </c>
      <c r="O137" s="11" t="str">
        <f>INDEX(Кат!$H:$H,MATCH($A137,Кат!$A:$A,0))</f>
        <v>АВТОПРОДУКТ</v>
      </c>
    </row>
    <row r="138" spans="1:15" ht="45">
      <c r="A138" s="100">
        <v>202743</v>
      </c>
      <c r="B138" s="100">
        <v>2485</v>
      </c>
      <c r="C138" s="101" t="s">
        <v>17</v>
      </c>
      <c r="D138" s="101" t="s">
        <v>937</v>
      </c>
      <c r="E138" s="101" t="s">
        <v>624</v>
      </c>
      <c r="F138" s="101" t="s">
        <v>294</v>
      </c>
      <c r="G138" s="101" t="s">
        <v>3</v>
      </c>
      <c r="H138" s="102">
        <v>1505</v>
      </c>
      <c r="I138" s="102">
        <v>1990</v>
      </c>
      <c r="J138" s="101" t="s">
        <v>833</v>
      </c>
      <c r="K138" s="101" t="s">
        <v>2</v>
      </c>
      <c r="L138" s="101" t="s">
        <v>2</v>
      </c>
      <c r="M138" s="101"/>
      <c r="N138" s="11" t="str">
        <f t="shared" si="2"/>
        <v>1ск1</v>
      </c>
      <c r="O138" s="11" t="str">
        <f>INDEX(Кат!$H:$H,MATCH($A138,Кат!$A:$A,0))</f>
        <v>АВТОПРОДУКТ</v>
      </c>
    </row>
    <row r="139" spans="1:15" ht="45">
      <c r="A139" s="100">
        <v>202745</v>
      </c>
      <c r="B139" s="100">
        <v>2447</v>
      </c>
      <c r="C139" s="101" t="s">
        <v>348</v>
      </c>
      <c r="D139" s="101" t="s">
        <v>937</v>
      </c>
      <c r="E139" s="101" t="s">
        <v>625</v>
      </c>
      <c r="F139" s="101" t="s">
        <v>302</v>
      </c>
      <c r="G139" s="101" t="s">
        <v>3</v>
      </c>
      <c r="H139" s="102">
        <v>1080</v>
      </c>
      <c r="I139" s="102">
        <v>1590</v>
      </c>
      <c r="J139" s="101" t="s">
        <v>928</v>
      </c>
      <c r="K139" s="101" t="s">
        <v>2</v>
      </c>
      <c r="L139" s="101" t="s">
        <v>2</v>
      </c>
      <c r="M139" s="101"/>
      <c r="N139" s="11" t="str">
        <f t="shared" si="2"/>
        <v>1ск1</v>
      </c>
      <c r="O139" s="11" t="str">
        <f>INDEX(Кат!$H:$H,MATCH($A139,Кат!$A:$A,0))</f>
        <v>АВТОПРОДУКТ</v>
      </c>
    </row>
    <row r="140" spans="1:15" ht="45">
      <c r="A140" s="100">
        <v>202746</v>
      </c>
      <c r="B140" s="100">
        <v>2461</v>
      </c>
      <c r="C140" s="101" t="s">
        <v>9</v>
      </c>
      <c r="D140" s="101" t="s">
        <v>937</v>
      </c>
      <c r="E140" s="101" t="s">
        <v>626</v>
      </c>
      <c r="F140" s="101" t="s">
        <v>441</v>
      </c>
      <c r="G140" s="101" t="s">
        <v>3</v>
      </c>
      <c r="H140" s="102">
        <v>1235</v>
      </c>
      <c r="I140" s="102">
        <v>1690</v>
      </c>
      <c r="J140" s="101" t="s">
        <v>817</v>
      </c>
      <c r="K140" s="101" t="s">
        <v>2</v>
      </c>
      <c r="L140" s="101"/>
      <c r="M140" s="101"/>
      <c r="N140" s="11" t="str">
        <f t="shared" si="2"/>
        <v>1</v>
      </c>
      <c r="O140" s="11" t="str">
        <f>INDEX(Кат!$H:$H,MATCH($A140,Кат!$A:$A,0))</f>
        <v>АВТОПРОДУКТ</v>
      </c>
    </row>
    <row r="141" spans="1:15" ht="45">
      <c r="A141" s="100">
        <v>202747</v>
      </c>
      <c r="B141" s="100">
        <v>2487</v>
      </c>
      <c r="C141" s="101" t="s">
        <v>18</v>
      </c>
      <c r="D141" s="101" t="s">
        <v>937</v>
      </c>
      <c r="E141" s="101" t="s">
        <v>627</v>
      </c>
      <c r="F141" s="101" t="s">
        <v>306</v>
      </c>
      <c r="G141" s="101" t="s">
        <v>3</v>
      </c>
      <c r="H141" s="102">
        <v>1205</v>
      </c>
      <c r="I141" s="102">
        <v>1690</v>
      </c>
      <c r="J141" s="101" t="s">
        <v>786</v>
      </c>
      <c r="K141" s="101" t="s">
        <v>2</v>
      </c>
      <c r="L141" s="101"/>
      <c r="M141" s="101"/>
      <c r="N141" s="11" t="str">
        <f t="shared" si="2"/>
        <v>1</v>
      </c>
      <c r="O141" s="11" t="str">
        <f>INDEX(Кат!$H:$H,MATCH($A141,Кат!$A:$A,0))</f>
        <v>АВТОПРОДУКТ</v>
      </c>
    </row>
    <row r="142" spans="1:15" ht="45">
      <c r="A142" s="100">
        <v>202748</v>
      </c>
      <c r="B142" s="100">
        <v>2405</v>
      </c>
      <c r="C142" s="101" t="s">
        <v>7</v>
      </c>
      <c r="D142" s="101" t="s">
        <v>937</v>
      </c>
      <c r="E142" s="101" t="s">
        <v>628</v>
      </c>
      <c r="F142" s="101" t="s">
        <v>309</v>
      </c>
      <c r="G142" s="101" t="s">
        <v>3</v>
      </c>
      <c r="H142" s="102">
        <v>1145</v>
      </c>
      <c r="I142" s="102">
        <v>1690</v>
      </c>
      <c r="J142" s="101" t="s">
        <v>868</v>
      </c>
      <c r="K142" s="101" t="s">
        <v>2</v>
      </c>
      <c r="L142" s="101"/>
      <c r="M142" s="101"/>
      <c r="N142" s="11" t="str">
        <f t="shared" si="2"/>
        <v>1</v>
      </c>
      <c r="O142" s="11" t="str">
        <f>INDEX(Кат!$H:$H,MATCH($A142,Кат!$A:$A,0))</f>
        <v>АВТОПРОДУКТ</v>
      </c>
    </row>
    <row r="143" spans="1:15" ht="30">
      <c r="A143" s="100">
        <v>202749</v>
      </c>
      <c r="B143" s="100">
        <v>13835</v>
      </c>
      <c r="C143" s="101" t="s">
        <v>58</v>
      </c>
      <c r="D143" s="101" t="s">
        <v>937</v>
      </c>
      <c r="E143" s="101" t="s">
        <v>629</v>
      </c>
      <c r="F143" s="101" t="s">
        <v>308</v>
      </c>
      <c r="G143" s="101" t="s">
        <v>3</v>
      </c>
      <c r="H143" s="102">
        <v>1585</v>
      </c>
      <c r="I143" s="102">
        <v>2090</v>
      </c>
      <c r="J143" s="101" t="s">
        <v>876</v>
      </c>
      <c r="K143" s="101" t="s">
        <v>2</v>
      </c>
      <c r="L143" s="101"/>
      <c r="M143" s="101"/>
      <c r="N143" s="11" t="str">
        <f t="shared" si="2"/>
        <v>1</v>
      </c>
      <c r="O143" s="11" t="str">
        <f>INDEX(Кат!$H:$H,MATCH($A143,Кат!$A:$A,0))</f>
        <v>АВТОПРОДУКТ</v>
      </c>
    </row>
    <row r="144" spans="1:15" ht="45">
      <c r="A144" s="100">
        <v>202750</v>
      </c>
      <c r="B144" s="100">
        <v>2475</v>
      </c>
      <c r="C144" s="101" t="s">
        <v>350</v>
      </c>
      <c r="D144" s="101" t="s">
        <v>937</v>
      </c>
      <c r="E144" s="101" t="s">
        <v>630</v>
      </c>
      <c r="F144" s="101" t="s">
        <v>296</v>
      </c>
      <c r="G144" s="101" t="s">
        <v>3</v>
      </c>
      <c r="H144" s="102">
        <v>795</v>
      </c>
      <c r="I144" s="102">
        <v>1190</v>
      </c>
      <c r="J144" s="101" t="s">
        <v>787</v>
      </c>
      <c r="K144" s="101" t="s">
        <v>2</v>
      </c>
      <c r="L144" s="101"/>
      <c r="M144" s="101"/>
      <c r="N144" s="11" t="str">
        <f t="shared" si="2"/>
        <v>1</v>
      </c>
      <c r="O144" s="11" t="str">
        <f>INDEX(Кат!$H:$H,MATCH($A144,Кат!$A:$A,0))</f>
        <v>АВТОПРОДУКТ</v>
      </c>
    </row>
    <row r="145" spans="1:15" ht="45">
      <c r="A145" s="100">
        <v>202751</v>
      </c>
      <c r="B145" s="100">
        <v>2434</v>
      </c>
      <c r="C145" s="101" t="s">
        <v>8</v>
      </c>
      <c r="D145" s="101" t="s">
        <v>937</v>
      </c>
      <c r="E145" s="101" t="s">
        <v>631</v>
      </c>
      <c r="F145" s="101" t="s">
        <v>298</v>
      </c>
      <c r="G145" s="101" t="s">
        <v>3</v>
      </c>
      <c r="H145" s="102">
        <v>845</v>
      </c>
      <c r="I145" s="102">
        <v>1290</v>
      </c>
      <c r="J145" s="101" t="s">
        <v>841</v>
      </c>
      <c r="K145" s="101" t="s">
        <v>2</v>
      </c>
      <c r="L145" s="101" t="s">
        <v>2</v>
      </c>
      <c r="M145" s="101"/>
      <c r="N145" s="11" t="str">
        <f t="shared" si="2"/>
        <v>1ск1</v>
      </c>
      <c r="O145" s="11" t="str">
        <f>INDEX(Кат!$H:$H,MATCH($A145,Кат!$A:$A,0))</f>
        <v>АВТОПРОДУКТ</v>
      </c>
    </row>
    <row r="146" spans="1:15" ht="45">
      <c r="A146" s="100">
        <v>202752</v>
      </c>
      <c r="B146" s="100">
        <v>2493</v>
      </c>
      <c r="C146" s="101" t="s">
        <v>20</v>
      </c>
      <c r="D146" s="101" t="s">
        <v>937</v>
      </c>
      <c r="E146" s="101" t="s">
        <v>632</v>
      </c>
      <c r="F146" s="101" t="s">
        <v>300</v>
      </c>
      <c r="G146" s="101" t="s">
        <v>3</v>
      </c>
      <c r="H146" s="102">
        <v>1050</v>
      </c>
      <c r="I146" s="102">
        <v>1490</v>
      </c>
      <c r="J146" s="101" t="s">
        <v>837</v>
      </c>
      <c r="K146" s="101" t="s">
        <v>2</v>
      </c>
      <c r="L146" s="101"/>
      <c r="M146" s="101"/>
      <c r="N146" s="11" t="str">
        <f t="shared" si="2"/>
        <v>1</v>
      </c>
      <c r="O146" s="11" t="str">
        <f>INDEX(Кат!$H:$H,MATCH($A146,Кат!$A:$A,0))</f>
        <v>АВТОПРОДУКТ</v>
      </c>
    </row>
    <row r="147" spans="1:15" ht="45">
      <c r="A147" s="100">
        <v>202753</v>
      </c>
      <c r="B147" s="100">
        <v>2508</v>
      </c>
      <c r="C147" s="101" t="s">
        <v>21</v>
      </c>
      <c r="D147" s="101" t="s">
        <v>937</v>
      </c>
      <c r="E147" s="101" t="s">
        <v>633</v>
      </c>
      <c r="F147" s="101" t="s">
        <v>299</v>
      </c>
      <c r="G147" s="101" t="s">
        <v>3</v>
      </c>
      <c r="H147" s="102">
        <v>695</v>
      </c>
      <c r="I147" s="102">
        <v>989</v>
      </c>
      <c r="J147" s="101" t="s">
        <v>853</v>
      </c>
      <c r="K147" s="101" t="s">
        <v>2</v>
      </c>
      <c r="L147" s="101"/>
      <c r="M147" s="101"/>
      <c r="N147" s="11" t="str">
        <f t="shared" si="2"/>
        <v>1</v>
      </c>
      <c r="O147" s="11" t="str">
        <f>INDEX(Кат!$H:$H,MATCH($A147,Кат!$A:$A,0))</f>
        <v>АВТОПРОДУКТ</v>
      </c>
    </row>
    <row r="148" spans="1:15" ht="45">
      <c r="A148" s="100">
        <v>202754</v>
      </c>
      <c r="B148" s="100">
        <v>2484</v>
      </c>
      <c r="C148" s="101" t="s">
        <v>1095</v>
      </c>
      <c r="D148" s="101" t="s">
        <v>937</v>
      </c>
      <c r="E148" s="101" t="s">
        <v>634</v>
      </c>
      <c r="F148" s="101" t="s">
        <v>297</v>
      </c>
      <c r="G148" s="101" t="s">
        <v>3</v>
      </c>
      <c r="H148" s="102">
        <v>850</v>
      </c>
      <c r="I148" s="102">
        <v>1290</v>
      </c>
      <c r="J148" s="101" t="s">
        <v>861</v>
      </c>
      <c r="K148" s="101" t="s">
        <v>2</v>
      </c>
      <c r="L148" s="101"/>
      <c r="M148" s="101"/>
      <c r="N148" s="11" t="str">
        <f t="shared" si="2"/>
        <v>1</v>
      </c>
      <c r="O148" s="11" t="str">
        <f>INDEX(Кат!$H:$H,MATCH($A148,Кат!$A:$A,0))</f>
        <v>АВТОПРОДУКТ</v>
      </c>
    </row>
    <row r="149" spans="1:15" ht="45">
      <c r="A149" s="100">
        <v>202756</v>
      </c>
      <c r="B149" s="100">
        <v>2472</v>
      </c>
      <c r="C149" s="101" t="s">
        <v>349</v>
      </c>
      <c r="D149" s="101" t="s">
        <v>937</v>
      </c>
      <c r="E149" s="101" t="s">
        <v>635</v>
      </c>
      <c r="F149" s="101" t="s">
        <v>301</v>
      </c>
      <c r="G149" s="101" t="s">
        <v>3</v>
      </c>
      <c r="H149" s="102">
        <v>1440</v>
      </c>
      <c r="I149" s="102">
        <v>1890</v>
      </c>
      <c r="J149" s="101" t="s">
        <v>874</v>
      </c>
      <c r="K149" s="101" t="s">
        <v>2</v>
      </c>
      <c r="L149" s="101"/>
      <c r="M149" s="101"/>
      <c r="N149" s="11" t="str">
        <f t="shared" si="2"/>
        <v>1</v>
      </c>
      <c r="O149" s="11" t="str">
        <f>INDEX(Кат!$H:$H,MATCH($A149,Кат!$A:$A,0))</f>
        <v>АВТОПРОДУКТ</v>
      </c>
    </row>
    <row r="150" spans="1:15" ht="45">
      <c r="A150" s="100">
        <v>202757</v>
      </c>
      <c r="B150" s="100">
        <v>2464</v>
      </c>
      <c r="C150" s="101" t="s">
        <v>12</v>
      </c>
      <c r="D150" s="101" t="s">
        <v>937</v>
      </c>
      <c r="E150" s="101" t="s">
        <v>636</v>
      </c>
      <c r="F150" s="101" t="s">
        <v>303</v>
      </c>
      <c r="G150" s="101" t="s">
        <v>3</v>
      </c>
      <c r="H150" s="102">
        <v>1945</v>
      </c>
      <c r="I150" s="102">
        <v>2690</v>
      </c>
      <c r="J150" s="101" t="s">
        <v>828</v>
      </c>
      <c r="K150" s="101" t="s">
        <v>2</v>
      </c>
      <c r="L150" s="101" t="s">
        <v>2</v>
      </c>
      <c r="M150" s="101"/>
      <c r="N150" s="11" t="str">
        <f t="shared" si="2"/>
        <v>1ск1</v>
      </c>
      <c r="O150" s="11" t="str">
        <f>INDEX(Кат!$H:$H,MATCH($A150,Кат!$A:$A,0))</f>
        <v>АВТОПРОДУКТ</v>
      </c>
    </row>
    <row r="151" spans="1:15" ht="60">
      <c r="A151" s="100">
        <v>202758</v>
      </c>
      <c r="B151" s="100">
        <v>2489</v>
      </c>
      <c r="C151" s="101" t="s">
        <v>19</v>
      </c>
      <c r="D151" s="101" t="s">
        <v>937</v>
      </c>
      <c r="E151" s="101" t="s">
        <v>637</v>
      </c>
      <c r="F151" s="101" t="s">
        <v>307</v>
      </c>
      <c r="G151" s="101" t="s">
        <v>3</v>
      </c>
      <c r="H151" s="102">
        <v>2350</v>
      </c>
      <c r="I151" s="102">
        <v>3190</v>
      </c>
      <c r="J151" s="101" t="s">
        <v>826</v>
      </c>
      <c r="K151" s="101" t="s">
        <v>2</v>
      </c>
      <c r="L151" s="101"/>
      <c r="M151" s="101"/>
      <c r="N151" s="11" t="str">
        <f t="shared" si="2"/>
        <v>1</v>
      </c>
      <c r="O151" s="11" t="str">
        <f>INDEX(Кат!$H:$H,MATCH($A151,Кат!$A:$A,0))</f>
        <v>АВТОПРОДУКТ</v>
      </c>
    </row>
    <row r="152" spans="1:15" ht="60">
      <c r="A152" s="100">
        <v>202759</v>
      </c>
      <c r="B152" s="100">
        <v>19559</v>
      </c>
      <c r="C152" s="101" t="s">
        <v>97</v>
      </c>
      <c r="D152" s="101" t="s">
        <v>937</v>
      </c>
      <c r="E152" s="101" t="s">
        <v>638</v>
      </c>
      <c r="F152" s="101" t="s">
        <v>310</v>
      </c>
      <c r="G152" s="101" t="s">
        <v>3</v>
      </c>
      <c r="H152" s="102">
        <v>2190</v>
      </c>
      <c r="I152" s="102">
        <v>2890</v>
      </c>
      <c r="J152" s="101" t="s">
        <v>894</v>
      </c>
      <c r="K152" s="101" t="s">
        <v>2</v>
      </c>
      <c r="L152" s="101" t="s">
        <v>2</v>
      </c>
      <c r="M152" s="101"/>
      <c r="N152" s="11" t="str">
        <f t="shared" si="2"/>
        <v>1ск1</v>
      </c>
      <c r="O152" s="11" t="str">
        <f>INDEX(Кат!$H:$H,MATCH($A152,Кат!$A:$A,0))</f>
        <v>АВТОПРОДУКТ</v>
      </c>
    </row>
    <row r="153" spans="1:15" ht="30">
      <c r="A153" s="100">
        <v>202760</v>
      </c>
      <c r="B153" s="100">
        <v>19591</v>
      </c>
      <c r="C153" s="101" t="s">
        <v>117</v>
      </c>
      <c r="D153" s="101" t="s">
        <v>937</v>
      </c>
      <c r="E153" s="101" t="s">
        <v>639</v>
      </c>
      <c r="F153" s="101" t="s">
        <v>720</v>
      </c>
      <c r="G153" s="101" t="s">
        <v>3</v>
      </c>
      <c r="H153" s="102">
        <v>2685</v>
      </c>
      <c r="I153" s="102">
        <v>3590</v>
      </c>
      <c r="J153" s="101"/>
      <c r="K153" s="101" t="s">
        <v>938</v>
      </c>
      <c r="L153" s="101"/>
      <c r="M153" s="101"/>
      <c r="N153" s="11" t="str">
        <f t="shared" si="2"/>
        <v>0</v>
      </c>
      <c r="O153" s="11" t="str">
        <f>INDEX(Кат!$H:$H,MATCH($A153,Кат!$A:$A,0))</f>
        <v>АВТОПРОДУКТ</v>
      </c>
    </row>
    <row r="154" spans="1:15" ht="60">
      <c r="A154" s="100">
        <v>202987</v>
      </c>
      <c r="B154" s="100">
        <v>19543</v>
      </c>
      <c r="C154" s="101" t="s">
        <v>87</v>
      </c>
      <c r="D154" s="101" t="s">
        <v>937</v>
      </c>
      <c r="E154" s="101" t="s">
        <v>640</v>
      </c>
      <c r="F154" s="101" t="s">
        <v>325</v>
      </c>
      <c r="G154" s="101" t="s">
        <v>3</v>
      </c>
      <c r="H154" s="102">
        <v>1625</v>
      </c>
      <c r="I154" s="102">
        <v>2790</v>
      </c>
      <c r="J154" s="101" t="s">
        <v>877</v>
      </c>
      <c r="K154" s="101" t="s">
        <v>2</v>
      </c>
      <c r="L154" s="101"/>
      <c r="M154" s="101"/>
      <c r="N154" s="11" t="str">
        <f t="shared" si="2"/>
        <v>1</v>
      </c>
      <c r="O154" s="11" t="str">
        <f>INDEX(Кат!$H:$H,MATCH($A154,Кат!$A:$A,0))</f>
        <v>АВТОПРОДУКТ</v>
      </c>
    </row>
    <row r="155" spans="1:15" ht="45">
      <c r="A155" s="100">
        <v>202988</v>
      </c>
      <c r="B155" s="100">
        <v>2478</v>
      </c>
      <c r="C155" s="101" t="s">
        <v>351</v>
      </c>
      <c r="D155" s="101" t="s">
        <v>937</v>
      </c>
      <c r="E155" s="101" t="s">
        <v>641</v>
      </c>
      <c r="F155" s="101" t="s">
        <v>326</v>
      </c>
      <c r="G155" s="101" t="s">
        <v>3</v>
      </c>
      <c r="H155" s="102">
        <v>1065</v>
      </c>
      <c r="I155" s="102">
        <v>1490</v>
      </c>
      <c r="J155" s="101" t="s">
        <v>867</v>
      </c>
      <c r="K155" s="101" t="s">
        <v>2</v>
      </c>
      <c r="L155" s="101"/>
      <c r="M155" s="101"/>
      <c r="N155" s="11" t="str">
        <f t="shared" si="2"/>
        <v>1</v>
      </c>
      <c r="O155" s="11" t="str">
        <f>INDEX(Кат!$H:$H,MATCH($A155,Кат!$A:$A,0))</f>
        <v>АВТОПРОДУКТ</v>
      </c>
    </row>
    <row r="156" spans="1:15" ht="45">
      <c r="A156" s="100">
        <v>202999</v>
      </c>
      <c r="B156" s="100">
        <v>19556</v>
      </c>
      <c r="C156" s="101" t="s">
        <v>946</v>
      </c>
      <c r="D156" s="101" t="s">
        <v>947</v>
      </c>
      <c r="E156" s="101" t="s">
        <v>642</v>
      </c>
      <c r="F156" s="101" t="s">
        <v>396</v>
      </c>
      <c r="G156" s="101" t="s">
        <v>3</v>
      </c>
      <c r="H156" s="102">
        <v>935</v>
      </c>
      <c r="I156" s="102">
        <v>1290</v>
      </c>
      <c r="J156" s="101"/>
      <c r="K156" s="101" t="s">
        <v>2</v>
      </c>
      <c r="L156" s="101"/>
      <c r="M156" s="101"/>
      <c r="N156" s="11" t="str">
        <f t="shared" si="2"/>
        <v>1</v>
      </c>
      <c r="O156" s="11" t="str">
        <f>INDEX(Кат!$H:$H,MATCH($A156,Кат!$A:$A,0))</f>
        <v>АВТОПРОДУКТ</v>
      </c>
    </row>
    <row r="157" spans="1:15" ht="45">
      <c r="A157" s="100">
        <v>203072</v>
      </c>
      <c r="B157" s="100">
        <v>19555</v>
      </c>
      <c r="C157" s="101" t="s">
        <v>95</v>
      </c>
      <c r="D157" s="101" t="s">
        <v>937</v>
      </c>
      <c r="E157" s="101" t="s">
        <v>643</v>
      </c>
      <c r="F157" s="101" t="s">
        <v>305</v>
      </c>
      <c r="G157" s="101" t="s">
        <v>3</v>
      </c>
      <c r="H157" s="102">
        <v>1580</v>
      </c>
      <c r="I157" s="102">
        <v>2090</v>
      </c>
      <c r="J157" s="101" t="s">
        <v>834</v>
      </c>
      <c r="K157" s="101" t="s">
        <v>2</v>
      </c>
      <c r="L157" s="101"/>
      <c r="M157" s="101"/>
      <c r="N157" s="11" t="str">
        <f t="shared" si="2"/>
        <v>1</v>
      </c>
      <c r="O157" s="11" t="str">
        <f>INDEX(Кат!$H:$H,MATCH($A157,Кат!$A:$A,0))</f>
        <v>АВТОПРОДУКТ</v>
      </c>
    </row>
    <row r="158" spans="1:15" ht="45">
      <c r="A158" s="100">
        <v>203075</v>
      </c>
      <c r="B158" s="100">
        <v>3642</v>
      </c>
      <c r="C158" s="101" t="s">
        <v>357</v>
      </c>
      <c r="D158" s="101" t="s">
        <v>937</v>
      </c>
      <c r="E158" s="101" t="s">
        <v>644</v>
      </c>
      <c r="F158" s="101" t="s">
        <v>255</v>
      </c>
      <c r="G158" s="101" t="s">
        <v>3</v>
      </c>
      <c r="H158" s="102">
        <v>770</v>
      </c>
      <c r="I158" s="102">
        <v>1190</v>
      </c>
      <c r="J158" s="101" t="s">
        <v>788</v>
      </c>
      <c r="K158" s="101" t="s">
        <v>2</v>
      </c>
      <c r="L158" s="101"/>
      <c r="M158" s="101"/>
      <c r="N158" s="11" t="str">
        <f t="shared" si="2"/>
        <v>1</v>
      </c>
      <c r="O158" s="11" t="str">
        <f>INDEX(Кат!$H:$H,MATCH($A158,Кат!$A:$A,0))</f>
        <v>АВТОПРОДУКТ</v>
      </c>
    </row>
    <row r="159" spans="1:15" ht="45">
      <c r="A159" s="100">
        <v>203105</v>
      </c>
      <c r="B159" s="100">
        <v>35100</v>
      </c>
      <c r="C159" s="101" t="s">
        <v>415</v>
      </c>
      <c r="D159" s="101" t="s">
        <v>937</v>
      </c>
      <c r="E159" s="101" t="s">
        <v>408</v>
      </c>
      <c r="F159" s="101" t="s">
        <v>408</v>
      </c>
      <c r="G159" s="101" t="s">
        <v>3</v>
      </c>
      <c r="H159" s="102">
        <v>3490</v>
      </c>
      <c r="I159" s="102">
        <v>4490</v>
      </c>
      <c r="J159" s="101"/>
      <c r="K159" s="101" t="s">
        <v>2</v>
      </c>
      <c r="L159" s="101"/>
      <c r="M159" s="101"/>
      <c r="N159" s="11" t="str">
        <f t="shared" si="2"/>
        <v>1</v>
      </c>
      <c r="O159" s="11" t="str">
        <f>INDEX(Кат!$H:$H,MATCH($A159,Кат!$A:$A,0))</f>
        <v>АВТОПРОДУКТ</v>
      </c>
    </row>
    <row r="160" spans="1:15" ht="60">
      <c r="A160" s="100">
        <v>203970</v>
      </c>
      <c r="B160" s="100">
        <v>31792</v>
      </c>
      <c r="C160" s="101" t="s">
        <v>201</v>
      </c>
      <c r="D160" s="101" t="s">
        <v>937</v>
      </c>
      <c r="E160" s="101" t="s">
        <v>262</v>
      </c>
      <c r="F160" s="101" t="s">
        <v>262</v>
      </c>
      <c r="G160" s="101" t="s">
        <v>3</v>
      </c>
      <c r="H160" s="102">
        <v>1965</v>
      </c>
      <c r="I160" s="102">
        <v>2790</v>
      </c>
      <c r="J160" s="101" t="s">
        <v>773</v>
      </c>
      <c r="K160" s="101" t="s">
        <v>2</v>
      </c>
      <c r="L160" s="101"/>
      <c r="M160" s="101"/>
      <c r="N160" s="11" t="str">
        <f t="shared" si="2"/>
        <v>1</v>
      </c>
      <c r="O160" s="11" t="str">
        <f>INDEX(Кат!$H:$H,MATCH($A160,Кат!$A:$A,0))</f>
        <v>АВТОПРОДУКТ</v>
      </c>
    </row>
    <row r="161" spans="1:15" ht="45">
      <c r="A161" s="100">
        <v>204316</v>
      </c>
      <c r="B161" s="100">
        <v>38214</v>
      </c>
      <c r="C161" s="101" t="s">
        <v>474</v>
      </c>
      <c r="D161" s="101" t="s">
        <v>937</v>
      </c>
      <c r="E161" s="101" t="s">
        <v>645</v>
      </c>
      <c r="F161" s="101" t="s">
        <v>368</v>
      </c>
      <c r="G161" s="101" t="s">
        <v>3</v>
      </c>
      <c r="H161" s="102">
        <v>155</v>
      </c>
      <c r="I161" s="102">
        <v>339</v>
      </c>
      <c r="J161" s="101" t="s">
        <v>813</v>
      </c>
      <c r="K161" s="101" t="s">
        <v>2</v>
      </c>
      <c r="L161" s="101"/>
      <c r="M161" s="101"/>
      <c r="N161" s="11" t="str">
        <f t="shared" si="2"/>
        <v>1</v>
      </c>
      <c r="O161" s="11" t="str">
        <f>INDEX(Кат!$H:$H,MATCH($A161,Кат!$A:$A,0))</f>
        <v>АВТОПРОДУКТ</v>
      </c>
    </row>
    <row r="162" spans="1:15" ht="75">
      <c r="A162" s="100">
        <v>204518</v>
      </c>
      <c r="B162" s="100">
        <v>31869</v>
      </c>
      <c r="C162" s="101" t="s">
        <v>207</v>
      </c>
      <c r="D162" s="101" t="s">
        <v>937</v>
      </c>
      <c r="E162" s="101" t="s">
        <v>341</v>
      </c>
      <c r="F162" s="101" t="s">
        <v>341</v>
      </c>
      <c r="G162" s="101" t="s">
        <v>3</v>
      </c>
      <c r="H162" s="102">
        <v>1050</v>
      </c>
      <c r="I162" s="102">
        <v>1490</v>
      </c>
      <c r="J162" s="101" t="s">
        <v>865</v>
      </c>
      <c r="K162" s="101" t="s">
        <v>938</v>
      </c>
      <c r="L162" s="101"/>
      <c r="M162" s="101"/>
      <c r="N162" s="11" t="str">
        <f t="shared" si="2"/>
        <v>0</v>
      </c>
      <c r="O162" s="11" t="str">
        <f>INDEX(Кат!$H:$H,MATCH($A162,Кат!$A:$A,0))</f>
        <v>АВТОПРОДУКТ</v>
      </c>
    </row>
    <row r="163" spans="1:15" ht="45">
      <c r="A163" s="100">
        <v>212985</v>
      </c>
      <c r="B163" s="100">
        <v>34117</v>
      </c>
      <c r="C163" s="101" t="s">
        <v>373</v>
      </c>
      <c r="D163" s="101" t="s">
        <v>937</v>
      </c>
      <c r="E163" s="101" t="s">
        <v>646</v>
      </c>
      <c r="F163" s="101" t="s">
        <v>374</v>
      </c>
      <c r="G163" s="101" t="s">
        <v>3</v>
      </c>
      <c r="H163" s="102">
        <v>9990</v>
      </c>
      <c r="I163" s="102">
        <v>12690</v>
      </c>
      <c r="J163" s="101"/>
      <c r="K163" s="101" t="s">
        <v>2</v>
      </c>
      <c r="L163" s="101"/>
      <c r="M163" s="101"/>
      <c r="N163" s="11" t="str">
        <f t="shared" si="2"/>
        <v>1</v>
      </c>
      <c r="O163" s="11" t="str">
        <f>INDEX(Кат!$H:$H,MATCH($A163,Кат!$A:$A,0))</f>
        <v>АВТОПРОДУКТ</v>
      </c>
    </row>
    <row r="164" spans="1:15" ht="45">
      <c r="A164" s="100">
        <v>212986</v>
      </c>
      <c r="B164" s="100">
        <v>34118</v>
      </c>
      <c r="C164" s="101" t="s">
        <v>372</v>
      </c>
      <c r="D164" s="101" t="s">
        <v>937</v>
      </c>
      <c r="E164" s="101" t="s">
        <v>647</v>
      </c>
      <c r="F164" s="101" t="s">
        <v>324</v>
      </c>
      <c r="G164" s="101" t="s">
        <v>3</v>
      </c>
      <c r="H164" s="102">
        <v>9095</v>
      </c>
      <c r="I164" s="102">
        <v>12590</v>
      </c>
      <c r="J164" s="101"/>
      <c r="K164" s="101" t="s">
        <v>2</v>
      </c>
      <c r="L164" s="101" t="s">
        <v>2</v>
      </c>
      <c r="M164" s="101" t="s">
        <v>937</v>
      </c>
      <c r="N164" s="11" t="str">
        <f t="shared" si="2"/>
        <v>1ск1</v>
      </c>
      <c r="O164" s="11" t="str">
        <f>INDEX(Кат!$H:$H,MATCH($A164,Кат!$A:$A,0))</f>
        <v>АВТОПРОДУКТ</v>
      </c>
    </row>
    <row r="165" spans="1:15" ht="45">
      <c r="A165" s="100">
        <v>212987</v>
      </c>
      <c r="B165" s="100">
        <v>31867</v>
      </c>
      <c r="C165" s="101" t="s">
        <v>206</v>
      </c>
      <c r="D165" s="101" t="s">
        <v>937</v>
      </c>
      <c r="E165" s="101" t="s">
        <v>322</v>
      </c>
      <c r="F165" s="101" t="s">
        <v>322</v>
      </c>
      <c r="G165" s="101" t="s">
        <v>3</v>
      </c>
      <c r="H165" s="102">
        <v>14110</v>
      </c>
      <c r="I165" s="102">
        <v>18290</v>
      </c>
      <c r="J165" s="101" t="s">
        <v>802</v>
      </c>
      <c r="K165" s="101" t="s">
        <v>2</v>
      </c>
      <c r="L165" s="101"/>
      <c r="M165" s="101"/>
      <c r="N165" s="11" t="str">
        <f t="shared" si="2"/>
        <v>1</v>
      </c>
      <c r="O165" s="11" t="str">
        <f>INDEX(Кат!$H:$H,MATCH($A165,Кат!$A:$A,0))</f>
        <v>АВТОПРОДУКТ</v>
      </c>
    </row>
    <row r="166" spans="1:15" ht="45">
      <c r="A166" s="100">
        <v>212988</v>
      </c>
      <c r="B166" s="100">
        <v>3714</v>
      </c>
      <c r="C166" s="101" t="s">
        <v>363</v>
      </c>
      <c r="D166" s="101" t="s">
        <v>937</v>
      </c>
      <c r="E166" s="101" t="s">
        <v>648</v>
      </c>
      <c r="F166" s="101" t="s">
        <v>320</v>
      </c>
      <c r="G166" s="101" t="s">
        <v>3</v>
      </c>
      <c r="H166" s="102">
        <v>14855</v>
      </c>
      <c r="I166" s="102">
        <v>19390</v>
      </c>
      <c r="J166" s="101" t="s">
        <v>804</v>
      </c>
      <c r="K166" s="101" t="s">
        <v>2</v>
      </c>
      <c r="L166" s="101"/>
      <c r="M166" s="101"/>
      <c r="N166" s="11" t="str">
        <f t="shared" si="2"/>
        <v>1</v>
      </c>
      <c r="O166" s="11" t="str">
        <f>INDEX(Кат!$H:$H,MATCH($A166,Кат!$A:$A,0))</f>
        <v>АВТОПРОДУКТ</v>
      </c>
    </row>
    <row r="167" spans="1:15" ht="45">
      <c r="A167" s="100">
        <v>212989</v>
      </c>
      <c r="B167" s="100">
        <v>3713</v>
      </c>
      <c r="C167" s="101" t="s">
        <v>362</v>
      </c>
      <c r="D167" s="101" t="s">
        <v>937</v>
      </c>
      <c r="E167" s="101" t="s">
        <v>649</v>
      </c>
      <c r="F167" s="101" t="s">
        <v>718</v>
      </c>
      <c r="G167" s="101" t="s">
        <v>3</v>
      </c>
      <c r="H167" s="102">
        <v>16100</v>
      </c>
      <c r="I167" s="102">
        <v>19490</v>
      </c>
      <c r="J167" s="101"/>
      <c r="K167" s="101" t="s">
        <v>938</v>
      </c>
      <c r="L167" s="101"/>
      <c r="M167" s="101"/>
      <c r="N167" s="11" t="str">
        <f t="shared" si="2"/>
        <v>0</v>
      </c>
      <c r="O167" s="11" t="str">
        <f>INDEX(Кат!$H:$H,MATCH($A167,Кат!$A:$A,0))</f>
        <v>АВТОПРОДУКТ</v>
      </c>
    </row>
    <row r="168" spans="1:15" ht="60">
      <c r="A168" s="100">
        <v>212990</v>
      </c>
      <c r="B168" s="100">
        <v>3712</v>
      </c>
      <c r="C168" s="101" t="s">
        <v>361</v>
      </c>
      <c r="D168" s="101" t="s">
        <v>937</v>
      </c>
      <c r="E168" s="101" t="s">
        <v>650</v>
      </c>
      <c r="F168" s="101" t="s">
        <v>719</v>
      </c>
      <c r="G168" s="101" t="s">
        <v>3</v>
      </c>
      <c r="H168" s="102">
        <v>15300</v>
      </c>
      <c r="I168" s="102">
        <v>18590</v>
      </c>
      <c r="J168" s="101"/>
      <c r="K168" s="101" t="s">
        <v>938</v>
      </c>
      <c r="L168" s="101"/>
      <c r="M168" s="101"/>
      <c r="N168" s="11" t="str">
        <f t="shared" si="2"/>
        <v>0</v>
      </c>
      <c r="O168" s="11" t="str">
        <f>INDEX(Кат!$H:$H,MATCH($A168,Кат!$A:$A,0))</f>
        <v>АВТОПРОДУКТ</v>
      </c>
    </row>
    <row r="169" spans="1:15" ht="45">
      <c r="A169" s="100">
        <v>212991</v>
      </c>
      <c r="B169" s="100">
        <v>3715</v>
      </c>
      <c r="C169" s="101" t="s">
        <v>364</v>
      </c>
      <c r="D169" s="101" t="s">
        <v>937</v>
      </c>
      <c r="E169" s="101" t="s">
        <v>651</v>
      </c>
      <c r="F169" s="101" t="s">
        <v>321</v>
      </c>
      <c r="G169" s="101" t="s">
        <v>3</v>
      </c>
      <c r="H169" s="102">
        <v>15315</v>
      </c>
      <c r="I169" s="102">
        <v>19990</v>
      </c>
      <c r="J169" s="101" t="s">
        <v>805</v>
      </c>
      <c r="K169" s="101" t="s">
        <v>2</v>
      </c>
      <c r="L169" s="101"/>
      <c r="M169" s="101"/>
      <c r="N169" s="11" t="str">
        <f t="shared" si="2"/>
        <v>1</v>
      </c>
      <c r="O169" s="11" t="str">
        <f>INDEX(Кат!$H:$H,MATCH($A169,Кат!$A:$A,0))</f>
        <v>АВТОПРОДУКТ</v>
      </c>
    </row>
    <row r="170" spans="1:15" ht="45">
      <c r="A170" s="100">
        <v>212992</v>
      </c>
      <c r="B170" s="100">
        <v>3595</v>
      </c>
      <c r="C170" s="101" t="s">
        <v>44</v>
      </c>
      <c r="D170" s="101" t="s">
        <v>937</v>
      </c>
      <c r="E170" s="101" t="s">
        <v>652</v>
      </c>
      <c r="F170" s="101" t="s">
        <v>323</v>
      </c>
      <c r="G170" s="101" t="s">
        <v>3</v>
      </c>
      <c r="H170" s="102">
        <v>17295</v>
      </c>
      <c r="I170" s="102">
        <v>25990</v>
      </c>
      <c r="J170" s="101" t="s">
        <v>803</v>
      </c>
      <c r="K170" s="101" t="s">
        <v>2</v>
      </c>
      <c r="L170" s="101"/>
      <c r="M170" s="101" t="s">
        <v>937</v>
      </c>
      <c r="N170" s="11" t="str">
        <f t="shared" si="2"/>
        <v>1</v>
      </c>
      <c r="O170" s="11" t="str">
        <f>INDEX(Кат!$H:$H,MATCH($A170,Кат!$A:$A,0))</f>
        <v>АВТОПРОДУКТ</v>
      </c>
    </row>
    <row r="171" spans="1:15" ht="75">
      <c r="A171" s="100">
        <v>213100</v>
      </c>
      <c r="B171" s="100">
        <v>19519</v>
      </c>
      <c r="C171" s="101" t="s">
        <v>68</v>
      </c>
      <c r="D171" s="101" t="s">
        <v>937</v>
      </c>
      <c r="E171" s="101" t="s">
        <v>653</v>
      </c>
      <c r="F171" s="101" t="s">
        <v>260</v>
      </c>
      <c r="G171" s="101" t="s">
        <v>3</v>
      </c>
      <c r="H171" s="102">
        <v>6970</v>
      </c>
      <c r="I171" s="102">
        <v>9590</v>
      </c>
      <c r="J171" s="101" t="s">
        <v>798</v>
      </c>
      <c r="K171" s="101" t="s">
        <v>2</v>
      </c>
      <c r="L171" s="101"/>
      <c r="M171" s="101"/>
      <c r="N171" s="11" t="str">
        <f t="shared" si="2"/>
        <v>1</v>
      </c>
      <c r="O171" s="11" t="str">
        <f>INDEX(Кат!$H:$H,MATCH($A171,Кат!$A:$A,0))</f>
        <v>АВТОПРОДУКТ</v>
      </c>
    </row>
    <row r="172" spans="1:15" ht="30">
      <c r="A172" s="100">
        <v>213106</v>
      </c>
      <c r="B172" s="100">
        <v>41784</v>
      </c>
      <c r="C172" s="101" t="s">
        <v>495</v>
      </c>
      <c r="D172" s="101" t="s">
        <v>937</v>
      </c>
      <c r="E172" s="101" t="s">
        <v>496</v>
      </c>
      <c r="F172" s="101" t="s">
        <v>496</v>
      </c>
      <c r="G172" s="101" t="s">
        <v>3</v>
      </c>
      <c r="H172" s="102">
        <v>10415</v>
      </c>
      <c r="I172" s="102">
        <v>13290</v>
      </c>
      <c r="J172" s="101"/>
      <c r="K172" s="101" t="s">
        <v>2</v>
      </c>
      <c r="L172" s="101"/>
      <c r="M172" s="101" t="s">
        <v>937</v>
      </c>
      <c r="N172" s="11" t="str">
        <f t="shared" si="2"/>
        <v>1</v>
      </c>
      <c r="O172" s="11" t="str">
        <f>INDEX(Кат!$H:$H,MATCH($A172,Кат!$A:$A,0))</f>
        <v>АВТОПРОДУКТ</v>
      </c>
    </row>
    <row r="173" spans="1:15" ht="60">
      <c r="A173" s="100">
        <v>213107</v>
      </c>
      <c r="B173" s="100">
        <v>19532</v>
      </c>
      <c r="C173" s="101" t="s">
        <v>78</v>
      </c>
      <c r="D173" s="101" t="s">
        <v>937</v>
      </c>
      <c r="E173" s="101" t="s">
        <v>654</v>
      </c>
      <c r="F173" s="101" t="s">
        <v>261</v>
      </c>
      <c r="G173" s="101" t="s">
        <v>3</v>
      </c>
      <c r="H173" s="102">
        <v>6970</v>
      </c>
      <c r="I173" s="102">
        <v>9490</v>
      </c>
      <c r="J173" s="101" t="s">
        <v>780</v>
      </c>
      <c r="K173" s="101" t="s">
        <v>2</v>
      </c>
      <c r="L173" s="101"/>
      <c r="M173" s="101" t="s">
        <v>937</v>
      </c>
      <c r="N173" s="11" t="str">
        <f t="shared" si="2"/>
        <v>1</v>
      </c>
      <c r="O173" s="11" t="str">
        <f>INDEX(Кат!$H:$H,MATCH($A173,Кат!$A:$A,0))</f>
        <v>АВТОПРОДУКТ</v>
      </c>
    </row>
    <row r="174" spans="1:15" ht="75">
      <c r="A174" s="100">
        <v>213108</v>
      </c>
      <c r="B174" s="100">
        <v>3007</v>
      </c>
      <c r="C174" s="101" t="s">
        <v>353</v>
      </c>
      <c r="D174" s="101" t="s">
        <v>937</v>
      </c>
      <c r="E174" s="101" t="s">
        <v>655</v>
      </c>
      <c r="F174" s="101" t="s">
        <v>338</v>
      </c>
      <c r="G174" s="101" t="s">
        <v>3</v>
      </c>
      <c r="H174" s="102">
        <v>8325</v>
      </c>
      <c r="I174" s="102">
        <v>10590</v>
      </c>
      <c r="J174" s="101" t="s">
        <v>809</v>
      </c>
      <c r="K174" s="101" t="s">
        <v>2</v>
      </c>
      <c r="L174" s="101"/>
      <c r="M174" s="101"/>
      <c r="N174" s="11" t="str">
        <f t="shared" si="2"/>
        <v>1</v>
      </c>
      <c r="O174" s="11" t="str">
        <f>INDEX(Кат!$H:$H,MATCH($A174,Кат!$A:$A,0))</f>
        <v>АВТОПРОДУКТ</v>
      </c>
    </row>
    <row r="175" spans="1:15" ht="75">
      <c r="A175" s="100">
        <v>213109</v>
      </c>
      <c r="B175" s="100">
        <v>35080</v>
      </c>
      <c r="C175" s="101" t="s">
        <v>411</v>
      </c>
      <c r="D175" s="101" t="s">
        <v>937</v>
      </c>
      <c r="E175" s="101" t="s">
        <v>339</v>
      </c>
      <c r="F175" s="101" t="s">
        <v>339</v>
      </c>
      <c r="G175" s="101" t="s">
        <v>3</v>
      </c>
      <c r="H175" s="102">
        <v>8890</v>
      </c>
      <c r="I175" s="102">
        <v>11690</v>
      </c>
      <c r="J175" s="101" t="s">
        <v>810</v>
      </c>
      <c r="K175" s="101" t="s">
        <v>2</v>
      </c>
      <c r="L175" s="101"/>
      <c r="M175" s="101"/>
      <c r="N175" s="11" t="str">
        <f t="shared" si="2"/>
        <v>1</v>
      </c>
      <c r="O175" s="11" t="str">
        <f>INDEX(Кат!$H:$H,MATCH($A175,Кат!$A:$A,0))</f>
        <v>АВТОПРОДУКТ</v>
      </c>
    </row>
    <row r="176" spans="1:15" ht="75">
      <c r="A176" s="100">
        <v>213110</v>
      </c>
      <c r="B176" s="100">
        <v>19482</v>
      </c>
      <c r="C176" s="101" t="s">
        <v>67</v>
      </c>
      <c r="D176" s="101" t="s">
        <v>937</v>
      </c>
      <c r="E176" s="101" t="s">
        <v>656</v>
      </c>
      <c r="F176" s="101" t="s">
        <v>340</v>
      </c>
      <c r="G176" s="101" t="s">
        <v>3</v>
      </c>
      <c r="H176" s="102">
        <v>8425</v>
      </c>
      <c r="I176" s="102">
        <v>14290</v>
      </c>
      <c r="J176" s="101" t="s">
        <v>808</v>
      </c>
      <c r="K176" s="101" t="s">
        <v>2</v>
      </c>
      <c r="L176" s="101"/>
      <c r="M176" s="101"/>
      <c r="N176" s="11" t="str">
        <f t="shared" si="2"/>
        <v>1</v>
      </c>
      <c r="O176" s="11" t="str">
        <f>INDEX(Кат!$H:$H,MATCH($A176,Кат!$A:$A,0))</f>
        <v>АВТОПРОДУКТ</v>
      </c>
    </row>
    <row r="177" spans="1:15" ht="60">
      <c r="A177" s="100">
        <v>213164</v>
      </c>
      <c r="B177" s="100">
        <v>3687</v>
      </c>
      <c r="C177" s="101" t="s">
        <v>359</v>
      </c>
      <c r="D177" s="101" t="s">
        <v>937</v>
      </c>
      <c r="E177" s="101" t="s">
        <v>657</v>
      </c>
      <c r="F177" s="101" t="s">
        <v>259</v>
      </c>
      <c r="G177" s="101" t="s">
        <v>3</v>
      </c>
      <c r="H177" s="102">
        <v>1310</v>
      </c>
      <c r="I177" s="102">
        <v>1790</v>
      </c>
      <c r="J177" s="101" t="s">
        <v>836</v>
      </c>
      <c r="K177" s="101" t="s">
        <v>2</v>
      </c>
      <c r="L177" s="101"/>
      <c r="M177" s="101"/>
      <c r="N177" s="11" t="str">
        <f t="shared" si="2"/>
        <v>1</v>
      </c>
      <c r="O177" s="11" t="str">
        <f>INDEX(Кат!$H:$H,MATCH($A177,Кат!$A:$A,0))</f>
        <v>АВТОПРОДУКТ</v>
      </c>
    </row>
    <row r="178" spans="1:15" ht="45">
      <c r="A178" s="100">
        <v>217321</v>
      </c>
      <c r="B178" s="100">
        <v>38218</v>
      </c>
      <c r="C178" s="101" t="s">
        <v>473</v>
      </c>
      <c r="D178" s="101" t="s">
        <v>937</v>
      </c>
      <c r="E178" s="101" t="s">
        <v>435</v>
      </c>
      <c r="F178" s="101" t="s">
        <v>435</v>
      </c>
      <c r="G178" s="101" t="s">
        <v>3</v>
      </c>
      <c r="H178" s="102">
        <v>2390</v>
      </c>
      <c r="I178" s="102">
        <v>3190</v>
      </c>
      <c r="J178" s="101" t="s">
        <v>814</v>
      </c>
      <c r="K178" s="101" t="s">
        <v>2</v>
      </c>
      <c r="L178" s="101"/>
      <c r="M178" s="101"/>
      <c r="N178" s="11" t="str">
        <f t="shared" si="2"/>
        <v>1</v>
      </c>
      <c r="O178" s="11" t="str">
        <f>INDEX(Кат!$H:$H,MATCH($A178,Кат!$A:$A,0))</f>
        <v>АВТОПРОДУКТ</v>
      </c>
    </row>
    <row r="179" spans="1:15" ht="45">
      <c r="A179" s="100">
        <v>217322</v>
      </c>
      <c r="B179" s="100">
        <v>38222</v>
      </c>
      <c r="C179" s="101" t="s">
        <v>470</v>
      </c>
      <c r="D179" s="101" t="s">
        <v>937</v>
      </c>
      <c r="E179" s="101" t="s">
        <v>457</v>
      </c>
      <c r="F179" s="101" t="s">
        <v>457</v>
      </c>
      <c r="G179" s="101" t="s">
        <v>3</v>
      </c>
      <c r="H179" s="102">
        <v>2640</v>
      </c>
      <c r="I179" s="102">
        <v>3490</v>
      </c>
      <c r="J179" s="101" t="s">
        <v>815</v>
      </c>
      <c r="K179" s="101" t="s">
        <v>2</v>
      </c>
      <c r="L179" s="101" t="s">
        <v>2</v>
      </c>
      <c r="M179" s="101"/>
      <c r="N179" s="11" t="str">
        <f t="shared" si="2"/>
        <v>1ск1</v>
      </c>
      <c r="O179" s="11" t="str">
        <f>INDEX(Кат!$H:$H,MATCH($A179,Кат!$A:$A,0))</f>
        <v>АВТОПРОДУКТ</v>
      </c>
    </row>
    <row r="180" spans="1:15" ht="60">
      <c r="A180" s="100">
        <v>217323</v>
      </c>
      <c r="B180" s="100">
        <v>38219</v>
      </c>
      <c r="C180" s="101" t="s">
        <v>472</v>
      </c>
      <c r="D180" s="101" t="s">
        <v>937</v>
      </c>
      <c r="E180" s="101" t="s">
        <v>434</v>
      </c>
      <c r="F180" s="101" t="s">
        <v>434</v>
      </c>
      <c r="G180" s="101" t="s">
        <v>3</v>
      </c>
      <c r="H180" s="102">
        <v>2655</v>
      </c>
      <c r="I180" s="102">
        <v>3490</v>
      </c>
      <c r="J180" s="101"/>
      <c r="K180" s="101" t="s">
        <v>2</v>
      </c>
      <c r="L180" s="101"/>
      <c r="M180" s="101" t="s">
        <v>937</v>
      </c>
      <c r="N180" s="11" t="str">
        <f t="shared" si="2"/>
        <v>1</v>
      </c>
      <c r="O180" s="11" t="str">
        <f>INDEX(Кат!$H:$H,MATCH($A180,Кат!$A:$A,0))</f>
        <v>АВТОПРОДУКТ</v>
      </c>
    </row>
    <row r="181" spans="1:15" ht="60">
      <c r="A181" s="100">
        <v>217324</v>
      </c>
      <c r="B181" s="100">
        <v>38223</v>
      </c>
      <c r="C181" s="101" t="s">
        <v>469</v>
      </c>
      <c r="D181" s="101" t="s">
        <v>937</v>
      </c>
      <c r="E181" s="101" t="s">
        <v>458</v>
      </c>
      <c r="F181" s="101" t="s">
        <v>458</v>
      </c>
      <c r="G181" s="101" t="s">
        <v>3</v>
      </c>
      <c r="H181" s="102">
        <v>2415</v>
      </c>
      <c r="I181" s="102">
        <v>3190</v>
      </c>
      <c r="J181" s="101"/>
      <c r="K181" s="101" t="s">
        <v>2</v>
      </c>
      <c r="L181" s="101"/>
      <c r="M181" s="101"/>
      <c r="N181" s="11" t="str">
        <f t="shared" si="2"/>
        <v>1</v>
      </c>
      <c r="O181" s="11" t="str">
        <f>INDEX(Кат!$H:$H,MATCH($A181,Кат!$A:$A,0))</f>
        <v>АВТОПРОДУКТ</v>
      </c>
    </row>
    <row r="182" spans="1:15" ht="45">
      <c r="A182" s="100">
        <v>217325</v>
      </c>
      <c r="B182" s="100">
        <v>38224</v>
      </c>
      <c r="C182" s="101" t="s">
        <v>468</v>
      </c>
      <c r="D182" s="101" t="s">
        <v>937</v>
      </c>
      <c r="E182" s="101" t="s">
        <v>459</v>
      </c>
      <c r="F182" s="101" t="s">
        <v>459</v>
      </c>
      <c r="G182" s="101" t="s">
        <v>3</v>
      </c>
      <c r="H182" s="102">
        <v>2260</v>
      </c>
      <c r="I182" s="102">
        <v>3190</v>
      </c>
      <c r="J182" s="101" t="s">
        <v>904</v>
      </c>
      <c r="K182" s="101" t="s">
        <v>2</v>
      </c>
      <c r="L182" s="101"/>
      <c r="M182" s="101"/>
      <c r="N182" s="11" t="str">
        <f t="shared" si="2"/>
        <v>1</v>
      </c>
      <c r="O182" s="11" t="str">
        <f>INDEX(Кат!$H:$H,MATCH($A182,Кат!$A:$A,0))</f>
        <v>АВТОПРОДУКТ</v>
      </c>
    </row>
    <row r="183" spans="1:15" ht="75">
      <c r="A183" s="100">
        <v>217326</v>
      </c>
      <c r="B183" s="100">
        <v>57961</v>
      </c>
      <c r="C183" s="101" t="s">
        <v>695</v>
      </c>
      <c r="D183" s="101" t="s">
        <v>937</v>
      </c>
      <c r="E183" s="101" t="s">
        <v>491</v>
      </c>
      <c r="F183" s="101" t="s">
        <v>491</v>
      </c>
      <c r="G183" s="101" t="s">
        <v>3</v>
      </c>
      <c r="H183" s="102">
        <v>2500</v>
      </c>
      <c r="I183" s="102">
        <v>3390</v>
      </c>
      <c r="J183" s="101" t="s">
        <v>812</v>
      </c>
      <c r="K183" s="101" t="s">
        <v>2</v>
      </c>
      <c r="L183" s="101"/>
      <c r="M183" s="101"/>
      <c r="N183" s="11" t="str">
        <f t="shared" si="2"/>
        <v>1</v>
      </c>
      <c r="O183" s="11" t="str">
        <f>INDEX(Кат!$H:$H,MATCH($A183,Кат!$A:$A,0))</f>
        <v>АВТОПРОДУКТ</v>
      </c>
    </row>
    <row r="184" spans="1:15" ht="45">
      <c r="A184" s="100">
        <v>217354</v>
      </c>
      <c r="B184" s="100">
        <v>19577</v>
      </c>
      <c r="C184" s="101" t="s">
        <v>107</v>
      </c>
      <c r="D184" s="101" t="s">
        <v>937</v>
      </c>
      <c r="E184" s="101" t="s">
        <v>658</v>
      </c>
      <c r="F184" s="101" t="s">
        <v>524</v>
      </c>
      <c r="G184" s="101" t="s">
        <v>3</v>
      </c>
      <c r="H184" s="102">
        <v>0</v>
      </c>
      <c r="I184" s="102">
        <v>2490</v>
      </c>
      <c r="J184" s="101"/>
      <c r="K184" s="101" t="s">
        <v>938</v>
      </c>
      <c r="L184" s="101"/>
      <c r="M184" s="101"/>
      <c r="N184" s="11" t="str">
        <f t="shared" si="2"/>
        <v>0</v>
      </c>
      <c r="O184" s="11" t="str">
        <f>INDEX(Кат!$H:$H,MATCH($A184,Кат!$A:$A,0))</f>
        <v>АВТОПРОДУКТ</v>
      </c>
    </row>
    <row r="185" spans="1:15" ht="45">
      <c r="A185" s="100">
        <v>217355</v>
      </c>
      <c r="B185" s="100">
        <v>19576</v>
      </c>
      <c r="C185" s="101" t="s">
        <v>106</v>
      </c>
      <c r="D185" s="101" t="s">
        <v>937</v>
      </c>
      <c r="E185" s="101" t="s">
        <v>659</v>
      </c>
      <c r="F185" s="101" t="s">
        <v>343</v>
      </c>
      <c r="G185" s="101" t="s">
        <v>3</v>
      </c>
      <c r="H185" s="102">
        <v>1640</v>
      </c>
      <c r="I185" s="102">
        <v>2290</v>
      </c>
      <c r="J185" s="101" t="s">
        <v>880</v>
      </c>
      <c r="K185" s="101" t="s">
        <v>2</v>
      </c>
      <c r="L185" s="101"/>
      <c r="M185" s="101"/>
      <c r="N185" s="11" t="str">
        <f t="shared" si="2"/>
        <v>1</v>
      </c>
      <c r="O185" s="11" t="str">
        <f>INDEX(Кат!$H:$H,MATCH($A185,Кат!$A:$A,0))</f>
        <v>АВТОПРОДУКТ</v>
      </c>
    </row>
    <row r="186" spans="1:15" ht="45">
      <c r="A186" s="100">
        <v>217358</v>
      </c>
      <c r="B186" s="100">
        <v>19578</v>
      </c>
      <c r="C186" s="101" t="s">
        <v>108</v>
      </c>
      <c r="D186" s="101" t="s">
        <v>937</v>
      </c>
      <c r="E186" s="101" t="s">
        <v>660</v>
      </c>
      <c r="F186" s="101" t="s">
        <v>344</v>
      </c>
      <c r="G186" s="101" t="s">
        <v>3</v>
      </c>
      <c r="H186" s="102">
        <v>1990</v>
      </c>
      <c r="I186" s="102">
        <v>2590</v>
      </c>
      <c r="J186" s="101"/>
      <c r="K186" s="101" t="s">
        <v>938</v>
      </c>
      <c r="L186" s="101"/>
      <c r="M186" s="101"/>
      <c r="N186" s="11" t="str">
        <f t="shared" si="2"/>
        <v>0</v>
      </c>
      <c r="O186" s="11" t="str">
        <f>INDEX(Кат!$H:$H,MATCH($A186,Кат!$A:$A,0))</f>
        <v>АВТОПРОДУКТ</v>
      </c>
    </row>
    <row r="187" spans="1:15" ht="45">
      <c r="A187" s="100">
        <v>217364</v>
      </c>
      <c r="B187" s="100">
        <v>3676</v>
      </c>
      <c r="C187" s="101" t="s">
        <v>1046</v>
      </c>
      <c r="D187" s="101" t="s">
        <v>937</v>
      </c>
      <c r="E187" s="101" t="s">
        <v>661</v>
      </c>
      <c r="F187" s="101" t="s">
        <v>342</v>
      </c>
      <c r="G187" s="101" t="s">
        <v>3</v>
      </c>
      <c r="H187" s="102">
        <v>1640</v>
      </c>
      <c r="I187" s="102">
        <v>2290</v>
      </c>
      <c r="J187" s="101" t="s">
        <v>881</v>
      </c>
      <c r="K187" s="101" t="s">
        <v>2</v>
      </c>
      <c r="L187" s="101" t="s">
        <v>2</v>
      </c>
      <c r="M187" s="101"/>
      <c r="N187" s="11" t="str">
        <f t="shared" si="2"/>
        <v>1ск1</v>
      </c>
      <c r="O187" s="11" t="str">
        <f>INDEX(Кат!$H:$H,MATCH($A187,Кат!$A:$A,0))</f>
        <v>АВТОПРОДУКТ</v>
      </c>
    </row>
    <row r="188" spans="1:15" ht="60">
      <c r="A188" s="100">
        <v>217372</v>
      </c>
      <c r="B188" s="100">
        <v>31862</v>
      </c>
      <c r="C188" s="101" t="s">
        <v>1096</v>
      </c>
      <c r="D188" s="101" t="s">
        <v>937</v>
      </c>
      <c r="E188" s="101" t="s">
        <v>246</v>
      </c>
      <c r="F188" s="101" t="s">
        <v>246</v>
      </c>
      <c r="G188" s="101" t="s">
        <v>3</v>
      </c>
      <c r="H188" s="102">
        <v>1605</v>
      </c>
      <c r="I188" s="102">
        <v>2290</v>
      </c>
      <c r="J188" s="101" t="s">
        <v>875</v>
      </c>
      <c r="K188" s="101" t="s">
        <v>2</v>
      </c>
      <c r="L188" s="101"/>
      <c r="M188" s="101"/>
      <c r="N188" s="11" t="str">
        <f t="shared" si="2"/>
        <v>1</v>
      </c>
      <c r="O188" s="11" t="str">
        <f>INDEX(Кат!$H:$H,MATCH($A188,Кат!$A:$A,0))</f>
        <v>АВТОПРОДУКТ</v>
      </c>
    </row>
    <row r="189" spans="1:15" ht="60">
      <c r="A189" s="100">
        <v>222888</v>
      </c>
      <c r="B189" s="100">
        <v>19596</v>
      </c>
      <c r="C189" s="101" t="s">
        <v>120</v>
      </c>
      <c r="D189" s="101" t="s">
        <v>937</v>
      </c>
      <c r="E189" s="101" t="s">
        <v>662</v>
      </c>
      <c r="F189" s="101" t="s">
        <v>723</v>
      </c>
      <c r="G189" s="101" t="s">
        <v>3</v>
      </c>
      <c r="H189" s="102">
        <v>6430</v>
      </c>
      <c r="I189" s="102">
        <v>7790</v>
      </c>
      <c r="J189" s="101"/>
      <c r="K189" s="101" t="s">
        <v>938</v>
      </c>
      <c r="L189" s="101"/>
      <c r="M189" s="101"/>
      <c r="N189" s="11" t="str">
        <f t="shared" si="2"/>
        <v>0</v>
      </c>
      <c r="O189" s="11" t="str">
        <f>INDEX(Кат!$H:$H,MATCH($A189,Кат!$A:$A,0))</f>
        <v>АВТОПРОДУКТ</v>
      </c>
    </row>
    <row r="190" spans="1:15" ht="60">
      <c r="A190" s="100">
        <v>222889</v>
      </c>
      <c r="B190" s="100">
        <v>19579</v>
      </c>
      <c r="C190" s="101" t="s">
        <v>109</v>
      </c>
      <c r="D190" s="101" t="s">
        <v>937</v>
      </c>
      <c r="E190" s="101" t="s">
        <v>663</v>
      </c>
      <c r="F190" s="101" t="s">
        <v>319</v>
      </c>
      <c r="G190" s="101" t="s">
        <v>3</v>
      </c>
      <c r="H190" s="102">
        <v>4305</v>
      </c>
      <c r="I190" s="102">
        <v>7790</v>
      </c>
      <c r="J190" s="101" t="s">
        <v>790</v>
      </c>
      <c r="K190" s="101" t="s">
        <v>2</v>
      </c>
      <c r="L190" s="101"/>
      <c r="M190" s="101"/>
      <c r="N190" s="11" t="str">
        <f t="shared" si="2"/>
        <v>1</v>
      </c>
      <c r="O190" s="11" t="str">
        <f>INDEX(Кат!$H:$H,MATCH($A190,Кат!$A:$A,0))</f>
        <v>АВТОПРОДУКТ</v>
      </c>
    </row>
    <row r="191" spans="1:15" ht="45">
      <c r="A191" s="100">
        <v>222924</v>
      </c>
      <c r="B191" s="100">
        <v>3759</v>
      </c>
      <c r="C191" s="101" t="s">
        <v>449</v>
      </c>
      <c r="D191" s="101" t="s">
        <v>937</v>
      </c>
      <c r="E191" s="101" t="s">
        <v>664</v>
      </c>
      <c r="F191" s="101" t="s">
        <v>315</v>
      </c>
      <c r="G191" s="101" t="s">
        <v>3</v>
      </c>
      <c r="H191" s="102">
        <v>725</v>
      </c>
      <c r="I191" s="102">
        <v>1090</v>
      </c>
      <c r="J191" s="101" t="s">
        <v>854</v>
      </c>
      <c r="K191" s="101" t="s">
        <v>2</v>
      </c>
      <c r="L191" s="101"/>
      <c r="M191" s="101"/>
      <c r="N191" s="11" t="str">
        <f t="shared" si="2"/>
        <v>1</v>
      </c>
      <c r="O191" s="11" t="str">
        <f>INDEX(Кат!$H:$H,MATCH($A191,Кат!$A:$A,0))</f>
        <v>АВТОПРОДУКТ</v>
      </c>
    </row>
    <row r="192" spans="1:15" ht="45">
      <c r="A192" s="100">
        <v>222925</v>
      </c>
      <c r="B192" s="100">
        <v>19520</v>
      </c>
      <c r="C192" s="101" t="s">
        <v>69</v>
      </c>
      <c r="D192" s="101" t="s">
        <v>937</v>
      </c>
      <c r="E192" s="101" t="s">
        <v>665</v>
      </c>
      <c r="F192" s="101" t="s">
        <v>316</v>
      </c>
      <c r="G192" s="101" t="s">
        <v>3</v>
      </c>
      <c r="H192" s="102">
        <v>845</v>
      </c>
      <c r="I192" s="102">
        <v>1290</v>
      </c>
      <c r="J192" s="101" t="s">
        <v>860</v>
      </c>
      <c r="K192" s="101" t="s">
        <v>2</v>
      </c>
      <c r="L192" s="101"/>
      <c r="M192" s="101"/>
      <c r="N192" s="11" t="str">
        <f t="shared" si="2"/>
        <v>1</v>
      </c>
      <c r="O192" s="11" t="str">
        <f>INDEX(Кат!$H:$H,MATCH($A192,Кат!$A:$A,0))</f>
        <v>АВТОПРОДУКТ</v>
      </c>
    </row>
    <row r="193" spans="1:15" ht="60">
      <c r="A193" s="100">
        <v>223309</v>
      </c>
      <c r="B193" s="100">
        <v>19594</v>
      </c>
      <c r="C193" s="101" t="s">
        <v>1097</v>
      </c>
      <c r="D193" s="101" t="s">
        <v>937</v>
      </c>
      <c r="E193" s="101" t="s">
        <v>1098</v>
      </c>
      <c r="F193" s="101" t="s">
        <v>229</v>
      </c>
      <c r="G193" s="101" t="s">
        <v>3</v>
      </c>
      <c r="H193" s="102">
        <v>465</v>
      </c>
      <c r="I193" s="102">
        <v>779</v>
      </c>
      <c r="J193" s="101" t="s">
        <v>768</v>
      </c>
      <c r="K193" s="101" t="s">
        <v>2</v>
      </c>
      <c r="L193" s="101"/>
      <c r="M193" s="101"/>
      <c r="N193" s="11" t="str">
        <f t="shared" si="2"/>
        <v>1</v>
      </c>
      <c r="O193" s="11" t="str">
        <f>INDEX(Кат!$H:$H,MATCH($A193,Кат!$A:$A,0))</f>
        <v>АВТОПРОДУКТ</v>
      </c>
    </row>
    <row r="194" spans="1:15" ht="30">
      <c r="A194" s="100">
        <v>223322</v>
      </c>
      <c r="B194" s="100">
        <v>19590</v>
      </c>
      <c r="C194" s="101" t="s">
        <v>116</v>
      </c>
      <c r="D194" s="101" t="s">
        <v>937</v>
      </c>
      <c r="E194" s="101" t="s">
        <v>666</v>
      </c>
      <c r="F194" s="101" t="s">
        <v>527</v>
      </c>
      <c r="G194" s="101" t="s">
        <v>3</v>
      </c>
      <c r="H194" s="102">
        <v>1575</v>
      </c>
      <c r="I194" s="102">
        <v>2390</v>
      </c>
      <c r="J194" s="101"/>
      <c r="K194" s="101" t="s">
        <v>938</v>
      </c>
      <c r="L194" s="101"/>
      <c r="M194" s="101"/>
      <c r="N194" s="11" t="str">
        <f t="shared" si="2"/>
        <v>0</v>
      </c>
      <c r="O194" s="11" t="str">
        <f>INDEX(Кат!$H:$H,MATCH($A194,Кат!$A:$A,0))</f>
        <v>АВТОПРОДУКТ</v>
      </c>
    </row>
    <row r="195" spans="1:15" ht="60">
      <c r="A195" s="100">
        <v>223469</v>
      </c>
      <c r="B195" s="100">
        <v>31886</v>
      </c>
      <c r="C195" s="101" t="s">
        <v>465</v>
      </c>
      <c r="D195" s="101" t="s">
        <v>937</v>
      </c>
      <c r="E195" s="101" t="s">
        <v>248</v>
      </c>
      <c r="F195" s="101" t="s">
        <v>248</v>
      </c>
      <c r="G195" s="101" t="s">
        <v>3</v>
      </c>
      <c r="H195" s="102">
        <v>1750</v>
      </c>
      <c r="I195" s="102">
        <v>2490</v>
      </c>
      <c r="J195" s="101" t="s">
        <v>831</v>
      </c>
      <c r="K195" s="101" t="s">
        <v>2</v>
      </c>
      <c r="L195" s="101"/>
      <c r="M195" s="101"/>
      <c r="N195" s="11" t="str">
        <f t="shared" ref="N195:N209" si="3">_xlfn.CONCAT(K195,IF(L195&lt;&gt;"",_xlfn.CONCAT("ск",L195),""))</f>
        <v>1</v>
      </c>
      <c r="O195" s="11" t="str">
        <f>INDEX(Кат!$H:$H,MATCH($A195,Кат!$A:$A,0))</f>
        <v>АВТОПРОДУКТ</v>
      </c>
    </row>
    <row r="196" spans="1:15" ht="45">
      <c r="A196" s="100">
        <v>223499</v>
      </c>
      <c r="B196" s="100">
        <v>31877</v>
      </c>
      <c r="C196" s="101" t="s">
        <v>208</v>
      </c>
      <c r="D196" s="101" t="s">
        <v>937</v>
      </c>
      <c r="E196" s="101" t="s">
        <v>228</v>
      </c>
      <c r="F196" s="101" t="s">
        <v>228</v>
      </c>
      <c r="G196" s="101" t="s">
        <v>3</v>
      </c>
      <c r="H196" s="102">
        <v>1610</v>
      </c>
      <c r="I196" s="102">
        <v>2290</v>
      </c>
      <c r="J196" s="101" t="s">
        <v>775</v>
      </c>
      <c r="K196" s="101" t="s">
        <v>2</v>
      </c>
      <c r="L196" s="101"/>
      <c r="M196" s="101"/>
      <c r="N196" s="11" t="str">
        <f t="shared" si="3"/>
        <v>1</v>
      </c>
      <c r="O196" s="11" t="str">
        <f>INDEX(Кат!$H:$H,MATCH($A196,Кат!$A:$A,0))</f>
        <v>АВТОПРОДУКТ</v>
      </c>
    </row>
    <row r="197" spans="1:15" ht="45">
      <c r="A197" s="100">
        <v>223539</v>
      </c>
      <c r="B197" s="100">
        <v>2463</v>
      </c>
      <c r="C197" s="101" t="s">
        <v>11</v>
      </c>
      <c r="D197" s="101" t="s">
        <v>937</v>
      </c>
      <c r="E197" s="101" t="s">
        <v>667</v>
      </c>
      <c r="F197" s="101" t="s">
        <v>233</v>
      </c>
      <c r="G197" s="101" t="s">
        <v>3</v>
      </c>
      <c r="H197" s="102">
        <v>605</v>
      </c>
      <c r="I197" s="102">
        <v>989</v>
      </c>
      <c r="J197" s="101" t="s">
        <v>845</v>
      </c>
      <c r="K197" s="101" t="s">
        <v>2</v>
      </c>
      <c r="L197" s="101"/>
      <c r="M197" s="101"/>
      <c r="N197" s="11" t="str">
        <f t="shared" si="3"/>
        <v>1</v>
      </c>
      <c r="O197" s="11" t="str">
        <f>INDEX(Кат!$H:$H,MATCH($A197,Кат!$A:$A,0))</f>
        <v>АВТОПРОДУКТ</v>
      </c>
    </row>
    <row r="198" spans="1:15" ht="45">
      <c r="A198" s="100">
        <v>223540</v>
      </c>
      <c r="B198" s="100">
        <v>2465</v>
      </c>
      <c r="C198" s="101" t="s">
        <v>13</v>
      </c>
      <c r="D198" s="101" t="s">
        <v>937</v>
      </c>
      <c r="E198" s="101" t="s">
        <v>668</v>
      </c>
      <c r="F198" s="101" t="s">
        <v>235</v>
      </c>
      <c r="G198" s="101" t="s">
        <v>3</v>
      </c>
      <c r="H198" s="102">
        <v>615</v>
      </c>
      <c r="I198" s="102">
        <v>989</v>
      </c>
      <c r="J198" s="101" t="s">
        <v>851</v>
      </c>
      <c r="K198" s="101" t="s">
        <v>2</v>
      </c>
      <c r="L198" s="101"/>
      <c r="M198" s="101"/>
      <c r="N198" s="11" t="str">
        <f t="shared" si="3"/>
        <v>1</v>
      </c>
      <c r="O198" s="11" t="str">
        <f>INDEX(Кат!$H:$H,MATCH($A198,Кат!$A:$A,0))</f>
        <v>АВТОПРОДУКТ</v>
      </c>
    </row>
    <row r="199" spans="1:15" ht="45">
      <c r="A199" s="100">
        <v>223541</v>
      </c>
      <c r="B199" s="100">
        <v>2462</v>
      </c>
      <c r="C199" s="101" t="s">
        <v>10</v>
      </c>
      <c r="D199" s="101" t="s">
        <v>937</v>
      </c>
      <c r="E199" s="101" t="s">
        <v>669</v>
      </c>
      <c r="F199" s="101" t="s">
        <v>237</v>
      </c>
      <c r="G199" s="101" t="s">
        <v>3</v>
      </c>
      <c r="H199" s="102">
        <v>615</v>
      </c>
      <c r="I199" s="102">
        <v>989</v>
      </c>
      <c r="J199" s="101" t="s">
        <v>852</v>
      </c>
      <c r="K199" s="101" t="s">
        <v>2</v>
      </c>
      <c r="L199" s="101"/>
      <c r="M199" s="101"/>
      <c r="N199" s="11" t="str">
        <f t="shared" si="3"/>
        <v>1</v>
      </c>
      <c r="O199" s="11" t="str">
        <f>INDEX(Кат!$H:$H,MATCH($A199,Кат!$A:$A,0))</f>
        <v>АВТОПРОДУКТ</v>
      </c>
    </row>
    <row r="200" spans="1:15" ht="45">
      <c r="A200" s="100">
        <v>223542</v>
      </c>
      <c r="B200" s="100">
        <v>2467</v>
      </c>
      <c r="C200" s="101" t="s">
        <v>15</v>
      </c>
      <c r="D200" s="101" t="s">
        <v>937</v>
      </c>
      <c r="E200" s="101" t="s">
        <v>670</v>
      </c>
      <c r="F200" s="101" t="s">
        <v>234</v>
      </c>
      <c r="G200" s="101" t="s">
        <v>3</v>
      </c>
      <c r="H200" s="102">
        <v>785</v>
      </c>
      <c r="I200" s="102">
        <v>1190</v>
      </c>
      <c r="J200" s="101" t="s">
        <v>842</v>
      </c>
      <c r="K200" s="101" t="s">
        <v>2</v>
      </c>
      <c r="L200" s="101"/>
      <c r="M200" s="101"/>
      <c r="N200" s="11" t="str">
        <f t="shared" si="3"/>
        <v>1</v>
      </c>
      <c r="O200" s="11" t="str">
        <f>INDEX(Кат!$H:$H,MATCH($A200,Кат!$A:$A,0))</f>
        <v>АВТОПРОДУКТ</v>
      </c>
    </row>
    <row r="201" spans="1:15" ht="45">
      <c r="A201" s="100">
        <v>223543</v>
      </c>
      <c r="B201" s="100">
        <v>2468</v>
      </c>
      <c r="C201" s="101" t="s">
        <v>16</v>
      </c>
      <c r="D201" s="101" t="s">
        <v>937</v>
      </c>
      <c r="E201" s="101" t="s">
        <v>671</v>
      </c>
      <c r="F201" s="101" t="s">
        <v>236</v>
      </c>
      <c r="G201" s="101" t="s">
        <v>3</v>
      </c>
      <c r="H201" s="102">
        <v>805</v>
      </c>
      <c r="I201" s="102">
        <v>1190</v>
      </c>
      <c r="J201" s="101" t="s">
        <v>859</v>
      </c>
      <c r="K201" s="101" t="s">
        <v>2</v>
      </c>
      <c r="L201" s="101"/>
      <c r="M201" s="101"/>
      <c r="N201" s="11" t="str">
        <f t="shared" si="3"/>
        <v>1</v>
      </c>
      <c r="O201" s="11" t="str">
        <f>INDEX(Кат!$H:$H,MATCH($A201,Кат!$A:$A,0))</f>
        <v>АВТОПРОДУКТ</v>
      </c>
    </row>
    <row r="202" spans="1:15" ht="45">
      <c r="A202" s="100">
        <v>223544</v>
      </c>
      <c r="B202" s="100">
        <v>2466</v>
      </c>
      <c r="C202" s="101" t="s">
        <v>14</v>
      </c>
      <c r="D202" s="101" t="s">
        <v>937</v>
      </c>
      <c r="E202" s="101" t="s">
        <v>672</v>
      </c>
      <c r="F202" s="101" t="s">
        <v>238</v>
      </c>
      <c r="G202" s="101" t="s">
        <v>3</v>
      </c>
      <c r="H202" s="102">
        <v>805</v>
      </c>
      <c r="I202" s="102">
        <v>1190</v>
      </c>
      <c r="J202" s="101" t="s">
        <v>792</v>
      </c>
      <c r="K202" s="101" t="s">
        <v>2</v>
      </c>
      <c r="L202" s="101" t="s">
        <v>528</v>
      </c>
      <c r="M202" s="101"/>
      <c r="N202" s="11" t="str">
        <f t="shared" si="3"/>
        <v>1ск4</v>
      </c>
      <c r="O202" s="11" t="str">
        <f>INDEX(Кат!$H:$H,MATCH($A202,Кат!$A:$A,0))</f>
        <v>АВТОПРОДУКТ</v>
      </c>
    </row>
    <row r="203" spans="1:15" ht="30">
      <c r="A203" s="100">
        <v>223620</v>
      </c>
      <c r="B203" s="100">
        <v>3716</v>
      </c>
      <c r="C203" s="101" t="s">
        <v>948</v>
      </c>
      <c r="D203" s="101" t="s">
        <v>937</v>
      </c>
      <c r="E203" s="101" t="s">
        <v>291</v>
      </c>
      <c r="F203" s="101" t="s">
        <v>291</v>
      </c>
      <c r="G203" s="101" t="s">
        <v>3</v>
      </c>
      <c r="H203" s="102">
        <v>4410</v>
      </c>
      <c r="I203" s="102">
        <v>5890</v>
      </c>
      <c r="J203" s="101" t="s">
        <v>886</v>
      </c>
      <c r="K203" s="101" t="s">
        <v>2</v>
      </c>
      <c r="L203" s="101"/>
      <c r="M203" s="101"/>
      <c r="N203" s="11" t="str">
        <f t="shared" si="3"/>
        <v>1</v>
      </c>
      <c r="O203" s="11" t="str">
        <f>INDEX(Кат!$H:$H,MATCH($A203,Кат!$A:$A,0))</f>
        <v>АВТОПРОДУКТ</v>
      </c>
    </row>
    <row r="204" spans="1:15" ht="30">
      <c r="A204" s="100">
        <v>223619</v>
      </c>
      <c r="B204" s="100">
        <v>3659</v>
      </c>
      <c r="C204" s="101" t="s">
        <v>949</v>
      </c>
      <c r="D204" s="101" t="s">
        <v>937</v>
      </c>
      <c r="E204" s="101" t="s">
        <v>673</v>
      </c>
      <c r="F204" s="101" t="s">
        <v>293</v>
      </c>
      <c r="G204" s="101" t="s">
        <v>3</v>
      </c>
      <c r="H204" s="102">
        <v>4755</v>
      </c>
      <c r="I204" s="102">
        <v>6390</v>
      </c>
      <c r="J204" s="101" t="s">
        <v>899</v>
      </c>
      <c r="K204" s="101" t="s">
        <v>2</v>
      </c>
      <c r="L204" s="101"/>
      <c r="M204" s="101"/>
      <c r="N204" s="11" t="str">
        <f t="shared" si="3"/>
        <v>1</v>
      </c>
      <c r="O204" s="11" t="str">
        <f>INDEX(Кат!$H:$H,MATCH($A204,Кат!$A:$A,0))</f>
        <v>АВТОПРОДУКТ</v>
      </c>
    </row>
    <row r="205" spans="1:15" ht="30">
      <c r="A205" s="100">
        <v>223621</v>
      </c>
      <c r="B205" s="100">
        <v>3587</v>
      </c>
      <c r="C205" s="101" t="s">
        <v>43</v>
      </c>
      <c r="D205" s="101" t="s">
        <v>937</v>
      </c>
      <c r="E205" s="101" t="s">
        <v>674</v>
      </c>
      <c r="F205" s="101" t="s">
        <v>295</v>
      </c>
      <c r="G205" s="101" t="s">
        <v>3</v>
      </c>
      <c r="H205" s="102">
        <v>4375</v>
      </c>
      <c r="I205" s="102">
        <v>5890</v>
      </c>
      <c r="J205" s="101" t="s">
        <v>776</v>
      </c>
      <c r="K205" s="101" t="s">
        <v>2</v>
      </c>
      <c r="L205" s="101"/>
      <c r="M205" s="101" t="s">
        <v>937</v>
      </c>
      <c r="N205" s="11" t="str">
        <f t="shared" si="3"/>
        <v>1</v>
      </c>
      <c r="O205" s="11" t="str">
        <f>INDEX(Кат!$H:$H,MATCH($A205,Кат!$A:$A,0))</f>
        <v>АВТОПРОДУКТ</v>
      </c>
    </row>
    <row r="206" spans="1:15" ht="30">
      <c r="A206" s="100">
        <v>223672</v>
      </c>
      <c r="B206" s="100">
        <v>3730</v>
      </c>
      <c r="C206" s="101" t="s">
        <v>56</v>
      </c>
      <c r="D206" s="101" t="s">
        <v>937</v>
      </c>
      <c r="E206" s="101" t="s">
        <v>675</v>
      </c>
      <c r="F206" s="101" t="s">
        <v>522</v>
      </c>
      <c r="G206" s="101" t="s">
        <v>3</v>
      </c>
      <c r="H206" s="102">
        <v>1530</v>
      </c>
      <c r="I206" s="102">
        <v>1990</v>
      </c>
      <c r="J206" s="101"/>
      <c r="K206" s="101" t="s">
        <v>938</v>
      </c>
      <c r="L206" s="101"/>
      <c r="M206" s="101"/>
      <c r="N206" s="11" t="str">
        <f t="shared" si="3"/>
        <v>0</v>
      </c>
      <c r="O206" s="11" t="str">
        <f>INDEX(Кат!$H:$H,MATCH($A206,Кат!$A:$A,0))</f>
        <v>АВТОПРОДУКТ</v>
      </c>
    </row>
    <row r="207" spans="1:15" ht="45">
      <c r="A207" s="100">
        <v>223693</v>
      </c>
      <c r="B207" s="100">
        <v>3664</v>
      </c>
      <c r="C207" s="101" t="s">
        <v>950</v>
      </c>
      <c r="D207" s="101" t="s">
        <v>937</v>
      </c>
      <c r="E207" s="101" t="s">
        <v>676</v>
      </c>
      <c r="F207" s="101" t="s">
        <v>313</v>
      </c>
      <c r="G207" s="101" t="s">
        <v>3</v>
      </c>
      <c r="H207" s="102">
        <v>505</v>
      </c>
      <c r="I207" s="102">
        <v>849</v>
      </c>
      <c r="J207" s="101" t="s">
        <v>770</v>
      </c>
      <c r="K207" s="101" t="s">
        <v>2</v>
      </c>
      <c r="L207" s="101"/>
      <c r="M207" s="101"/>
      <c r="N207" s="11" t="str">
        <f t="shared" si="3"/>
        <v>1</v>
      </c>
      <c r="O207" s="11" t="str">
        <f>INDEX(Кат!$H:$H,MATCH($A207,Кат!$A:$A,0))</f>
        <v>АВТОПРОДУКТ</v>
      </c>
    </row>
    <row r="208" spans="1:15" ht="45">
      <c r="A208" s="100">
        <v>223694</v>
      </c>
      <c r="B208" s="100">
        <v>3665</v>
      </c>
      <c r="C208" s="101" t="s">
        <v>951</v>
      </c>
      <c r="D208" s="101" t="s">
        <v>937</v>
      </c>
      <c r="E208" s="101" t="s">
        <v>677</v>
      </c>
      <c r="F208" s="101" t="s">
        <v>314</v>
      </c>
      <c r="G208" s="101" t="s">
        <v>3</v>
      </c>
      <c r="H208" s="102">
        <v>515</v>
      </c>
      <c r="I208" s="102">
        <v>849</v>
      </c>
      <c r="J208" s="101" t="s">
        <v>848</v>
      </c>
      <c r="K208" s="101" t="s">
        <v>2</v>
      </c>
      <c r="L208" s="101"/>
      <c r="M208" s="101"/>
      <c r="N208" s="11" t="str">
        <f t="shared" si="3"/>
        <v>1</v>
      </c>
      <c r="O208" s="11" t="str">
        <f>INDEX(Кат!$H:$H,MATCH($A208,Кат!$A:$A,0))</f>
        <v>АВТОПРОДУКТ</v>
      </c>
    </row>
    <row r="209" spans="1:15" ht="60">
      <c r="A209" s="100">
        <v>225383</v>
      </c>
      <c r="B209" s="100">
        <v>3688</v>
      </c>
      <c r="C209" s="101" t="s">
        <v>360</v>
      </c>
      <c r="D209" s="101" t="s">
        <v>937</v>
      </c>
      <c r="E209" s="101" t="s">
        <v>678</v>
      </c>
      <c r="F209" s="101" t="s">
        <v>258</v>
      </c>
      <c r="G209" s="101" t="s">
        <v>3</v>
      </c>
      <c r="H209" s="102">
        <v>1225</v>
      </c>
      <c r="I209" s="102">
        <v>1690</v>
      </c>
      <c r="J209" s="101" t="s">
        <v>866</v>
      </c>
      <c r="K209" s="101" t="s">
        <v>2</v>
      </c>
      <c r="L209" s="101"/>
      <c r="M209" s="101"/>
      <c r="N209" s="11" t="str">
        <f t="shared" si="3"/>
        <v>1</v>
      </c>
      <c r="O209" s="11" t="str">
        <f>INDEX(Кат!$H:$H,MATCH($A209,Кат!$A:$A,0))</f>
        <v>АВТОПРОДУКТ</v>
      </c>
    </row>
    <row r="210" spans="1:15" ht="30">
      <c r="A210" s="100">
        <v>225418</v>
      </c>
      <c r="B210" s="100">
        <v>3637</v>
      </c>
      <c r="C210" s="101" t="s">
        <v>355</v>
      </c>
      <c r="D210" s="101" t="s">
        <v>937</v>
      </c>
      <c r="E210" s="101" t="s">
        <v>679</v>
      </c>
      <c r="F210" s="101" t="s">
        <v>346</v>
      </c>
      <c r="G210" s="101" t="s">
        <v>3</v>
      </c>
      <c r="H210" s="102">
        <v>465</v>
      </c>
      <c r="I210" s="102">
        <v>779</v>
      </c>
      <c r="J210" s="101" t="s">
        <v>765</v>
      </c>
      <c r="K210" s="101" t="s">
        <v>2</v>
      </c>
      <c r="L210" s="101"/>
      <c r="M210" s="101"/>
      <c r="N210" s="11" t="str">
        <f t="shared" ref="N210:N211" si="4">_xlfn.CONCAT(K210,IF(L210&lt;&gt;"",_xlfn.CONCAT("ск",L210),""))</f>
        <v>1</v>
      </c>
      <c r="O210" s="11" t="str">
        <f>INDEX(Кат!$H:$H,MATCH($A210,Кат!$A:$A,0))</f>
        <v>АВТОПРОДУКТ</v>
      </c>
    </row>
    <row r="211" spans="1:15" ht="45">
      <c r="A211" s="100">
        <v>225419</v>
      </c>
      <c r="B211" s="100">
        <v>19550</v>
      </c>
      <c r="C211" s="101" t="s">
        <v>91</v>
      </c>
      <c r="D211" s="101" t="s">
        <v>937</v>
      </c>
      <c r="E211" s="101" t="s">
        <v>680</v>
      </c>
      <c r="F211" s="101" t="s">
        <v>347</v>
      </c>
      <c r="G211" s="101" t="s">
        <v>3</v>
      </c>
      <c r="H211" s="102">
        <v>455</v>
      </c>
      <c r="I211" s="102">
        <v>759</v>
      </c>
      <c r="J211" s="101" t="s">
        <v>766</v>
      </c>
      <c r="K211" s="101" t="s">
        <v>2</v>
      </c>
      <c r="L211" s="101"/>
      <c r="M211" s="101"/>
      <c r="N211" s="11" t="str">
        <f t="shared" si="4"/>
        <v>1</v>
      </c>
      <c r="O211" s="11" t="str">
        <f>INDEX(Кат!$H:$H,MATCH($A211,Кат!$A:$A,0))</f>
        <v>АВТОПРОДУКТ</v>
      </c>
    </row>
  </sheetData>
  <autoFilter ref="A1:O211" xr:uid="{FF6B58E6-E25A-45BE-B8B6-E61D8AEE5566}"/>
  <pageMargins left="0.75" right="0.75" top="1" bottom="1" header="0.5" footer="0.5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1B7FF-B097-4611-9551-353F3D84E204}">
  <sheetPr codeName="Лист2">
    <tabColor rgb="FF92D050"/>
  </sheetPr>
  <dimension ref="A1:C212"/>
  <sheetViews>
    <sheetView workbookViewId="0">
      <selection activeCell="C1" sqref="C1:C1048576"/>
    </sheetView>
  </sheetViews>
  <sheetFormatPr defaultRowHeight="15"/>
  <cols>
    <col min="1" max="1" width="7.28515625" customWidth="1"/>
    <col min="2" max="2" width="8.42578125" customWidth="1"/>
  </cols>
  <sheetData>
    <row r="1" spans="1:3">
      <c r="B1" s="45"/>
    </row>
    <row r="2" spans="1:3">
      <c r="A2" s="22" t="s">
        <v>0</v>
      </c>
      <c r="B2" s="47" t="s">
        <v>763</v>
      </c>
    </row>
    <row r="3" spans="1:3" ht="15.75" thickBot="1">
      <c r="A3" s="21">
        <v>140685</v>
      </c>
      <c r="B3" s="50">
        <v>469</v>
      </c>
      <c r="C3" t="s">
        <v>968</v>
      </c>
    </row>
    <row r="4" spans="1:3" ht="16.5" thickTop="1" thickBot="1">
      <c r="A4" s="9">
        <v>225418</v>
      </c>
      <c r="B4" s="34">
        <v>749</v>
      </c>
      <c r="C4" t="s">
        <v>765</v>
      </c>
    </row>
    <row r="5" spans="1:3" ht="16.5" thickTop="1" thickBot="1">
      <c r="A5" s="9">
        <v>225419</v>
      </c>
      <c r="B5" s="34">
        <v>729</v>
      </c>
      <c r="C5" t="s">
        <v>766</v>
      </c>
    </row>
    <row r="6" spans="1:3" ht="16.5" thickTop="1" thickBot="1">
      <c r="A6" s="9">
        <v>201630</v>
      </c>
      <c r="B6" s="34">
        <v>790</v>
      </c>
      <c r="C6" t="s">
        <v>767</v>
      </c>
    </row>
    <row r="7" spans="1:3" ht="16.5" thickTop="1" thickBot="1">
      <c r="A7" s="9">
        <v>223309</v>
      </c>
      <c r="B7" s="34">
        <v>629</v>
      </c>
      <c r="C7" t="s">
        <v>768</v>
      </c>
    </row>
    <row r="8" spans="1:3" ht="16.5" thickTop="1" thickBot="1">
      <c r="A8" s="9">
        <v>160774</v>
      </c>
      <c r="B8" s="34">
        <v>790</v>
      </c>
      <c r="C8" t="s">
        <v>769</v>
      </c>
    </row>
    <row r="9" spans="1:3" ht="16.5" thickTop="1" thickBot="1">
      <c r="A9" s="9">
        <v>223693</v>
      </c>
      <c r="B9" s="34">
        <v>869</v>
      </c>
      <c r="C9" t="s">
        <v>770</v>
      </c>
    </row>
    <row r="10" spans="1:3" ht="16.5" thickTop="1" thickBot="1">
      <c r="A10" s="9">
        <v>201733</v>
      </c>
      <c r="B10" s="34">
        <v>790</v>
      </c>
      <c r="C10" t="s">
        <v>846</v>
      </c>
    </row>
    <row r="11" spans="1:3" ht="16.5" thickTop="1" thickBot="1">
      <c r="A11" s="9">
        <v>201628</v>
      </c>
      <c r="B11" s="34">
        <v>790</v>
      </c>
      <c r="C11" t="s">
        <v>847</v>
      </c>
    </row>
    <row r="12" spans="1:3" ht="16.5" thickTop="1" thickBot="1">
      <c r="A12" s="9">
        <v>171132</v>
      </c>
      <c r="B12" s="50" t="s">
        <v>927</v>
      </c>
    </row>
    <row r="13" spans="1:3" ht="16.5" thickTop="1" thickBot="1">
      <c r="A13" s="9">
        <v>223694</v>
      </c>
      <c r="B13" s="34">
        <v>790</v>
      </c>
      <c r="C13" t="s">
        <v>848</v>
      </c>
    </row>
    <row r="14" spans="1:3" ht="16.5" thickTop="1" thickBot="1">
      <c r="A14" s="9">
        <v>181850</v>
      </c>
      <c r="B14" s="34">
        <v>929</v>
      </c>
      <c r="C14" t="s">
        <v>771</v>
      </c>
    </row>
    <row r="15" spans="1:3" ht="16.5" thickTop="1" thickBot="1">
      <c r="A15" s="9">
        <v>201736</v>
      </c>
      <c r="B15" s="34">
        <v>949</v>
      </c>
      <c r="C15" t="s">
        <v>849</v>
      </c>
    </row>
    <row r="16" spans="1:3" ht="16.5" thickTop="1" thickBot="1">
      <c r="A16" s="9">
        <v>181851</v>
      </c>
      <c r="B16" s="34">
        <v>949</v>
      </c>
      <c r="C16" t="s">
        <v>850</v>
      </c>
    </row>
    <row r="17" spans="1:3" ht="16.5" thickTop="1" thickBot="1">
      <c r="A17" s="9">
        <v>223539</v>
      </c>
      <c r="B17" s="34">
        <v>949</v>
      </c>
      <c r="C17" t="s">
        <v>845</v>
      </c>
    </row>
    <row r="18" spans="1:3" ht="16.5" thickTop="1" thickBot="1">
      <c r="A18" s="9">
        <v>223540</v>
      </c>
      <c r="B18" s="34">
        <v>949</v>
      </c>
      <c r="C18" t="s">
        <v>851</v>
      </c>
    </row>
    <row r="19" spans="1:3" ht="16.5" thickTop="1" thickBot="1">
      <c r="A19" s="9">
        <v>223541</v>
      </c>
      <c r="B19" s="34">
        <v>949</v>
      </c>
      <c r="C19" t="s">
        <v>852</v>
      </c>
    </row>
    <row r="20" spans="1:3" ht="16.5" thickTop="1" thickBot="1">
      <c r="A20" s="9">
        <v>201629</v>
      </c>
      <c r="B20" s="34">
        <v>990</v>
      </c>
      <c r="C20" t="s">
        <v>844</v>
      </c>
    </row>
    <row r="21" spans="1:3" ht="16.5" thickTop="1" thickBot="1">
      <c r="A21" s="9">
        <v>202753</v>
      </c>
      <c r="B21" s="34">
        <v>990</v>
      </c>
      <c r="C21" t="s">
        <v>853</v>
      </c>
    </row>
    <row r="22" spans="1:3" ht="16.5" thickTop="1" thickBot="1">
      <c r="A22" s="9">
        <v>222924</v>
      </c>
      <c r="B22" s="34">
        <v>1090</v>
      </c>
      <c r="C22" t="s">
        <v>854</v>
      </c>
    </row>
    <row r="23" spans="1:3" ht="16.5" thickTop="1" thickBot="1">
      <c r="A23" s="9">
        <v>181690</v>
      </c>
      <c r="B23" s="34">
        <v>1290</v>
      </c>
      <c r="C23" t="s">
        <v>843</v>
      </c>
    </row>
    <row r="24" spans="1:3" ht="16.5" thickTop="1" thickBot="1">
      <c r="A24" s="9">
        <v>140766</v>
      </c>
      <c r="B24" s="34">
        <v>1190</v>
      </c>
      <c r="C24" t="s">
        <v>855</v>
      </c>
    </row>
    <row r="25" spans="1:3" ht="16.5" thickTop="1" thickBot="1">
      <c r="A25" s="9">
        <v>140763</v>
      </c>
      <c r="B25" s="34">
        <v>1190</v>
      </c>
      <c r="C25" t="s">
        <v>856</v>
      </c>
    </row>
    <row r="26" spans="1:3" ht="16.5" thickTop="1" thickBot="1">
      <c r="A26" s="9">
        <v>203075</v>
      </c>
      <c r="B26" s="34">
        <v>1190</v>
      </c>
      <c r="C26" t="s">
        <v>788</v>
      </c>
    </row>
    <row r="27" spans="1:3" ht="16.5" thickTop="1" thickBot="1">
      <c r="A27" s="9">
        <v>201662</v>
      </c>
      <c r="B27" s="34">
        <v>1090</v>
      </c>
      <c r="C27" t="s">
        <v>857</v>
      </c>
    </row>
    <row r="28" spans="1:3" ht="16.5" thickTop="1" thickBot="1">
      <c r="A28" s="9">
        <v>140764</v>
      </c>
      <c r="B28" s="34">
        <v>1190</v>
      </c>
      <c r="C28" t="s">
        <v>858</v>
      </c>
    </row>
    <row r="29" spans="1:3" ht="16.5" thickTop="1" thickBot="1">
      <c r="A29" s="9">
        <v>202751</v>
      </c>
      <c r="B29" s="34">
        <v>1090</v>
      </c>
      <c r="C29" t="s">
        <v>841</v>
      </c>
    </row>
    <row r="30" spans="1:3" ht="16.5" thickTop="1" thickBot="1">
      <c r="A30" s="9">
        <v>223542</v>
      </c>
      <c r="B30" s="34">
        <v>1190</v>
      </c>
      <c r="C30" t="s">
        <v>842</v>
      </c>
    </row>
    <row r="31" spans="1:3" ht="16.5" thickTop="1" thickBot="1">
      <c r="A31" s="9">
        <v>223543</v>
      </c>
      <c r="B31" s="34">
        <v>1290</v>
      </c>
      <c r="C31" t="s">
        <v>859</v>
      </c>
    </row>
    <row r="32" spans="1:3" ht="16.5" thickTop="1" thickBot="1">
      <c r="A32" s="9">
        <v>202750</v>
      </c>
      <c r="B32" s="34">
        <v>1190</v>
      </c>
      <c r="C32" t="s">
        <v>787</v>
      </c>
    </row>
    <row r="33" spans="1:3" ht="16.5" thickTop="1" thickBot="1">
      <c r="A33" s="9">
        <v>222925</v>
      </c>
      <c r="B33" s="34">
        <v>1290</v>
      </c>
      <c r="C33" t="s">
        <v>860</v>
      </c>
    </row>
    <row r="34" spans="1:3" ht="16.5" thickTop="1" thickBot="1">
      <c r="A34" s="9">
        <v>223544</v>
      </c>
      <c r="B34" s="34">
        <v>1190</v>
      </c>
      <c r="C34" t="s">
        <v>792</v>
      </c>
    </row>
    <row r="35" spans="1:3" ht="16.5" thickTop="1" thickBot="1">
      <c r="A35" s="9">
        <v>202754</v>
      </c>
      <c r="B35" s="34">
        <v>1190</v>
      </c>
      <c r="C35" t="s">
        <v>861</v>
      </c>
    </row>
    <row r="36" spans="1:3" ht="16.5" thickTop="1" thickBot="1">
      <c r="A36" s="9">
        <v>181701</v>
      </c>
      <c r="B36" s="34">
        <v>1490</v>
      </c>
      <c r="C36" t="s">
        <v>862</v>
      </c>
    </row>
    <row r="37" spans="1:3" ht="16.5" thickTop="1" thickBot="1">
      <c r="A37" s="9">
        <v>201631</v>
      </c>
      <c r="B37" s="34">
        <v>1290</v>
      </c>
      <c r="C37" t="s">
        <v>840</v>
      </c>
    </row>
    <row r="38" spans="1:3" ht="16.5" thickTop="1" thickBot="1">
      <c r="A38" s="9">
        <v>144406</v>
      </c>
      <c r="B38" s="34">
        <v>1590</v>
      </c>
      <c r="C38" t="s">
        <v>863</v>
      </c>
    </row>
    <row r="39" spans="1:3" ht="16.5" thickTop="1" thickBot="1">
      <c r="A39" s="9">
        <v>181703</v>
      </c>
      <c r="B39" s="34">
        <v>1490</v>
      </c>
      <c r="C39" t="s">
        <v>839</v>
      </c>
    </row>
    <row r="40" spans="1:3" ht="16.5" thickTop="1" thickBot="1">
      <c r="A40" s="9">
        <v>201633</v>
      </c>
      <c r="B40" s="34">
        <v>1290</v>
      </c>
      <c r="C40" t="s">
        <v>864</v>
      </c>
    </row>
    <row r="41" spans="1:3" ht="16.5" thickTop="1" thickBot="1">
      <c r="A41" s="9">
        <v>201632</v>
      </c>
      <c r="B41" s="34">
        <v>1390</v>
      </c>
      <c r="C41" t="s">
        <v>838</v>
      </c>
    </row>
    <row r="42" spans="1:3" ht="16.5" thickTop="1" thickBot="1">
      <c r="A42" s="9">
        <v>181704</v>
      </c>
      <c r="B42" s="34">
        <v>1590</v>
      </c>
      <c r="C42" t="s">
        <v>793</v>
      </c>
    </row>
    <row r="43" spans="1:3" ht="16.5" thickTop="1" thickBot="1">
      <c r="A43" s="9">
        <v>225383</v>
      </c>
      <c r="B43" s="34">
        <v>1590</v>
      </c>
      <c r="C43" t="s">
        <v>866</v>
      </c>
    </row>
    <row r="44" spans="1:3" ht="16.5" thickTop="1" thickBot="1">
      <c r="A44" s="9">
        <v>202752</v>
      </c>
      <c r="B44" s="34">
        <v>1490</v>
      </c>
      <c r="C44" t="s">
        <v>837</v>
      </c>
    </row>
    <row r="45" spans="1:3" ht="16.5" thickTop="1" thickBot="1">
      <c r="A45" s="9">
        <v>213164</v>
      </c>
      <c r="B45" s="34">
        <v>1690</v>
      </c>
      <c r="C45" t="s">
        <v>836</v>
      </c>
    </row>
    <row r="46" spans="1:3" ht="16.5" thickTop="1" thickBot="1">
      <c r="A46" s="9">
        <v>202988</v>
      </c>
      <c r="B46" s="34">
        <v>1490</v>
      </c>
      <c r="C46" t="s">
        <v>867</v>
      </c>
    </row>
    <row r="47" spans="1:3" ht="16.5" thickTop="1" thickBot="1">
      <c r="A47" s="9">
        <v>202745</v>
      </c>
      <c r="B47" s="50">
        <v>1590</v>
      </c>
      <c r="C47" t="s">
        <v>928</v>
      </c>
    </row>
    <row r="48" spans="1:3" ht="16.5" thickTop="1" thickBot="1">
      <c r="A48" s="9">
        <v>202748</v>
      </c>
      <c r="B48" s="34">
        <v>1690</v>
      </c>
      <c r="C48" t="s">
        <v>868</v>
      </c>
    </row>
    <row r="49" spans="1:3" ht="16.5" thickTop="1" thickBot="1">
      <c r="A49" s="9">
        <v>202747</v>
      </c>
      <c r="B49" s="34">
        <v>1690</v>
      </c>
      <c r="C49" t="s">
        <v>786</v>
      </c>
    </row>
    <row r="50" spans="1:3" ht="16.5" thickTop="1" thickBot="1">
      <c r="A50" s="9">
        <v>181702</v>
      </c>
      <c r="B50" s="34">
        <v>1890</v>
      </c>
      <c r="C50" t="s">
        <v>869</v>
      </c>
    </row>
    <row r="51" spans="1:3" ht="16.5" thickTop="1" thickBot="1">
      <c r="A51" s="9">
        <v>170836</v>
      </c>
      <c r="B51" s="34">
        <v>1690</v>
      </c>
      <c r="C51" t="s">
        <v>870</v>
      </c>
    </row>
    <row r="52" spans="1:3" ht="16.5" thickTop="1" thickBot="1">
      <c r="A52" s="9">
        <v>170837</v>
      </c>
      <c r="B52" s="34">
        <v>1690</v>
      </c>
      <c r="C52" t="s">
        <v>835</v>
      </c>
    </row>
    <row r="53" spans="1:3" ht="16.5" thickTop="1" thickBot="1">
      <c r="A53" s="9">
        <v>202736</v>
      </c>
      <c r="B53" s="34">
        <v>1690</v>
      </c>
      <c r="C53" t="s">
        <v>871</v>
      </c>
    </row>
    <row r="54" spans="1:3" ht="16.5" thickTop="1" thickBot="1">
      <c r="A54" s="9">
        <v>170838</v>
      </c>
      <c r="B54" s="34">
        <v>1690</v>
      </c>
      <c r="C54" t="s">
        <v>872</v>
      </c>
    </row>
    <row r="55" spans="1:3" ht="16.5" thickTop="1" thickBot="1">
      <c r="A55" s="9">
        <v>201634</v>
      </c>
      <c r="B55" s="34">
        <v>1690</v>
      </c>
      <c r="C55" t="s">
        <v>772</v>
      </c>
    </row>
    <row r="56" spans="1:3" ht="16.5" thickTop="1" thickBot="1">
      <c r="A56" s="9">
        <v>202742</v>
      </c>
      <c r="B56" s="34">
        <v>1790</v>
      </c>
      <c r="C56" t="s">
        <v>873</v>
      </c>
    </row>
    <row r="57" spans="1:3" ht="16.5" thickTop="1" thickBot="1">
      <c r="A57" s="9">
        <v>202743</v>
      </c>
      <c r="B57" s="34">
        <v>1890</v>
      </c>
      <c r="C57" t="s">
        <v>833</v>
      </c>
    </row>
    <row r="58" spans="1:3" ht="16.5" thickTop="1" thickBot="1">
      <c r="A58" s="9">
        <v>202756</v>
      </c>
      <c r="B58" s="34">
        <v>1890</v>
      </c>
      <c r="C58" t="s">
        <v>874</v>
      </c>
    </row>
    <row r="59" spans="1:3" ht="16.5" thickTop="1" thickBot="1">
      <c r="A59" s="9">
        <v>202737</v>
      </c>
      <c r="B59" s="34">
        <v>1890</v>
      </c>
      <c r="C59" t="s">
        <v>832</v>
      </c>
    </row>
    <row r="60" spans="1:3" ht="16.5" thickTop="1" thickBot="1">
      <c r="A60" s="9">
        <v>217372</v>
      </c>
      <c r="B60" s="34">
        <v>1890</v>
      </c>
      <c r="C60" t="s">
        <v>875</v>
      </c>
    </row>
    <row r="61" spans="1:3" ht="16.5" thickTop="1" thickBot="1">
      <c r="A61" s="9">
        <v>203072</v>
      </c>
      <c r="B61" s="34">
        <v>1990</v>
      </c>
      <c r="C61" t="s">
        <v>834</v>
      </c>
    </row>
    <row r="62" spans="1:3" ht="16.5" thickTop="1" thickBot="1">
      <c r="A62" s="9">
        <v>202749</v>
      </c>
      <c r="B62" s="34">
        <v>1990</v>
      </c>
      <c r="C62" t="s">
        <v>876</v>
      </c>
    </row>
    <row r="63" spans="1:3" ht="16.5" thickTop="1" thickBot="1">
      <c r="A63" s="9">
        <v>223499</v>
      </c>
      <c r="B63" s="34">
        <v>2090</v>
      </c>
      <c r="C63" t="s">
        <v>775</v>
      </c>
    </row>
    <row r="64" spans="1:3" ht="16.5" thickTop="1" thickBot="1">
      <c r="A64" s="9">
        <v>202987</v>
      </c>
      <c r="B64" s="34">
        <v>2690</v>
      </c>
      <c r="C64" t="s">
        <v>877</v>
      </c>
    </row>
    <row r="65" spans="1:3" ht="16.5" thickTop="1" thickBot="1">
      <c r="A65" s="9">
        <v>160643</v>
      </c>
      <c r="B65" s="34">
        <v>2190</v>
      </c>
      <c r="C65" t="s">
        <v>878</v>
      </c>
    </row>
    <row r="66" spans="1:3" ht="16.5" thickTop="1" thickBot="1">
      <c r="A66" s="9">
        <v>223469</v>
      </c>
      <c r="B66" s="34">
        <v>2290</v>
      </c>
      <c r="C66" t="s">
        <v>831</v>
      </c>
    </row>
    <row r="67" spans="1:3" ht="16.5" thickTop="1" thickBot="1">
      <c r="A67" s="9">
        <v>160642</v>
      </c>
      <c r="B67" s="34">
        <v>2190</v>
      </c>
      <c r="C67" t="s">
        <v>879</v>
      </c>
    </row>
    <row r="68" spans="1:3" ht="16.5" thickTop="1" thickBot="1">
      <c r="A68" s="9">
        <v>217355</v>
      </c>
      <c r="B68" s="34">
        <v>2190</v>
      </c>
      <c r="C68" t="s">
        <v>880</v>
      </c>
    </row>
    <row r="69" spans="1:3" ht="16.5" thickTop="1" thickBot="1">
      <c r="A69" s="9">
        <v>217364</v>
      </c>
      <c r="B69" s="34">
        <v>2290</v>
      </c>
      <c r="C69" t="s">
        <v>881</v>
      </c>
    </row>
    <row r="70" spans="1:3" ht="16.5" thickTop="1" thickBot="1">
      <c r="A70" s="9">
        <v>170841</v>
      </c>
      <c r="B70" s="34">
        <v>2290</v>
      </c>
      <c r="C70" t="s">
        <v>829</v>
      </c>
    </row>
    <row r="71" spans="1:3" ht="16.5" thickTop="1" thickBot="1">
      <c r="A71" s="14">
        <v>170840</v>
      </c>
      <c r="B71" s="34">
        <v>2290</v>
      </c>
      <c r="C71" t="s">
        <v>882</v>
      </c>
    </row>
    <row r="72" spans="1:3" ht="16.5" thickTop="1" thickBot="1">
      <c r="A72" s="9">
        <v>203970</v>
      </c>
      <c r="B72" s="34">
        <v>2690</v>
      </c>
      <c r="C72" t="s">
        <v>773</v>
      </c>
    </row>
    <row r="73" spans="1:3" ht="16.5" thickTop="1" thickBot="1">
      <c r="A73" s="9">
        <v>202757</v>
      </c>
      <c r="B73" s="34">
        <v>2390</v>
      </c>
      <c r="C73" t="s">
        <v>828</v>
      </c>
    </row>
    <row r="74" spans="1:3" ht="16.5" thickTop="1" thickBot="1">
      <c r="A74" s="9">
        <v>217358</v>
      </c>
      <c r="B74" s="50" t="s">
        <v>927</v>
      </c>
    </row>
    <row r="75" spans="1:3" ht="16.5" thickTop="1" thickBot="1">
      <c r="A75" s="9">
        <v>151520</v>
      </c>
      <c r="B75" s="50">
        <v>2590</v>
      </c>
    </row>
    <row r="76" spans="1:3" ht="16.5" thickTop="1" thickBot="1">
      <c r="A76" s="9">
        <v>151522</v>
      </c>
      <c r="B76" s="50">
        <v>2590</v>
      </c>
      <c r="C76" t="s">
        <v>929</v>
      </c>
    </row>
    <row r="77" spans="1:3" ht="16.5" thickTop="1" thickBot="1">
      <c r="A77" s="9">
        <v>160614</v>
      </c>
      <c r="B77" s="34">
        <v>2690</v>
      </c>
      <c r="C77" t="s">
        <v>895</v>
      </c>
    </row>
    <row r="78" spans="1:3" ht="16.5" thickTop="1" thickBot="1">
      <c r="A78" s="9">
        <v>202734</v>
      </c>
      <c r="B78" s="34">
        <v>2690</v>
      </c>
      <c r="C78" t="s">
        <v>827</v>
      </c>
    </row>
    <row r="79" spans="1:3" ht="16.5" thickTop="1" thickBot="1">
      <c r="A79" s="9">
        <v>202759</v>
      </c>
      <c r="B79" s="34">
        <v>2690</v>
      </c>
      <c r="C79" t="s">
        <v>894</v>
      </c>
    </row>
    <row r="80" spans="1:3" ht="16.5" thickTop="1" thickBot="1">
      <c r="A80" s="9">
        <v>151521</v>
      </c>
      <c r="B80" s="34">
        <v>2690</v>
      </c>
      <c r="C80" t="s">
        <v>774</v>
      </c>
    </row>
    <row r="81" spans="1:3" ht="16.5" thickTop="1" thickBot="1">
      <c r="A81" s="9">
        <v>159496</v>
      </c>
      <c r="B81" s="34">
        <v>2690</v>
      </c>
      <c r="C81" t="s">
        <v>893</v>
      </c>
    </row>
    <row r="82" spans="1:3" ht="16.5" thickTop="1" thickBot="1">
      <c r="A82" s="9">
        <v>202758</v>
      </c>
      <c r="B82" s="34">
        <v>2990</v>
      </c>
      <c r="C82" t="s">
        <v>826</v>
      </c>
    </row>
    <row r="83" spans="1:3" ht="16.5" thickTop="1" thickBot="1">
      <c r="A83" s="14">
        <v>160523</v>
      </c>
      <c r="B83" s="50" t="s">
        <v>927</v>
      </c>
    </row>
    <row r="84" spans="1:3" ht="16.5" thickTop="1" thickBot="1">
      <c r="A84" s="9">
        <v>195299</v>
      </c>
      <c r="B84" s="34">
        <v>2790</v>
      </c>
      <c r="C84" t="s">
        <v>825</v>
      </c>
    </row>
    <row r="85" spans="1:3" ht="16.5" thickTop="1" thickBot="1">
      <c r="A85" s="9">
        <v>195301</v>
      </c>
      <c r="B85" s="34">
        <v>2890</v>
      </c>
      <c r="C85" t="s">
        <v>892</v>
      </c>
    </row>
    <row r="86" spans="1:3" ht="16.5" thickTop="1" thickBot="1">
      <c r="A86" s="9">
        <v>195294</v>
      </c>
      <c r="B86" s="34">
        <v>3190</v>
      </c>
      <c r="C86" t="s">
        <v>824</v>
      </c>
    </row>
    <row r="87" spans="1:3" ht="16.5" thickTop="1" thickBot="1">
      <c r="A87" s="9">
        <v>195292</v>
      </c>
      <c r="B87" s="34">
        <v>3190</v>
      </c>
      <c r="C87" t="s">
        <v>891</v>
      </c>
    </row>
    <row r="88" spans="1:3" ht="16.5" thickTop="1" thickBot="1">
      <c r="A88" s="9">
        <v>195276</v>
      </c>
      <c r="B88" s="34">
        <v>3890</v>
      </c>
      <c r="C88" t="s">
        <v>890</v>
      </c>
    </row>
    <row r="89" spans="1:3" ht="16.5" thickTop="1" thickBot="1">
      <c r="A89" s="9">
        <v>195302</v>
      </c>
      <c r="B89" s="34">
        <v>3390</v>
      </c>
      <c r="C89" t="s">
        <v>823</v>
      </c>
    </row>
    <row r="90" spans="1:3" ht="16.5" thickTop="1" thickBot="1">
      <c r="A90" s="9">
        <v>181854</v>
      </c>
      <c r="B90" s="34">
        <v>4390</v>
      </c>
      <c r="C90" t="s">
        <v>794</v>
      </c>
    </row>
    <row r="91" spans="1:3" ht="16.5" thickTop="1" thickBot="1">
      <c r="A91" s="9">
        <v>195296</v>
      </c>
      <c r="B91" s="34">
        <v>3690</v>
      </c>
      <c r="C91" t="s">
        <v>889</v>
      </c>
    </row>
    <row r="92" spans="1:3" ht="16.5" thickTop="1" thickBot="1">
      <c r="A92" s="9">
        <v>195298</v>
      </c>
      <c r="B92" s="34">
        <v>4290</v>
      </c>
      <c r="C92" t="s">
        <v>822</v>
      </c>
    </row>
    <row r="93" spans="1:3" ht="16.5" thickTop="1" thickBot="1">
      <c r="A93" s="9">
        <v>159921</v>
      </c>
      <c r="B93" s="34">
        <v>4590</v>
      </c>
      <c r="C93" t="s">
        <v>888</v>
      </c>
    </row>
    <row r="94" spans="1:3" ht="16.5" thickTop="1" thickBot="1">
      <c r="A94" s="14">
        <v>195245</v>
      </c>
      <c r="B94" s="50" t="s">
        <v>927</v>
      </c>
    </row>
    <row r="95" spans="1:3" ht="16.5" thickTop="1" thickBot="1">
      <c r="A95" s="9">
        <v>195295</v>
      </c>
      <c r="B95" s="34">
        <v>4890</v>
      </c>
      <c r="C95" t="s">
        <v>789</v>
      </c>
    </row>
    <row r="96" spans="1:3" ht="16.5" thickTop="1" thickBot="1">
      <c r="A96" s="14">
        <v>195246</v>
      </c>
      <c r="B96" s="34">
        <v>4790</v>
      </c>
      <c r="C96" t="s">
        <v>887</v>
      </c>
    </row>
    <row r="97" spans="1:3" ht="16.5" thickTop="1" thickBot="1">
      <c r="A97" s="14">
        <v>203105</v>
      </c>
      <c r="B97" s="50" t="s">
        <v>927</v>
      </c>
    </row>
    <row r="98" spans="1:3" ht="16.5" thickTop="1" thickBot="1">
      <c r="A98" s="9">
        <v>181855</v>
      </c>
      <c r="B98" s="50">
        <v>4990</v>
      </c>
      <c r="C98" t="s">
        <v>930</v>
      </c>
    </row>
    <row r="99" spans="1:3" ht="16.5" thickTop="1" thickBot="1">
      <c r="A99" s="9">
        <v>223621</v>
      </c>
      <c r="B99" s="34">
        <v>5390</v>
      </c>
      <c r="C99" t="s">
        <v>776</v>
      </c>
    </row>
    <row r="100" spans="1:3" ht="16.5" thickTop="1" thickBot="1">
      <c r="A100" s="9">
        <v>223620</v>
      </c>
      <c r="B100" s="34">
        <v>5790</v>
      </c>
      <c r="C100" t="s">
        <v>886</v>
      </c>
    </row>
    <row r="101" spans="1:3" ht="16.5" thickTop="1" thickBot="1">
      <c r="A101" s="9">
        <v>141266</v>
      </c>
      <c r="B101" s="34">
        <v>5190</v>
      </c>
      <c r="C101" t="s">
        <v>795</v>
      </c>
    </row>
    <row r="102" spans="1:3" ht="16.5" thickTop="1" thickBot="1">
      <c r="A102" s="9">
        <v>141267</v>
      </c>
      <c r="B102" s="34">
        <v>5190</v>
      </c>
      <c r="C102" t="s">
        <v>885</v>
      </c>
    </row>
    <row r="103" spans="1:3" ht="16.5" thickTop="1" thickBot="1">
      <c r="A103" s="9">
        <v>141268</v>
      </c>
      <c r="B103" s="34">
        <v>5190</v>
      </c>
      <c r="C103" t="s">
        <v>820</v>
      </c>
    </row>
    <row r="104" spans="1:3" ht="16.5" thickTop="1" thickBot="1">
      <c r="A104" s="9">
        <v>141269</v>
      </c>
      <c r="B104" s="34">
        <v>4690</v>
      </c>
      <c r="C104" t="s">
        <v>884</v>
      </c>
    </row>
    <row r="105" spans="1:3" ht="16.5" thickTop="1" thickBot="1">
      <c r="A105" s="9">
        <v>141276</v>
      </c>
      <c r="B105" s="34">
        <v>5390</v>
      </c>
      <c r="C105" t="s">
        <v>818</v>
      </c>
    </row>
    <row r="106" spans="1:3" ht="16.5" thickTop="1" thickBot="1">
      <c r="A106" s="9">
        <v>141270</v>
      </c>
      <c r="B106" s="34">
        <v>5490</v>
      </c>
      <c r="C106" t="s">
        <v>819</v>
      </c>
    </row>
    <row r="107" spans="1:3" ht="16.5" thickTop="1" thickBot="1">
      <c r="A107" s="9">
        <v>141271</v>
      </c>
      <c r="B107" s="34">
        <v>5190</v>
      </c>
      <c r="C107" t="s">
        <v>883</v>
      </c>
    </row>
    <row r="108" spans="1:3" ht="16.5" thickTop="1" thickBot="1">
      <c r="A108" s="9">
        <v>141113</v>
      </c>
      <c r="B108" s="34">
        <v>5190</v>
      </c>
      <c r="C108" t="s">
        <v>796</v>
      </c>
    </row>
    <row r="109" spans="1:3" ht="16.5" thickTop="1" thickBot="1">
      <c r="A109" s="9">
        <v>141273</v>
      </c>
      <c r="B109" s="34">
        <v>5290</v>
      </c>
      <c r="C109" t="s">
        <v>896</v>
      </c>
    </row>
    <row r="110" spans="1:3" ht="16.5" thickTop="1" thickBot="1">
      <c r="A110" s="9">
        <v>141277</v>
      </c>
      <c r="B110" s="34">
        <v>5390</v>
      </c>
      <c r="C110" t="s">
        <v>897</v>
      </c>
    </row>
    <row r="111" spans="1:3" ht="16.5" thickTop="1" thickBot="1">
      <c r="A111" s="9">
        <v>141272</v>
      </c>
      <c r="B111" s="50">
        <v>5290</v>
      </c>
      <c r="C111" t="s">
        <v>931</v>
      </c>
    </row>
    <row r="112" spans="1:3" ht="16.5" thickTop="1" thickBot="1">
      <c r="A112" s="9">
        <v>141275</v>
      </c>
      <c r="B112" s="34">
        <v>4990</v>
      </c>
      <c r="C112" t="s">
        <v>777</v>
      </c>
    </row>
    <row r="113" spans="1:3" ht="16.5" thickTop="1" thickBot="1">
      <c r="A113" s="9">
        <v>141274</v>
      </c>
      <c r="B113" s="34">
        <v>4990</v>
      </c>
      <c r="C113" t="s">
        <v>898</v>
      </c>
    </row>
    <row r="114" spans="1:3" ht="16.5" thickTop="1" thickBot="1">
      <c r="A114" s="9">
        <v>195293</v>
      </c>
      <c r="B114" s="34">
        <v>5690</v>
      </c>
      <c r="C114" t="s">
        <v>821</v>
      </c>
    </row>
    <row r="115" spans="1:3" ht="16.5" thickTop="1" thickBot="1">
      <c r="A115" s="9">
        <v>223619</v>
      </c>
      <c r="B115" s="34">
        <v>5990</v>
      </c>
      <c r="C115" t="s">
        <v>899</v>
      </c>
    </row>
    <row r="116" spans="1:3" ht="16.5" thickTop="1" thickBot="1">
      <c r="A116" s="9">
        <v>222889</v>
      </c>
      <c r="B116" s="34">
        <v>7490</v>
      </c>
      <c r="C116" t="s">
        <v>790</v>
      </c>
    </row>
    <row r="117" spans="1:3" ht="16.5" thickTop="1" thickBot="1">
      <c r="A117" s="9">
        <v>136706</v>
      </c>
      <c r="B117" s="34">
        <v>6190</v>
      </c>
      <c r="C117" t="s">
        <v>797</v>
      </c>
    </row>
    <row r="118" spans="1:3" ht="16.5" thickTop="1" thickBot="1">
      <c r="A118" s="9">
        <v>201661</v>
      </c>
      <c r="B118" s="34">
        <v>7190</v>
      </c>
      <c r="C118" t="s">
        <v>778</v>
      </c>
    </row>
    <row r="119" spans="1:3" ht="16.5" thickTop="1" thickBot="1">
      <c r="A119" s="9">
        <v>194499</v>
      </c>
      <c r="B119" s="34">
        <v>7490</v>
      </c>
      <c r="C119" t="s">
        <v>791</v>
      </c>
    </row>
    <row r="120" spans="1:3" ht="16.5" thickTop="1" thickBot="1">
      <c r="A120" s="9">
        <v>139090</v>
      </c>
      <c r="B120" s="34">
        <v>9390</v>
      </c>
      <c r="C120" t="s">
        <v>900</v>
      </c>
    </row>
    <row r="121" spans="1:3" ht="16.5" thickTop="1" thickBot="1">
      <c r="A121" s="9">
        <v>194501</v>
      </c>
      <c r="B121" s="34">
        <v>7390</v>
      </c>
      <c r="C121" t="s">
        <v>779</v>
      </c>
    </row>
    <row r="122" spans="1:3" ht="16.5" thickTop="1" thickBot="1">
      <c r="A122" s="9">
        <v>194479</v>
      </c>
      <c r="B122" s="34">
        <v>7690</v>
      </c>
      <c r="C122" t="s">
        <v>901</v>
      </c>
    </row>
    <row r="123" spans="1:3" ht="16.5" thickTop="1" thickBot="1">
      <c r="A123" s="9">
        <v>194480</v>
      </c>
      <c r="B123" s="34">
        <v>7590</v>
      </c>
      <c r="C123" t="s">
        <v>782</v>
      </c>
    </row>
    <row r="124" spans="1:3" ht="16.5" thickTop="1" thickBot="1">
      <c r="A124" s="9">
        <v>194500</v>
      </c>
      <c r="B124" s="34">
        <v>7690</v>
      </c>
      <c r="C124" t="s">
        <v>902</v>
      </c>
    </row>
    <row r="125" spans="1:3" ht="16.5" thickTop="1" thickBot="1">
      <c r="A125" s="14">
        <v>212985</v>
      </c>
      <c r="B125" s="50" t="s">
        <v>927</v>
      </c>
    </row>
    <row r="126" spans="1:3" ht="16.5" thickTop="1" thickBot="1">
      <c r="A126" s="9">
        <v>213107</v>
      </c>
      <c r="B126" s="34">
        <v>9090</v>
      </c>
      <c r="C126" t="s">
        <v>780</v>
      </c>
    </row>
    <row r="127" spans="1:3" ht="16.5" thickTop="1" thickBot="1">
      <c r="A127" s="9">
        <v>194504</v>
      </c>
      <c r="B127" s="34">
        <v>7790</v>
      </c>
      <c r="C127" t="s">
        <v>905</v>
      </c>
    </row>
    <row r="128" spans="1:3" ht="16.5" thickTop="1" thickBot="1">
      <c r="A128" s="9">
        <v>194503</v>
      </c>
      <c r="B128" s="34">
        <v>8490</v>
      </c>
      <c r="C128" t="s">
        <v>781</v>
      </c>
    </row>
    <row r="129" spans="1:3" ht="16.5" thickTop="1" thickBot="1">
      <c r="A129" s="9">
        <v>194477</v>
      </c>
      <c r="B129" s="34">
        <v>8890</v>
      </c>
      <c r="C129" t="s">
        <v>811</v>
      </c>
    </row>
    <row r="130" spans="1:3" ht="16.5" thickTop="1" thickBot="1">
      <c r="A130" s="9">
        <v>213100</v>
      </c>
      <c r="B130" s="34">
        <v>9190</v>
      </c>
      <c r="C130" t="s">
        <v>798</v>
      </c>
    </row>
    <row r="131" spans="1:3" ht="16.5" thickTop="1" thickBot="1">
      <c r="A131" s="14">
        <v>212986</v>
      </c>
      <c r="B131" s="50" t="s">
        <v>927</v>
      </c>
    </row>
    <row r="132" spans="1:3" ht="16.5" thickTop="1" thickBot="1">
      <c r="A132" s="14">
        <v>213109</v>
      </c>
      <c r="B132" s="34">
        <v>10390</v>
      </c>
      <c r="C132" t="s">
        <v>810</v>
      </c>
    </row>
    <row r="133" spans="1:3" ht="16.5" thickTop="1" thickBot="1">
      <c r="A133" s="9">
        <v>213108</v>
      </c>
      <c r="B133" s="34">
        <v>10290</v>
      </c>
      <c r="C133" t="s">
        <v>809</v>
      </c>
    </row>
    <row r="134" spans="1:3" ht="16.5" thickTop="1" thickBot="1">
      <c r="A134" s="9">
        <v>213110</v>
      </c>
      <c r="B134" s="34">
        <v>13690</v>
      </c>
      <c r="C134" t="s">
        <v>808</v>
      </c>
    </row>
    <row r="135" spans="1:3" ht="16.5" thickTop="1" thickBot="1">
      <c r="A135" s="9">
        <v>139226</v>
      </c>
      <c r="B135" s="34">
        <v>11590</v>
      </c>
      <c r="C135" t="s">
        <v>784</v>
      </c>
    </row>
    <row r="136" spans="1:3" ht="16.5" thickTop="1" thickBot="1">
      <c r="A136" s="9">
        <v>139228</v>
      </c>
      <c r="B136" s="50" t="s">
        <v>927</v>
      </c>
    </row>
    <row r="137" spans="1:3" ht="16.5" thickTop="1" thickBot="1">
      <c r="A137" s="9">
        <v>139229</v>
      </c>
      <c r="B137" s="34">
        <v>12690</v>
      </c>
      <c r="C137" t="s">
        <v>783</v>
      </c>
    </row>
    <row r="138" spans="1:3" ht="16.5" thickTop="1" thickBot="1">
      <c r="A138" s="9">
        <v>139230</v>
      </c>
      <c r="B138" s="50" t="s">
        <v>927</v>
      </c>
    </row>
    <row r="139" spans="1:3" ht="16.5" thickTop="1" thickBot="1">
      <c r="A139" s="14">
        <v>139227</v>
      </c>
      <c r="B139" s="34">
        <v>12690</v>
      </c>
      <c r="C139" t="s">
        <v>903</v>
      </c>
    </row>
    <row r="140" spans="1:3" ht="16.5" thickTop="1" thickBot="1">
      <c r="A140" s="9">
        <v>194519</v>
      </c>
      <c r="B140" s="34">
        <v>15390</v>
      </c>
      <c r="C140" t="s">
        <v>799</v>
      </c>
    </row>
    <row r="141" spans="1:3" ht="16.5" thickTop="1" thickBot="1">
      <c r="A141" s="9">
        <v>194517</v>
      </c>
      <c r="B141" s="34">
        <v>14990</v>
      </c>
      <c r="C141" t="s">
        <v>800</v>
      </c>
    </row>
    <row r="142" spans="1:3" ht="16.5" thickTop="1" thickBot="1">
      <c r="A142" s="9">
        <v>194518</v>
      </c>
      <c r="B142" s="34">
        <v>15590</v>
      </c>
      <c r="C142" t="s">
        <v>801</v>
      </c>
    </row>
    <row r="143" spans="1:3" ht="16.5" thickTop="1" thickBot="1">
      <c r="A143" s="9">
        <v>194481</v>
      </c>
      <c r="B143" s="34">
        <v>15490</v>
      </c>
      <c r="C143" t="s">
        <v>807</v>
      </c>
    </row>
    <row r="144" spans="1:3" ht="16.5" thickTop="1" thickBot="1">
      <c r="A144" s="9">
        <v>212987</v>
      </c>
      <c r="B144" s="34">
        <v>17590</v>
      </c>
      <c r="C144" t="s">
        <v>802</v>
      </c>
    </row>
    <row r="145" spans="1:3" ht="16.5" thickTop="1" thickBot="1">
      <c r="A145" s="9">
        <v>212992</v>
      </c>
      <c r="B145" s="34">
        <v>24990</v>
      </c>
      <c r="C145" t="s">
        <v>803</v>
      </c>
    </row>
    <row r="146" spans="1:3" ht="16.5" thickTop="1" thickBot="1">
      <c r="A146" s="9">
        <v>212988</v>
      </c>
      <c r="B146" s="34">
        <v>18590</v>
      </c>
      <c r="C146" t="s">
        <v>804</v>
      </c>
    </row>
    <row r="147" spans="1:3" ht="16.5" thickTop="1" thickBot="1">
      <c r="A147" s="9">
        <v>212991</v>
      </c>
      <c r="B147" s="34">
        <v>19190</v>
      </c>
      <c r="C147" t="s">
        <v>805</v>
      </c>
    </row>
    <row r="148" spans="1:3" ht="16.5" thickTop="1" thickBot="1">
      <c r="A148" s="9">
        <v>194098</v>
      </c>
      <c r="B148" s="34">
        <v>34990</v>
      </c>
      <c r="C148" t="s">
        <v>785</v>
      </c>
    </row>
    <row r="149" spans="1:3" ht="16.5" thickTop="1" thickBot="1">
      <c r="A149" s="9">
        <v>194099</v>
      </c>
      <c r="B149" s="34">
        <v>36590</v>
      </c>
      <c r="C149" t="s">
        <v>806</v>
      </c>
    </row>
    <row r="150" spans="1:3" ht="16.5" thickTop="1" thickBot="1">
      <c r="A150" s="9">
        <v>194502</v>
      </c>
      <c r="B150" s="50" t="s">
        <v>927</v>
      </c>
    </row>
    <row r="151" spans="1:3" ht="16.5" thickTop="1" thickBot="1">
      <c r="A151" s="9">
        <v>194478</v>
      </c>
      <c r="B151" s="50" t="s">
        <v>927</v>
      </c>
    </row>
    <row r="152" spans="1:3" ht="16.5" thickTop="1" thickBot="1">
      <c r="A152" s="9">
        <v>202746</v>
      </c>
      <c r="B152" s="34">
        <v>1690</v>
      </c>
      <c r="C152" t="s">
        <v>817</v>
      </c>
    </row>
    <row r="153" spans="1:3" ht="16.5" thickTop="1" thickBot="1">
      <c r="A153" s="9">
        <v>181838</v>
      </c>
      <c r="B153" s="50" t="s">
        <v>927</v>
      </c>
    </row>
    <row r="154" spans="1:3" ht="16.5" thickTop="1" thickBot="1">
      <c r="A154" s="9">
        <v>140765</v>
      </c>
      <c r="B154" s="50" t="s">
        <v>927</v>
      </c>
    </row>
    <row r="155" spans="1:3" ht="16.5" thickTop="1" thickBot="1">
      <c r="A155" s="56">
        <v>158256</v>
      </c>
      <c r="B155" s="50" t="s">
        <v>927</v>
      </c>
    </row>
    <row r="156" spans="1:3" ht="16.5" thickTop="1" thickBot="1">
      <c r="A156" s="56">
        <v>158388</v>
      </c>
      <c r="B156" s="50" t="s">
        <v>927</v>
      </c>
    </row>
    <row r="157" spans="1:3" ht="16.5" thickTop="1" thickBot="1">
      <c r="A157" s="56">
        <v>160524</v>
      </c>
      <c r="B157" s="34">
        <v>2990</v>
      </c>
      <c r="C157" t="s">
        <v>816</v>
      </c>
    </row>
    <row r="158" spans="1:3" ht="16.5" thickTop="1" thickBot="1">
      <c r="A158" s="27">
        <v>217325</v>
      </c>
      <c r="B158" s="34">
        <v>2890</v>
      </c>
      <c r="C158" t="s">
        <v>904</v>
      </c>
    </row>
    <row r="159" spans="1:3" ht="16.5" thickTop="1" thickBot="1">
      <c r="A159" s="27">
        <v>217324</v>
      </c>
      <c r="B159" s="50" t="s">
        <v>927</v>
      </c>
    </row>
    <row r="160" spans="1:3" ht="16.5" thickTop="1" thickBot="1">
      <c r="A160" s="27">
        <v>217322</v>
      </c>
      <c r="B160" s="34">
        <v>3090</v>
      </c>
      <c r="C160" t="s">
        <v>815</v>
      </c>
    </row>
    <row r="161" spans="1:3" ht="16.5" thickTop="1" thickBot="1">
      <c r="A161" s="27">
        <v>140885</v>
      </c>
      <c r="B161" s="50" t="s">
        <v>927</v>
      </c>
    </row>
    <row r="162" spans="1:3" ht="16.5" thickTop="1" thickBot="1">
      <c r="A162" s="27">
        <v>217323</v>
      </c>
      <c r="B162" s="50" t="s">
        <v>927</v>
      </c>
    </row>
    <row r="163" spans="1:3" ht="16.5" thickTop="1" thickBot="1">
      <c r="A163" s="27">
        <v>217321</v>
      </c>
      <c r="B163" s="34">
        <v>3090</v>
      </c>
      <c r="C163" t="s">
        <v>814</v>
      </c>
    </row>
    <row r="164" spans="1:3" ht="16.5" thickTop="1" thickBot="1">
      <c r="A164" s="27">
        <v>204316</v>
      </c>
      <c r="B164" s="34">
        <v>329</v>
      </c>
      <c r="C164" t="s">
        <v>813</v>
      </c>
    </row>
    <row r="165" spans="1:3" ht="16.5" thickTop="1" thickBot="1">
      <c r="A165" s="27">
        <v>158255</v>
      </c>
      <c r="B165" s="50" t="s">
        <v>927</v>
      </c>
    </row>
    <row r="166" spans="1:3" ht="16.5" thickTop="1" thickBot="1">
      <c r="A166" s="31">
        <v>213106</v>
      </c>
      <c r="B166" s="50" t="s">
        <v>927</v>
      </c>
    </row>
    <row r="167" spans="1:3" ht="16.5" thickTop="1" thickBot="1">
      <c r="A167" s="57">
        <v>217326</v>
      </c>
      <c r="B167" s="34">
        <v>3390</v>
      </c>
      <c r="C167" t="s">
        <v>812</v>
      </c>
    </row>
    <row r="168" spans="1:3" ht="16.5" thickTop="1" thickBot="1">
      <c r="A168" s="55">
        <v>136705</v>
      </c>
      <c r="B168" s="50">
        <v>6190</v>
      </c>
      <c r="C168" t="s">
        <v>932</v>
      </c>
    </row>
    <row r="169" spans="1:3" ht="16.5" thickTop="1" thickBot="1">
      <c r="A169" s="55">
        <v>144405</v>
      </c>
      <c r="B169" s="50" t="s">
        <v>927</v>
      </c>
    </row>
    <row r="170" spans="1:3" ht="16.5" thickTop="1" thickBot="1">
      <c r="A170" s="55">
        <v>194100</v>
      </c>
      <c r="B170" s="50">
        <v>54990</v>
      </c>
      <c r="C170" t="s">
        <v>933</v>
      </c>
    </row>
    <row r="171" spans="1:3" ht="16.5" thickTop="1" thickBot="1">
      <c r="A171" s="55">
        <v>195277</v>
      </c>
      <c r="B171" s="50">
        <v>4390</v>
      </c>
      <c r="C171" t="s">
        <v>934</v>
      </c>
    </row>
    <row r="172" spans="1:3" ht="31.5" thickTop="1" thickBot="1">
      <c r="A172" s="9">
        <v>274423</v>
      </c>
      <c r="B172" s="64" t="s">
        <v>927</v>
      </c>
    </row>
    <row r="173" spans="1:3" ht="31.5" thickTop="1" thickBot="1">
      <c r="A173" s="9">
        <v>266607</v>
      </c>
      <c r="B173" s="64" t="s">
        <v>927</v>
      </c>
    </row>
    <row r="174" spans="1:3" ht="31.5" thickTop="1" thickBot="1">
      <c r="A174" s="9">
        <v>274399</v>
      </c>
      <c r="B174" s="64" t="s">
        <v>927</v>
      </c>
    </row>
    <row r="175" spans="1:3" ht="16.5" thickTop="1" thickBot="1">
      <c r="A175" s="9">
        <v>204518</v>
      </c>
      <c r="B175" s="34">
        <v>1490</v>
      </c>
      <c r="C175" t="s">
        <v>865</v>
      </c>
    </row>
    <row r="176" spans="1:3" ht="16.5" thickTop="1" thickBot="1">
      <c r="A176" s="9">
        <v>202999</v>
      </c>
      <c r="B176" s="50" t="s">
        <v>927</v>
      </c>
    </row>
    <row r="177" spans="1:3" ht="15.75" thickTop="1">
      <c r="A177" s="9">
        <v>170839</v>
      </c>
      <c r="B177" s="66">
        <v>2290</v>
      </c>
      <c r="C177" t="s">
        <v>830</v>
      </c>
    </row>
    <row r="178" spans="1:3">
      <c r="A178" s="9">
        <v>201573</v>
      </c>
      <c r="B178" s="65" t="s">
        <v>927</v>
      </c>
    </row>
    <row r="179" spans="1:3">
      <c r="A179" s="9">
        <v>201574</v>
      </c>
      <c r="B179" s="65" t="s">
        <v>927</v>
      </c>
    </row>
    <row r="180" spans="1:3">
      <c r="A180" s="14">
        <v>194482</v>
      </c>
      <c r="B180" s="13"/>
    </row>
    <row r="181" spans="1:3">
      <c r="A181" s="9">
        <v>144233</v>
      </c>
      <c r="B181" s="13"/>
    </row>
    <row r="182" spans="1:3">
      <c r="A182" s="9">
        <v>144229</v>
      </c>
      <c r="B182" s="13"/>
    </row>
    <row r="183" spans="1:3">
      <c r="A183" s="9">
        <v>144230</v>
      </c>
      <c r="B183" s="13"/>
    </row>
    <row r="184" spans="1:3">
      <c r="A184" s="9">
        <v>151514</v>
      </c>
      <c r="B184" s="13"/>
    </row>
    <row r="185" spans="1:3">
      <c r="A185" s="9">
        <v>151523</v>
      </c>
      <c r="B185" s="13"/>
    </row>
    <row r="186" spans="1:3">
      <c r="A186" s="9">
        <v>195275</v>
      </c>
      <c r="B186" s="13"/>
    </row>
    <row r="187" spans="1:3">
      <c r="A187" s="9">
        <v>151515</v>
      </c>
      <c r="B187" s="13"/>
    </row>
    <row r="188" spans="1:3">
      <c r="A188" s="15">
        <v>151517</v>
      </c>
      <c r="B188" s="13"/>
    </row>
    <row r="189" spans="1:3">
      <c r="A189" s="15">
        <v>159922</v>
      </c>
      <c r="B189" s="13"/>
    </row>
    <row r="190" spans="1:3">
      <c r="A190" s="15">
        <v>195300</v>
      </c>
      <c r="B190" s="13"/>
    </row>
    <row r="191" spans="1:3">
      <c r="A191" s="15">
        <v>222888</v>
      </c>
      <c r="B191" s="13"/>
    </row>
    <row r="192" spans="1:3">
      <c r="A192" s="15">
        <v>169761</v>
      </c>
      <c r="B192" s="13"/>
    </row>
    <row r="193" spans="1:2">
      <c r="A193" s="15">
        <v>169762</v>
      </c>
      <c r="B193" s="13"/>
    </row>
    <row r="194" spans="1:2">
      <c r="A194" s="15">
        <v>169764</v>
      </c>
      <c r="B194" s="13"/>
    </row>
    <row r="195" spans="1:2">
      <c r="A195" s="15">
        <v>169760</v>
      </c>
      <c r="B195" s="13"/>
    </row>
    <row r="196" spans="1:2">
      <c r="A196" s="9">
        <v>169765</v>
      </c>
      <c r="B196" s="13"/>
    </row>
    <row r="197" spans="1:2">
      <c r="A197" s="9">
        <v>169763</v>
      </c>
      <c r="B197" s="13"/>
    </row>
    <row r="198" spans="1:2">
      <c r="A198" s="9">
        <v>181755</v>
      </c>
      <c r="B198" s="13"/>
    </row>
    <row r="199" spans="1:2">
      <c r="A199" s="9">
        <v>151516</v>
      </c>
      <c r="B199" s="13"/>
    </row>
    <row r="200" spans="1:2">
      <c r="A200" s="9">
        <v>151518</v>
      </c>
      <c r="B200" s="13"/>
    </row>
    <row r="201" spans="1:2">
      <c r="A201" s="9">
        <v>195297</v>
      </c>
      <c r="B201" s="13"/>
    </row>
    <row r="202" spans="1:2">
      <c r="A202" s="9">
        <v>158702</v>
      </c>
      <c r="B202" s="13"/>
    </row>
    <row r="203" spans="1:2">
      <c r="A203" s="9">
        <v>139091</v>
      </c>
      <c r="B203" s="13"/>
    </row>
    <row r="204" spans="1:2">
      <c r="A204" s="9">
        <v>223672</v>
      </c>
      <c r="B204" s="13"/>
    </row>
    <row r="205" spans="1:2">
      <c r="A205" s="9">
        <v>201857</v>
      </c>
      <c r="B205" s="13"/>
    </row>
    <row r="206" spans="1:2">
      <c r="A206" s="9">
        <v>217354</v>
      </c>
      <c r="B206" s="13"/>
    </row>
    <row r="207" spans="1:2">
      <c r="A207" s="9">
        <v>201941</v>
      </c>
      <c r="B207" s="13"/>
    </row>
    <row r="208" spans="1:2">
      <c r="A208" s="9">
        <v>201877</v>
      </c>
      <c r="B208" s="13"/>
    </row>
    <row r="209" spans="1:2">
      <c r="A209" s="15">
        <v>223322</v>
      </c>
      <c r="B209" s="13"/>
    </row>
    <row r="210" spans="1:2">
      <c r="A210" s="15">
        <v>202760</v>
      </c>
      <c r="B210" s="13"/>
    </row>
    <row r="211" spans="1:2">
      <c r="A211" s="15">
        <v>212990</v>
      </c>
      <c r="B211" s="13"/>
    </row>
    <row r="212" spans="1:2">
      <c r="A212" s="15">
        <v>212989</v>
      </c>
      <c r="B212" s="13"/>
    </row>
  </sheetData>
  <conditionalFormatting sqref="A3:A212">
    <cfRule type="expression" dxfId="4" priority="1">
      <formula>AND($Q3=0,$R3=0)</formula>
    </cfRule>
  </conditionalFormatting>
  <hyperlinks>
    <hyperlink ref="B3" r:id="rId1" display="https://motorring.ru/product/37467-gayka-regulirovochnaya-zadney-nezavisimoy-podveski" xr:uid="{94BEDDEC-9AC9-4CF2-962E-8E68A4139EE7}"/>
    <hyperlink ref="B4" r:id="rId2" display="https://motorring.ru/product/6053-sharnir-reaktivnoy-tyagi-lada-priora" xr:uid="{39508745-3BB1-4CFB-90E5-C28B42020731}"/>
    <hyperlink ref="B5" r:id="rId3" display="https://motorring.ru/product/9620-sharnir-reaktivnoy-tyagi-avtoprodukt-lada-kalina-granta" xr:uid="{15E929D2-43AE-4F30-B867-F81C45AA030F}"/>
    <hyperlink ref="B6" r:id="rId4" display="https://motorring.ru/product/18810-prostavki-ugla-razvala-gradus-lada-vesta-iks-rey" xr:uid="{0DADA60E-3EE1-4D8B-86D4-D1863BA370FA}"/>
    <hyperlink ref="B7" r:id="rId5" display="https://motorring.ru/product/29898-uplotnitelynye-kolyca-drosselynoy-zaslonki-avtoprodukt" xr:uid="{C969248F-769A-4C85-96C1-92260C23FB21}"/>
    <hyperlink ref="B8" r:id="rId6" display="https://motorring.ru/product/29899-kronshteyn-regulyatora-tormoznogo-davleniya-avtoprodukt" xr:uid="{7C2556B0-6E06-489F-815D-D4FE0CEA27C8}"/>
    <hyperlink ref="B9" r:id="rId7" display="https://motorring.ru/product/6063-usilitely-schitka-peredka-avtoprodukt-vaz-2110-2112-priora" xr:uid="{EE2143F0-4D40-4AEB-B609-B31E1C25612A}"/>
    <hyperlink ref="B14" r:id="rId8" display="https://motorring.ru/product/29888-opory-reyki-rulevogo-mehanizma-avtoprodukt-vaz-2108" xr:uid="{F6199AC0-9A66-42B9-8E8C-E4B947D54A54}"/>
    <hyperlink ref="B55" r:id="rId9" display="https://motorring.ru/product/29949-prostavki-korrektirovki-shoghdeniya-avtoprodukt-drive-largus" xr:uid="{CE040D81-D965-49D5-8D3B-1613F4419D3B}"/>
    <hyperlink ref="B72" r:id="rId10" display="https://motorring.ru/product/29919-remkomplekt-podramnika-avtoprodukt-parts-dlya-vaz" xr:uid="{6ABEA98B-B166-41BD-AEAA-651CEA5607A1}"/>
    <hyperlink ref="B80" r:id="rId11" display="https://motorring.ru/product/15549-zaschita-dvigatelya-autoproduct-stalynaya-ocinkovannaya" xr:uid="{EC6C99EC-3236-4909-B3E3-A3993823E81E}"/>
    <hyperlink ref="B63" r:id="rId12" display="https://motorring.ru/product/29897-stalynoy-kronshteyn-generatora-avtoprodukt-pod-gur-2110" xr:uid="{DB8F228F-107E-414C-94BF-03B455BAA9C5}"/>
    <hyperlink ref="B99" r:id="rId13" display="https://motorring.ru/product/6058-usilitely-zadniy-avtoprodukt-lada-granta-kalina-kalina" xr:uid="{519D5305-A02E-4B81-9562-3DA77D9E26A7}"/>
    <hyperlink ref="B112" r:id="rId14" display="https://motorring.ru/product/29874-pryamotochnyy-glushitely-avtoprodukt-f51-dlya-lada-kalina" xr:uid="{8D2F9469-EDA8-46F6-8664-747E3366E731}"/>
    <hyperlink ref="B118" r:id="rId15" display="https://motorring.ru/product/29951-prostavki-zadnego-rychaga-autoproduct-drive-70mm" xr:uid="{96C4ACB0-7766-4075-B543-0674ECB20FDF}"/>
    <hyperlink ref="B121" r:id="rId16" display="https://motorring.ru/product/15545-podramnik-avtoprodukt-drive-bez-zaschity-lada-granta-kalina" xr:uid="{23A7CCC7-4BF0-4737-A709-88384BA04E72}"/>
    <hyperlink ref="B126" r:id="rId17" display="https://motorring.ru/product/28607-rychagi-podramnika-ghestkie-autoproduct-vaz-2108-21099" xr:uid="{62D9D767-7EDE-454E-B3A2-23094B42DF2B}"/>
    <hyperlink ref="B128" r:id="rId18" display="https://motorring.ru/product/15541-podramnik-avtoprodukt-drive-poliuretan-bez-zaschity-granta" xr:uid="{863FF835-8196-4252-834F-00B9E89BA3CC}"/>
    <hyperlink ref="B123" r:id="rId19" display="https://motorring.ru/product/15533-podramnik-autoproduct-sport-bez-zaschity-lada-granta-kalina" xr:uid="{25EA3841-D1E4-4F7C-ABC0-AAAB92C6AAFF}"/>
    <hyperlink ref="B137" r:id="rId20" display="https://motorring.ru/product/29903-samoblokiruyuschiysya-differencial-rzm-avtoprodukt-2101" xr:uid="{66CC3F1D-0F80-466A-91BD-3B3152BE83D8}"/>
    <hyperlink ref="B135" r:id="rId21" display="https://motorring.ru/product/29904-samoblokiruyuschiysya-differencial-avtoprodukt-2108" xr:uid="{22FE2F46-8FF6-4E98-B9BD-1BC2497ABF2C}"/>
    <hyperlink ref="B148" r:id="rId22" display="https://motorring.ru/product/29867-zadnyaya-nezavisimaya-podveska-avtoprodukt-vaz-2108" xr:uid="{0743D447-1AB3-4BD0-ABF3-3C08230C0250}"/>
    <hyperlink ref="B49" r:id="rId23" display="https://motorring.ru/product/1760-rasporka-perednyaya-avtoprodukt-lada-granta-kalina-kalina" xr:uid="{FAF722BC-3C80-4467-B876-9FBED3D8530B}"/>
    <hyperlink ref="B32" r:id="rId24" display="https://motorring.ru/product/1752-rasporka-nighnyaya-avtoprodukt-vaz-2108-21099-2110-2112" xr:uid="{177BDDA9-E6DF-481C-B88F-BF08DC55A6FF}"/>
    <hyperlink ref="B26" r:id="rId25" display="https://motorring.ru/product/5849-opora-dvigatelya-avtoprodukt-vaz-2110-2111-2112-lada-priora" xr:uid="{AAAAA05F-A008-4706-9ABC-887C78CE231A}"/>
    <hyperlink ref="B95" r:id="rId26" display="https://motorring.ru/product/22837-poperechina-autoproduct-drive-dopolnitelynoy-oporoy-vaz" xr:uid="{48BB4393-CD1D-4746-A30F-FFAD8E9AC992}"/>
    <hyperlink ref="B116" r:id="rId27" display="https://motorring.ru/product/29890-komplekt-rulevyh-tyag-avtoprodukt-sbore-70mm-2110" xr:uid="{66AB9161-FA0C-4AEC-AF92-17EC8F1C2E27}"/>
    <hyperlink ref="B119" r:id="rId28" display="https://motorring.ru/product/15531-podramnik-avtoprodukt-drive-bez-zaschity-rezina-2108" xr:uid="{9371EC86-393A-4AD0-B1C8-4C103E794541}"/>
    <hyperlink ref="B34" r:id="rId29" display="https://motorring.ru/product/15467-usiliteli-opor-stoek-avtoprodukt-kasterom-gradusa-kalina" xr:uid="{9980792E-54DC-4607-B468-37CFE18055B6}"/>
    <hyperlink ref="B42" r:id="rId30" display="https://motorring.ru/product/1767-opora-dvigatelya-perednyaya-sport-avtoprodukt-vaz" xr:uid="{E98E5808-AF86-4485-81CF-66675A2C3501}"/>
    <hyperlink ref="B90" r:id="rId31" display="https://motorring.ru/product/1766-komplekt-opor-dvigatelya-sport-avtoprodukt-vaz-2108-21099" xr:uid="{648ADB1B-1DB9-435B-99BF-8697B4AA92CB}"/>
    <hyperlink ref="B101" r:id="rId32" display="https://motorring.ru/product/29878-pryamotochnyy-glushitely-avtoprodukt-f51-2108" xr:uid="{EA1490FA-EEA8-48E0-A753-0ACF4328E916}"/>
    <hyperlink ref="B108" r:id="rId33" display="https://motorring.ru/product/29881-pryamotochnyy-glushitely-avtoprodukt-f51-2115" xr:uid="{58C1CDDC-C0C1-4998-BCC6-338A47673C7E}"/>
    <hyperlink ref="B117" r:id="rId34" display="https://motorring.ru/product/29992-kronshteyn-zapasnogo-kolesa-autoproduct-comfort-largus" xr:uid="{236627F6-246E-4547-83B7-6BD82549EA95}"/>
    <hyperlink ref="B130" r:id="rId35" display="https://motorring.ru/product/29924-rychagi-podramnika-ghestkie-70mm-autoproduct-vaz-2108-2115" xr:uid="{808F5CCE-BF34-4EE7-BC62-DDAE71441C2E}"/>
    <hyperlink ref="B140" r:id="rId36" display="https://motorring.ru/product/15543-podramnik-avtoprodukt-ghestkimi-rychagami-bez-zaschity-lada" xr:uid="{2433AC22-153A-465F-8BA2-FF20BD8F367D}"/>
    <hyperlink ref="B141" r:id="rId37" display="https://motorring.ru/product/15529-podramnik-autoproduct-ghestkimi-rychagami-bez-zaschity-2108" xr:uid="{4DF471D6-86CD-4660-8059-563186B79150}"/>
    <hyperlink ref="B142" r:id="rId38" display="https://motorring.ru/product/15540-podramnik-avtoprodukt-ghestkimi-rychagami-bez-zaschity-granta" xr:uid="{1048499E-FAC0-4713-99AE-C67052DB066F}"/>
    <hyperlink ref="B144" r:id="rId39" display="https://motorring.ru/product/15599-rychag-zadniy-autoproduct-sbore-rezinovyy-saylentblok-lada" xr:uid="{52E7FF42-D021-49E3-9A84-4A2D65C58BF2}"/>
    <hyperlink ref="B145" r:id="rId40" display="https://motorring.ru/product/15600-rychag-zadniy-autoproduct-sbore-lada-granta-kalina-kalina" xr:uid="{B3CCD65D-E4FD-4457-A378-F0F7E171804A}"/>
    <hyperlink ref="B146" r:id="rId41" display="https://motorring.ru/product/15591-rychag-zadniy-sbore-autoproduct-rezinovyy-saylentblok-lada" xr:uid="{41621B8B-28EB-4A86-9A34-5D5743998DA8}"/>
    <hyperlink ref="B147" r:id="rId42" display="https://motorring.ru/product/15587-rychag-zadniy-sbore-autoproduct-vaz-2108-21099-2113-2115" xr:uid="{D732A9F3-2F21-49BA-92A9-334CFF8077C5}"/>
    <hyperlink ref="B149" r:id="rId43" display="https://motorring.ru/product/30416-zadnyaya-nezavisimaya-podveska-avtoprodukt-kalna" xr:uid="{307552F1-D536-46CD-8EB4-8E5F17608E9B}"/>
    <hyperlink ref="B143" r:id="rId44" display="https://motorring.ru/product/15535-podramnik-avtoprodukt-ghestkimi-rychagami-bez-zaschity-2110" xr:uid="{4299E2D5-46EF-43CD-A2D2-C75BDBFEED3E}"/>
    <hyperlink ref="B134" r:id="rId45" display="https://motorring.ru/product/6088-rychagi-reguliruemye-perednie-autoproduct-pod-uvelichennuyu" xr:uid="{81BD5809-4500-467A-93E0-7B466A5D6FD2}"/>
    <hyperlink ref="B133" r:id="rId46" display="https://motorring.ru/product/15576-rychagi-reguliruemye-perednie-lada-granta-kalina-priora" xr:uid="{29A18145-928A-41DA-B626-B7B3A2122875}"/>
    <hyperlink ref="B132" r:id="rId47" display="https://motorring.ru/product/31389-rychagi-reguliruemye-pered-autoproduct-sport-pu-2108" xr:uid="{D9AD9CA7-C8AA-49F2-9818-2373749CD690}"/>
    <hyperlink ref="B129" r:id="rId48" display="https://motorring.ru/product/15537-podramnik-autoproduct-drive-rezinovymi-saylentblokami-bez" xr:uid="{7B31BA08-612A-475A-9A38-52BE860336EE}"/>
    <hyperlink ref="B167" r:id="rId49" display="https://motorring.ru/product/37463-stabilizator-poperechnoy-ustoychivosti-autoproduct-sbore-24-mm" xr:uid="{CC43312E-186C-476C-9C91-E3BE05BC7BBA}"/>
    <hyperlink ref="B164" r:id="rId50" display="https://motorring.ru/product/37440-remkomplekt-usiliteley-zadnih-stoek-dlya-lada-kalina-kalina" xr:uid="{DCE243C8-9384-45E9-9D59-5242CC163FB0}"/>
    <hyperlink ref="B163" r:id="rId51" display="https://motorring.ru/product/36923-stabilizator-poperechnoy-ustoychivosti-avtoprodukt-22mm-v-sbore" xr:uid="{67B97122-0BF7-4397-9309-43A4E6502AB4}"/>
    <hyperlink ref="B160" r:id="rId52" display="https://motorring.ru/product/37446-stabilizator-poperechnoy-ustoychivosti-autoproduct-sbore" xr:uid="{22D7ED5A-9611-4FBF-B881-4FB1095B78E9}"/>
    <hyperlink ref="B157" r:id="rId53" display="https://motorring.ru/product/37515-opora-dvigatelya-pravaya-usilennaya-podushkoy-dlya-lada-vesta-spo" xr:uid="{2A8FF6A5-4282-4BF5-AA57-ACF76837E374}"/>
    <hyperlink ref="B152" r:id="rId54" display="https://motorring.ru/product/1763-rasporka-perednyaya-avtoprodukt-vaz-2114" xr:uid="{7E7A5E96-B5A4-49C0-8859-E04911F6C578}"/>
    <hyperlink ref="B105" r:id="rId55" display="https://motorring.ru/product/29884-pryamotochnyy-glushitely-avtoprodukt-f51-priora-sedan" xr:uid="{7A4E3973-73B4-4066-BC88-04AD4DE40E40}"/>
    <hyperlink ref="B106" r:id="rId56" display="https://motorring.ru/product/29883-pryamotochnyy-glushitely-avtoprodukt-f51-2112" xr:uid="{871D6763-9CB1-4762-9143-FAD315C7F5AD}"/>
    <hyperlink ref="B103" r:id="rId57" display="https://motorring.ru/product/29882-pryamotochnyy-glushitely-avtoprodukt-f51-2110" xr:uid="{C86CBFCB-7B43-4E17-843E-D67DCCB60685}"/>
    <hyperlink ref="B114" r:id="rId58" display="https://motorring.ru/product/2394-poperechina-avtoprodukt-drive-vaz-2110-2112-priora" xr:uid="{BC529A3C-8132-4D8A-94C6-C4F8C80EF66C}"/>
    <hyperlink ref="B92" r:id="rId59" display="https://motorring.ru/product/37443-poperechina-autoproduct-drive-poliuretanovymi-sharnirami" xr:uid="{08FA75D3-83BC-420D-BFD8-21C15EB7FA4A}"/>
    <hyperlink ref="B89" r:id="rId60" display="https://motorring.ru/product/22838-poperechina-autoproduct-sport-vaz-2108-21099-2113-2115" xr:uid="{85E02111-7794-4ECB-8993-2BBC60012653}"/>
    <hyperlink ref="B86" r:id="rId61" display="https://motorring.ru/product/6077-poperechina-autoproduct-drive-rezinovymi-saylentblokami" xr:uid="{04B60AFD-A434-48CF-94CD-DF2051F139BC}"/>
    <hyperlink ref="B84" r:id="rId62" display="https://motorring.ru/product/4312-poperechina-autoproduct-safe-rezinovymi-saylentblokami-vaz" xr:uid="{4B8A93B8-CB96-4415-B895-250B73F480AE}"/>
    <hyperlink ref="B82" r:id="rId63" display="https://motorring.ru/product/15627-rasporka-perednyaya-autoproduct-drive-rastyaghkoy-silovogo" xr:uid="{CE45D1D8-FA83-4208-99CA-EC26BF75308D}"/>
    <hyperlink ref="B78" r:id="rId64" display="https://motorring.ru/product/1751-rasporka-autoproduct-drive-perednyaya-reguliruemaya" xr:uid="{824D0D84-0059-4D06-81A4-658822161612}"/>
    <hyperlink ref="B73" r:id="rId65" display="https://motorring.ru/product/1762-rasporka-perednyaya-rastyaghkoy-dop-oporoy-dvigatelya-vaz" xr:uid="{FFE6BAE7-42B1-408F-9CB0-7F7D109E460B}"/>
    <hyperlink ref="B70" r:id="rId66" display="https://motorring.ru/product/29964-nakladki-pedali-avtoprodukt-sport-mt-lada-vesta-2016" xr:uid="{5962DB09-9EDC-4F34-9BE6-3157A923AC8B}"/>
    <hyperlink ref="B177" r:id="rId67" display="https://motorring.ru/product/29966-nakladki-pedali-avtoprodukt-sport-mt-lada-xray-logan" xr:uid="{CCC65B48-D7CC-495B-89F3-986332FB2857}"/>
    <hyperlink ref="B66" r:id="rId68" display="https://motorring.ru/product/6052-kronshteyn-levoy-opory-kpp-autoproduct-drive-lada-granta" xr:uid="{3C72774A-C879-4F68-A617-55CAAC61289A}"/>
    <hyperlink ref="B59" r:id="rId69" display="https://motorring.ru/product/29932-skrytaya-rasporka-perednih-stoek-avtoprodukt-drive-vesta" xr:uid="{D032C246-C077-4D57-90E4-3C198D2B2A93}"/>
    <hyperlink ref="B57" r:id="rId70" display="https://motorring.ru/product/1761-rasporka-zadnyaya-avtoprodukt-lada-granta-kalina-kalina" xr:uid="{BBF87C7C-B7F6-42D5-9195-BF6DAC9F325F}"/>
    <hyperlink ref="B61" r:id="rId71" display="https://motorring.ru/product/6060-rastyaghka-perednih-stoek-autoproduct-drive-reguliruemaya" xr:uid="{109DCF56-C9B2-4FE9-913C-033033F16528}"/>
    <hyperlink ref="B52" r:id="rId72" display="https://motorring.ru/product/29965-nakladki-pedali-avtoprodukt-sport-amt-lada-vesta-2016" xr:uid="{A43F4F43-E7B7-4E59-BBB4-7BF3116DEBE8}"/>
    <hyperlink ref="B45" r:id="rId73" display="https://motorring.ru/product/6054-saylentblok-rychaga-vertikalynyy-avtoprodukt-zapchasty-lada" xr:uid="{C292628A-5915-4AA1-AA70-4CB42847526D}"/>
    <hyperlink ref="B44" r:id="rId74" display="https://motorring.ru/product/6067-rastyaghka-rychagov-nighnyaya-autoproduct-drive-plus-pod" xr:uid="{A2A947DE-D706-4755-A586-26DF50467559}"/>
    <hyperlink ref="B41" r:id="rId75" display="https://motorring.ru/product/29956-prostavki-ugla-razvala-autoproduct-3gradusa-dlya-vaz" xr:uid="{F9C2CF84-4076-480C-A3E6-268E80509579}"/>
    <hyperlink ref="B39" r:id="rId76" display="https://motorring.ru/product/15526-opora-dvigatelya-levaya-sport-avtoprodukt-vaz-2108-21099" xr:uid="{C03C9F68-A44F-4079-8553-F69AF57DDD3C}"/>
    <hyperlink ref="B37" r:id="rId77" display="https://motorring.ru/product/15092-prostavki-ugla-razvala-autoproduct-2-5-gradusa-vaz-2108" xr:uid="{D378E9A9-5A19-4471-84D9-C8AC76356506}"/>
    <hyperlink ref="B29" r:id="rId78" display="https://motorring.ru/product/15615-rasporka-nighnyaya-autoproduct-drive-lada-4h4-shevrole-niva" xr:uid="{F82F6B0F-D48E-47F1-B505-E55F5C34A691}"/>
    <hyperlink ref="B30" r:id="rId79" display="https://motorring.ru/product/15470-usiliteli-opor-stoek-avtoprodukt-kasterom-gradusa-2108" xr:uid="{32F1B15F-0DCC-4432-BBC7-70C6AFF97515}"/>
    <hyperlink ref="B23" r:id="rId80" display="https://motorring.ru/product/6048-opora-razdatochnoy-korobki-avtoprodukt-lada-niva-4h4" xr:uid="{FE5AB064-9660-4FB9-BFC5-6C1757A673FF}"/>
    <hyperlink ref="B20" r:id="rId81" display="https://motorring.ru/product/15090-prostavki-ugla-razvala-autoproduct-1-5-gradusa" xr:uid="{567B8928-DF37-4C64-A588-8376C6081C01}"/>
    <hyperlink ref="B17" r:id="rId82" display="https://motorring.ru/product/15469-usiliteli-opor-stoek-avtoprodukt-vaz-2108-21099-2113-2115" xr:uid="{56E1DA2C-9F4F-47E6-90BB-415D303A6097}"/>
    <hyperlink ref="B10" r:id="rId83" display="https://motorring.ru/product/29954-prostavki-ugla-razvala-autoproduct-1gradus-datsun" xr:uid="{4A55240D-F16E-4662-B8C4-B9289901688F}"/>
    <hyperlink ref="B11" r:id="rId84" display="https://motorring.ru/product/29948-prostavki-ugla-razvala-autoproduct-1gradus" xr:uid="{B5937A46-6965-402E-8F42-9AEF9F71751F}"/>
    <hyperlink ref="B13" r:id="rId85" display="https://motorring.ru/product/6064-usilitely-schitka-peredka-avtoprodukt-vaz-2110-2111-2112" xr:uid="{0668289B-71CD-4B5A-BBBF-0DF100FEE060}"/>
    <hyperlink ref="B15" r:id="rId86" display="https://motorring.ru/product/23897-koplekt-prostavok-autoproduct-drive-pod-sharovuyu-oportu" xr:uid="{F1A4A98E-D569-4DCB-8903-38BB54E861D7}"/>
    <hyperlink ref="B16" r:id="rId87" display="https://motorring.ru/product/29889-opory-reyki-rulevogo-mehanizma-avtoprodukt-vaz-2110" xr:uid="{6F7A420E-0934-4A37-863D-8DF1B6649BEB}"/>
    <hyperlink ref="B18" r:id="rId88" display="https://motorring.ru/product/15472-usiliteli-opor-stoek-avtoprodukt-lada-priora-vaz-2110-12" xr:uid="{8DCDC455-F101-4855-AD53-617366CE16A9}"/>
    <hyperlink ref="B19" r:id="rId89" display="https://motorring.ru/product/5414-usiliteli-opor-stoek-avtoprodukt-lada-kalina-kalina-granta" xr:uid="{7D376444-3EE5-4A3C-8EB8-AF287686F8C0}"/>
    <hyperlink ref="B21" r:id="rId90" display="https://motorring.ru/product/1759-rasporka-nighnyaya-autoproduct-safe-lada-granta-kalina" xr:uid="{0B4E271C-2EDB-4DBE-842F-BB60C50FBDFF}"/>
    <hyperlink ref="B22" r:id="rId91" display="https://motorring.ru/product/6036-komplekt-tyag-avtoprodukt-kontrgaykami-rulevoy-trapecii-vaz" xr:uid="{B4676141-9B05-48E0-9107-B2972553DB55}"/>
    <hyperlink ref="B24" r:id="rId92" display="https://motorring.ru/product/29872-gib-avtoprodukt-perehod-cherez-zadnyuyu-balku-2108" xr:uid="{FA407A04-2902-49FA-A26D-25B18546DDA8}"/>
    <hyperlink ref="B25" r:id="rId93" display="https://motorring.ru/product/29873-gib-avtoprodukt-perehod-cherez-zadnyuyu-balku-2110" xr:uid="{24C42B4F-3604-4B9C-965D-3DAF24057DC1}"/>
    <hyperlink ref="B27" r:id="rId94" display="https://motorring.ru/product/15091-prostavki-ugla-razvala-autoproduct-2gradusa-dlya-vaz" xr:uid="{C5222038-0325-413B-A450-CDE859952A6A}"/>
    <hyperlink ref="B28" r:id="rId95" display="https://motorring.ru/product/29870-gib-avtoprodukt-perehod-cherez-zadnyuyu-balku-1118-f51" xr:uid="{C86951B6-AA36-4F78-857A-019C94A8C006}"/>
    <hyperlink ref="B31" r:id="rId96" display="https://motorring.ru/product/15471-usiliteli-opor-stoek-avtoprodukt-kasterom-gradusa-2110" xr:uid="{E4DEDACA-CA4D-4A58-BBAF-F7D4A7C2D53F}"/>
    <hyperlink ref="B33" r:id="rId97" display="https://motorring.ru/product/29891-tyagi-avtoprodukt-kontrgaykami-rulevoy-trapecii-vaz-2101" xr:uid="{CCF2EA4E-6281-445E-8718-41A98EEDC84D}"/>
    <hyperlink ref="B35" r:id="rId98" display="https://motorring.ru/product/1757-rasporka-nighnyaya-avtoprodukt-lada-granta-kalina-kalina" xr:uid="{D5257D3E-22D5-45FA-94DD-82C895531C79}"/>
    <hyperlink ref="B36" r:id="rId99" display="https://motorring.ru/product/15527-opora-dvigatelya-perednyaya-avtoprodukt-vaz-2108-21099" xr:uid="{82B2D24F-4F54-4064-940B-ADF0058C77CA}"/>
    <hyperlink ref="B38" r:id="rId100" display="https://motorring.ru/product/15539-dopolnitelynaya-opora-dvigatelya-avtoprodukt-vaz-2110-2112" xr:uid="{D21FA968-0042-48BA-9C82-E767FC1199F7}"/>
    <hyperlink ref="B40" r:id="rId101" display="https://motorring.ru/product/29950-prostavki-ugla-razvala-autoproduct-3-5-gradusa-vaz-2108" xr:uid="{27C5CA17-61A4-49CA-BF7B-1915F94E2CF6}"/>
    <hyperlink ref="B175" r:id="rId102" display="https://motorring.ru/product/29892-remkomplekt-reguliruemyh-rychagov-avtoprodukt-dlya-vaz" xr:uid="{DA0CA258-204C-4A6B-839E-049FDAA5E7F2}"/>
    <hyperlink ref="B43" r:id="rId103" display="https://motorring.ru/product/6087-komplekt-regulirovochnyh-shayb-podramnika-autoproduct-vaz" xr:uid="{9308BE9D-274C-4FAC-9E7D-F00336D195B3}"/>
    <hyperlink ref="B46" r:id="rId104" display="https://motorring.ru/product/6084-rastyaghka-zadnego-rychaga-avtoprodukt-poliuretan-lada" xr:uid="{35272E2C-BD64-403E-A106-AD5DB22ECF11}"/>
    <hyperlink ref="B48" r:id="rId105" display="https://motorring.ru/product/15613-rasporka-perednyaya-avtoprodukt-vaz-2110-2112-priora" xr:uid="{8972E5E6-9C0D-47FF-B531-BC8AF2A5F1AD}"/>
    <hyperlink ref="B50" r:id="rId106" display="https://motorring.ru/product/15525-opora-dvigatelya-zadnyaya-sport-avtoprodukt-vaz-2108-21099" xr:uid="{0BB537FF-3193-40B1-8CB7-76C58FBD4DEC}"/>
    <hyperlink ref="B51" r:id="rId107" display="https://motorring.ru/product/29967-nakladki-pedali-avtoprodukt-sport-1-6-amt-lada-vesta-2016" xr:uid="{6434F64E-7E69-42F6-80DD-1CB0BB97676A}"/>
    <hyperlink ref="B53" r:id="rId108" display="https://motorring.ru/product/18816-rasporka-perednyaya-avtoprodukt-lada-vesta" xr:uid="{A00C0CFD-3DC4-4B30-B01C-62021E977D49}"/>
    <hyperlink ref="B54" r:id="rId109" display="https://motorring.ru/product/29968-nakladki-pedali-avtoprodukt-sport-amt-lada-xray" xr:uid="{91B7A23C-AD4F-4515-AA39-DA6BC46D97C2}"/>
    <hyperlink ref="B56" r:id="rId110" display="https://motorring.ru/product/15632-rasporka-zadnyaya-autoproduct-vaz-2108-21099-2113-2115" xr:uid="{F0A6A245-B8F4-4A1C-B53E-D506167DDFC6}"/>
    <hyperlink ref="B58" r:id="rId111" display="https://motorring.ru/product/15629-rasporka-perednyaya-autoproduct-drive-reguliruemaya-vaz" xr:uid="{C5989812-AFC2-429F-984D-5D47062A23A0}"/>
    <hyperlink ref="B60" r:id="rId112" display="https://motorring.ru/product/29931-kronshteyn-levoy-opory-kulisnoy-kpp-avtoprodukt-drive-granta" xr:uid="{CEFFEDE6-CECB-4FA4-A535-67213E7D242C}"/>
    <hyperlink ref="B62" r:id="rId113" display="https://motorring.ru/product/1755-rasporka-perednyaya-avtoprodukt-lada-priora" xr:uid="{102354FA-2541-4525-AAB0-BD7421F0A65F}"/>
    <hyperlink ref="B64" r:id="rId114" display="https://motorring.ru/product/6085-rastyaghka-zadnego-rychaga-avtoprodukt-vaz-datsun" xr:uid="{C8A20F7D-B644-441F-9EA6-1558C76568F3}"/>
    <hyperlink ref="B65" r:id="rId115" display="https://motorring.ru/product/15105-kronshteyn-zadney-opory-silovogo-agregata-pod-mkpp-kalina" xr:uid="{EE47DF74-9EFF-4802-9E7A-AD8887F7EFE4}"/>
    <hyperlink ref="B67" r:id="rId116" display="https://motorring.ru/product/6086-kronshteyn-zadney-opory-0488-ar90-1001030-dlya-lada-granta" xr:uid="{A2A29578-78E8-4ABB-B27A-B0ED4D267CF0}"/>
    <hyperlink ref="B68" r:id="rId117" display="https://motorring.ru/product/15538-stabilizator-poperechnoy-ustoychivosti-autoproduct-granta" xr:uid="{2A438528-0F37-48E9-985D-99D0D3F624E4}"/>
    <hyperlink ref="B69" r:id="rId118" display="https://motorring.ru/product/6068-stabilizator-poperechnoy-ustoychivosti-avtoprodukt-vaz" xr:uid="{4C9FC0E1-6535-45E9-A094-2EA077742D29}"/>
    <hyperlink ref="B71" r:id="rId119" display="https://motorring.ru/product/31388-nakladki-pedali-avtoprodukt-sport-mt-lada-vesta-do-2016" xr:uid="{F1412AF8-4A61-47BA-ADE7-211E9DA6E490}"/>
    <hyperlink ref="B107" r:id="rId120" display="https://motorring.ru/product/29880-pryamotochnyy-glushitely-avtoprodukt-f51-2113" xr:uid="{9A6975D3-BAB4-4390-93A1-C11C59FA625A}"/>
    <hyperlink ref="B104" r:id="rId121" display="https://motorring.ru/product/29886-pryamotochnyy-glushitely-avtoprodukt-f51-2111" xr:uid="{5A8C6598-4D10-42EC-B7BC-C9287DC2B31E}"/>
    <hyperlink ref="B102" r:id="rId122" display="https://motorring.ru/product/29879-pryamotochnyy-glushitely-avtoprodukt-f51-21099" xr:uid="{1C92FB2B-29C5-40B5-B4B6-52F003D30098}"/>
    <hyperlink ref="B100" r:id="rId123" display="https://motorring.ru/product/6055-usilitely-zadniy-avtoprodukt-vaz-2108-2109-2113-2114" xr:uid="{D5121528-D8F0-4E87-90D1-C9C7A5BD265E}"/>
    <hyperlink ref="B96" r:id="rId124" display="https://motorring.ru/product/32384-poperechina-autoproduct-peredney-oporoy-silovogo-agregata" xr:uid="{AB297D29-FEEF-4090-AB86-58612FFDF224}"/>
    <hyperlink ref="B93" r:id="rId125" display="https://motorring.ru/product/29887-tyagi-rulevoy-trapecii-avtoprodukt-kontrgaykami-4x4" xr:uid="{498AD6B7-2720-47EA-87F1-463C5E71FEFE}"/>
    <hyperlink ref="B91" r:id="rId126" display="https://motorring.ru/product/4311-poperechina-autoproduct-drive-poliuretanovymi" xr:uid="{CA4CDEA0-CCCA-4063-B803-1EF8DC1F3590}"/>
    <hyperlink ref="B88" r:id="rId127" display="https://motorring.ru/product/22836-poperechina-autoproduct-sport-lada-granta-kalina-kalina" xr:uid="{EF6E2513-B1E5-4DE4-8EBE-3614913E7794}"/>
    <hyperlink ref="B87" r:id="rId128" display="https://motorring.ru/product/3840-poperechina-autoproduct-drive-rezinovymi-saylentblokami-vaz" xr:uid="{74A385F9-D9C9-47AF-B7D3-FF71CA17E856}"/>
    <hyperlink ref="B85" r:id="rId129" display="https://motorring.ru/product/6079-poperechina-autoproduct-safe-rezinovymi-saylentblokami-dlya" xr:uid="{5D5A3C94-6BD4-4963-BAAE-B0785BA2DA2B}"/>
    <hyperlink ref="B81" r:id="rId130" display="https://motorring.ru/product/29900-komplekt-prostavok-znp-pod-zadnie-diskovye-tormoza" xr:uid="{08FEF1C1-3F71-4EC7-BA2B-D156DB288D15}"/>
    <hyperlink ref="B79" r:id="rId131" display="https://motorring.ru/product/6061-rasporka-autoproduct-drive-perednyaya-rastyaghkoy-silovogo" xr:uid="{C5AA0A1A-306F-4416-9568-D01E28493F2E}"/>
    <hyperlink ref="B77" r:id="rId132" display="https://motorring.ru/product/19291-opora-generatora-avtoprodukt-regulirovkoy-lada-granta" xr:uid="{69CDBF8F-1A15-402E-A7AF-14AEACEE2329}"/>
    <hyperlink ref="B109" r:id="rId133" display="https://motorring.ru/product/29876-pryamotochnyy-glushitely-avtoprodukt-f51-kalina-sedan" xr:uid="{D8401D3C-D328-4CDB-80AC-387EF69B5121}"/>
    <hyperlink ref="B110" r:id="rId134" display="https://motorring.ru/product/29885-pryamotochnyy-glushitely-avtoprodukt-f51-priora-2112" xr:uid="{D76BABDD-A6EF-47FA-A959-1F896D590DC7}"/>
    <hyperlink ref="B113" r:id="rId135" display="https://motorring.ru/product/29875-pryamotochnyy-glushitely-avtoprodukt-f51-kalina-universal" xr:uid="{44A4EEC4-809F-4284-85A4-70A1CAA593AB}"/>
    <hyperlink ref="B115" r:id="rId136" display="https://motorring.ru/product/6057-usilitely-zadniy-avtoprodukt-vaz-2111-2112" xr:uid="{E50463A6-A7FA-4BB2-B9D1-CAB086522587}"/>
    <hyperlink ref="B120" r:id="rId137" display="https://motorring.ru/product/29905-valy-privoda-perednih-koles-avtoprodukt-sport-70mm" xr:uid="{24BB7287-CED2-431E-966B-7372F6574164}"/>
    <hyperlink ref="B122" r:id="rId138" display="https://motorring.ru/product/15534-podramnik-autoproduct-sport-bez-zaschity-vaz-2108-21099" xr:uid="{478020E5-3B09-4EBC-9026-48FCB8742BF2}"/>
    <hyperlink ref="B124" r:id="rId139" display="https://motorring.ru/product/15542-podramnik-avtoprodukt-drive-bez-zaschity-lada-granta-kalina" xr:uid="{2C1A83F4-6E15-4CAE-9F4A-62879DFBF8C0}"/>
    <hyperlink ref="B139" r:id="rId140" display="https://motorring.ru/product/29902-neobslughivaemyy-differencial-autoproduct-4x4" xr:uid="{130E7049-8911-4F63-B09C-023E1EE4D1C3}"/>
    <hyperlink ref="B158" r:id="rId141" display="https://motorring.ru/product/37453-stabilizator-poperechnoy-ustoychivosti-autoproduct-sbore-24-mm" xr:uid="{F58D87F2-D845-48FD-B9D4-FCD6ECC49621}"/>
    <hyperlink ref="B127" r:id="rId142" display="https://motorring.ru/product/15544-podramnik-avtoprodukt-drive-poliuretan-bez-zaschity-lada" xr:uid="{E3C2AF15-08BB-43D7-9EB4-56325CC2FE4C}"/>
    <hyperlink ref="B47" r:id="rId143" display="https://motorring.ru/product/15630-rasporka-perednyaya-autoproduct-drive-2108-21099-2113-2115" xr:uid="{45632587-43C4-43FB-A27D-18BADDCEC9A9}"/>
    <hyperlink ref="B76" r:id="rId144" display="https://motorring.ru/product/15553-zaschita-dvigatelya-stalynaya-ocinkovannaya-avtoprodukt" xr:uid="{1F213884-1195-4F16-9A5B-9595ED9D74FE}"/>
    <hyperlink ref="B98" r:id="rId145" display="https://motorring.ru/product/15528-komplekt-opor-dvigatelya-sport-pro-avtoprodukt-2108" xr:uid="{01EF1EFA-8A54-4EC6-BFCC-BCBF6C393462}"/>
    <hyperlink ref="B111" r:id="rId146" display="https://motorring.ru/product/29877-pryamotochnyy-glushitely-avtoprodukt-f51-granta" xr:uid="{BF8F9CE9-BA5E-4406-B4BA-08B1C740040C}"/>
    <hyperlink ref="B168" r:id="rId147" display="https://motorring.ru/product/38364-usilennyy-kronshteyn-zapasnogo-kolesa-autoproduct-largus" xr:uid="{0A13FB15-0747-4195-80E5-335C9A54263B}"/>
    <hyperlink ref="B170" r:id="rId148" display="https://motorring.ru/product/37514-zadnyaya-nezavisimaya-podveska-dlya-lada-vesta-vesta-sw" xr:uid="{4B31F77E-EE79-4B30-B32A-2D6708B73449}"/>
    <hyperlink ref="B171" r:id="rId149" display="https://motorring.ru/product/29943-poperechina-autoproduct-drive-poliuretan-granta-kalina" xr:uid="{3037F5D3-995E-4DF8-B215-E2123100222E}"/>
  </hyperlinks>
  <pageMargins left="0.7" right="0.7" top="0.75" bottom="0.75" header="0.3" footer="0.3"/>
  <pageSetup paperSize="9" orientation="portrait" verticalDpi="0" r:id="rId150"/>
  <drawing r:id="rId151"/>
  <legacyDrawing r:id="rId152"/>
  <controls>
    <mc:AlternateContent xmlns:mc="http://schemas.openxmlformats.org/markup-compatibility/2006">
      <mc:Choice Requires="x14">
        <control shapeId="2049" r:id="rId153" name="CommandButton1">
          <controlPr defaultSize="0" autoLine="0" r:id="rId154">
            <anchor moveWithCells="1">
              <from>
                <xdr:col>7</xdr:col>
                <xdr:colOff>447675</xdr:colOff>
                <xdr:row>2</xdr:row>
                <xdr:rowOff>85725</xdr:rowOff>
              </from>
              <to>
                <xdr:col>10</xdr:col>
                <xdr:colOff>390525</xdr:colOff>
                <xdr:row>4</xdr:row>
                <xdr:rowOff>161925</xdr:rowOff>
              </to>
            </anchor>
          </controlPr>
        </control>
      </mc:Choice>
      <mc:Fallback>
        <control shapeId="2049" r:id="rId15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7FF77-9392-4FD8-A1B6-9A64D328F361}">
  <sheetPr codeName="Лист6">
    <tabColor rgb="FF92D050"/>
  </sheetPr>
  <dimension ref="A1:T1001"/>
  <sheetViews>
    <sheetView workbookViewId="0">
      <selection activeCell="F8" sqref="F8"/>
    </sheetView>
  </sheetViews>
  <sheetFormatPr defaultRowHeight="15"/>
  <cols>
    <col min="1" max="1" width="14.5703125" bestFit="1" customWidth="1"/>
    <col min="2" max="3" width="11.140625" bestFit="1" customWidth="1"/>
    <col min="4" max="4" width="81.140625" bestFit="1" customWidth="1"/>
    <col min="5" max="5" width="28.28515625" bestFit="1" customWidth="1"/>
    <col min="6" max="6" width="35.5703125" bestFit="1" customWidth="1"/>
    <col min="7" max="7" width="11.140625" style="4" bestFit="1" customWidth="1"/>
    <col min="8" max="9" width="11.140625" bestFit="1" customWidth="1"/>
    <col min="10" max="20" width="12.140625" bestFit="1" customWidth="1"/>
  </cols>
  <sheetData>
    <row r="1" spans="1:20">
      <c r="A1" t="s">
        <v>906</v>
      </c>
      <c r="B1" t="s">
        <v>907</v>
      </c>
      <c r="C1" t="s">
        <v>969</v>
      </c>
      <c r="D1" t="s">
        <v>970</v>
      </c>
      <c r="E1" t="s">
        <v>935</v>
      </c>
      <c r="F1" t="s">
        <v>971</v>
      </c>
      <c r="G1" s="4" t="s">
        <v>910</v>
      </c>
      <c r="H1" t="s">
        <v>911</v>
      </c>
      <c r="I1" t="s">
        <v>912</v>
      </c>
      <c r="J1" t="s">
        <v>913</v>
      </c>
      <c r="K1" t="s">
        <v>914</v>
      </c>
      <c r="L1" t="s">
        <v>915</v>
      </c>
      <c r="M1" t="s">
        <v>916</v>
      </c>
      <c r="N1" t="s">
        <v>917</v>
      </c>
      <c r="O1" t="s">
        <v>918</v>
      </c>
      <c r="P1" t="s">
        <v>919</v>
      </c>
      <c r="Q1" t="s">
        <v>920</v>
      </c>
      <c r="R1" t="s">
        <v>921</v>
      </c>
      <c r="S1" t="s">
        <v>922</v>
      </c>
      <c r="T1" t="s">
        <v>972</v>
      </c>
    </row>
    <row r="2" spans="1:20">
      <c r="A2" s="49"/>
      <c r="D2" s="49" t="s">
        <v>973</v>
      </c>
      <c r="E2" t="s">
        <v>908</v>
      </c>
      <c r="F2" s="49" t="s">
        <v>909</v>
      </c>
    </row>
    <row r="3" spans="1:20">
      <c r="A3" s="49"/>
      <c r="B3" t="s">
        <v>0</v>
      </c>
      <c r="D3" s="49" t="s">
        <v>923</v>
      </c>
      <c r="E3" t="s">
        <v>924</v>
      </c>
      <c r="F3" s="49" t="s">
        <v>924</v>
      </c>
    </row>
    <row r="4" spans="1:20">
      <c r="A4" s="49" t="s">
        <v>3</v>
      </c>
      <c r="B4">
        <v>140685</v>
      </c>
      <c r="C4">
        <v>469</v>
      </c>
      <c r="D4" s="49" t="s">
        <v>968</v>
      </c>
      <c r="F4" s="49"/>
      <c r="G4" s="4" t="s">
        <v>974</v>
      </c>
    </row>
    <row r="5" spans="1:20">
      <c r="A5" s="49" t="s">
        <v>3</v>
      </c>
      <c r="B5">
        <v>225418</v>
      </c>
      <c r="C5">
        <v>749</v>
      </c>
      <c r="D5" s="49" t="s">
        <v>765</v>
      </c>
      <c r="F5" s="49"/>
      <c r="G5" s="4" t="s">
        <v>975</v>
      </c>
    </row>
    <row r="6" spans="1:20">
      <c r="A6" s="49" t="s">
        <v>3</v>
      </c>
      <c r="B6">
        <v>225419</v>
      </c>
      <c r="C6">
        <v>729</v>
      </c>
      <c r="D6" s="49" t="s">
        <v>766</v>
      </c>
      <c r="F6" s="49"/>
      <c r="G6" s="4" t="s">
        <v>976</v>
      </c>
    </row>
    <row r="7" spans="1:20">
      <c r="A7" s="49" t="s">
        <v>3</v>
      </c>
      <c r="B7">
        <v>201630</v>
      </c>
      <c r="C7">
        <v>790</v>
      </c>
      <c r="D7" s="49" t="s">
        <v>767</v>
      </c>
      <c r="F7" s="49"/>
      <c r="G7" s="4" t="s">
        <v>976</v>
      </c>
    </row>
    <row r="8" spans="1:20">
      <c r="A8" s="49" t="s">
        <v>3</v>
      </c>
      <c r="B8">
        <v>223309</v>
      </c>
      <c r="C8">
        <v>629</v>
      </c>
      <c r="D8" s="49" t="s">
        <v>768</v>
      </c>
      <c r="F8" s="49"/>
      <c r="G8" s="4" t="s">
        <v>975</v>
      </c>
    </row>
    <row r="9" spans="1:20">
      <c r="A9" s="49" t="s">
        <v>3</v>
      </c>
      <c r="B9">
        <v>160774</v>
      </c>
      <c r="C9">
        <v>790</v>
      </c>
      <c r="D9" s="49" t="s">
        <v>769</v>
      </c>
      <c r="F9" s="49"/>
      <c r="G9" s="4" t="s">
        <v>1077</v>
      </c>
    </row>
    <row r="10" spans="1:20">
      <c r="A10" s="49" t="s">
        <v>3</v>
      </c>
      <c r="B10">
        <v>223693</v>
      </c>
      <c r="C10">
        <v>859</v>
      </c>
      <c r="D10" s="49" t="s">
        <v>770</v>
      </c>
      <c r="F10" s="49"/>
      <c r="G10" s="4" t="s">
        <v>1077</v>
      </c>
    </row>
    <row r="11" spans="1:20">
      <c r="A11" s="49" t="s">
        <v>3</v>
      </c>
      <c r="B11">
        <v>201733</v>
      </c>
      <c r="C11">
        <v>790</v>
      </c>
      <c r="D11" s="49" t="s">
        <v>846</v>
      </c>
      <c r="F11" s="49"/>
      <c r="G11" s="4" t="s">
        <v>1077</v>
      </c>
    </row>
    <row r="12" spans="1:20">
      <c r="A12" s="49" t="s">
        <v>3</v>
      </c>
      <c r="B12">
        <v>201628</v>
      </c>
      <c r="C12">
        <v>790</v>
      </c>
      <c r="D12" s="49" t="s">
        <v>847</v>
      </c>
      <c r="F12" s="49"/>
      <c r="G12" s="4" t="s">
        <v>1077</v>
      </c>
    </row>
    <row r="13" spans="1:20">
      <c r="A13" s="49" t="s">
        <v>3</v>
      </c>
      <c r="B13">
        <v>171132</v>
      </c>
      <c r="C13" t="s">
        <v>927</v>
      </c>
      <c r="D13" s="49"/>
      <c r="F13" s="49"/>
      <c r="G13" s="4" t="s">
        <v>977</v>
      </c>
    </row>
    <row r="14" spans="1:20">
      <c r="A14" s="49" t="s">
        <v>3</v>
      </c>
      <c r="B14">
        <v>223694</v>
      </c>
      <c r="C14">
        <v>790</v>
      </c>
      <c r="D14" s="49" t="s">
        <v>848</v>
      </c>
      <c r="F14" s="49"/>
      <c r="G14" s="4" t="s">
        <v>1077</v>
      </c>
    </row>
    <row r="15" spans="1:20">
      <c r="A15" s="49" t="s">
        <v>3</v>
      </c>
      <c r="B15">
        <v>181850</v>
      </c>
      <c r="C15">
        <v>929</v>
      </c>
      <c r="D15" s="49" t="s">
        <v>771</v>
      </c>
      <c r="F15" s="49"/>
      <c r="G15" s="4" t="s">
        <v>978</v>
      </c>
    </row>
    <row r="16" spans="1:20">
      <c r="A16" s="49" t="s">
        <v>3</v>
      </c>
      <c r="B16">
        <v>201736</v>
      </c>
      <c r="C16">
        <v>949</v>
      </c>
      <c r="D16" s="49" t="s">
        <v>849</v>
      </c>
      <c r="F16" s="49"/>
      <c r="G16" s="4" t="s">
        <v>1078</v>
      </c>
    </row>
    <row r="17" spans="1:7">
      <c r="A17" s="49" t="s">
        <v>3</v>
      </c>
      <c r="B17">
        <v>181851</v>
      </c>
      <c r="C17">
        <v>949</v>
      </c>
      <c r="D17" s="49" t="s">
        <v>850</v>
      </c>
      <c r="F17" s="49"/>
      <c r="G17" s="4" t="s">
        <v>978</v>
      </c>
    </row>
    <row r="18" spans="1:7">
      <c r="A18" s="49" t="s">
        <v>3</v>
      </c>
      <c r="B18">
        <v>223539</v>
      </c>
      <c r="C18">
        <v>949</v>
      </c>
      <c r="D18" s="49" t="s">
        <v>845</v>
      </c>
      <c r="F18" s="49"/>
      <c r="G18" s="4" t="s">
        <v>978</v>
      </c>
    </row>
    <row r="19" spans="1:7">
      <c r="A19" s="49" t="s">
        <v>3</v>
      </c>
      <c r="B19">
        <v>223540</v>
      </c>
      <c r="C19">
        <v>949</v>
      </c>
      <c r="D19" s="49" t="s">
        <v>851</v>
      </c>
      <c r="F19" s="49"/>
      <c r="G19" s="4" t="s">
        <v>978</v>
      </c>
    </row>
    <row r="20" spans="1:7">
      <c r="A20" s="49" t="s">
        <v>3</v>
      </c>
      <c r="B20">
        <v>223541</v>
      </c>
      <c r="C20">
        <v>949</v>
      </c>
      <c r="D20" s="49" t="s">
        <v>852</v>
      </c>
      <c r="F20" s="49"/>
      <c r="G20" s="4" t="s">
        <v>978</v>
      </c>
    </row>
    <row r="21" spans="1:7">
      <c r="A21" s="49" t="s">
        <v>3</v>
      </c>
      <c r="B21">
        <v>201629</v>
      </c>
      <c r="C21">
        <v>990</v>
      </c>
      <c r="D21" s="49" t="s">
        <v>844</v>
      </c>
      <c r="F21" s="49"/>
      <c r="G21" s="4" t="s">
        <v>979</v>
      </c>
    </row>
    <row r="22" spans="1:7">
      <c r="A22" s="49" t="s">
        <v>3</v>
      </c>
      <c r="B22">
        <v>202753</v>
      </c>
      <c r="C22">
        <v>990</v>
      </c>
      <c r="D22" s="49" t="s">
        <v>853</v>
      </c>
      <c r="F22" s="49"/>
      <c r="G22" s="4" t="s">
        <v>979</v>
      </c>
    </row>
    <row r="23" spans="1:7">
      <c r="A23" s="49" t="s">
        <v>3</v>
      </c>
      <c r="B23">
        <v>222924</v>
      </c>
      <c r="C23">
        <v>1190</v>
      </c>
      <c r="D23" s="49" t="s">
        <v>854</v>
      </c>
      <c r="F23" s="49"/>
      <c r="G23" s="4" t="s">
        <v>980</v>
      </c>
    </row>
    <row r="24" spans="1:7">
      <c r="A24" s="49" t="s">
        <v>3</v>
      </c>
      <c r="B24">
        <v>181690</v>
      </c>
      <c r="C24">
        <v>1290</v>
      </c>
      <c r="D24" s="49" t="s">
        <v>843</v>
      </c>
      <c r="F24" s="49"/>
      <c r="G24" s="4" t="s">
        <v>981</v>
      </c>
    </row>
    <row r="25" spans="1:7">
      <c r="A25" s="49" t="s">
        <v>3</v>
      </c>
      <c r="B25">
        <v>140766</v>
      </c>
      <c r="C25">
        <v>1190</v>
      </c>
      <c r="D25" s="49" t="s">
        <v>855</v>
      </c>
      <c r="F25" s="49"/>
      <c r="G25" s="4" t="s">
        <v>981</v>
      </c>
    </row>
    <row r="26" spans="1:7">
      <c r="A26" s="49" t="s">
        <v>3</v>
      </c>
      <c r="B26">
        <v>140763</v>
      </c>
      <c r="C26">
        <v>1190</v>
      </c>
      <c r="D26" s="49" t="s">
        <v>856</v>
      </c>
      <c r="F26" s="49"/>
      <c r="G26" s="4" t="s">
        <v>981</v>
      </c>
    </row>
    <row r="27" spans="1:7">
      <c r="A27" s="49" t="s">
        <v>3</v>
      </c>
      <c r="B27">
        <v>203075</v>
      </c>
      <c r="C27">
        <v>1190</v>
      </c>
      <c r="D27" s="49" t="s">
        <v>788</v>
      </c>
      <c r="F27" s="49"/>
      <c r="G27" s="4" t="s">
        <v>982</v>
      </c>
    </row>
    <row r="28" spans="1:7">
      <c r="A28" s="49" t="s">
        <v>3</v>
      </c>
      <c r="B28">
        <v>201662</v>
      </c>
      <c r="C28">
        <v>1190</v>
      </c>
      <c r="D28" s="49" t="s">
        <v>857</v>
      </c>
      <c r="F28" s="49"/>
      <c r="G28" s="4" t="s">
        <v>982</v>
      </c>
    </row>
    <row r="29" spans="1:7">
      <c r="A29" s="49" t="s">
        <v>3</v>
      </c>
      <c r="B29">
        <v>140764</v>
      </c>
      <c r="C29">
        <v>1190</v>
      </c>
      <c r="D29" s="49" t="s">
        <v>858</v>
      </c>
      <c r="F29" s="49"/>
      <c r="G29" s="4" t="s">
        <v>981</v>
      </c>
    </row>
    <row r="30" spans="1:7">
      <c r="A30" s="49" t="s">
        <v>3</v>
      </c>
      <c r="B30">
        <v>202751</v>
      </c>
      <c r="C30">
        <v>1190</v>
      </c>
      <c r="D30" s="49" t="s">
        <v>841</v>
      </c>
      <c r="F30" s="49"/>
      <c r="G30" s="4" t="s">
        <v>981</v>
      </c>
    </row>
    <row r="31" spans="1:7">
      <c r="A31" s="49" t="s">
        <v>3</v>
      </c>
      <c r="B31">
        <v>223542</v>
      </c>
      <c r="C31">
        <v>1190</v>
      </c>
      <c r="D31" s="49" t="s">
        <v>842</v>
      </c>
      <c r="F31" s="49"/>
      <c r="G31" s="4" t="s">
        <v>982</v>
      </c>
    </row>
    <row r="32" spans="1:7">
      <c r="A32" s="49" t="s">
        <v>3</v>
      </c>
      <c r="B32">
        <v>223543</v>
      </c>
      <c r="C32">
        <v>1290</v>
      </c>
      <c r="D32" s="49" t="s">
        <v>859</v>
      </c>
      <c r="F32" s="49"/>
      <c r="G32" s="4" t="s">
        <v>982</v>
      </c>
    </row>
    <row r="33" spans="1:7">
      <c r="A33" s="49" t="s">
        <v>3</v>
      </c>
      <c r="B33">
        <v>202750</v>
      </c>
      <c r="C33">
        <v>1190</v>
      </c>
      <c r="D33" s="49" t="s">
        <v>787</v>
      </c>
      <c r="F33" s="49"/>
      <c r="G33" s="4" t="s">
        <v>982</v>
      </c>
    </row>
    <row r="34" spans="1:7">
      <c r="A34" s="49" t="s">
        <v>3</v>
      </c>
      <c r="B34">
        <v>222925</v>
      </c>
      <c r="C34">
        <v>1290</v>
      </c>
      <c r="D34" s="49" t="s">
        <v>860</v>
      </c>
      <c r="F34" s="49"/>
      <c r="G34" s="4" t="s">
        <v>981</v>
      </c>
    </row>
    <row r="35" spans="1:7">
      <c r="A35" s="49" t="s">
        <v>3</v>
      </c>
      <c r="B35">
        <v>223544</v>
      </c>
      <c r="C35">
        <v>1190</v>
      </c>
      <c r="D35" s="49" t="s">
        <v>792</v>
      </c>
      <c r="F35" s="49"/>
      <c r="G35" s="4" t="s">
        <v>982</v>
      </c>
    </row>
    <row r="36" spans="1:7">
      <c r="A36" s="49" t="s">
        <v>3</v>
      </c>
      <c r="B36">
        <v>202754</v>
      </c>
      <c r="C36">
        <v>1190</v>
      </c>
      <c r="D36" s="49" t="s">
        <v>861</v>
      </c>
      <c r="F36" s="49"/>
      <c r="G36" s="4" t="s">
        <v>981</v>
      </c>
    </row>
    <row r="37" spans="1:7">
      <c r="A37" s="49" t="s">
        <v>3</v>
      </c>
      <c r="B37">
        <v>181701</v>
      </c>
      <c r="C37">
        <v>1490</v>
      </c>
      <c r="D37" s="49" t="s">
        <v>862</v>
      </c>
      <c r="F37" s="49"/>
      <c r="G37" s="4" t="s">
        <v>983</v>
      </c>
    </row>
    <row r="38" spans="1:7">
      <c r="A38" s="49" t="s">
        <v>3</v>
      </c>
      <c r="B38">
        <v>201631</v>
      </c>
      <c r="C38">
        <v>1290</v>
      </c>
      <c r="D38" s="49" t="s">
        <v>840</v>
      </c>
      <c r="F38" s="49"/>
      <c r="G38" s="4" t="s">
        <v>981</v>
      </c>
    </row>
    <row r="39" spans="1:7">
      <c r="A39" s="49" t="s">
        <v>3</v>
      </c>
      <c r="B39">
        <v>144406</v>
      </c>
      <c r="C39">
        <v>1590</v>
      </c>
      <c r="D39" s="49" t="s">
        <v>863</v>
      </c>
      <c r="F39" s="49"/>
      <c r="G39" s="4" t="s">
        <v>986</v>
      </c>
    </row>
    <row r="40" spans="1:7">
      <c r="A40" s="49" t="s">
        <v>3</v>
      </c>
      <c r="B40">
        <v>181703</v>
      </c>
      <c r="C40">
        <v>1490</v>
      </c>
      <c r="D40" s="49" t="s">
        <v>839</v>
      </c>
      <c r="F40" s="49"/>
      <c r="G40" s="4" t="s">
        <v>984</v>
      </c>
    </row>
    <row r="41" spans="1:7">
      <c r="A41" s="49" t="s">
        <v>3</v>
      </c>
      <c r="B41">
        <v>201633</v>
      </c>
      <c r="C41">
        <v>1390</v>
      </c>
      <c r="D41" s="49" t="s">
        <v>864</v>
      </c>
      <c r="F41" s="49"/>
      <c r="G41" s="4" t="s">
        <v>985</v>
      </c>
    </row>
    <row r="42" spans="1:7">
      <c r="A42" s="49" t="s">
        <v>3</v>
      </c>
      <c r="B42">
        <v>201632</v>
      </c>
      <c r="C42">
        <v>1390</v>
      </c>
      <c r="D42" s="49" t="s">
        <v>838</v>
      </c>
      <c r="F42" s="49"/>
      <c r="G42" s="4" t="s">
        <v>985</v>
      </c>
    </row>
    <row r="43" spans="1:7">
      <c r="A43" s="49" t="s">
        <v>3</v>
      </c>
      <c r="B43">
        <v>181704</v>
      </c>
      <c r="C43">
        <v>1590</v>
      </c>
      <c r="D43" s="49" t="s">
        <v>793</v>
      </c>
      <c r="F43" s="49"/>
      <c r="G43" s="4" t="s">
        <v>984</v>
      </c>
    </row>
    <row r="44" spans="1:7">
      <c r="A44" s="49" t="s">
        <v>3</v>
      </c>
      <c r="B44">
        <v>225383</v>
      </c>
      <c r="C44">
        <v>1590</v>
      </c>
      <c r="D44" s="49" t="s">
        <v>866</v>
      </c>
      <c r="F44" s="49"/>
      <c r="G44" s="4" t="s">
        <v>986</v>
      </c>
    </row>
    <row r="45" spans="1:7">
      <c r="A45" s="49" t="s">
        <v>3</v>
      </c>
      <c r="B45">
        <v>202752</v>
      </c>
      <c r="C45">
        <v>1490</v>
      </c>
      <c r="D45" s="49" t="s">
        <v>837</v>
      </c>
      <c r="F45" s="49"/>
      <c r="G45" s="4" t="s">
        <v>983</v>
      </c>
    </row>
    <row r="46" spans="1:7">
      <c r="A46" s="49" t="s">
        <v>3</v>
      </c>
      <c r="B46">
        <v>213164</v>
      </c>
      <c r="C46">
        <v>1690</v>
      </c>
      <c r="D46" s="49" t="s">
        <v>836</v>
      </c>
      <c r="F46" s="49"/>
      <c r="G46" s="4" t="s">
        <v>988</v>
      </c>
    </row>
    <row r="47" spans="1:7">
      <c r="A47" s="49" t="s">
        <v>3</v>
      </c>
      <c r="B47">
        <v>202988</v>
      </c>
      <c r="C47">
        <v>1490</v>
      </c>
      <c r="D47" s="49" t="s">
        <v>867</v>
      </c>
      <c r="F47" s="49"/>
      <c r="G47" s="4" t="s">
        <v>977</v>
      </c>
    </row>
    <row r="48" spans="1:7">
      <c r="A48" s="49" t="s">
        <v>3</v>
      </c>
      <c r="B48">
        <v>202745</v>
      </c>
      <c r="C48">
        <v>1590</v>
      </c>
      <c r="D48" s="49" t="s">
        <v>928</v>
      </c>
      <c r="F48" s="49"/>
      <c r="G48" s="4" t="s">
        <v>984</v>
      </c>
    </row>
    <row r="49" spans="1:7">
      <c r="A49" s="49" t="s">
        <v>3</v>
      </c>
      <c r="B49">
        <v>202748</v>
      </c>
      <c r="C49">
        <v>1690</v>
      </c>
      <c r="D49" s="49" t="s">
        <v>868</v>
      </c>
      <c r="F49" s="49"/>
      <c r="G49" s="4" t="s">
        <v>986</v>
      </c>
    </row>
    <row r="50" spans="1:7">
      <c r="A50" s="49" t="s">
        <v>3</v>
      </c>
      <c r="B50">
        <v>202747</v>
      </c>
      <c r="C50">
        <v>1690</v>
      </c>
      <c r="D50" s="49" t="s">
        <v>786</v>
      </c>
      <c r="F50" s="49"/>
      <c r="G50" s="4" t="s">
        <v>986</v>
      </c>
    </row>
    <row r="51" spans="1:7">
      <c r="A51" s="49" t="s">
        <v>3</v>
      </c>
      <c r="B51">
        <v>181702</v>
      </c>
      <c r="C51">
        <v>1890</v>
      </c>
      <c r="D51" s="49" t="s">
        <v>869</v>
      </c>
      <c r="F51" s="49"/>
      <c r="G51" s="4" t="s">
        <v>987</v>
      </c>
    </row>
    <row r="52" spans="1:7">
      <c r="A52" s="49" t="s">
        <v>3</v>
      </c>
      <c r="B52">
        <v>170836</v>
      </c>
      <c r="C52">
        <v>1690</v>
      </c>
      <c r="D52" s="49" t="s">
        <v>870</v>
      </c>
      <c r="F52" s="49"/>
      <c r="G52" s="4" t="s">
        <v>986</v>
      </c>
    </row>
    <row r="53" spans="1:7">
      <c r="A53" s="49" t="s">
        <v>3</v>
      </c>
      <c r="B53">
        <v>170837</v>
      </c>
      <c r="C53">
        <v>1690</v>
      </c>
      <c r="D53" s="49" t="s">
        <v>835</v>
      </c>
      <c r="F53" s="49"/>
      <c r="G53" s="4" t="s">
        <v>986</v>
      </c>
    </row>
    <row r="54" spans="1:7">
      <c r="A54" s="49" t="s">
        <v>3</v>
      </c>
      <c r="B54">
        <v>202736</v>
      </c>
      <c r="C54">
        <v>1690</v>
      </c>
      <c r="D54" s="49" t="s">
        <v>871</v>
      </c>
      <c r="F54" s="49"/>
      <c r="G54" s="4" t="s">
        <v>986</v>
      </c>
    </row>
    <row r="55" spans="1:7">
      <c r="A55" s="49" t="s">
        <v>3</v>
      </c>
      <c r="B55">
        <v>170838</v>
      </c>
      <c r="C55">
        <v>1690</v>
      </c>
      <c r="D55" s="49" t="s">
        <v>872</v>
      </c>
      <c r="F55" s="49"/>
      <c r="G55" s="4" t="s">
        <v>986</v>
      </c>
    </row>
    <row r="56" spans="1:7">
      <c r="A56" s="49" t="s">
        <v>3</v>
      </c>
      <c r="B56">
        <v>201634</v>
      </c>
      <c r="C56">
        <v>1690</v>
      </c>
      <c r="D56" s="49" t="s">
        <v>772</v>
      </c>
      <c r="F56" s="49"/>
      <c r="G56" s="4" t="s">
        <v>986</v>
      </c>
    </row>
    <row r="57" spans="1:7">
      <c r="A57" s="49" t="s">
        <v>3</v>
      </c>
      <c r="B57">
        <v>202742</v>
      </c>
      <c r="C57">
        <v>1790</v>
      </c>
      <c r="D57" s="49" t="s">
        <v>873</v>
      </c>
      <c r="F57" s="49"/>
      <c r="G57" s="4" t="s">
        <v>989</v>
      </c>
    </row>
    <row r="58" spans="1:7">
      <c r="A58" s="49" t="s">
        <v>3</v>
      </c>
      <c r="B58">
        <v>202743</v>
      </c>
      <c r="C58">
        <v>1890</v>
      </c>
      <c r="D58" s="49" t="s">
        <v>833</v>
      </c>
      <c r="F58" s="49"/>
      <c r="G58" s="4" t="s">
        <v>989</v>
      </c>
    </row>
    <row r="59" spans="1:7">
      <c r="A59" s="49" t="s">
        <v>3</v>
      </c>
      <c r="B59">
        <v>202756</v>
      </c>
      <c r="C59">
        <v>1890</v>
      </c>
      <c r="D59" s="49" t="s">
        <v>874</v>
      </c>
      <c r="F59" s="49"/>
      <c r="G59" s="4" t="s">
        <v>987</v>
      </c>
    </row>
    <row r="60" spans="1:7">
      <c r="A60" s="49" t="s">
        <v>3</v>
      </c>
      <c r="B60">
        <v>202737</v>
      </c>
      <c r="C60">
        <v>1890</v>
      </c>
      <c r="D60" s="49" t="s">
        <v>832</v>
      </c>
      <c r="F60" s="49"/>
      <c r="G60" s="4" t="s">
        <v>987</v>
      </c>
    </row>
    <row r="61" spans="1:7">
      <c r="A61" s="49" t="s">
        <v>3</v>
      </c>
      <c r="B61">
        <v>217372</v>
      </c>
      <c r="C61">
        <v>1890</v>
      </c>
      <c r="D61" s="49" t="s">
        <v>875</v>
      </c>
      <c r="F61" s="49"/>
      <c r="G61" s="4" t="s">
        <v>992</v>
      </c>
    </row>
    <row r="62" spans="1:7">
      <c r="A62" s="49" t="s">
        <v>3</v>
      </c>
      <c r="B62">
        <v>203072</v>
      </c>
      <c r="C62">
        <v>1990</v>
      </c>
      <c r="D62" s="49" t="s">
        <v>834</v>
      </c>
      <c r="F62" s="49"/>
      <c r="G62" s="4" t="s">
        <v>990</v>
      </c>
    </row>
    <row r="63" spans="1:7">
      <c r="A63" s="49" t="s">
        <v>3</v>
      </c>
      <c r="B63">
        <v>202749</v>
      </c>
      <c r="C63">
        <v>1990</v>
      </c>
      <c r="D63" s="49" t="s">
        <v>876</v>
      </c>
      <c r="F63" s="49"/>
      <c r="G63" s="4" t="s">
        <v>990</v>
      </c>
    </row>
    <row r="64" spans="1:7">
      <c r="A64" s="49" t="s">
        <v>3</v>
      </c>
      <c r="B64">
        <v>223499</v>
      </c>
      <c r="C64">
        <v>2190</v>
      </c>
      <c r="D64" s="49" t="s">
        <v>775</v>
      </c>
      <c r="F64" s="49"/>
      <c r="G64" s="4" t="s">
        <v>992</v>
      </c>
    </row>
    <row r="65" spans="1:7">
      <c r="A65" s="49" t="s">
        <v>3</v>
      </c>
      <c r="B65">
        <v>202987</v>
      </c>
      <c r="C65">
        <v>2190</v>
      </c>
      <c r="D65" s="49" t="s">
        <v>877</v>
      </c>
      <c r="F65" s="49"/>
      <c r="G65" s="4" t="s">
        <v>991</v>
      </c>
    </row>
    <row r="66" spans="1:7">
      <c r="A66" s="49" t="s">
        <v>3</v>
      </c>
      <c r="B66">
        <v>160643</v>
      </c>
      <c r="C66">
        <v>2190</v>
      </c>
      <c r="D66" s="49" t="s">
        <v>878</v>
      </c>
      <c r="F66" s="49"/>
      <c r="G66" s="4" t="s">
        <v>992</v>
      </c>
    </row>
    <row r="67" spans="1:7">
      <c r="A67" s="49" t="s">
        <v>3</v>
      </c>
      <c r="B67">
        <v>223469</v>
      </c>
      <c r="C67">
        <v>2290</v>
      </c>
      <c r="D67" s="49" t="s">
        <v>831</v>
      </c>
      <c r="F67" s="49"/>
      <c r="G67" s="4" t="s">
        <v>994</v>
      </c>
    </row>
    <row r="68" spans="1:7">
      <c r="A68" s="49" t="s">
        <v>3</v>
      </c>
      <c r="B68">
        <v>160642</v>
      </c>
      <c r="C68">
        <v>2190</v>
      </c>
      <c r="D68" s="49" t="s">
        <v>879</v>
      </c>
      <c r="F68" s="49"/>
      <c r="G68" s="4" t="s">
        <v>992</v>
      </c>
    </row>
    <row r="69" spans="1:7">
      <c r="A69" s="49" t="s">
        <v>3</v>
      </c>
      <c r="B69">
        <v>217355</v>
      </c>
      <c r="C69">
        <v>2190</v>
      </c>
      <c r="D69" s="49" t="s">
        <v>880</v>
      </c>
      <c r="F69" s="49"/>
      <c r="G69" s="4" t="s">
        <v>992</v>
      </c>
    </row>
    <row r="70" spans="1:7">
      <c r="A70" s="49" t="s">
        <v>3</v>
      </c>
      <c r="B70">
        <v>217364</v>
      </c>
      <c r="C70">
        <v>2290</v>
      </c>
      <c r="D70" s="49" t="s">
        <v>881</v>
      </c>
      <c r="F70" s="49"/>
      <c r="G70" s="4" t="s">
        <v>992</v>
      </c>
    </row>
    <row r="71" spans="1:7">
      <c r="A71" s="49" t="s">
        <v>3</v>
      </c>
      <c r="B71">
        <v>170841</v>
      </c>
      <c r="C71">
        <v>2290</v>
      </c>
      <c r="D71" s="49" t="s">
        <v>829</v>
      </c>
      <c r="F71" s="49"/>
      <c r="G71" s="4" t="s">
        <v>993</v>
      </c>
    </row>
    <row r="72" spans="1:7">
      <c r="A72" s="49" t="s">
        <v>3</v>
      </c>
      <c r="B72">
        <v>170840</v>
      </c>
      <c r="C72">
        <v>2290</v>
      </c>
      <c r="D72" s="49" t="s">
        <v>882</v>
      </c>
      <c r="F72" s="49"/>
      <c r="G72" s="4" t="s">
        <v>993</v>
      </c>
    </row>
    <row r="73" spans="1:7">
      <c r="A73" s="49" t="s">
        <v>3</v>
      </c>
      <c r="B73">
        <v>203970</v>
      </c>
      <c r="C73">
        <v>2690</v>
      </c>
      <c r="D73" s="49" t="s">
        <v>773</v>
      </c>
      <c r="F73" s="49"/>
      <c r="G73" s="4" t="s">
        <v>991</v>
      </c>
    </row>
    <row r="74" spans="1:7">
      <c r="A74" s="49" t="s">
        <v>3</v>
      </c>
      <c r="B74">
        <v>202757</v>
      </c>
      <c r="C74">
        <v>2390</v>
      </c>
      <c r="D74" s="49" t="s">
        <v>828</v>
      </c>
      <c r="F74" s="49"/>
      <c r="G74" s="4" t="s">
        <v>995</v>
      </c>
    </row>
    <row r="75" spans="1:7">
      <c r="A75" s="49" t="s">
        <v>3</v>
      </c>
      <c r="B75">
        <v>217358</v>
      </c>
      <c r="C75" t="s">
        <v>927</v>
      </c>
      <c r="D75" s="49"/>
      <c r="F75" s="49"/>
      <c r="G75" s="4" t="s">
        <v>977</v>
      </c>
    </row>
    <row r="76" spans="1:7">
      <c r="A76" s="49" t="s">
        <v>3</v>
      </c>
      <c r="B76">
        <v>151520</v>
      </c>
      <c r="C76">
        <v>2590</v>
      </c>
      <c r="D76" s="49"/>
      <c r="F76" s="49"/>
      <c r="G76" s="4" t="s">
        <v>977</v>
      </c>
    </row>
    <row r="77" spans="1:7">
      <c r="A77" s="49" t="s">
        <v>3</v>
      </c>
      <c r="B77">
        <v>151522</v>
      </c>
      <c r="C77">
        <v>2590</v>
      </c>
      <c r="D77" s="49" t="s">
        <v>929</v>
      </c>
      <c r="F77" s="49"/>
      <c r="G77" s="4" t="s">
        <v>995</v>
      </c>
    </row>
    <row r="78" spans="1:7">
      <c r="A78" s="49" t="s">
        <v>3</v>
      </c>
      <c r="B78">
        <v>160614</v>
      </c>
      <c r="C78">
        <v>2690</v>
      </c>
      <c r="D78" s="49" t="s">
        <v>895</v>
      </c>
      <c r="F78" s="49"/>
      <c r="G78" s="4" t="s">
        <v>997</v>
      </c>
    </row>
    <row r="79" spans="1:7">
      <c r="A79" s="49" t="s">
        <v>3</v>
      </c>
      <c r="B79">
        <v>202734</v>
      </c>
      <c r="C79">
        <v>2690</v>
      </c>
      <c r="D79" s="49" t="s">
        <v>827</v>
      </c>
      <c r="F79" s="49"/>
      <c r="G79" s="4" t="s">
        <v>925</v>
      </c>
    </row>
    <row r="80" spans="1:7">
      <c r="A80" s="49" t="s">
        <v>3</v>
      </c>
      <c r="B80">
        <v>202759</v>
      </c>
      <c r="C80">
        <v>2690</v>
      </c>
      <c r="D80" s="49" t="s">
        <v>894</v>
      </c>
      <c r="F80" s="49"/>
      <c r="G80" s="4" t="s">
        <v>996</v>
      </c>
    </row>
    <row r="81" spans="1:7">
      <c r="A81" s="49" t="s">
        <v>3</v>
      </c>
      <c r="B81">
        <v>151521</v>
      </c>
      <c r="C81">
        <v>2690</v>
      </c>
      <c r="D81" s="49" t="s">
        <v>774</v>
      </c>
      <c r="F81" s="49"/>
      <c r="G81" s="4" t="s">
        <v>996</v>
      </c>
    </row>
    <row r="82" spans="1:7">
      <c r="A82" s="49" t="s">
        <v>3</v>
      </c>
      <c r="B82">
        <v>159496</v>
      </c>
      <c r="C82">
        <v>2690</v>
      </c>
      <c r="D82" s="49" t="s">
        <v>893</v>
      </c>
      <c r="F82" s="49"/>
      <c r="G82" s="4" t="s">
        <v>991</v>
      </c>
    </row>
    <row r="83" spans="1:7">
      <c r="A83" s="49" t="s">
        <v>3</v>
      </c>
      <c r="B83">
        <v>202758</v>
      </c>
      <c r="C83">
        <v>2990</v>
      </c>
      <c r="D83" s="49" t="s">
        <v>826</v>
      </c>
      <c r="F83" s="49"/>
      <c r="G83" s="4" t="s">
        <v>1026</v>
      </c>
    </row>
    <row r="84" spans="1:7">
      <c r="A84" s="49" t="s">
        <v>3</v>
      </c>
      <c r="B84">
        <v>160523</v>
      </c>
      <c r="C84" t="s">
        <v>927</v>
      </c>
      <c r="D84" s="49"/>
      <c r="F84" s="49"/>
      <c r="G84" s="4" t="s">
        <v>977</v>
      </c>
    </row>
    <row r="85" spans="1:7">
      <c r="A85" s="49" t="s">
        <v>3</v>
      </c>
      <c r="B85">
        <v>195299</v>
      </c>
      <c r="C85">
        <v>2790</v>
      </c>
      <c r="D85" s="49" t="s">
        <v>825</v>
      </c>
      <c r="F85" s="49"/>
      <c r="G85" s="4" t="s">
        <v>997</v>
      </c>
    </row>
    <row r="86" spans="1:7">
      <c r="A86" s="49" t="s">
        <v>3</v>
      </c>
      <c r="B86">
        <v>195301</v>
      </c>
      <c r="C86">
        <v>2890</v>
      </c>
      <c r="D86" s="49" t="s">
        <v>892</v>
      </c>
      <c r="F86" s="49"/>
      <c r="G86" s="4" t="s">
        <v>997</v>
      </c>
    </row>
    <row r="87" spans="1:7">
      <c r="A87" s="49" t="s">
        <v>3</v>
      </c>
      <c r="B87">
        <v>195294</v>
      </c>
      <c r="C87">
        <v>3190</v>
      </c>
      <c r="D87" s="49" t="s">
        <v>824</v>
      </c>
      <c r="F87" s="49"/>
      <c r="G87" s="4" t="s">
        <v>1079</v>
      </c>
    </row>
    <row r="88" spans="1:7">
      <c r="A88" s="49" t="s">
        <v>3</v>
      </c>
      <c r="B88">
        <v>195292</v>
      </c>
      <c r="C88">
        <v>3190</v>
      </c>
      <c r="D88" s="49" t="s">
        <v>891</v>
      </c>
      <c r="F88" s="49"/>
      <c r="G88" s="4" t="s">
        <v>1079</v>
      </c>
    </row>
    <row r="89" spans="1:7">
      <c r="A89" s="49" t="s">
        <v>3</v>
      </c>
      <c r="B89">
        <v>195276</v>
      </c>
      <c r="C89">
        <v>3890</v>
      </c>
      <c r="D89" s="49" t="s">
        <v>890</v>
      </c>
      <c r="F89" s="49"/>
      <c r="G89" s="4" t="s">
        <v>998</v>
      </c>
    </row>
    <row r="90" spans="1:7">
      <c r="A90" s="49" t="s">
        <v>3</v>
      </c>
      <c r="B90">
        <v>195302</v>
      </c>
      <c r="C90">
        <v>3390</v>
      </c>
      <c r="D90" s="49" t="s">
        <v>823</v>
      </c>
      <c r="F90" s="49"/>
      <c r="G90" s="4" t="s">
        <v>999</v>
      </c>
    </row>
    <row r="91" spans="1:7">
      <c r="A91" s="49" t="s">
        <v>3</v>
      </c>
      <c r="B91">
        <v>181854</v>
      </c>
      <c r="C91">
        <v>4390</v>
      </c>
      <c r="D91" s="49" t="s">
        <v>794</v>
      </c>
      <c r="F91" s="49"/>
      <c r="G91" s="4" t="s">
        <v>1080</v>
      </c>
    </row>
    <row r="92" spans="1:7">
      <c r="A92" s="49" t="s">
        <v>3</v>
      </c>
      <c r="B92">
        <v>195296</v>
      </c>
      <c r="C92">
        <v>3690</v>
      </c>
      <c r="D92" s="49" t="s">
        <v>889</v>
      </c>
      <c r="F92" s="49"/>
      <c r="G92" s="4" t="s">
        <v>1081</v>
      </c>
    </row>
    <row r="93" spans="1:7">
      <c r="A93" s="49" t="s">
        <v>3</v>
      </c>
      <c r="B93">
        <v>195298</v>
      </c>
      <c r="C93">
        <v>4290</v>
      </c>
      <c r="D93" s="49" t="s">
        <v>822</v>
      </c>
      <c r="F93" s="49"/>
      <c r="G93" s="4" t="s">
        <v>1001</v>
      </c>
    </row>
    <row r="94" spans="1:7">
      <c r="A94" s="49" t="s">
        <v>3</v>
      </c>
      <c r="B94">
        <v>159921</v>
      </c>
      <c r="C94">
        <v>4590</v>
      </c>
      <c r="D94" s="49" t="s">
        <v>888</v>
      </c>
      <c r="F94" s="49"/>
      <c r="G94" s="4" t="s">
        <v>1080</v>
      </c>
    </row>
    <row r="95" spans="1:7">
      <c r="A95" s="49" t="s">
        <v>3</v>
      </c>
      <c r="B95">
        <v>195245</v>
      </c>
      <c r="C95" t="s">
        <v>927</v>
      </c>
      <c r="D95" s="49"/>
      <c r="F95" s="49"/>
      <c r="G95" s="4" t="s">
        <v>977</v>
      </c>
    </row>
    <row r="96" spans="1:7">
      <c r="A96" s="49" t="s">
        <v>3</v>
      </c>
      <c r="B96">
        <v>195295</v>
      </c>
      <c r="C96">
        <v>4890</v>
      </c>
      <c r="D96" s="49" t="s">
        <v>789</v>
      </c>
      <c r="F96" s="49"/>
      <c r="G96" s="4" t="s">
        <v>1002</v>
      </c>
    </row>
    <row r="97" spans="1:7">
      <c r="A97" s="49" t="s">
        <v>3</v>
      </c>
      <c r="B97">
        <v>195246</v>
      </c>
      <c r="C97">
        <v>4790</v>
      </c>
      <c r="D97" s="49" t="s">
        <v>887</v>
      </c>
      <c r="F97" s="49"/>
      <c r="G97" s="4" t="s">
        <v>1003</v>
      </c>
    </row>
    <row r="98" spans="1:7">
      <c r="A98" s="49" t="s">
        <v>3</v>
      </c>
      <c r="B98">
        <v>203105</v>
      </c>
      <c r="C98" t="s">
        <v>927</v>
      </c>
      <c r="D98" s="49"/>
      <c r="F98" s="49"/>
      <c r="G98" s="4" t="s">
        <v>977</v>
      </c>
    </row>
    <row r="99" spans="1:7">
      <c r="A99" s="49" t="s">
        <v>3</v>
      </c>
      <c r="B99">
        <v>181855</v>
      </c>
      <c r="C99">
        <v>4990</v>
      </c>
      <c r="D99" s="49" t="s">
        <v>930</v>
      </c>
      <c r="F99" s="49"/>
      <c r="G99" s="4" t="s">
        <v>1004</v>
      </c>
    </row>
    <row r="100" spans="1:7">
      <c r="A100" s="49" t="s">
        <v>3</v>
      </c>
      <c r="B100">
        <v>223621</v>
      </c>
      <c r="C100">
        <v>5390</v>
      </c>
      <c r="D100" s="49" t="s">
        <v>776</v>
      </c>
      <c r="F100" s="49"/>
      <c r="G100" s="4" t="s">
        <v>1009</v>
      </c>
    </row>
    <row r="101" spans="1:7">
      <c r="A101" s="49" t="s">
        <v>3</v>
      </c>
      <c r="B101">
        <v>223620</v>
      </c>
      <c r="C101">
        <v>5790</v>
      </c>
      <c r="D101" s="49" t="s">
        <v>886</v>
      </c>
      <c r="F101" s="49"/>
      <c r="G101" s="4" t="s">
        <v>1009</v>
      </c>
    </row>
    <row r="102" spans="1:7">
      <c r="A102" s="49" t="s">
        <v>3</v>
      </c>
      <c r="B102">
        <v>141266</v>
      </c>
      <c r="C102">
        <v>5190</v>
      </c>
      <c r="D102" s="49" t="s">
        <v>795</v>
      </c>
      <c r="F102" s="49"/>
      <c r="G102" s="4" t="s">
        <v>1082</v>
      </c>
    </row>
    <row r="103" spans="1:7">
      <c r="A103" s="49" t="s">
        <v>3</v>
      </c>
      <c r="B103">
        <v>141267</v>
      </c>
      <c r="C103">
        <v>5190</v>
      </c>
      <c r="D103" s="49" t="s">
        <v>885</v>
      </c>
      <c r="F103" s="49"/>
      <c r="G103" s="4" t="s">
        <v>1006</v>
      </c>
    </row>
    <row r="104" spans="1:7">
      <c r="A104" s="49" t="s">
        <v>3</v>
      </c>
      <c r="B104">
        <v>141268</v>
      </c>
      <c r="C104">
        <v>5190</v>
      </c>
      <c r="D104" s="49" t="s">
        <v>820</v>
      </c>
      <c r="F104" s="49"/>
      <c r="G104" s="4" t="s">
        <v>1006</v>
      </c>
    </row>
    <row r="105" spans="1:7">
      <c r="A105" s="49" t="s">
        <v>3</v>
      </c>
      <c r="B105">
        <v>141269</v>
      </c>
      <c r="C105">
        <v>4690</v>
      </c>
      <c r="D105" s="49" t="s">
        <v>884</v>
      </c>
      <c r="F105" s="49"/>
      <c r="G105" s="4" t="s">
        <v>1003</v>
      </c>
    </row>
    <row r="106" spans="1:7">
      <c r="A106" s="49" t="s">
        <v>3</v>
      </c>
      <c r="B106">
        <v>141276</v>
      </c>
      <c r="C106">
        <v>5390</v>
      </c>
      <c r="D106" s="49" t="s">
        <v>818</v>
      </c>
      <c r="F106" s="49"/>
      <c r="G106" s="4" t="s">
        <v>1005</v>
      </c>
    </row>
    <row r="107" spans="1:7">
      <c r="A107" s="49" t="s">
        <v>3</v>
      </c>
      <c r="B107">
        <v>141270</v>
      </c>
      <c r="C107">
        <v>5490</v>
      </c>
      <c r="D107" s="49" t="s">
        <v>819</v>
      </c>
      <c r="F107" s="49"/>
      <c r="G107" s="4" t="s">
        <v>1005</v>
      </c>
    </row>
    <row r="108" spans="1:7">
      <c r="A108" s="49" t="s">
        <v>3</v>
      </c>
      <c r="B108">
        <v>141271</v>
      </c>
      <c r="C108">
        <v>5190</v>
      </c>
      <c r="D108" s="49" t="s">
        <v>883</v>
      </c>
      <c r="F108" s="49"/>
      <c r="G108" s="4" t="s">
        <v>1005</v>
      </c>
    </row>
    <row r="109" spans="1:7">
      <c r="A109" s="49" t="s">
        <v>3</v>
      </c>
      <c r="B109">
        <v>141113</v>
      </c>
      <c r="C109">
        <v>5190</v>
      </c>
      <c r="D109" s="49" t="s">
        <v>796</v>
      </c>
      <c r="F109" s="49"/>
      <c r="G109" s="4" t="s">
        <v>1005</v>
      </c>
    </row>
    <row r="110" spans="1:7">
      <c r="A110" s="49" t="s">
        <v>3</v>
      </c>
      <c r="B110">
        <v>141273</v>
      </c>
      <c r="C110">
        <v>5290</v>
      </c>
      <c r="D110" s="49" t="s">
        <v>896</v>
      </c>
      <c r="F110" s="49"/>
      <c r="G110" s="4" t="s">
        <v>1005</v>
      </c>
    </row>
    <row r="111" spans="1:7">
      <c r="A111" s="49" t="s">
        <v>3</v>
      </c>
      <c r="B111">
        <v>141277</v>
      </c>
      <c r="C111">
        <v>5390</v>
      </c>
      <c r="D111" s="49" t="s">
        <v>897</v>
      </c>
      <c r="F111" s="49"/>
      <c r="G111" s="4" t="s">
        <v>1008</v>
      </c>
    </row>
    <row r="112" spans="1:7">
      <c r="A112" s="49" t="s">
        <v>3</v>
      </c>
      <c r="B112">
        <v>141272</v>
      </c>
      <c r="C112">
        <v>5290</v>
      </c>
      <c r="D112" s="49" t="s">
        <v>931</v>
      </c>
      <c r="F112" s="49"/>
      <c r="G112" s="4" t="s">
        <v>1007</v>
      </c>
    </row>
    <row r="113" spans="1:7">
      <c r="A113" s="49" t="s">
        <v>3</v>
      </c>
      <c r="B113">
        <v>141275</v>
      </c>
      <c r="C113">
        <v>4990</v>
      </c>
      <c r="D113" s="49" t="s">
        <v>777</v>
      </c>
      <c r="F113" s="49"/>
      <c r="G113" s="4" t="s">
        <v>1083</v>
      </c>
    </row>
    <row r="114" spans="1:7">
      <c r="A114" s="49" t="s">
        <v>3</v>
      </c>
      <c r="B114">
        <v>141274</v>
      </c>
      <c r="C114">
        <v>4990</v>
      </c>
      <c r="D114" s="49" t="s">
        <v>898</v>
      </c>
      <c r="F114" s="49"/>
      <c r="G114" s="4" t="s">
        <v>1083</v>
      </c>
    </row>
    <row r="115" spans="1:7">
      <c r="A115" s="49" t="s">
        <v>3</v>
      </c>
      <c r="B115">
        <v>195293</v>
      </c>
      <c r="C115">
        <v>5490</v>
      </c>
      <c r="D115" s="49" t="s">
        <v>821</v>
      </c>
      <c r="F115" s="49"/>
      <c r="G115" s="4" t="s">
        <v>1083</v>
      </c>
    </row>
    <row r="116" spans="1:7">
      <c r="A116" s="49" t="s">
        <v>3</v>
      </c>
      <c r="B116">
        <v>223619</v>
      </c>
      <c r="C116">
        <v>5990</v>
      </c>
      <c r="D116" s="49" t="s">
        <v>899</v>
      </c>
      <c r="F116" s="49"/>
      <c r="G116" s="4" t="s">
        <v>1011</v>
      </c>
    </row>
    <row r="117" spans="1:7">
      <c r="A117" s="49" t="s">
        <v>3</v>
      </c>
      <c r="B117">
        <v>222889</v>
      </c>
      <c r="C117">
        <v>5590</v>
      </c>
      <c r="D117" s="49" t="s">
        <v>790</v>
      </c>
      <c r="F117" s="49"/>
      <c r="G117" s="4" t="s">
        <v>1010</v>
      </c>
    </row>
    <row r="118" spans="1:7">
      <c r="A118" s="49" t="s">
        <v>3</v>
      </c>
      <c r="B118">
        <v>136706</v>
      </c>
      <c r="C118">
        <v>6190</v>
      </c>
      <c r="D118" s="49" t="s">
        <v>797</v>
      </c>
      <c r="F118" s="49"/>
      <c r="G118" s="4" t="s">
        <v>1011</v>
      </c>
    </row>
    <row r="119" spans="1:7">
      <c r="A119" s="49" t="s">
        <v>3</v>
      </c>
      <c r="B119">
        <v>201661</v>
      </c>
      <c r="C119">
        <v>7190</v>
      </c>
      <c r="D119" s="49" t="s">
        <v>778</v>
      </c>
      <c r="F119" s="49"/>
      <c r="G119" s="4" t="s">
        <v>1084</v>
      </c>
    </row>
    <row r="120" spans="1:7">
      <c r="A120" s="49" t="s">
        <v>3</v>
      </c>
      <c r="B120">
        <v>194499</v>
      </c>
      <c r="C120">
        <v>7490</v>
      </c>
      <c r="D120" s="49" t="s">
        <v>791</v>
      </c>
      <c r="F120" s="49"/>
      <c r="G120" s="4" t="s">
        <v>1010</v>
      </c>
    </row>
    <row r="121" spans="1:7">
      <c r="A121" s="49" t="s">
        <v>3</v>
      </c>
      <c r="B121">
        <v>139090</v>
      </c>
      <c r="C121">
        <v>9390</v>
      </c>
      <c r="D121" s="49" t="s">
        <v>900</v>
      </c>
      <c r="F121" s="49"/>
      <c r="G121" s="4" t="s">
        <v>1012</v>
      </c>
    </row>
    <row r="122" spans="1:7">
      <c r="A122" s="49" t="s">
        <v>3</v>
      </c>
      <c r="B122">
        <v>194501</v>
      </c>
      <c r="C122">
        <v>7390</v>
      </c>
      <c r="D122" s="49" t="s">
        <v>779</v>
      </c>
      <c r="F122" s="49"/>
      <c r="G122" s="4" t="s">
        <v>1013</v>
      </c>
    </row>
    <row r="123" spans="1:7">
      <c r="A123" s="49" t="s">
        <v>3</v>
      </c>
      <c r="B123">
        <v>194479</v>
      </c>
      <c r="C123">
        <v>7690</v>
      </c>
      <c r="D123" s="49" t="s">
        <v>901</v>
      </c>
      <c r="F123" s="49"/>
      <c r="G123" s="4" t="s">
        <v>1014</v>
      </c>
    </row>
    <row r="124" spans="1:7">
      <c r="A124" s="49" t="s">
        <v>3</v>
      </c>
      <c r="B124">
        <v>194480</v>
      </c>
      <c r="C124">
        <v>7590</v>
      </c>
      <c r="D124" s="49" t="s">
        <v>782</v>
      </c>
      <c r="F124" s="49"/>
      <c r="G124" s="4" t="s">
        <v>1015</v>
      </c>
    </row>
    <row r="125" spans="1:7">
      <c r="A125" s="49" t="s">
        <v>3</v>
      </c>
      <c r="B125">
        <v>194500</v>
      </c>
      <c r="C125">
        <v>7690</v>
      </c>
      <c r="D125" s="49" t="s">
        <v>902</v>
      </c>
      <c r="F125" s="49"/>
      <c r="G125" s="4" t="s">
        <v>1085</v>
      </c>
    </row>
    <row r="126" spans="1:7">
      <c r="A126" s="49" t="s">
        <v>3</v>
      </c>
      <c r="B126">
        <v>212985</v>
      </c>
      <c r="C126" t="s">
        <v>927</v>
      </c>
      <c r="D126" s="49"/>
      <c r="F126" s="49"/>
      <c r="G126" s="4" t="s">
        <v>977</v>
      </c>
    </row>
    <row r="127" spans="1:7">
      <c r="A127" s="49" t="s">
        <v>3</v>
      </c>
      <c r="B127">
        <v>213107</v>
      </c>
      <c r="C127">
        <v>8990</v>
      </c>
      <c r="D127" s="49" t="s">
        <v>780</v>
      </c>
      <c r="F127" s="49"/>
      <c r="G127" s="4" t="s">
        <v>1016</v>
      </c>
    </row>
    <row r="128" spans="1:7">
      <c r="A128" s="49" t="s">
        <v>3</v>
      </c>
      <c r="B128">
        <v>194504</v>
      </c>
      <c r="C128">
        <v>7790</v>
      </c>
      <c r="D128" s="49" t="s">
        <v>905</v>
      </c>
      <c r="F128" s="49"/>
      <c r="G128" s="4" t="s">
        <v>1086</v>
      </c>
    </row>
    <row r="129" spans="1:7">
      <c r="A129" s="49" t="s">
        <v>3</v>
      </c>
      <c r="B129">
        <v>194503</v>
      </c>
      <c r="C129">
        <v>8490</v>
      </c>
      <c r="D129" s="49" t="s">
        <v>781</v>
      </c>
      <c r="F129" s="49"/>
      <c r="G129" s="4" t="s">
        <v>1017</v>
      </c>
    </row>
    <row r="130" spans="1:7">
      <c r="A130" s="49" t="s">
        <v>3</v>
      </c>
      <c r="B130">
        <v>194477</v>
      </c>
      <c r="C130">
        <v>8890</v>
      </c>
      <c r="D130" s="49" t="s">
        <v>811</v>
      </c>
      <c r="F130" s="49"/>
      <c r="G130" s="4" t="s">
        <v>1016</v>
      </c>
    </row>
    <row r="131" spans="1:7">
      <c r="A131" s="49" t="s">
        <v>3</v>
      </c>
      <c r="B131">
        <v>213100</v>
      </c>
      <c r="C131">
        <v>9190</v>
      </c>
      <c r="D131" s="49" t="s">
        <v>798</v>
      </c>
      <c r="F131" s="49"/>
      <c r="G131" s="4" t="s">
        <v>977</v>
      </c>
    </row>
    <row r="132" spans="1:7">
      <c r="A132" s="49" t="s">
        <v>3</v>
      </c>
      <c r="B132">
        <v>212986</v>
      </c>
      <c r="C132" t="s">
        <v>927</v>
      </c>
      <c r="D132" s="49"/>
      <c r="F132" s="49"/>
      <c r="G132" s="4" t="s">
        <v>977</v>
      </c>
    </row>
    <row r="133" spans="1:7">
      <c r="A133" s="49" t="s">
        <v>3</v>
      </c>
      <c r="B133">
        <v>213109</v>
      </c>
      <c r="C133">
        <v>10390</v>
      </c>
      <c r="D133" s="49" t="s">
        <v>810</v>
      </c>
      <c r="F133" s="49"/>
      <c r="G133" s="4" t="s">
        <v>1087</v>
      </c>
    </row>
    <row r="134" spans="1:7">
      <c r="A134" s="49" t="s">
        <v>3</v>
      </c>
      <c r="B134">
        <v>213108</v>
      </c>
      <c r="C134">
        <v>10290</v>
      </c>
      <c r="D134" s="49" t="s">
        <v>809</v>
      </c>
      <c r="F134" s="49"/>
      <c r="G134" s="4" t="s">
        <v>1018</v>
      </c>
    </row>
    <row r="135" spans="1:7">
      <c r="A135" s="49" t="s">
        <v>3</v>
      </c>
      <c r="B135">
        <v>213110</v>
      </c>
      <c r="C135">
        <v>10490</v>
      </c>
      <c r="D135" s="49" t="s">
        <v>808</v>
      </c>
      <c r="F135" s="49"/>
      <c r="G135" s="4" t="s">
        <v>1019</v>
      </c>
    </row>
    <row r="136" spans="1:7">
      <c r="A136" s="49" t="s">
        <v>3</v>
      </c>
      <c r="B136">
        <v>139226</v>
      </c>
      <c r="C136">
        <v>11590</v>
      </c>
      <c r="D136" s="49" t="s">
        <v>784</v>
      </c>
      <c r="F136" s="49"/>
      <c r="G136" s="4" t="s">
        <v>1020</v>
      </c>
    </row>
    <row r="137" spans="1:7">
      <c r="A137" s="49" t="s">
        <v>3</v>
      </c>
      <c r="B137">
        <v>139228</v>
      </c>
      <c r="C137" t="s">
        <v>927</v>
      </c>
      <c r="D137" s="49"/>
      <c r="F137" s="49"/>
      <c r="G137" s="4" t="s">
        <v>977</v>
      </c>
    </row>
    <row r="138" spans="1:7">
      <c r="A138" s="49" t="s">
        <v>3</v>
      </c>
      <c r="B138">
        <v>139229</v>
      </c>
      <c r="C138">
        <v>12690</v>
      </c>
      <c r="D138" s="49" t="s">
        <v>783</v>
      </c>
      <c r="F138" s="49"/>
      <c r="G138" s="4" t="s">
        <v>1021</v>
      </c>
    </row>
    <row r="139" spans="1:7">
      <c r="A139" s="49" t="s">
        <v>3</v>
      </c>
      <c r="B139">
        <v>139230</v>
      </c>
      <c r="C139" t="s">
        <v>927</v>
      </c>
      <c r="D139" s="49"/>
      <c r="F139" s="49"/>
      <c r="G139" s="4" t="s">
        <v>977</v>
      </c>
    </row>
    <row r="140" spans="1:7">
      <c r="A140" s="49" t="s">
        <v>3</v>
      </c>
      <c r="B140">
        <v>139227</v>
      </c>
      <c r="C140">
        <v>12690</v>
      </c>
      <c r="D140" s="49" t="s">
        <v>903</v>
      </c>
      <c r="F140" s="49"/>
      <c r="G140" s="4" t="s">
        <v>1021</v>
      </c>
    </row>
    <row r="141" spans="1:7">
      <c r="A141" s="49" t="s">
        <v>3</v>
      </c>
      <c r="B141">
        <v>194519</v>
      </c>
      <c r="C141">
        <v>15390</v>
      </c>
      <c r="D141" s="49" t="s">
        <v>799</v>
      </c>
      <c r="F141" s="49"/>
      <c r="G141" s="4" t="s">
        <v>1088</v>
      </c>
    </row>
    <row r="142" spans="1:7">
      <c r="A142" s="49" t="s">
        <v>3</v>
      </c>
      <c r="B142">
        <v>194517</v>
      </c>
      <c r="C142">
        <v>14990</v>
      </c>
      <c r="D142" s="49" t="s">
        <v>800</v>
      </c>
      <c r="F142" s="49"/>
      <c r="G142" s="4" t="s">
        <v>1088</v>
      </c>
    </row>
    <row r="143" spans="1:7">
      <c r="A143" s="49" t="s">
        <v>3</v>
      </c>
      <c r="B143">
        <v>194518</v>
      </c>
      <c r="C143">
        <v>15590</v>
      </c>
      <c r="D143" s="49" t="s">
        <v>801</v>
      </c>
      <c r="F143" s="49"/>
      <c r="G143" s="4" t="s">
        <v>1089</v>
      </c>
    </row>
    <row r="144" spans="1:7">
      <c r="A144" s="49" t="s">
        <v>3</v>
      </c>
      <c r="B144">
        <v>194481</v>
      </c>
      <c r="C144">
        <v>15490</v>
      </c>
      <c r="D144" s="49" t="s">
        <v>807</v>
      </c>
      <c r="F144" s="49"/>
      <c r="G144" s="4" t="s">
        <v>1089</v>
      </c>
    </row>
    <row r="145" spans="1:7">
      <c r="A145" s="49" t="s">
        <v>3</v>
      </c>
      <c r="B145">
        <v>212987</v>
      </c>
      <c r="C145">
        <v>17590</v>
      </c>
      <c r="D145" s="49" t="s">
        <v>802</v>
      </c>
      <c r="F145" s="49"/>
      <c r="G145" s="4" t="s">
        <v>977</v>
      </c>
    </row>
    <row r="146" spans="1:7">
      <c r="A146" s="49" t="s">
        <v>3</v>
      </c>
      <c r="B146">
        <v>212992</v>
      </c>
      <c r="C146">
        <v>21590</v>
      </c>
      <c r="D146" s="49" t="s">
        <v>803</v>
      </c>
      <c r="F146" s="49"/>
      <c r="G146" s="4" t="s">
        <v>1022</v>
      </c>
    </row>
    <row r="147" spans="1:7">
      <c r="A147" s="49" t="s">
        <v>3</v>
      </c>
      <c r="B147">
        <v>212988</v>
      </c>
      <c r="C147">
        <v>18590</v>
      </c>
      <c r="D147" s="49" t="s">
        <v>804</v>
      </c>
      <c r="F147" s="49"/>
      <c r="G147" s="4" t="s">
        <v>1023</v>
      </c>
    </row>
    <row r="148" spans="1:7">
      <c r="A148" s="49" t="s">
        <v>3</v>
      </c>
      <c r="B148">
        <v>212991</v>
      </c>
      <c r="C148">
        <v>19190</v>
      </c>
      <c r="D148" s="49" t="s">
        <v>805</v>
      </c>
      <c r="F148" s="49"/>
      <c r="G148" s="4" t="s">
        <v>1024</v>
      </c>
    </row>
    <row r="149" spans="1:7">
      <c r="A149" s="49" t="s">
        <v>3</v>
      </c>
      <c r="B149">
        <v>194098</v>
      </c>
      <c r="C149">
        <v>34990</v>
      </c>
      <c r="D149" s="49" t="s">
        <v>785</v>
      </c>
      <c r="F149" s="49"/>
      <c r="G149" s="4" t="s">
        <v>1025</v>
      </c>
    </row>
    <row r="150" spans="1:7">
      <c r="A150" s="49" t="s">
        <v>3</v>
      </c>
      <c r="B150">
        <v>194099</v>
      </c>
      <c r="C150">
        <v>36590</v>
      </c>
      <c r="D150" s="49" t="s">
        <v>806</v>
      </c>
      <c r="F150" s="49"/>
      <c r="G150" s="4" t="s">
        <v>1025</v>
      </c>
    </row>
    <row r="151" spans="1:7">
      <c r="A151" s="49" t="s">
        <v>3</v>
      </c>
      <c r="B151">
        <v>194502</v>
      </c>
      <c r="C151" t="s">
        <v>927</v>
      </c>
      <c r="D151" s="49"/>
      <c r="F151" s="49"/>
      <c r="G151" s="4" t="s">
        <v>977</v>
      </c>
    </row>
    <row r="152" spans="1:7">
      <c r="A152" s="49" t="s">
        <v>3</v>
      </c>
      <c r="B152">
        <v>194478</v>
      </c>
      <c r="C152" t="s">
        <v>927</v>
      </c>
      <c r="D152" s="49"/>
      <c r="F152" s="49"/>
      <c r="G152" s="4" t="s">
        <v>977</v>
      </c>
    </row>
    <row r="153" spans="1:7">
      <c r="A153" s="49" t="s">
        <v>3</v>
      </c>
      <c r="B153">
        <v>202746</v>
      </c>
      <c r="C153">
        <v>1690</v>
      </c>
      <c r="D153" s="49" t="s">
        <v>817</v>
      </c>
      <c r="F153" s="49"/>
      <c r="G153" s="4" t="s">
        <v>986</v>
      </c>
    </row>
    <row r="154" spans="1:7">
      <c r="A154" s="49" t="s">
        <v>3</v>
      </c>
      <c r="B154">
        <v>181838</v>
      </c>
      <c r="C154" t="s">
        <v>927</v>
      </c>
      <c r="D154" s="49"/>
      <c r="F154" s="49"/>
      <c r="G154" s="4" t="s">
        <v>977</v>
      </c>
    </row>
    <row r="155" spans="1:7">
      <c r="A155" s="49" t="s">
        <v>3</v>
      </c>
      <c r="B155">
        <v>140765</v>
      </c>
      <c r="C155" t="s">
        <v>927</v>
      </c>
      <c r="D155" s="49"/>
      <c r="F155" s="49"/>
      <c r="G155" s="4" t="s">
        <v>977</v>
      </c>
    </row>
    <row r="156" spans="1:7">
      <c r="A156" s="49" t="s">
        <v>3</v>
      </c>
      <c r="B156">
        <v>158256</v>
      </c>
      <c r="C156" t="s">
        <v>927</v>
      </c>
      <c r="D156" s="49"/>
      <c r="F156" s="49"/>
      <c r="G156" s="4" t="s">
        <v>977</v>
      </c>
    </row>
    <row r="157" spans="1:7">
      <c r="A157" s="49" t="s">
        <v>3</v>
      </c>
      <c r="B157">
        <v>158388</v>
      </c>
      <c r="C157" t="s">
        <v>927</v>
      </c>
      <c r="D157" s="49"/>
      <c r="F157" s="49"/>
      <c r="G157" s="4" t="s">
        <v>977</v>
      </c>
    </row>
    <row r="158" spans="1:7">
      <c r="A158" s="49" t="s">
        <v>3</v>
      </c>
      <c r="B158">
        <v>160524</v>
      </c>
      <c r="C158">
        <v>2990</v>
      </c>
      <c r="D158" s="49" t="s">
        <v>816</v>
      </c>
      <c r="F158" s="49"/>
      <c r="G158" s="4" t="s">
        <v>925</v>
      </c>
    </row>
    <row r="159" spans="1:7">
      <c r="A159" s="49" t="s">
        <v>3</v>
      </c>
      <c r="B159">
        <v>217325</v>
      </c>
      <c r="C159">
        <v>2890</v>
      </c>
      <c r="D159" s="49" t="s">
        <v>904</v>
      </c>
      <c r="F159" s="49"/>
      <c r="G159" s="4" t="s">
        <v>925</v>
      </c>
    </row>
    <row r="160" spans="1:7">
      <c r="A160" s="49" t="s">
        <v>3</v>
      </c>
      <c r="B160">
        <v>217324</v>
      </c>
      <c r="C160" t="s">
        <v>927</v>
      </c>
      <c r="D160" s="49"/>
      <c r="F160" s="49"/>
      <c r="G160" s="4" t="s">
        <v>977</v>
      </c>
    </row>
    <row r="161" spans="1:7">
      <c r="A161" s="49" t="s">
        <v>3</v>
      </c>
      <c r="B161">
        <v>217322</v>
      </c>
      <c r="C161">
        <v>3190</v>
      </c>
      <c r="D161" s="49" t="s">
        <v>815</v>
      </c>
      <c r="F161" s="49"/>
      <c r="G161" s="4" t="s">
        <v>999</v>
      </c>
    </row>
    <row r="162" spans="1:7">
      <c r="A162" s="49" t="s">
        <v>3</v>
      </c>
      <c r="B162">
        <v>140885</v>
      </c>
      <c r="C162" t="s">
        <v>927</v>
      </c>
      <c r="D162" s="49"/>
      <c r="F162" s="49"/>
      <c r="G162" s="4" t="s">
        <v>977</v>
      </c>
    </row>
    <row r="163" spans="1:7">
      <c r="A163" s="49" t="s">
        <v>3</v>
      </c>
      <c r="B163">
        <v>217323</v>
      </c>
      <c r="C163" t="s">
        <v>927</v>
      </c>
      <c r="D163" s="49"/>
      <c r="F163" s="49"/>
      <c r="G163" s="4" t="s">
        <v>977</v>
      </c>
    </row>
    <row r="164" spans="1:7">
      <c r="A164" s="49" t="s">
        <v>3</v>
      </c>
      <c r="B164">
        <v>217321</v>
      </c>
      <c r="C164">
        <v>3190</v>
      </c>
      <c r="D164" s="49" t="s">
        <v>814</v>
      </c>
      <c r="F164" s="49"/>
      <c r="G164" s="4" t="s">
        <v>1026</v>
      </c>
    </row>
    <row r="165" spans="1:7">
      <c r="A165" s="49" t="s">
        <v>3</v>
      </c>
      <c r="B165">
        <v>204316</v>
      </c>
      <c r="C165">
        <v>329</v>
      </c>
      <c r="D165" s="49" t="s">
        <v>813</v>
      </c>
      <c r="F165" s="49"/>
      <c r="G165" s="4" t="s">
        <v>1027</v>
      </c>
    </row>
    <row r="166" spans="1:7">
      <c r="A166" s="49" t="s">
        <v>3</v>
      </c>
      <c r="B166">
        <v>158255</v>
      </c>
      <c r="C166" t="s">
        <v>927</v>
      </c>
      <c r="D166" s="49"/>
      <c r="F166" s="49"/>
      <c r="G166" s="4" t="s">
        <v>977</v>
      </c>
    </row>
    <row r="167" spans="1:7">
      <c r="A167" s="49" t="s">
        <v>3</v>
      </c>
      <c r="B167">
        <v>213106</v>
      </c>
      <c r="C167" t="s">
        <v>927</v>
      </c>
      <c r="D167" s="49"/>
      <c r="F167" s="49"/>
      <c r="G167" s="4" t="s">
        <v>977</v>
      </c>
    </row>
    <row r="168" spans="1:7">
      <c r="A168" s="49" t="s">
        <v>3</v>
      </c>
      <c r="B168">
        <v>217326</v>
      </c>
      <c r="C168">
        <v>3390</v>
      </c>
      <c r="D168" s="49" t="s">
        <v>812</v>
      </c>
      <c r="F168" s="49"/>
      <c r="G168" s="4" t="s">
        <v>1079</v>
      </c>
    </row>
    <row r="169" spans="1:7">
      <c r="A169" s="49" t="s">
        <v>3</v>
      </c>
      <c r="B169">
        <v>136705</v>
      </c>
      <c r="C169">
        <v>6190</v>
      </c>
      <c r="D169" s="49" t="s">
        <v>932</v>
      </c>
      <c r="F169" s="49"/>
      <c r="G169" s="4" t="s">
        <v>1011</v>
      </c>
    </row>
    <row r="170" spans="1:7">
      <c r="A170" s="49" t="s">
        <v>3</v>
      </c>
      <c r="B170">
        <v>144405</v>
      </c>
      <c r="C170" t="s">
        <v>927</v>
      </c>
      <c r="D170" s="49"/>
      <c r="F170" s="49"/>
      <c r="G170" s="4" t="s">
        <v>977</v>
      </c>
    </row>
    <row r="171" spans="1:7">
      <c r="A171" s="49" t="s">
        <v>3</v>
      </c>
      <c r="B171">
        <v>194100</v>
      </c>
      <c r="C171">
        <v>54990</v>
      </c>
      <c r="D171" s="49" t="s">
        <v>933</v>
      </c>
      <c r="F171" s="49"/>
      <c r="G171" s="4" t="s">
        <v>1090</v>
      </c>
    </row>
    <row r="172" spans="1:7">
      <c r="A172" s="49" t="s">
        <v>3</v>
      </c>
      <c r="B172">
        <v>195277</v>
      </c>
      <c r="C172">
        <v>4390</v>
      </c>
      <c r="D172" s="49" t="s">
        <v>934</v>
      </c>
      <c r="F172" s="49"/>
      <c r="G172" s="4" t="s">
        <v>1000</v>
      </c>
    </row>
    <row r="173" spans="1:7">
      <c r="A173" s="49" t="s">
        <v>3</v>
      </c>
      <c r="B173">
        <v>274423</v>
      </c>
      <c r="D173" s="49"/>
      <c r="F173" s="49"/>
      <c r="G173" s="4" t="s">
        <v>977</v>
      </c>
    </row>
    <row r="174" spans="1:7">
      <c r="A174" s="49" t="s">
        <v>3</v>
      </c>
      <c r="B174">
        <v>266607</v>
      </c>
      <c r="D174" s="49"/>
      <c r="F174" s="49"/>
      <c r="G174" s="4" t="s">
        <v>977</v>
      </c>
    </row>
    <row r="175" spans="1:7">
      <c r="A175" s="49" t="s">
        <v>3</v>
      </c>
      <c r="B175">
        <v>274399</v>
      </c>
      <c r="D175" s="49"/>
      <c r="F175" s="49"/>
      <c r="G175" s="4" t="s">
        <v>977</v>
      </c>
    </row>
    <row r="176" spans="1:7">
      <c r="A176" s="49" t="s">
        <v>3</v>
      </c>
      <c r="B176">
        <v>204518</v>
      </c>
      <c r="C176">
        <v>1490</v>
      </c>
      <c r="D176" s="49" t="s">
        <v>865</v>
      </c>
      <c r="F176" s="49"/>
      <c r="G176" s="4" t="s">
        <v>983</v>
      </c>
    </row>
    <row r="177" spans="1:7">
      <c r="A177" s="49" t="s">
        <v>3</v>
      </c>
      <c r="B177">
        <v>202999</v>
      </c>
      <c r="C177" t="s">
        <v>927</v>
      </c>
      <c r="D177" s="49"/>
      <c r="F177" s="49"/>
      <c r="G177" s="4" t="s">
        <v>977</v>
      </c>
    </row>
    <row r="178" spans="1:7">
      <c r="A178" s="49" t="s">
        <v>3</v>
      </c>
      <c r="B178">
        <v>170839</v>
      </c>
      <c r="C178">
        <v>2290</v>
      </c>
      <c r="D178" s="49" t="s">
        <v>830</v>
      </c>
      <c r="F178" s="49"/>
      <c r="G178" s="4" t="s">
        <v>993</v>
      </c>
    </row>
    <row r="179" spans="1:7">
      <c r="A179" s="49" t="s">
        <v>3</v>
      </c>
      <c r="B179">
        <v>201573</v>
      </c>
      <c r="C179" t="s">
        <v>927</v>
      </c>
      <c r="D179" s="49"/>
      <c r="F179" s="49"/>
      <c r="G179" s="4" t="s">
        <v>977</v>
      </c>
    </row>
    <row r="180" spans="1:7">
      <c r="A180" s="49" t="s">
        <v>3</v>
      </c>
      <c r="B180">
        <v>201574</v>
      </c>
      <c r="C180" t="s">
        <v>927</v>
      </c>
      <c r="D180" s="49"/>
      <c r="F180" s="49"/>
      <c r="G180" s="4" t="s">
        <v>977</v>
      </c>
    </row>
    <row r="181" spans="1:7">
      <c r="A181" s="49" t="s">
        <v>3</v>
      </c>
      <c r="B181">
        <v>194482</v>
      </c>
      <c r="D181" s="49"/>
      <c r="F181" s="49"/>
      <c r="G181" s="4" t="s">
        <v>977</v>
      </c>
    </row>
    <row r="182" spans="1:7">
      <c r="A182" s="49" t="s">
        <v>3</v>
      </c>
      <c r="B182">
        <v>144233</v>
      </c>
      <c r="D182" s="49"/>
      <c r="F182" s="49"/>
      <c r="G182" s="4" t="s">
        <v>977</v>
      </c>
    </row>
    <row r="183" spans="1:7">
      <c r="A183" s="49" t="s">
        <v>3</v>
      </c>
      <c r="B183">
        <v>144229</v>
      </c>
      <c r="D183" s="49"/>
      <c r="F183" s="49"/>
      <c r="G183" s="4" t="s">
        <v>977</v>
      </c>
    </row>
    <row r="184" spans="1:7">
      <c r="A184" s="49" t="s">
        <v>3</v>
      </c>
      <c r="B184">
        <v>144230</v>
      </c>
      <c r="D184" s="49"/>
      <c r="F184" s="49"/>
      <c r="G184" s="4" t="s">
        <v>977</v>
      </c>
    </row>
    <row r="185" spans="1:7">
      <c r="A185" s="49" t="s">
        <v>3</v>
      </c>
      <c r="B185">
        <v>151514</v>
      </c>
      <c r="D185" s="49"/>
      <c r="F185" s="49"/>
      <c r="G185" s="4" t="s">
        <v>977</v>
      </c>
    </row>
    <row r="186" spans="1:7">
      <c r="A186" s="49" t="s">
        <v>3</v>
      </c>
      <c r="B186">
        <v>151523</v>
      </c>
      <c r="D186" s="49"/>
      <c r="F186" s="49"/>
      <c r="G186" s="4" t="s">
        <v>977</v>
      </c>
    </row>
    <row r="187" spans="1:7">
      <c r="A187" s="49" t="s">
        <v>3</v>
      </c>
      <c r="B187">
        <v>195275</v>
      </c>
      <c r="D187" s="49"/>
      <c r="F187" s="49"/>
      <c r="G187" s="4" t="s">
        <v>977</v>
      </c>
    </row>
    <row r="188" spans="1:7">
      <c r="A188" s="49" t="s">
        <v>3</v>
      </c>
      <c r="B188">
        <v>151515</v>
      </c>
      <c r="D188" s="49"/>
      <c r="F188" s="49"/>
      <c r="G188" s="4" t="s">
        <v>977</v>
      </c>
    </row>
    <row r="189" spans="1:7">
      <c r="A189" s="49" t="s">
        <v>3</v>
      </c>
      <c r="B189">
        <v>151517</v>
      </c>
      <c r="D189" s="49"/>
      <c r="F189" s="49"/>
      <c r="G189" s="4" t="s">
        <v>977</v>
      </c>
    </row>
    <row r="190" spans="1:7">
      <c r="A190" s="49" t="s">
        <v>3</v>
      </c>
      <c r="B190">
        <v>159922</v>
      </c>
      <c r="D190" s="49"/>
      <c r="F190" s="49"/>
      <c r="G190" s="4" t="s">
        <v>977</v>
      </c>
    </row>
    <row r="191" spans="1:7">
      <c r="A191" s="49" t="s">
        <v>3</v>
      </c>
      <c r="B191">
        <v>195300</v>
      </c>
      <c r="D191" s="49"/>
      <c r="F191" s="49"/>
      <c r="G191" s="4" t="s">
        <v>977</v>
      </c>
    </row>
    <row r="192" spans="1:7">
      <c r="A192" s="49" t="s">
        <v>3</v>
      </c>
      <c r="B192">
        <v>222888</v>
      </c>
      <c r="D192" s="49"/>
      <c r="F192" s="49"/>
      <c r="G192" s="4" t="s">
        <v>977</v>
      </c>
    </row>
    <row r="193" spans="1:7">
      <c r="A193" s="49" t="s">
        <v>3</v>
      </c>
      <c r="B193">
        <v>169761</v>
      </c>
      <c r="D193" s="49"/>
      <c r="F193" s="49"/>
      <c r="G193" s="4" t="s">
        <v>977</v>
      </c>
    </row>
    <row r="194" spans="1:7">
      <c r="A194" s="49" t="s">
        <v>3</v>
      </c>
      <c r="B194">
        <v>169762</v>
      </c>
      <c r="D194" s="49"/>
      <c r="F194" s="49"/>
      <c r="G194" s="4" t="s">
        <v>977</v>
      </c>
    </row>
    <row r="195" spans="1:7">
      <c r="A195" s="49" t="s">
        <v>3</v>
      </c>
      <c r="B195">
        <v>169764</v>
      </c>
      <c r="D195" s="49"/>
      <c r="F195" s="49"/>
      <c r="G195" s="4" t="s">
        <v>977</v>
      </c>
    </row>
    <row r="196" spans="1:7">
      <c r="A196" s="49" t="s">
        <v>3</v>
      </c>
      <c r="B196">
        <v>169760</v>
      </c>
      <c r="D196" s="49"/>
      <c r="F196" s="49"/>
      <c r="G196" s="4" t="s">
        <v>977</v>
      </c>
    </row>
    <row r="197" spans="1:7">
      <c r="A197" s="49" t="s">
        <v>3</v>
      </c>
      <c r="B197">
        <v>169765</v>
      </c>
      <c r="D197" s="49"/>
      <c r="F197" s="49"/>
      <c r="G197" s="4" t="s">
        <v>977</v>
      </c>
    </row>
    <row r="198" spans="1:7">
      <c r="A198" s="49" t="s">
        <v>3</v>
      </c>
      <c r="B198">
        <v>169763</v>
      </c>
      <c r="D198" s="49"/>
      <c r="F198" s="49"/>
      <c r="G198" s="4" t="s">
        <v>977</v>
      </c>
    </row>
    <row r="199" spans="1:7">
      <c r="A199" s="49" t="s">
        <v>3</v>
      </c>
      <c r="B199">
        <v>181755</v>
      </c>
      <c r="D199" s="49"/>
      <c r="F199" s="49"/>
      <c r="G199" s="4" t="s">
        <v>977</v>
      </c>
    </row>
    <row r="200" spans="1:7">
      <c r="A200" s="49" t="s">
        <v>3</v>
      </c>
      <c r="B200">
        <v>151516</v>
      </c>
      <c r="D200" s="49"/>
      <c r="F200" s="49"/>
      <c r="G200" s="4" t="s">
        <v>977</v>
      </c>
    </row>
    <row r="201" spans="1:7">
      <c r="A201" s="49" t="s">
        <v>3</v>
      </c>
      <c r="B201">
        <v>151518</v>
      </c>
      <c r="D201" s="49"/>
      <c r="F201" s="49"/>
      <c r="G201" s="4" t="s">
        <v>977</v>
      </c>
    </row>
    <row r="202" spans="1:7">
      <c r="A202" s="49" t="s">
        <v>3</v>
      </c>
      <c r="B202">
        <v>195297</v>
      </c>
      <c r="D202" s="49"/>
      <c r="F202" s="49"/>
      <c r="G202" s="4" t="s">
        <v>977</v>
      </c>
    </row>
    <row r="203" spans="1:7">
      <c r="A203" s="49" t="s">
        <v>3</v>
      </c>
      <c r="B203">
        <v>158702</v>
      </c>
      <c r="D203" s="49"/>
      <c r="F203" s="49"/>
      <c r="G203" s="4" t="s">
        <v>977</v>
      </c>
    </row>
    <row r="204" spans="1:7">
      <c r="A204" s="49" t="s">
        <v>3</v>
      </c>
      <c r="B204">
        <v>139091</v>
      </c>
      <c r="D204" s="49"/>
      <c r="F204" s="49"/>
      <c r="G204" s="4" t="s">
        <v>977</v>
      </c>
    </row>
    <row r="205" spans="1:7">
      <c r="A205" s="49" t="s">
        <v>3</v>
      </c>
      <c r="B205">
        <v>223672</v>
      </c>
      <c r="D205" s="49"/>
      <c r="F205" s="49"/>
      <c r="G205" s="4" t="s">
        <v>977</v>
      </c>
    </row>
    <row r="206" spans="1:7">
      <c r="A206" s="49" t="s">
        <v>3</v>
      </c>
      <c r="B206">
        <v>201857</v>
      </c>
      <c r="D206" s="49"/>
      <c r="F206" s="49"/>
      <c r="G206" s="4" t="s">
        <v>977</v>
      </c>
    </row>
    <row r="207" spans="1:7">
      <c r="A207" s="49" t="s">
        <v>3</v>
      </c>
      <c r="B207">
        <v>217354</v>
      </c>
      <c r="D207" s="49"/>
      <c r="F207" s="49"/>
      <c r="G207" s="4" t="s">
        <v>977</v>
      </c>
    </row>
    <row r="208" spans="1:7">
      <c r="A208" s="49" t="s">
        <v>3</v>
      </c>
      <c r="B208">
        <v>201941</v>
      </c>
      <c r="D208" s="49"/>
      <c r="F208" s="49"/>
      <c r="G208" s="4" t="s">
        <v>977</v>
      </c>
    </row>
    <row r="209" spans="1:7">
      <c r="A209" s="49" t="s">
        <v>3</v>
      </c>
      <c r="B209">
        <v>201877</v>
      </c>
      <c r="D209" s="49"/>
      <c r="F209" s="49"/>
      <c r="G209" s="4" t="s">
        <v>977</v>
      </c>
    </row>
    <row r="210" spans="1:7">
      <c r="A210" s="49" t="s">
        <v>3</v>
      </c>
      <c r="B210">
        <v>223322</v>
      </c>
      <c r="D210" s="49"/>
      <c r="F210" s="49"/>
      <c r="G210" s="4" t="s">
        <v>977</v>
      </c>
    </row>
    <row r="211" spans="1:7">
      <c r="A211" s="49" t="s">
        <v>3</v>
      </c>
      <c r="B211">
        <v>202760</v>
      </c>
      <c r="D211" s="49"/>
      <c r="F211" s="49"/>
      <c r="G211" s="4" t="s">
        <v>977</v>
      </c>
    </row>
    <row r="212" spans="1:7">
      <c r="A212" s="49" t="s">
        <v>3</v>
      </c>
      <c r="B212">
        <v>212990</v>
      </c>
      <c r="D212" s="49"/>
      <c r="F212" s="49"/>
      <c r="G212" s="4" t="s">
        <v>977</v>
      </c>
    </row>
    <row r="213" spans="1:7">
      <c r="A213" s="49" t="s">
        <v>3</v>
      </c>
      <c r="B213">
        <v>212989</v>
      </c>
      <c r="D213" s="49"/>
      <c r="F213" s="49"/>
      <c r="G213" s="4" t="s">
        <v>977</v>
      </c>
    </row>
    <row r="214" spans="1:7">
      <c r="A214" s="49"/>
      <c r="D214" s="49"/>
      <c r="F214" s="49"/>
    </row>
    <row r="215" spans="1:7">
      <c r="A215" s="49"/>
      <c r="D215" s="49"/>
      <c r="F215" s="49"/>
    </row>
    <row r="216" spans="1:7">
      <c r="A216" s="49"/>
      <c r="D216" s="49"/>
      <c r="F216" s="49"/>
    </row>
    <row r="217" spans="1:7">
      <c r="A217" s="49"/>
      <c r="D217" s="49"/>
      <c r="F217" s="49"/>
    </row>
    <row r="218" spans="1:7">
      <c r="A218" s="49"/>
      <c r="D218" s="49"/>
      <c r="F218" s="49"/>
    </row>
    <row r="219" spans="1:7">
      <c r="A219" s="49"/>
      <c r="D219" s="49"/>
      <c r="F219" s="49"/>
    </row>
    <row r="220" spans="1:7">
      <c r="A220" s="49"/>
      <c r="D220" s="49"/>
      <c r="F220" s="49"/>
    </row>
    <row r="221" spans="1:7">
      <c r="A221" s="49"/>
      <c r="D221" s="49"/>
      <c r="F221" s="49"/>
    </row>
    <row r="222" spans="1:7">
      <c r="A222" s="49"/>
      <c r="D222" s="49"/>
      <c r="F222" s="49"/>
    </row>
    <row r="223" spans="1:7">
      <c r="A223" s="49"/>
      <c r="D223" s="49"/>
      <c r="F223" s="49"/>
    </row>
    <row r="224" spans="1:7">
      <c r="A224" s="49"/>
      <c r="D224" s="49"/>
      <c r="F224" s="49"/>
    </row>
    <row r="225" spans="1:6">
      <c r="A225" s="49"/>
      <c r="D225" s="49"/>
      <c r="F225" s="49"/>
    </row>
    <row r="226" spans="1:6">
      <c r="A226" s="49"/>
      <c r="D226" s="49"/>
      <c r="F226" s="49"/>
    </row>
    <row r="227" spans="1:6">
      <c r="A227" s="49"/>
      <c r="D227" s="49"/>
      <c r="F227" s="49"/>
    </row>
    <row r="228" spans="1:6">
      <c r="A228" s="49"/>
      <c r="D228" s="49"/>
      <c r="F228" s="49"/>
    </row>
    <row r="229" spans="1:6">
      <c r="A229" s="49"/>
      <c r="D229" s="49"/>
      <c r="F229" s="49"/>
    </row>
    <row r="230" spans="1:6">
      <c r="A230" s="49"/>
      <c r="D230" s="49"/>
      <c r="F230" s="49"/>
    </row>
    <row r="231" spans="1:6">
      <c r="A231" s="49"/>
      <c r="D231" s="49"/>
      <c r="F231" s="49"/>
    </row>
    <row r="232" spans="1:6">
      <c r="A232" s="49"/>
      <c r="D232" s="49"/>
      <c r="F232" s="49"/>
    </row>
    <row r="233" spans="1:6">
      <c r="A233" s="49"/>
      <c r="D233" s="49"/>
      <c r="F233" s="49"/>
    </row>
    <row r="234" spans="1:6">
      <c r="A234" s="49"/>
      <c r="D234" s="49"/>
      <c r="F234" s="49"/>
    </row>
    <row r="235" spans="1:6">
      <c r="A235" s="49"/>
      <c r="D235" s="49"/>
      <c r="F235" s="49"/>
    </row>
    <row r="236" spans="1:6">
      <c r="A236" s="49"/>
      <c r="D236" s="49"/>
      <c r="F236" s="49"/>
    </row>
    <row r="237" spans="1:6">
      <c r="A237" s="49"/>
      <c r="D237" s="49"/>
      <c r="F237" s="49"/>
    </row>
    <row r="238" spans="1:6">
      <c r="A238" s="49"/>
      <c r="D238" s="49"/>
      <c r="F238" s="49"/>
    </row>
    <row r="239" spans="1:6">
      <c r="A239" s="49"/>
      <c r="D239" s="49"/>
      <c r="F239" s="49"/>
    </row>
    <row r="240" spans="1:6">
      <c r="A240" s="49"/>
      <c r="D240" s="49"/>
      <c r="F240" s="49"/>
    </row>
    <row r="241" spans="1:6">
      <c r="A241" s="49"/>
      <c r="D241" s="49"/>
      <c r="F241" s="49"/>
    </row>
    <row r="242" spans="1:6">
      <c r="A242" s="49"/>
      <c r="D242" s="49"/>
      <c r="F242" s="49"/>
    </row>
    <row r="243" spans="1:6">
      <c r="A243" s="49"/>
      <c r="D243" s="49"/>
      <c r="F243" s="49"/>
    </row>
    <row r="244" spans="1:6">
      <c r="A244" s="49"/>
      <c r="D244" s="49"/>
      <c r="F244" s="49"/>
    </row>
    <row r="245" spans="1:6">
      <c r="A245" s="49"/>
      <c r="D245" s="49"/>
      <c r="F245" s="49"/>
    </row>
    <row r="246" spans="1:6">
      <c r="A246" s="49"/>
      <c r="D246" s="49"/>
      <c r="F246" s="49"/>
    </row>
    <row r="247" spans="1:6">
      <c r="A247" s="49"/>
      <c r="D247" s="49"/>
      <c r="F247" s="49"/>
    </row>
    <row r="248" spans="1:6">
      <c r="A248" s="49"/>
      <c r="D248" s="49"/>
      <c r="F248" s="49"/>
    </row>
    <row r="249" spans="1:6">
      <c r="A249" s="49"/>
      <c r="D249" s="49"/>
      <c r="F249" s="49"/>
    </row>
    <row r="250" spans="1:6">
      <c r="A250" s="49"/>
      <c r="D250" s="49"/>
      <c r="F250" s="49"/>
    </row>
    <row r="251" spans="1:6">
      <c r="A251" s="49"/>
      <c r="D251" s="49"/>
      <c r="F251" s="49"/>
    </row>
    <row r="252" spans="1:6">
      <c r="A252" s="49"/>
      <c r="D252" s="49"/>
      <c r="F252" s="49"/>
    </row>
    <row r="253" spans="1:6">
      <c r="A253" s="49"/>
      <c r="D253" s="49"/>
      <c r="F253" s="49"/>
    </row>
    <row r="254" spans="1:6">
      <c r="A254" s="49"/>
      <c r="D254" s="49"/>
      <c r="F254" s="49"/>
    </row>
    <row r="255" spans="1:6">
      <c r="A255" s="49"/>
      <c r="D255" s="49"/>
      <c r="F255" s="49"/>
    </row>
    <row r="256" spans="1:6">
      <c r="A256" s="49"/>
      <c r="D256" s="49"/>
      <c r="F256" s="49"/>
    </row>
    <row r="257" spans="1:6">
      <c r="A257" s="49"/>
      <c r="D257" s="49"/>
      <c r="F257" s="49"/>
    </row>
    <row r="258" spans="1:6">
      <c r="A258" s="49"/>
      <c r="D258" s="49"/>
      <c r="F258" s="49"/>
    </row>
    <row r="259" spans="1:6">
      <c r="A259" s="49"/>
      <c r="D259" s="49"/>
      <c r="F259" s="49"/>
    </row>
    <row r="260" spans="1:6">
      <c r="A260" s="49"/>
      <c r="D260" s="49"/>
      <c r="F260" s="49"/>
    </row>
    <row r="261" spans="1:6">
      <c r="A261" s="49"/>
      <c r="D261" s="49"/>
      <c r="F261" s="49"/>
    </row>
    <row r="262" spans="1:6">
      <c r="A262" s="49"/>
      <c r="D262" s="49"/>
      <c r="F262" s="49"/>
    </row>
    <row r="263" spans="1:6">
      <c r="A263" s="49"/>
      <c r="D263" s="49"/>
      <c r="F263" s="49"/>
    </row>
    <row r="264" spans="1:6">
      <c r="A264" s="49"/>
      <c r="D264" s="49"/>
      <c r="F264" s="49"/>
    </row>
    <row r="265" spans="1:6">
      <c r="A265" s="49"/>
      <c r="D265" s="49"/>
      <c r="F265" s="49"/>
    </row>
    <row r="266" spans="1:6">
      <c r="A266" s="49"/>
      <c r="D266" s="49"/>
      <c r="F266" s="49"/>
    </row>
    <row r="267" spans="1:6">
      <c r="A267" s="49"/>
      <c r="D267" s="49"/>
      <c r="F267" s="49"/>
    </row>
    <row r="268" spans="1:6">
      <c r="A268" s="49"/>
      <c r="D268" s="49"/>
      <c r="F268" s="49"/>
    </row>
    <row r="269" spans="1:6">
      <c r="A269" s="49"/>
      <c r="D269" s="49"/>
      <c r="F269" s="49"/>
    </row>
    <row r="270" spans="1:6">
      <c r="A270" s="49"/>
      <c r="D270" s="49"/>
      <c r="F270" s="49"/>
    </row>
    <row r="271" spans="1:6">
      <c r="A271" s="49"/>
      <c r="D271" s="49"/>
      <c r="F271" s="49"/>
    </row>
    <row r="272" spans="1:6">
      <c r="A272" s="49"/>
      <c r="D272" s="49"/>
      <c r="F272" s="49"/>
    </row>
    <row r="273" spans="1:6">
      <c r="A273" s="49"/>
      <c r="D273" s="49"/>
      <c r="F273" s="49"/>
    </row>
    <row r="274" spans="1:6">
      <c r="A274" s="49"/>
      <c r="D274" s="49"/>
      <c r="F274" s="49"/>
    </row>
    <row r="275" spans="1:6">
      <c r="A275" s="49"/>
      <c r="D275" s="49"/>
      <c r="F275" s="49"/>
    </row>
    <row r="276" spans="1:6">
      <c r="A276" s="49"/>
      <c r="D276" s="49"/>
      <c r="F276" s="49"/>
    </row>
    <row r="277" spans="1:6">
      <c r="A277" s="49"/>
      <c r="D277" s="49"/>
      <c r="F277" s="49"/>
    </row>
    <row r="278" spans="1:6">
      <c r="A278" s="49"/>
      <c r="D278" s="49"/>
      <c r="F278" s="49"/>
    </row>
    <row r="279" spans="1:6">
      <c r="A279" s="49"/>
      <c r="D279" s="49"/>
      <c r="F279" s="49"/>
    </row>
    <row r="280" spans="1:6">
      <c r="A280" s="49"/>
      <c r="D280" s="49"/>
      <c r="F280" s="49"/>
    </row>
    <row r="281" spans="1:6">
      <c r="A281" s="49"/>
      <c r="D281" s="49"/>
      <c r="F281" s="49"/>
    </row>
    <row r="282" spans="1:6">
      <c r="A282" s="49"/>
      <c r="D282" s="49"/>
      <c r="F282" s="49"/>
    </row>
    <row r="283" spans="1:6">
      <c r="A283" s="49"/>
      <c r="D283" s="49"/>
      <c r="F283" s="49"/>
    </row>
    <row r="284" spans="1:6">
      <c r="A284" s="49"/>
      <c r="D284" s="49"/>
      <c r="F284" s="49"/>
    </row>
    <row r="285" spans="1:6">
      <c r="A285" s="49"/>
      <c r="D285" s="49"/>
      <c r="F285" s="49"/>
    </row>
    <row r="286" spans="1:6">
      <c r="A286" s="49"/>
      <c r="D286" s="49"/>
      <c r="F286" s="49"/>
    </row>
    <row r="287" spans="1:6">
      <c r="A287" s="49"/>
      <c r="D287" s="49"/>
      <c r="F287" s="49"/>
    </row>
    <row r="288" spans="1:6">
      <c r="A288" s="49"/>
      <c r="D288" s="49"/>
      <c r="F288" s="49"/>
    </row>
    <row r="289" spans="1:6">
      <c r="A289" s="49"/>
      <c r="D289" s="49"/>
      <c r="F289" s="49"/>
    </row>
    <row r="290" spans="1:6">
      <c r="A290" s="49"/>
      <c r="D290" s="49"/>
      <c r="F290" s="49"/>
    </row>
    <row r="291" spans="1:6">
      <c r="A291" s="49"/>
      <c r="D291" s="49"/>
      <c r="F291" s="49"/>
    </row>
    <row r="292" spans="1:6">
      <c r="A292" s="49"/>
      <c r="D292" s="49"/>
      <c r="F292" s="49"/>
    </row>
    <row r="293" spans="1:6">
      <c r="A293" s="49"/>
      <c r="D293" s="49"/>
      <c r="F293" s="49"/>
    </row>
    <row r="294" spans="1:6">
      <c r="A294" s="49"/>
      <c r="D294" s="49"/>
      <c r="F294" s="49"/>
    </row>
    <row r="295" spans="1:6">
      <c r="A295" s="49"/>
      <c r="D295" s="49"/>
      <c r="F295" s="49"/>
    </row>
    <row r="296" spans="1:6">
      <c r="A296" s="49"/>
      <c r="D296" s="49"/>
      <c r="F296" s="49"/>
    </row>
    <row r="297" spans="1:6">
      <c r="A297" s="49"/>
      <c r="D297" s="49"/>
      <c r="F297" s="49"/>
    </row>
    <row r="298" spans="1:6">
      <c r="A298" s="49"/>
      <c r="D298" s="49"/>
      <c r="F298" s="49"/>
    </row>
    <row r="299" spans="1:6">
      <c r="A299" s="49"/>
      <c r="D299" s="49"/>
      <c r="F299" s="49"/>
    </row>
    <row r="300" spans="1:6">
      <c r="A300" s="49"/>
      <c r="D300" s="49"/>
      <c r="F300" s="49"/>
    </row>
    <row r="301" spans="1:6">
      <c r="A301" s="49"/>
      <c r="D301" s="49"/>
      <c r="F301" s="49"/>
    </row>
    <row r="302" spans="1:6">
      <c r="A302" s="49"/>
      <c r="D302" s="49"/>
      <c r="F302" s="49"/>
    </row>
    <row r="303" spans="1:6">
      <c r="A303" s="49"/>
      <c r="D303" s="49"/>
      <c r="F303" s="49"/>
    </row>
    <row r="304" spans="1:6">
      <c r="A304" s="49"/>
      <c r="D304" s="49"/>
      <c r="F304" s="49"/>
    </row>
    <row r="305" spans="1:6">
      <c r="A305" s="49"/>
      <c r="D305" s="49"/>
      <c r="F305" s="49"/>
    </row>
    <row r="306" spans="1:6">
      <c r="A306" s="49"/>
      <c r="D306" s="49"/>
      <c r="F306" s="49"/>
    </row>
    <row r="307" spans="1:6">
      <c r="A307" s="49"/>
      <c r="D307" s="49"/>
      <c r="F307" s="49"/>
    </row>
    <row r="308" spans="1:6">
      <c r="A308" s="49"/>
      <c r="D308" s="49"/>
      <c r="F308" s="49"/>
    </row>
    <row r="309" spans="1:6">
      <c r="A309" s="49"/>
      <c r="D309" s="49"/>
      <c r="F309" s="49"/>
    </row>
    <row r="310" spans="1:6">
      <c r="A310" s="49"/>
      <c r="D310" s="49"/>
      <c r="F310" s="49"/>
    </row>
    <row r="311" spans="1:6">
      <c r="A311" s="49"/>
      <c r="D311" s="49"/>
      <c r="F311" s="49"/>
    </row>
    <row r="312" spans="1:6">
      <c r="A312" s="49"/>
      <c r="D312" s="49"/>
      <c r="F312" s="49"/>
    </row>
    <row r="313" spans="1:6">
      <c r="A313" s="49"/>
      <c r="D313" s="49"/>
      <c r="F313" s="49"/>
    </row>
    <row r="314" spans="1:6">
      <c r="A314" s="49"/>
      <c r="D314" s="49"/>
      <c r="F314" s="49"/>
    </row>
    <row r="315" spans="1:6">
      <c r="A315" s="49"/>
      <c r="D315" s="49"/>
      <c r="F315" s="49"/>
    </row>
    <row r="316" spans="1:6">
      <c r="A316" s="49"/>
      <c r="D316" s="49"/>
      <c r="F316" s="49"/>
    </row>
    <row r="317" spans="1:6">
      <c r="A317" s="49"/>
      <c r="D317" s="49"/>
      <c r="F317" s="49"/>
    </row>
    <row r="318" spans="1:6">
      <c r="A318" s="49"/>
      <c r="D318" s="49"/>
      <c r="F318" s="49"/>
    </row>
    <row r="319" spans="1:6">
      <c r="A319" s="49"/>
      <c r="D319" s="49"/>
      <c r="F319" s="49"/>
    </row>
    <row r="320" spans="1:6">
      <c r="A320" s="49"/>
      <c r="D320" s="49"/>
      <c r="F320" s="49"/>
    </row>
    <row r="321" spans="1:6">
      <c r="A321" s="49"/>
      <c r="D321" s="49"/>
      <c r="F321" s="49"/>
    </row>
    <row r="322" spans="1:6">
      <c r="A322" s="49"/>
      <c r="D322" s="49"/>
      <c r="F322" s="49"/>
    </row>
    <row r="323" spans="1:6">
      <c r="A323" s="49"/>
      <c r="D323" s="49"/>
      <c r="F323" s="49"/>
    </row>
    <row r="324" spans="1:6">
      <c r="A324" s="49"/>
      <c r="D324" s="49"/>
      <c r="F324" s="49"/>
    </row>
    <row r="325" spans="1:6">
      <c r="A325" s="49"/>
      <c r="D325" s="49"/>
      <c r="F325" s="49"/>
    </row>
    <row r="326" spans="1:6">
      <c r="A326" s="49"/>
      <c r="D326" s="49"/>
      <c r="F326" s="49"/>
    </row>
    <row r="327" spans="1:6">
      <c r="A327" s="49"/>
      <c r="D327" s="49"/>
      <c r="F327" s="49"/>
    </row>
    <row r="328" spans="1:6">
      <c r="A328" s="49"/>
      <c r="D328" s="49"/>
      <c r="F328" s="49"/>
    </row>
    <row r="329" spans="1:6">
      <c r="A329" s="49"/>
      <c r="D329" s="49"/>
      <c r="F329" s="49"/>
    </row>
    <row r="330" spans="1:6">
      <c r="A330" s="49"/>
      <c r="D330" s="49"/>
      <c r="F330" s="49"/>
    </row>
    <row r="331" spans="1:6">
      <c r="A331" s="49"/>
      <c r="D331" s="49"/>
      <c r="F331" s="49"/>
    </row>
    <row r="332" spans="1:6">
      <c r="A332" s="49"/>
      <c r="D332" s="49"/>
      <c r="F332" s="49"/>
    </row>
    <row r="333" spans="1:6">
      <c r="A333" s="49"/>
      <c r="D333" s="49"/>
      <c r="F333" s="49"/>
    </row>
    <row r="334" spans="1:6">
      <c r="A334" s="49"/>
      <c r="D334" s="49"/>
      <c r="F334" s="49"/>
    </row>
    <row r="335" spans="1:6">
      <c r="A335" s="49"/>
      <c r="D335" s="49"/>
      <c r="F335" s="49"/>
    </row>
    <row r="336" spans="1:6">
      <c r="A336" s="49"/>
      <c r="D336" s="49"/>
      <c r="F336" s="49"/>
    </row>
    <row r="337" spans="1:6">
      <c r="A337" s="49"/>
      <c r="D337" s="49"/>
      <c r="F337" s="49"/>
    </row>
    <row r="338" spans="1:6">
      <c r="A338" s="49"/>
      <c r="D338" s="49"/>
      <c r="F338" s="49"/>
    </row>
    <row r="339" spans="1:6">
      <c r="A339" s="49"/>
      <c r="D339" s="49"/>
      <c r="F339" s="49"/>
    </row>
    <row r="340" spans="1:6">
      <c r="A340" s="49"/>
      <c r="D340" s="49"/>
      <c r="F340" s="49"/>
    </row>
    <row r="341" spans="1:6">
      <c r="A341" s="49"/>
      <c r="D341" s="49"/>
      <c r="F341" s="49"/>
    </row>
    <row r="342" spans="1:6">
      <c r="A342" s="49"/>
      <c r="D342" s="49"/>
      <c r="F342" s="49"/>
    </row>
    <row r="343" spans="1:6">
      <c r="A343" s="49"/>
      <c r="D343" s="49"/>
      <c r="F343" s="49"/>
    </row>
    <row r="344" spans="1:6">
      <c r="A344" s="49"/>
      <c r="D344" s="49"/>
      <c r="F344" s="49"/>
    </row>
    <row r="345" spans="1:6">
      <c r="A345" s="49"/>
      <c r="D345" s="49"/>
      <c r="F345" s="49"/>
    </row>
    <row r="346" spans="1:6">
      <c r="A346" s="49"/>
      <c r="D346" s="49"/>
      <c r="F346" s="49"/>
    </row>
    <row r="347" spans="1:6">
      <c r="A347" s="49"/>
      <c r="D347" s="49"/>
      <c r="F347" s="49"/>
    </row>
    <row r="348" spans="1:6">
      <c r="A348" s="49"/>
      <c r="D348" s="49"/>
      <c r="F348" s="49"/>
    </row>
    <row r="349" spans="1:6">
      <c r="A349" s="49"/>
      <c r="D349" s="49"/>
      <c r="F349" s="49"/>
    </row>
    <row r="350" spans="1:6">
      <c r="A350" s="49"/>
      <c r="D350" s="49"/>
      <c r="F350" s="49"/>
    </row>
    <row r="351" spans="1:6">
      <c r="A351" s="49"/>
      <c r="D351" s="49"/>
      <c r="F351" s="49"/>
    </row>
    <row r="352" spans="1:6">
      <c r="A352" s="49"/>
      <c r="D352" s="49"/>
      <c r="F352" s="49"/>
    </row>
    <row r="353" spans="1:6">
      <c r="A353" s="49"/>
      <c r="D353" s="49"/>
      <c r="F353" s="49"/>
    </row>
    <row r="354" spans="1:6">
      <c r="A354" s="49"/>
      <c r="D354" s="49"/>
      <c r="F354" s="49"/>
    </row>
    <row r="355" spans="1:6">
      <c r="A355" s="49"/>
      <c r="D355" s="49"/>
      <c r="F355" s="49"/>
    </row>
    <row r="356" spans="1:6">
      <c r="A356" s="49"/>
      <c r="D356" s="49"/>
      <c r="F356" s="49"/>
    </row>
    <row r="357" spans="1:6">
      <c r="A357" s="49"/>
      <c r="D357" s="49"/>
      <c r="F357" s="49"/>
    </row>
    <row r="358" spans="1:6">
      <c r="A358" s="49"/>
      <c r="D358" s="49"/>
      <c r="F358" s="49"/>
    </row>
    <row r="359" spans="1:6">
      <c r="A359" s="49"/>
      <c r="D359" s="49"/>
      <c r="F359" s="49"/>
    </row>
    <row r="360" spans="1:6">
      <c r="A360" s="49"/>
      <c r="D360" s="49"/>
      <c r="F360" s="49"/>
    </row>
    <row r="361" spans="1:6">
      <c r="A361" s="49"/>
      <c r="D361" s="49"/>
      <c r="F361" s="49"/>
    </row>
    <row r="362" spans="1:6">
      <c r="A362" s="49"/>
      <c r="D362" s="49"/>
      <c r="F362" s="49"/>
    </row>
    <row r="363" spans="1:6">
      <c r="A363" s="49"/>
      <c r="D363" s="49"/>
      <c r="F363" s="49"/>
    </row>
    <row r="364" spans="1:6">
      <c r="A364" s="49"/>
      <c r="D364" s="49"/>
      <c r="F364" s="49"/>
    </row>
    <row r="365" spans="1:6">
      <c r="A365" s="49"/>
      <c r="D365" s="49"/>
      <c r="F365" s="49"/>
    </row>
    <row r="366" spans="1:6">
      <c r="A366" s="49"/>
      <c r="D366" s="49"/>
      <c r="F366" s="49"/>
    </row>
    <row r="367" spans="1:6">
      <c r="A367" s="49"/>
      <c r="D367" s="49"/>
      <c r="F367" s="49"/>
    </row>
    <row r="368" spans="1:6">
      <c r="A368" s="49"/>
      <c r="D368" s="49"/>
      <c r="F368" s="49"/>
    </row>
    <row r="369" spans="1:6">
      <c r="A369" s="49"/>
      <c r="D369" s="49"/>
      <c r="F369" s="49"/>
    </row>
    <row r="370" spans="1:6">
      <c r="A370" s="49"/>
      <c r="D370" s="49"/>
      <c r="F370" s="49"/>
    </row>
    <row r="371" spans="1:6">
      <c r="A371" s="49"/>
      <c r="D371" s="49"/>
      <c r="F371" s="49"/>
    </row>
    <row r="372" spans="1:6">
      <c r="A372" s="49"/>
      <c r="D372" s="49"/>
      <c r="F372" s="49"/>
    </row>
    <row r="373" spans="1:6">
      <c r="A373" s="49"/>
      <c r="D373" s="49"/>
      <c r="F373" s="49"/>
    </row>
    <row r="374" spans="1:6">
      <c r="A374" s="49"/>
      <c r="D374" s="49"/>
      <c r="F374" s="49"/>
    </row>
    <row r="375" spans="1:6">
      <c r="A375" s="49"/>
      <c r="D375" s="49"/>
      <c r="F375" s="49"/>
    </row>
    <row r="376" spans="1:6">
      <c r="A376" s="49"/>
      <c r="D376" s="49"/>
      <c r="F376" s="49"/>
    </row>
    <row r="377" spans="1:6">
      <c r="A377" s="49"/>
      <c r="D377" s="49"/>
      <c r="F377" s="49"/>
    </row>
    <row r="378" spans="1:6">
      <c r="A378" s="49"/>
      <c r="D378" s="49"/>
      <c r="F378" s="49"/>
    </row>
    <row r="379" spans="1:6">
      <c r="A379" s="49"/>
      <c r="D379" s="49"/>
      <c r="F379" s="49"/>
    </row>
    <row r="380" spans="1:6">
      <c r="A380" s="49"/>
      <c r="D380" s="49"/>
      <c r="F380" s="49"/>
    </row>
    <row r="381" spans="1:6">
      <c r="A381" s="49"/>
      <c r="D381" s="49"/>
      <c r="F381" s="49"/>
    </row>
    <row r="382" spans="1:6">
      <c r="A382" s="49"/>
      <c r="D382" s="49"/>
      <c r="F382" s="49"/>
    </row>
    <row r="383" spans="1:6">
      <c r="A383" s="49"/>
      <c r="D383" s="49"/>
      <c r="F383" s="49"/>
    </row>
    <row r="384" spans="1:6">
      <c r="A384" s="49"/>
      <c r="D384" s="49"/>
      <c r="F384" s="49"/>
    </row>
    <row r="385" spans="1:6">
      <c r="A385" s="49"/>
      <c r="D385" s="49"/>
      <c r="F385" s="49"/>
    </row>
    <row r="386" spans="1:6">
      <c r="A386" s="49"/>
      <c r="D386" s="49"/>
      <c r="F386" s="49"/>
    </row>
    <row r="387" spans="1:6">
      <c r="A387" s="49"/>
      <c r="D387" s="49"/>
      <c r="F387" s="49"/>
    </row>
    <row r="388" spans="1:6">
      <c r="A388" s="49"/>
      <c r="D388" s="49"/>
      <c r="F388" s="49"/>
    </row>
    <row r="389" spans="1:6">
      <c r="A389" s="49"/>
      <c r="D389" s="49"/>
      <c r="F389" s="49"/>
    </row>
    <row r="390" spans="1:6">
      <c r="A390" s="49"/>
      <c r="D390" s="49"/>
      <c r="F390" s="49"/>
    </row>
    <row r="391" spans="1:6">
      <c r="A391" s="49"/>
      <c r="D391" s="49"/>
      <c r="F391" s="49"/>
    </row>
    <row r="392" spans="1:6">
      <c r="A392" s="49"/>
      <c r="D392" s="49"/>
      <c r="F392" s="49"/>
    </row>
    <row r="393" spans="1:6">
      <c r="A393" s="49"/>
      <c r="D393" s="49"/>
      <c r="F393" s="49"/>
    </row>
    <row r="394" spans="1:6">
      <c r="A394" s="49"/>
      <c r="D394" s="49"/>
      <c r="F394" s="49"/>
    </row>
    <row r="395" spans="1:6">
      <c r="A395" s="49"/>
      <c r="D395" s="49"/>
      <c r="F395" s="49"/>
    </row>
    <row r="396" spans="1:6">
      <c r="A396" s="49"/>
      <c r="D396" s="49"/>
      <c r="F396" s="49"/>
    </row>
    <row r="397" spans="1:6">
      <c r="A397" s="49"/>
      <c r="D397" s="49"/>
      <c r="F397" s="49"/>
    </row>
    <row r="398" spans="1:6">
      <c r="A398" s="49"/>
      <c r="D398" s="49"/>
      <c r="F398" s="49"/>
    </row>
    <row r="399" spans="1:6">
      <c r="A399" s="49"/>
      <c r="D399" s="49"/>
      <c r="F399" s="49"/>
    </row>
    <row r="400" spans="1:6">
      <c r="A400" s="49"/>
      <c r="D400" s="49"/>
      <c r="F400" s="49"/>
    </row>
    <row r="401" spans="1:6">
      <c r="A401" s="49"/>
      <c r="D401" s="49"/>
      <c r="F401" s="49"/>
    </row>
    <row r="402" spans="1:6">
      <c r="A402" s="49"/>
      <c r="D402" s="49"/>
      <c r="F402" s="49"/>
    </row>
    <row r="403" spans="1:6">
      <c r="A403" s="49"/>
      <c r="D403" s="49"/>
      <c r="F403" s="49"/>
    </row>
    <row r="404" spans="1:6">
      <c r="A404" s="49"/>
      <c r="D404" s="49"/>
      <c r="F404" s="49"/>
    </row>
    <row r="405" spans="1:6">
      <c r="A405" s="49"/>
      <c r="D405" s="49"/>
      <c r="F405" s="49"/>
    </row>
    <row r="406" spans="1:6">
      <c r="A406" s="49"/>
      <c r="D406" s="49"/>
      <c r="F406" s="49"/>
    </row>
    <row r="407" spans="1:6">
      <c r="A407" s="49"/>
      <c r="D407" s="49"/>
      <c r="F407" s="49"/>
    </row>
    <row r="408" spans="1:6">
      <c r="A408" s="49"/>
      <c r="D408" s="49"/>
      <c r="F408" s="49"/>
    </row>
    <row r="409" spans="1:6">
      <c r="A409" s="49"/>
      <c r="D409" s="49"/>
      <c r="F409" s="49"/>
    </row>
    <row r="410" spans="1:6">
      <c r="A410" s="49"/>
      <c r="D410" s="49"/>
      <c r="F410" s="49"/>
    </row>
    <row r="411" spans="1:6">
      <c r="A411" s="49"/>
      <c r="D411" s="49"/>
      <c r="F411" s="49"/>
    </row>
    <row r="412" spans="1:6">
      <c r="A412" s="49"/>
      <c r="D412" s="49"/>
      <c r="F412" s="49"/>
    </row>
    <row r="413" spans="1:6">
      <c r="A413" s="49"/>
      <c r="D413" s="49"/>
      <c r="F413" s="49"/>
    </row>
    <row r="414" spans="1:6">
      <c r="A414" s="49"/>
      <c r="D414" s="49"/>
      <c r="F414" s="49"/>
    </row>
    <row r="415" spans="1:6">
      <c r="A415" s="49"/>
      <c r="D415" s="49"/>
      <c r="F415" s="49"/>
    </row>
    <row r="416" spans="1:6">
      <c r="A416" s="49"/>
      <c r="D416" s="49"/>
      <c r="F416" s="49"/>
    </row>
    <row r="417" spans="1:6">
      <c r="A417" s="49"/>
      <c r="D417" s="49"/>
      <c r="F417" s="49"/>
    </row>
    <row r="418" spans="1:6">
      <c r="A418" s="49"/>
      <c r="D418" s="49"/>
      <c r="F418" s="49"/>
    </row>
    <row r="419" spans="1:6">
      <c r="A419" s="49"/>
      <c r="D419" s="49"/>
      <c r="F419" s="49"/>
    </row>
    <row r="420" spans="1:6">
      <c r="A420" s="49"/>
      <c r="D420" s="49"/>
      <c r="F420" s="49"/>
    </row>
    <row r="421" spans="1:6">
      <c r="A421" s="49"/>
      <c r="D421" s="49"/>
      <c r="F421" s="49"/>
    </row>
    <row r="422" spans="1:6">
      <c r="A422" s="49"/>
      <c r="D422" s="49"/>
      <c r="F422" s="49"/>
    </row>
    <row r="423" spans="1:6">
      <c r="A423" s="49"/>
      <c r="D423" s="49"/>
      <c r="F423" s="49"/>
    </row>
    <row r="424" spans="1:6">
      <c r="A424" s="49"/>
      <c r="D424" s="49"/>
      <c r="F424" s="49"/>
    </row>
    <row r="425" spans="1:6">
      <c r="A425" s="49"/>
      <c r="D425" s="49"/>
      <c r="F425" s="49"/>
    </row>
    <row r="426" spans="1:6">
      <c r="A426" s="49"/>
      <c r="D426" s="49"/>
      <c r="F426" s="49"/>
    </row>
    <row r="427" spans="1:6">
      <c r="A427" s="49"/>
      <c r="D427" s="49"/>
      <c r="F427" s="49"/>
    </row>
    <row r="428" spans="1:6">
      <c r="A428" s="49"/>
      <c r="D428" s="49"/>
      <c r="F428" s="49"/>
    </row>
    <row r="429" spans="1:6">
      <c r="A429" s="49"/>
      <c r="D429" s="49"/>
      <c r="F429" s="49"/>
    </row>
    <row r="430" spans="1:6">
      <c r="A430" s="49"/>
      <c r="D430" s="49"/>
      <c r="F430" s="49"/>
    </row>
    <row r="431" spans="1:6">
      <c r="A431" s="49"/>
      <c r="D431" s="49"/>
      <c r="F431" s="49"/>
    </row>
    <row r="432" spans="1:6">
      <c r="A432" s="49"/>
      <c r="D432" s="49"/>
      <c r="F432" s="49"/>
    </row>
    <row r="433" spans="1:6">
      <c r="A433" s="49"/>
      <c r="D433" s="49"/>
      <c r="F433" s="49"/>
    </row>
    <row r="434" spans="1:6">
      <c r="A434" s="49"/>
      <c r="D434" s="49"/>
      <c r="F434" s="49"/>
    </row>
    <row r="435" spans="1:6">
      <c r="A435" s="49"/>
      <c r="D435" s="49"/>
      <c r="F435" s="49"/>
    </row>
    <row r="436" spans="1:6">
      <c r="A436" s="49"/>
      <c r="D436" s="49"/>
      <c r="F436" s="49"/>
    </row>
    <row r="437" spans="1:6">
      <c r="A437" s="49"/>
      <c r="D437" s="49"/>
      <c r="F437" s="49"/>
    </row>
    <row r="438" spans="1:6">
      <c r="A438" s="49"/>
      <c r="D438" s="49"/>
      <c r="F438" s="49"/>
    </row>
    <row r="439" spans="1:6">
      <c r="A439" s="49"/>
      <c r="D439" s="49"/>
      <c r="F439" s="49"/>
    </row>
    <row r="440" spans="1:6">
      <c r="A440" s="49"/>
      <c r="D440" s="49"/>
      <c r="F440" s="49"/>
    </row>
    <row r="441" spans="1:6">
      <c r="A441" s="49"/>
      <c r="D441" s="49"/>
      <c r="F441" s="49"/>
    </row>
    <row r="442" spans="1:6">
      <c r="A442" s="49"/>
      <c r="D442" s="49"/>
      <c r="F442" s="49"/>
    </row>
    <row r="443" spans="1:6">
      <c r="A443" s="49"/>
      <c r="D443" s="49"/>
      <c r="F443" s="49"/>
    </row>
    <row r="444" spans="1:6">
      <c r="A444" s="49"/>
      <c r="D444" s="49"/>
      <c r="F444" s="49"/>
    </row>
    <row r="445" spans="1:6">
      <c r="A445" s="49"/>
      <c r="D445" s="49"/>
      <c r="F445" s="49"/>
    </row>
    <row r="446" spans="1:6">
      <c r="A446" s="49"/>
      <c r="D446" s="49"/>
      <c r="F446" s="49"/>
    </row>
    <row r="447" spans="1:6">
      <c r="A447" s="49"/>
      <c r="D447" s="49"/>
      <c r="F447" s="49"/>
    </row>
    <row r="448" spans="1:6">
      <c r="A448" s="49"/>
      <c r="D448" s="49"/>
      <c r="F448" s="49"/>
    </row>
    <row r="449" spans="1:6">
      <c r="A449" s="49"/>
      <c r="D449" s="49"/>
      <c r="F449" s="49"/>
    </row>
    <row r="450" spans="1:6">
      <c r="A450" s="49"/>
      <c r="D450" s="49"/>
      <c r="F450" s="49"/>
    </row>
    <row r="451" spans="1:6">
      <c r="A451" s="49"/>
      <c r="D451" s="49"/>
      <c r="F451" s="49"/>
    </row>
    <row r="452" spans="1:6">
      <c r="A452" s="49"/>
      <c r="D452" s="49"/>
      <c r="F452" s="49"/>
    </row>
    <row r="453" spans="1:6">
      <c r="A453" s="49"/>
      <c r="D453" s="49"/>
      <c r="F453" s="49"/>
    </row>
    <row r="454" spans="1:6">
      <c r="A454" s="49"/>
      <c r="D454" s="49"/>
      <c r="F454" s="49"/>
    </row>
    <row r="455" spans="1:6">
      <c r="A455" s="49"/>
      <c r="D455" s="49"/>
      <c r="F455" s="49"/>
    </row>
    <row r="456" spans="1:6">
      <c r="A456" s="49"/>
      <c r="D456" s="49"/>
      <c r="F456" s="49"/>
    </row>
    <row r="457" spans="1:6">
      <c r="A457" s="49"/>
      <c r="D457" s="49"/>
      <c r="F457" s="49"/>
    </row>
    <row r="458" spans="1:6">
      <c r="A458" s="49"/>
      <c r="D458" s="49"/>
      <c r="F458" s="49"/>
    </row>
    <row r="459" spans="1:6">
      <c r="A459" s="49"/>
      <c r="D459" s="49"/>
      <c r="F459" s="49"/>
    </row>
    <row r="460" spans="1:6">
      <c r="A460" s="49"/>
      <c r="D460" s="49"/>
      <c r="F460" s="49"/>
    </row>
    <row r="461" spans="1:6">
      <c r="A461" s="49"/>
      <c r="D461" s="49"/>
      <c r="F461" s="49"/>
    </row>
    <row r="462" spans="1:6">
      <c r="A462" s="49"/>
      <c r="D462" s="49"/>
      <c r="F462" s="49"/>
    </row>
    <row r="463" spans="1:6">
      <c r="A463" s="49"/>
      <c r="D463" s="49"/>
      <c r="F463" s="49"/>
    </row>
    <row r="464" spans="1:6">
      <c r="A464" s="49"/>
      <c r="D464" s="49"/>
      <c r="F464" s="49"/>
    </row>
    <row r="465" spans="1:6">
      <c r="A465" s="49"/>
      <c r="D465" s="49"/>
      <c r="F465" s="49"/>
    </row>
    <row r="466" spans="1:6">
      <c r="A466" s="49"/>
      <c r="D466" s="49"/>
      <c r="F466" s="49"/>
    </row>
    <row r="467" spans="1:6">
      <c r="A467" s="49"/>
      <c r="D467" s="49"/>
      <c r="F467" s="49"/>
    </row>
    <row r="468" spans="1:6">
      <c r="A468" s="49"/>
      <c r="D468" s="49"/>
      <c r="F468" s="49"/>
    </row>
    <row r="469" spans="1:6">
      <c r="A469" s="49"/>
      <c r="D469" s="49"/>
      <c r="F469" s="49"/>
    </row>
    <row r="470" spans="1:6">
      <c r="A470" s="49"/>
      <c r="D470" s="49"/>
      <c r="F470" s="49"/>
    </row>
    <row r="471" spans="1:6">
      <c r="A471" s="49"/>
      <c r="D471" s="49"/>
      <c r="F471" s="49"/>
    </row>
    <row r="472" spans="1:6">
      <c r="A472" s="49"/>
      <c r="D472" s="49"/>
      <c r="F472" s="49"/>
    </row>
    <row r="473" spans="1:6">
      <c r="A473" s="49"/>
      <c r="D473" s="49"/>
      <c r="F473" s="49"/>
    </row>
    <row r="474" spans="1:6">
      <c r="A474" s="49"/>
      <c r="D474" s="49"/>
      <c r="F474" s="49"/>
    </row>
    <row r="475" spans="1:6">
      <c r="A475" s="49"/>
      <c r="D475" s="49"/>
      <c r="F475" s="49"/>
    </row>
    <row r="476" spans="1:6">
      <c r="A476" s="49"/>
      <c r="D476" s="49"/>
      <c r="F476" s="49"/>
    </row>
    <row r="477" spans="1:6">
      <c r="A477" s="49"/>
      <c r="D477" s="49"/>
      <c r="F477" s="49"/>
    </row>
    <row r="478" spans="1:6">
      <c r="A478" s="49"/>
      <c r="D478" s="49"/>
      <c r="F478" s="49"/>
    </row>
    <row r="479" spans="1:6">
      <c r="A479" s="49"/>
      <c r="D479" s="49"/>
      <c r="F479" s="49"/>
    </row>
    <row r="480" spans="1:6">
      <c r="A480" s="49"/>
      <c r="D480" s="49"/>
      <c r="F480" s="49"/>
    </row>
    <row r="481" spans="1:6">
      <c r="A481" s="49"/>
      <c r="D481" s="49"/>
      <c r="F481" s="49"/>
    </row>
    <row r="482" spans="1:6">
      <c r="A482" s="49"/>
      <c r="D482" s="49"/>
      <c r="F482" s="49"/>
    </row>
    <row r="483" spans="1:6">
      <c r="A483" s="49"/>
      <c r="D483" s="49"/>
      <c r="F483" s="49"/>
    </row>
    <row r="484" spans="1:6">
      <c r="A484" s="49"/>
      <c r="D484" s="49"/>
      <c r="F484" s="49"/>
    </row>
    <row r="485" spans="1:6">
      <c r="A485" s="49"/>
      <c r="D485" s="49"/>
      <c r="F485" s="49"/>
    </row>
    <row r="486" spans="1:6">
      <c r="A486" s="49"/>
      <c r="D486" s="49"/>
      <c r="F486" s="49"/>
    </row>
    <row r="487" spans="1:6">
      <c r="A487" s="49"/>
      <c r="D487" s="49"/>
      <c r="F487" s="49"/>
    </row>
    <row r="488" spans="1:6">
      <c r="A488" s="49"/>
      <c r="D488" s="49"/>
      <c r="F488" s="49"/>
    </row>
    <row r="489" spans="1:6">
      <c r="A489" s="49"/>
      <c r="D489" s="49"/>
      <c r="F489" s="49"/>
    </row>
    <row r="490" spans="1:6">
      <c r="A490" s="49"/>
      <c r="D490" s="49"/>
      <c r="F490" s="49"/>
    </row>
    <row r="491" spans="1:6">
      <c r="A491" s="49"/>
      <c r="D491" s="49"/>
      <c r="F491" s="49"/>
    </row>
    <row r="492" spans="1:6">
      <c r="A492" s="49"/>
      <c r="D492" s="49"/>
      <c r="F492" s="49"/>
    </row>
    <row r="493" spans="1:6">
      <c r="A493" s="49"/>
      <c r="D493" s="49"/>
      <c r="F493" s="49"/>
    </row>
    <row r="494" spans="1:6">
      <c r="A494" s="49"/>
      <c r="D494" s="49"/>
      <c r="F494" s="49"/>
    </row>
    <row r="495" spans="1:6">
      <c r="A495" s="49"/>
      <c r="D495" s="49"/>
      <c r="F495" s="49"/>
    </row>
    <row r="496" spans="1:6">
      <c r="A496" s="49"/>
      <c r="D496" s="49"/>
      <c r="F496" s="49"/>
    </row>
    <row r="497" spans="1:6">
      <c r="A497" s="49"/>
      <c r="D497" s="49"/>
      <c r="F497" s="49"/>
    </row>
    <row r="498" spans="1:6">
      <c r="A498" s="49"/>
      <c r="D498" s="49"/>
      <c r="F498" s="49"/>
    </row>
    <row r="499" spans="1:6">
      <c r="A499" s="49"/>
      <c r="D499" s="49"/>
      <c r="F499" s="49"/>
    </row>
    <row r="500" spans="1:6">
      <c r="A500" s="49"/>
      <c r="D500" s="49"/>
      <c r="F500" s="49"/>
    </row>
    <row r="501" spans="1:6">
      <c r="A501" s="49"/>
      <c r="D501" s="49"/>
      <c r="F501" s="49"/>
    </row>
    <row r="502" spans="1:6">
      <c r="A502" s="49"/>
      <c r="D502" s="49"/>
      <c r="F502" s="49"/>
    </row>
    <row r="503" spans="1:6">
      <c r="A503" s="49"/>
      <c r="D503" s="49"/>
      <c r="F503" s="49"/>
    </row>
    <row r="504" spans="1:6">
      <c r="A504" s="49"/>
      <c r="D504" s="49"/>
      <c r="F504" s="49"/>
    </row>
    <row r="505" spans="1:6">
      <c r="A505" s="49"/>
      <c r="D505" s="49"/>
      <c r="F505" s="49"/>
    </row>
    <row r="506" spans="1:6">
      <c r="A506" s="49"/>
      <c r="D506" s="49"/>
      <c r="F506" s="49"/>
    </row>
    <row r="507" spans="1:6">
      <c r="A507" s="49"/>
      <c r="D507" s="49"/>
      <c r="F507" s="49"/>
    </row>
    <row r="508" spans="1:6">
      <c r="A508" s="49"/>
      <c r="D508" s="49"/>
      <c r="F508" s="49"/>
    </row>
    <row r="509" spans="1:6">
      <c r="A509" s="49"/>
      <c r="D509" s="49"/>
      <c r="F509" s="49"/>
    </row>
    <row r="510" spans="1:6">
      <c r="A510" s="49"/>
      <c r="D510" s="49"/>
      <c r="F510" s="49"/>
    </row>
    <row r="511" spans="1:6">
      <c r="A511" s="49"/>
      <c r="D511" s="49"/>
      <c r="F511" s="49"/>
    </row>
    <row r="512" spans="1:6">
      <c r="A512" s="49"/>
      <c r="D512" s="49"/>
      <c r="F512" s="49"/>
    </row>
    <row r="513" spans="1:6">
      <c r="A513" s="49"/>
      <c r="D513" s="49"/>
      <c r="F513" s="49"/>
    </row>
    <row r="514" spans="1:6">
      <c r="A514" s="49"/>
      <c r="D514" s="49"/>
      <c r="F514" s="49"/>
    </row>
    <row r="515" spans="1:6">
      <c r="A515" s="49"/>
      <c r="D515" s="49"/>
      <c r="F515" s="49"/>
    </row>
    <row r="516" spans="1:6">
      <c r="A516" s="49"/>
      <c r="D516" s="49"/>
      <c r="F516" s="49"/>
    </row>
    <row r="517" spans="1:6">
      <c r="A517" s="49"/>
      <c r="D517" s="49"/>
      <c r="F517" s="49"/>
    </row>
    <row r="518" spans="1:6">
      <c r="A518" s="49"/>
      <c r="D518" s="49"/>
      <c r="F518" s="49"/>
    </row>
    <row r="519" spans="1:6">
      <c r="A519" s="49"/>
      <c r="D519" s="49"/>
      <c r="F519" s="49"/>
    </row>
    <row r="520" spans="1:6">
      <c r="A520" s="49"/>
      <c r="D520" s="49"/>
      <c r="F520" s="49"/>
    </row>
    <row r="521" spans="1:6">
      <c r="A521" s="49"/>
      <c r="D521" s="49"/>
      <c r="F521" s="49"/>
    </row>
    <row r="522" spans="1:6">
      <c r="A522" s="49"/>
      <c r="D522" s="49"/>
      <c r="F522" s="49"/>
    </row>
    <row r="523" spans="1:6">
      <c r="A523" s="49"/>
      <c r="D523" s="49"/>
      <c r="F523" s="49"/>
    </row>
    <row r="524" spans="1:6">
      <c r="A524" s="49"/>
      <c r="D524" s="49"/>
      <c r="F524" s="49"/>
    </row>
    <row r="525" spans="1:6">
      <c r="A525" s="49"/>
      <c r="D525" s="49"/>
      <c r="F525" s="49"/>
    </row>
    <row r="526" spans="1:6">
      <c r="A526" s="49"/>
      <c r="D526" s="49"/>
      <c r="F526" s="49"/>
    </row>
    <row r="527" spans="1:6">
      <c r="A527" s="49"/>
      <c r="D527" s="49"/>
      <c r="F527" s="49"/>
    </row>
    <row r="528" spans="1:6">
      <c r="A528" s="49"/>
      <c r="D528" s="49"/>
      <c r="F528" s="49"/>
    </row>
    <row r="529" spans="1:6">
      <c r="A529" s="49"/>
      <c r="D529" s="49"/>
      <c r="F529" s="49"/>
    </row>
    <row r="530" spans="1:6">
      <c r="A530" s="49"/>
      <c r="D530" s="49"/>
      <c r="F530" s="49"/>
    </row>
    <row r="531" spans="1:6">
      <c r="A531" s="49"/>
      <c r="D531" s="49"/>
      <c r="F531" s="49"/>
    </row>
    <row r="532" spans="1:6">
      <c r="A532" s="49"/>
      <c r="D532" s="49"/>
      <c r="F532" s="49"/>
    </row>
    <row r="533" spans="1:6">
      <c r="A533" s="49"/>
      <c r="D533" s="49"/>
      <c r="F533" s="49"/>
    </row>
    <row r="534" spans="1:6">
      <c r="A534" s="49"/>
      <c r="D534" s="49"/>
      <c r="F534" s="49"/>
    </row>
    <row r="535" spans="1:6">
      <c r="A535" s="49"/>
      <c r="D535" s="49"/>
      <c r="F535" s="49"/>
    </row>
    <row r="536" spans="1:6">
      <c r="A536" s="49"/>
      <c r="D536" s="49"/>
      <c r="F536" s="49"/>
    </row>
    <row r="537" spans="1:6">
      <c r="A537" s="49"/>
      <c r="D537" s="49"/>
      <c r="F537" s="49"/>
    </row>
    <row r="538" spans="1:6">
      <c r="A538" s="49"/>
      <c r="D538" s="49"/>
      <c r="F538" s="49"/>
    </row>
    <row r="539" spans="1:6">
      <c r="A539" s="49"/>
      <c r="D539" s="49"/>
      <c r="F539" s="49"/>
    </row>
    <row r="540" spans="1:6">
      <c r="A540" s="49"/>
      <c r="D540" s="49"/>
      <c r="F540" s="49"/>
    </row>
    <row r="541" spans="1:6">
      <c r="A541" s="49"/>
      <c r="D541" s="49"/>
      <c r="F541" s="49"/>
    </row>
    <row r="542" spans="1:6">
      <c r="A542" s="49"/>
      <c r="D542" s="49"/>
      <c r="F542" s="49"/>
    </row>
    <row r="543" spans="1:6">
      <c r="A543" s="49"/>
      <c r="D543" s="49"/>
      <c r="F543" s="49"/>
    </row>
    <row r="544" spans="1:6">
      <c r="A544" s="49"/>
      <c r="D544" s="49"/>
      <c r="F544" s="49"/>
    </row>
    <row r="545" spans="1:6">
      <c r="A545" s="49"/>
      <c r="D545" s="49"/>
      <c r="F545" s="49"/>
    </row>
    <row r="546" spans="1:6">
      <c r="A546" s="49"/>
      <c r="D546" s="49"/>
      <c r="F546" s="49"/>
    </row>
    <row r="547" spans="1:6">
      <c r="A547" s="49"/>
      <c r="D547" s="49"/>
      <c r="F547" s="49"/>
    </row>
    <row r="548" spans="1:6">
      <c r="A548" s="49"/>
      <c r="D548" s="49"/>
      <c r="F548" s="49"/>
    </row>
    <row r="549" spans="1:6">
      <c r="A549" s="49"/>
      <c r="D549" s="49"/>
      <c r="F549" s="49"/>
    </row>
    <row r="550" spans="1:6">
      <c r="A550" s="49"/>
      <c r="D550" s="49"/>
      <c r="F550" s="49"/>
    </row>
    <row r="551" spans="1:6">
      <c r="A551" s="49"/>
      <c r="D551" s="49"/>
      <c r="F551" s="49"/>
    </row>
    <row r="552" spans="1:6">
      <c r="A552" s="49"/>
      <c r="D552" s="49"/>
      <c r="F552" s="49"/>
    </row>
    <row r="553" spans="1:6">
      <c r="A553" s="49"/>
      <c r="D553" s="49"/>
      <c r="F553" s="49"/>
    </row>
    <row r="554" spans="1:6">
      <c r="A554" s="49"/>
      <c r="D554" s="49"/>
      <c r="F554" s="49"/>
    </row>
    <row r="555" spans="1:6">
      <c r="A555" s="49"/>
      <c r="D555" s="49"/>
      <c r="F555" s="49"/>
    </row>
    <row r="556" spans="1:6">
      <c r="A556" s="49"/>
      <c r="D556" s="49"/>
      <c r="F556" s="49"/>
    </row>
    <row r="557" spans="1:6">
      <c r="A557" s="49"/>
      <c r="D557" s="49"/>
      <c r="F557" s="49"/>
    </row>
    <row r="558" spans="1:6">
      <c r="A558" s="49"/>
      <c r="D558" s="49"/>
      <c r="F558" s="49"/>
    </row>
    <row r="559" spans="1:6">
      <c r="A559" s="49"/>
      <c r="D559" s="49"/>
      <c r="F559" s="49"/>
    </row>
    <row r="560" spans="1:6">
      <c r="A560" s="49"/>
      <c r="D560" s="49"/>
      <c r="F560" s="49"/>
    </row>
    <row r="561" spans="1:6">
      <c r="A561" s="49"/>
      <c r="D561" s="49"/>
      <c r="F561" s="49"/>
    </row>
    <row r="562" spans="1:6">
      <c r="A562" s="49"/>
      <c r="D562" s="49"/>
      <c r="F562" s="49"/>
    </row>
    <row r="563" spans="1:6">
      <c r="A563" s="49"/>
      <c r="D563" s="49"/>
      <c r="F563" s="49"/>
    </row>
    <row r="564" spans="1:6">
      <c r="A564" s="49"/>
      <c r="D564" s="49"/>
      <c r="F564" s="49"/>
    </row>
    <row r="565" spans="1:6">
      <c r="A565" s="49"/>
      <c r="D565" s="49"/>
      <c r="F565" s="49"/>
    </row>
    <row r="566" spans="1:6">
      <c r="A566" s="49"/>
      <c r="D566" s="49"/>
      <c r="F566" s="49"/>
    </row>
    <row r="567" spans="1:6">
      <c r="A567" s="49"/>
      <c r="D567" s="49"/>
      <c r="F567" s="49"/>
    </row>
    <row r="568" spans="1:6">
      <c r="A568" s="49"/>
      <c r="D568" s="49"/>
      <c r="F568" s="49"/>
    </row>
    <row r="569" spans="1:6">
      <c r="A569" s="49"/>
      <c r="D569" s="49"/>
      <c r="F569" s="49"/>
    </row>
    <row r="570" spans="1:6">
      <c r="A570" s="49"/>
      <c r="D570" s="49"/>
      <c r="F570" s="49"/>
    </row>
    <row r="571" spans="1:6">
      <c r="A571" s="49"/>
      <c r="D571" s="49"/>
      <c r="F571" s="49"/>
    </row>
    <row r="572" spans="1:6">
      <c r="A572" s="49"/>
      <c r="D572" s="49"/>
      <c r="F572" s="49"/>
    </row>
    <row r="573" spans="1:6">
      <c r="A573" s="49"/>
      <c r="D573" s="49"/>
      <c r="F573" s="49"/>
    </row>
    <row r="574" spans="1:6">
      <c r="A574" s="49"/>
      <c r="D574" s="49"/>
      <c r="F574" s="49"/>
    </row>
    <row r="575" spans="1:6">
      <c r="A575" s="49"/>
      <c r="D575" s="49"/>
      <c r="F575" s="49"/>
    </row>
    <row r="576" spans="1:6">
      <c r="A576" s="49"/>
      <c r="D576" s="49"/>
      <c r="F576" s="49"/>
    </row>
    <row r="577" spans="1:6">
      <c r="A577" s="49"/>
      <c r="D577" s="49"/>
      <c r="F577" s="49"/>
    </row>
    <row r="578" spans="1:6">
      <c r="A578" s="49"/>
      <c r="D578" s="49"/>
      <c r="F578" s="49"/>
    </row>
    <row r="579" spans="1:6">
      <c r="A579" s="49"/>
      <c r="D579" s="49"/>
      <c r="F579" s="49"/>
    </row>
    <row r="580" spans="1:6">
      <c r="A580" s="49"/>
      <c r="D580" s="49"/>
      <c r="F580" s="49"/>
    </row>
    <row r="581" spans="1:6">
      <c r="A581" s="49"/>
      <c r="D581" s="49"/>
      <c r="F581" s="49"/>
    </row>
    <row r="582" spans="1:6">
      <c r="A582" s="49"/>
      <c r="D582" s="49"/>
      <c r="F582" s="49"/>
    </row>
    <row r="583" spans="1:6">
      <c r="A583" s="49"/>
      <c r="D583" s="49"/>
      <c r="F583" s="49"/>
    </row>
    <row r="584" spans="1:6">
      <c r="A584" s="49"/>
      <c r="D584" s="49"/>
      <c r="F584" s="49"/>
    </row>
    <row r="585" spans="1:6">
      <c r="A585" s="49"/>
      <c r="D585" s="49"/>
      <c r="F585" s="49"/>
    </row>
    <row r="586" spans="1:6">
      <c r="A586" s="49"/>
      <c r="D586" s="49"/>
      <c r="F586" s="49"/>
    </row>
    <row r="587" spans="1:6">
      <c r="A587" s="49"/>
      <c r="D587" s="49"/>
      <c r="F587" s="49"/>
    </row>
    <row r="588" spans="1:6">
      <c r="A588" s="49"/>
      <c r="D588" s="49"/>
      <c r="F588" s="49"/>
    </row>
    <row r="589" spans="1:6">
      <c r="A589" s="49"/>
      <c r="D589" s="49"/>
      <c r="F589" s="49"/>
    </row>
    <row r="590" spans="1:6">
      <c r="A590" s="49"/>
      <c r="D590" s="49"/>
      <c r="F590" s="49"/>
    </row>
    <row r="591" spans="1:6">
      <c r="A591" s="49"/>
      <c r="D591" s="49"/>
      <c r="F591" s="49"/>
    </row>
    <row r="592" spans="1:6">
      <c r="A592" s="49"/>
      <c r="D592" s="49"/>
      <c r="F592" s="49"/>
    </row>
    <row r="593" spans="1:6">
      <c r="A593" s="49"/>
      <c r="D593" s="49"/>
      <c r="F593" s="49"/>
    </row>
    <row r="594" spans="1:6">
      <c r="A594" s="49"/>
      <c r="D594" s="49"/>
      <c r="F594" s="49"/>
    </row>
    <row r="595" spans="1:6">
      <c r="A595" s="49"/>
      <c r="D595" s="49"/>
      <c r="F595" s="49"/>
    </row>
    <row r="596" spans="1:6">
      <c r="A596" s="49"/>
      <c r="D596" s="49"/>
      <c r="F596" s="49"/>
    </row>
    <row r="597" spans="1:6">
      <c r="A597" s="49"/>
      <c r="D597" s="49"/>
      <c r="F597" s="49"/>
    </row>
    <row r="598" spans="1:6">
      <c r="A598" s="49"/>
      <c r="D598" s="49"/>
      <c r="F598" s="49"/>
    </row>
    <row r="599" spans="1:6">
      <c r="A599" s="49"/>
      <c r="D599" s="49"/>
      <c r="F599" s="49"/>
    </row>
    <row r="600" spans="1:6">
      <c r="A600" s="49"/>
      <c r="D600" s="49"/>
      <c r="F600" s="49"/>
    </row>
    <row r="601" spans="1:6">
      <c r="A601" s="49"/>
      <c r="D601" s="49"/>
      <c r="F601" s="49"/>
    </row>
    <row r="602" spans="1:6">
      <c r="A602" s="49"/>
      <c r="D602" s="49"/>
      <c r="F602" s="49"/>
    </row>
    <row r="603" spans="1:6">
      <c r="A603" s="49"/>
      <c r="D603" s="49"/>
      <c r="F603" s="49"/>
    </row>
    <row r="604" spans="1:6">
      <c r="A604" s="49"/>
      <c r="D604" s="49"/>
      <c r="F604" s="49"/>
    </row>
    <row r="605" spans="1:6">
      <c r="A605" s="49"/>
      <c r="D605" s="49"/>
      <c r="F605" s="49"/>
    </row>
    <row r="606" spans="1:6">
      <c r="A606" s="49"/>
      <c r="D606" s="49"/>
      <c r="F606" s="49"/>
    </row>
    <row r="607" spans="1:6">
      <c r="A607" s="49"/>
      <c r="D607" s="49"/>
      <c r="F607" s="49"/>
    </row>
    <row r="608" spans="1:6">
      <c r="A608" s="49"/>
      <c r="D608" s="49"/>
      <c r="F608" s="49"/>
    </row>
    <row r="609" spans="1:6">
      <c r="A609" s="49"/>
      <c r="D609" s="49"/>
      <c r="F609" s="49"/>
    </row>
    <row r="610" spans="1:6">
      <c r="A610" s="49"/>
      <c r="D610" s="49"/>
      <c r="F610" s="49"/>
    </row>
    <row r="611" spans="1:6">
      <c r="A611" s="49"/>
      <c r="D611" s="49"/>
      <c r="F611" s="49"/>
    </row>
    <row r="612" spans="1:6">
      <c r="A612" s="49"/>
      <c r="D612" s="49"/>
      <c r="F612" s="49"/>
    </row>
    <row r="613" spans="1:6">
      <c r="A613" s="49"/>
      <c r="D613" s="49"/>
      <c r="F613" s="49"/>
    </row>
    <row r="614" spans="1:6">
      <c r="A614" s="49"/>
      <c r="D614" s="49"/>
      <c r="F614" s="49"/>
    </row>
    <row r="615" spans="1:6">
      <c r="A615" s="49"/>
      <c r="D615" s="49"/>
      <c r="F615" s="49"/>
    </row>
    <row r="616" spans="1:6">
      <c r="A616" s="49"/>
      <c r="D616" s="49"/>
      <c r="F616" s="49"/>
    </row>
    <row r="617" spans="1:6">
      <c r="A617" s="49"/>
      <c r="D617" s="49"/>
      <c r="F617" s="49"/>
    </row>
    <row r="618" spans="1:6">
      <c r="A618" s="49"/>
      <c r="D618" s="49"/>
      <c r="F618" s="49"/>
    </row>
    <row r="619" spans="1:6">
      <c r="A619" s="49"/>
      <c r="D619" s="49"/>
      <c r="F619" s="49"/>
    </row>
    <row r="620" spans="1:6">
      <c r="A620" s="49"/>
      <c r="D620" s="49"/>
      <c r="F620" s="49"/>
    </row>
    <row r="621" spans="1:6">
      <c r="A621" s="49"/>
      <c r="D621" s="49"/>
      <c r="F621" s="49"/>
    </row>
    <row r="622" spans="1:6">
      <c r="A622" s="49"/>
      <c r="D622" s="49"/>
      <c r="F622" s="49"/>
    </row>
    <row r="623" spans="1:6">
      <c r="A623" s="49"/>
      <c r="D623" s="49"/>
      <c r="F623" s="49"/>
    </row>
    <row r="624" spans="1:6">
      <c r="A624" s="49"/>
      <c r="D624" s="49"/>
      <c r="F624" s="49"/>
    </row>
    <row r="625" spans="1:6">
      <c r="A625" s="49"/>
      <c r="D625" s="49"/>
      <c r="F625" s="49"/>
    </row>
    <row r="626" spans="1:6">
      <c r="A626" s="49"/>
      <c r="D626" s="49"/>
      <c r="F626" s="49"/>
    </row>
    <row r="627" spans="1:6">
      <c r="A627" s="49"/>
      <c r="D627" s="49"/>
      <c r="F627" s="49"/>
    </row>
    <row r="628" spans="1:6">
      <c r="A628" s="49"/>
      <c r="D628" s="49"/>
      <c r="F628" s="49"/>
    </row>
    <row r="629" spans="1:6">
      <c r="A629" s="49"/>
      <c r="D629" s="49"/>
      <c r="F629" s="49"/>
    </row>
    <row r="630" spans="1:6">
      <c r="A630" s="49"/>
      <c r="D630" s="49"/>
      <c r="F630" s="49"/>
    </row>
    <row r="631" spans="1:6">
      <c r="A631" s="49"/>
      <c r="D631" s="49"/>
      <c r="F631" s="49"/>
    </row>
    <row r="632" spans="1:6">
      <c r="A632" s="49"/>
      <c r="D632" s="49"/>
      <c r="F632" s="49"/>
    </row>
    <row r="633" spans="1:6">
      <c r="A633" s="49"/>
      <c r="D633" s="49"/>
      <c r="F633" s="49"/>
    </row>
    <row r="634" spans="1:6">
      <c r="A634" s="49"/>
      <c r="D634" s="49"/>
      <c r="F634" s="49"/>
    </row>
    <row r="635" spans="1:6">
      <c r="A635" s="49"/>
      <c r="D635" s="49"/>
      <c r="F635" s="49"/>
    </row>
    <row r="636" spans="1:6">
      <c r="A636" s="49"/>
      <c r="D636" s="49"/>
      <c r="F636" s="49"/>
    </row>
    <row r="637" spans="1:6">
      <c r="A637" s="49"/>
      <c r="D637" s="49"/>
      <c r="F637" s="49"/>
    </row>
    <row r="638" spans="1:6">
      <c r="A638" s="49"/>
      <c r="D638" s="49"/>
      <c r="F638" s="49"/>
    </row>
    <row r="639" spans="1:6">
      <c r="A639" s="49"/>
      <c r="D639" s="49"/>
      <c r="F639" s="49"/>
    </row>
    <row r="640" spans="1:6">
      <c r="A640" s="49"/>
      <c r="D640" s="49"/>
      <c r="F640" s="49"/>
    </row>
    <row r="641" spans="1:6">
      <c r="A641" s="49"/>
      <c r="D641" s="49"/>
      <c r="F641" s="49"/>
    </row>
    <row r="642" spans="1:6">
      <c r="A642" s="49"/>
      <c r="D642" s="49"/>
      <c r="F642" s="49"/>
    </row>
    <row r="643" spans="1:6">
      <c r="A643" s="49"/>
      <c r="D643" s="49"/>
      <c r="F643" s="49"/>
    </row>
    <row r="644" spans="1:6">
      <c r="A644" s="49"/>
      <c r="D644" s="49"/>
      <c r="F644" s="49"/>
    </row>
    <row r="645" spans="1:6">
      <c r="A645" s="49"/>
      <c r="D645" s="49"/>
      <c r="F645" s="49"/>
    </row>
    <row r="646" spans="1:6">
      <c r="A646" s="49"/>
      <c r="D646" s="49"/>
      <c r="F646" s="49"/>
    </row>
    <row r="647" spans="1:6">
      <c r="A647" s="49"/>
      <c r="D647" s="49"/>
      <c r="F647" s="49"/>
    </row>
    <row r="648" spans="1:6">
      <c r="A648" s="49"/>
      <c r="D648" s="49"/>
      <c r="F648" s="49"/>
    </row>
    <row r="649" spans="1:6">
      <c r="A649" s="49"/>
      <c r="D649" s="49"/>
      <c r="F649" s="49"/>
    </row>
    <row r="650" spans="1:6">
      <c r="A650" s="49"/>
      <c r="D650" s="49"/>
      <c r="F650" s="49"/>
    </row>
    <row r="651" spans="1:6">
      <c r="A651" s="49"/>
      <c r="D651" s="49"/>
      <c r="F651" s="49"/>
    </row>
    <row r="652" spans="1:6">
      <c r="A652" s="49"/>
      <c r="D652" s="49"/>
      <c r="F652" s="49"/>
    </row>
    <row r="653" spans="1:6">
      <c r="A653" s="49"/>
      <c r="D653" s="49"/>
      <c r="F653" s="49"/>
    </row>
    <row r="654" spans="1:6">
      <c r="A654" s="49"/>
      <c r="D654" s="49"/>
      <c r="F654" s="49"/>
    </row>
    <row r="655" spans="1:6">
      <c r="A655" s="49"/>
      <c r="D655" s="49"/>
      <c r="F655" s="49"/>
    </row>
    <row r="656" spans="1:6">
      <c r="A656" s="49"/>
      <c r="D656" s="49"/>
      <c r="F656" s="49"/>
    </row>
    <row r="657" spans="1:6">
      <c r="A657" s="49"/>
      <c r="D657" s="49"/>
      <c r="F657" s="49"/>
    </row>
    <row r="658" spans="1:6">
      <c r="A658" s="49"/>
      <c r="D658" s="49"/>
      <c r="F658" s="49"/>
    </row>
    <row r="659" spans="1:6">
      <c r="A659" s="49"/>
      <c r="D659" s="49"/>
      <c r="F659" s="49"/>
    </row>
    <row r="660" spans="1:6">
      <c r="A660" s="49"/>
      <c r="D660" s="49"/>
      <c r="F660" s="49"/>
    </row>
    <row r="661" spans="1:6">
      <c r="A661" s="49"/>
      <c r="D661" s="49"/>
      <c r="F661" s="49"/>
    </row>
    <row r="662" spans="1:6">
      <c r="A662" s="49"/>
      <c r="D662" s="49"/>
      <c r="F662" s="49"/>
    </row>
    <row r="663" spans="1:6">
      <c r="A663" s="49"/>
      <c r="D663" s="49"/>
      <c r="F663" s="49"/>
    </row>
    <row r="664" spans="1:6">
      <c r="A664" s="49"/>
      <c r="D664" s="49"/>
      <c r="F664" s="49"/>
    </row>
    <row r="665" spans="1:6">
      <c r="A665" s="49"/>
      <c r="D665" s="49"/>
      <c r="F665" s="49"/>
    </row>
    <row r="666" spans="1:6">
      <c r="A666" s="49"/>
      <c r="D666" s="49"/>
      <c r="F666" s="49"/>
    </row>
    <row r="667" spans="1:6">
      <c r="A667" s="49"/>
      <c r="D667" s="49"/>
      <c r="F667" s="49"/>
    </row>
    <row r="668" spans="1:6">
      <c r="A668" s="49"/>
      <c r="D668" s="49"/>
      <c r="F668" s="49"/>
    </row>
    <row r="669" spans="1:6">
      <c r="A669" s="49"/>
      <c r="D669" s="49"/>
      <c r="F669" s="49"/>
    </row>
    <row r="670" spans="1:6">
      <c r="A670" s="49"/>
      <c r="D670" s="49"/>
      <c r="F670" s="49"/>
    </row>
    <row r="671" spans="1:6">
      <c r="A671" s="49"/>
      <c r="D671" s="49"/>
      <c r="F671" s="49"/>
    </row>
    <row r="672" spans="1:6">
      <c r="A672" s="49"/>
      <c r="D672" s="49"/>
      <c r="F672" s="49"/>
    </row>
    <row r="673" spans="1:6">
      <c r="A673" s="49"/>
      <c r="D673" s="49"/>
      <c r="F673" s="49"/>
    </row>
    <row r="674" spans="1:6">
      <c r="A674" s="49"/>
      <c r="D674" s="49"/>
      <c r="F674" s="49"/>
    </row>
    <row r="675" spans="1:6">
      <c r="A675" s="49"/>
      <c r="D675" s="49"/>
      <c r="F675" s="49"/>
    </row>
    <row r="676" spans="1:6">
      <c r="A676" s="49"/>
      <c r="D676" s="49"/>
      <c r="F676" s="49"/>
    </row>
    <row r="677" spans="1:6">
      <c r="A677" s="49"/>
      <c r="D677" s="49"/>
      <c r="F677" s="49"/>
    </row>
    <row r="678" spans="1:6">
      <c r="A678" s="49"/>
      <c r="D678" s="49"/>
      <c r="F678" s="49"/>
    </row>
    <row r="679" spans="1:6">
      <c r="A679" s="49"/>
      <c r="D679" s="49"/>
      <c r="F679" s="49"/>
    </row>
    <row r="680" spans="1:6">
      <c r="A680" s="49"/>
      <c r="D680" s="49"/>
      <c r="F680" s="49"/>
    </row>
    <row r="681" spans="1:6">
      <c r="A681" s="49"/>
      <c r="D681" s="49"/>
      <c r="F681" s="49"/>
    </row>
    <row r="682" spans="1:6">
      <c r="A682" s="49"/>
      <c r="D682" s="49"/>
      <c r="F682" s="49"/>
    </row>
    <row r="683" spans="1:6">
      <c r="A683" s="49"/>
      <c r="D683" s="49"/>
      <c r="F683" s="49"/>
    </row>
    <row r="684" spans="1:6">
      <c r="A684" s="49"/>
      <c r="D684" s="49"/>
      <c r="F684" s="49"/>
    </row>
    <row r="685" spans="1:6">
      <c r="A685" s="49"/>
      <c r="D685" s="49"/>
      <c r="F685" s="49"/>
    </row>
    <row r="686" spans="1:6">
      <c r="A686" s="49"/>
      <c r="D686" s="49"/>
      <c r="F686" s="49"/>
    </row>
    <row r="687" spans="1:6">
      <c r="A687" s="49"/>
      <c r="D687" s="49"/>
      <c r="F687" s="49"/>
    </row>
    <row r="688" spans="1:6">
      <c r="A688" s="49"/>
      <c r="D688" s="49"/>
      <c r="F688" s="49"/>
    </row>
    <row r="689" spans="1:6">
      <c r="A689" s="49"/>
      <c r="D689" s="49"/>
      <c r="F689" s="49"/>
    </row>
    <row r="690" spans="1:6">
      <c r="A690" s="49"/>
      <c r="D690" s="49"/>
      <c r="F690" s="49"/>
    </row>
    <row r="691" spans="1:6">
      <c r="A691" s="49"/>
      <c r="D691" s="49"/>
      <c r="F691" s="49"/>
    </row>
    <row r="692" spans="1:6">
      <c r="A692" s="49"/>
      <c r="D692" s="49"/>
      <c r="F692" s="49"/>
    </row>
    <row r="693" spans="1:6">
      <c r="A693" s="49"/>
      <c r="D693" s="49"/>
      <c r="F693" s="49"/>
    </row>
    <row r="694" spans="1:6">
      <c r="A694" s="49"/>
      <c r="D694" s="49"/>
      <c r="F694" s="49"/>
    </row>
    <row r="695" spans="1:6">
      <c r="A695" s="49"/>
      <c r="D695" s="49"/>
      <c r="F695" s="49"/>
    </row>
    <row r="696" spans="1:6">
      <c r="A696" s="49"/>
      <c r="D696" s="49"/>
      <c r="F696" s="49"/>
    </row>
    <row r="697" spans="1:6">
      <c r="A697" s="49"/>
      <c r="D697" s="49"/>
      <c r="F697" s="49"/>
    </row>
    <row r="698" spans="1:6">
      <c r="A698" s="49"/>
      <c r="D698" s="49"/>
      <c r="F698" s="49"/>
    </row>
    <row r="699" spans="1:6">
      <c r="A699" s="49"/>
      <c r="D699" s="49"/>
      <c r="F699" s="49"/>
    </row>
    <row r="700" spans="1:6">
      <c r="A700" s="49"/>
      <c r="D700" s="49"/>
      <c r="F700" s="49"/>
    </row>
    <row r="701" spans="1:6">
      <c r="A701" s="49"/>
      <c r="D701" s="49"/>
      <c r="F701" s="49"/>
    </row>
    <row r="702" spans="1:6">
      <c r="A702" s="49"/>
      <c r="D702" s="49"/>
      <c r="F702" s="49"/>
    </row>
    <row r="703" spans="1:6">
      <c r="A703" s="49"/>
      <c r="D703" s="49"/>
      <c r="F703" s="49"/>
    </row>
    <row r="704" spans="1:6">
      <c r="A704" s="49"/>
      <c r="D704" s="49"/>
      <c r="F704" s="49"/>
    </row>
    <row r="705" spans="1:6">
      <c r="A705" s="49"/>
      <c r="D705" s="49"/>
      <c r="F705" s="49"/>
    </row>
    <row r="706" spans="1:6">
      <c r="A706" s="49"/>
      <c r="D706" s="49"/>
      <c r="F706" s="49"/>
    </row>
    <row r="707" spans="1:6">
      <c r="A707" s="49"/>
      <c r="D707" s="49"/>
      <c r="F707" s="49"/>
    </row>
    <row r="708" spans="1:6">
      <c r="A708" s="49"/>
      <c r="D708" s="49"/>
      <c r="F708" s="49"/>
    </row>
    <row r="709" spans="1:6">
      <c r="A709" s="49"/>
      <c r="D709" s="49"/>
      <c r="F709" s="49"/>
    </row>
    <row r="710" spans="1:6">
      <c r="A710" s="49"/>
      <c r="D710" s="49"/>
      <c r="F710" s="49"/>
    </row>
    <row r="711" spans="1:6">
      <c r="A711" s="49"/>
      <c r="D711" s="49"/>
      <c r="F711" s="49"/>
    </row>
    <row r="712" spans="1:6">
      <c r="A712" s="49"/>
      <c r="D712" s="49"/>
      <c r="F712" s="49"/>
    </row>
    <row r="713" spans="1:6">
      <c r="A713" s="49"/>
      <c r="D713" s="49"/>
      <c r="F713" s="49"/>
    </row>
    <row r="714" spans="1:6">
      <c r="A714" s="49"/>
      <c r="D714" s="49"/>
      <c r="F714" s="49"/>
    </row>
    <row r="715" spans="1:6">
      <c r="A715" s="49"/>
      <c r="D715" s="49"/>
      <c r="F715" s="49"/>
    </row>
    <row r="716" spans="1:6">
      <c r="A716" s="49"/>
      <c r="D716" s="49"/>
      <c r="F716" s="49"/>
    </row>
    <row r="717" spans="1:6">
      <c r="A717" s="49"/>
      <c r="D717" s="49"/>
      <c r="F717" s="49"/>
    </row>
    <row r="718" spans="1:6">
      <c r="A718" s="49"/>
      <c r="D718" s="49"/>
      <c r="F718" s="49"/>
    </row>
    <row r="719" spans="1:6">
      <c r="A719" s="49"/>
      <c r="D719" s="49"/>
      <c r="F719" s="49"/>
    </row>
    <row r="720" spans="1:6">
      <c r="A720" s="49"/>
      <c r="D720" s="49"/>
      <c r="F720" s="49"/>
    </row>
    <row r="721" spans="1:6">
      <c r="A721" s="49"/>
      <c r="D721" s="49"/>
      <c r="F721" s="49"/>
    </row>
    <row r="722" spans="1:6">
      <c r="A722" s="49"/>
      <c r="D722" s="49"/>
      <c r="F722" s="49"/>
    </row>
    <row r="723" spans="1:6">
      <c r="A723" s="49"/>
      <c r="D723" s="49"/>
      <c r="F723" s="49"/>
    </row>
    <row r="724" spans="1:6">
      <c r="A724" s="49"/>
      <c r="D724" s="49"/>
      <c r="F724" s="49"/>
    </row>
    <row r="725" spans="1:6">
      <c r="A725" s="49"/>
      <c r="D725" s="49"/>
      <c r="F725" s="49"/>
    </row>
    <row r="726" spans="1:6">
      <c r="A726" s="49"/>
      <c r="D726" s="49"/>
      <c r="F726" s="49"/>
    </row>
    <row r="727" spans="1:6">
      <c r="A727" s="49"/>
      <c r="D727" s="49"/>
      <c r="F727" s="49"/>
    </row>
    <row r="728" spans="1:6">
      <c r="A728" s="49"/>
      <c r="D728" s="49"/>
      <c r="F728" s="49"/>
    </row>
    <row r="729" spans="1:6">
      <c r="A729" s="49"/>
      <c r="D729" s="49"/>
      <c r="F729" s="49"/>
    </row>
    <row r="730" spans="1:6">
      <c r="A730" s="49"/>
      <c r="D730" s="49"/>
      <c r="F730" s="49"/>
    </row>
    <row r="731" spans="1:6">
      <c r="A731" s="49"/>
      <c r="D731" s="49"/>
      <c r="F731" s="49"/>
    </row>
    <row r="732" spans="1:6">
      <c r="A732" s="49"/>
      <c r="D732" s="49"/>
      <c r="F732" s="49"/>
    </row>
    <row r="733" spans="1:6">
      <c r="A733" s="49"/>
      <c r="D733" s="49"/>
      <c r="F733" s="49"/>
    </row>
    <row r="734" spans="1:6">
      <c r="A734" s="49"/>
      <c r="D734" s="49"/>
      <c r="F734" s="49"/>
    </row>
    <row r="735" spans="1:6">
      <c r="A735" s="49"/>
      <c r="D735" s="49"/>
      <c r="F735" s="49"/>
    </row>
    <row r="736" spans="1:6">
      <c r="A736" s="49"/>
      <c r="D736" s="49"/>
      <c r="F736" s="49"/>
    </row>
    <row r="737" spans="1:6">
      <c r="A737" s="49"/>
      <c r="D737" s="49"/>
      <c r="F737" s="49"/>
    </row>
    <row r="738" spans="1:6">
      <c r="A738" s="49"/>
      <c r="D738" s="49"/>
      <c r="F738" s="49"/>
    </row>
    <row r="739" spans="1:6">
      <c r="A739" s="49"/>
      <c r="D739" s="49"/>
      <c r="F739" s="49"/>
    </row>
    <row r="740" spans="1:6">
      <c r="A740" s="49"/>
      <c r="D740" s="49"/>
      <c r="F740" s="49"/>
    </row>
    <row r="741" spans="1:6">
      <c r="A741" s="49"/>
      <c r="D741" s="49"/>
      <c r="F741" s="49"/>
    </row>
    <row r="742" spans="1:6">
      <c r="A742" s="49"/>
      <c r="D742" s="49"/>
      <c r="F742" s="49"/>
    </row>
    <row r="743" spans="1:6">
      <c r="A743" s="49"/>
      <c r="D743" s="49"/>
      <c r="F743" s="49"/>
    </row>
    <row r="744" spans="1:6">
      <c r="A744" s="49"/>
      <c r="D744" s="49"/>
      <c r="F744" s="49"/>
    </row>
    <row r="745" spans="1:6">
      <c r="A745" s="49"/>
      <c r="D745" s="49"/>
      <c r="F745" s="49"/>
    </row>
    <row r="746" spans="1:6">
      <c r="A746" s="49"/>
      <c r="D746" s="49"/>
      <c r="F746" s="49"/>
    </row>
    <row r="747" spans="1:6">
      <c r="A747" s="49"/>
      <c r="D747" s="49"/>
      <c r="F747" s="49"/>
    </row>
    <row r="748" spans="1:6">
      <c r="A748" s="49"/>
      <c r="D748" s="49"/>
      <c r="F748" s="49"/>
    </row>
    <row r="749" spans="1:6">
      <c r="A749" s="49"/>
      <c r="D749" s="49"/>
      <c r="F749" s="49"/>
    </row>
    <row r="750" spans="1:6">
      <c r="A750" s="49"/>
      <c r="D750" s="49"/>
      <c r="F750" s="49"/>
    </row>
    <row r="751" spans="1:6">
      <c r="A751" s="49"/>
      <c r="D751" s="49"/>
      <c r="F751" s="49"/>
    </row>
    <row r="752" spans="1:6">
      <c r="A752" s="49"/>
      <c r="D752" s="49"/>
      <c r="F752" s="49"/>
    </row>
    <row r="753" spans="1:6">
      <c r="A753" s="49"/>
      <c r="D753" s="49"/>
      <c r="F753" s="49"/>
    </row>
    <row r="754" spans="1:6">
      <c r="A754" s="49"/>
      <c r="D754" s="49"/>
      <c r="F754" s="49"/>
    </row>
    <row r="755" spans="1:6">
      <c r="A755" s="49"/>
      <c r="D755" s="49"/>
      <c r="F755" s="49"/>
    </row>
    <row r="756" spans="1:6">
      <c r="A756" s="49"/>
      <c r="D756" s="49"/>
      <c r="F756" s="49"/>
    </row>
    <row r="757" spans="1:6">
      <c r="A757" s="49"/>
      <c r="D757" s="49"/>
      <c r="F757" s="49"/>
    </row>
    <row r="758" spans="1:6">
      <c r="A758" s="49"/>
      <c r="D758" s="49"/>
      <c r="F758" s="49"/>
    </row>
    <row r="759" spans="1:6">
      <c r="A759" s="49"/>
      <c r="D759" s="49"/>
      <c r="F759" s="49"/>
    </row>
    <row r="760" spans="1:6">
      <c r="A760" s="49"/>
      <c r="D760" s="49"/>
      <c r="F760" s="49"/>
    </row>
    <row r="761" spans="1:6">
      <c r="A761" s="49"/>
      <c r="D761" s="49"/>
      <c r="F761" s="49"/>
    </row>
    <row r="762" spans="1:6">
      <c r="A762" s="49"/>
      <c r="D762" s="49"/>
      <c r="F762" s="49"/>
    </row>
    <row r="763" spans="1:6">
      <c r="A763" s="49"/>
      <c r="D763" s="49"/>
      <c r="F763" s="49"/>
    </row>
    <row r="764" spans="1:6">
      <c r="A764" s="49"/>
      <c r="D764" s="49"/>
      <c r="F764" s="49"/>
    </row>
    <row r="765" spans="1:6">
      <c r="A765" s="49"/>
      <c r="D765" s="49"/>
      <c r="F765" s="49"/>
    </row>
    <row r="766" spans="1:6">
      <c r="A766" s="49"/>
      <c r="D766" s="49"/>
      <c r="F766" s="49"/>
    </row>
    <row r="767" spans="1:6">
      <c r="A767" s="49"/>
      <c r="D767" s="49"/>
      <c r="F767" s="49"/>
    </row>
    <row r="768" spans="1:6">
      <c r="A768" s="49"/>
      <c r="D768" s="49"/>
      <c r="F768" s="49"/>
    </row>
    <row r="769" spans="1:6">
      <c r="A769" s="49"/>
      <c r="D769" s="49"/>
      <c r="F769" s="49"/>
    </row>
    <row r="770" spans="1:6">
      <c r="A770" s="49"/>
      <c r="D770" s="49"/>
      <c r="F770" s="49"/>
    </row>
    <row r="771" spans="1:6">
      <c r="A771" s="49"/>
      <c r="D771" s="49"/>
      <c r="F771" s="49"/>
    </row>
    <row r="772" spans="1:6">
      <c r="A772" s="49"/>
      <c r="D772" s="49"/>
      <c r="F772" s="49"/>
    </row>
    <row r="773" spans="1:6">
      <c r="A773" s="49"/>
      <c r="D773" s="49"/>
      <c r="F773" s="49"/>
    </row>
    <row r="774" spans="1:6">
      <c r="A774" s="49"/>
      <c r="D774" s="49"/>
      <c r="F774" s="49"/>
    </row>
    <row r="775" spans="1:6">
      <c r="A775" s="49"/>
      <c r="D775" s="49"/>
      <c r="F775" s="49"/>
    </row>
    <row r="776" spans="1:6">
      <c r="A776" s="49"/>
      <c r="D776" s="49"/>
      <c r="F776" s="49"/>
    </row>
    <row r="777" spans="1:6">
      <c r="A777" s="49"/>
      <c r="D777" s="49"/>
      <c r="F777" s="49"/>
    </row>
    <row r="778" spans="1:6">
      <c r="A778" s="49"/>
      <c r="D778" s="49"/>
      <c r="F778" s="49"/>
    </row>
    <row r="779" spans="1:6">
      <c r="A779" s="49"/>
      <c r="D779" s="49"/>
      <c r="F779" s="49"/>
    </row>
    <row r="780" spans="1:6">
      <c r="A780" s="49"/>
      <c r="D780" s="49"/>
      <c r="F780" s="49"/>
    </row>
    <row r="781" spans="1:6">
      <c r="A781" s="49"/>
      <c r="D781" s="49"/>
      <c r="F781" s="49"/>
    </row>
    <row r="782" spans="1:6">
      <c r="A782" s="49"/>
      <c r="D782" s="49"/>
      <c r="F782" s="49"/>
    </row>
    <row r="783" spans="1:6">
      <c r="A783" s="49"/>
      <c r="D783" s="49"/>
      <c r="F783" s="49"/>
    </row>
    <row r="784" spans="1:6">
      <c r="A784" s="49"/>
      <c r="D784" s="49"/>
      <c r="F784" s="49"/>
    </row>
    <row r="785" spans="1:6">
      <c r="A785" s="49"/>
      <c r="D785" s="49"/>
      <c r="F785" s="49"/>
    </row>
    <row r="786" spans="1:6">
      <c r="A786" s="49"/>
      <c r="D786" s="49"/>
      <c r="F786" s="49"/>
    </row>
    <row r="787" spans="1:6">
      <c r="A787" s="49"/>
      <c r="D787" s="49"/>
      <c r="F787" s="49"/>
    </row>
    <row r="788" spans="1:6">
      <c r="A788" s="49"/>
      <c r="D788" s="49"/>
      <c r="F788" s="49"/>
    </row>
    <row r="789" spans="1:6">
      <c r="A789" s="49"/>
      <c r="D789" s="49"/>
      <c r="F789" s="49"/>
    </row>
    <row r="790" spans="1:6">
      <c r="A790" s="49"/>
      <c r="D790" s="49"/>
      <c r="F790" s="49"/>
    </row>
    <row r="791" spans="1:6">
      <c r="A791" s="49"/>
      <c r="D791" s="49"/>
      <c r="F791" s="49"/>
    </row>
    <row r="792" spans="1:6">
      <c r="A792" s="49"/>
      <c r="D792" s="49"/>
      <c r="F792" s="49"/>
    </row>
    <row r="793" spans="1:6">
      <c r="A793" s="49"/>
      <c r="D793" s="49"/>
      <c r="F793" s="49"/>
    </row>
    <row r="794" spans="1:6">
      <c r="A794" s="49"/>
      <c r="D794" s="49"/>
      <c r="F794" s="49"/>
    </row>
    <row r="795" spans="1:6">
      <c r="A795" s="49"/>
      <c r="D795" s="49"/>
      <c r="F795" s="49"/>
    </row>
    <row r="796" spans="1:6">
      <c r="A796" s="49"/>
      <c r="D796" s="49"/>
      <c r="F796" s="49"/>
    </row>
    <row r="797" spans="1:6">
      <c r="A797" s="49"/>
      <c r="D797" s="49"/>
      <c r="F797" s="49"/>
    </row>
    <row r="798" spans="1:6">
      <c r="A798" s="49"/>
      <c r="D798" s="49"/>
      <c r="F798" s="49"/>
    </row>
    <row r="799" spans="1:6">
      <c r="A799" s="49"/>
      <c r="D799" s="49"/>
      <c r="F799" s="49"/>
    </row>
    <row r="800" spans="1:6">
      <c r="A800" s="49"/>
      <c r="D800" s="49"/>
      <c r="F800" s="49"/>
    </row>
    <row r="801" spans="1:6">
      <c r="A801" s="49"/>
      <c r="D801" s="49"/>
      <c r="F801" s="49"/>
    </row>
    <row r="802" spans="1:6">
      <c r="A802" s="49"/>
      <c r="D802" s="49"/>
      <c r="F802" s="49"/>
    </row>
    <row r="803" spans="1:6">
      <c r="A803" s="49"/>
      <c r="D803" s="49"/>
      <c r="F803" s="49"/>
    </row>
    <row r="804" spans="1:6">
      <c r="A804" s="49"/>
      <c r="D804" s="49"/>
      <c r="F804" s="49"/>
    </row>
    <row r="805" spans="1:6">
      <c r="A805" s="49"/>
      <c r="D805" s="49"/>
      <c r="F805" s="49"/>
    </row>
    <row r="806" spans="1:6">
      <c r="A806" s="49"/>
      <c r="D806" s="49"/>
      <c r="F806" s="49"/>
    </row>
    <row r="807" spans="1:6">
      <c r="A807" s="49"/>
      <c r="D807" s="49"/>
      <c r="F807" s="49"/>
    </row>
    <row r="808" spans="1:6">
      <c r="A808" s="49"/>
      <c r="D808" s="49"/>
      <c r="F808" s="49"/>
    </row>
    <row r="809" spans="1:6">
      <c r="A809" s="49"/>
      <c r="D809" s="49"/>
      <c r="F809" s="49"/>
    </row>
    <row r="810" spans="1:6">
      <c r="A810" s="49"/>
      <c r="D810" s="49"/>
      <c r="F810" s="49"/>
    </row>
    <row r="811" spans="1:6">
      <c r="A811" s="49"/>
      <c r="D811" s="49"/>
      <c r="F811" s="49"/>
    </row>
    <row r="812" spans="1:6">
      <c r="A812" s="49"/>
      <c r="D812" s="49"/>
      <c r="F812" s="49"/>
    </row>
    <row r="813" spans="1:6">
      <c r="A813" s="49"/>
      <c r="D813" s="49"/>
      <c r="F813" s="49"/>
    </row>
    <row r="814" spans="1:6">
      <c r="A814" s="49"/>
      <c r="D814" s="49"/>
      <c r="F814" s="49"/>
    </row>
    <row r="815" spans="1:6">
      <c r="A815" s="49"/>
      <c r="D815" s="49"/>
      <c r="F815" s="49"/>
    </row>
    <row r="816" spans="1:6">
      <c r="A816" s="49"/>
      <c r="D816" s="49"/>
      <c r="F816" s="49"/>
    </row>
    <row r="817" spans="1:6">
      <c r="A817" s="49"/>
      <c r="D817" s="49"/>
      <c r="F817" s="49"/>
    </row>
    <row r="818" spans="1:6">
      <c r="A818" s="49"/>
      <c r="D818" s="49"/>
      <c r="F818" s="49"/>
    </row>
    <row r="819" spans="1:6">
      <c r="A819" s="49"/>
      <c r="D819" s="49"/>
      <c r="F819" s="49"/>
    </row>
    <row r="820" spans="1:6">
      <c r="A820" s="49"/>
      <c r="D820" s="49"/>
      <c r="F820" s="49"/>
    </row>
    <row r="821" spans="1:6">
      <c r="A821" s="49"/>
      <c r="D821" s="49"/>
      <c r="F821" s="49"/>
    </row>
    <row r="822" spans="1:6">
      <c r="A822" s="49"/>
      <c r="D822" s="49"/>
      <c r="F822" s="49"/>
    </row>
    <row r="823" spans="1:6">
      <c r="A823" s="49"/>
      <c r="D823" s="49"/>
      <c r="F823" s="49"/>
    </row>
    <row r="824" spans="1:6">
      <c r="A824" s="49"/>
      <c r="D824" s="49"/>
      <c r="F824" s="49"/>
    </row>
    <row r="825" spans="1:6">
      <c r="A825" s="49"/>
      <c r="D825" s="49"/>
      <c r="F825" s="49"/>
    </row>
    <row r="826" spans="1:6">
      <c r="A826" s="49"/>
      <c r="D826" s="49"/>
      <c r="F826" s="49"/>
    </row>
    <row r="827" spans="1:6">
      <c r="A827" s="49"/>
      <c r="D827" s="49"/>
      <c r="F827" s="49"/>
    </row>
    <row r="828" spans="1:6">
      <c r="A828" s="49"/>
      <c r="D828" s="49"/>
      <c r="F828" s="49"/>
    </row>
    <row r="829" spans="1:6">
      <c r="A829" s="49"/>
      <c r="D829" s="49"/>
      <c r="F829" s="49"/>
    </row>
    <row r="830" spans="1:6">
      <c r="A830" s="49"/>
      <c r="D830" s="49"/>
      <c r="F830" s="49"/>
    </row>
    <row r="831" spans="1:6">
      <c r="A831" s="49"/>
      <c r="D831" s="49"/>
      <c r="F831" s="49"/>
    </row>
    <row r="832" spans="1:6">
      <c r="A832" s="49"/>
      <c r="D832" s="49"/>
      <c r="F832" s="49"/>
    </row>
    <row r="833" spans="1:6">
      <c r="A833" s="49"/>
      <c r="D833" s="49"/>
      <c r="F833" s="49"/>
    </row>
    <row r="834" spans="1:6">
      <c r="A834" s="49"/>
      <c r="D834" s="49"/>
      <c r="F834" s="49"/>
    </row>
    <row r="835" spans="1:6">
      <c r="A835" s="49"/>
      <c r="D835" s="49"/>
      <c r="F835" s="49"/>
    </row>
    <row r="836" spans="1:6">
      <c r="A836" s="49"/>
      <c r="D836" s="49"/>
      <c r="F836" s="49"/>
    </row>
    <row r="837" spans="1:6">
      <c r="A837" s="49"/>
      <c r="D837" s="49"/>
      <c r="F837" s="49"/>
    </row>
    <row r="838" spans="1:6">
      <c r="A838" s="49"/>
      <c r="D838" s="49"/>
      <c r="F838" s="49"/>
    </row>
    <row r="839" spans="1:6">
      <c r="A839" s="49"/>
      <c r="D839" s="49"/>
      <c r="F839" s="49"/>
    </row>
    <row r="840" spans="1:6">
      <c r="A840" s="49"/>
      <c r="D840" s="49"/>
      <c r="F840" s="49"/>
    </row>
    <row r="841" spans="1:6">
      <c r="A841" s="49"/>
      <c r="D841" s="49"/>
      <c r="F841" s="49"/>
    </row>
    <row r="842" spans="1:6">
      <c r="A842" s="49"/>
      <c r="D842" s="49"/>
      <c r="F842" s="49"/>
    </row>
    <row r="843" spans="1:6">
      <c r="A843" s="49"/>
      <c r="D843" s="49"/>
      <c r="F843" s="49"/>
    </row>
    <row r="844" spans="1:6">
      <c r="A844" s="49"/>
      <c r="D844" s="49"/>
      <c r="F844" s="49"/>
    </row>
    <row r="845" spans="1:6">
      <c r="A845" s="49"/>
      <c r="D845" s="49"/>
      <c r="F845" s="49"/>
    </row>
    <row r="846" spans="1:6">
      <c r="A846" s="49"/>
      <c r="D846" s="49"/>
      <c r="F846" s="49"/>
    </row>
    <row r="847" spans="1:6">
      <c r="A847" s="49"/>
      <c r="D847" s="49"/>
      <c r="F847" s="49"/>
    </row>
    <row r="848" spans="1:6">
      <c r="A848" s="49"/>
      <c r="D848" s="49"/>
      <c r="F848" s="49"/>
    </row>
    <row r="849" spans="1:6">
      <c r="A849" s="49"/>
      <c r="D849" s="49"/>
      <c r="F849" s="49"/>
    </row>
    <row r="850" spans="1:6">
      <c r="A850" s="49"/>
      <c r="D850" s="49"/>
      <c r="F850" s="49"/>
    </row>
    <row r="851" spans="1:6">
      <c r="A851" s="49"/>
      <c r="D851" s="49"/>
      <c r="F851" s="49"/>
    </row>
    <row r="852" spans="1:6">
      <c r="A852" s="49"/>
      <c r="D852" s="49"/>
      <c r="F852" s="49"/>
    </row>
    <row r="853" spans="1:6">
      <c r="A853" s="49"/>
      <c r="D853" s="49"/>
      <c r="F853" s="49"/>
    </row>
    <row r="854" spans="1:6">
      <c r="A854" s="49"/>
      <c r="D854" s="49"/>
      <c r="F854" s="49"/>
    </row>
    <row r="855" spans="1:6">
      <c r="A855" s="49"/>
      <c r="D855" s="49"/>
      <c r="F855" s="49"/>
    </row>
    <row r="856" spans="1:6">
      <c r="A856" s="49"/>
      <c r="D856" s="49"/>
      <c r="F856" s="49"/>
    </row>
    <row r="857" spans="1:6">
      <c r="A857" s="49"/>
      <c r="D857" s="49"/>
      <c r="F857" s="49"/>
    </row>
    <row r="858" spans="1:6">
      <c r="A858" s="49"/>
      <c r="D858" s="49"/>
      <c r="F858" s="49"/>
    </row>
    <row r="859" spans="1:6">
      <c r="A859" s="49"/>
      <c r="D859" s="49"/>
      <c r="F859" s="49"/>
    </row>
    <row r="860" spans="1:6">
      <c r="A860" s="49"/>
      <c r="D860" s="49"/>
      <c r="F860" s="49"/>
    </row>
    <row r="861" spans="1:6">
      <c r="A861" s="49"/>
      <c r="D861" s="49"/>
      <c r="F861" s="49"/>
    </row>
    <row r="862" spans="1:6">
      <c r="A862" s="49"/>
      <c r="D862" s="49"/>
      <c r="F862" s="49"/>
    </row>
    <row r="863" spans="1:6">
      <c r="A863" s="49"/>
      <c r="D863" s="49"/>
      <c r="F863" s="49"/>
    </row>
    <row r="864" spans="1:6">
      <c r="A864" s="49"/>
      <c r="D864" s="49"/>
      <c r="F864" s="49"/>
    </row>
    <row r="865" spans="1:6">
      <c r="A865" s="49"/>
      <c r="D865" s="49"/>
      <c r="F865" s="49"/>
    </row>
    <row r="866" spans="1:6">
      <c r="A866" s="49"/>
      <c r="D866" s="49"/>
      <c r="F866" s="49"/>
    </row>
    <row r="867" spans="1:6">
      <c r="A867" s="49"/>
      <c r="D867" s="49"/>
      <c r="F867" s="49"/>
    </row>
    <row r="868" spans="1:6">
      <c r="A868" s="49"/>
      <c r="D868" s="49"/>
      <c r="F868" s="49"/>
    </row>
    <row r="869" spans="1:6">
      <c r="A869" s="49"/>
      <c r="D869" s="49"/>
      <c r="F869" s="49"/>
    </row>
    <row r="870" spans="1:6">
      <c r="A870" s="49"/>
      <c r="D870" s="49"/>
      <c r="F870" s="49"/>
    </row>
    <row r="871" spans="1:6">
      <c r="A871" s="49"/>
      <c r="D871" s="49"/>
      <c r="F871" s="49"/>
    </row>
    <row r="872" spans="1:6">
      <c r="A872" s="49"/>
      <c r="D872" s="49"/>
      <c r="F872" s="49"/>
    </row>
    <row r="873" spans="1:6">
      <c r="A873" s="49"/>
      <c r="D873" s="49"/>
      <c r="F873" s="49"/>
    </row>
    <row r="874" spans="1:6">
      <c r="A874" s="49"/>
      <c r="D874" s="49"/>
      <c r="F874" s="49"/>
    </row>
    <row r="875" spans="1:6">
      <c r="A875" s="49"/>
      <c r="D875" s="49"/>
      <c r="F875" s="49"/>
    </row>
    <row r="876" spans="1:6">
      <c r="A876" s="49"/>
      <c r="D876" s="49"/>
      <c r="F876" s="49"/>
    </row>
    <row r="877" spans="1:6">
      <c r="A877" s="49"/>
      <c r="D877" s="49"/>
      <c r="F877" s="49"/>
    </row>
    <row r="878" spans="1:6">
      <c r="A878" s="49"/>
      <c r="D878" s="49"/>
      <c r="F878" s="49"/>
    </row>
    <row r="879" spans="1:6">
      <c r="A879" s="49"/>
      <c r="D879" s="49"/>
      <c r="F879" s="49"/>
    </row>
    <row r="880" spans="1:6">
      <c r="A880" s="49"/>
      <c r="D880" s="49"/>
      <c r="F880" s="49"/>
    </row>
    <row r="881" spans="1:6">
      <c r="A881" s="49"/>
      <c r="D881" s="49"/>
      <c r="F881" s="49"/>
    </row>
    <row r="882" spans="1:6">
      <c r="A882" s="49"/>
      <c r="D882" s="49"/>
      <c r="F882" s="49"/>
    </row>
    <row r="883" spans="1:6">
      <c r="A883" s="49"/>
      <c r="D883" s="49"/>
      <c r="F883" s="49"/>
    </row>
    <row r="884" spans="1:6">
      <c r="A884" s="49"/>
      <c r="D884" s="49"/>
      <c r="F884" s="49"/>
    </row>
    <row r="885" spans="1:6">
      <c r="A885" s="49"/>
      <c r="D885" s="49"/>
      <c r="F885" s="49"/>
    </row>
    <row r="886" spans="1:6">
      <c r="A886" s="49"/>
      <c r="D886" s="49"/>
      <c r="F886" s="49"/>
    </row>
    <row r="887" spans="1:6">
      <c r="A887" s="49"/>
      <c r="D887" s="49"/>
      <c r="F887" s="49"/>
    </row>
    <row r="888" spans="1:6">
      <c r="A888" s="49"/>
      <c r="D888" s="49"/>
      <c r="F888" s="49"/>
    </row>
    <row r="889" spans="1:6">
      <c r="A889" s="49"/>
      <c r="D889" s="49"/>
      <c r="F889" s="49"/>
    </row>
    <row r="890" spans="1:6">
      <c r="A890" s="49"/>
      <c r="D890" s="49"/>
      <c r="F890" s="49"/>
    </row>
    <row r="891" spans="1:6">
      <c r="A891" s="49"/>
      <c r="D891" s="49"/>
      <c r="F891" s="49"/>
    </row>
    <row r="892" spans="1:6">
      <c r="A892" s="49"/>
      <c r="D892" s="49"/>
      <c r="F892" s="49"/>
    </row>
    <row r="893" spans="1:6">
      <c r="A893" s="49"/>
      <c r="D893" s="49"/>
      <c r="F893" s="49"/>
    </row>
    <row r="894" spans="1:6">
      <c r="A894" s="49"/>
      <c r="D894" s="49"/>
      <c r="F894" s="49"/>
    </row>
    <row r="895" spans="1:6">
      <c r="A895" s="49"/>
      <c r="D895" s="49"/>
      <c r="F895" s="49"/>
    </row>
    <row r="896" spans="1:6">
      <c r="A896" s="49"/>
      <c r="D896" s="49"/>
      <c r="F896" s="49"/>
    </row>
    <row r="897" spans="1:6">
      <c r="A897" s="49"/>
      <c r="D897" s="49"/>
      <c r="F897" s="49"/>
    </row>
    <row r="898" spans="1:6">
      <c r="A898" s="49"/>
      <c r="D898" s="49"/>
      <c r="F898" s="49"/>
    </row>
    <row r="899" spans="1:6">
      <c r="A899" s="49"/>
      <c r="D899" s="49"/>
      <c r="F899" s="49"/>
    </row>
    <row r="900" spans="1:6">
      <c r="A900" s="49"/>
      <c r="D900" s="49"/>
      <c r="F900" s="49"/>
    </row>
    <row r="901" spans="1:6">
      <c r="A901" s="49"/>
      <c r="D901" s="49"/>
      <c r="F901" s="49"/>
    </row>
    <row r="902" spans="1:6">
      <c r="A902" s="49"/>
      <c r="D902" s="49"/>
      <c r="F902" s="49"/>
    </row>
    <row r="903" spans="1:6">
      <c r="A903" s="49"/>
      <c r="D903" s="49"/>
      <c r="F903" s="49"/>
    </row>
    <row r="904" spans="1:6">
      <c r="A904" s="49"/>
      <c r="D904" s="49"/>
      <c r="F904" s="49"/>
    </row>
    <row r="905" spans="1:6">
      <c r="A905" s="49"/>
      <c r="D905" s="49"/>
      <c r="F905" s="49"/>
    </row>
    <row r="906" spans="1:6">
      <c r="A906" s="49"/>
      <c r="D906" s="49"/>
      <c r="F906" s="49"/>
    </row>
    <row r="907" spans="1:6">
      <c r="A907" s="49"/>
      <c r="D907" s="49"/>
      <c r="F907" s="49"/>
    </row>
    <row r="908" spans="1:6">
      <c r="A908" s="49"/>
      <c r="D908" s="49"/>
      <c r="F908" s="49"/>
    </row>
    <row r="909" spans="1:6">
      <c r="A909" s="49"/>
      <c r="D909" s="49"/>
      <c r="F909" s="49"/>
    </row>
    <row r="910" spans="1:6">
      <c r="A910" s="49"/>
      <c r="D910" s="49"/>
      <c r="F910" s="49"/>
    </row>
    <row r="911" spans="1:6">
      <c r="A911" s="49"/>
      <c r="D911" s="49"/>
      <c r="F911" s="49"/>
    </row>
    <row r="912" spans="1:6">
      <c r="A912" s="49"/>
      <c r="D912" s="49"/>
      <c r="F912" s="49"/>
    </row>
    <row r="913" spans="1:6">
      <c r="A913" s="49"/>
      <c r="D913" s="49"/>
      <c r="F913" s="49"/>
    </row>
    <row r="914" spans="1:6">
      <c r="A914" s="49"/>
      <c r="D914" s="49"/>
      <c r="F914" s="49"/>
    </row>
    <row r="915" spans="1:6">
      <c r="A915" s="49"/>
      <c r="D915" s="49"/>
      <c r="F915" s="49"/>
    </row>
    <row r="916" spans="1:6">
      <c r="A916" s="49"/>
      <c r="D916" s="49"/>
      <c r="F916" s="49"/>
    </row>
    <row r="917" spans="1:6">
      <c r="A917" s="49"/>
      <c r="D917" s="49"/>
      <c r="F917" s="49"/>
    </row>
    <row r="918" spans="1:6">
      <c r="A918" s="49"/>
      <c r="D918" s="49"/>
      <c r="F918" s="49"/>
    </row>
    <row r="919" spans="1:6">
      <c r="A919" s="49"/>
      <c r="D919" s="49"/>
      <c r="F919" s="49"/>
    </row>
    <row r="920" spans="1:6">
      <c r="A920" s="49"/>
      <c r="D920" s="49"/>
      <c r="F920" s="49"/>
    </row>
    <row r="921" spans="1:6">
      <c r="A921" s="49"/>
      <c r="D921" s="49"/>
      <c r="F921" s="49"/>
    </row>
    <row r="922" spans="1:6">
      <c r="A922" s="49"/>
      <c r="D922" s="49"/>
      <c r="F922" s="49"/>
    </row>
    <row r="923" spans="1:6">
      <c r="A923" s="49"/>
      <c r="D923" s="49"/>
      <c r="F923" s="49"/>
    </row>
    <row r="924" spans="1:6">
      <c r="A924" s="49"/>
      <c r="D924" s="49"/>
      <c r="F924" s="49"/>
    </row>
    <row r="925" spans="1:6">
      <c r="A925" s="49"/>
      <c r="D925" s="49"/>
      <c r="F925" s="49"/>
    </row>
    <row r="926" spans="1:6">
      <c r="A926" s="49"/>
      <c r="D926" s="49"/>
      <c r="F926" s="49"/>
    </row>
    <row r="927" spans="1:6">
      <c r="A927" s="49"/>
      <c r="D927" s="49"/>
      <c r="F927" s="49"/>
    </row>
    <row r="928" spans="1:6">
      <c r="A928" s="49"/>
      <c r="D928" s="49"/>
      <c r="F928" s="49"/>
    </row>
    <row r="929" spans="1:6">
      <c r="A929" s="49"/>
      <c r="D929" s="49"/>
      <c r="F929" s="49"/>
    </row>
    <row r="930" spans="1:6">
      <c r="A930" s="49"/>
      <c r="D930" s="49"/>
      <c r="F930" s="49"/>
    </row>
    <row r="931" spans="1:6">
      <c r="A931" s="49"/>
      <c r="D931" s="49"/>
      <c r="F931" s="49"/>
    </row>
    <row r="932" spans="1:6">
      <c r="A932" s="49"/>
      <c r="D932" s="49"/>
      <c r="F932" s="49"/>
    </row>
    <row r="933" spans="1:6">
      <c r="A933" s="49"/>
      <c r="D933" s="49"/>
      <c r="F933" s="49"/>
    </row>
    <row r="934" spans="1:6">
      <c r="A934" s="49"/>
      <c r="D934" s="49"/>
      <c r="F934" s="49"/>
    </row>
    <row r="935" spans="1:6">
      <c r="A935" s="49"/>
      <c r="D935" s="49"/>
      <c r="F935" s="49"/>
    </row>
    <row r="936" spans="1:6">
      <c r="A936" s="49"/>
      <c r="D936" s="49"/>
      <c r="F936" s="49"/>
    </row>
    <row r="937" spans="1:6">
      <c r="A937" s="49"/>
      <c r="D937" s="49"/>
      <c r="F937" s="49"/>
    </row>
    <row r="938" spans="1:6">
      <c r="A938" s="49"/>
      <c r="D938" s="49"/>
      <c r="F938" s="49"/>
    </row>
    <row r="939" spans="1:6">
      <c r="A939" s="49"/>
      <c r="D939" s="49"/>
      <c r="F939" s="49"/>
    </row>
    <row r="940" spans="1:6">
      <c r="A940" s="49"/>
      <c r="D940" s="49"/>
      <c r="F940" s="49"/>
    </row>
    <row r="941" spans="1:6">
      <c r="A941" s="49"/>
      <c r="D941" s="49"/>
      <c r="F941" s="49"/>
    </row>
    <row r="942" spans="1:6">
      <c r="A942" s="49"/>
      <c r="D942" s="49"/>
      <c r="F942" s="49"/>
    </row>
    <row r="943" spans="1:6">
      <c r="A943" s="49"/>
      <c r="D943" s="49"/>
      <c r="F943" s="49"/>
    </row>
    <row r="944" spans="1:6">
      <c r="A944" s="49"/>
      <c r="D944" s="49"/>
      <c r="F944" s="49"/>
    </row>
    <row r="945" spans="1:6">
      <c r="A945" s="49"/>
      <c r="D945" s="49"/>
      <c r="F945" s="49"/>
    </row>
    <row r="946" spans="1:6">
      <c r="A946" s="49"/>
      <c r="D946" s="49"/>
      <c r="F946" s="49"/>
    </row>
    <row r="947" spans="1:6">
      <c r="A947" s="49"/>
      <c r="D947" s="49"/>
      <c r="F947" s="49"/>
    </row>
    <row r="948" spans="1:6">
      <c r="A948" s="49"/>
      <c r="D948" s="49"/>
      <c r="F948" s="49"/>
    </row>
    <row r="949" spans="1:6">
      <c r="A949" s="49"/>
      <c r="D949" s="49"/>
      <c r="F949" s="49"/>
    </row>
    <row r="950" spans="1:6">
      <c r="A950" s="49"/>
      <c r="D950" s="49"/>
      <c r="F950" s="49"/>
    </row>
    <row r="951" spans="1:6">
      <c r="A951" s="49"/>
      <c r="D951" s="49"/>
      <c r="F951" s="49"/>
    </row>
    <row r="952" spans="1:6">
      <c r="A952" s="49"/>
      <c r="D952" s="49"/>
      <c r="F952" s="49"/>
    </row>
    <row r="953" spans="1:6">
      <c r="A953" s="49"/>
      <c r="D953" s="49"/>
      <c r="F953" s="49"/>
    </row>
    <row r="954" spans="1:6">
      <c r="A954" s="49"/>
      <c r="D954" s="49"/>
      <c r="F954" s="49"/>
    </row>
    <row r="955" spans="1:6">
      <c r="A955" s="49"/>
      <c r="D955" s="49"/>
      <c r="F955" s="49"/>
    </row>
    <row r="956" spans="1:6">
      <c r="A956" s="49"/>
      <c r="D956" s="49"/>
      <c r="F956" s="49"/>
    </row>
    <row r="957" spans="1:6">
      <c r="A957" s="49"/>
      <c r="D957" s="49"/>
      <c r="F957" s="49"/>
    </row>
    <row r="958" spans="1:6">
      <c r="A958" s="49"/>
      <c r="D958" s="49"/>
      <c r="F958" s="49"/>
    </row>
    <row r="959" spans="1:6">
      <c r="A959" s="49"/>
      <c r="D959" s="49"/>
      <c r="F959" s="49"/>
    </row>
    <row r="960" spans="1:6">
      <c r="A960" s="49"/>
      <c r="D960" s="49"/>
      <c r="F960" s="49"/>
    </row>
    <row r="961" spans="1:6">
      <c r="A961" s="49"/>
      <c r="D961" s="49"/>
      <c r="F961" s="49"/>
    </row>
    <row r="962" spans="1:6">
      <c r="A962" s="49"/>
      <c r="D962" s="49"/>
      <c r="F962" s="49"/>
    </row>
    <row r="963" spans="1:6">
      <c r="A963" s="49"/>
      <c r="D963" s="49"/>
      <c r="F963" s="49"/>
    </row>
    <row r="964" spans="1:6">
      <c r="A964" s="49"/>
      <c r="D964" s="49"/>
      <c r="F964" s="49"/>
    </row>
    <row r="965" spans="1:6">
      <c r="A965" s="49"/>
      <c r="D965" s="49"/>
      <c r="F965" s="49"/>
    </row>
    <row r="966" spans="1:6">
      <c r="A966" s="49"/>
      <c r="D966" s="49"/>
      <c r="F966" s="49"/>
    </row>
    <row r="967" spans="1:6">
      <c r="A967" s="49"/>
      <c r="D967" s="49"/>
      <c r="F967" s="49"/>
    </row>
    <row r="968" spans="1:6">
      <c r="A968" s="49"/>
      <c r="D968" s="49"/>
      <c r="F968" s="49"/>
    </row>
    <row r="969" spans="1:6">
      <c r="A969" s="49"/>
      <c r="D969" s="49"/>
      <c r="F969" s="49"/>
    </row>
    <row r="970" spans="1:6">
      <c r="A970" s="49"/>
      <c r="D970" s="49"/>
      <c r="F970" s="49"/>
    </row>
    <row r="971" spans="1:6">
      <c r="A971" s="49"/>
      <c r="D971" s="49"/>
      <c r="F971" s="49"/>
    </row>
    <row r="972" spans="1:6">
      <c r="A972" s="49"/>
      <c r="D972" s="49"/>
      <c r="F972" s="49"/>
    </row>
    <row r="973" spans="1:6">
      <c r="A973" s="49"/>
      <c r="D973" s="49"/>
      <c r="F973" s="49"/>
    </row>
    <row r="974" spans="1:6">
      <c r="A974" s="49"/>
      <c r="D974" s="49"/>
      <c r="F974" s="49"/>
    </row>
    <row r="975" spans="1:6">
      <c r="A975" s="49"/>
      <c r="D975" s="49"/>
      <c r="F975" s="49"/>
    </row>
    <row r="976" spans="1:6">
      <c r="A976" s="49"/>
      <c r="D976" s="49"/>
      <c r="F976" s="49"/>
    </row>
    <row r="977" spans="1:6">
      <c r="A977" s="49"/>
      <c r="D977" s="49"/>
      <c r="F977" s="49"/>
    </row>
    <row r="978" spans="1:6">
      <c r="A978" s="49"/>
      <c r="D978" s="49"/>
      <c r="F978" s="49"/>
    </row>
    <row r="979" spans="1:6">
      <c r="A979" s="49"/>
      <c r="D979" s="49"/>
      <c r="F979" s="49"/>
    </row>
    <row r="980" spans="1:6">
      <c r="A980" s="49"/>
      <c r="D980" s="49"/>
      <c r="F980" s="49"/>
    </row>
    <row r="981" spans="1:6">
      <c r="A981" s="49"/>
      <c r="D981" s="49"/>
      <c r="F981" s="49"/>
    </row>
    <row r="982" spans="1:6">
      <c r="A982" s="49"/>
      <c r="D982" s="49"/>
      <c r="F982" s="49"/>
    </row>
    <row r="983" spans="1:6">
      <c r="A983" s="49"/>
      <c r="D983" s="49"/>
      <c r="F983" s="49"/>
    </row>
    <row r="984" spans="1:6">
      <c r="A984" s="49"/>
      <c r="D984" s="49"/>
      <c r="F984" s="49"/>
    </row>
    <row r="985" spans="1:6">
      <c r="A985" s="49"/>
      <c r="D985" s="49"/>
      <c r="F985" s="49"/>
    </row>
    <row r="986" spans="1:6">
      <c r="A986" s="49"/>
      <c r="D986" s="49"/>
      <c r="F986" s="49"/>
    </row>
    <row r="987" spans="1:6">
      <c r="A987" s="49"/>
      <c r="D987" s="49"/>
      <c r="F987" s="49"/>
    </row>
    <row r="988" spans="1:6">
      <c r="A988" s="49"/>
      <c r="D988" s="49"/>
      <c r="F988" s="49"/>
    </row>
    <row r="989" spans="1:6">
      <c r="A989" s="49"/>
      <c r="D989" s="49"/>
      <c r="F989" s="49"/>
    </row>
    <row r="990" spans="1:6">
      <c r="A990" s="49"/>
      <c r="D990" s="49"/>
      <c r="F990" s="49"/>
    </row>
    <row r="991" spans="1:6">
      <c r="A991" s="49"/>
      <c r="D991" s="49"/>
      <c r="F991" s="49"/>
    </row>
    <row r="992" spans="1:6">
      <c r="A992" s="49"/>
      <c r="D992" s="49"/>
      <c r="F992" s="49"/>
    </row>
    <row r="993" spans="1:6">
      <c r="A993" s="49"/>
      <c r="D993" s="49"/>
      <c r="F993" s="49"/>
    </row>
    <row r="994" spans="1:6">
      <c r="A994" s="49"/>
      <c r="D994" s="49"/>
      <c r="F994" s="49"/>
    </row>
    <row r="995" spans="1:6">
      <c r="A995" s="49"/>
      <c r="D995" s="49"/>
      <c r="F995" s="49"/>
    </row>
    <row r="996" spans="1:6">
      <c r="A996" s="49"/>
      <c r="D996" s="49"/>
      <c r="F996" s="49"/>
    </row>
    <row r="997" spans="1:6">
      <c r="A997" s="49"/>
      <c r="D997" s="49"/>
      <c r="F997" s="49"/>
    </row>
    <row r="998" spans="1:6">
      <c r="A998" s="49"/>
      <c r="D998" s="49"/>
      <c r="F998" s="49"/>
    </row>
    <row r="999" spans="1:6">
      <c r="A999" s="49"/>
      <c r="D999" s="49"/>
      <c r="F999" s="49"/>
    </row>
    <row r="1000" spans="1:6">
      <c r="A1000" s="49"/>
      <c r="D1000" s="49"/>
      <c r="F1000" s="49"/>
    </row>
    <row r="1001" spans="1:6">
      <c r="A1001" s="49"/>
      <c r="D1001" s="49"/>
      <c r="F1001" s="49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5DFB17-3269-4072-911F-693DE4704F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Кат</vt:lpstr>
      <vt:lpstr>ПРАЙС</vt:lpstr>
      <vt:lpstr>НАЦЕНКА</vt:lpstr>
      <vt:lpstr>Выгр Кат</vt:lpstr>
      <vt:lpstr>Ссылки</vt:lpstr>
      <vt:lpstr>Из ГУГЛа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Admin</dc:creator>
  <cp:lastModifiedBy>Snab TimeTurbo</cp:lastModifiedBy>
  <dcterms:created xsi:type="dcterms:W3CDTF">2022-04-07T09:17:37Z</dcterms:created>
  <dcterms:modified xsi:type="dcterms:W3CDTF">2024-07-04T11:26:05Z</dcterms:modified>
</cp:coreProperties>
</file>